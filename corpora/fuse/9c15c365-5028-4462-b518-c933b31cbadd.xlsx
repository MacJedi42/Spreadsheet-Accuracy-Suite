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85" yWindow="135" windowWidth="14625" windowHeight="5490"/>
  </bookViews>
  <sheets>
    <sheet name="RoT V3.0 Beta" sheetId="1" r:id="rId1"/>
  </sheets>
  <calcPr calcId="145621"/>
</workbook>
</file>

<file path=xl/calcChain.xml><?xml version="1.0" encoding="utf-8"?>
<calcChain xmlns="http://schemas.openxmlformats.org/spreadsheetml/2006/main">
  <c r="S19" i="1" l="1"/>
  <c r="T19" i="1" s="1"/>
  <c r="S17" i="1"/>
  <c r="T17" i="1" s="1"/>
  <c r="U17" i="1" s="1"/>
  <c r="S79" i="1"/>
  <c r="T79" i="1" s="1"/>
  <c r="U79" i="1" s="1"/>
  <c r="S23" i="1"/>
  <c r="T23" i="1" s="1"/>
  <c r="S10" i="1"/>
  <c r="T10" i="1" s="1"/>
  <c r="U10" i="1" s="1"/>
  <c r="S27" i="1"/>
  <c r="T27" i="1" s="1"/>
  <c r="S12" i="1"/>
  <c r="T12" i="1" s="1"/>
  <c r="S68" i="1"/>
  <c r="T68" i="1" s="1"/>
  <c r="S72" i="1"/>
  <c r="T72" i="1" s="1"/>
  <c r="S67" i="1"/>
  <c r="T67" i="1" s="1"/>
  <c r="U67" i="1" s="1"/>
  <c r="S49" i="1"/>
  <c r="T49" i="1" s="1"/>
  <c r="S6" i="1"/>
  <c r="T6" i="1" s="1"/>
  <c r="S7" i="1"/>
  <c r="T7" i="1" s="1"/>
  <c r="S15" i="1"/>
  <c r="T15" i="1" s="1"/>
  <c r="S50" i="1"/>
  <c r="T50" i="1" s="1"/>
  <c r="U50" i="1" s="1"/>
  <c r="S16" i="1"/>
  <c r="T16" i="1" s="1"/>
  <c r="U16" i="1" s="1"/>
  <c r="S13" i="1"/>
  <c r="T13" i="1" s="1"/>
  <c r="S43" i="1"/>
  <c r="T43" i="1" s="1"/>
  <c r="U43" i="1" s="1"/>
  <c r="S25" i="1"/>
  <c r="T25" i="1" s="1"/>
  <c r="S18" i="1"/>
  <c r="T18" i="1" s="1"/>
  <c r="S8" i="1"/>
  <c r="T8" i="1" s="1"/>
  <c r="U8" i="1" s="1"/>
  <c r="V8" i="1" s="1"/>
  <c r="W8" i="1" s="1"/>
  <c r="X8" i="1" s="1"/>
  <c r="S21" i="1"/>
  <c r="T21" i="1" s="1"/>
  <c r="S30" i="1"/>
  <c r="T30" i="1" s="1"/>
  <c r="U30" i="1" s="1"/>
  <c r="S33" i="1"/>
  <c r="T33" i="1" s="1"/>
  <c r="S36" i="1"/>
  <c r="T36" i="1" s="1"/>
  <c r="S42" i="1"/>
  <c r="T42" i="1" s="1"/>
  <c r="U42" i="1" s="1"/>
  <c r="V42" i="1" s="1"/>
  <c r="W42" i="1" s="1"/>
  <c r="X42" i="1" s="1"/>
  <c r="S20" i="1"/>
  <c r="T20" i="1" s="1"/>
  <c r="S86" i="1"/>
  <c r="T86" i="1" s="1"/>
  <c r="S70" i="1"/>
  <c r="T70" i="1" s="1"/>
  <c r="S26" i="1"/>
  <c r="T26" i="1" s="1"/>
  <c r="S9" i="1"/>
  <c r="T9" i="1" s="1"/>
  <c r="S5" i="1"/>
  <c r="T5" i="1" s="1"/>
  <c r="S29" i="1"/>
  <c r="T29" i="1" s="1"/>
  <c r="U29" i="1" s="1"/>
  <c r="S55" i="1"/>
  <c r="T55" i="1" s="1"/>
  <c r="U55" i="1" s="1"/>
  <c r="S11" i="1"/>
  <c r="T11" i="1" s="1"/>
  <c r="S46" i="1"/>
  <c r="T46" i="1" s="1"/>
  <c r="S41" i="1"/>
  <c r="T41" i="1" s="1"/>
  <c r="U41" i="1" s="1"/>
  <c r="S40" i="1"/>
  <c r="T40" i="1" s="1"/>
  <c r="S31" i="1"/>
  <c r="T31" i="1" s="1"/>
  <c r="U31" i="1" s="1"/>
  <c r="V31" i="1" s="1"/>
  <c r="W31" i="1" s="1"/>
  <c r="X31" i="1" s="1"/>
  <c r="S38" i="1"/>
  <c r="T38" i="1" s="1"/>
  <c r="S48" i="1"/>
  <c r="T48" i="1" s="1"/>
  <c r="S34" i="1"/>
  <c r="T34" i="1" s="1"/>
  <c r="U34" i="1" s="1"/>
  <c r="S54" i="1"/>
  <c r="T54" i="1" s="1"/>
  <c r="S14" i="1"/>
  <c r="T14" i="1" s="1"/>
  <c r="U14" i="1" s="1"/>
  <c r="S64" i="1"/>
  <c r="T64" i="1" s="1"/>
  <c r="S35" i="1"/>
  <c r="T35" i="1" s="1"/>
  <c r="S24" i="1"/>
  <c r="T24" i="1" s="1"/>
  <c r="U24" i="1" s="1"/>
  <c r="V24" i="1" s="1"/>
  <c r="W24" i="1" s="1"/>
  <c r="X24" i="1" s="1"/>
  <c r="S22" i="1"/>
  <c r="T22" i="1" s="1"/>
  <c r="S32" i="1"/>
  <c r="T32" i="1" s="1"/>
  <c r="S28" i="1"/>
  <c r="T28" i="1" s="1"/>
  <c r="U28" i="1" s="1"/>
  <c r="V28" i="1" s="1"/>
  <c r="W28" i="1" s="1"/>
  <c r="X28" i="1" s="1"/>
  <c r="S69" i="1"/>
  <c r="T69" i="1" s="1"/>
  <c r="S37" i="1"/>
  <c r="T37" i="1" s="1"/>
  <c r="S44" i="1"/>
  <c r="T44" i="1" s="1"/>
  <c r="S47" i="1"/>
  <c r="T47" i="1" s="1"/>
  <c r="S71" i="1"/>
  <c r="T71" i="1" s="1"/>
  <c r="U71" i="1" s="1"/>
  <c r="S62" i="1"/>
  <c r="T62" i="1" s="1"/>
  <c r="S74" i="1"/>
  <c r="T74" i="1" s="1"/>
  <c r="S65" i="1"/>
  <c r="T65" i="1" s="1"/>
  <c r="S75" i="1"/>
  <c r="T75" i="1" s="1"/>
  <c r="S63" i="1"/>
  <c r="T63" i="1" s="1"/>
  <c r="S59" i="1"/>
  <c r="T59" i="1" s="1"/>
  <c r="S58" i="1"/>
  <c r="T58" i="1" s="1"/>
  <c r="U58" i="1" s="1"/>
  <c r="S81" i="1"/>
  <c r="T81" i="1" s="1"/>
  <c r="U81" i="1" s="1"/>
  <c r="S51" i="1"/>
  <c r="T51" i="1" s="1"/>
  <c r="S53" i="1"/>
  <c r="T53" i="1" s="1"/>
  <c r="S57" i="1"/>
  <c r="T57" i="1" s="1"/>
  <c r="U57" i="1" s="1"/>
  <c r="S52" i="1"/>
  <c r="T52" i="1" s="1"/>
  <c r="S84" i="1"/>
  <c r="T84" i="1" s="1"/>
  <c r="S87" i="1"/>
  <c r="T87" i="1" s="1"/>
  <c r="U87" i="1" s="1"/>
  <c r="S83" i="1"/>
  <c r="T83" i="1" s="1"/>
  <c r="U83" i="1" s="1"/>
  <c r="S60" i="1"/>
  <c r="T60" i="1" s="1"/>
  <c r="S39" i="1"/>
  <c r="T39" i="1" s="1"/>
  <c r="S56" i="1"/>
  <c r="T56" i="1" s="1"/>
  <c r="S80" i="1"/>
  <c r="T80" i="1" s="1"/>
  <c r="U80" i="1" s="1"/>
  <c r="S61" i="1"/>
  <c r="T61" i="1" s="1"/>
  <c r="U61" i="1" s="1"/>
  <c r="S77" i="1"/>
  <c r="T77" i="1" s="1"/>
  <c r="S88" i="1"/>
  <c r="T88" i="1" s="1"/>
  <c r="S45" i="1"/>
  <c r="T45" i="1" s="1"/>
  <c r="S85" i="1"/>
  <c r="T85" i="1" s="1"/>
  <c r="U85" i="1" s="1"/>
  <c r="S73" i="1"/>
  <c r="T73" i="1" s="1"/>
  <c r="U73" i="1" s="1"/>
  <c r="S97" i="1"/>
  <c r="T97" i="1" s="1"/>
  <c r="S66" i="1"/>
  <c r="T66" i="1" s="1"/>
  <c r="U66" i="1" s="1"/>
  <c r="S76" i="1"/>
  <c r="T76" i="1" s="1"/>
  <c r="S82" i="1"/>
  <c r="T82" i="1" s="1"/>
  <c r="S91" i="1"/>
  <c r="T91" i="1" s="1"/>
  <c r="U91" i="1" s="1"/>
  <c r="S95" i="1"/>
  <c r="T95" i="1" s="1"/>
  <c r="S78" i="1"/>
  <c r="T78" i="1" s="1"/>
  <c r="U78" i="1" s="1"/>
  <c r="S90" i="1"/>
  <c r="T90" i="1" s="1"/>
  <c r="S89" i="1"/>
  <c r="T89" i="1" s="1"/>
  <c r="S103" i="1"/>
  <c r="T103" i="1" s="1"/>
  <c r="U103" i="1" s="1"/>
  <c r="V103" i="1" s="1"/>
  <c r="W103" i="1" s="1"/>
  <c r="X103" i="1" s="1"/>
  <c r="S105" i="1"/>
  <c r="T105" i="1" s="1"/>
  <c r="S107" i="1"/>
  <c r="T107" i="1" s="1"/>
  <c r="S93" i="1"/>
  <c r="T93" i="1" s="1"/>
  <c r="U93" i="1" s="1"/>
  <c r="S94" i="1"/>
  <c r="T94" i="1" s="1"/>
  <c r="S92" i="1"/>
  <c r="T92" i="1" s="1"/>
  <c r="S108" i="1"/>
  <c r="T108" i="1" s="1"/>
  <c r="S109" i="1"/>
  <c r="T109" i="1" s="1"/>
  <c r="U109" i="1" s="1"/>
  <c r="S96" i="1"/>
  <c r="T96" i="1" s="1"/>
  <c r="U96" i="1" s="1"/>
  <c r="S106" i="1"/>
  <c r="T106" i="1" s="1"/>
  <c r="S104" i="1"/>
  <c r="T104" i="1" s="1"/>
  <c r="S100" i="1"/>
  <c r="T100" i="1" s="1"/>
  <c r="U100" i="1" s="1"/>
  <c r="S102" i="1"/>
  <c r="T102" i="1" s="1"/>
  <c r="S110" i="1"/>
  <c r="T110" i="1" s="1"/>
  <c r="U110" i="1" s="1"/>
  <c r="V110" i="1" s="1"/>
  <c r="W110" i="1" s="1"/>
  <c r="X110" i="1" s="1"/>
  <c r="S101" i="1"/>
  <c r="T101" i="1" s="1"/>
  <c r="S99" i="1"/>
  <c r="T99" i="1" s="1"/>
  <c r="U99" i="1" s="1"/>
  <c r="S98" i="1"/>
  <c r="T98" i="1" s="1"/>
  <c r="U98" i="1" s="1"/>
  <c r="J101" i="1"/>
  <c r="J78" i="1"/>
  <c r="J93" i="1"/>
  <c r="J57" i="1"/>
  <c r="J91" i="1"/>
  <c r="J90" i="1"/>
  <c r="J61" i="1"/>
  <c r="J73" i="1"/>
  <c r="J100" i="1"/>
  <c r="J88" i="1"/>
  <c r="J77" i="1"/>
  <c r="J58" i="1"/>
  <c r="J108" i="1"/>
  <c r="J98" i="1"/>
  <c r="J106" i="1"/>
  <c r="J109" i="1"/>
  <c r="J95" i="1"/>
  <c r="J56" i="1"/>
  <c r="J102" i="1"/>
  <c r="J110" i="1"/>
  <c r="J96" i="1"/>
  <c r="J65" i="1"/>
  <c r="J107" i="1"/>
  <c r="J97" i="1"/>
  <c r="J76" i="1"/>
  <c r="J5" i="1"/>
  <c r="J24" i="1"/>
  <c r="J47" i="1"/>
  <c r="J94" i="1"/>
  <c r="J48" i="1"/>
  <c r="J103" i="1"/>
  <c r="J60" i="1"/>
  <c r="J105" i="1"/>
  <c r="J32" i="1"/>
  <c r="J34" i="1"/>
  <c r="J71" i="1"/>
  <c r="J92" i="1"/>
  <c r="J51" i="1"/>
  <c r="J45" i="1"/>
  <c r="J26" i="1"/>
  <c r="J99" i="1"/>
  <c r="J85" i="1"/>
  <c r="J83" i="1"/>
  <c r="J82" i="1"/>
  <c r="J104" i="1"/>
  <c r="J89" i="1"/>
  <c r="J62" i="1"/>
  <c r="J87" i="1"/>
  <c r="J66" i="1"/>
  <c r="J54" i="1"/>
  <c r="J52" i="1"/>
  <c r="J39" i="1"/>
  <c r="J37" i="1"/>
  <c r="J28" i="1"/>
  <c r="J31" i="1"/>
  <c r="J53" i="1"/>
  <c r="J25" i="1"/>
  <c r="J29" i="1"/>
  <c r="J9" i="1"/>
  <c r="J81" i="1"/>
  <c r="J59" i="1"/>
  <c r="J23" i="1"/>
  <c r="J46" i="1"/>
  <c r="J30" i="1"/>
  <c r="J72" i="1"/>
  <c r="J84" i="1"/>
  <c r="J14" i="1"/>
  <c r="J80" i="1"/>
  <c r="J74" i="1"/>
  <c r="J18" i="1"/>
  <c r="J63" i="1"/>
  <c r="J22" i="1"/>
  <c r="J64" i="1"/>
  <c r="J44" i="1"/>
  <c r="J35" i="1"/>
  <c r="J70" i="1"/>
  <c r="J13" i="1"/>
  <c r="J21" i="1"/>
  <c r="J8" i="1"/>
  <c r="J11" i="1"/>
  <c r="J16" i="1"/>
  <c r="J17" i="1"/>
  <c r="J33" i="1"/>
  <c r="J55" i="1"/>
  <c r="J75" i="1"/>
  <c r="J86" i="1"/>
  <c r="J41" i="1"/>
  <c r="J69" i="1"/>
  <c r="J42" i="1"/>
  <c r="J12" i="1"/>
  <c r="J40" i="1"/>
  <c r="J36" i="1"/>
  <c r="J79" i="1"/>
  <c r="J27" i="1"/>
  <c r="J19" i="1"/>
  <c r="J10" i="1"/>
  <c r="J7" i="1"/>
  <c r="J68" i="1"/>
  <c r="J38" i="1"/>
  <c r="J20" i="1"/>
  <c r="J43" i="1"/>
  <c r="J50" i="1"/>
  <c r="J6" i="1"/>
  <c r="J67" i="1"/>
  <c r="J15" i="1"/>
  <c r="J49" i="1"/>
  <c r="U52" i="1" l="1"/>
  <c r="V52" i="1" s="1"/>
  <c r="W52" i="1" s="1"/>
  <c r="X52" i="1" s="1"/>
  <c r="U90" i="1"/>
  <c r="V90" i="1" s="1"/>
  <c r="W90" i="1" s="1"/>
  <c r="X90" i="1" s="1"/>
  <c r="U65" i="1"/>
  <c r="V65" i="1" s="1"/>
  <c r="W65" i="1" s="1"/>
  <c r="X65" i="1" s="1"/>
  <c r="V29" i="1"/>
  <c r="W29" i="1" s="1"/>
  <c r="X29" i="1" s="1"/>
  <c r="V58" i="1"/>
  <c r="W58" i="1" s="1"/>
  <c r="X58" i="1" s="1"/>
  <c r="V14" i="1"/>
  <c r="W14" i="1" s="1"/>
  <c r="X14" i="1" s="1"/>
  <c r="U108" i="1"/>
  <c r="V108" i="1" s="1"/>
  <c r="W108" i="1" s="1"/>
  <c r="X108" i="1" s="1"/>
  <c r="U51" i="1"/>
  <c r="V51" i="1" s="1"/>
  <c r="W51" i="1" s="1"/>
  <c r="X51" i="1" s="1"/>
  <c r="V100" i="1"/>
  <c r="W100" i="1" s="1"/>
  <c r="X100" i="1" s="1"/>
  <c r="V87" i="1"/>
  <c r="W87" i="1" s="1"/>
  <c r="X87" i="1" s="1"/>
  <c r="V41" i="1"/>
  <c r="W41" i="1" s="1"/>
  <c r="X41" i="1" s="1"/>
  <c r="V10" i="1"/>
  <c r="W10" i="1" s="1"/>
  <c r="X10" i="1" s="1"/>
  <c r="U106" i="1"/>
  <c r="V106" i="1" s="1"/>
  <c r="W106" i="1" s="1"/>
  <c r="X106" i="1" s="1"/>
  <c r="U76" i="1"/>
  <c r="V76" i="1" s="1"/>
  <c r="W76" i="1" s="1"/>
  <c r="X76" i="1" s="1"/>
  <c r="U69" i="1"/>
  <c r="V69" i="1" s="1"/>
  <c r="W69" i="1" s="1"/>
  <c r="X69" i="1" s="1"/>
  <c r="U11" i="1"/>
  <c r="V11" i="1" s="1"/>
  <c r="W11" i="1" s="1"/>
  <c r="X11" i="1" s="1"/>
  <c r="U25" i="1"/>
  <c r="V25" i="1" s="1"/>
  <c r="W25" i="1" s="1"/>
  <c r="X25" i="1" s="1"/>
  <c r="V109" i="1"/>
  <c r="W109" i="1" s="1"/>
  <c r="X109" i="1" s="1"/>
  <c r="U104" i="1"/>
  <c r="V104" i="1" s="1"/>
  <c r="W104" i="1" s="1"/>
  <c r="X104" i="1" s="1"/>
  <c r="U107" i="1"/>
  <c r="V107" i="1" s="1"/>
  <c r="W107" i="1" s="1"/>
  <c r="X107" i="1" s="1"/>
  <c r="U82" i="1"/>
  <c r="V82" i="1" s="1"/>
  <c r="W82" i="1" s="1"/>
  <c r="X82" i="1" s="1"/>
  <c r="U77" i="1"/>
  <c r="V77" i="1" s="1"/>
  <c r="W77" i="1" s="1"/>
  <c r="X77" i="1" s="1"/>
  <c r="U84" i="1"/>
  <c r="V84" i="1" s="1"/>
  <c r="W84" i="1" s="1"/>
  <c r="X84" i="1" s="1"/>
  <c r="U63" i="1"/>
  <c r="V63" i="1" s="1"/>
  <c r="W63" i="1" s="1"/>
  <c r="X63" i="1" s="1"/>
  <c r="U37" i="1"/>
  <c r="V37" i="1" s="1"/>
  <c r="W37" i="1" s="1"/>
  <c r="X37" i="1" s="1"/>
  <c r="U46" i="1"/>
  <c r="V46" i="1" s="1"/>
  <c r="W46" i="1" s="1"/>
  <c r="X46" i="1" s="1"/>
  <c r="U86" i="1"/>
  <c r="V86" i="1" s="1"/>
  <c r="W86" i="1" s="1"/>
  <c r="X86" i="1" s="1"/>
  <c r="U18" i="1"/>
  <c r="V18" i="1" s="1"/>
  <c r="W18" i="1" s="1"/>
  <c r="X18" i="1" s="1"/>
  <c r="U6" i="1"/>
  <c r="V6" i="1" s="1"/>
  <c r="W6" i="1" s="1"/>
  <c r="X6" i="1" s="1"/>
  <c r="U23" i="1"/>
  <c r="V23" i="1" s="1"/>
  <c r="W23" i="1" s="1"/>
  <c r="X23" i="1" s="1"/>
  <c r="V96" i="1"/>
  <c r="W96" i="1" s="1"/>
  <c r="X96" i="1" s="1"/>
  <c r="V66" i="1"/>
  <c r="W66" i="1" s="1"/>
  <c r="X66" i="1" s="1"/>
  <c r="V57" i="1"/>
  <c r="W57" i="1" s="1"/>
  <c r="X57" i="1" s="1"/>
  <c r="V55" i="1"/>
  <c r="W55" i="1" s="1"/>
  <c r="X55" i="1" s="1"/>
  <c r="V43" i="1"/>
  <c r="W43" i="1" s="1"/>
  <c r="X43" i="1" s="1"/>
  <c r="V17" i="1"/>
  <c r="W17" i="1" s="1"/>
  <c r="X17" i="1" s="1"/>
  <c r="U88" i="1"/>
  <c r="V88" i="1" s="1"/>
  <c r="W88" i="1" s="1"/>
  <c r="X88" i="1" s="1"/>
  <c r="U64" i="1"/>
  <c r="V64" i="1" s="1"/>
  <c r="W64" i="1" s="1"/>
  <c r="X64" i="1" s="1"/>
  <c r="U7" i="1"/>
  <c r="V7" i="1" s="1"/>
  <c r="W7" i="1" s="1"/>
  <c r="X7" i="1" s="1"/>
  <c r="V93" i="1"/>
  <c r="W93" i="1" s="1"/>
  <c r="X93" i="1" s="1"/>
  <c r="V83" i="1"/>
  <c r="W83" i="1" s="1"/>
  <c r="X83" i="1" s="1"/>
  <c r="U5" i="1"/>
  <c r="V5" i="1" s="1"/>
  <c r="W5" i="1" s="1"/>
  <c r="X5" i="1" s="1"/>
  <c r="U56" i="1"/>
  <c r="V56" i="1" s="1"/>
  <c r="W56" i="1" s="1"/>
  <c r="X56" i="1" s="1"/>
  <c r="U74" i="1"/>
  <c r="V74" i="1" s="1"/>
  <c r="W74" i="1" s="1"/>
  <c r="X74" i="1" s="1"/>
  <c r="U48" i="1"/>
  <c r="V48" i="1" s="1"/>
  <c r="W48" i="1" s="1"/>
  <c r="X48" i="1" s="1"/>
  <c r="U72" i="1"/>
  <c r="V72" i="1" s="1"/>
  <c r="W72" i="1" s="1"/>
  <c r="X72" i="1" s="1"/>
  <c r="U105" i="1"/>
  <c r="V105" i="1" s="1"/>
  <c r="W105" i="1" s="1"/>
  <c r="X105" i="1" s="1"/>
  <c r="U75" i="1"/>
  <c r="V75" i="1" s="1"/>
  <c r="W75" i="1" s="1"/>
  <c r="X75" i="1" s="1"/>
  <c r="U49" i="1"/>
  <c r="V49" i="1" s="1"/>
  <c r="W49" i="1" s="1"/>
  <c r="X49" i="1" s="1"/>
  <c r="V98" i="1"/>
  <c r="W98" i="1" s="1"/>
  <c r="X98" i="1" s="1"/>
  <c r="V80" i="1"/>
  <c r="W80" i="1" s="1"/>
  <c r="X80" i="1" s="1"/>
  <c r="V34" i="1"/>
  <c r="W34" i="1" s="1"/>
  <c r="X34" i="1" s="1"/>
  <c r="V67" i="1"/>
  <c r="W67" i="1" s="1"/>
  <c r="X67" i="1" s="1"/>
  <c r="U59" i="1"/>
  <c r="V59" i="1" s="1"/>
  <c r="W59" i="1" s="1"/>
  <c r="X59" i="1" s="1"/>
  <c r="U70" i="1"/>
  <c r="V70" i="1" s="1"/>
  <c r="W70" i="1" s="1"/>
  <c r="X70" i="1" s="1"/>
  <c r="V99" i="1"/>
  <c r="W99" i="1" s="1"/>
  <c r="X99" i="1" s="1"/>
  <c r="V16" i="1"/>
  <c r="W16" i="1" s="1"/>
  <c r="X16" i="1" s="1"/>
  <c r="U22" i="1"/>
  <c r="V22" i="1" s="1"/>
  <c r="W22" i="1" s="1"/>
  <c r="X22" i="1" s="1"/>
  <c r="U97" i="1"/>
  <c r="V97" i="1" s="1"/>
  <c r="W97" i="1" s="1"/>
  <c r="X97" i="1" s="1"/>
  <c r="U53" i="1"/>
  <c r="V53" i="1" s="1"/>
  <c r="W53" i="1" s="1"/>
  <c r="X53" i="1" s="1"/>
  <c r="U32" i="1"/>
  <c r="V32" i="1" s="1"/>
  <c r="W32" i="1" s="1"/>
  <c r="X32" i="1" s="1"/>
  <c r="U36" i="1"/>
  <c r="V36" i="1" s="1"/>
  <c r="W36" i="1" s="1"/>
  <c r="X36" i="1" s="1"/>
  <c r="U19" i="1"/>
  <c r="V19" i="1" s="1"/>
  <c r="W19" i="1" s="1"/>
  <c r="X19" i="1" s="1"/>
  <c r="U54" i="1"/>
  <c r="V54" i="1" s="1"/>
  <c r="W54" i="1" s="1"/>
  <c r="X54" i="1" s="1"/>
  <c r="U20" i="1"/>
  <c r="V20" i="1" s="1"/>
  <c r="W20" i="1" s="1"/>
  <c r="X20" i="1" s="1"/>
  <c r="V91" i="1"/>
  <c r="W91" i="1" s="1"/>
  <c r="X91" i="1" s="1"/>
  <c r="U101" i="1"/>
  <c r="V101" i="1" s="1"/>
  <c r="W101" i="1" s="1"/>
  <c r="X101" i="1" s="1"/>
  <c r="U39" i="1"/>
  <c r="V39" i="1" s="1"/>
  <c r="W39" i="1" s="1"/>
  <c r="X39" i="1" s="1"/>
  <c r="U62" i="1"/>
  <c r="V62" i="1" s="1"/>
  <c r="W62" i="1" s="1"/>
  <c r="X62" i="1" s="1"/>
  <c r="U38" i="1"/>
  <c r="V38" i="1" s="1"/>
  <c r="W38" i="1" s="1"/>
  <c r="X38" i="1" s="1"/>
  <c r="U33" i="1"/>
  <c r="V33" i="1" s="1"/>
  <c r="W33" i="1" s="1"/>
  <c r="X33" i="1" s="1"/>
  <c r="U68" i="1"/>
  <c r="V68" i="1" s="1"/>
  <c r="W68" i="1" s="1"/>
  <c r="X68" i="1" s="1"/>
  <c r="V73" i="1"/>
  <c r="W73" i="1" s="1"/>
  <c r="X73" i="1" s="1"/>
  <c r="U89" i="1"/>
  <c r="V89" i="1" s="1"/>
  <c r="W89" i="1" s="1"/>
  <c r="X89" i="1" s="1"/>
  <c r="U13" i="1"/>
  <c r="V13" i="1"/>
  <c r="W13" i="1" s="1"/>
  <c r="X13" i="1" s="1"/>
  <c r="U102" i="1"/>
  <c r="V102" i="1" s="1"/>
  <c r="W102" i="1" s="1"/>
  <c r="X102" i="1" s="1"/>
  <c r="U94" i="1"/>
  <c r="V94" i="1" s="1"/>
  <c r="W94" i="1" s="1"/>
  <c r="X94" i="1" s="1"/>
  <c r="U95" i="1"/>
  <c r="V95" i="1" s="1"/>
  <c r="W95" i="1" s="1"/>
  <c r="X95" i="1" s="1"/>
  <c r="U45" i="1"/>
  <c r="V45" i="1" s="1"/>
  <c r="W45" i="1" s="1"/>
  <c r="X45" i="1" s="1"/>
  <c r="U47" i="1"/>
  <c r="V47" i="1" s="1"/>
  <c r="W47" i="1" s="1"/>
  <c r="X47" i="1" s="1"/>
  <c r="U35" i="1"/>
  <c r="V35" i="1" s="1"/>
  <c r="W35" i="1" s="1"/>
  <c r="X35" i="1" s="1"/>
  <c r="U40" i="1"/>
  <c r="V40" i="1" s="1"/>
  <c r="W40" i="1" s="1"/>
  <c r="X40" i="1" s="1"/>
  <c r="U26" i="1"/>
  <c r="V26" i="1" s="1"/>
  <c r="W26" i="1" s="1"/>
  <c r="X26" i="1" s="1"/>
  <c r="U21" i="1"/>
  <c r="V21" i="1" s="1"/>
  <c r="W21" i="1" s="1"/>
  <c r="X21" i="1" s="1"/>
  <c r="U15" i="1"/>
  <c r="V15" i="1" s="1"/>
  <c r="W15" i="1" s="1"/>
  <c r="X15" i="1" s="1"/>
  <c r="U27" i="1"/>
  <c r="V27" i="1" s="1"/>
  <c r="W27" i="1" s="1"/>
  <c r="X27" i="1" s="1"/>
  <c r="U44" i="1"/>
  <c r="V44" i="1" s="1"/>
  <c r="W44" i="1" s="1"/>
  <c r="X44" i="1" s="1"/>
  <c r="V61" i="1"/>
  <c r="W61" i="1" s="1"/>
  <c r="X61" i="1" s="1"/>
  <c r="V79" i="1"/>
  <c r="W79" i="1" s="1"/>
  <c r="X79" i="1" s="1"/>
  <c r="V78" i="1"/>
  <c r="W78" i="1" s="1"/>
  <c r="X78" i="1" s="1"/>
  <c r="V30" i="1"/>
  <c r="W30" i="1" s="1"/>
  <c r="X30" i="1" s="1"/>
  <c r="V81" i="1"/>
  <c r="W81" i="1" s="1"/>
  <c r="X81" i="1" s="1"/>
  <c r="V50" i="1"/>
  <c r="W50" i="1" s="1"/>
  <c r="X50" i="1" s="1"/>
  <c r="V71" i="1"/>
  <c r="W71" i="1" s="1"/>
  <c r="X71" i="1" s="1"/>
  <c r="V85" i="1"/>
  <c r="W85" i="1" s="1"/>
  <c r="X85" i="1" s="1"/>
  <c r="U92" i="1"/>
  <c r="V92" i="1" s="1"/>
  <c r="W92" i="1" s="1"/>
  <c r="X92" i="1" s="1"/>
  <c r="U60" i="1"/>
  <c r="V60" i="1" s="1"/>
  <c r="W60" i="1" s="1"/>
  <c r="X60" i="1" s="1"/>
  <c r="U9" i="1"/>
  <c r="V9" i="1" s="1"/>
  <c r="W9" i="1" s="1"/>
  <c r="X9" i="1" s="1"/>
  <c r="U12" i="1"/>
  <c r="V12" i="1" s="1"/>
  <c r="W12" i="1" s="1"/>
  <c r="X12" i="1" s="1"/>
  <c r="R32" i="1"/>
  <c r="Q32" i="1"/>
  <c r="P32" i="1"/>
  <c r="O32" i="1"/>
  <c r="K32" i="1" s="1"/>
  <c r="R34" i="1"/>
  <c r="Q34" i="1"/>
  <c r="P34" i="1"/>
  <c r="L34" i="1" s="1"/>
  <c r="O34" i="1"/>
  <c r="K34" i="1" s="1"/>
  <c r="R71" i="1"/>
  <c r="Q71" i="1"/>
  <c r="P71" i="1"/>
  <c r="O71" i="1"/>
  <c r="K71" i="1" s="1"/>
  <c r="R92" i="1"/>
  <c r="Q92" i="1"/>
  <c r="P92" i="1"/>
  <c r="L92" i="1" s="1"/>
  <c r="O92" i="1"/>
  <c r="K92" i="1" s="1"/>
  <c r="R51" i="1"/>
  <c r="Q51" i="1"/>
  <c r="P51" i="1"/>
  <c r="O51" i="1"/>
  <c r="K51" i="1" s="1"/>
  <c r="R45" i="1"/>
  <c r="Q45" i="1"/>
  <c r="P45" i="1"/>
  <c r="L45" i="1" s="1"/>
  <c r="O45" i="1"/>
  <c r="K45" i="1" s="1"/>
  <c r="R26" i="1"/>
  <c r="Q26" i="1"/>
  <c r="P26" i="1"/>
  <c r="O26" i="1"/>
  <c r="K26" i="1" s="1"/>
  <c r="R99" i="1"/>
  <c r="Q99" i="1"/>
  <c r="P99" i="1"/>
  <c r="L99" i="1" s="1"/>
  <c r="O99" i="1"/>
  <c r="K99" i="1" s="1"/>
  <c r="R85" i="1"/>
  <c r="Q85" i="1"/>
  <c r="P85" i="1"/>
  <c r="O85" i="1"/>
  <c r="K85" i="1" s="1"/>
  <c r="R83" i="1"/>
  <c r="Q83" i="1"/>
  <c r="P83" i="1"/>
  <c r="L83" i="1" s="1"/>
  <c r="O83" i="1"/>
  <c r="K83" i="1" s="1"/>
  <c r="R82" i="1"/>
  <c r="Q82" i="1"/>
  <c r="P82" i="1"/>
  <c r="O82" i="1"/>
  <c r="K82" i="1" s="1"/>
  <c r="R104" i="1"/>
  <c r="Q104" i="1"/>
  <c r="P104" i="1"/>
  <c r="L104" i="1" s="1"/>
  <c r="O104" i="1"/>
  <c r="K104" i="1" s="1"/>
  <c r="R89" i="1"/>
  <c r="Q89" i="1"/>
  <c r="P89" i="1"/>
  <c r="O89" i="1"/>
  <c r="K89" i="1" s="1"/>
  <c r="R62" i="1"/>
  <c r="Q62" i="1"/>
  <c r="P62" i="1"/>
  <c r="L62" i="1" s="1"/>
  <c r="O62" i="1"/>
  <c r="K62" i="1" s="1"/>
  <c r="R87" i="1"/>
  <c r="Q87" i="1"/>
  <c r="P87" i="1"/>
  <c r="O87" i="1"/>
  <c r="K87" i="1" s="1"/>
  <c r="R66" i="1"/>
  <c r="Q66" i="1"/>
  <c r="P66" i="1"/>
  <c r="L66" i="1" s="1"/>
  <c r="O66" i="1"/>
  <c r="K66" i="1" s="1"/>
  <c r="R54" i="1"/>
  <c r="Q54" i="1"/>
  <c r="P54" i="1"/>
  <c r="O54" i="1"/>
  <c r="K54" i="1" s="1"/>
  <c r="R52" i="1"/>
  <c r="Q52" i="1"/>
  <c r="P52" i="1"/>
  <c r="L52" i="1" s="1"/>
  <c r="O52" i="1"/>
  <c r="K52" i="1" s="1"/>
  <c r="R39" i="1"/>
  <c r="Q39" i="1"/>
  <c r="P39" i="1"/>
  <c r="O39" i="1"/>
  <c r="K39" i="1" s="1"/>
  <c r="R37" i="1"/>
  <c r="Q37" i="1"/>
  <c r="P37" i="1"/>
  <c r="L37" i="1" s="1"/>
  <c r="O37" i="1"/>
  <c r="K37" i="1" s="1"/>
  <c r="R28" i="1"/>
  <c r="Q28" i="1"/>
  <c r="P28" i="1"/>
  <c r="O28" i="1"/>
  <c r="K28" i="1" s="1"/>
  <c r="R31" i="1"/>
  <c r="Q31" i="1"/>
  <c r="P31" i="1"/>
  <c r="L31" i="1" s="1"/>
  <c r="O31" i="1"/>
  <c r="K31" i="1" s="1"/>
  <c r="R53" i="1"/>
  <c r="Q53" i="1"/>
  <c r="P53" i="1"/>
  <c r="O53" i="1"/>
  <c r="K53" i="1" s="1"/>
  <c r="R25" i="1"/>
  <c r="Q25" i="1"/>
  <c r="P25" i="1"/>
  <c r="L25" i="1" s="1"/>
  <c r="O25" i="1"/>
  <c r="K25" i="1" s="1"/>
  <c r="R29" i="1"/>
  <c r="Q29" i="1"/>
  <c r="P29" i="1"/>
  <c r="O29" i="1"/>
  <c r="K29" i="1" s="1"/>
  <c r="R9" i="1"/>
  <c r="Q9" i="1"/>
  <c r="P9" i="1"/>
  <c r="L9" i="1" s="1"/>
  <c r="O9" i="1"/>
  <c r="K9" i="1" s="1"/>
  <c r="R81" i="1"/>
  <c r="Q81" i="1"/>
  <c r="P81" i="1"/>
  <c r="O81" i="1"/>
  <c r="K81" i="1" s="1"/>
  <c r="R59" i="1"/>
  <c r="Q59" i="1"/>
  <c r="P59" i="1"/>
  <c r="L59" i="1" s="1"/>
  <c r="O59" i="1"/>
  <c r="K59" i="1" s="1"/>
  <c r="R23" i="1"/>
  <c r="Q23" i="1"/>
  <c r="P23" i="1"/>
  <c r="O23" i="1"/>
  <c r="K23" i="1" s="1"/>
  <c r="R46" i="1"/>
  <c r="Q46" i="1"/>
  <c r="P46" i="1"/>
  <c r="L46" i="1" s="1"/>
  <c r="O46" i="1"/>
  <c r="K46" i="1" s="1"/>
  <c r="R30" i="1"/>
  <c r="Q30" i="1"/>
  <c r="P30" i="1"/>
  <c r="O30" i="1"/>
  <c r="K30" i="1" s="1"/>
  <c r="R72" i="1"/>
  <c r="Q72" i="1"/>
  <c r="P72" i="1"/>
  <c r="O72" i="1"/>
  <c r="K72" i="1" s="1"/>
  <c r="R84" i="1"/>
  <c r="Q84" i="1"/>
  <c r="P84" i="1"/>
  <c r="O84" i="1"/>
  <c r="K84" i="1" s="1"/>
  <c r="R14" i="1"/>
  <c r="Q14" i="1"/>
  <c r="P14" i="1"/>
  <c r="L14" i="1" s="1"/>
  <c r="O14" i="1"/>
  <c r="K14" i="1" s="1"/>
  <c r="R80" i="1"/>
  <c r="Q80" i="1"/>
  <c r="P80" i="1"/>
  <c r="O80" i="1"/>
  <c r="K80" i="1" s="1"/>
  <c r="R74" i="1"/>
  <c r="Q74" i="1"/>
  <c r="P74" i="1"/>
  <c r="L74" i="1" s="1"/>
  <c r="O74" i="1"/>
  <c r="K74" i="1" s="1"/>
  <c r="R18" i="1"/>
  <c r="Q18" i="1"/>
  <c r="P18" i="1"/>
  <c r="O18" i="1"/>
  <c r="K18" i="1" s="1"/>
  <c r="R63" i="1"/>
  <c r="Q63" i="1"/>
  <c r="P63" i="1"/>
  <c r="L63" i="1" s="1"/>
  <c r="O63" i="1"/>
  <c r="K63" i="1" s="1"/>
  <c r="R22" i="1"/>
  <c r="Q22" i="1"/>
  <c r="P22" i="1"/>
  <c r="O22" i="1"/>
  <c r="K22" i="1" s="1"/>
  <c r="R64" i="1"/>
  <c r="Q64" i="1"/>
  <c r="P64" i="1"/>
  <c r="L64" i="1" s="1"/>
  <c r="O64" i="1"/>
  <c r="K64" i="1" s="1"/>
  <c r="R44" i="1"/>
  <c r="Q44" i="1"/>
  <c r="P44" i="1"/>
  <c r="O44" i="1"/>
  <c r="K44" i="1" s="1"/>
  <c r="R35" i="1"/>
  <c r="Q35" i="1"/>
  <c r="P35" i="1"/>
  <c r="L35" i="1" s="1"/>
  <c r="O35" i="1"/>
  <c r="K35" i="1" s="1"/>
  <c r="R70" i="1"/>
  <c r="Q70" i="1"/>
  <c r="P70" i="1"/>
  <c r="O70" i="1"/>
  <c r="K70" i="1" s="1"/>
  <c r="R13" i="1"/>
  <c r="Q13" i="1"/>
  <c r="P13" i="1"/>
  <c r="L13" i="1" s="1"/>
  <c r="O13" i="1"/>
  <c r="K13" i="1" s="1"/>
  <c r="R21" i="1"/>
  <c r="Q21" i="1"/>
  <c r="P21" i="1"/>
  <c r="O21" i="1"/>
  <c r="K21" i="1" s="1"/>
  <c r="R8" i="1"/>
  <c r="Q8" i="1"/>
  <c r="P8" i="1"/>
  <c r="L8" i="1" s="1"/>
  <c r="O8" i="1"/>
  <c r="K8" i="1" s="1"/>
  <c r="R11" i="1"/>
  <c r="Q11" i="1"/>
  <c r="P11" i="1"/>
  <c r="O11" i="1"/>
  <c r="K11" i="1" s="1"/>
  <c r="R16" i="1"/>
  <c r="Q16" i="1"/>
  <c r="P16" i="1"/>
  <c r="L16" i="1" s="1"/>
  <c r="O16" i="1"/>
  <c r="K16" i="1" s="1"/>
  <c r="R17" i="1"/>
  <c r="Q17" i="1"/>
  <c r="P17" i="1"/>
  <c r="O17" i="1"/>
  <c r="K17" i="1" s="1"/>
  <c r="R33" i="1"/>
  <c r="Q33" i="1"/>
  <c r="P33" i="1"/>
  <c r="L33" i="1" s="1"/>
  <c r="O33" i="1"/>
  <c r="K33" i="1" s="1"/>
  <c r="R55" i="1"/>
  <c r="Q55" i="1"/>
  <c r="P55" i="1"/>
  <c r="O55" i="1"/>
  <c r="K55" i="1" s="1"/>
  <c r="R75" i="1"/>
  <c r="Q75" i="1"/>
  <c r="P75" i="1"/>
  <c r="L75" i="1" s="1"/>
  <c r="O75" i="1"/>
  <c r="K75" i="1" s="1"/>
  <c r="R86" i="1"/>
  <c r="Q86" i="1"/>
  <c r="P86" i="1"/>
  <c r="O86" i="1"/>
  <c r="K86" i="1" s="1"/>
  <c r="R41" i="1"/>
  <c r="Q41" i="1"/>
  <c r="P41" i="1"/>
  <c r="L41" i="1" s="1"/>
  <c r="O41" i="1"/>
  <c r="K41" i="1" s="1"/>
  <c r="R69" i="1"/>
  <c r="Q69" i="1"/>
  <c r="P69" i="1"/>
  <c r="O69" i="1"/>
  <c r="K69" i="1" s="1"/>
  <c r="R42" i="1"/>
  <c r="Q42" i="1"/>
  <c r="P42" i="1"/>
  <c r="L42" i="1" s="1"/>
  <c r="O42" i="1"/>
  <c r="K42" i="1" s="1"/>
  <c r="R12" i="1"/>
  <c r="Q12" i="1"/>
  <c r="P12" i="1"/>
  <c r="O12" i="1"/>
  <c r="K12" i="1" s="1"/>
  <c r="R40" i="1"/>
  <c r="Q40" i="1"/>
  <c r="P40" i="1"/>
  <c r="L40" i="1" s="1"/>
  <c r="O40" i="1"/>
  <c r="K40" i="1" s="1"/>
  <c r="R36" i="1"/>
  <c r="Q36" i="1"/>
  <c r="P36" i="1"/>
  <c r="O36" i="1"/>
  <c r="K36" i="1" s="1"/>
  <c r="R79" i="1"/>
  <c r="Q79" i="1"/>
  <c r="P79" i="1"/>
  <c r="O79" i="1"/>
  <c r="K79" i="1" s="1"/>
  <c r="R27" i="1"/>
  <c r="Q27" i="1"/>
  <c r="P27" i="1"/>
  <c r="O27" i="1"/>
  <c r="K27" i="1" s="1"/>
  <c r="R19" i="1"/>
  <c r="Q19" i="1"/>
  <c r="P19" i="1"/>
  <c r="O19" i="1"/>
  <c r="K19" i="1" s="1"/>
  <c r="R10" i="1"/>
  <c r="Q10" i="1"/>
  <c r="P10" i="1"/>
  <c r="O10" i="1"/>
  <c r="K10" i="1" s="1"/>
  <c r="R7" i="1"/>
  <c r="Q7" i="1"/>
  <c r="P7" i="1"/>
  <c r="L7" i="1" s="1"/>
  <c r="O7" i="1"/>
  <c r="K7" i="1" s="1"/>
  <c r="R68" i="1"/>
  <c r="Q68" i="1"/>
  <c r="P68" i="1"/>
  <c r="O68" i="1"/>
  <c r="K68" i="1" s="1"/>
  <c r="R38" i="1"/>
  <c r="Q38" i="1"/>
  <c r="P38" i="1"/>
  <c r="L38" i="1" s="1"/>
  <c r="O38" i="1"/>
  <c r="K38" i="1" s="1"/>
  <c r="R20" i="1"/>
  <c r="Q20" i="1"/>
  <c r="P20" i="1"/>
  <c r="O20" i="1"/>
  <c r="K20" i="1" s="1"/>
  <c r="R43" i="1"/>
  <c r="Q43" i="1"/>
  <c r="P43" i="1"/>
  <c r="L43" i="1" s="1"/>
  <c r="O43" i="1"/>
  <c r="K43" i="1" s="1"/>
  <c r="R50" i="1"/>
  <c r="Q50" i="1"/>
  <c r="P50" i="1"/>
  <c r="O50" i="1"/>
  <c r="K50" i="1" s="1"/>
  <c r="R6" i="1"/>
  <c r="Q6" i="1"/>
  <c r="P6" i="1"/>
  <c r="L6" i="1" s="1"/>
  <c r="O6" i="1"/>
  <c r="K6" i="1" s="1"/>
  <c r="R67" i="1"/>
  <c r="Q67" i="1"/>
  <c r="P67" i="1"/>
  <c r="O67" i="1"/>
  <c r="K67" i="1" s="1"/>
  <c r="R15" i="1"/>
  <c r="Q15" i="1"/>
  <c r="P15" i="1"/>
  <c r="L15" i="1" s="1"/>
  <c r="O15" i="1"/>
  <c r="K15" i="1" s="1"/>
  <c r="R49" i="1"/>
  <c r="Q49" i="1"/>
  <c r="P49" i="1"/>
  <c r="O49" i="1"/>
  <c r="K49" i="1" s="1"/>
  <c r="R100" i="1"/>
  <c r="Q100" i="1"/>
  <c r="P100" i="1"/>
  <c r="L100" i="1" s="1"/>
  <c r="O100" i="1"/>
  <c r="K100" i="1" s="1"/>
  <c r="R101" i="1"/>
  <c r="Q101" i="1"/>
  <c r="P101" i="1"/>
  <c r="O101" i="1"/>
  <c r="K101" i="1" s="1"/>
  <c r="R61" i="1"/>
  <c r="Q61" i="1"/>
  <c r="P61" i="1"/>
  <c r="L61" i="1" s="1"/>
  <c r="O61" i="1"/>
  <c r="K61" i="1" s="1"/>
  <c r="R107" i="1"/>
  <c r="Q107" i="1"/>
  <c r="P107" i="1"/>
  <c r="O107" i="1"/>
  <c r="K107" i="1" s="1"/>
  <c r="R96" i="1"/>
  <c r="Q96" i="1"/>
  <c r="P96" i="1"/>
  <c r="L96" i="1" s="1"/>
  <c r="O96" i="1"/>
  <c r="K96" i="1" s="1"/>
  <c r="R90" i="1"/>
  <c r="Q90" i="1"/>
  <c r="P90" i="1"/>
  <c r="O90" i="1"/>
  <c r="K90" i="1" s="1"/>
  <c r="R105" i="1"/>
  <c r="Q105" i="1"/>
  <c r="P105" i="1"/>
  <c r="L105" i="1" s="1"/>
  <c r="O105" i="1"/>
  <c r="K105" i="1" s="1"/>
  <c r="R110" i="1"/>
  <c r="Q110" i="1"/>
  <c r="P110" i="1"/>
  <c r="O110" i="1"/>
  <c r="K110" i="1" s="1"/>
  <c r="R58" i="1"/>
  <c r="Q58" i="1"/>
  <c r="P58" i="1"/>
  <c r="L58" i="1" s="1"/>
  <c r="O58" i="1"/>
  <c r="K58" i="1" s="1"/>
  <c r="R24" i="1"/>
  <c r="Q24" i="1"/>
  <c r="P24" i="1"/>
  <c r="O24" i="1"/>
  <c r="K24" i="1" s="1"/>
  <c r="R102" i="1"/>
  <c r="Q102" i="1"/>
  <c r="P102" i="1"/>
  <c r="L102" i="1" s="1"/>
  <c r="O102" i="1"/>
  <c r="K102" i="1" s="1"/>
  <c r="R60" i="1"/>
  <c r="Q60" i="1"/>
  <c r="P60" i="1"/>
  <c r="O60" i="1"/>
  <c r="K60" i="1" s="1"/>
  <c r="R48" i="1"/>
  <c r="Q48" i="1"/>
  <c r="P48" i="1"/>
  <c r="L48" i="1" s="1"/>
  <c r="O48" i="1"/>
  <c r="K48" i="1" s="1"/>
  <c r="R109" i="1"/>
  <c r="Q109" i="1"/>
  <c r="P109" i="1"/>
  <c r="O109" i="1"/>
  <c r="K109" i="1" s="1"/>
  <c r="R91" i="1"/>
  <c r="Q91" i="1"/>
  <c r="P91" i="1"/>
  <c r="L91" i="1" s="1"/>
  <c r="O91" i="1"/>
  <c r="K91" i="1" s="1"/>
  <c r="R77" i="1"/>
  <c r="Q77" i="1"/>
  <c r="P77" i="1"/>
  <c r="O77" i="1"/>
  <c r="K77" i="1" s="1"/>
  <c r="R56" i="1"/>
  <c r="Q56" i="1"/>
  <c r="P56" i="1"/>
  <c r="L56" i="1" s="1"/>
  <c r="O56" i="1"/>
  <c r="K56" i="1" s="1"/>
  <c r="R73" i="1"/>
  <c r="Q73" i="1"/>
  <c r="P73" i="1"/>
  <c r="O73" i="1"/>
  <c r="K73" i="1" s="1"/>
  <c r="R95" i="1"/>
  <c r="Q95" i="1"/>
  <c r="P95" i="1"/>
  <c r="L95" i="1" s="1"/>
  <c r="O95" i="1"/>
  <c r="K95" i="1" s="1"/>
  <c r="R106" i="1"/>
  <c r="Q106" i="1"/>
  <c r="P106" i="1"/>
  <c r="O106" i="1"/>
  <c r="K106" i="1" s="1"/>
  <c r="R88" i="1"/>
  <c r="Q88" i="1"/>
  <c r="P88" i="1"/>
  <c r="L88" i="1" s="1"/>
  <c r="O88" i="1"/>
  <c r="K88" i="1" s="1"/>
  <c r="R98" i="1"/>
  <c r="Q98" i="1"/>
  <c r="P98" i="1"/>
  <c r="O98" i="1"/>
  <c r="K98" i="1" s="1"/>
  <c r="R103" i="1"/>
  <c r="Q103" i="1"/>
  <c r="P103" i="1"/>
  <c r="L103" i="1" s="1"/>
  <c r="O103" i="1"/>
  <c r="K103" i="1" s="1"/>
  <c r="R47" i="1"/>
  <c r="Q47" i="1"/>
  <c r="P47" i="1"/>
  <c r="O47" i="1"/>
  <c r="K47" i="1" s="1"/>
  <c r="R94" i="1"/>
  <c r="Q94" i="1"/>
  <c r="P94" i="1"/>
  <c r="L94" i="1" s="1"/>
  <c r="O94" i="1"/>
  <c r="K94" i="1" s="1"/>
  <c r="R5" i="1"/>
  <c r="Q5" i="1"/>
  <c r="P5" i="1"/>
  <c r="O5" i="1"/>
  <c r="K5" i="1" s="1"/>
  <c r="R57" i="1"/>
  <c r="Q57" i="1"/>
  <c r="P57" i="1"/>
  <c r="L57" i="1" s="1"/>
  <c r="O57" i="1"/>
  <c r="K57" i="1" s="1"/>
  <c r="R97" i="1"/>
  <c r="Q97" i="1"/>
  <c r="P97" i="1"/>
  <c r="O97" i="1"/>
  <c r="K97" i="1" s="1"/>
  <c r="R76" i="1"/>
  <c r="Q76" i="1"/>
  <c r="P76" i="1"/>
  <c r="L76" i="1" s="1"/>
  <c r="O76" i="1"/>
  <c r="K76" i="1" s="1"/>
  <c r="R65" i="1"/>
  <c r="Q65" i="1"/>
  <c r="P65" i="1"/>
  <c r="O65" i="1"/>
  <c r="K65" i="1" s="1"/>
  <c r="R108" i="1"/>
  <c r="Q108" i="1"/>
  <c r="P108" i="1"/>
  <c r="L108" i="1" s="1"/>
  <c r="O108" i="1"/>
  <c r="K108" i="1" s="1"/>
  <c r="R93" i="1"/>
  <c r="Q93" i="1"/>
  <c r="P93" i="1"/>
  <c r="O93" i="1"/>
  <c r="K93" i="1" s="1"/>
  <c r="R78" i="1"/>
  <c r="Q78" i="1"/>
  <c r="P78" i="1"/>
  <c r="L78" i="1" s="1"/>
  <c r="O78" i="1"/>
  <c r="K78" i="1" s="1"/>
  <c r="L93" i="1" l="1"/>
  <c r="L65" i="1"/>
  <c r="L97" i="1"/>
  <c r="L5" i="1"/>
  <c r="I5" i="1" s="1"/>
  <c r="H5" i="1" s="1"/>
  <c r="L47" i="1"/>
  <c r="L98" i="1"/>
  <c r="L106" i="1"/>
  <c r="L73" i="1"/>
  <c r="L77" i="1"/>
  <c r="L109" i="1"/>
  <c r="L60" i="1"/>
  <c r="L24" i="1"/>
  <c r="L110" i="1"/>
  <c r="L90" i="1"/>
  <c r="L107" i="1"/>
  <c r="L101" i="1"/>
  <c r="L49" i="1"/>
  <c r="L67" i="1"/>
  <c r="L50" i="1"/>
  <c r="L20" i="1"/>
  <c r="L68" i="1"/>
  <c r="L10" i="1"/>
  <c r="L36" i="1"/>
  <c r="L69" i="1"/>
  <c r="L86" i="1"/>
  <c r="L55" i="1"/>
  <c r="L11" i="1"/>
  <c r="L21" i="1"/>
  <c r="I21" i="1" s="1"/>
  <c r="H21" i="1" s="1"/>
  <c r="L70" i="1"/>
  <c r="L44" i="1"/>
  <c r="L22" i="1"/>
  <c r="L18" i="1"/>
  <c r="L80" i="1"/>
  <c r="L84" i="1"/>
  <c r="L30" i="1"/>
  <c r="L81" i="1"/>
  <c r="L29" i="1"/>
  <c r="I29" i="1" s="1"/>
  <c r="H29" i="1" s="1"/>
  <c r="L53" i="1"/>
  <c r="L28" i="1"/>
  <c r="L39" i="1"/>
  <c r="L54" i="1"/>
  <c r="L87" i="1"/>
  <c r="L89" i="1"/>
  <c r="L82" i="1"/>
  <c r="I82" i="1" s="1"/>
  <c r="H82" i="1" s="1"/>
  <c r="L85" i="1"/>
  <c r="L26" i="1"/>
  <c r="I26" i="1" s="1"/>
  <c r="H26" i="1" s="1"/>
  <c r="L51" i="1"/>
  <c r="L71" i="1"/>
  <c r="L32" i="1"/>
  <c r="N93" i="1"/>
  <c r="M93" i="1"/>
  <c r="I93" i="1" s="1"/>
  <c r="H93" i="1" s="1"/>
  <c r="N65" i="1"/>
  <c r="M65" i="1"/>
  <c r="I65" i="1" s="1"/>
  <c r="H65" i="1" s="1"/>
  <c r="N97" i="1"/>
  <c r="M97" i="1"/>
  <c r="N94" i="1"/>
  <c r="M94" i="1"/>
  <c r="I94" i="1" s="1"/>
  <c r="H94" i="1" s="1"/>
  <c r="N47" i="1"/>
  <c r="M47" i="1"/>
  <c r="N103" i="1"/>
  <c r="M103" i="1"/>
  <c r="I103" i="1" s="1"/>
  <c r="H103" i="1" s="1"/>
  <c r="N98" i="1"/>
  <c r="I98" i="1" s="1"/>
  <c r="H98" i="1" s="1"/>
  <c r="M98" i="1"/>
  <c r="N88" i="1"/>
  <c r="M88" i="1"/>
  <c r="N106" i="1"/>
  <c r="M106" i="1"/>
  <c r="N95" i="1"/>
  <c r="M95" i="1"/>
  <c r="I95" i="1" s="1"/>
  <c r="H95" i="1" s="1"/>
  <c r="N73" i="1"/>
  <c r="I73" i="1" s="1"/>
  <c r="H73" i="1" s="1"/>
  <c r="M73" i="1"/>
  <c r="N56" i="1"/>
  <c r="M56" i="1"/>
  <c r="N77" i="1"/>
  <c r="M77" i="1"/>
  <c r="I77" i="1" s="1"/>
  <c r="H77" i="1" s="1"/>
  <c r="N91" i="1"/>
  <c r="M91" i="1"/>
  <c r="I91" i="1" s="1"/>
  <c r="H91" i="1" s="1"/>
  <c r="N109" i="1"/>
  <c r="M109" i="1"/>
  <c r="N48" i="1"/>
  <c r="M48" i="1"/>
  <c r="N60" i="1"/>
  <c r="M60" i="1"/>
  <c r="N102" i="1"/>
  <c r="M102" i="1"/>
  <c r="I102" i="1" s="1"/>
  <c r="H102" i="1" s="1"/>
  <c r="N24" i="1"/>
  <c r="M24" i="1"/>
  <c r="N58" i="1"/>
  <c r="M58" i="1"/>
  <c r="N110" i="1"/>
  <c r="M110" i="1"/>
  <c r="N105" i="1"/>
  <c r="M105" i="1"/>
  <c r="I105" i="1" s="1"/>
  <c r="H105" i="1" s="1"/>
  <c r="N90" i="1"/>
  <c r="I90" i="1" s="1"/>
  <c r="H90" i="1" s="1"/>
  <c r="M90" i="1"/>
  <c r="N96" i="1"/>
  <c r="M96" i="1"/>
  <c r="N107" i="1"/>
  <c r="M107" i="1"/>
  <c r="N61" i="1"/>
  <c r="M61" i="1"/>
  <c r="I61" i="1" s="1"/>
  <c r="H61" i="1" s="1"/>
  <c r="N101" i="1"/>
  <c r="I101" i="1" s="1"/>
  <c r="H101" i="1" s="1"/>
  <c r="M101" i="1"/>
  <c r="N100" i="1"/>
  <c r="M100" i="1"/>
  <c r="N49" i="1"/>
  <c r="M49" i="1"/>
  <c r="N15" i="1"/>
  <c r="M15" i="1"/>
  <c r="I15" i="1" s="1"/>
  <c r="H15" i="1" s="1"/>
  <c r="N6" i="1"/>
  <c r="M6" i="1"/>
  <c r="N50" i="1"/>
  <c r="M50" i="1"/>
  <c r="N43" i="1"/>
  <c r="M43" i="1"/>
  <c r="N20" i="1"/>
  <c r="M20" i="1"/>
  <c r="I20" i="1" s="1"/>
  <c r="H20" i="1" s="1"/>
  <c r="N38" i="1"/>
  <c r="I38" i="1" s="1"/>
  <c r="H38" i="1" s="1"/>
  <c r="M38" i="1"/>
  <c r="N7" i="1"/>
  <c r="M7" i="1"/>
  <c r="N36" i="1"/>
  <c r="M36" i="1"/>
  <c r="N40" i="1"/>
  <c r="M40" i="1"/>
  <c r="I40" i="1" s="1"/>
  <c r="H40" i="1" s="1"/>
  <c r="N42" i="1"/>
  <c r="I42" i="1" s="1"/>
  <c r="H42" i="1" s="1"/>
  <c r="M42" i="1"/>
  <c r="N69" i="1"/>
  <c r="I69" i="1" s="1"/>
  <c r="H69" i="1" s="1"/>
  <c r="M69" i="1"/>
  <c r="N41" i="1"/>
  <c r="M41" i="1"/>
  <c r="N86" i="1"/>
  <c r="M86" i="1"/>
  <c r="I86" i="1" s="1"/>
  <c r="H86" i="1" s="1"/>
  <c r="N75" i="1"/>
  <c r="I75" i="1" s="1"/>
  <c r="H75" i="1" s="1"/>
  <c r="M75" i="1"/>
  <c r="N55" i="1"/>
  <c r="M55" i="1"/>
  <c r="I55" i="1" s="1"/>
  <c r="H55" i="1" s="1"/>
  <c r="N33" i="1"/>
  <c r="M33" i="1"/>
  <c r="N16" i="1"/>
  <c r="M16" i="1"/>
  <c r="I16" i="1" s="1"/>
  <c r="H16" i="1" s="1"/>
  <c r="N11" i="1"/>
  <c r="I11" i="1" s="1"/>
  <c r="H11" i="1" s="1"/>
  <c r="M11" i="1"/>
  <c r="N8" i="1"/>
  <c r="M8" i="1"/>
  <c r="N21" i="1"/>
  <c r="M21" i="1"/>
  <c r="N13" i="1"/>
  <c r="M13" i="1"/>
  <c r="I13" i="1" s="1"/>
  <c r="H13" i="1" s="1"/>
  <c r="N70" i="1"/>
  <c r="M70" i="1"/>
  <c r="N35" i="1"/>
  <c r="I35" i="1" s="1"/>
  <c r="H35" i="1" s="1"/>
  <c r="M35" i="1"/>
  <c r="N44" i="1"/>
  <c r="M44" i="1"/>
  <c r="I44" i="1" s="1"/>
  <c r="H44" i="1" s="1"/>
  <c r="N64" i="1"/>
  <c r="M64" i="1"/>
  <c r="I64" i="1" s="1"/>
  <c r="H64" i="1" s="1"/>
  <c r="N22" i="1"/>
  <c r="I22" i="1" s="1"/>
  <c r="H22" i="1" s="1"/>
  <c r="M22" i="1"/>
  <c r="N63" i="1"/>
  <c r="I63" i="1" s="1"/>
  <c r="H63" i="1" s="1"/>
  <c r="M63" i="1"/>
  <c r="N18" i="1"/>
  <c r="M18" i="1"/>
  <c r="N74" i="1"/>
  <c r="M74" i="1"/>
  <c r="I74" i="1" s="1"/>
  <c r="H74" i="1" s="1"/>
  <c r="N80" i="1"/>
  <c r="I80" i="1" s="1"/>
  <c r="H80" i="1" s="1"/>
  <c r="M80" i="1"/>
  <c r="N14" i="1"/>
  <c r="I14" i="1" s="1"/>
  <c r="H14" i="1" s="1"/>
  <c r="M14" i="1"/>
  <c r="N84" i="1"/>
  <c r="M84" i="1"/>
  <c r="N30" i="1"/>
  <c r="M30" i="1"/>
  <c r="I30" i="1" s="1"/>
  <c r="H30" i="1" s="1"/>
  <c r="N46" i="1"/>
  <c r="I46" i="1" s="1"/>
  <c r="H46" i="1" s="1"/>
  <c r="M46" i="1"/>
  <c r="N59" i="1"/>
  <c r="I59" i="1" s="1"/>
  <c r="H59" i="1" s="1"/>
  <c r="M59" i="1"/>
  <c r="N81" i="1"/>
  <c r="M81" i="1"/>
  <c r="N9" i="1"/>
  <c r="M9" i="1"/>
  <c r="I9" i="1" s="1"/>
  <c r="H9" i="1" s="1"/>
  <c r="N29" i="1"/>
  <c r="M29" i="1"/>
  <c r="N25" i="1"/>
  <c r="M25" i="1"/>
  <c r="N53" i="1"/>
  <c r="M53" i="1"/>
  <c r="I53" i="1" s="1"/>
  <c r="H53" i="1" s="1"/>
  <c r="N31" i="1"/>
  <c r="M31" i="1"/>
  <c r="I31" i="1" s="1"/>
  <c r="H31" i="1" s="1"/>
  <c r="N28" i="1"/>
  <c r="I28" i="1" s="1"/>
  <c r="H28" i="1" s="1"/>
  <c r="M28" i="1"/>
  <c r="N37" i="1"/>
  <c r="M37" i="1"/>
  <c r="I37" i="1" s="1"/>
  <c r="H37" i="1" s="1"/>
  <c r="N39" i="1"/>
  <c r="M39" i="1"/>
  <c r="N52" i="1"/>
  <c r="M52" i="1"/>
  <c r="I52" i="1" s="1"/>
  <c r="H52" i="1" s="1"/>
  <c r="N54" i="1"/>
  <c r="I54" i="1" s="1"/>
  <c r="H54" i="1" s="1"/>
  <c r="M54" i="1"/>
  <c r="N66" i="1"/>
  <c r="I66" i="1" s="1"/>
  <c r="H66" i="1" s="1"/>
  <c r="M66" i="1"/>
  <c r="N87" i="1"/>
  <c r="M87" i="1"/>
  <c r="N62" i="1"/>
  <c r="M62" i="1"/>
  <c r="I62" i="1" s="1"/>
  <c r="H62" i="1" s="1"/>
  <c r="N89" i="1"/>
  <c r="I89" i="1" s="1"/>
  <c r="H89" i="1" s="1"/>
  <c r="M89" i="1"/>
  <c r="N104" i="1"/>
  <c r="I104" i="1" s="1"/>
  <c r="H104" i="1" s="1"/>
  <c r="M104" i="1"/>
  <c r="N82" i="1"/>
  <c r="M82" i="1"/>
  <c r="N83" i="1"/>
  <c r="M83" i="1"/>
  <c r="I83" i="1" s="1"/>
  <c r="H83" i="1" s="1"/>
  <c r="N85" i="1"/>
  <c r="M85" i="1"/>
  <c r="N99" i="1"/>
  <c r="M99" i="1"/>
  <c r="N26" i="1"/>
  <c r="M26" i="1"/>
  <c r="N45" i="1"/>
  <c r="M45" i="1"/>
  <c r="I45" i="1" s="1"/>
  <c r="H45" i="1" s="1"/>
  <c r="N51" i="1"/>
  <c r="I51" i="1" s="1"/>
  <c r="H51" i="1" s="1"/>
  <c r="M51" i="1"/>
  <c r="N92" i="1"/>
  <c r="M92" i="1"/>
  <c r="N71" i="1"/>
  <c r="M71" i="1"/>
  <c r="N34" i="1"/>
  <c r="M34" i="1"/>
  <c r="N32" i="1"/>
  <c r="M32" i="1"/>
  <c r="N78" i="1"/>
  <c r="M78" i="1"/>
  <c r="N108" i="1"/>
  <c r="M108" i="1"/>
  <c r="N76" i="1"/>
  <c r="M76" i="1"/>
  <c r="I76" i="1" s="1"/>
  <c r="H76" i="1" s="1"/>
  <c r="N57" i="1"/>
  <c r="I57" i="1" s="1"/>
  <c r="H57" i="1" s="1"/>
  <c r="M57" i="1"/>
  <c r="N5" i="1"/>
  <c r="M5" i="1"/>
  <c r="N79" i="1"/>
  <c r="M79" i="1"/>
  <c r="M72" i="1"/>
  <c r="N72" i="1"/>
  <c r="L19" i="1"/>
  <c r="L79" i="1"/>
  <c r="L72" i="1"/>
  <c r="M19" i="1"/>
  <c r="N19" i="1"/>
  <c r="L27" i="1"/>
  <c r="L12" i="1"/>
  <c r="L17" i="1"/>
  <c r="I17" i="1" s="1"/>
  <c r="H17" i="1" s="1"/>
  <c r="L23" i="1"/>
  <c r="N67" i="1"/>
  <c r="M67" i="1"/>
  <c r="N68" i="1"/>
  <c r="M68" i="1"/>
  <c r="M10" i="1"/>
  <c r="N10" i="1"/>
  <c r="I10" i="1" s="1"/>
  <c r="H10" i="1" s="1"/>
  <c r="M27" i="1"/>
  <c r="N27" i="1"/>
  <c r="N12" i="1"/>
  <c r="M12" i="1"/>
  <c r="N17" i="1"/>
  <c r="M17" i="1"/>
  <c r="N23" i="1"/>
  <c r="M23" i="1"/>
  <c r="I78" i="1"/>
  <c r="H78" i="1" s="1"/>
  <c r="I88" i="1"/>
  <c r="H88" i="1" s="1"/>
  <c r="I56" i="1"/>
  <c r="H56" i="1" s="1"/>
  <c r="I48" i="1"/>
  <c r="H48" i="1" s="1"/>
  <c r="I58" i="1"/>
  <c r="H58" i="1" s="1"/>
  <c r="I96" i="1"/>
  <c r="H96" i="1" s="1"/>
  <c r="I100" i="1"/>
  <c r="H100" i="1" s="1"/>
  <c r="I109" i="1"/>
  <c r="H109" i="1" s="1"/>
  <c r="I49" i="1"/>
  <c r="H49" i="1" s="1"/>
  <c r="I6" i="1"/>
  <c r="H6" i="1" s="1"/>
  <c r="I43" i="1"/>
  <c r="H43" i="1" s="1"/>
  <c r="I18" i="1"/>
  <c r="H18" i="1" s="1"/>
  <c r="I84" i="1"/>
  <c r="H84" i="1" s="1"/>
  <c r="I81" i="1"/>
  <c r="H81" i="1" s="1"/>
  <c r="I25" i="1"/>
  <c r="H25" i="1" s="1"/>
  <c r="I99" i="1"/>
  <c r="H99" i="1" s="1"/>
  <c r="I92" i="1"/>
  <c r="H92" i="1" s="1"/>
  <c r="I34" i="1"/>
  <c r="H34" i="1" s="1"/>
  <c r="I32" i="1"/>
  <c r="H32" i="1" s="1"/>
  <c r="I87" i="1"/>
  <c r="H87" i="1" s="1"/>
  <c r="I41" i="1"/>
  <c r="H41" i="1" s="1"/>
  <c r="I8" i="1"/>
  <c r="H8" i="1" s="1"/>
  <c r="I7" i="1"/>
  <c r="H7" i="1" s="1"/>
  <c r="I33" i="1"/>
  <c r="H33" i="1" s="1"/>
  <c r="I108" i="1"/>
  <c r="H108" i="1" s="1"/>
  <c r="I72" i="1" l="1"/>
  <c r="H72" i="1" s="1"/>
  <c r="I50" i="1"/>
  <c r="H50" i="1" s="1"/>
  <c r="I85" i="1"/>
  <c r="H85" i="1" s="1"/>
  <c r="I70" i="1"/>
  <c r="H70" i="1" s="1"/>
  <c r="I24" i="1"/>
  <c r="H24" i="1" s="1"/>
  <c r="I97" i="1"/>
  <c r="H97" i="1" s="1"/>
  <c r="I71" i="1"/>
  <c r="H71" i="1" s="1"/>
  <c r="I39" i="1"/>
  <c r="H39" i="1" s="1"/>
  <c r="I36" i="1"/>
  <c r="H36" i="1" s="1"/>
  <c r="I107" i="1"/>
  <c r="H107" i="1" s="1"/>
  <c r="I110" i="1"/>
  <c r="H110" i="1" s="1"/>
  <c r="I60" i="1"/>
  <c r="H60" i="1" s="1"/>
  <c r="I106" i="1"/>
  <c r="H106" i="1" s="1"/>
  <c r="I47" i="1"/>
  <c r="H47" i="1" s="1"/>
  <c r="I23" i="1"/>
  <c r="H23" i="1" s="1"/>
  <c r="I12" i="1"/>
  <c r="H12" i="1" s="1"/>
  <c r="I68" i="1"/>
  <c r="H68" i="1" s="1"/>
  <c r="I67" i="1"/>
  <c r="H67" i="1" s="1"/>
  <c r="I19" i="1"/>
  <c r="H19" i="1" s="1"/>
  <c r="I79" i="1"/>
  <c r="H79" i="1" s="1"/>
  <c r="I27" i="1"/>
  <c r="H27" i="1" s="1"/>
</calcChain>
</file>

<file path=xl/sharedStrings.xml><?xml version="1.0" encoding="utf-8"?>
<sst xmlns="http://schemas.openxmlformats.org/spreadsheetml/2006/main" count="451" uniqueCount="438">
  <si>
    <t>f(m1)
rA3</t>
  </si>
  <si>
    <t>f(m2)
rA4</t>
  </si>
  <si>
    <t>f(NELM)
rA5</t>
  </si>
  <si>
    <t>rA</t>
  </si>
  <si>
    <t>f(dM)
rA2</t>
  </si>
  <si>
    <t>Dawes
rA1</t>
  </si>
  <si>
    <t>Name</t>
  </si>
  <si>
    <t>RA</t>
  </si>
  <si>
    <t>Dec</t>
  </si>
  <si>
    <t>Sep</t>
  </si>
  <si>
    <t>M1</t>
  </si>
  <si>
    <t>M2</t>
  </si>
  <si>
    <t>WDS ID</t>
  </si>
  <si>
    <t>NEML 1-6.5</t>
  </si>
  <si>
    <t>CO 0.00-0.99</t>
  </si>
  <si>
    <t>WDS04385-0524</t>
  </si>
  <si>
    <t>RST4249, IDS04335-0536, BD-05 00978</t>
  </si>
  <si>
    <t>04h 38m 28s</t>
  </si>
  <si>
    <t>-05°23,7'</t>
  </si>
  <si>
    <t>WDS04568-1057</t>
  </si>
  <si>
    <t>HU215, IDS04521-1106, BDS2436, ADS3555, BD-11 01011</t>
  </si>
  <si>
    <t>04h 56m 46s</t>
  </si>
  <si>
    <t>-10°56,7'</t>
  </si>
  <si>
    <t>WDS04407-0112</t>
  </si>
  <si>
    <t>RST4772, IDS04356-0124, BD-01 00692</t>
  </si>
  <si>
    <t>04h 40m 41s</t>
  </si>
  <si>
    <t>-01°12,0'</t>
  </si>
  <si>
    <t>WDS04334-1047</t>
  </si>
  <si>
    <t>HDS592, BD-11 00900</t>
  </si>
  <si>
    <t>04h 33m 22s</t>
  </si>
  <si>
    <t>-10°47,1'</t>
  </si>
  <si>
    <t>WDS02584-0135</t>
  </si>
  <si>
    <t>A208, IDS02533-0159, BDS1511, ADS2250, BD-02 00529</t>
  </si>
  <si>
    <t>02h 58m 24s</t>
  </si>
  <si>
    <t>-01°34,8'</t>
  </si>
  <si>
    <t>WDS05043-0602</t>
  </si>
  <si>
    <t>A481, IDS04594-0610, BDS2508, ADS3662, BD-06 01075</t>
  </si>
  <si>
    <t>05h 04m 18s</t>
  </si>
  <si>
    <t>-06°01,8'</t>
  </si>
  <si>
    <t>WDS04424-0056</t>
  </si>
  <si>
    <t>HDS606, ADS3396, BD-01 00702</t>
  </si>
  <si>
    <t>04h 42m 23s</t>
  </si>
  <si>
    <t>-00°55,7'</t>
  </si>
  <si>
    <t>WDS04540-1238</t>
  </si>
  <si>
    <t>RST3405, IDS04493-1248, BD-12 01019</t>
  </si>
  <si>
    <t>04h 53m 58s</t>
  </si>
  <si>
    <t>-12°38,0'</t>
  </si>
  <si>
    <t>WDS04517-1302</t>
  </si>
  <si>
    <t>TDS2988, ADS3474</t>
  </si>
  <si>
    <t>04h 51m 40s</t>
  </si>
  <si>
    <t>-13°02,4'</t>
  </si>
  <si>
    <t>WDS04438-1041</t>
  </si>
  <si>
    <t>HDS610, ADS3407, BD-10 00993</t>
  </si>
  <si>
    <t>04h 43m 46s</t>
  </si>
  <si>
    <t>-10°40,9'</t>
  </si>
  <si>
    <t>WDS04564-0510</t>
  </si>
  <si>
    <t>HDS641, ADS3540, BD-05 01091</t>
  </si>
  <si>
    <t>04h 56m 24s</t>
  </si>
  <si>
    <t>-05°10,2'</t>
  </si>
  <si>
    <t>WDS04073-0846</t>
  </si>
  <si>
    <t>B2551, IDS04025-0902, BD-09 00815</t>
  </si>
  <si>
    <t>04h 07m 17s</t>
  </si>
  <si>
    <t>-08°46,0'</t>
  </si>
  <si>
    <t>WDS04061-0122</t>
  </si>
  <si>
    <t>A1295, IDS04010-0139, ADS2988, BD-01 00584</t>
  </si>
  <si>
    <t>04h 06m 07s</t>
  </si>
  <si>
    <t>-01°22,4'</t>
  </si>
  <si>
    <t>WDS04481-0625</t>
  </si>
  <si>
    <t>A477, IDS04432-0635, BDS2361, ADS3458, BD-06 00992</t>
  </si>
  <si>
    <t>04h 48m 06s</t>
  </si>
  <si>
    <t>-06°24,6'</t>
  </si>
  <si>
    <t>WDS04561-0354</t>
  </si>
  <si>
    <t>HDS639, BD-04 00978</t>
  </si>
  <si>
    <t>04h 56m 04s</t>
  </si>
  <si>
    <t>-03°54,2'</t>
  </si>
  <si>
    <t>WDS03567-0134</t>
  </si>
  <si>
    <t>SEE503, IDS03517-0152, ADS2886, BD-01 00561</t>
  </si>
  <si>
    <t>03h 56m 43s</t>
  </si>
  <si>
    <t>-01°34,3'</t>
  </si>
  <si>
    <t>WDS04196-1510</t>
  </si>
  <si>
    <t>HU437, IDS04150-1524, BDS2138, ADS3138, BD-15 00765</t>
  </si>
  <si>
    <t>04h 19m 34s</t>
  </si>
  <si>
    <t>-15°10,1'</t>
  </si>
  <si>
    <t>WDS04431-0725</t>
  </si>
  <si>
    <t>A476, IDS04383-0736, BDS2327, ADS3402, BD-07 00882</t>
  </si>
  <si>
    <t>04h 43m 07s</t>
  </si>
  <si>
    <t>-07°24,7'</t>
  </si>
  <si>
    <t>WDS04075-0657</t>
  </si>
  <si>
    <t>A468, IDS04026-0713, BDS2048, ADS3004, BD-07 00746</t>
  </si>
  <si>
    <t>04h 07m 29s</t>
  </si>
  <si>
    <t>-06°57,2'</t>
  </si>
  <si>
    <t>WDS04528-0517</t>
  </si>
  <si>
    <t>BU316, IDS04478-0527, BDS2398, ADS3497, BD-05 01067</t>
  </si>
  <si>
    <t>04h 52m 46s</t>
  </si>
  <si>
    <t>-05°17,1'</t>
  </si>
  <si>
    <t>WDS03547-0755</t>
  </si>
  <si>
    <t>HDS492, BD-08 00751</t>
  </si>
  <si>
    <t>03h 54m 43s</t>
  </si>
  <si>
    <t>-07°54,6'</t>
  </si>
  <si>
    <t>WDS03493-0127</t>
  </si>
  <si>
    <t>RST4760, IDS03442-0145, BD-01 00539</t>
  </si>
  <si>
    <t>03h 49m 19s</t>
  </si>
  <si>
    <t>-01°27,1'</t>
  </si>
  <si>
    <t>WDS04257-0214</t>
  </si>
  <si>
    <t>BU403, IDS04206-0227, BDS2194, ADS3214, BD-02 00899</t>
  </si>
  <si>
    <t>04h 25m 42s</t>
  </si>
  <si>
    <t>-02°13,9'</t>
  </si>
  <si>
    <t>WDS04103-0849</t>
  </si>
  <si>
    <t>A470, IDS04055-0904, BDS2065, ADS3037, BD-09 00833</t>
  </si>
  <si>
    <t>04h 10m 18s</t>
  </si>
  <si>
    <t>-08°48,5'</t>
  </si>
  <si>
    <t>WDS03160-0555</t>
  </si>
  <si>
    <t>BU84, IDS03111-0617, BDS1640, ADS2440, BD-06 00636</t>
  </si>
  <si>
    <t>03h 16m 01s</t>
  </si>
  <si>
    <t>-05°55,1'</t>
  </si>
  <si>
    <t>WDS04501-1548</t>
  </si>
  <si>
    <t>HDS622, ADS3452, BD-16 00963</t>
  </si>
  <si>
    <t>04h 50m 07s</t>
  </si>
  <si>
    <t>-15°48,2'</t>
  </si>
  <si>
    <t>WDS04382-1418</t>
  </si>
  <si>
    <t>KUI18, IDS04336-1430, BD-14 00933</t>
  </si>
  <si>
    <t>04h 38m 11s</t>
  </si>
  <si>
    <t>-14°18,2'</t>
  </si>
  <si>
    <t>WDS04554-1309</t>
  </si>
  <si>
    <t>A2623, IDS04507-1318, ADS3532, BD-13 01015</t>
  </si>
  <si>
    <t>04h 55m 21s</t>
  </si>
  <si>
    <t>-13°08,8'</t>
  </si>
  <si>
    <t>WDS03307-0416</t>
  </si>
  <si>
    <t>STF408, IDS03257-0437, BDS1743, ADS2581, BD-04 00609</t>
  </si>
  <si>
    <t>03h 30m 39s</t>
  </si>
  <si>
    <t>-04°16,3'</t>
  </si>
  <si>
    <t>WDS04485-1052</t>
  </si>
  <si>
    <t>RST3402, IDS04437-1103, BD-11 00969</t>
  </si>
  <si>
    <t>04h 48m 28s</t>
  </si>
  <si>
    <t>-10°52,2'</t>
  </si>
  <si>
    <t>WDS04459-1157</t>
  </si>
  <si>
    <t>HU104, IDS04412-1208, BDS2351, ADS3428, BD-12 00982</t>
  </si>
  <si>
    <t>04h 45m 51s</t>
  </si>
  <si>
    <t>-11°57,0'</t>
  </si>
  <si>
    <t>WDS04511-0946</t>
  </si>
  <si>
    <t>HU31, IDS04464-0956, BDS2380, ADS3480, BD-10 01026</t>
  </si>
  <si>
    <t>04h 51m 09s</t>
  </si>
  <si>
    <t>-09°46,2'</t>
  </si>
  <si>
    <t>WDS04339-0644</t>
  </si>
  <si>
    <t>BU881, IDS04290-0657, BDS2268, ADS3305, BD-07 00838</t>
  </si>
  <si>
    <t>04h 33m 55s</t>
  </si>
  <si>
    <t>-06°44,3'</t>
  </si>
  <si>
    <t>WDS04518-0751</t>
  </si>
  <si>
    <t>BU748, IDS04470-0801, BDS2392, ADS3487, BD-08 00961</t>
  </si>
  <si>
    <t>04h 51m 50s</t>
  </si>
  <si>
    <t>-07°51,2'</t>
  </si>
  <si>
    <t>WDS04222-0441</t>
  </si>
  <si>
    <t>STF536, IDS04172-0455, BDS2157, ADS3163, BD-05 00889</t>
  </si>
  <si>
    <t>04h 22m 10s</t>
  </si>
  <si>
    <t>-04°40,6'</t>
  </si>
  <si>
    <t>WDS04429-1758</t>
  </si>
  <si>
    <t>B1940, IDS04384-1809, BD-18 00903</t>
  </si>
  <si>
    <t>04h 42m 51s</t>
  </si>
  <si>
    <t>-17°57,7'</t>
  </si>
  <si>
    <t>WDS04102-1454</t>
  </si>
  <si>
    <t>TDS2768</t>
  </si>
  <si>
    <t>04h 10m 14s</t>
  </si>
  <si>
    <t>-14°53,6'</t>
  </si>
  <si>
    <t>WDS03562-1040</t>
  </si>
  <si>
    <t>HO220, IDS03514-1057, BDS1954, ADS2883, BD-11 00762</t>
  </si>
  <si>
    <t>03h 56m 12s</t>
  </si>
  <si>
    <t>-10°39,5'</t>
  </si>
  <si>
    <t>WDS05068-0439</t>
  </si>
  <si>
    <t>HUB5, IDS05018-0447, BDS2530, ADS3698, BD-04 01044</t>
  </si>
  <si>
    <t>05h 06m 46s</t>
  </si>
  <si>
    <t>-04°39,3'</t>
  </si>
  <si>
    <t>WDS03532-0150</t>
  </si>
  <si>
    <t>BU1276, ADS2837</t>
  </si>
  <si>
    <t>03h 53m 10s</t>
  </si>
  <si>
    <t>-01°50,2'</t>
  </si>
  <si>
    <t>WDS03562-0657</t>
  </si>
  <si>
    <t>BU542, ADS2882</t>
  </si>
  <si>
    <t>03h 56m 13s</t>
  </si>
  <si>
    <t>-06°56,6'</t>
  </si>
  <si>
    <t>WDS03379-0739</t>
  </si>
  <si>
    <t>BU308, IDS03330-0759, BDS1795, ADS2653, BD-08 00688</t>
  </si>
  <si>
    <t>03h 37m 55s</t>
  </si>
  <si>
    <t>-07°39,0'</t>
  </si>
  <si>
    <t>WDS02597-0232</t>
  </si>
  <si>
    <t>A209, IDS02546-0256, BDS1524, ADS2272, BD-03 00476</t>
  </si>
  <si>
    <t>02h 59m 41s</t>
  </si>
  <si>
    <t>-02°32,2'</t>
  </si>
  <si>
    <t>WDS05077-0952</t>
  </si>
  <si>
    <t>HU216, IDS05030-1000, BDS2540, ADS3719, BD-10 01101</t>
  </si>
  <si>
    <t>05h 07m 44s</t>
  </si>
  <si>
    <t>-09°51,8'</t>
  </si>
  <si>
    <t>WDS04016-0255</t>
  </si>
  <si>
    <t>A49, IDS03566-0311, BDS2002, ADS2942, BD-03 00661</t>
  </si>
  <si>
    <t>04h 01m 38s</t>
  </si>
  <si>
    <t>-02°54,5'</t>
  </si>
  <si>
    <t>WDS04140-1209</t>
  </si>
  <si>
    <t>A2617, IDS04094-1224, ADS3076, BD-12 00828</t>
  </si>
  <si>
    <t>04h 14m 02s</t>
  </si>
  <si>
    <t>-12°08,8'</t>
  </si>
  <si>
    <t>WDS03580-1013</t>
  </si>
  <si>
    <t>HU26, IDS03532-1030, BDS1971, ADS2901, BD-10 00799</t>
  </si>
  <si>
    <t>03h 57m 59s</t>
  </si>
  <si>
    <t>-10°13,4'</t>
  </si>
  <si>
    <t>WDS04307-0642</t>
  </si>
  <si>
    <t>A475, IDS04259-0655, BDS2238, ADS3278, BD-07 00828</t>
  </si>
  <si>
    <t>04h 30m 45s</t>
  </si>
  <si>
    <t>-06°41,8'</t>
  </si>
  <si>
    <t>WDS04234-0007</t>
  </si>
  <si>
    <t>HO330, IDS04183-0020, BDS2170, ADS3177, BD-00 00695</t>
  </si>
  <si>
    <t>04h 23m 26s</t>
  </si>
  <si>
    <t>-00°06,7'</t>
  </si>
  <si>
    <t>WDS03388-0830</t>
  </si>
  <si>
    <t>BU534, IDS03340-0850, BDS1807, ADS2660, BD-08 00692</t>
  </si>
  <si>
    <t>03h 38m 50s</t>
  </si>
  <si>
    <t>-08°30,4'</t>
  </si>
  <si>
    <t>WDS04320-0243</t>
  </si>
  <si>
    <t>RST4243, IDS04270-0256, BD-03 00804</t>
  </si>
  <si>
    <t>04h 32m 00s</t>
  </si>
  <si>
    <t>-02°43,0'</t>
  </si>
  <si>
    <t>WDS03493-0131</t>
  </si>
  <si>
    <t>BU539, IDS03442-0149, BDS1901, ADS2792, BD-01 00538</t>
  </si>
  <si>
    <t>03h 49m 16s</t>
  </si>
  <si>
    <t>-01°30,5'</t>
  </si>
  <si>
    <t>WDS04574-0625</t>
  </si>
  <si>
    <t>A479, IDS04526-0634, BDS2440, ADS3564, BD-06 01034</t>
  </si>
  <si>
    <t>04h 57m 26s</t>
  </si>
  <si>
    <t>-06°25,1'</t>
  </si>
  <si>
    <t>WDS04343-0045</t>
  </si>
  <si>
    <t>A836, IDS04292-0058, BDS13000, ADS3312, BD-01 00669</t>
  </si>
  <si>
    <t>04h 34m 21s</t>
  </si>
  <si>
    <t>-00°45,0'</t>
  </si>
  <si>
    <t>WDS04369-1456</t>
  </si>
  <si>
    <t>BU185, IDS04323-1508, BDS2286, ADS3340, BD-15 00819</t>
  </si>
  <si>
    <t>04h 36m 54s</t>
  </si>
  <si>
    <t>-14°55,5'</t>
  </si>
  <si>
    <t>WDS04211-0851</t>
  </si>
  <si>
    <t>A472, IDS04163-0905, BDS2148, ADS3148, BD-09 00874</t>
  </si>
  <si>
    <t>04h 21m 04s</t>
  </si>
  <si>
    <t>-08°51,1'</t>
  </si>
  <si>
    <t>WDS03545-1243</t>
  </si>
  <si>
    <t>HLD67, IDS03498-1301, BDS1947, ADS2860, BD-13 00770</t>
  </si>
  <si>
    <t>03h 54m 32s</t>
  </si>
  <si>
    <t>-12°43,3'</t>
  </si>
  <si>
    <t>WDS04024-0700</t>
  </si>
  <si>
    <t>STF489, IDS03575-0717, BDS2010, ADS2949, BD-07 00724</t>
  </si>
  <si>
    <t>04h 02m 23s</t>
  </si>
  <si>
    <t>-07°00,3'</t>
  </si>
  <si>
    <t>WDS04247-0845</t>
  </si>
  <si>
    <t>STF544, IDS04199-0859, BDS2188, ADS3197, BD-09 00892</t>
  </si>
  <si>
    <t>04h 24m 42s</t>
  </si>
  <si>
    <t>-08°45,1'</t>
  </si>
  <si>
    <t>WDS04331-1208</t>
  </si>
  <si>
    <t>STF564, IDS04284-1221, BDS2254, ADS3299, BD-12 00922</t>
  </si>
  <si>
    <t>04h 33m 06s</t>
  </si>
  <si>
    <t>-12°08,2'</t>
  </si>
  <si>
    <t>WDS03581-0454</t>
  </si>
  <si>
    <t>HLD70, IDS03532-0511, BDS1970, ADS2903, BD-05 00787</t>
  </si>
  <si>
    <t>03h 58m 09s</t>
  </si>
  <si>
    <t>-04°53,9'</t>
  </si>
  <si>
    <t>WDS05041-0602</t>
  </si>
  <si>
    <t>B9002</t>
  </si>
  <si>
    <t>05h 04m 07s</t>
  </si>
  <si>
    <t>-06°02,0'</t>
  </si>
  <si>
    <t>WDS05030-0840</t>
  </si>
  <si>
    <t>STF636, IDS04582-0848, BDS2494, ADS3640, BD-08 01013</t>
  </si>
  <si>
    <t>05h 03m 02s</t>
  </si>
  <si>
    <t>-08°39,7'</t>
  </si>
  <si>
    <t>WDS04075-0628</t>
  </si>
  <si>
    <t>A467, IDS04026-0644, BDS2047, ADS3003, BD-06 00823</t>
  </si>
  <si>
    <t>04h 07m 28s</t>
  </si>
  <si>
    <t>-06°28,0'</t>
  </si>
  <si>
    <t>WDS05099-0906</t>
  </si>
  <si>
    <t>A483, IDS05052-0914, BDS2559, ADS3741, BD-09 01086</t>
  </si>
  <si>
    <t>05h 09m 55s</t>
  </si>
  <si>
    <t>-09°06,3'</t>
  </si>
  <si>
    <t>WDS03503-0131</t>
  </si>
  <si>
    <t>BU401, IDS03452-0150, BDS1907, ADS2803, BD-01 00544</t>
  </si>
  <si>
    <t>03h 50m 16s</t>
  </si>
  <si>
    <t>-01°31,3'</t>
  </si>
  <si>
    <t>WDS04478-1043</t>
  </si>
  <si>
    <t>HU214, IDS04431-1053, BDS2360, ADS3455, BD-10 01013</t>
  </si>
  <si>
    <t>04h 47m 47s</t>
  </si>
  <si>
    <t>-10°42,5'</t>
  </si>
  <si>
    <t>WDS04387-0024</t>
  </si>
  <si>
    <t>STF575, IDS04336-0036, BDS2296, ADS3362, BD-00 00739</t>
  </si>
  <si>
    <t>04h 38m 39s</t>
  </si>
  <si>
    <t>-00°23,7'</t>
  </si>
  <si>
    <t>WDS05051-0631</t>
  </si>
  <si>
    <t>A482, IDS05002-0640, BDS2512, ADS3674, BD-06 01081</t>
  </si>
  <si>
    <t>05h 05m 06s</t>
  </si>
  <si>
    <t>-06°31,4'</t>
  </si>
  <si>
    <t>WDS04246-0452</t>
  </si>
  <si>
    <t>STF543, IDS04192-0506, BDS2185, ADS3193, BD-05 00903</t>
  </si>
  <si>
    <t>04h 24m 36s</t>
  </si>
  <si>
    <t>-04°52,3'</t>
  </si>
  <si>
    <t>WDS04236-0534</t>
  </si>
  <si>
    <t>HJ2229, IDS04186-0548, BDS2176, ADS3183, BD-05 00897</t>
  </si>
  <si>
    <t>04h 23m 34s</t>
  </si>
  <si>
    <t>-05°34,0'</t>
  </si>
  <si>
    <t>WDS05007-1330</t>
  </si>
  <si>
    <t>STF631, IDS04561-1339, BDS2475, ADS3606, BD-13 01047</t>
  </si>
  <si>
    <t>05h 00m 41s</t>
  </si>
  <si>
    <t>-13°30,2'</t>
  </si>
  <si>
    <t>WDS04166-1005</t>
  </si>
  <si>
    <t>BU548, IDS04118-1020, BDS2114, ADS3103, BD-10 00882</t>
  </si>
  <si>
    <t>04h 16m 36s</t>
  </si>
  <si>
    <t>-10°05,1'</t>
  </si>
  <si>
    <t>WDS04190-0725</t>
  </si>
  <si>
    <t>STF527, IDS04142-0740, BDS2135, ADS3127, BD-07 00792</t>
  </si>
  <si>
    <t>04h 19m 03s</t>
  </si>
  <si>
    <t>-07°25,3'</t>
  </si>
  <si>
    <t>WDS03543-0257</t>
  </si>
  <si>
    <t>STF470, IDS03493-0315, BDS1939, ADS2850, BD-03 00631</t>
  </si>
  <si>
    <t>03h 54m 17s</t>
  </si>
  <si>
    <t>-02°57,2'</t>
  </si>
  <si>
    <t>WDS04144-1015</t>
  </si>
  <si>
    <t>STF516, IDS04096-1030, BDS2102, ADS3079, BD-10 00867</t>
  </si>
  <si>
    <t>04h 14m 24s</t>
  </si>
  <si>
    <t>-10°15,3'</t>
  </si>
  <si>
    <t>WDS04322-0936</t>
  </si>
  <si>
    <t>GAL141, IDS04275-0949, ADS3292, BD-09 00921</t>
  </si>
  <si>
    <t>04h 32m 14s</t>
  </si>
  <si>
    <t>-09°36,3'</t>
  </si>
  <si>
    <t>WDS03284-0434</t>
  </si>
  <si>
    <t>BU1180, IDS03234-0455, BDS1725, ADS2562</t>
  </si>
  <si>
    <t>03h 28m 22s</t>
  </si>
  <si>
    <t>-04°33,7'</t>
  </si>
  <si>
    <t>WDS04399-0650</t>
  </si>
  <si>
    <t>HJ25, IDS04350-0702, BDS2306</t>
  </si>
  <si>
    <t>04h 39m 46s</t>
  </si>
  <si>
    <t>-06°49,5'</t>
  </si>
  <si>
    <t>WDS03464-0810</t>
  </si>
  <si>
    <t>HDS478, ADS2752, BD-08 00723</t>
  </si>
  <si>
    <t>03h 46m 23s</t>
  </si>
  <si>
    <t>-08°10,1'</t>
  </si>
  <si>
    <t>WDS03579-0708</t>
  </si>
  <si>
    <t>STF475, IDS03530-0725, BDS1969, ADS2900, BD-07 00712</t>
  </si>
  <si>
    <t>03h 57m 56s</t>
  </si>
  <si>
    <t>-07°07,5'</t>
  </si>
  <si>
    <t>WDS04510-1214</t>
  </si>
  <si>
    <t>HJ3693, IDS04463-1225, BDS2387, BD-12 01007</t>
  </si>
  <si>
    <t>04h 51m 00s</t>
  </si>
  <si>
    <t>-12°14,3'</t>
  </si>
  <si>
    <t>WDS04127-0650</t>
  </si>
  <si>
    <t>STF514, IDS04078-0705, BDS2080, ADS3059, BD-07 00768</t>
  </si>
  <si>
    <t>04h 12m 40s</t>
  </si>
  <si>
    <t>-06°50,0'</t>
  </si>
  <si>
    <t>WDS03527-0522</t>
  </si>
  <si>
    <t>HJ338, IDS03478-0540, BDS1924, ADS2832, BD-05 00769</t>
  </si>
  <si>
    <t>03h 52m 42s</t>
  </si>
  <si>
    <t>-05°21,6'</t>
  </si>
  <si>
    <t>WDS03532-0200</t>
  </si>
  <si>
    <t>STF466, IDS03482-0218, BDS1930, ADS2838, BD-02 00747</t>
  </si>
  <si>
    <t>03h 53m 12s</t>
  </si>
  <si>
    <t>-01°59,8'</t>
  </si>
  <si>
    <t>WDS04436-0848</t>
  </si>
  <si>
    <t>STF590, IDS04388-0859, BDS2330, ADS3409, BD-09 00970</t>
  </si>
  <si>
    <t>04h 43m 35s</t>
  </si>
  <si>
    <t>-08°47,7'</t>
  </si>
  <si>
    <t>WDS03030-0205</t>
  </si>
  <si>
    <t>STF341, IDS02580-0229, BDS1550, ADS2316, BD-02 00538</t>
  </si>
  <si>
    <t>03h 03m 02s</t>
  </si>
  <si>
    <t>-02°05,1'</t>
  </si>
  <si>
    <t>WDS02471-0142</t>
  </si>
  <si>
    <t>BAL18, IDS02421-0207, BD-02 00486</t>
  </si>
  <si>
    <t>02h 47m 08s</t>
  </si>
  <si>
    <t>-01°41,7'</t>
  </si>
  <si>
    <t>WDS04231-0117</t>
  </si>
  <si>
    <t>BU402, IDS04181-0130, BDS2167, ADS3175, BD-01 00629</t>
  </si>
  <si>
    <t>04h 23m 09s</t>
  </si>
  <si>
    <t>-01°16,7'</t>
  </si>
  <si>
    <t>WDS04380-1302</t>
  </si>
  <si>
    <t>ENO10, ADS3355</t>
  </si>
  <si>
    <t>04h 38m 00s</t>
  </si>
  <si>
    <t>-13°01,7'</t>
  </si>
  <si>
    <t>STF596, ADS3428</t>
  </si>
  <si>
    <t>WDS03575-0110</t>
  </si>
  <si>
    <t>BU543, IDS03524-0127, BDS1962, ADS2894, BD-01 00565</t>
  </si>
  <si>
    <t>03h 57m 29s</t>
  </si>
  <si>
    <t>-01°09,5'</t>
  </si>
  <si>
    <t>WDS04009-1027</t>
  </si>
  <si>
    <t>STF487, IDS03562-1044, BDS1997, ADS2933, BD-10 00813</t>
  </si>
  <si>
    <t>04h 00m 55s</t>
  </si>
  <si>
    <t>-10°27,0'</t>
  </si>
  <si>
    <t>STF576, IDS04334-1314, BDS2294, ADS3355, BD-13 00937</t>
  </si>
  <si>
    <t>WDS04352-0944</t>
  </si>
  <si>
    <t>STF570, IDS04305-0957, ADS3318, BD-10 00959</t>
  </si>
  <si>
    <t>04h 35m 14s</t>
  </si>
  <si>
    <t>-09°44,1'</t>
  </si>
  <si>
    <t>WDS05036-0509</t>
  </si>
  <si>
    <t>HJ31, IDS04587-0517, BDS2498, BD-05 01138</t>
  </si>
  <si>
    <t>05h 03m 38s</t>
  </si>
  <si>
    <t>-05°08,7'</t>
  </si>
  <si>
    <t>WDS03088-0341</t>
  </si>
  <si>
    <t>STF358, IDS03037-0404, BDS1582, ADS2369, BD-04 00531</t>
  </si>
  <si>
    <t>03h 08m 45s</t>
  </si>
  <si>
    <t>-03°41,2'</t>
  </si>
  <si>
    <t>WDS04040-1145</t>
  </si>
  <si>
    <t>HJ3617, IDS03593-1201, BDS2020, BD-12 00784</t>
  </si>
  <si>
    <t>04h 04m 02s</t>
  </si>
  <si>
    <t>-11°44,9'</t>
  </si>
  <si>
    <t>WDS04233-0500</t>
  </si>
  <si>
    <t>HJ342, IDS04183-0514, BDS2173, ADS3176, BD-05 00895</t>
  </si>
  <si>
    <t>04h 23m 15s</t>
  </si>
  <si>
    <t>-05°00,3'</t>
  </si>
  <si>
    <t>WDS04360-0337</t>
  </si>
  <si>
    <t>STF571, IDS04310-0349, BDS2277, ADS3328, BD-03 00830</t>
  </si>
  <si>
    <t>04h 36m 02s</t>
  </si>
  <si>
    <t>-03°36,6'</t>
  </si>
  <si>
    <t>WDS03323-0705</t>
  </si>
  <si>
    <t>STF411, IDS03274-0726, BDS1756, ADS2596, BD-07 00618</t>
  </si>
  <si>
    <t>03h 32m 15s</t>
  </si>
  <si>
    <t>-07°05,4'</t>
  </si>
  <si>
    <t>WDS04221-0957</t>
  </si>
  <si>
    <t>STF537, IDS04173-1011, BDS2158, ADS3164, BD-10 00902</t>
  </si>
  <si>
    <t>04h 22m 04s</t>
  </si>
  <si>
    <t>-09°57,1'</t>
  </si>
  <si>
    <t>WDS04209-1156</t>
  </si>
  <si>
    <t>GAL365, IDS04162-1210</t>
  </si>
  <si>
    <t>04h 20m 59s</t>
  </si>
  <si>
    <t>-11°55,5'</t>
  </si>
  <si>
    <t>WDS04207-1413</t>
  </si>
  <si>
    <t>STF532, IDS04161-1428, BDS2144, BD-14 00875</t>
  </si>
  <si>
    <t>04h 20m 44s</t>
  </si>
  <si>
    <t>-14°13,3'</t>
  </si>
  <si>
    <t>STF487, IDS03562-1044, BDS1997, ADS2933</t>
  </si>
  <si>
    <t>dNEML</t>
  </si>
  <si>
    <t>dTML</t>
  </si>
  <si>
    <t>Check</t>
  </si>
  <si>
    <t>TML M2'</t>
  </si>
  <si>
    <t>rA'</t>
  </si>
  <si>
    <t>TML_M2</t>
  </si>
  <si>
    <t>TML_M2' Ap</t>
  </si>
  <si>
    <t>dM'</t>
  </si>
  <si>
    <t>M1'</t>
  </si>
  <si>
    <t>M2'</t>
  </si>
  <si>
    <t>M1''</t>
  </si>
  <si>
    <r>
      <rPr>
        <b/>
        <sz val="11"/>
        <rFont val="Calibri"/>
        <family val="2"/>
        <scheme val="minor"/>
      </rPr>
      <t>WRAKs Rule of Thumb Model for estimating the required aperture for splitting unequal and faint doubles for small telescopes V3.0 Beta 2013-02-18</t>
    </r>
    <r>
      <rPr>
        <sz val="11"/>
        <rFont val="Calibri"/>
        <family val="2"/>
        <scheme val="minor"/>
      </rPr>
      <t xml:space="preserve">
rA = required Aperture in mm = rA1+rA2+rA3+rA4+rA5 with a split probability of 50% and standard deviation of 14%
rA1 = modified Dawes criterion = 116/1,2213*(0,0950502775050452+(1,12627632206642)/((1+(CO/0,302756091410027)^2,26536793426585)^0,152776210790626))/Sep with Sep = separation in arcseconds and CO = Central Obstruction between zero and 0.99
rA2 = f(dM) = function of delta magnitudes including CO = 5,91232283796472*dM'*(M2-M1)/Sep^0,600317738509086*(1+CO)^0,808139120750434
with dM' = switch for delta-M &lt; 1, M1 = magnitude primary and M2 = magnitude secondary
rA3 = f(M1) = function of M1 = 1,04237828050238*M1'*(M1+2,34973310685883)/(M1''*Sep^-0,304107132838227+(1-M1'')*(14-M1)^-0,304107132838227)
with M1' = switch for M1 &lt;= 6 and M1'' = switch for sep &lt;= 14-M1
rA4 = f(M2) = function of M2 = 13,6914255489806*M2'*(M2-9) with M2' = switch for M2 &lt;= 9
rA5 = f(NEML) = function of Naked Eye Magnitude Limit for a given location = 2,4817076129942*m2'*(6.5-NEML).
rA' = required aperture after check against the for light pollution adapted telescope magnitude limit. This is done for all doubles in several steps in an approximation process but is usually only relevant  for doubles with companions fainter than +10mag. First is calculated dNEML as base value for the TML change as LN((6,5/NEML)^2,512). Next step is the calculation of TML_M2 depending on M2, dNEML and NEML as 0,952988428558035*M2+(M2/13)^1,21758761926721*dNEML*3,49701599950785-6,17437592197594+NEML*1,04875246413893. As the resulting value is a numerical approximation a further check is needed by calculating the accordingly dTML as (TML_M2/13)^2,512*dNEML and then checking if TML_M2 minus dTML gives a value larger or at least equal to M2 as this is obviously necessary to be able to resolve M2. Any negative value in the field Check is used to calculate a new larger TML_M2' value and this value is then recalculated with 10^((TML_M2'-2,7)/5) into a corresponding aperture TML_M2' Ap and then the greater vaulue of rA or TML_M2' Ap is choosen for the final rA' value.
</t>
    </r>
    <r>
      <rPr>
        <b/>
        <sz val="11"/>
        <rFont val="Calibri"/>
        <family val="2"/>
        <scheme val="minor"/>
      </rPr>
      <t xml:space="preserve">Required input: </t>
    </r>
    <r>
      <rPr>
        <sz val="11"/>
        <rFont val="Calibri"/>
        <family val="2"/>
        <scheme val="minor"/>
      </rPr>
      <t xml:space="preserve">Global input central obstruction for specific scope and naked eye magnitude limit for specific location.
Per double star sep, m1, m2 and WDS ID. Name, RA, Dec for convinience only (yellow marked columns below)
</t>
    </r>
    <r>
      <rPr>
        <b/>
        <sz val="11"/>
        <rFont val="Calibri"/>
        <family val="2"/>
        <scheme val="minor"/>
      </rPr>
      <t>Error conditions</t>
    </r>
    <r>
      <rPr>
        <sz val="11"/>
        <rFont val="Calibri"/>
        <family val="2"/>
        <scheme val="minor"/>
      </rPr>
      <t xml:space="preserve"> (not checked): separation &gt; 0, magnitude of primary &gt; magnitude of secondary, 1&gt;CO&lt;0, 6.5&lt;NEML&lt;1
</t>
    </r>
    <r>
      <rPr>
        <b/>
        <sz val="11"/>
        <rFont val="Calibri"/>
        <family val="2"/>
        <scheme val="minor"/>
      </rPr>
      <t>Planned enhancements:</t>
    </r>
    <r>
      <rPr>
        <sz val="11"/>
        <rFont val="Calibri"/>
        <family val="2"/>
        <scheme val="minor"/>
      </rPr>
      <t xml:space="preserve"> Enlarge the data set of limit observations for better statistical significance, smoother transition of the different components of the model when crossing the defined thesholds</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</si>
</sst>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 #,##0.00_-;_-* &quot;-&quot;??_-;_-@_-"/>
    <numFmt numFmtId="164" formatCode="_-* #,##0_-;\-* #,##0_-;_-* &quot;-&quot;??_-;_-@_-"/>
    <numFmt numFmtId="165" formatCode="_-* #,##0.0_-;\-* #,##0.0_-;_-* &quot;-&quot;??_-;_-@_-"/>
    <numFmt numFmtId="166" formatCode="#,##0.00_ ;\-#,##0.00\ "/>
    <numFmt numFmtId="167" formatCode="#,##0.0_ ;\-#,##0.0\ "/>
  </numFmts>
  <fonts count="7" x14ac:knownFonts="1">
    <font>
      <sz val="11"/>
      <color theme="1"/>
      <name val="Calibri"/>
      <family val="2"/>
      <scheme val="minor"/>
    </font>
    <font>
      <sz val="11"/>
      <color theme="1"/>
      <name val="Calibri"/>
      <family val="2"/>
      <scheme val="minor"/>
    </font>
    <font>
      <sz val="11"/>
      <name val="Calibri"/>
      <family val="2"/>
      <scheme val="minor"/>
    </font>
    <font>
      <b/>
      <sz val="11"/>
      <name val="Calibri"/>
      <family val="2"/>
      <scheme val="minor"/>
    </font>
    <font>
      <b/>
      <sz val="16"/>
      <name val="Calibri"/>
      <family val="2"/>
      <scheme val="minor"/>
    </font>
    <font>
      <b/>
      <sz val="14"/>
      <color rgb="FFFF0000"/>
      <name val="Calibri"/>
      <family val="2"/>
      <scheme val="minor"/>
    </font>
    <font>
      <b/>
      <sz val="12"/>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43" fontId="1" fillId="0" borderId="0" applyFont="0" applyFill="0" applyBorder="0" applyAlignment="0" applyProtection="0"/>
  </cellStyleXfs>
  <cellXfs count="41">
    <xf numFmtId="0" fontId="0" fillId="0" borderId="0" xfId="0"/>
    <xf numFmtId="0" fontId="2" fillId="0" borderId="0" xfId="0" applyFont="1"/>
    <xf numFmtId="0" fontId="2" fillId="2" borderId="0" xfId="0" applyFont="1" applyFill="1"/>
    <xf numFmtId="0" fontId="2" fillId="0" borderId="0" xfId="0" applyFont="1" applyAlignment="1">
      <alignment wrapText="1"/>
    </xf>
    <xf numFmtId="0" fontId="2" fillId="0" borderId="0" xfId="0" applyFont="1" applyAlignment="1">
      <alignment horizontal="center"/>
    </xf>
    <xf numFmtId="43" fontId="2" fillId="0" borderId="0" xfId="1" applyFont="1" applyAlignment="1">
      <alignment horizontal="center" wrapText="1"/>
    </xf>
    <xf numFmtId="43" fontId="2" fillId="0" borderId="0" xfId="1" applyNumberFormat="1" applyFont="1" applyAlignment="1">
      <alignment horizontal="center"/>
    </xf>
    <xf numFmtId="164" fontId="2" fillId="0" borderId="0" xfId="1" applyNumberFormat="1" applyFont="1" applyAlignment="1">
      <alignment horizontal="center" wrapText="1"/>
    </xf>
    <xf numFmtId="0" fontId="2" fillId="0" borderId="1" xfId="0" applyFont="1" applyBorder="1"/>
    <xf numFmtId="164" fontId="2" fillId="0" borderId="0" xfId="1" applyNumberFormat="1" applyFont="1" applyBorder="1" applyAlignment="1"/>
    <xf numFmtId="164" fontId="2" fillId="0" borderId="0" xfId="1" applyNumberFormat="1" applyFont="1"/>
    <xf numFmtId="43" fontId="2" fillId="0" borderId="0" xfId="1" applyFont="1"/>
    <xf numFmtId="43" fontId="2" fillId="0" borderId="0" xfId="1" applyNumberFormat="1" applyFont="1"/>
    <xf numFmtId="0" fontId="2" fillId="2" borderId="0" xfId="0" applyFont="1" applyFill="1" applyAlignment="1">
      <alignment horizontal="center"/>
    </xf>
    <xf numFmtId="165" fontId="2" fillId="0" borderId="0" xfId="1" applyNumberFormat="1" applyFont="1"/>
    <xf numFmtId="43" fontId="2" fillId="0" borderId="0" xfId="1" applyFont="1" applyAlignment="1">
      <alignment horizontal="center"/>
    </xf>
    <xf numFmtId="43" fontId="2" fillId="2" borderId="0" xfId="1" applyFont="1" applyFill="1"/>
    <xf numFmtId="0" fontId="2" fillId="0" borderId="0" xfId="0" applyFont="1" applyBorder="1" applyAlignment="1">
      <alignment horizontal="left"/>
    </xf>
    <xf numFmtId="0" fontId="2" fillId="0" borderId="0" xfId="0" applyFont="1" applyBorder="1" applyAlignment="1"/>
    <xf numFmtId="0" fontId="2" fillId="0" borderId="0" xfId="0" applyFont="1" applyBorder="1"/>
    <xf numFmtId="0" fontId="5" fillId="0" borderId="0" xfId="0" applyFont="1" applyBorder="1" applyAlignment="1">
      <alignment horizontal="left" wrapText="1"/>
    </xf>
    <xf numFmtId="166" fontId="4" fillId="3" borderId="0" xfId="1" applyNumberFormat="1" applyFont="1" applyFill="1" applyBorder="1" applyAlignment="1">
      <alignment horizontal="center" vertical="center"/>
    </xf>
    <xf numFmtId="167" fontId="4" fillId="3" borderId="0" xfId="1" applyNumberFormat="1" applyFont="1" applyFill="1" applyBorder="1" applyAlignment="1">
      <alignment horizontal="center" vertical="center"/>
    </xf>
    <xf numFmtId="43" fontId="2" fillId="0" borderId="0" xfId="1" applyFont="1" applyBorder="1" applyAlignment="1">
      <alignment horizontal="left"/>
    </xf>
    <xf numFmtId="0" fontId="2" fillId="2" borderId="0" xfId="0" applyFont="1" applyFill="1" applyAlignment="1">
      <alignment horizontal="left"/>
    </xf>
    <xf numFmtId="0" fontId="6" fillId="0" borderId="0" xfId="0" applyFont="1" applyBorder="1" applyAlignment="1">
      <alignment horizontal="left"/>
    </xf>
    <xf numFmtId="43" fontId="6" fillId="0" borderId="0" xfId="1" applyFont="1" applyAlignment="1">
      <alignment horizontal="center" wrapText="1"/>
    </xf>
    <xf numFmtId="164" fontId="6" fillId="0" borderId="0" xfId="1" applyNumberFormat="1" applyFont="1" applyBorder="1" applyAlignment="1"/>
    <xf numFmtId="43" fontId="6" fillId="0" borderId="0" xfId="1" applyNumberFormat="1" applyFont="1"/>
    <xf numFmtId="43" fontId="2" fillId="0" borderId="0" xfId="1" applyNumberFormat="1" applyFont="1" applyBorder="1" applyAlignment="1">
      <alignment horizontal="left"/>
    </xf>
    <xf numFmtId="43" fontId="2" fillId="4" borderId="0" xfId="1" applyFont="1" applyFill="1" applyAlignment="1">
      <alignment horizontal="center"/>
    </xf>
    <xf numFmtId="43" fontId="2" fillId="4" borderId="0" xfId="1" applyFont="1" applyFill="1" applyAlignment="1">
      <alignment horizontal="center" wrapText="1"/>
    </xf>
    <xf numFmtId="164" fontId="6" fillId="4" borderId="0" xfId="1" applyNumberFormat="1" applyFont="1" applyFill="1" applyAlignment="1">
      <alignment horizontal="center" wrapText="1"/>
    </xf>
    <xf numFmtId="43" fontId="2" fillId="4" borderId="0" xfId="1" applyNumberFormat="1" applyFont="1" applyFill="1"/>
    <xf numFmtId="43" fontId="2" fillId="4" borderId="0" xfId="1" applyFont="1" applyFill="1"/>
    <xf numFmtId="164" fontId="6" fillId="4" borderId="0" xfId="1" applyNumberFormat="1" applyFont="1" applyFill="1"/>
    <xf numFmtId="0" fontId="2" fillId="2" borderId="0" xfId="0" applyFont="1" applyFill="1" applyBorder="1" applyAlignment="1">
      <alignment horizontal="center"/>
    </xf>
    <xf numFmtId="43" fontId="2" fillId="2" borderId="0" xfId="1" applyFont="1" applyFill="1" applyBorder="1"/>
    <xf numFmtId="0" fontId="2" fillId="0" borderId="1" xfId="0" applyFont="1" applyBorder="1" applyAlignment="1">
      <alignment horizontal="left" wrapText="1"/>
    </xf>
    <xf numFmtId="0" fontId="2" fillId="0" borderId="1" xfId="0" applyFont="1" applyBorder="1" applyAlignment="1">
      <alignment horizontal="left"/>
    </xf>
    <xf numFmtId="0" fontId="2" fillId="0" borderId="1" xfId="0" applyFont="1" applyBorder="1" applyAlignment="1"/>
  </cellXfs>
  <cellStyles count="2">
    <cellStyle name="Komma" xfId="1" builtinId="3"/>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0"/>
  <sheetViews>
    <sheetView tabSelected="1" topLeftCell="A2" zoomScaleNormal="100" workbookViewId="0">
      <selection activeCell="H17" sqref="H17"/>
    </sheetView>
  </sheetViews>
  <sheetFormatPr baseColWidth="10" defaultColWidth="11.5703125" defaultRowHeight="15.75" x14ac:dyDescent="0.25"/>
  <cols>
    <col min="1" max="1" width="16.28515625" style="1" customWidth="1"/>
    <col min="2" max="2" width="21.28515625" style="1" customWidth="1"/>
    <col min="3" max="3" width="12.42578125" style="1" customWidth="1"/>
    <col min="4" max="4" width="10.28515625" style="1" customWidth="1"/>
    <col min="5" max="5" width="7.28515625" style="11" customWidth="1"/>
    <col min="6" max="6" width="7.42578125" style="11" customWidth="1"/>
    <col min="7" max="7" width="7.28515625" style="11" customWidth="1"/>
    <col min="8" max="11" width="7.28515625" style="34" customWidth="1"/>
    <col min="12" max="12" width="7.85546875" style="34" customWidth="1"/>
    <col min="13" max="13" width="6.140625" style="35" customWidth="1"/>
    <col min="14" max="14" width="5.7109375" style="28" customWidth="1"/>
    <col min="15" max="15" width="6.7109375" style="11" customWidth="1"/>
    <col min="16" max="16" width="7.7109375" style="11" customWidth="1"/>
    <col min="17" max="18" width="6.7109375" style="11" customWidth="1"/>
    <col min="19" max="19" width="9" style="10" customWidth="1"/>
    <col min="20" max="20" width="7.42578125" style="12" customWidth="1"/>
    <col min="21" max="21" width="5.85546875" style="1" customWidth="1"/>
    <col min="22" max="22" width="5.7109375" style="1" customWidth="1"/>
    <col min="23" max="23" width="7.28515625" style="1" customWidth="1"/>
    <col min="24" max="24" width="8.42578125" style="1" customWidth="1"/>
    <col min="25" max="16384" width="11.5703125" style="1"/>
  </cols>
  <sheetData>
    <row r="1" spans="1:24" s="8" customFormat="1" ht="300.75" customHeight="1" thickBot="1" x14ac:dyDescent="0.3">
      <c r="A1" s="38" t="s">
        <v>437</v>
      </c>
      <c r="B1" s="39"/>
      <c r="C1" s="39"/>
      <c r="D1" s="39"/>
      <c r="E1" s="39"/>
      <c r="F1" s="39"/>
      <c r="G1" s="39"/>
      <c r="H1" s="39"/>
      <c r="I1" s="39"/>
      <c r="J1" s="39"/>
      <c r="K1" s="39"/>
      <c r="L1" s="39"/>
      <c r="M1" s="39"/>
      <c r="N1" s="39"/>
      <c r="O1" s="39"/>
      <c r="P1" s="39"/>
      <c r="Q1" s="39"/>
      <c r="R1" s="39"/>
      <c r="S1" s="39"/>
      <c r="T1" s="39"/>
      <c r="U1" s="40"/>
      <c r="V1" s="40"/>
      <c r="W1" s="40"/>
    </row>
    <row r="2" spans="1:24" s="19" customFormat="1" ht="24.75" customHeight="1" x14ac:dyDescent="0.3">
      <c r="A2" s="20" t="s">
        <v>14</v>
      </c>
      <c r="B2" s="21">
        <v>0</v>
      </c>
      <c r="C2" s="17"/>
      <c r="D2" s="17"/>
      <c r="E2" s="23"/>
      <c r="F2" s="17"/>
      <c r="G2" s="17"/>
      <c r="H2" s="23"/>
      <c r="I2" s="23"/>
      <c r="J2" s="23"/>
      <c r="K2" s="23"/>
      <c r="L2" s="23"/>
      <c r="M2" s="23"/>
      <c r="N2" s="25"/>
      <c r="O2" s="17"/>
      <c r="P2" s="17"/>
      <c r="Q2" s="17"/>
      <c r="R2" s="17"/>
      <c r="S2" s="17"/>
      <c r="T2" s="29"/>
      <c r="U2" s="18"/>
      <c r="V2" s="18"/>
      <c r="W2" s="18"/>
    </row>
    <row r="3" spans="1:24" s="19" customFormat="1" ht="27" customHeight="1" x14ac:dyDescent="0.3">
      <c r="A3" s="20" t="s">
        <v>13</v>
      </c>
      <c r="B3" s="22">
        <v>3.5</v>
      </c>
      <c r="C3" s="17"/>
      <c r="D3" s="17"/>
      <c r="E3" s="23"/>
      <c r="F3" s="17"/>
      <c r="G3" s="17"/>
      <c r="H3" s="23"/>
      <c r="I3" s="23"/>
      <c r="J3" s="23"/>
      <c r="K3" s="23"/>
      <c r="L3" s="23"/>
      <c r="M3" s="23"/>
      <c r="N3" s="25"/>
      <c r="O3" s="17"/>
      <c r="P3" s="17"/>
      <c r="Q3" s="17"/>
      <c r="R3" s="17"/>
      <c r="S3" s="17"/>
      <c r="T3" s="29"/>
      <c r="U3" s="18"/>
      <c r="V3" s="18"/>
      <c r="W3" s="18"/>
    </row>
    <row r="4" spans="1:24" ht="31.9" customHeight="1" x14ac:dyDescent="0.25">
      <c r="A4" s="3" t="s">
        <v>12</v>
      </c>
      <c r="B4" s="3" t="s">
        <v>6</v>
      </c>
      <c r="C4" s="3" t="s">
        <v>7</v>
      </c>
      <c r="D4" s="3" t="s">
        <v>8</v>
      </c>
      <c r="E4" s="15" t="s">
        <v>9</v>
      </c>
      <c r="F4" s="15" t="s">
        <v>10</v>
      </c>
      <c r="G4" s="15" t="s">
        <v>11</v>
      </c>
      <c r="H4" s="32" t="s">
        <v>430</v>
      </c>
      <c r="I4" s="26" t="s">
        <v>3</v>
      </c>
      <c r="J4" s="5" t="s">
        <v>5</v>
      </c>
      <c r="K4" s="5" t="s">
        <v>4</v>
      </c>
      <c r="L4" s="5" t="s">
        <v>0</v>
      </c>
      <c r="M4" s="5" t="s">
        <v>1</v>
      </c>
      <c r="N4" s="7" t="s">
        <v>2</v>
      </c>
      <c r="O4" s="6" t="s">
        <v>433</v>
      </c>
      <c r="P4" s="4" t="s">
        <v>434</v>
      </c>
      <c r="Q4" s="6" t="s">
        <v>435</v>
      </c>
      <c r="R4" s="4" t="s">
        <v>436</v>
      </c>
      <c r="S4" s="1" t="s">
        <v>426</v>
      </c>
      <c r="T4" s="30" t="s">
        <v>431</v>
      </c>
      <c r="U4" s="30" t="s">
        <v>427</v>
      </c>
      <c r="V4" s="30" t="s">
        <v>428</v>
      </c>
      <c r="W4" s="30" t="s">
        <v>429</v>
      </c>
      <c r="X4" s="31" t="s">
        <v>432</v>
      </c>
    </row>
    <row r="5" spans="1:24" x14ac:dyDescent="0.25">
      <c r="A5" s="2" t="s">
        <v>311</v>
      </c>
      <c r="B5" s="24" t="s">
        <v>312</v>
      </c>
      <c r="C5" s="2" t="s">
        <v>313</v>
      </c>
      <c r="D5" s="13" t="s">
        <v>314</v>
      </c>
      <c r="E5" s="16">
        <v>6.6</v>
      </c>
      <c r="F5" s="16">
        <v>4.8</v>
      </c>
      <c r="G5" s="16">
        <v>5.89</v>
      </c>
      <c r="H5" s="35">
        <f>IF(I5&lt;X5,X5,I5)</f>
        <v>19.838826811139498</v>
      </c>
      <c r="I5" s="27">
        <f>J5+K5+L5+M5+N5</f>
        <v>19.838826811139498</v>
      </c>
      <c r="J5" s="9">
        <f>116/1.2213*(0.0950502775050452+(1.12627632206642)/((1+($B$2/0.302756091410027)^2.26536793426585)^0.152776210790626))/E5</f>
        <v>17.576140370828149</v>
      </c>
      <c r="K5" s="9">
        <f>5.91232283796472*O5*(G5-F5)/E5^0.600317738509086*(1+$B$2)^0.808139120750434</f>
        <v>2.2626864403113478</v>
      </c>
      <c r="L5" s="9">
        <f>1.04237828050238*P5*(F5+2.34973310685883)/(R5*E5^-0.304107132838227+(1-R5)*(14-F5)^-0.304107132838227)</f>
        <v>0</v>
      </c>
      <c r="M5" s="9">
        <f>13.6914255489806*Q5*(G5-9)</f>
        <v>0</v>
      </c>
      <c r="N5" s="9">
        <f>2.4817076129942*Q5*(6.5-$B$3)</f>
        <v>0</v>
      </c>
      <c r="O5" s="12">
        <f>IF(G5-F5&lt;=1,IF(F5&lt;=6,0,G5-F5), G5-F5)</f>
        <v>1.0899999999999999</v>
      </c>
      <c r="P5" s="11">
        <f>IF(F5-6&gt;0,F5/6,0)</f>
        <v>0</v>
      </c>
      <c r="Q5" s="12">
        <f>IF(G5-9&gt;0,G5/9,0)</f>
        <v>0</v>
      </c>
      <c r="R5" s="1">
        <f>IF(E5&lt;=14-F5,1,0)</f>
        <v>1</v>
      </c>
      <c r="S5" s="1">
        <f>LN((6.5/$B$3)^2.512)</f>
        <v>1.5550264915164334</v>
      </c>
      <c r="T5" s="33">
        <f>0.952988428558035*G5+(G5/13)^1.21758761926721*S5*3.49701599950785-6.17437592197594+$B$3*1.04875246413893</f>
        <v>5.1832920850698221</v>
      </c>
      <c r="U5" s="34">
        <f>(T5/13)^2.512*S5</f>
        <v>0.15438374286583986</v>
      </c>
      <c r="V5" s="34">
        <f>T5-U5-G5</f>
        <v>-0.86109165779601771</v>
      </c>
      <c r="W5" s="34">
        <f>IF(V5&lt;0,T5-V5,T5)</f>
        <v>6.0443837428658398</v>
      </c>
      <c r="X5" s="34">
        <f>10^((W5-2.7)/5)</f>
        <v>4.6652696262043385</v>
      </c>
    </row>
    <row r="6" spans="1:24" x14ac:dyDescent="0.25">
      <c r="A6" s="2" t="s">
        <v>385</v>
      </c>
      <c r="B6" s="24" t="s">
        <v>386</v>
      </c>
      <c r="C6" s="2" t="s">
        <v>387</v>
      </c>
      <c r="D6" s="13" t="s">
        <v>388</v>
      </c>
      <c r="E6" s="16">
        <v>12.7</v>
      </c>
      <c r="F6" s="16">
        <v>6.71</v>
      </c>
      <c r="G6" s="16">
        <v>7.64</v>
      </c>
      <c r="H6" s="35">
        <f>IF(I6&lt;X6,X6,I6)</f>
        <v>29.568980667461823</v>
      </c>
      <c r="I6" s="27">
        <f>J6+K6+L6+M6+N6</f>
        <v>29.568980667461823</v>
      </c>
      <c r="J6" s="9">
        <f>116/1.2213*(0.0950502775050452+(1.12627632206642)/((1+($B$2/0.302756091410027)^2.26536793426585)^0.152776210790626))/E6</f>
        <v>9.1340572005878577</v>
      </c>
      <c r="K6" s="9">
        <f>5.91232283796472*O6*(G6-F6)/E6^0.600317738509086*(1+$B$2)^0.808139120750434</f>
        <v>1.1119649135993541</v>
      </c>
      <c r="L6" s="9">
        <f>1.04237828050238*P6*(F6+2.34973310685883)/(R6*E6^-0.304107132838227+(1-R6)*(14-F6)^-0.304107132838227)</f>
        <v>19.32295855327461</v>
      </c>
      <c r="M6" s="9">
        <f>13.6914255489806*Q6*(G6-9)</f>
        <v>0</v>
      </c>
      <c r="N6" s="9">
        <f>2.4817076129942*Q6*(6.5-$B$3)</f>
        <v>0</v>
      </c>
      <c r="O6" s="12">
        <f>IF(G6-F6&lt;=1,IF(F6&lt;=6,0,G6-F6), G6-F6)</f>
        <v>0.92999999999999972</v>
      </c>
      <c r="P6" s="11">
        <f>IF(F6-6&gt;0,F6/6,0)</f>
        <v>1.1183333333333334</v>
      </c>
      <c r="Q6" s="12">
        <f>IF(G6-9&gt;0,G6/9,0)</f>
        <v>0</v>
      </c>
      <c r="R6" s="1">
        <f>IF(E6&lt;=14-F6,1,0)</f>
        <v>0</v>
      </c>
      <c r="S6" s="1">
        <f>LN((6.5/$B$3)^2.512)</f>
        <v>1.5550264915164334</v>
      </c>
      <c r="T6" s="33">
        <f>0.952988428558035*G6+(G6/13)^1.21758761926721*S6*3.49701599950785-6.17437592197594+$B$3*1.04875246413893</f>
        <v>7.623878546210884</v>
      </c>
      <c r="U6" s="34">
        <f>(T6/13)^2.512*S6</f>
        <v>0.40694725690211864</v>
      </c>
      <c r="V6" s="34">
        <f>T6-U6-G6</f>
        <v>-0.42306871069123453</v>
      </c>
      <c r="W6" s="34">
        <f>IF(V6&lt;0,T6-V6,T6)</f>
        <v>8.0469472569021185</v>
      </c>
      <c r="X6" s="34">
        <f>10^((W6-2.7)/5)</f>
        <v>11.732469972666452</v>
      </c>
    </row>
    <row r="7" spans="1:24" x14ac:dyDescent="0.25">
      <c r="A7" s="2" t="s">
        <v>371</v>
      </c>
      <c r="B7" s="24" t="s">
        <v>384</v>
      </c>
      <c r="C7" s="2" t="s">
        <v>373</v>
      </c>
      <c r="D7" s="13" t="s">
        <v>374</v>
      </c>
      <c r="E7" s="16">
        <v>12.4</v>
      </c>
      <c r="F7" s="16">
        <v>7.33</v>
      </c>
      <c r="G7" s="16">
        <v>7.85</v>
      </c>
      <c r="H7" s="35">
        <f>IF(I7&lt;X7,X7,I7)</f>
        <v>31.659199163812424</v>
      </c>
      <c r="I7" s="27">
        <f>J7+K7+L7+M7+N7</f>
        <v>31.659199163812424</v>
      </c>
      <c r="J7" s="9">
        <f>116/1.2213*(0.0950502775050452+(1.12627632206642)/((1+($B$2/0.302756091410027)^2.26536793426585)^0.152776210790626))/E7</f>
        <v>9.3550424554407883</v>
      </c>
      <c r="K7" s="9">
        <f>5.91232283796472*O7*(G7-F7)/E7^0.600317738509086*(1+$B$2)^0.808139120750434</f>
        <v>0.35266665154328514</v>
      </c>
      <c r="L7" s="9">
        <f>1.04237828050238*P7*(F7+2.34973310685883)/(R7*E7^-0.304107132838227+(1-R7)*(14-F7)^-0.304107132838227)</f>
        <v>21.951490056828352</v>
      </c>
      <c r="M7" s="9">
        <f>13.6914255489806*Q7*(G7-9)</f>
        <v>0</v>
      </c>
      <c r="N7" s="9">
        <f>2.4817076129942*Q7*(6.5-$B$3)</f>
        <v>0</v>
      </c>
      <c r="O7" s="12">
        <f>IF(G7-F7&lt;=1,IF(F7&lt;=6,0,G7-F7), G7-F7)</f>
        <v>0.51999999999999957</v>
      </c>
      <c r="P7" s="11">
        <f>IF(F7-6&gt;0,F7/6,0)</f>
        <v>1.2216666666666667</v>
      </c>
      <c r="Q7" s="12">
        <f>IF(G7-9&gt;0,G7/9,0)</f>
        <v>0</v>
      </c>
      <c r="R7" s="1">
        <f>IF(E7&lt;=14-F7,1,0)</f>
        <v>0</v>
      </c>
      <c r="S7" s="1">
        <f>LN((6.5/$B$3)^2.512)</f>
        <v>1.5550264915164334</v>
      </c>
      <c r="T7" s="33">
        <f>0.952988428558035*G7+(G7/13)^1.21758761926721*S7*3.49701599950785-6.17437592197594+$B$3*1.04875246413893</f>
        <v>7.9195645636307503</v>
      </c>
      <c r="U7" s="34">
        <f>(T7/13)^2.512*S7</f>
        <v>0.44776461079867674</v>
      </c>
      <c r="V7" s="34">
        <f>T7-U7-G7</f>
        <v>-0.3782000471679261</v>
      </c>
      <c r="W7" s="34">
        <f>IF(V7&lt;0,T7-V7,T7)</f>
        <v>8.2977646107986764</v>
      </c>
      <c r="X7" s="34">
        <f>10^((W7-2.7)/5)</f>
        <v>13.169003774958222</v>
      </c>
    </row>
    <row r="8" spans="1:24" x14ac:dyDescent="0.25">
      <c r="A8" s="2" t="s">
        <v>355</v>
      </c>
      <c r="B8" s="24" t="s">
        <v>356</v>
      </c>
      <c r="C8" s="2" t="s">
        <v>357</v>
      </c>
      <c r="D8" s="13" t="s">
        <v>358</v>
      </c>
      <c r="E8" s="16">
        <v>8.8000000000000007</v>
      </c>
      <c r="F8" s="16">
        <v>6.74</v>
      </c>
      <c r="G8" s="16">
        <v>6.78</v>
      </c>
      <c r="H8" s="35">
        <f>IF(I8&lt;X8,X8,I8)</f>
        <v>32.633885064676832</v>
      </c>
      <c r="I8" s="27">
        <f>J8+K8+L8+M8+N8</f>
        <v>32.633885064676832</v>
      </c>
      <c r="J8" s="9">
        <f>116/1.2213*(0.0950502775050452+(1.12627632206642)/((1+($B$2/0.302756091410027)^2.26536793426585)^0.152776210790626))/E8</f>
        <v>13.18210527812111</v>
      </c>
      <c r="K8" s="9">
        <f>5.91232283796472*O8*(G8-F8)/E8^0.600317738509086*(1+$B$2)^0.808139120750434</f>
        <v>2.5638252547805292E-3</v>
      </c>
      <c r="L8" s="9">
        <f>1.04237828050238*P8*(F8+2.34973310685883)/(R8*E8^-0.304107132838227+(1-R8)*(14-F8)^-0.304107132838227)</f>
        <v>19.44921596130094</v>
      </c>
      <c r="M8" s="9">
        <f>13.6914255489806*Q8*(G8-9)</f>
        <v>0</v>
      </c>
      <c r="N8" s="9">
        <f>2.4817076129942*Q8*(6.5-$B$3)</f>
        <v>0</v>
      </c>
      <c r="O8" s="12">
        <f>IF(G8-F8&lt;=1,IF(F8&lt;=6,0,G8-F8), G8-F8)</f>
        <v>4.0000000000000036E-2</v>
      </c>
      <c r="P8" s="11">
        <f>IF(F8-6&gt;0,F8/6,0)</f>
        <v>1.1233333333333333</v>
      </c>
      <c r="Q8" s="12">
        <f>IF(G8-9&gt;0,G8/9,0)</f>
        <v>0</v>
      </c>
      <c r="R8" s="1">
        <f>IF(E8&lt;=14-F8,1,0)</f>
        <v>0</v>
      </c>
      <c r="S8" s="1">
        <f>LN((6.5/$B$3)^2.512)</f>
        <v>1.5550264915164334</v>
      </c>
      <c r="T8" s="33">
        <f>0.952988428558035*G8+(G8/13)^1.21758761926721*S8*3.49701599950785-6.17437592197594+$B$3*1.04875246413893</f>
        <v>6.4190584751584279</v>
      </c>
      <c r="U8" s="34">
        <f>(T8/13)^2.512*S8</f>
        <v>0.26416792018760521</v>
      </c>
      <c r="V8" s="34">
        <f>T8-U8-G8</f>
        <v>-0.6251094450291772</v>
      </c>
      <c r="W8" s="34">
        <f>IF(V8&lt;0,T8-V8,T8)</f>
        <v>7.0441679201876051</v>
      </c>
      <c r="X8" s="34">
        <f>10^((W8-2.7)/5)</f>
        <v>7.3932192228698863</v>
      </c>
    </row>
    <row r="9" spans="1:24" x14ac:dyDescent="0.25">
      <c r="A9" s="2" t="s">
        <v>315</v>
      </c>
      <c r="B9" s="24" t="s">
        <v>316</v>
      </c>
      <c r="C9" s="2" t="s">
        <v>317</v>
      </c>
      <c r="D9" s="13" t="s">
        <v>318</v>
      </c>
      <c r="E9" s="16">
        <v>6.7</v>
      </c>
      <c r="F9" s="16">
        <v>5.03</v>
      </c>
      <c r="G9" s="16">
        <v>8.5299999999999994</v>
      </c>
      <c r="H9" s="35">
        <f>IF(I9&lt;X9,X9,I9)</f>
        <v>40.433758913189337</v>
      </c>
      <c r="I9" s="27">
        <f>J9+K9+L9+M9+N9</f>
        <v>40.433758913189337</v>
      </c>
      <c r="J9" s="9">
        <f>116/1.2213*(0.0950502775050452+(1.12627632206642)/((1+($B$2/0.302756091410027)^2.26536793426585)^0.152776210790626))/E9</f>
        <v>17.313809917532208</v>
      </c>
      <c r="K9" s="9">
        <f>5.91232283796472*O9*(G9-F9)/E9^0.600317738509086*(1+$B$2)^0.808139120750434</f>
        <v>23.119948995657129</v>
      </c>
      <c r="L9" s="9">
        <f>1.04237828050238*P9*(F9+2.34973310685883)/(R9*E9^-0.304107132838227+(1-R9)*(14-F9)^-0.304107132838227)</f>
        <v>0</v>
      </c>
      <c r="M9" s="9">
        <f>13.6914255489806*Q9*(G9-9)</f>
        <v>0</v>
      </c>
      <c r="N9" s="9">
        <f>2.4817076129942*Q9*(6.5-$B$3)</f>
        <v>0</v>
      </c>
      <c r="O9" s="12">
        <f>IF(G9-F9&lt;=1,IF(F9&lt;=6,0,G9-F9), G9-F9)</f>
        <v>3.4999999999999991</v>
      </c>
      <c r="P9" s="11">
        <f>IF(F9-6&gt;0,F9/6,0)</f>
        <v>0</v>
      </c>
      <c r="Q9" s="12">
        <f>IF(G9-9&gt;0,G9/9,0)</f>
        <v>0</v>
      </c>
      <c r="R9" s="1">
        <f>IF(E9&lt;=14-F9,1,0)</f>
        <v>1</v>
      </c>
      <c r="S9" s="1">
        <f>LN((6.5/$B$3)^2.512)</f>
        <v>1.5550264915164334</v>
      </c>
      <c r="T9" s="33">
        <f>0.952988428558035*G9+(G9/13)^1.21758761926721*S9*3.49701599950785-6.17437592197594+$B$3*1.04875246413893</f>
        <v>8.8807946636017174</v>
      </c>
      <c r="U9" s="34">
        <f>(T9/13)^2.512*S9</f>
        <v>0.59706702259037103</v>
      </c>
      <c r="V9" s="34">
        <f>T9-U9-G9</f>
        <v>-0.24627235898865329</v>
      </c>
      <c r="W9" s="34">
        <f>IF(V9&lt;0,T9-V9,T9)</f>
        <v>9.1270670225903707</v>
      </c>
      <c r="X9" s="34">
        <f>10^((W9-2.7)/5)</f>
        <v>19.293605959375661</v>
      </c>
    </row>
    <row r="10" spans="1:24" x14ac:dyDescent="0.25">
      <c r="A10" s="2" t="s">
        <v>409</v>
      </c>
      <c r="B10" s="24" t="s">
        <v>410</v>
      </c>
      <c r="C10" s="2" t="s">
        <v>411</v>
      </c>
      <c r="D10" s="13" t="s">
        <v>412</v>
      </c>
      <c r="E10" s="16">
        <v>18.8</v>
      </c>
      <c r="F10" s="16">
        <v>7.36</v>
      </c>
      <c r="G10" s="16">
        <v>9.19</v>
      </c>
      <c r="H10" s="35">
        <f>IF(I10&lt;X10,X10,I10)</f>
        <v>41.910495967438223</v>
      </c>
      <c r="I10" s="27">
        <f>J10+K10+L10+M10+N10</f>
        <v>41.910495967438223</v>
      </c>
      <c r="J10" s="9">
        <f>116/1.2213*(0.0950502775050452+(1.12627632206642)/((1+($B$2/0.302756091410027)^2.26536793426585)^0.152776210790626))/E10</f>
        <v>6.1703471514609456</v>
      </c>
      <c r="K10" s="9">
        <f>5.91232283796472*O10*(G10-F10)/E10^0.600317738509086*(1+$B$2)^0.808139120750434</f>
        <v>3.402207215028024</v>
      </c>
      <c r="L10" s="9">
        <f>1.04237828050238*P10*(F10+2.34973310685883)/(R10*E10^-0.304107132838227+(1-R10)*(14-F10)^-0.304107132838227)</f>
        <v>22.079355263024251</v>
      </c>
      <c r="M10" s="9">
        <f>13.6914255489806*Q10*(G10-9)</f>
        <v>2.6562886834527739</v>
      </c>
      <c r="N10" s="9">
        <f>2.4817076129942*Q10*(6.5-$B$3)</f>
        <v>7.602297654472232</v>
      </c>
      <c r="O10" s="12">
        <f>IF(G10-F10&lt;=1,IF(F10&lt;=6,0,G10-F10), G10-F10)</f>
        <v>1.8299999999999992</v>
      </c>
      <c r="P10" s="11">
        <f>IF(F10-6&gt;0,F10/6,0)</f>
        <v>1.2266666666666668</v>
      </c>
      <c r="Q10" s="12">
        <f>IF(G10-9&gt;0,G10/9,0)</f>
        <v>1.0211111111111111</v>
      </c>
      <c r="R10" s="1">
        <f>IF(E10&lt;=14-F10,1,0)</f>
        <v>0</v>
      </c>
      <c r="S10" s="1">
        <f>LN((6.5/$B$3)^2.512)</f>
        <v>1.5550264915164334</v>
      </c>
      <c r="T10" s="33">
        <f>0.952988428558035*G10+(G10/13)^1.21758761926721*S10*3.49701599950785-6.17437592197594+$B$3*1.04875246413893</f>
        <v>9.8190020552253312</v>
      </c>
      <c r="U10" s="34">
        <f>(T10/13)^2.512*S10</f>
        <v>0.76839632063519347</v>
      </c>
      <c r="V10" s="34">
        <f>T10-U10-G10</f>
        <v>-0.13939426540986233</v>
      </c>
      <c r="W10" s="34">
        <f>IF(V10&lt;0,T10-V10,T10)</f>
        <v>9.9583963206351935</v>
      </c>
      <c r="X10" s="34">
        <f>10^((W10-2.7)/5)</f>
        <v>28.29301723490202</v>
      </c>
    </row>
    <row r="11" spans="1:24" x14ac:dyDescent="0.25">
      <c r="A11" s="2" t="s">
        <v>299</v>
      </c>
      <c r="B11" s="24" t="s">
        <v>300</v>
      </c>
      <c r="C11" s="2" t="s">
        <v>301</v>
      </c>
      <c r="D11" s="13" t="s">
        <v>302</v>
      </c>
      <c r="E11" s="16">
        <v>5.9</v>
      </c>
      <c r="F11" s="16">
        <v>7.49</v>
      </c>
      <c r="G11" s="16">
        <v>8.77</v>
      </c>
      <c r="H11" s="35">
        <f>IF(I11&lt;X11,X11,I11)</f>
        <v>44.965448787184187</v>
      </c>
      <c r="I11" s="27">
        <f>J11+K11+L11+M11+N11</f>
        <v>44.965448787184187</v>
      </c>
      <c r="J11" s="9">
        <f>116/1.2213*(0.0950502775050452+(1.12627632206642)/((1+($B$2/0.302756091410027)^2.26536793426585)^0.152776210790626))/E11</f>
        <v>19.661445160587419</v>
      </c>
      <c r="K11" s="9">
        <f>5.91232283796472*O11*(G11-F11)/E11^0.600317738509086*(1+$B$2)^0.808139120750434</f>
        <v>3.3375051406368161</v>
      </c>
      <c r="L11" s="9">
        <f>1.04237828050238*P11*(F11+2.34973310685883)/(R11*E11^-0.304107132838227+(1-R11)*(14-F11)^-0.304107132838227)</f>
        <v>21.966498485959949</v>
      </c>
      <c r="M11" s="9">
        <f>13.6914255489806*Q11*(G11-9)</f>
        <v>0</v>
      </c>
      <c r="N11" s="9">
        <f>2.4817076129942*Q11*(6.5-$B$3)</f>
        <v>0</v>
      </c>
      <c r="O11" s="12">
        <f>IF(G11-F11&lt;=1,IF(F11&lt;=6,0,G11-F11), G11-F11)</f>
        <v>1.2799999999999994</v>
      </c>
      <c r="P11" s="11">
        <f>IF(F11-6&gt;0,F11/6,0)</f>
        <v>1.2483333333333333</v>
      </c>
      <c r="Q11" s="12">
        <f>IF(G11-9&gt;0,G11/9,0)</f>
        <v>0</v>
      </c>
      <c r="R11" s="1">
        <f>IF(E11&lt;=14-F11,1,0)</f>
        <v>1</v>
      </c>
      <c r="S11" s="1">
        <f>LN((6.5/$B$3)^2.512)</f>
        <v>1.5550264915164334</v>
      </c>
      <c r="T11" s="33">
        <f>0.952988428558035*G11+(G11/13)^1.21758761926721*S11*3.49701599950785-6.17437592197594+$B$3*1.04875246413893</f>
        <v>9.2213793972550047</v>
      </c>
      <c r="U11" s="34">
        <f>(T11/13)^2.512*S11</f>
        <v>0.65626518951104573</v>
      </c>
      <c r="V11" s="34">
        <f>T11-U11-G11</f>
        <v>-0.2048857922560412</v>
      </c>
      <c r="W11" s="34">
        <f>IF(V11&lt;0,T11-V11,T11)</f>
        <v>9.4262651895110459</v>
      </c>
      <c r="X11" s="34">
        <f>10^((W11-2.7)/5)</f>
        <v>22.143845257013602</v>
      </c>
    </row>
    <row r="12" spans="1:24" x14ac:dyDescent="0.25">
      <c r="A12" s="2" t="s">
        <v>401</v>
      </c>
      <c r="B12" s="24" t="s">
        <v>402</v>
      </c>
      <c r="C12" s="2" t="s">
        <v>403</v>
      </c>
      <c r="D12" s="13" t="s">
        <v>404</v>
      </c>
      <c r="E12" s="16">
        <v>17.2</v>
      </c>
      <c r="F12" s="16">
        <v>7.76</v>
      </c>
      <c r="G12" s="16">
        <v>9.58</v>
      </c>
      <c r="H12" s="35">
        <f>IF(I12&lt;X12,X12,I12)</f>
        <v>50.456384422544154</v>
      </c>
      <c r="I12" s="27">
        <f>J12+K12+L12+M12+N12</f>
        <v>50.456384422544154</v>
      </c>
      <c r="J12" s="9">
        <f>116/1.2213*(0.0950502775050452+(1.12627632206642)/((1+($B$2/0.302756091410027)^2.26536793426585)^0.152776210790626))/E12</f>
        <v>6.7443329329921973</v>
      </c>
      <c r="K12" s="9">
        <f>5.91232283796472*O12*(G12-F12)/E12^0.600317738509086*(1+$B$2)^0.808139120750434</f>
        <v>3.549696915787842</v>
      </c>
      <c r="L12" s="9">
        <f>1.04237828050238*P12*(F12+2.34973310685883)/(R12*E12^-0.304107132838227+(1-R12)*(14-F12)^-0.304107132838227)</f>
        <v>23.784653049563101</v>
      </c>
      <c r="M12" s="9">
        <f>13.6914255489806*Q12*(G12-9)</f>
        <v>8.4527818800395362</v>
      </c>
      <c r="N12" s="9">
        <f>2.4817076129942*Q12*(6.5-$B$3)</f>
        <v>7.9249196441614789</v>
      </c>
      <c r="O12" s="12">
        <f>IF(G12-F12&lt;=1,IF(F12&lt;=6,0,G12-F12), G12-F12)</f>
        <v>1.8200000000000003</v>
      </c>
      <c r="P12" s="11">
        <f>IF(F12-6&gt;0,F12/6,0)</f>
        <v>1.2933333333333332</v>
      </c>
      <c r="Q12" s="12">
        <f>IF(G12-9&gt;0,G12/9,0)</f>
        <v>1.0644444444444445</v>
      </c>
      <c r="R12" s="1">
        <f>IF(E12&lt;=14-F12,1,0)</f>
        <v>0</v>
      </c>
      <c r="S12" s="1">
        <f>LN((6.5/$B$3)^2.512)</f>
        <v>1.5550264915164334</v>
      </c>
      <c r="T12" s="33">
        <f>0.952988428558035*G12+(G12/13)^1.21758761926721*S12*3.49701599950785-6.17437592197594+$B$3*1.04875246413893</f>
        <v>10.375705551117466</v>
      </c>
      <c r="U12" s="34">
        <f>(T12/13)^2.512*S12</f>
        <v>0.88256845175142407</v>
      </c>
      <c r="V12" s="34">
        <f>T12-U12-G12</f>
        <v>-8.6862900633958517E-2</v>
      </c>
      <c r="W12" s="34">
        <f>IF(V12&lt;0,T12-V12,T12)</f>
        <v>10.462568451751425</v>
      </c>
      <c r="X12" s="34">
        <f>10^((W12-2.7)/5)</f>
        <v>35.687299888383237</v>
      </c>
    </row>
    <row r="13" spans="1:24" x14ac:dyDescent="0.25">
      <c r="A13" s="2" t="s">
        <v>371</v>
      </c>
      <c r="B13" s="24" t="s">
        <v>372</v>
      </c>
      <c r="C13" s="2" t="s">
        <v>373</v>
      </c>
      <c r="D13" s="13" t="s">
        <v>374</v>
      </c>
      <c r="E13" s="16">
        <v>9.9</v>
      </c>
      <c r="F13" s="16">
        <v>7.33</v>
      </c>
      <c r="G13" s="16">
        <v>9.36</v>
      </c>
      <c r="H13" s="35">
        <f>IF(I13&lt;X13,X13,I13)</f>
        <v>52.690430392112496</v>
      </c>
      <c r="I13" s="27">
        <f>J13+K13+L13+M13+N13</f>
        <v>52.690430392112496</v>
      </c>
      <c r="J13" s="9">
        <f>116/1.2213*(0.0950502775050452+(1.12627632206642)/((1+($B$2/0.302756091410027)^2.26536793426585)^0.152776210790626))/E13</f>
        <v>11.717426913885433</v>
      </c>
      <c r="K13" s="9">
        <f>5.91232283796472*O13*(G13-F13)/E13^0.600317738509086*(1+$B$2)^0.808139120750434</f>
        <v>6.1525159433184813</v>
      </c>
      <c r="L13" s="9">
        <f>1.04237828050238*P13*(F13+2.34973310685883)/(R13*E13^-0.304107132838227+(1-R13)*(14-F13)^-0.304107132838227)</f>
        <v>21.951490056828352</v>
      </c>
      <c r="M13" s="9">
        <f>13.6914255489806*Q13*(G13-9)</f>
        <v>5.1260697255383292</v>
      </c>
      <c r="N13" s="9">
        <f>2.4817076129942*Q13*(6.5-$B$3)</f>
        <v>7.7429277525419042</v>
      </c>
      <c r="O13" s="12">
        <f>IF(G13-F13&lt;=1,IF(F13&lt;=6,0,G13-F13), G13-F13)</f>
        <v>2.0299999999999994</v>
      </c>
      <c r="P13" s="11">
        <f>IF(F13-6&gt;0,F13/6,0)</f>
        <v>1.2216666666666667</v>
      </c>
      <c r="Q13" s="12">
        <f>IF(G13-9&gt;0,G13/9,0)</f>
        <v>1.04</v>
      </c>
      <c r="R13" s="1">
        <f>IF(E13&lt;=14-F13,1,0)</f>
        <v>0</v>
      </c>
      <c r="S13" s="1">
        <f>LN((6.5/$B$3)^2.512)</f>
        <v>1.5550264915164334</v>
      </c>
      <c r="T13" s="33">
        <f>0.952988428558035*G13+(G13/13)^1.21758761926721*S13*3.49701599950785-6.17437592197594+$B$3*1.04875246413893</f>
        <v>10.061461824017174</v>
      </c>
      <c r="U13" s="34">
        <f>(T13/13)^2.512*S13</f>
        <v>0.81695236311514063</v>
      </c>
      <c r="V13" s="34">
        <f>T13-U13-G13</f>
        <v>-0.11549053909796569</v>
      </c>
      <c r="W13" s="34">
        <f>IF(V13&lt;0,T13-V13,T13)</f>
        <v>10.17695236311514</v>
      </c>
      <c r="X13" s="34">
        <f>10^((W13-2.7)/5)</f>
        <v>31.288912778572836</v>
      </c>
    </row>
    <row r="14" spans="1:24" x14ac:dyDescent="0.25">
      <c r="A14" s="2" t="s">
        <v>263</v>
      </c>
      <c r="B14" s="24" t="s">
        <v>264</v>
      </c>
      <c r="C14" s="2" t="s">
        <v>265</v>
      </c>
      <c r="D14" s="13" t="s">
        <v>266</v>
      </c>
      <c r="E14" s="16">
        <v>3.6</v>
      </c>
      <c r="F14" s="16">
        <v>7.11</v>
      </c>
      <c r="G14" s="16">
        <v>8.52</v>
      </c>
      <c r="H14" s="35">
        <f>IF(I14&lt;X14,X14,I14)</f>
        <v>54.921295984873566</v>
      </c>
      <c r="I14" s="27">
        <f>J14+K14+L14+M14+N14</f>
        <v>54.921295984873566</v>
      </c>
      <c r="J14" s="9">
        <f>116/1.2213*(0.0950502775050452+(1.12627632206642)/((1+($B$2/0.302756091410027)^2.26536793426585)^0.152776210790626))/E14</f>
        <v>32.222924013184937</v>
      </c>
      <c r="K14" s="9">
        <f>5.91232283796472*O14*(G14-F14)/E14^0.600317738509086*(1+$B$2)^0.808139120750434</f>
        <v>5.448012639559531</v>
      </c>
      <c r="L14" s="9">
        <f>1.04237828050238*P14*(F14+2.34973310685883)/(R14*E14^-0.304107132838227+(1-R14)*(14-F14)^-0.304107132838227)</f>
        <v>17.250359332129101</v>
      </c>
      <c r="M14" s="9">
        <f>13.6914255489806*Q14*(G14-9)</f>
        <v>0</v>
      </c>
      <c r="N14" s="9">
        <f>2.4817076129942*Q14*(6.5-$B$3)</f>
        <v>0</v>
      </c>
      <c r="O14" s="12">
        <f>IF(G14-F14&lt;=1,IF(F14&lt;=6,0,G14-F14), G14-F14)</f>
        <v>1.4099999999999993</v>
      </c>
      <c r="P14" s="11">
        <f>IF(F14-6&gt;0,F14/6,0)</f>
        <v>1.1850000000000001</v>
      </c>
      <c r="Q14" s="12">
        <f>IF(G14-9&gt;0,G14/9,0)</f>
        <v>0</v>
      </c>
      <c r="R14" s="1">
        <f>IF(E14&lt;=14-F14,1,0)</f>
        <v>1</v>
      </c>
      <c r="S14" s="1">
        <f>LN((6.5/$B$3)^2.512)</f>
        <v>1.5550264915164334</v>
      </c>
      <c r="T14" s="33">
        <f>0.952988428558035*G14+(G14/13)^1.21758761926721*S14*3.49701599950785-6.17437592197594+$B$3*1.04875246413893</f>
        <v>8.8666183474590685</v>
      </c>
      <c r="U14" s="34">
        <f>(T14/13)^2.512*S14</f>
        <v>0.59467574494929609</v>
      </c>
      <c r="V14" s="34">
        <f>T14-U14-G14</f>
        <v>-0.24805739749022671</v>
      </c>
      <c r="W14" s="34">
        <f>IF(V14&lt;0,T14-V14,T14)</f>
        <v>9.1146757449492952</v>
      </c>
      <c r="X14" s="34">
        <f>10^((W14-2.7)/5)</f>
        <v>19.18382256909775</v>
      </c>
    </row>
    <row r="15" spans="1:24" x14ac:dyDescent="0.25">
      <c r="A15" s="2" t="s">
        <v>380</v>
      </c>
      <c r="B15" s="24" t="s">
        <v>381</v>
      </c>
      <c r="C15" s="2" t="s">
        <v>382</v>
      </c>
      <c r="D15" s="13" t="s">
        <v>383</v>
      </c>
      <c r="E15" s="16">
        <v>12</v>
      </c>
      <c r="F15" s="16">
        <v>9.4700000000000006</v>
      </c>
      <c r="G15" s="16">
        <v>9.98</v>
      </c>
      <c r="H15" s="35">
        <f>IF(I15&lt;X15,X15,I15)</f>
        <v>63.933478629523762</v>
      </c>
      <c r="I15" s="27">
        <f>J15+K15+L15+M15+N15</f>
        <v>63.933478629523762</v>
      </c>
      <c r="J15" s="9">
        <f>116/1.2213*(0.0950502775050452+(1.12627632206642)/((1+($B$2/0.302756091410027)^2.26536793426585)^0.152776210790626))/E15</f>
        <v>9.6668772039554813</v>
      </c>
      <c r="K15" s="9">
        <f>5.91232283796472*O15*(G15-F15)/E15^0.600317738509086*(1+$B$2)^0.808139120750434</f>
        <v>0.34597669643175427</v>
      </c>
      <c r="L15" s="9">
        <f>1.04237828050238*P15*(F15+2.34973310685883)/(R15*E15^-0.304107132838227+(1-R15)*(14-F15)^-0.304107132838227)</f>
        <v>30.786186465548056</v>
      </c>
      <c r="M15" s="9">
        <f>13.6914255489806*Q15*(G15-9)</f>
        <v>14.878624271027771</v>
      </c>
      <c r="N15" s="9">
        <f>2.4817076129942*Q15*(6.5-$B$3)</f>
        <v>8.2558139925607072</v>
      </c>
      <c r="O15" s="12">
        <f>IF(G15-F15&lt;=1,IF(F15&lt;=6,0,G15-F15), G15-F15)</f>
        <v>0.50999999999999979</v>
      </c>
      <c r="P15" s="11">
        <f>IF(F15-6&gt;0,F15/6,0)</f>
        <v>1.5783333333333334</v>
      </c>
      <c r="Q15" s="12">
        <f>IF(G15-9&gt;0,G15/9,0)</f>
        <v>1.108888888888889</v>
      </c>
      <c r="R15" s="1">
        <f>IF(E15&lt;=14-F15,1,0)</f>
        <v>0</v>
      </c>
      <c r="S15" s="1">
        <f>LN((6.5/$B$3)^2.512)</f>
        <v>1.5550264915164334</v>
      </c>
      <c r="T15" s="33">
        <f>0.952988428558035*G15+(G15/13)^1.21758761926721*S15*3.49701599950785-6.17437592197594+$B$3*1.04875246413893</f>
        <v>10.948393661780068</v>
      </c>
      <c r="U15" s="34">
        <f>(T15/13)^2.512*S15</f>
        <v>1.0100905484149194</v>
      </c>
      <c r="V15" s="34">
        <f>T15-U15-G15</f>
        <v>-4.1696886634850827E-2</v>
      </c>
      <c r="W15" s="34">
        <f>IF(V15&lt;0,T15-V15,T15)</f>
        <v>10.990090548414919</v>
      </c>
      <c r="X15" s="34">
        <f>10^((W15-2.7)/5)</f>
        <v>45.500703313190868</v>
      </c>
    </row>
    <row r="16" spans="1:24" x14ac:dyDescent="0.25">
      <c r="A16" s="2" t="s">
        <v>135</v>
      </c>
      <c r="B16" s="24" t="s">
        <v>375</v>
      </c>
      <c r="C16" s="2" t="s">
        <v>137</v>
      </c>
      <c r="D16" s="13" t="s">
        <v>138</v>
      </c>
      <c r="E16" s="16">
        <v>10</v>
      </c>
      <c r="F16" s="16">
        <v>8.31</v>
      </c>
      <c r="G16" s="16">
        <v>10.02</v>
      </c>
      <c r="H16" s="35">
        <f>IF(I16&lt;X16,X16,I16)</f>
        <v>65.889551191275217</v>
      </c>
      <c r="I16" s="27">
        <f>J16+K16+L16+M16+N16</f>
        <v>65.889551191275217</v>
      </c>
      <c r="J16" s="9">
        <f>116/1.2213*(0.0950502775050452+(1.12627632206642)/((1+($B$2/0.302756091410027)^2.26536793426585)^0.152776210790626))/E16</f>
        <v>11.600252644746579</v>
      </c>
      <c r="K16" s="9">
        <f>5.91232283796472*O16*(G16-F16)/E16^0.600317738509086*(1+$B$2)^0.808139120750434</f>
        <v>4.3394293559650174</v>
      </c>
      <c r="L16" s="9">
        <f>1.04237828050238*P16*(F16+2.34973310685883)/(R16*E16^-0.304107132838227+(1-R16)*(14-F16)^-0.304107132838227)</f>
        <v>26.11298290974063</v>
      </c>
      <c r="M16" s="9">
        <f>13.6914255489806*Q16*(G16-9)</f>
        <v>15.547982853422363</v>
      </c>
      <c r="N16" s="9">
        <f>2.4817076129942*Q16*(6.5-$B$3)</f>
        <v>8.2889034274006281</v>
      </c>
      <c r="O16" s="12">
        <f>IF(G16-F16&lt;=1,IF(F16&lt;=6,0,G16-F16), G16-F16)</f>
        <v>1.7099999999999991</v>
      </c>
      <c r="P16" s="11">
        <f>IF(F16-6&gt;0,F16/6,0)</f>
        <v>1.385</v>
      </c>
      <c r="Q16" s="12">
        <f>IF(G16-9&gt;0,G16/9,0)</f>
        <v>1.1133333333333333</v>
      </c>
      <c r="R16" s="1">
        <f>IF(E16&lt;=14-F16,1,0)</f>
        <v>0</v>
      </c>
      <c r="S16" s="1">
        <f>LN((6.5/$B$3)^2.512)</f>
        <v>1.5550264915164334</v>
      </c>
      <c r="T16" s="33">
        <f>0.952988428558035*G16+(G16/13)^1.21758761926721*S16*3.49701599950785-6.17437592197594+$B$3*1.04875246413893</f>
        <v>11.005755613256596</v>
      </c>
      <c r="U16" s="34">
        <f>(T16/13)^2.512*S16</f>
        <v>1.0234371836593241</v>
      </c>
      <c r="V16" s="34">
        <f>T16-U16-G16</f>
        <v>-3.7681570402726905E-2</v>
      </c>
      <c r="W16" s="34">
        <f>IF(V16&lt;0,T16-V16,T16)</f>
        <v>11.043437183659323</v>
      </c>
      <c r="X16" s="34">
        <f>10^((W16-2.7)/5)</f>
        <v>46.632364474431114</v>
      </c>
    </row>
    <row r="17" spans="1:24" x14ac:dyDescent="0.25">
      <c r="A17" s="2" t="s">
        <v>421</v>
      </c>
      <c r="B17" s="24" t="s">
        <v>422</v>
      </c>
      <c r="C17" s="2" t="s">
        <v>423</v>
      </c>
      <c r="D17" s="13" t="s">
        <v>424</v>
      </c>
      <c r="E17" s="16">
        <v>19.100000000000001</v>
      </c>
      <c r="F17" s="16">
        <v>9.0500000000000007</v>
      </c>
      <c r="G17" s="16">
        <v>10.4</v>
      </c>
      <c r="H17" s="35">
        <f>IF(I17&lt;X17,X17,I17)</f>
        <v>67.811250942767316</v>
      </c>
      <c r="I17" s="27">
        <f>J17+K17+L17+M17+N17</f>
        <v>67.811250942767316</v>
      </c>
      <c r="J17" s="9">
        <f>116/1.2213*(0.0950502775050452+(1.12627632206642)/((1+($B$2/0.302756091410027)^2.26536793426585)^0.152776210790626))/E17</f>
        <v>6.0734307040557995</v>
      </c>
      <c r="K17" s="9">
        <f>5.91232283796472*O17*(G17-F17)/E17^0.600317738509086*(1+$B$2)^0.808139120750434</f>
        <v>1.8339970103064736</v>
      </c>
      <c r="L17" s="9">
        <f>1.04237828050238*P17*(F17+2.34973310685883)/(R17*E17^-0.304107132838227+(1-R17)*(14-F17)^-0.304107132838227)</f>
        <v>29.150886170785412</v>
      </c>
      <c r="M17" s="9">
        <f>13.6914255489806*Q17*(G17-9)</f>
        <v>22.149683999239734</v>
      </c>
      <c r="N17" s="9">
        <f>2.4817076129942*Q17*(6.5-$B$3)</f>
        <v>8.6032530583798934</v>
      </c>
      <c r="O17" s="12">
        <f>IF(G17-F17&lt;=1,IF(F17&lt;=6,0,G17-F17), G17-F17)</f>
        <v>1.3499999999999996</v>
      </c>
      <c r="P17" s="11">
        <f>IF(F17-6&gt;0,F17/6,0)</f>
        <v>1.5083333333333335</v>
      </c>
      <c r="Q17" s="12">
        <f>IF(G17-9&gt;0,G17/9,0)</f>
        <v>1.1555555555555557</v>
      </c>
      <c r="R17" s="1">
        <f>IF(E17&lt;=14-F17,1,0)</f>
        <v>0</v>
      </c>
      <c r="S17" s="1">
        <f>LN((6.5/$B$3)^2.512)</f>
        <v>1.5550264915164334</v>
      </c>
      <c r="T17" s="33">
        <f>0.952988428558035*G17+(G17/13)^1.21758761926721*S17*3.49701599950785-6.17437592197594+$B$3*1.04875246413893</f>
        <v>11.55152087960094</v>
      </c>
      <c r="U17" s="34">
        <f>(T17/13)^2.512*S17</f>
        <v>1.1557440857443246</v>
      </c>
      <c r="V17" s="34">
        <f>T17-U17-G17</f>
        <v>-4.2232061433846724E-3</v>
      </c>
      <c r="W17" s="34">
        <f>IF(V17&lt;0,T17-V17,T17)</f>
        <v>11.555744085744324</v>
      </c>
      <c r="X17" s="34">
        <f>10^((W17-2.7)/5)</f>
        <v>59.040335557674481</v>
      </c>
    </row>
    <row r="18" spans="1:24" x14ac:dyDescent="0.25">
      <c r="A18" s="2" t="s">
        <v>359</v>
      </c>
      <c r="B18" s="24" t="s">
        <v>360</v>
      </c>
      <c r="C18" s="2" t="s">
        <v>361</v>
      </c>
      <c r="D18" s="13" t="s">
        <v>362</v>
      </c>
      <c r="E18" s="16">
        <v>8.9</v>
      </c>
      <c r="F18" s="16">
        <v>7.57</v>
      </c>
      <c r="G18" s="16">
        <v>9.9700000000000006</v>
      </c>
      <c r="H18" s="35">
        <f>IF(I18&lt;X18,X18,I18)</f>
        <v>68.135803281119138</v>
      </c>
      <c r="I18" s="27">
        <f>J18+K18+L18+M18+N18</f>
        <v>68.135803281119138</v>
      </c>
      <c r="J18" s="9">
        <f>116/1.2213*(0.0950502775050452+(1.12627632206642)/((1+($B$2/0.302756091410027)^2.26536793426585)^0.152776210790626))/E18</f>
        <v>13.033991735670313</v>
      </c>
      <c r="K18" s="9">
        <f>5.91232283796472*O18*(G18-F18)/E18^0.600317738509086*(1+$B$2)^0.808139120750434</f>
        <v>9.1673742632520892</v>
      </c>
      <c r="L18" s="9">
        <f>1.04237828050238*P18*(F18+2.34973310685883)/(R18*E18^-0.304107132838227+(1-R18)*(14-F18)^-0.304107132838227)</f>
        <v>22.974850388164171</v>
      </c>
      <c r="M18" s="9">
        <f>13.6914255489806*Q18*(G18-9)</f>
        <v>14.712045260181842</v>
      </c>
      <c r="N18" s="9">
        <f>2.4817076129942*Q18*(6.5-$B$3)</f>
        <v>8.247541633850723</v>
      </c>
      <c r="O18" s="12">
        <f>IF(G18-F18&lt;=1,IF(F18&lt;=6,0,G18-F18), G18-F18)</f>
        <v>2.4000000000000004</v>
      </c>
      <c r="P18" s="11">
        <f>IF(F18-6&gt;0,F18/6,0)</f>
        <v>1.2616666666666667</v>
      </c>
      <c r="Q18" s="12">
        <f>IF(G18-9&gt;0,G18/9,0)</f>
        <v>1.1077777777777778</v>
      </c>
      <c r="R18" s="1">
        <f>IF(E18&lt;=14-F18,1,0)</f>
        <v>0</v>
      </c>
      <c r="S18" s="1">
        <f>LN((6.5/$B$3)^2.512)</f>
        <v>1.5550264915164334</v>
      </c>
      <c r="T18" s="33">
        <f>0.952988428558035*G18+(G18/13)^1.21758761926721*S18*3.49701599950785-6.17437592197594+$B$3*1.04875246413893</f>
        <v>10.934055792782077</v>
      </c>
      <c r="U18" s="34">
        <f>(T18/13)^2.512*S18</f>
        <v>1.0067709614010945</v>
      </c>
      <c r="V18" s="34">
        <f>T18-U18-G18</f>
        <v>-4.2715168619018584E-2</v>
      </c>
      <c r="W18" s="34">
        <f>IF(V18&lt;0,T18-V18,T18)</f>
        <v>10.976770961401096</v>
      </c>
      <c r="X18" s="34">
        <f>10^((W18-2.7)/5)</f>
        <v>45.22246093573505</v>
      </c>
    </row>
    <row r="19" spans="1:24" x14ac:dyDescent="0.25">
      <c r="A19" s="2" t="s">
        <v>380</v>
      </c>
      <c r="B19" s="24" t="s">
        <v>425</v>
      </c>
      <c r="C19" s="2" t="s">
        <v>382</v>
      </c>
      <c r="D19" s="13" t="s">
        <v>383</v>
      </c>
      <c r="E19" s="16">
        <v>19.899999999999999</v>
      </c>
      <c r="F19" s="16">
        <v>9.4700000000000006</v>
      </c>
      <c r="G19" s="16">
        <v>10.51</v>
      </c>
      <c r="H19" s="35">
        <f>IF(I19&lt;X19,X19,I19)</f>
        <v>70.514348062116724</v>
      </c>
      <c r="I19" s="27">
        <f>J19+K19+L19+M19+N19</f>
        <v>70.514348062116724</v>
      </c>
      <c r="J19" s="9">
        <f>116/1.2213*(0.0950502775050452+(1.12627632206642)/((1+($B$2/0.302756091410027)^2.26536793426585)^0.152776210790626))/E19</f>
        <v>5.8292726858023007</v>
      </c>
      <c r="K19" s="9">
        <f>5.91232283796472*O19*(G19-F19)/E19^0.600317738509086*(1+$B$2)^0.808139120750434</f>
        <v>1.061940728257021</v>
      </c>
      <c r="L19" s="9">
        <f>1.04237828050238*P19*(F19+2.34973310685883)/(R19*E19^-0.304107132838227+(1-R19)*(14-F19)^-0.304107132838227)</f>
        <v>30.786186465548056</v>
      </c>
      <c r="M19" s="9">
        <f>13.6914255489806*Q19*(G19-9)</f>
        <v>24.142699178319667</v>
      </c>
      <c r="N19" s="9">
        <f>2.4817076129942*Q19*(6.5-$B$3)</f>
        <v>8.6942490041896807</v>
      </c>
      <c r="O19" s="12">
        <f>IF(G19-F19&lt;=1,IF(F19&lt;=6,0,G19-F19), G19-F19)</f>
        <v>1.0399999999999991</v>
      </c>
      <c r="P19" s="11">
        <f>IF(F19-6&gt;0,F19/6,0)</f>
        <v>1.5783333333333334</v>
      </c>
      <c r="Q19" s="12">
        <f>IF(G19-9&gt;0,G19/9,0)</f>
        <v>1.1677777777777778</v>
      </c>
      <c r="R19" s="1">
        <f>IF(E19&lt;=14-F19,1,0)</f>
        <v>0</v>
      </c>
      <c r="S19" s="1">
        <f>LN((6.5/$B$3)^2.512)</f>
        <v>1.5550264915164334</v>
      </c>
      <c r="T19" s="33">
        <f>0.952988428558035*G19+(G19/13)^1.21758761926721*S19*3.49701599950785-6.17437592197594+$B$3*1.04875246413893</f>
        <v>11.709781016767783</v>
      </c>
      <c r="U19" s="34">
        <f>(T19/13)^2.512*S19</f>
        <v>1.1959323398147004</v>
      </c>
      <c r="V19" s="34">
        <f>T19-U19-G19</f>
        <v>3.8486769530834408E-3</v>
      </c>
      <c r="W19" s="34">
        <f>IF(V19&lt;0,T19-V19,T19)</f>
        <v>11.709781016767783</v>
      </c>
      <c r="X19" s="34">
        <f>10^((W19-2.7)/5)</f>
        <v>63.380579156871008</v>
      </c>
    </row>
    <row r="20" spans="1:24" x14ac:dyDescent="0.25">
      <c r="A20" s="2" t="s">
        <v>331</v>
      </c>
      <c r="B20" s="24" t="s">
        <v>332</v>
      </c>
      <c r="C20" s="2" t="s">
        <v>333</v>
      </c>
      <c r="D20" s="13" t="s">
        <v>334</v>
      </c>
      <c r="E20" s="16">
        <v>7.2</v>
      </c>
      <c r="F20" s="16">
        <v>8.57</v>
      </c>
      <c r="G20" s="16">
        <v>10.029999999999999</v>
      </c>
      <c r="H20" s="35">
        <f>IF(I20&lt;X20,X20,I20)</f>
        <v>71.174897306592229</v>
      </c>
      <c r="I20" s="27">
        <f>J20+K20+L20+M20+N20</f>
        <v>71.174897306592229</v>
      </c>
      <c r="J20" s="9">
        <f>116/1.2213*(0.0950502775050452+(1.12627632206642)/((1+($B$2/0.302756091410027)^2.26536793426585)^0.152776210790626))/E20</f>
        <v>16.111462006592468</v>
      </c>
      <c r="K20" s="9">
        <f>5.91232283796472*O20*(G20-F20)/E20^0.600317738509086*(1+$B$2)^0.808139120750434</f>
        <v>3.8529373430610887</v>
      </c>
      <c r="L20" s="9">
        <f>1.04237828050238*P20*(F20+2.34973310685883)/(R20*E20^-0.304107132838227+(1-R20)*(14-F20)^-0.304107132838227)</f>
        <v>27.197239037054334</v>
      </c>
      <c r="M20" s="9">
        <f>13.6914255489806*Q20*(G20-9)</f>
        <v>15.716083133773731</v>
      </c>
      <c r="N20" s="9">
        <f>2.4817076129942*Q20*(6.5-$B$3)</f>
        <v>8.297175786110607</v>
      </c>
      <c r="O20" s="12">
        <f>IF(G20-F20&lt;=1,IF(F20&lt;=6,0,G20-F20), G20-F20)</f>
        <v>1.4599999999999991</v>
      </c>
      <c r="P20" s="11">
        <f>IF(F20-6&gt;0,F20/6,0)</f>
        <v>1.4283333333333335</v>
      </c>
      <c r="Q20" s="12">
        <f>IF(G20-9&gt;0,G20/9,0)</f>
        <v>1.1144444444444443</v>
      </c>
      <c r="R20" s="1">
        <f>IF(E20&lt;=14-F20,1,0)</f>
        <v>0</v>
      </c>
      <c r="S20" s="1">
        <f>LN((6.5/$B$3)^2.512)</f>
        <v>1.5550264915164334</v>
      </c>
      <c r="T20" s="33">
        <f>0.952988428558035*G20+(G20/13)^1.21758761926721*S20*3.49701599950785-6.17437592197594+$B$3*1.04875246413893</f>
        <v>11.020098715901993</v>
      </c>
      <c r="U20" s="34">
        <f>(T20/13)^2.512*S20</f>
        <v>1.0267909425733801</v>
      </c>
      <c r="V20" s="34">
        <f>T20-U20-G20</f>
        <v>-3.6692226671386052E-2</v>
      </c>
      <c r="W20" s="34">
        <f>IF(V20&lt;0,T20-V20,T20)</f>
        <v>11.056790942573379</v>
      </c>
      <c r="X20" s="34">
        <f>10^((W20-2.7)/5)</f>
        <v>46.920019994593964</v>
      </c>
    </row>
    <row r="21" spans="1:24" x14ac:dyDescent="0.25">
      <c r="A21" s="2" t="s">
        <v>351</v>
      </c>
      <c r="B21" s="24" t="s">
        <v>352</v>
      </c>
      <c r="C21" s="2" t="s">
        <v>353</v>
      </c>
      <c r="D21" s="13" t="s">
        <v>354</v>
      </c>
      <c r="E21" s="16">
        <v>8.4</v>
      </c>
      <c r="F21" s="16">
        <v>8.41</v>
      </c>
      <c r="G21" s="16">
        <v>10.3</v>
      </c>
      <c r="H21" s="35">
        <f>IF(I21&lt;X21,X21,I21)</f>
        <v>75.117842655776414</v>
      </c>
      <c r="I21" s="27">
        <f>J21+K21+L21+M21+N21</f>
        <v>75.117842655776414</v>
      </c>
      <c r="J21" s="9">
        <f>116/1.2213*(0.0950502775050452+(1.12627632206642)/((1+($B$2/0.302756091410027)^2.26536793426585)^0.152776210790626))/E21</f>
        <v>13.80982457707926</v>
      </c>
      <c r="K21" s="9">
        <f>5.91232283796472*O21*(G21-F21)/E21^0.600317738509086*(1+$B$2)^0.808139120750434</f>
        <v>5.886003255203641</v>
      </c>
      <c r="L21" s="9">
        <f>1.04237828050238*P21*(F21+2.34973310685883)/(R21*E21^-0.304107132838227+(1-R21)*(14-F21)^-0.304107132838227)</f>
        <v>26.531686674341159</v>
      </c>
      <c r="M21" s="9">
        <f>13.6914255489806*Q21*(G21-9)</f>
        <v>20.369798677872264</v>
      </c>
      <c r="N21" s="9">
        <f>2.4817076129942*Q21*(6.5-$B$3)</f>
        <v>8.5205294712800868</v>
      </c>
      <c r="O21" s="12">
        <f>IF(G21-F21&lt;=1,IF(F21&lt;=6,0,G21-F21), G21-F21)</f>
        <v>1.8900000000000006</v>
      </c>
      <c r="P21" s="11">
        <f>IF(F21-6&gt;0,F21/6,0)</f>
        <v>1.4016666666666666</v>
      </c>
      <c r="Q21" s="12">
        <f>IF(G21-9&gt;0,G21/9,0)</f>
        <v>1.1444444444444446</v>
      </c>
      <c r="R21" s="1">
        <f>IF(E21&lt;=14-F21,1,0)</f>
        <v>0</v>
      </c>
      <c r="S21" s="1">
        <f>LN((6.5/$B$3)^2.512)</f>
        <v>1.5550264915164334</v>
      </c>
      <c r="T21" s="33">
        <f>0.952988428558035*G21+(G21/13)^1.21758761926721*S21*3.49701599950785-6.17437592197594+$B$3*1.04875246413893</f>
        <v>11.407754587151244</v>
      </c>
      <c r="U21" s="34">
        <f>(T21/13)^2.512*S21</f>
        <v>1.1199507306361369</v>
      </c>
      <c r="V21" s="34">
        <f>T21-U21-G21</f>
        <v>-1.2196143484894506E-2</v>
      </c>
      <c r="W21" s="34">
        <f>IF(V21&lt;0,T21-V21,T21)</f>
        <v>11.419950730636138</v>
      </c>
      <c r="X21" s="34">
        <f>10^((W21-2.7)/5)</f>
        <v>55.461312898680646</v>
      </c>
    </row>
    <row r="22" spans="1:24" x14ac:dyDescent="0.25">
      <c r="A22" s="2" t="s">
        <v>247</v>
      </c>
      <c r="B22" s="24" t="s">
        <v>248</v>
      </c>
      <c r="C22" s="2" t="s">
        <v>249</v>
      </c>
      <c r="D22" s="13" t="s">
        <v>250</v>
      </c>
      <c r="E22" s="16">
        <v>3.3</v>
      </c>
      <c r="F22" s="16">
        <v>8.59</v>
      </c>
      <c r="G22" s="16">
        <v>9.51</v>
      </c>
      <c r="H22" s="35">
        <f>IF(I22&lt;X22,X22,I22)</f>
        <v>76.313790420763752</v>
      </c>
      <c r="I22" s="27">
        <f>J22+K22+L22+M22+N22</f>
        <v>76.313790420763752</v>
      </c>
      <c r="J22" s="9">
        <f>116/1.2213*(0.0950502775050452+(1.12627632206642)/((1+($B$2/0.302756091410027)^2.26536793426585)^0.152776210790626))/E22</f>
        <v>35.152280741656298</v>
      </c>
      <c r="K22" s="9">
        <f>5.91232283796472*O22*(G22-F22)/E22^0.600317738509086*(1+$B$2)^0.808139120750434</f>
        <v>2.4437719707072505</v>
      </c>
      <c r="L22" s="9">
        <f>1.04237828050238*P22*(F22+2.34973310685883)/(R22*E22^-0.304107132838227+(1-R22)*(14-F22)^-0.304107132838227)</f>
        <v>23.472415346862938</v>
      </c>
      <c r="M22" s="9">
        <f>13.6914255489806*Q22*(G22-9)</f>
        <v>7.3783092283456417</v>
      </c>
      <c r="N22" s="9">
        <f>2.4817076129942*Q22*(6.5-$B$3)</f>
        <v>7.8670131331916142</v>
      </c>
      <c r="O22" s="12">
        <f>IF(G22-F22&lt;=1,IF(F22&lt;=6,0,G22-F22), G22-F22)</f>
        <v>0.91999999999999993</v>
      </c>
      <c r="P22" s="14">
        <f>IF(F22-6&gt;0,F22/6,0)</f>
        <v>1.4316666666666666</v>
      </c>
      <c r="Q22" s="11">
        <f>IF(G22-9&gt;0,G22/9,0)</f>
        <v>1.0566666666666666</v>
      </c>
      <c r="R22" s="1">
        <f>IF(E22&lt;=14-F22,1,0)</f>
        <v>1</v>
      </c>
      <c r="S22" s="1">
        <f>LN((6.5/$B$3)^2.512)</f>
        <v>1.5550264915164334</v>
      </c>
      <c r="T22" s="33">
        <f>0.952988428558035*G22+(G22/13)^1.21758761926721*S22*3.49701599950785-6.17437592197594+$B$3*1.04875246413893</f>
        <v>10.275661627618959</v>
      </c>
      <c r="U22" s="34">
        <f>(T22/13)^2.512*S22</f>
        <v>0.86134729752717765</v>
      </c>
      <c r="V22" s="34">
        <f>T22-U22-G22</f>
        <v>-9.568566990821914E-2</v>
      </c>
      <c r="W22" s="34">
        <f>IF(V22&lt;0,T22-V22,T22)</f>
        <v>10.371347297527178</v>
      </c>
      <c r="X22" s="34">
        <f>10^((W22-2.7)/5)</f>
        <v>34.219169067359793</v>
      </c>
    </row>
    <row r="23" spans="1:24" x14ac:dyDescent="0.25">
      <c r="A23" s="2" t="s">
        <v>413</v>
      </c>
      <c r="B23" s="24" t="s">
        <v>414</v>
      </c>
      <c r="C23" s="2" t="s">
        <v>415</v>
      </c>
      <c r="D23" s="13" t="s">
        <v>416</v>
      </c>
      <c r="E23" s="16">
        <v>18.8</v>
      </c>
      <c r="F23" s="16">
        <v>8.36</v>
      </c>
      <c r="G23" s="16">
        <v>10.79</v>
      </c>
      <c r="H23" s="35">
        <f>IF(I23&lt;X23,X23,I23)</f>
        <v>76.799641208811195</v>
      </c>
      <c r="I23" s="27">
        <f>J23+K23+L23+M23+N23</f>
        <v>76.799641208811195</v>
      </c>
      <c r="J23" s="9">
        <f>116/1.2213*(0.0950502775050452+(1.12627632206642)/((1+($B$2/0.302756091410027)^2.26536793426585)^0.152776210790626))/E23</f>
        <v>6.1703471514609456</v>
      </c>
      <c r="K23" s="9">
        <f>5.91232283796472*O23*(G23-F23)/E23^0.600317738509086*(1+$B$2)^0.808139120750434</f>
        <v>5.9988931840362465</v>
      </c>
      <c r="L23" s="9">
        <f>1.04237828050238*P23*(F23+2.34973310685883)/(R23*E23^-0.304107132838227+(1-R23)*(14-F23)^-0.304107132838227)</f>
        <v>26.322574470181955</v>
      </c>
      <c r="M23" s="9">
        <f>13.6914255489806*Q23*(G23-9)</f>
        <v>29.381951355062899</v>
      </c>
      <c r="N23" s="9">
        <f>2.4817076129942*Q23*(6.5-$B$3)</f>
        <v>8.9258750480691393</v>
      </c>
      <c r="O23" s="12">
        <f>IF(G23-F23&lt;=1,IF(F23&lt;=6,0,G23-F23), G23-F23)</f>
        <v>2.4299999999999997</v>
      </c>
      <c r="P23" s="11">
        <f>IF(F23-6&gt;0,F23/6,0)</f>
        <v>1.3933333333333333</v>
      </c>
      <c r="Q23" s="12">
        <f>IF(G23-9&gt;0,G23/9,0)</f>
        <v>1.1988888888888889</v>
      </c>
      <c r="R23" s="1">
        <f>IF(E23&lt;=14-F23,1,0)</f>
        <v>0</v>
      </c>
      <c r="S23" s="1">
        <f>LN((6.5/$B$3)^2.512)</f>
        <v>1.5550264915164334</v>
      </c>
      <c r="T23" s="33">
        <f>0.952988428558035*G23+(G23/13)^1.21758761926721*S23*3.49701599950785-6.17437592197594+$B$3*1.04875246413893</f>
        <v>12.113172415499545</v>
      </c>
      <c r="U23" s="34">
        <f>(T23/13)^2.512*S23</f>
        <v>1.302134762174963</v>
      </c>
      <c r="V23" s="34">
        <f>T23-U23-G23</f>
        <v>2.103765332458174E-2</v>
      </c>
      <c r="W23" s="34">
        <f>IF(V23&lt;0,T23-V23,T23)</f>
        <v>12.113172415499545</v>
      </c>
      <c r="X23" s="34">
        <f>10^((W23-2.7)/5)</f>
        <v>76.319318404568534</v>
      </c>
    </row>
    <row r="24" spans="1:24" x14ac:dyDescent="0.25">
      <c r="A24" s="2" t="s">
        <v>251</v>
      </c>
      <c r="B24" s="24" t="s">
        <v>252</v>
      </c>
      <c r="C24" s="2" t="s">
        <v>253</v>
      </c>
      <c r="D24" s="13" t="s">
        <v>254</v>
      </c>
      <c r="E24" s="16">
        <v>3.4</v>
      </c>
      <c r="F24" s="16">
        <v>9.39</v>
      </c>
      <c r="G24" s="16">
        <v>9.5299999999999994</v>
      </c>
      <c r="H24" s="35">
        <f>IF(I24&lt;X24,X24,I24)</f>
        <v>77.527211925585107</v>
      </c>
      <c r="I24" s="27">
        <f>J24+K24+L24+M24+N24</f>
        <v>77.527211925585107</v>
      </c>
      <c r="J24" s="9">
        <f>116/1.2213*(0.0950502775050452+(1.12627632206642)/((1+($B$2/0.302756091410027)^2.26536793426585)^0.152776210790626))/E24</f>
        <v>34.118390131607583</v>
      </c>
      <c r="K24" s="9">
        <f>5.91232283796472*O24*(G24-F24)/E24^0.600317738509086*(1+$B$2)^0.808139120750434</f>
        <v>5.558504865829831E-2</v>
      </c>
      <c r="L24" s="9">
        <f>1.04237828050238*P24*(F24+2.34973310685883)/(R24*E24^-0.304107132838227+(1-R24)*(14-F24)^-0.304107132838227)</f>
        <v>27.785898749669208</v>
      </c>
      <c r="M24" s="9">
        <f>13.6914255489806*Q24*(G24-9)</f>
        <v>7.6837801450384466</v>
      </c>
      <c r="N24" s="9">
        <f>2.4817076129942*Q24*(6.5-$B$3)</f>
        <v>7.8835578506115738</v>
      </c>
      <c r="O24" s="12">
        <f>IF(G24-F24&lt;=1,IF(F24&lt;=6,0,G24-F24), G24-F24)</f>
        <v>0.13999999999999879</v>
      </c>
      <c r="P24" s="11">
        <f>IF(F24-6&gt;0,F24/6,0)</f>
        <v>1.5650000000000002</v>
      </c>
      <c r="Q24" s="12">
        <f>IF(G24-9&gt;0,G24/9,0)</f>
        <v>1.0588888888888888</v>
      </c>
      <c r="R24" s="1">
        <f>IF(E24&lt;=14-F24,1,0)</f>
        <v>1</v>
      </c>
      <c r="S24" s="1">
        <f>LN((6.5/$B$3)^2.512)</f>
        <v>1.5550264915164334</v>
      </c>
      <c r="T24" s="33">
        <f>0.952988428558035*G24+(G24/13)^1.21758761926721*S24*3.49701599950785-6.17437592197594+$B$3*1.04875246413893</f>
        <v>10.304240175682617</v>
      </c>
      <c r="U24" s="34">
        <f>(T24/13)^2.512*S24</f>
        <v>0.86737762515888861</v>
      </c>
      <c r="V24" s="34">
        <f>T24-U24-G24</f>
        <v>-9.3137449476271783E-2</v>
      </c>
      <c r="W24" s="34">
        <f>IF(V24&lt;0,T24-V24,T24)</f>
        <v>10.397377625158889</v>
      </c>
      <c r="X24" s="34">
        <f>10^((W24-2.7)/5)</f>
        <v>34.631836704536994</v>
      </c>
    </row>
    <row r="25" spans="1:24" x14ac:dyDescent="0.25">
      <c r="A25" s="2" t="s">
        <v>363</v>
      </c>
      <c r="B25" s="24" t="s">
        <v>364</v>
      </c>
      <c r="C25" s="2" t="s">
        <v>365</v>
      </c>
      <c r="D25" s="13" t="s">
        <v>366</v>
      </c>
      <c r="E25" s="16">
        <v>9.1999999999999993</v>
      </c>
      <c r="F25" s="16">
        <v>9.5</v>
      </c>
      <c r="G25" s="16">
        <v>10.5</v>
      </c>
      <c r="H25" s="35">
        <f>IF(I25&lt;X25,X25,I25)</f>
        <v>77.714738131156551</v>
      </c>
      <c r="I25" s="27">
        <f>J25+K25+L25+M25+N25</f>
        <v>77.714738131156551</v>
      </c>
      <c r="J25" s="9">
        <f>116/1.2213*(0.0950502775050452+(1.12627632206642)/((1+($B$2/0.302756091410027)^2.26536793426585)^0.152776210790626))/E25</f>
        <v>12.608970266028891</v>
      </c>
      <c r="K25" s="9">
        <f>5.91232283796472*O25*(G25-F25)/E25^0.600317738509086*(1+$B$2)^0.808139120750434</f>
        <v>1.5601961843437719</v>
      </c>
      <c r="L25" s="9">
        <f>1.04237828050238*P25*(F25+2.34973310685883)/(R25*E25^-0.304107132838227+(1-R25)*(14-F25)^-0.304107132838227)</f>
        <v>30.899600324588143</v>
      </c>
      <c r="M25" s="9">
        <f>13.6914255489806*Q25*(G25-9)</f>
        <v>23.959994710716053</v>
      </c>
      <c r="N25" s="9">
        <f>2.4817076129942*Q25*(6.5-$B$3)</f>
        <v>8.6859766454797018</v>
      </c>
      <c r="O25" s="12">
        <f>IF(G25-F25&lt;=1,IF(F25&lt;=6,0,G25-F25), G25-F25)</f>
        <v>1</v>
      </c>
      <c r="P25" s="11">
        <f>IF(F25-6&gt;0,F25/6,0)</f>
        <v>1.5833333333333333</v>
      </c>
      <c r="Q25" s="12">
        <f>IF(G25-9&gt;0,G25/9,0)</f>
        <v>1.1666666666666667</v>
      </c>
      <c r="R25" s="1">
        <f>IF(E25&lt;=14-F25,1,0)</f>
        <v>0</v>
      </c>
      <c r="S25" s="1">
        <f>LN((6.5/$B$3)^2.512)</f>
        <v>1.5550264915164334</v>
      </c>
      <c r="T25" s="33">
        <f>0.952988428558035*G25+(G25/13)^1.21758761926721*S25*3.49701599950785-6.17437592197594+$B$3*1.04875246413893</f>
        <v>11.695388682645101</v>
      </c>
      <c r="U25" s="34">
        <f>(T25/13)^2.512*S25</f>
        <v>1.1922433703560402</v>
      </c>
      <c r="V25" s="34">
        <f>T25-U25-G25</f>
        <v>3.1453122890603424E-3</v>
      </c>
      <c r="W25" s="34">
        <f>IF(V25&lt;0,T25-V25,T25)</f>
        <v>11.695388682645101</v>
      </c>
      <c r="X25" s="34">
        <f>10^((W25-2.7)/5)</f>
        <v>62.961887138437945</v>
      </c>
    </row>
    <row r="26" spans="1:24" x14ac:dyDescent="0.25">
      <c r="A26" s="2" t="s">
        <v>319</v>
      </c>
      <c r="B26" s="24" t="s">
        <v>320</v>
      </c>
      <c r="C26" s="2" t="s">
        <v>321</v>
      </c>
      <c r="D26" s="13" t="s">
        <v>322</v>
      </c>
      <c r="E26" s="16">
        <v>6.9</v>
      </c>
      <c r="F26" s="16">
        <v>9.9</v>
      </c>
      <c r="G26" s="16">
        <v>10.44</v>
      </c>
      <c r="H26" s="35">
        <f>IF(I26&lt;X26,X26,I26)</f>
        <v>81.217638251694879</v>
      </c>
      <c r="I26" s="27">
        <f>J26+K26+L26+M26+N26</f>
        <v>81.217638251694879</v>
      </c>
      <c r="J26" s="9">
        <f>116/1.2213*(0.0950502775050452+(1.12627632206642)/((1+($B$2/0.302756091410027)^2.26536793426585)^0.152776210790626))/E26</f>
        <v>16.811960354705185</v>
      </c>
      <c r="K26" s="9">
        <f>5.91232283796472*O26*(G26-F26)/E26^0.600317738509086*(1+$B$2)^0.808139120750434</f>
        <v>0.54071656051016492</v>
      </c>
      <c r="L26" s="9">
        <f>1.04237828050238*P26*(F26+2.34973310685883)/(R26*E26^-0.304107132838227+(1-R26)*(14-F26)^-0.304107132838227)</f>
        <v>32.358461606242535</v>
      </c>
      <c r="M26" s="9">
        <f>13.6914255489806*Q26*(G26-9)</f>
        <v>22.870157237017185</v>
      </c>
      <c r="N26" s="9">
        <f>2.4817076129942*Q26*(6.5-$B$3)</f>
        <v>8.6363424932198161</v>
      </c>
      <c r="O26" s="12">
        <f>IF(G26-F26&lt;=1,IF(F26&lt;=6,0,G26-F26), G26-F26)</f>
        <v>0.53999999999999915</v>
      </c>
      <c r="P26" s="11">
        <f>IF(F26-6&gt;0,F26/6,0)</f>
        <v>1.6500000000000001</v>
      </c>
      <c r="Q26" s="12">
        <f>IF(G26-9&gt;0,G26/9,0)</f>
        <v>1.1599999999999999</v>
      </c>
      <c r="R26" s="1">
        <f>IF(E26&lt;=14-F26,1,0)</f>
        <v>0</v>
      </c>
      <c r="S26" s="1">
        <f>LN((6.5/$B$3)^2.512)</f>
        <v>1.5550264915164334</v>
      </c>
      <c r="T26" s="33">
        <f>0.952988428558035*G26+(G26/13)^1.21758761926721*S26*3.49701599950785-6.17437592197594+$B$3*1.04875246413893</f>
        <v>11.609055862240957</v>
      </c>
      <c r="U26" s="34">
        <f>(T26/13)^2.512*S26</f>
        <v>1.1702587753266385</v>
      </c>
      <c r="V26" s="34">
        <f>T26-U26-G26</f>
        <v>-1.20291308568099E-3</v>
      </c>
      <c r="W26" s="34">
        <f>IF(V26&lt;0,T26-V26,T26)</f>
        <v>11.610258775326638</v>
      </c>
      <c r="X26" s="34">
        <f>10^((W26-2.7)/5)</f>
        <v>60.541301779203849</v>
      </c>
    </row>
    <row r="27" spans="1:24" x14ac:dyDescent="0.25">
      <c r="A27" s="2" t="s">
        <v>405</v>
      </c>
      <c r="B27" s="24" t="s">
        <v>406</v>
      </c>
      <c r="C27" s="2" t="s">
        <v>407</v>
      </c>
      <c r="D27" s="13" t="s">
        <v>408</v>
      </c>
      <c r="E27" s="16">
        <v>17.7</v>
      </c>
      <c r="F27" s="16">
        <v>6.33</v>
      </c>
      <c r="G27" s="16">
        <v>10.72</v>
      </c>
      <c r="H27" s="35">
        <f>IF(I27&lt;X27,X27,I27)</f>
        <v>81.508101576191109</v>
      </c>
      <c r="I27" s="27">
        <f>J27+K27+L27+M27+N27</f>
        <v>81.508101576191109</v>
      </c>
      <c r="J27" s="9">
        <f>116/1.2213*(0.0950502775050452+(1.12627632206642)/((1+($B$2/0.302756091410027)^2.26536793426585)^0.152776210790626))/E27</f>
        <v>6.5538150535291404</v>
      </c>
      <c r="K27" s="9">
        <f>5.91232283796472*O27*(G27-F27)/E27^0.600317738509086*(1+$B$2)^0.808139120750434</f>
        <v>20.300497998049778</v>
      </c>
      <c r="L27" s="9">
        <f>1.04237828050238*P27*(F27+2.34973310685883)/(R27*E27^-0.304107132838227+(1-R27)*(14-F27)^-0.304107132838227)</f>
        <v>17.736044338365812</v>
      </c>
      <c r="M27" s="9">
        <f>13.6914255489806*Q27*(G27-9)</f>
        <v>28.049775649147115</v>
      </c>
      <c r="N27" s="9">
        <f>2.4817076129942*Q27*(6.5-$B$3)</f>
        <v>8.8679685370992747</v>
      </c>
      <c r="O27" s="12">
        <f>IF(G27-F27&lt;=1,IF(F27&lt;=6,0,G27-F27), G27-F27)</f>
        <v>4.3900000000000006</v>
      </c>
      <c r="P27" s="11">
        <f>IF(F27-6&gt;0,F27/6,0)</f>
        <v>1.0549999999999999</v>
      </c>
      <c r="Q27" s="12">
        <f>IF(G27-9&gt;0,G27/9,0)</f>
        <v>1.1911111111111112</v>
      </c>
      <c r="R27" s="1">
        <f>IF(E27&lt;=14-F27,1,0)</f>
        <v>0</v>
      </c>
      <c r="S27" s="1">
        <f>LN((6.5/$B$3)^2.512)</f>
        <v>1.5550264915164334</v>
      </c>
      <c r="T27" s="33">
        <f>0.952988428558035*G27+(G27/13)^1.21758761926721*S27*3.49701599950785-6.17437592197594+$B$3*1.04875246413893</f>
        <v>12.012251453888007</v>
      </c>
      <c r="U27" s="34">
        <f>(T27/13)^2.512*S27</f>
        <v>1.275054126080154</v>
      </c>
      <c r="V27" s="34">
        <f>T27-U27-G27</f>
        <v>1.7197327807853213E-2</v>
      </c>
      <c r="W27" s="34">
        <f>IF(V27&lt;0,T27-V27,T27)</f>
        <v>12.012251453888007</v>
      </c>
      <c r="X27" s="34">
        <f>10^((W27-2.7)/5)</f>
        <v>72.853478185764956</v>
      </c>
    </row>
    <row r="28" spans="1:24" x14ac:dyDescent="0.25">
      <c r="A28" s="2" t="s">
        <v>239</v>
      </c>
      <c r="B28" s="24" t="s">
        <v>240</v>
      </c>
      <c r="C28" s="2" t="s">
        <v>241</v>
      </c>
      <c r="D28" s="13" t="s">
        <v>242</v>
      </c>
      <c r="E28" s="16">
        <v>2.8</v>
      </c>
      <c r="F28" s="16">
        <v>8.4</v>
      </c>
      <c r="G28" s="16">
        <v>9.5</v>
      </c>
      <c r="H28" s="35">
        <f>IF(I28&lt;X28,X28,I28)</f>
        <v>81.825295706945568</v>
      </c>
      <c r="I28" s="27">
        <f>J28+K28+L28+M28+N28</f>
        <v>81.825295706945568</v>
      </c>
      <c r="J28" s="9">
        <f>116/1.2213*(0.0950502775050452+(1.12627632206642)/((1+($B$2/0.302756091410027)^2.26536793426585)^0.152776210790626))/E28</f>
        <v>41.429473731237785</v>
      </c>
      <c r="K28" s="9">
        <f>5.91232283796472*O28*(G28-F28)/E28^0.600317738509086*(1+$B$2)^0.808139120750434</f>
        <v>3.8557299822640045</v>
      </c>
      <c r="L28" s="9">
        <f>1.04237828050238*P28*(F28+2.34973310685883)/(R28*E28^-0.304107132838227+(1-R28)*(14-F28)^-0.304107132838227)</f>
        <v>21.455321068111278</v>
      </c>
      <c r="M28" s="9">
        <f>13.6914255489806*Q28*(G28-9)</f>
        <v>7.2260301508508729</v>
      </c>
      <c r="N28" s="9">
        <f>2.4817076129942*Q28*(6.5-$B$3)</f>
        <v>7.8587407744816336</v>
      </c>
      <c r="O28" s="12">
        <f>IF(G28-F28&lt;=1,IF(F28&lt;=6,0,G28-F28), G28-F28)</f>
        <v>1.0999999999999996</v>
      </c>
      <c r="P28" s="11">
        <f>IF(F28-6&gt;0,F28/6,0)</f>
        <v>1.4000000000000001</v>
      </c>
      <c r="Q28" s="12">
        <f>IF(G28-9&gt;0,G28/9,0)</f>
        <v>1.0555555555555556</v>
      </c>
      <c r="R28" s="1">
        <f>IF(E28&lt;=14-F28,1,0)</f>
        <v>1</v>
      </c>
      <c r="S28" s="1">
        <f>LN((6.5/$B$3)^2.512)</f>
        <v>1.5550264915164334</v>
      </c>
      <c r="T28" s="33">
        <f>0.952988428558035*G28+(G28/13)^1.21758761926721*S28*3.49701599950785-6.17437592197594+$B$3*1.04875246413893</f>
        <v>10.261373986180176</v>
      </c>
      <c r="U28" s="34">
        <f>(T28/13)^2.512*S28</f>
        <v>0.85834196847313571</v>
      </c>
      <c r="V28" s="34">
        <f>T28-U28-G28</f>
        <v>-9.6967982292959221E-2</v>
      </c>
      <c r="W28" s="34">
        <f>IF(V28&lt;0,T28-V28,T28)</f>
        <v>10.358341968473136</v>
      </c>
      <c r="X28" s="34">
        <f>10^((W28-2.7)/5)</f>
        <v>34.014836964262969</v>
      </c>
    </row>
    <row r="29" spans="1:24" x14ac:dyDescent="0.25">
      <c r="A29" s="2" t="s">
        <v>307</v>
      </c>
      <c r="B29" s="24" t="s">
        <v>308</v>
      </c>
      <c r="C29" s="2" t="s">
        <v>309</v>
      </c>
      <c r="D29" s="13" t="s">
        <v>310</v>
      </c>
      <c r="E29" s="16">
        <v>6.6</v>
      </c>
      <c r="F29" s="16">
        <v>8.16</v>
      </c>
      <c r="G29" s="16">
        <v>10.38</v>
      </c>
      <c r="H29" s="35">
        <f>IF(I29&lt;X29,X29,I29)</f>
        <v>82.821702943152431</v>
      </c>
      <c r="I29" s="27">
        <f>J29+K29+L29+M29+N29</f>
        <v>82.821702943152431</v>
      </c>
      <c r="J29" s="9">
        <f>116/1.2213*(0.0950502775050452+(1.12627632206642)/((1+($B$2/0.302756091410027)^2.26536793426585)^0.152776210790626))/E29</f>
        <v>17.576140370828149</v>
      </c>
      <c r="K29" s="9">
        <f>5.91232283796472*O29*(G29-F29)/E29^0.600317738509086*(1+$B$2)^0.808139120750434</f>
        <v>9.3859303530262235</v>
      </c>
      <c r="L29" s="9">
        <f>1.04237828050238*P29*(F29+2.34973310685883)/(R29*E29^-0.304107132838227+(1-R29)*(14-F29)^-0.304107132838227)</f>
        <v>25.481650974580592</v>
      </c>
      <c r="M29" s="9">
        <f>13.6914255489806*Q29*(G29-9)</f>
        <v>21.791272903757534</v>
      </c>
      <c r="N29" s="9">
        <f>2.4817076129942*Q29*(6.5-$B$3)</f>
        <v>8.5867083409599321</v>
      </c>
      <c r="O29" s="12">
        <f>IF(G29-F29&lt;=1,IF(F29&lt;=6,0,G29-F29), G29-F29)</f>
        <v>2.2200000000000006</v>
      </c>
      <c r="P29" s="11">
        <f>IF(F29-6&gt;0,F29/6,0)</f>
        <v>1.36</v>
      </c>
      <c r="Q29" s="12">
        <f>IF(G29-9&gt;0,G29/9,0)</f>
        <v>1.1533333333333333</v>
      </c>
      <c r="R29" s="1">
        <f>IF(E29&lt;=14-F29,1,0)</f>
        <v>0</v>
      </c>
      <c r="S29" s="1">
        <f>LN((6.5/$B$3)^2.512)</f>
        <v>1.5550264915164334</v>
      </c>
      <c r="T29" s="33">
        <f>0.952988428558035*G29+(G29/13)^1.21758761926721*S29*3.49701599950785-6.17437592197594+$B$3*1.04875246413893</f>
        <v>11.522759475804293</v>
      </c>
      <c r="U29" s="34">
        <f>(T29/13)^2.512*S29</f>
        <v>1.148529119147627</v>
      </c>
      <c r="V29" s="34">
        <f>T29-U29-G29</f>
        <v>-5.7696433433349625E-3</v>
      </c>
      <c r="W29" s="34">
        <f>IF(V29&lt;0,T29-V29,T29)</f>
        <v>11.528529119147628</v>
      </c>
      <c r="X29" s="34">
        <f>10^((W29-2.7)/5)</f>
        <v>58.305003241194868</v>
      </c>
    </row>
    <row r="30" spans="1:24" x14ac:dyDescent="0.25">
      <c r="A30" s="2" t="s">
        <v>347</v>
      </c>
      <c r="B30" s="24" t="s">
        <v>348</v>
      </c>
      <c r="C30" s="2" t="s">
        <v>349</v>
      </c>
      <c r="D30" s="13" t="s">
        <v>350</v>
      </c>
      <c r="E30" s="16">
        <v>8.3000000000000007</v>
      </c>
      <c r="F30" s="16">
        <v>5.5</v>
      </c>
      <c r="G30" s="16">
        <v>10.35</v>
      </c>
      <c r="H30" s="35">
        <f>IF(I30&lt;X30,X30,I30)</f>
        <v>82.833401595600606</v>
      </c>
      <c r="I30" s="27">
        <f>J30+K30+L30+M30+N30</f>
        <v>82.833401595600606</v>
      </c>
      <c r="J30" s="9">
        <f>116/1.2213*(0.0950502775050452+(1.12627632206642)/((1+($B$2/0.302756091410027)^2.26536793426585)^0.152776210790626))/E30</f>
        <v>13.976208005718767</v>
      </c>
      <c r="K30" s="9">
        <f>5.91232283796472*O30*(G30-F30)/E30^0.600317738509086*(1+$B$2)^0.808139120750434</f>
        <v>39.03936416025946</v>
      </c>
      <c r="L30" s="9">
        <f>1.04237828050238*P30*(F30+2.34973310685883)/(R30*E30^-0.304107132838227+(1-R30)*(14-F30)^-0.304107132838227)</f>
        <v>0</v>
      </c>
      <c r="M30" s="9">
        <f>13.6914255489806*Q30*(G30-9)</f>
        <v>21.255938164792376</v>
      </c>
      <c r="N30" s="9">
        <f>2.4817076129942*Q30*(6.5-$B$3)</f>
        <v>8.5618912648299901</v>
      </c>
      <c r="O30" s="12">
        <f>IF(G30-F30&lt;=1,IF(F30&lt;=6,0,G30-F30), G30-F30)</f>
        <v>4.8499999999999996</v>
      </c>
      <c r="P30" s="11">
        <f>IF(F30-6&gt;0,F30/6,0)</f>
        <v>0</v>
      </c>
      <c r="Q30" s="12">
        <f>IF(G30-9&gt;0,G30/9,0)</f>
        <v>1.1499999999999999</v>
      </c>
      <c r="R30" s="1">
        <f>IF(E30&lt;=14-F30,1,0)</f>
        <v>1</v>
      </c>
      <c r="S30" s="1">
        <f>LN((6.5/$B$3)^2.512)</f>
        <v>1.5550264915164334</v>
      </c>
      <c r="T30" s="33">
        <f>0.952988428558035*G30+(G30/13)^1.21758761926721*S30*3.49701599950785-6.17437592197594+$B$3*1.04875246413893</f>
        <v>11.479624996718416</v>
      </c>
      <c r="U30" s="34">
        <f>(T30/13)^2.512*S30</f>
        <v>1.1377595162773564</v>
      </c>
      <c r="V30" s="34">
        <f>T30-U30-G30</f>
        <v>-8.1345195589399566E-3</v>
      </c>
      <c r="W30" s="34">
        <f>IF(V30&lt;0,T30-V30,T30)</f>
        <v>11.487759516277356</v>
      </c>
      <c r="X30" s="34">
        <f>10^((W30-2.7)/5)</f>
        <v>57.220533577694439</v>
      </c>
    </row>
    <row r="31" spans="1:24" x14ac:dyDescent="0.25">
      <c r="A31" s="2" t="s">
        <v>283</v>
      </c>
      <c r="B31" s="24" t="s">
        <v>284</v>
      </c>
      <c r="C31" s="2" t="s">
        <v>285</v>
      </c>
      <c r="D31" s="13" t="s">
        <v>286</v>
      </c>
      <c r="E31" s="16">
        <v>4.4000000000000004</v>
      </c>
      <c r="F31" s="16">
        <v>9.42</v>
      </c>
      <c r="G31" s="16">
        <v>10.119999999999999</v>
      </c>
      <c r="H31" s="35">
        <f>IF(I31&lt;X31,X31,I31)</f>
        <v>83.394142845735388</v>
      </c>
      <c r="I31" s="27">
        <f>J31+K31+L31+M31+N31</f>
        <v>83.394142845735388</v>
      </c>
      <c r="J31" s="9">
        <f>116/1.2213*(0.0950502775050452+(1.12627632206642)/((1+($B$2/0.302756091410027)^2.26536793426585)^0.152776210790626))/E31</f>
        <v>26.36421055624222</v>
      </c>
      <c r="K31" s="9">
        <f>5.91232283796472*O31*(G31-F31)/E31^0.600317738509086*(1+$B$2)^0.808139120750434</f>
        <v>1.1903595616584064</v>
      </c>
      <c r="L31" s="9">
        <f>1.04237828050238*P31*(F31+2.34973310685883)/(R31*E31^-0.304107132838227+(1-R31)*(14-F31)^-0.304107132838227)</f>
        <v>30.225268630849271</v>
      </c>
      <c r="M31" s="9">
        <f>13.6914255489806*Q31*(G31-9)</f>
        <v>17.242677082485066</v>
      </c>
      <c r="N31" s="9">
        <f>2.4817076129942*Q31*(6.5-$B$3)</f>
        <v>8.371627014500433</v>
      </c>
      <c r="O31" s="12">
        <f>IF(G31-F31&lt;=1,IF(F31&lt;=6,0,G31-F31), G31-F31)</f>
        <v>0.69999999999999929</v>
      </c>
      <c r="P31" s="11">
        <f>IF(F31-6&gt;0,F31/6,0)</f>
        <v>1.57</v>
      </c>
      <c r="Q31" s="12">
        <f>IF(G31-9&gt;0,G31/9,0)</f>
        <v>1.1244444444444444</v>
      </c>
      <c r="R31" s="1">
        <f>IF(E31&lt;=14-F31,1,0)</f>
        <v>1</v>
      </c>
      <c r="S31" s="1">
        <f>LN((6.5/$B$3)^2.512)</f>
        <v>1.5550264915164334</v>
      </c>
      <c r="T31" s="33">
        <f>0.952988428558035*G31+(G31/13)^1.21758761926721*S31*3.49701599950785-6.17437592197594+$B$3*1.04875246413893</f>
        <v>11.149233534840398</v>
      </c>
      <c r="U31" s="34">
        <f>(T31/13)^2.512*S31</f>
        <v>1.0572837619697821</v>
      </c>
      <c r="V31" s="34">
        <f>T31-U31-G31</f>
        <v>-2.8050227129382321E-2</v>
      </c>
      <c r="W31" s="34">
        <f>IF(V31&lt;0,T31-V31,T31)</f>
        <v>11.177283761969781</v>
      </c>
      <c r="X31" s="34">
        <f>10^((W31-2.7)/5)</f>
        <v>49.597153544997497</v>
      </c>
    </row>
    <row r="32" spans="1:24" x14ac:dyDescent="0.25">
      <c r="A32" s="2" t="s">
        <v>243</v>
      </c>
      <c r="B32" s="24" t="s">
        <v>244</v>
      </c>
      <c r="C32" s="2" t="s">
        <v>245</v>
      </c>
      <c r="D32" s="13" t="s">
        <v>246</v>
      </c>
      <c r="E32" s="16">
        <v>3</v>
      </c>
      <c r="F32" s="16">
        <v>9.61</v>
      </c>
      <c r="G32" s="16">
        <v>9.68</v>
      </c>
      <c r="H32" s="35">
        <f>IF(I32&lt;X32,X32,I32)</f>
        <v>84.591582048561222</v>
      </c>
      <c r="I32" s="27">
        <f>J32+K32+L32+M32+N32</f>
        <v>84.591582048561222</v>
      </c>
      <c r="J32" s="9">
        <f>116/1.2213*(0.0950502775050452+(1.12627632206642)/((1+($B$2/0.302756091410027)^2.26536793426585)^0.152776210790626))/E32</f>
        <v>38.667508815821925</v>
      </c>
      <c r="K32" s="9">
        <f>5.91232283796472*O32*(G32-F32)/E32^0.600317738509086*(1+$B$2)^0.808139120750434</f>
        <v>1.4980622758276458E-2</v>
      </c>
      <c r="L32" s="9">
        <f>1.04237828050238*P32*(F32+2.34973310685883)/(R32*E32^-0.304107132838227+(1-R32)*(14-F32)^-0.304107132838227)</f>
        <v>27.887844986096422</v>
      </c>
      <c r="M32" s="9">
        <f>13.6914255489806*Q32*(G32-9)</f>
        <v>10.01360439262332</v>
      </c>
      <c r="N32" s="9">
        <f>2.4817076129942*Q32*(6.5-$B$3)</f>
        <v>8.0076432312612855</v>
      </c>
      <c r="O32" s="12">
        <f>IF(G32-F32&lt;=1,IF(F32&lt;=6,0,G32-F32), G32-F32)</f>
        <v>7.0000000000000284E-2</v>
      </c>
      <c r="P32" s="11">
        <f>IF(F32-6&gt;0,F32/6,0)</f>
        <v>1.6016666666666666</v>
      </c>
      <c r="Q32" s="12">
        <f>IF(G32-9&gt;0,G32/9,0)</f>
        <v>1.0755555555555556</v>
      </c>
      <c r="R32" s="1">
        <f>IF(E32&lt;=14-F32,1,0)</f>
        <v>1</v>
      </c>
      <c r="S32" s="1">
        <f>LN((6.5/$B$3)^2.512)</f>
        <v>1.5550264915164334</v>
      </c>
      <c r="T32" s="33">
        <f>0.952988428558035*G32+(G32/13)^1.21758761926721*S32*3.49701599950785-6.17437592197594+$B$3*1.04875246413893</f>
        <v>10.51871737708286</v>
      </c>
      <c r="U32" s="34">
        <f>(T32/13)^2.512*S32</f>
        <v>0.91344543667329092</v>
      </c>
      <c r="V32" s="34">
        <f>T32-U32-G32</f>
        <v>-7.4728059590430718E-2</v>
      </c>
      <c r="W32" s="34">
        <f>IF(V32&lt;0,T32-V32,T32)</f>
        <v>10.59344543667329</v>
      </c>
      <c r="X32" s="34">
        <f>10^((W32-2.7)/5)</f>
        <v>37.90435294673788</v>
      </c>
    </row>
    <row r="33" spans="1:24" x14ac:dyDescent="0.25">
      <c r="A33" s="2" t="s">
        <v>343</v>
      </c>
      <c r="B33" s="24" t="s">
        <v>344</v>
      </c>
      <c r="C33" s="2" t="s">
        <v>345</v>
      </c>
      <c r="D33" s="13" t="s">
        <v>346</v>
      </c>
      <c r="E33" s="16">
        <v>8.1</v>
      </c>
      <c r="F33" s="16">
        <v>8.94</v>
      </c>
      <c r="G33" s="16">
        <v>10.7</v>
      </c>
      <c r="H33" s="35">
        <f>IF(I33&lt;X33,X33,I33)</f>
        <v>84.771364772761757</v>
      </c>
      <c r="I33" s="27">
        <f>J33+K33+L33+M33+N33</f>
        <v>84.771364772761757</v>
      </c>
      <c r="J33" s="9">
        <f>116/1.2213*(0.0950502775050452+(1.12627632206642)/((1+($B$2/0.302756091410027)^2.26536793426585)^0.152776210790626))/E33</f>
        <v>14.321299561415529</v>
      </c>
      <c r="K33" s="9">
        <f>5.91232283796472*O33*(G33-F33)/E33^0.600317738509086*(1+$B$2)^0.808139120750434</f>
        <v>5.2167953967842378</v>
      </c>
      <c r="L33" s="9">
        <f>1.04237828050238*P33*(F33+2.34973310685883)/(R33*E33^-0.304107132838227+(1-R33)*(14-F33)^-0.304107132838227)</f>
        <v>28.709953690887453</v>
      </c>
      <c r="M33" s="9">
        <f>13.6914255489806*Q33*(G33-9)</f>
        <v>27.671892303995225</v>
      </c>
      <c r="N33" s="9">
        <f>2.4817076129942*Q33*(6.5-$B$3)</f>
        <v>8.8514238196793134</v>
      </c>
      <c r="O33" s="12">
        <f>IF(G33-F33&lt;=1,IF(F33&lt;=6,0,G33-F33), G33-F33)</f>
        <v>1.7599999999999998</v>
      </c>
      <c r="P33" s="11">
        <f>IF(F33-6&gt;0,F33/6,0)</f>
        <v>1.49</v>
      </c>
      <c r="Q33" s="12">
        <f>IF(G33-9&gt;0,G33/9,0)</f>
        <v>1.1888888888888889</v>
      </c>
      <c r="R33" s="1">
        <f>IF(E33&lt;=14-F33,1,0)</f>
        <v>0</v>
      </c>
      <c r="S33" s="1">
        <f>LN((6.5/$B$3)^2.512)</f>
        <v>1.5550264915164334</v>
      </c>
      <c r="T33" s="33">
        <f>0.952988428558035*G33+(G33/13)^1.21758761926721*S33*3.49701599950785-6.17437592197594+$B$3*1.04875246413893</f>
        <v>11.983425804390373</v>
      </c>
      <c r="U33" s="34">
        <f>(T33/13)^2.512*S33</f>
        <v>1.2673820187583211</v>
      </c>
      <c r="V33" s="34">
        <f>T33-U33-G33</f>
        <v>1.6043785632053442E-2</v>
      </c>
      <c r="W33" s="34">
        <f>IF(V33&lt;0,T33-V33,T33)</f>
        <v>11.983425804390373</v>
      </c>
      <c r="X33" s="34">
        <f>10^((W33-2.7)/5)</f>
        <v>71.892760688338697</v>
      </c>
    </row>
    <row r="34" spans="1:24" x14ac:dyDescent="0.25">
      <c r="A34" s="2" t="s">
        <v>271</v>
      </c>
      <c r="B34" s="24" t="s">
        <v>272</v>
      </c>
      <c r="C34" s="2" t="s">
        <v>273</v>
      </c>
      <c r="D34" s="13" t="s">
        <v>274</v>
      </c>
      <c r="E34" s="16">
        <v>4</v>
      </c>
      <c r="F34" s="16">
        <v>9.74</v>
      </c>
      <c r="G34" s="16">
        <v>10.08</v>
      </c>
      <c r="H34" s="35">
        <f>IF(I34&lt;X34,X34,I34)</f>
        <v>85.382305687026047</v>
      </c>
      <c r="I34" s="27">
        <f>J34+K34+L34+M34+N34</f>
        <v>85.382305687026047</v>
      </c>
      <c r="J34" s="9">
        <f>116/1.2213*(0.0950502775050452+(1.12627632206642)/((1+($B$2/0.302756091410027)^2.26536793426585)^0.152776210790626))/E34</f>
        <v>29.000631611866446</v>
      </c>
      <c r="K34" s="9">
        <f>5.91232283796472*O34*(G34-F34)/E34^0.600317738509086*(1+$B$2)^0.808139120750434</f>
        <v>0.29736419990138674</v>
      </c>
      <c r="L34" s="9">
        <f>1.04237828050238*P34*(F34+2.34973310685883)/(R34*E34^-0.304107132838227+(1-R34)*(14-F34)^-0.304107132838227)</f>
        <v>31.184623951550762</v>
      </c>
      <c r="M34" s="9">
        <f>13.6914255489806*Q34*(G34-9)</f>
        <v>16.561148344046938</v>
      </c>
      <c r="N34" s="9">
        <f>2.4817076129942*Q34*(6.5-$B$3)</f>
        <v>8.3385375796605139</v>
      </c>
      <c r="O34" s="12">
        <f>IF(G34-F34&lt;=1,IF(F34&lt;=6,0,G34-F34), G34-F34)</f>
        <v>0.33999999999999986</v>
      </c>
      <c r="P34" s="11">
        <f>IF(F34-6&gt;0,F34/6,0)</f>
        <v>1.6233333333333333</v>
      </c>
      <c r="Q34" s="12">
        <f>IF(G34-9&gt;0,G34/9,0)</f>
        <v>1.1200000000000001</v>
      </c>
      <c r="R34" s="1">
        <f>IF(E34&lt;=14-F34,1,0)</f>
        <v>1</v>
      </c>
      <c r="S34" s="1">
        <f>LN((6.5/$B$3)^2.512)</f>
        <v>1.5550264915164334</v>
      </c>
      <c r="T34" s="33">
        <f>0.952988428558035*G34+(G34/13)^1.21758761926721*S34*3.49701599950785-6.17437592197594+$B$3*1.04875246413893</f>
        <v>11.091829877037615</v>
      </c>
      <c r="U34" s="34">
        <f>(T34/13)^2.512*S34</f>
        <v>1.0436626205520936</v>
      </c>
      <c r="V34" s="34">
        <f>T34-U34-G34</f>
        <v>-3.1832743514479844E-2</v>
      </c>
      <c r="W34" s="34">
        <f>IF(V34&lt;0,T34-V34,T34)</f>
        <v>11.123662620552095</v>
      </c>
      <c r="X34" s="34">
        <f>10^((W34-2.7)/5)</f>
        <v>48.387426441142068</v>
      </c>
    </row>
    <row r="35" spans="1:24" x14ac:dyDescent="0.25">
      <c r="A35" s="2" t="s">
        <v>255</v>
      </c>
      <c r="B35" s="24" t="s">
        <v>256</v>
      </c>
      <c r="C35" s="2" t="s">
        <v>257</v>
      </c>
      <c r="D35" s="13" t="s">
        <v>258</v>
      </c>
      <c r="E35" s="16">
        <v>3.5</v>
      </c>
      <c r="F35" s="16">
        <v>9.1999999999999993</v>
      </c>
      <c r="G35" s="16">
        <v>10.1</v>
      </c>
      <c r="H35" s="35">
        <f>IF(I35&lt;X35,X35,I35)</f>
        <v>87.677692561370534</v>
      </c>
      <c r="I35" s="27">
        <f>J35+K35+L35+M35+N35</f>
        <v>87.677692561370534</v>
      </c>
      <c r="J35" s="9">
        <f>116/1.2213*(0.0950502775050452+(1.12627632206642)/((1+($B$2/0.302756091410027)^2.26536793426585)^0.152776210790626))/E35</f>
        <v>33.143578984990221</v>
      </c>
      <c r="K35" s="9">
        <f>5.91232283796472*O35*(G35-F35)/E35^0.600317738509086*(1+$B$2)^0.808139120750434</f>
        <v>2.2575088485793606</v>
      </c>
      <c r="L35" s="9">
        <f>1.04237828050238*P35*(F35+2.34973310685883)/(R35*E35^-0.304107132838227+(1-R35)*(14-F35)^-0.304107132838227)</f>
        <v>27.020218225256645</v>
      </c>
      <c r="M35" s="9">
        <f>13.6914255489806*Q35*(G35-9)</f>
        <v>16.901304205463823</v>
      </c>
      <c r="N35" s="9">
        <f>2.4817076129942*Q35*(6.5-$B$3)</f>
        <v>8.3550822970804735</v>
      </c>
      <c r="O35" s="12">
        <f>IF(G35-F35&lt;=1,IF(F35&lt;=6,0,G35-F35), G35-F35)</f>
        <v>0.90000000000000036</v>
      </c>
      <c r="P35" s="11">
        <f>IF(F35-6&gt;0,F35/6,0)</f>
        <v>1.5333333333333332</v>
      </c>
      <c r="Q35" s="12">
        <f>IF(G35-9&gt;0,G35/9,0)</f>
        <v>1.1222222222222222</v>
      </c>
      <c r="R35" s="1">
        <f>IF(E35&lt;=14-F35,1,0)</f>
        <v>1</v>
      </c>
      <c r="S35" s="1">
        <f>LN((6.5/$B$3)^2.512)</f>
        <v>1.5550264915164334</v>
      </c>
      <c r="T35" s="33">
        <f>0.952988428558035*G35+(G35/13)^1.21758761926721*S35*3.49701599950785-6.17437592197594+$B$3*1.04875246413893</f>
        <v>11.120529628717085</v>
      </c>
      <c r="U35" s="34">
        <f>(T35/13)^2.512*S35</f>
        <v>1.0504594094681705</v>
      </c>
      <c r="V35" s="34">
        <f>T35-U35-G35</f>
        <v>-2.9929780751084323E-2</v>
      </c>
      <c r="W35" s="34">
        <f>IF(V35&lt;0,T35-V35,T35)</f>
        <v>11.150459409468169</v>
      </c>
      <c r="X35" s="34">
        <f>10^((W35-2.7)/5)</f>
        <v>48.988245081673711</v>
      </c>
    </row>
    <row r="36" spans="1:24" x14ac:dyDescent="0.25">
      <c r="A36" s="2" t="s">
        <v>339</v>
      </c>
      <c r="B36" s="24" t="s">
        <v>340</v>
      </c>
      <c r="C36" s="2" t="s">
        <v>341</v>
      </c>
      <c r="D36" s="13" t="s">
        <v>342</v>
      </c>
      <c r="E36" s="16">
        <v>8</v>
      </c>
      <c r="F36" s="16">
        <v>9.84</v>
      </c>
      <c r="G36" s="16">
        <v>11.08</v>
      </c>
      <c r="H36" s="35">
        <f>IF(I36&lt;X36,X36,I36)</f>
        <v>93.481323323135413</v>
      </c>
      <c r="I36" s="27">
        <f>J36+K36+L36+M36+N36</f>
        <v>93.481323323135413</v>
      </c>
      <c r="J36" s="9">
        <f>116/1.2213*(0.0950502775050452+(1.12627632206642)/((1+($B$2/0.302756091410027)^2.26536793426585)^0.152776210790626))/E36</f>
        <v>14.500315805933223</v>
      </c>
      <c r="K36" s="9">
        <f>5.91232283796472*O36*(G36-F36)/E36^0.600317738509086*(1+$B$2)^0.808139120750434</f>
        <v>2.6089188582433738</v>
      </c>
      <c r="L36" s="9">
        <f>1.04237828050238*P36*(F36+2.34973310685883)/(R36*E36^-0.304107132838227+(1-R36)*(14-F36)^-0.304107132838227)</f>
        <v>32.146529678075069</v>
      </c>
      <c r="M36" s="9">
        <f>13.6914255489806*Q36*(G36-9)</f>
        <v>35.05978553022517</v>
      </c>
      <c r="N36" s="9">
        <f>2.4817076129942*Q36*(6.5-$B$3)</f>
        <v>9.1657734506585768</v>
      </c>
      <c r="O36" s="12">
        <f>IF(G36-F36&lt;=1,IF(F36&lt;=6,0,G36-F36), G36-F36)</f>
        <v>1.2400000000000002</v>
      </c>
      <c r="P36" s="11">
        <f>IF(F36-6&gt;0,F36/6,0)</f>
        <v>1.64</v>
      </c>
      <c r="Q36" s="12">
        <f>IF(G36-9&gt;0,G36/9,0)</f>
        <v>1.231111111111111</v>
      </c>
      <c r="R36" s="1">
        <f>IF(E36&lt;=14-F36,1,0)</f>
        <v>0</v>
      </c>
      <c r="S36" s="1">
        <f>LN((6.5/$B$3)^2.512)</f>
        <v>1.5550264915164334</v>
      </c>
      <c r="T36" s="33">
        <f>0.952988428558035*G36+(G36/13)^1.21758761926721*S36*3.49701599950785-6.17437592197594+$B$3*1.04875246413893</f>
        <v>12.531785674110161</v>
      </c>
      <c r="U36" s="34">
        <f>(T36/13)^2.512*S36</f>
        <v>1.4181450172869123</v>
      </c>
      <c r="V36" s="34">
        <f>T36-U36-G36</f>
        <v>3.3640656823248349E-2</v>
      </c>
      <c r="W36" s="34">
        <f>IF(V36&lt;0,T36-V36,T36)</f>
        <v>12.531785674110161</v>
      </c>
      <c r="X36" s="34">
        <f>10^((W36-2.7)/5)</f>
        <v>92.545889679619904</v>
      </c>
    </row>
    <row r="37" spans="1:24" x14ac:dyDescent="0.25">
      <c r="A37" s="2" t="s">
        <v>231</v>
      </c>
      <c r="B37" s="24" t="s">
        <v>232</v>
      </c>
      <c r="C37" s="2" t="s">
        <v>233</v>
      </c>
      <c r="D37" s="13" t="s">
        <v>234</v>
      </c>
      <c r="E37" s="16">
        <v>2.7</v>
      </c>
      <c r="F37" s="16">
        <v>8.1199999999999992</v>
      </c>
      <c r="G37" s="16">
        <v>9.86</v>
      </c>
      <c r="H37" s="35">
        <f>IF(I37&lt;X37,X37,I37)</f>
        <v>93.858503781245005</v>
      </c>
      <c r="I37" s="27">
        <f>J37+K37+L37+M37+N37</f>
        <v>93.858503781245005</v>
      </c>
      <c r="J37" s="9">
        <f>116/1.2213*(0.0950502775050452+(1.12627632206642)/((1+($B$2/0.302756091410027)^2.26536793426585)^0.152776210790626))/E37</f>
        <v>42.963898684246587</v>
      </c>
      <c r="K37" s="9">
        <f>5.91232283796472*O37*(G37-F37)/E37^0.600317738509086*(1+$B$2)^0.808139120750434</f>
        <v>9.8605540399255407</v>
      </c>
      <c r="L37" s="9">
        <f>1.04237828050238*P37*(F37+2.34973310685883)/(R37*E37^-0.304107132838227+(1-R37)*(14-F37)^-0.304107132838227)</f>
        <v>19.977748470683512</v>
      </c>
      <c r="M37" s="9">
        <f>13.6914255489806*Q37*(G37-9)</f>
        <v>12.899756898348423</v>
      </c>
      <c r="N37" s="9">
        <f>2.4817076129942*Q37*(6.5-$B$3)</f>
        <v>8.1565456880409357</v>
      </c>
      <c r="O37" s="12">
        <f>IF(G37-F37&lt;=1,IF(F37&lt;=6,0,G37-F37), G37-F37)</f>
        <v>1.7400000000000002</v>
      </c>
      <c r="P37" s="11">
        <f>IF(F37-6&gt;0,F37/6,0)</f>
        <v>1.3533333333333333</v>
      </c>
      <c r="Q37" s="12">
        <f>IF(G37-9&gt;0,G37/9,0)</f>
        <v>1.0955555555555554</v>
      </c>
      <c r="R37" s="1">
        <f>IF(E37&lt;=14-F37,1,0)</f>
        <v>1</v>
      </c>
      <c r="S37" s="1">
        <f>LN((6.5/$B$3)^2.512)</f>
        <v>1.5550264915164334</v>
      </c>
      <c r="T37" s="33">
        <f>0.952988428558035*G37+(G37/13)^1.21758761926721*S37*3.49701599950785-6.17437592197594+$B$3*1.04875246413893</f>
        <v>10.776408662482654</v>
      </c>
      <c r="U37" s="34">
        <f>(T37/13)^2.512*S37</f>
        <v>0.97070420406024349</v>
      </c>
      <c r="V37" s="34">
        <f>T37-U37-G37</f>
        <v>-5.4295541577589645E-2</v>
      </c>
      <c r="W37" s="34">
        <f>IF(V37&lt;0,T37-V37,T37)</f>
        <v>10.830704204060243</v>
      </c>
      <c r="X37" s="34">
        <f>10^((W37-2.7)/5)</f>
        <v>42.280570706081498</v>
      </c>
    </row>
    <row r="38" spans="1:24" x14ac:dyDescent="0.25">
      <c r="A38" s="13" t="s">
        <v>279</v>
      </c>
      <c r="B38" s="24" t="s">
        <v>280</v>
      </c>
      <c r="C38" s="13" t="s">
        <v>281</v>
      </c>
      <c r="D38" s="13" t="s">
        <v>282</v>
      </c>
      <c r="E38" s="16">
        <v>4.3</v>
      </c>
      <c r="F38" s="16">
        <v>8.91</v>
      </c>
      <c r="G38" s="16">
        <v>10.6</v>
      </c>
      <c r="H38" s="35">
        <f>IF(I38&lt;X38,X38,I38)</f>
        <v>95.741046954639344</v>
      </c>
      <c r="I38" s="27">
        <f>J38+K38+L38+M38+N38</f>
        <v>95.741046954639344</v>
      </c>
      <c r="J38" s="9">
        <f>116/1.2213*(0.0950502775050452+(1.12627632206642)/((1+($B$2/0.302756091410027)^2.26536793426585)^0.152776210790626))/E38</f>
        <v>26.977331731968789</v>
      </c>
      <c r="K38" s="9">
        <f>5.91232283796472*O38*(G38-F38)/E38^0.600317738509086*(1+$B$2)^0.808139120750434</f>
        <v>7.0347585974822247</v>
      </c>
      <c r="L38" s="9">
        <f>1.04237828050238*P38*(F38+2.34973310685883)/(R38*E38^-0.304107132838227+(1-R38)*(14-F38)^-0.304107132838227)</f>
        <v>27.159525580307616</v>
      </c>
      <c r="M38" s="9">
        <f>13.6914255489806*Q38*(G38-9)</f>
        <v>25.800730812301214</v>
      </c>
      <c r="N38" s="9">
        <f>2.4817076129942*Q38*(6.5-$B$3)</f>
        <v>8.7687002325795067</v>
      </c>
      <c r="O38" s="12">
        <f>IF(G38-F38&lt;=1,IF(F38&lt;=6,0,G38-F38), G38-F38)</f>
        <v>1.6899999999999995</v>
      </c>
      <c r="P38" s="11">
        <f>IF(F38-6&gt;0,F38/6,0)</f>
        <v>1.4850000000000001</v>
      </c>
      <c r="Q38" s="12">
        <f>IF(G38-9&gt;0,G38/9,0)</f>
        <v>1.1777777777777778</v>
      </c>
      <c r="R38" s="1">
        <f>IF(E38&lt;=14-F38,1,0)</f>
        <v>1</v>
      </c>
      <c r="S38" s="1">
        <f>LN((6.5/$B$3)^2.512)</f>
        <v>1.5550264915164334</v>
      </c>
      <c r="T38" s="33">
        <f>0.952988428558035*G38+(G38/13)^1.21758761926721*S38*3.49701599950785-6.17437592197594+$B$3*1.04875246413893</f>
        <v>11.839357239065501</v>
      </c>
      <c r="U38" s="34">
        <f>(T38/13)^2.512*S38</f>
        <v>1.2294541615970243</v>
      </c>
      <c r="V38" s="34">
        <f>T38-U38-G38</f>
        <v>9.9030774684774059E-3</v>
      </c>
      <c r="W38" s="34">
        <f>IF(V38&lt;0,T38-V38,T38)</f>
        <v>11.839357239065501</v>
      </c>
      <c r="X38" s="34">
        <f>10^((W38-2.7)/5)</f>
        <v>67.277748309240309</v>
      </c>
    </row>
    <row r="39" spans="1:24" x14ac:dyDescent="0.25">
      <c r="A39" s="2" t="s">
        <v>151</v>
      </c>
      <c r="B39" s="24" t="s">
        <v>152</v>
      </c>
      <c r="C39" s="2" t="s">
        <v>153</v>
      </c>
      <c r="D39" s="13" t="s">
        <v>154</v>
      </c>
      <c r="E39" s="16">
        <v>1.5</v>
      </c>
      <c r="F39" s="16">
        <v>7.94</v>
      </c>
      <c r="G39" s="16">
        <v>8.73</v>
      </c>
      <c r="H39" s="35">
        <f>IF(I39&lt;X39,X39,I39)</f>
        <v>96.284148114185754</v>
      </c>
      <c r="I39" s="27">
        <f>J39+K39+L39+M39+N39</f>
        <v>96.284148114185754</v>
      </c>
      <c r="J39" s="9">
        <f>116/1.2213*(0.0950502775050452+(1.12627632206642)/((1+($B$2/0.302756091410027)^2.26536793426585)^0.152776210790626))/E39</f>
        <v>77.335017631643851</v>
      </c>
      <c r="K39" s="9">
        <f>5.91232283796472*O39*(G39-F39)/E39^0.600317738509086*(1+$B$2)^0.808139120750434</f>
        <v>2.8926881502766051</v>
      </c>
      <c r="L39" s="9">
        <f>1.04237828050238*P39*(F39+2.34973310685883)/(R39*E39^-0.304107132838227+(1-R39)*(14-F39)^-0.304107132838227)</f>
        <v>16.056442332265295</v>
      </c>
      <c r="M39" s="9">
        <f>13.6914255489806*Q39*(G39-9)</f>
        <v>0</v>
      </c>
      <c r="N39" s="9">
        <f>2.4817076129942*Q39*(6.5-$B$3)</f>
        <v>0</v>
      </c>
      <c r="O39" s="12">
        <f>IF(G39-F39&lt;=1,IF(F39&lt;=6,0,G39-F39), G39-F39)</f>
        <v>0.79</v>
      </c>
      <c r="P39" s="11">
        <f>IF(F39-6&gt;0,F39/6,0)</f>
        <v>1.3233333333333335</v>
      </c>
      <c r="Q39" s="12">
        <f>IF(G39-9&gt;0,G39/9,0)</f>
        <v>0</v>
      </c>
      <c r="R39" s="1">
        <f>IF(E39&lt;=14-F39,1,0)</f>
        <v>1</v>
      </c>
      <c r="S39" s="1">
        <f>LN((6.5/$B$3)^2.512)</f>
        <v>1.5550264915164334</v>
      </c>
      <c r="T39" s="33">
        <f>0.952988428558035*G39+(G39/13)^1.21758761926721*S39*3.49701599950785-6.17437592197594+$B$3*1.04875246413893</f>
        <v>9.1645684865624997</v>
      </c>
      <c r="U39" s="34">
        <f>(T39/13)^2.512*S39</f>
        <v>0.64615615851191732</v>
      </c>
      <c r="V39" s="34">
        <f>T39-U39-G39</f>
        <v>-0.21158767194941852</v>
      </c>
      <c r="W39" s="34">
        <f>IF(V39&lt;0,T39-V39,T39)</f>
        <v>9.3761561585119182</v>
      </c>
      <c r="X39" s="34">
        <f>10^((W39-2.7)/5)</f>
        <v>21.63870328002406</v>
      </c>
    </row>
    <row r="40" spans="1:24" x14ac:dyDescent="0.25">
      <c r="A40" s="2" t="s">
        <v>287</v>
      </c>
      <c r="B40" s="24" t="s">
        <v>288</v>
      </c>
      <c r="C40" s="2" t="s">
        <v>289</v>
      </c>
      <c r="D40" s="13" t="s">
        <v>290</v>
      </c>
      <c r="E40" s="16">
        <v>4.5999999999999996</v>
      </c>
      <c r="F40" s="16">
        <v>8.6999999999999993</v>
      </c>
      <c r="G40" s="16">
        <v>10.7</v>
      </c>
      <c r="H40" s="35">
        <f>IF(I40&lt;X40,X40,I40)</f>
        <v>97.766665627129456</v>
      </c>
      <c r="I40" s="27">
        <f>J40+K40+L40+M40+N40</f>
        <v>97.766665627129456</v>
      </c>
      <c r="J40" s="9">
        <f>116/1.2213*(0.0950502775050452+(1.12627632206642)/((1+($B$2/0.302756091410027)^2.26536793426585)^0.152776210790626))/E40</f>
        <v>25.217940532057781</v>
      </c>
      <c r="K40" s="9">
        <f>5.91232283796472*O40*(G40-F40)/E40^0.600317738509086*(1+$B$2)^0.808139120750434</f>
        <v>9.4613443472558636</v>
      </c>
      <c r="L40" s="9">
        <f>1.04237828050238*P40*(F40+2.34973310685883)/(R40*E40^-0.304107132838227+(1-R40)*(14-F40)^-0.304107132838227)</f>
        <v>26.564064624141281</v>
      </c>
      <c r="M40" s="9">
        <f>13.6914255489806*Q40*(G40-9)</f>
        <v>27.671892303995225</v>
      </c>
      <c r="N40" s="9">
        <f>2.4817076129942*Q40*(6.5-$B$3)</f>
        <v>8.8514238196793134</v>
      </c>
      <c r="O40" s="12">
        <f>IF(G40-F40&lt;=1,IF(F40&lt;=6,0,G40-F40), G40-F40)</f>
        <v>2</v>
      </c>
      <c r="P40" s="11">
        <f>IF(F40-6&gt;0,F40/6,0)</f>
        <v>1.45</v>
      </c>
      <c r="Q40" s="12">
        <f>IF(G40-9&gt;0,G40/9,0)</f>
        <v>1.1888888888888889</v>
      </c>
      <c r="R40" s="1">
        <f>IF(E40&lt;=14-F40,1,0)</f>
        <v>1</v>
      </c>
      <c r="S40" s="1">
        <f>LN((6.5/$B$3)^2.512)</f>
        <v>1.5550264915164334</v>
      </c>
      <c r="T40" s="33">
        <f>0.952988428558035*G40+(G40/13)^1.21758761926721*S40*3.49701599950785-6.17437592197594+$B$3*1.04875246413893</f>
        <v>11.983425804390373</v>
      </c>
      <c r="U40" s="34">
        <f>(T40/13)^2.512*S40</f>
        <v>1.2673820187583211</v>
      </c>
      <c r="V40" s="34">
        <f>T40-U40-G40</f>
        <v>1.6043785632053442E-2</v>
      </c>
      <c r="W40" s="34">
        <f>IF(V40&lt;0,T40-V40,T40)</f>
        <v>11.983425804390373</v>
      </c>
      <c r="X40" s="34">
        <f>10^((W40-2.7)/5)</f>
        <v>71.892760688338697</v>
      </c>
    </row>
    <row r="41" spans="1:24" x14ac:dyDescent="0.25">
      <c r="A41" s="2" t="s">
        <v>291</v>
      </c>
      <c r="B41" s="24" t="s">
        <v>292</v>
      </c>
      <c r="C41" s="2" t="s">
        <v>293</v>
      </c>
      <c r="D41" s="13" t="s">
        <v>294</v>
      </c>
      <c r="E41" s="16">
        <v>5</v>
      </c>
      <c r="F41" s="16">
        <v>8.7799999999999994</v>
      </c>
      <c r="G41" s="16">
        <v>10.8</v>
      </c>
      <c r="H41" s="35">
        <f>IF(I41&lt;X41,X41,I41)</f>
        <v>98.584307772096793</v>
      </c>
      <c r="I41" s="27">
        <f>J41+K41+L41+M41+N41</f>
        <v>98.584307772096793</v>
      </c>
      <c r="J41" s="9">
        <f>116/1.2213*(0.0950502775050452+(1.12627632206642)/((1+($B$2/0.302756091410027)^2.26536793426585)^0.152776210790626))/E41</f>
        <v>23.200505289493158</v>
      </c>
      <c r="K41" s="9">
        <f>5.91232283796472*O41*(G41-F41)/E41^0.600317738509086*(1+$B$2)^0.808139120750434</f>
        <v>9.1802981686638123</v>
      </c>
      <c r="L41" s="9">
        <f>1.04237828050238*P41*(F41+2.34973310685883)/(R41*E41^-0.304107132838227+(1-R41)*(14-F41)^-0.304107132838227)</f>
        <v>27.695877721362599</v>
      </c>
      <c r="M41" s="9">
        <f>13.6914255489806*Q41*(G41-9)</f>
        <v>29.573479185798114</v>
      </c>
      <c r="N41" s="9">
        <f>2.4817076129942*Q41*(6.5-$B$3)</f>
        <v>8.9341474067791218</v>
      </c>
      <c r="O41" s="12">
        <f>IF(G41-F41&lt;=1,IF(F41&lt;=6,0,G41-F41), G41-F41)</f>
        <v>2.0200000000000014</v>
      </c>
      <c r="P41" s="14">
        <f>IF(F41-6&gt;0,F41/6,0)</f>
        <v>1.4633333333333332</v>
      </c>
      <c r="Q41" s="11">
        <f>IF(G41-9&gt;0,G41/9,0)</f>
        <v>1.2000000000000002</v>
      </c>
      <c r="R41" s="1">
        <f>IF(E41&lt;=14-F41,1,0)</f>
        <v>1</v>
      </c>
      <c r="S41" s="1">
        <f>LN((6.5/$B$3)^2.512)</f>
        <v>1.5550264915164334</v>
      </c>
      <c r="T41" s="33">
        <f>0.952988428558035*G41+(G41/13)^1.21758761926721*S41*3.49701599950785-6.17437592197594+$B$3*1.04875246413893</f>
        <v>12.127593646562595</v>
      </c>
      <c r="U41" s="34">
        <f>(T41/13)^2.512*S41</f>
        <v>1.3060324835841279</v>
      </c>
      <c r="V41" s="34">
        <f>T41-U41-G41</f>
        <v>2.1561162978466442E-2</v>
      </c>
      <c r="W41" s="34">
        <f>IF(V41&lt;0,T41-V41,T41)</f>
        <v>12.127593646562595</v>
      </c>
      <c r="X41" s="34">
        <f>10^((W41-2.7)/5)</f>
        <v>76.827858762106587</v>
      </c>
    </row>
    <row r="42" spans="1:24" x14ac:dyDescent="0.25">
      <c r="A42" s="2" t="s">
        <v>335</v>
      </c>
      <c r="B42" s="24" t="s">
        <v>336</v>
      </c>
      <c r="C42" s="2" t="s">
        <v>337</v>
      </c>
      <c r="D42" s="13" t="s">
        <v>338</v>
      </c>
      <c r="E42" s="16">
        <v>7.6</v>
      </c>
      <c r="F42" s="16">
        <v>8.8699999999999992</v>
      </c>
      <c r="G42" s="16">
        <v>11.3</v>
      </c>
      <c r="H42" s="35">
        <f>IF(I42&lt;X42,X42,I42)</f>
        <v>107.14685882329394</v>
      </c>
      <c r="I42" s="27">
        <f>J42+K42+L42+M42+N42</f>
        <v>102.90854853738962</v>
      </c>
      <c r="J42" s="9">
        <f>116/1.2213*(0.0950502775050452+(1.12627632206642)/((1+($B$2/0.302756091410027)^2.26536793426585)^0.152776210790626))/E42</f>
        <v>15.263490322034972</v>
      </c>
      <c r="K42" s="9">
        <f>5.91232283796472*O42*(G42-F42)/E42^0.600317738509086*(1+$B$2)^0.808139120750434</f>
        <v>10.332434569795772</v>
      </c>
      <c r="L42" s="9">
        <f>1.04237828050238*P42*(F42+2.34973310685883)/(R42*E42^-0.304107132838227+(1-R42)*(14-F42)^-0.304107132838227)</f>
        <v>28.427063856835623</v>
      </c>
      <c r="M42" s="9">
        <f>13.6914255489806*Q42*(G42-9)</f>
        <v>39.537794446445105</v>
      </c>
      <c r="N42" s="9">
        <f>2.4817076129942*Q42*(6.5-$B$3)</f>
        <v>9.3477653422781533</v>
      </c>
      <c r="O42" s="12">
        <f>IF(G42-F42&lt;=1,IF(F42&lt;=6,0,G42-F42), G42-F42)</f>
        <v>2.4300000000000015</v>
      </c>
      <c r="P42" s="11">
        <f>IF(F42-6&gt;0,F42/6,0)</f>
        <v>1.4783333333333333</v>
      </c>
      <c r="Q42" s="12">
        <f>IF(G42-9&gt;0,G42/9,0)</f>
        <v>1.2555555555555555</v>
      </c>
      <c r="R42" s="1">
        <f>IF(E42&lt;=14-F42,1,0)</f>
        <v>0</v>
      </c>
      <c r="S42" s="1">
        <f>LN((6.5/$B$3)^2.512)</f>
        <v>1.5550264915164334</v>
      </c>
      <c r="T42" s="33">
        <f>0.952988428558035*G42+(G42/13)^1.21758761926721*S42*3.49701599950785-6.17437592197594+$B$3*1.04875246413893</f>
        <v>12.849897217733536</v>
      </c>
      <c r="U42" s="34">
        <f>(T42/13)^2.512*S42</f>
        <v>1.510316690074665</v>
      </c>
      <c r="V42" s="34">
        <f>T42-U42-G42</f>
        <v>3.9580527658870324E-2</v>
      </c>
      <c r="W42" s="34">
        <f>IF(V42&lt;0,T42-V42,T42)</f>
        <v>12.849897217733536</v>
      </c>
      <c r="X42" s="34">
        <f>10^((W42-2.7)/5)</f>
        <v>107.14685882329394</v>
      </c>
    </row>
    <row r="43" spans="1:24" x14ac:dyDescent="0.25">
      <c r="A43" s="2" t="s">
        <v>367</v>
      </c>
      <c r="B43" s="24" t="s">
        <v>368</v>
      </c>
      <c r="C43" s="2" t="s">
        <v>369</v>
      </c>
      <c r="D43" s="13" t="s">
        <v>370</v>
      </c>
      <c r="E43" s="16">
        <v>9.5</v>
      </c>
      <c r="F43" s="16">
        <v>9.34</v>
      </c>
      <c r="G43" s="16">
        <v>11.3</v>
      </c>
      <c r="H43" s="35">
        <f>IF(I43&lt;X43,X43,I43)</f>
        <v>107.14685882329394</v>
      </c>
      <c r="I43" s="27">
        <f>J43+K43+L43+M43+N43</f>
        <v>97.264758985217597</v>
      </c>
      <c r="J43" s="9">
        <f>116/1.2213*(0.0950502775050452+(1.12627632206642)/((1+($B$2/0.302756091410027)^2.26536793426585)^0.152776210790626))/E43</f>
        <v>12.210792257627977</v>
      </c>
      <c r="K43" s="9">
        <f>5.91232283796472*O43*(G43-F43)/E43^0.600317738509086*(1+$B$2)^0.808139120750434</f>
        <v>5.879297809403309</v>
      </c>
      <c r="L43" s="9">
        <f>1.04237828050238*P43*(F43+2.34973310685883)/(R43*E43^-0.304107132838227+(1-R43)*(14-F43)^-0.304107132838227)</f>
        <v>30.28910912946305</v>
      </c>
      <c r="M43" s="9">
        <f>13.6914255489806*Q43*(G43-9)</f>
        <v>39.537794446445105</v>
      </c>
      <c r="N43" s="9">
        <f>2.4817076129942*Q43*(6.5-$B$3)</f>
        <v>9.3477653422781533</v>
      </c>
      <c r="O43" s="12">
        <f>IF(G43-F43&lt;=1,IF(F43&lt;=6,0,G43-F43), G43-F43)</f>
        <v>1.9600000000000009</v>
      </c>
      <c r="P43" s="11">
        <f>IF(F43-6&gt;0,F43/6,0)</f>
        <v>1.5566666666666666</v>
      </c>
      <c r="Q43" s="12">
        <f>IF(G43-9&gt;0,G43/9,0)</f>
        <v>1.2555555555555555</v>
      </c>
      <c r="R43" s="1">
        <f>IF(E43&lt;=14-F43,1,0)</f>
        <v>0</v>
      </c>
      <c r="S43" s="1">
        <f>LN((6.5/$B$3)^2.512)</f>
        <v>1.5550264915164334</v>
      </c>
      <c r="T43" s="33">
        <f>0.952988428558035*G43+(G43/13)^1.21758761926721*S43*3.49701599950785-6.17437592197594+$B$3*1.04875246413893</f>
        <v>12.849897217733536</v>
      </c>
      <c r="U43" s="34">
        <f>(T43/13)^2.512*S43</f>
        <v>1.510316690074665</v>
      </c>
      <c r="V43" s="34">
        <f>T43-U43-G43</f>
        <v>3.9580527658870324E-2</v>
      </c>
      <c r="W43" s="34">
        <f>IF(V43&lt;0,T43-V43,T43)</f>
        <v>12.849897217733536</v>
      </c>
      <c r="X43" s="34">
        <f>10^((W43-2.7)/5)</f>
        <v>107.14685882329394</v>
      </c>
    </row>
    <row r="44" spans="1:24" x14ac:dyDescent="0.25">
      <c r="A44" s="2" t="s">
        <v>227</v>
      </c>
      <c r="B44" s="24" t="s">
        <v>228</v>
      </c>
      <c r="C44" s="2" t="s">
        <v>229</v>
      </c>
      <c r="D44" s="13" t="s">
        <v>230</v>
      </c>
      <c r="E44" s="16">
        <v>2.6</v>
      </c>
      <c r="F44" s="16">
        <v>9.6999999999999993</v>
      </c>
      <c r="G44" s="16">
        <v>10.7</v>
      </c>
      <c r="H44" s="35">
        <f>IF(I44&lt;X44,X44,I44)</f>
        <v>111.62430390862816</v>
      </c>
      <c r="I44" s="27">
        <f>J44+K44+L44+M44+N44</f>
        <v>111.62430390862816</v>
      </c>
      <c r="J44" s="9">
        <f>116/1.2213*(0.0950502775050452+(1.12627632206642)/((1+($B$2/0.302756091410027)^2.26536793426585)^0.152776210790626))/E44</f>
        <v>44.616356325948374</v>
      </c>
      <c r="K44" s="9">
        <f>5.91232283796472*O44*(G44-F44)/E44^0.600317738509086*(1+$B$2)^0.808139120750434</f>
        <v>3.33151887823028</v>
      </c>
      <c r="L44" s="9">
        <f>1.04237828050238*P44*(F44+2.34973310685883)/(R44*E44^-0.304107132838227+(1-R44)*(14-F44)^-0.304107132838227)</f>
        <v>27.153112580774977</v>
      </c>
      <c r="M44" s="9">
        <f>13.6914255489806*Q44*(G44-9)</f>
        <v>27.671892303995225</v>
      </c>
      <c r="N44" s="9">
        <f>2.4817076129942*Q44*(6.5-$B$3)</f>
        <v>8.8514238196793134</v>
      </c>
      <c r="O44" s="12">
        <f>IF(G44-F44&lt;=1,IF(F44&lt;=6,0,G44-F44), G44-F44)</f>
        <v>1</v>
      </c>
      <c r="P44" s="11">
        <f>IF(F44-6&gt;0,F44/6,0)</f>
        <v>1.6166666666666665</v>
      </c>
      <c r="Q44" s="12">
        <f>IF(G44-9&gt;0,G44/9,0)</f>
        <v>1.1888888888888889</v>
      </c>
      <c r="R44" s="1">
        <f>IF(E44&lt;=14-F44,1,0)</f>
        <v>1</v>
      </c>
      <c r="S44" s="1">
        <f>LN((6.5/$B$3)^2.512)</f>
        <v>1.5550264915164334</v>
      </c>
      <c r="T44" s="33">
        <f>0.952988428558035*G44+(G44/13)^1.21758761926721*S44*3.49701599950785-6.17437592197594+$B$3*1.04875246413893</f>
        <v>11.983425804390373</v>
      </c>
      <c r="U44" s="34">
        <f>(T44/13)^2.512*S44</f>
        <v>1.2673820187583211</v>
      </c>
      <c r="V44" s="34">
        <f>T44-U44-G44</f>
        <v>1.6043785632053442E-2</v>
      </c>
      <c r="W44" s="34">
        <f>IF(V44&lt;0,T44-V44,T44)</f>
        <v>11.983425804390373</v>
      </c>
      <c r="X44" s="34">
        <f>10^((W44-2.7)/5)</f>
        <v>71.892760688338697</v>
      </c>
    </row>
    <row r="45" spans="1:24" x14ac:dyDescent="0.25">
      <c r="A45" s="2" t="s">
        <v>127</v>
      </c>
      <c r="B45" s="24" t="s">
        <v>128</v>
      </c>
      <c r="C45" s="2" t="s">
        <v>129</v>
      </c>
      <c r="D45" s="13" t="s">
        <v>130</v>
      </c>
      <c r="E45" s="16">
        <v>1.2</v>
      </c>
      <c r="F45" s="16">
        <v>8.23</v>
      </c>
      <c r="G45" s="16">
        <v>8.41</v>
      </c>
      <c r="H45" s="35">
        <f>IF(I45&lt;X45,X45,I45)</f>
        <v>112.82972674694905</v>
      </c>
      <c r="I45" s="27">
        <f>J45+K45+L45+M45+N45</f>
        <v>112.82972674694905</v>
      </c>
      <c r="J45" s="9">
        <f>116/1.2213*(0.0950502775050452+(1.12627632206642)/((1+($B$2/0.302756091410027)^2.26536793426585)^0.152776210790626))/E45</f>
        <v>96.668772039554824</v>
      </c>
      <c r="K45" s="9">
        <f>5.91232283796472*O45*(G45-F45)/E45^0.600317738509086*(1+$B$2)^0.808139120750434</f>
        <v>0.17169958442252289</v>
      </c>
      <c r="L45" s="9">
        <f>1.04237828050238*P45*(F45+2.34973310685883)/(R45*E45^-0.304107132838227+(1-R45)*(14-F45)^-0.304107132838227)</f>
        <v>15.9892551229717</v>
      </c>
      <c r="M45" s="9">
        <f>13.6914255489806*Q45*(G45-9)</f>
        <v>0</v>
      </c>
      <c r="N45" s="9">
        <f>2.4817076129942*Q45*(6.5-$B$3)</f>
        <v>0</v>
      </c>
      <c r="O45" s="12">
        <f>IF(G45-F45&lt;=1,IF(F45&lt;=6,0,G45-F45), G45-F45)</f>
        <v>0.17999999999999972</v>
      </c>
      <c r="P45" s="11">
        <f>IF(F45-6&gt;0,F45/6,0)</f>
        <v>1.3716666666666668</v>
      </c>
      <c r="Q45" s="12">
        <f>IF(G45-9&gt;0,G45/9,0)</f>
        <v>0</v>
      </c>
      <c r="R45" s="1">
        <f>IF(E45&lt;=14-F45,1,0)</f>
        <v>1</v>
      </c>
      <c r="S45" s="1">
        <f>LN((6.5/$B$3)^2.512)</f>
        <v>1.5550264915164334</v>
      </c>
      <c r="T45" s="33">
        <f>0.952988428558035*G45+(G45/13)^1.21758761926721*S45*3.49701599950785-6.17437592197594+$B$3*1.04875246413893</f>
        <v>8.7107574183703846</v>
      </c>
      <c r="U45" s="34">
        <f>(T45/13)^2.512*S45</f>
        <v>0.56876460361002368</v>
      </c>
      <c r="V45" s="34">
        <f>T45-U45-G45</f>
        <v>-0.26800718523963951</v>
      </c>
      <c r="W45" s="34">
        <f>IF(V45&lt;0,T45-V45,T45)</f>
        <v>8.9787646036100242</v>
      </c>
      <c r="X45" s="34">
        <f>10^((W45-2.7)/5)</f>
        <v>18.019922578282031</v>
      </c>
    </row>
    <row r="46" spans="1:24" x14ac:dyDescent="0.25">
      <c r="A46" s="2" t="s">
        <v>295</v>
      </c>
      <c r="B46" s="24" t="s">
        <v>296</v>
      </c>
      <c r="C46" s="2" t="s">
        <v>297</v>
      </c>
      <c r="D46" s="13" t="s">
        <v>298</v>
      </c>
      <c r="E46" s="16">
        <v>5.5</v>
      </c>
      <c r="F46" s="16">
        <v>9.8000000000000007</v>
      </c>
      <c r="G46" s="16">
        <v>11.4</v>
      </c>
      <c r="H46" s="35">
        <f>IF(I46&lt;X46,X46,I46)</f>
        <v>114.53262138071582</v>
      </c>
      <c r="I46" s="27">
        <f>J46+K46+L46+M46+N46</f>
        <v>109.58691345668711</v>
      </c>
      <c r="J46" s="9">
        <f>116/1.2213*(0.0950502775050452+(1.12627632206642)/((1+($B$2/0.302756091410027)^2.26536793426585)^0.152776210790626))/E46</f>
        <v>21.09136844499378</v>
      </c>
      <c r="K46" s="9">
        <f>5.91232283796472*O46*(G46-F46)/E46^0.600317738509086*(1+$B$2)^0.808139120750434</f>
        <v>5.4393280249885203</v>
      </c>
      <c r="L46" s="9">
        <f>1.04237828050238*P46*(F46+2.34973310685883)/(R46*E46^-0.304107132838227+(1-R46)*(14-F46)^-0.304107132838227)</f>
        <v>32.003794388425831</v>
      </c>
      <c r="M46" s="9">
        <f>13.6914255489806*Q46*(G46-9)</f>
        <v>41.621933668901022</v>
      </c>
      <c r="N46" s="9">
        <f>2.4817076129942*Q46*(6.5-$B$3)</f>
        <v>9.4304889293779599</v>
      </c>
      <c r="O46" s="12">
        <f>IF(G46-F46&lt;=1,IF(F46&lt;=6,0,G46-F46), G46-F46)</f>
        <v>1.5999999999999996</v>
      </c>
      <c r="P46" s="11">
        <f>IF(F46-6&gt;0,F46/6,0)</f>
        <v>1.6333333333333335</v>
      </c>
      <c r="Q46" s="12">
        <f>IF(G46-9&gt;0,G46/9,0)</f>
        <v>1.2666666666666666</v>
      </c>
      <c r="R46" s="1">
        <f>IF(E46&lt;=14-F46,1,0)</f>
        <v>0</v>
      </c>
      <c r="S46" s="1">
        <f>LN((6.5/$B$3)^2.512)</f>
        <v>1.5550264915164334</v>
      </c>
      <c r="T46" s="33">
        <f>0.952988428558035*G46+(G46/13)^1.21758761926721*S46*3.49701599950785-6.17437592197594+$B$3*1.04875246413893</f>
        <v>12.994646004028874</v>
      </c>
      <c r="U46" s="34">
        <f>(T46/13)^2.512*S46</f>
        <v>1.5534182292097038</v>
      </c>
      <c r="V46" s="34">
        <f>T46-U46-G46</f>
        <v>4.1227774819169838E-2</v>
      </c>
      <c r="W46" s="34">
        <f>IF(V46&lt;0,T46-V46,T46)</f>
        <v>12.994646004028874</v>
      </c>
      <c r="X46" s="34">
        <f>10^((W46-2.7)/5)</f>
        <v>114.53262138071582</v>
      </c>
    </row>
    <row r="47" spans="1:24" x14ac:dyDescent="0.25">
      <c r="A47" s="2" t="s">
        <v>223</v>
      </c>
      <c r="B47" s="24" t="s">
        <v>224</v>
      </c>
      <c r="C47" s="2" t="s">
        <v>225</v>
      </c>
      <c r="D47" s="13" t="s">
        <v>226</v>
      </c>
      <c r="E47" s="16">
        <v>2.6</v>
      </c>
      <c r="F47" s="16">
        <v>8.74</v>
      </c>
      <c r="G47" s="16">
        <v>10.66</v>
      </c>
      <c r="H47" s="35">
        <f>IF(I47&lt;X47,X47,I47)</f>
        <v>115.15238750182108</v>
      </c>
      <c r="I47" s="27">
        <f>J47+K47+L47+M47+N47</f>
        <v>115.15238750182108</v>
      </c>
      <c r="J47" s="9">
        <f>116/1.2213*(0.0950502775050452+(1.12627632206642)/((1+($B$2/0.302756091410027)^2.26536793426585)^0.152776210790626))/E47</f>
        <v>44.616356325948374</v>
      </c>
      <c r="K47" s="9">
        <f>5.91232283796472*O47*(G47-F47)/E47^0.600317738509086*(1+$B$2)^0.808139120750434</f>
        <v>12.281311192708104</v>
      </c>
      <c r="L47" s="9">
        <f>1.04237828050238*P47*(F47+2.34973310685883)/(R47*E47^-0.304107132838227+(1-R47)*(14-F47)^-0.304107132838227)</f>
        <v>22.516608937820653</v>
      </c>
      <c r="M47" s="9">
        <f>13.6914255489806*Q47*(G47-9)</f>
        <v>26.919776660504571</v>
      </c>
      <c r="N47" s="9">
        <f>2.4817076129942*Q47*(6.5-$B$3)</f>
        <v>8.8183343848393889</v>
      </c>
      <c r="O47" s="12">
        <f>IF(G47-F47&lt;=1,IF(F47&lt;=6,0,G47-F47), G47-F47)</f>
        <v>1.92</v>
      </c>
      <c r="P47" s="11">
        <f>IF(F47-6&gt;0,F47/6,0)</f>
        <v>1.4566666666666668</v>
      </c>
      <c r="Q47" s="12">
        <f>IF(G47-9&gt;0,G47/9,0)</f>
        <v>1.1844444444444444</v>
      </c>
      <c r="R47" s="1">
        <f>IF(E47&lt;=14-F47,1,0)</f>
        <v>1</v>
      </c>
      <c r="S47" s="1">
        <f>LN((6.5/$B$3)^2.512)</f>
        <v>1.5550264915164334</v>
      </c>
      <c r="T47" s="33">
        <f>0.952988428558035*G47+(G47/13)^1.21758761926721*S47*3.49701599950785-6.17437592197594+$B$3*1.04875246413893</f>
        <v>11.925786424317851</v>
      </c>
      <c r="U47" s="34">
        <f>(T47/13)^2.512*S47</f>
        <v>1.2521244729219834</v>
      </c>
      <c r="V47" s="34">
        <f>T47-U47-G47</f>
        <v>1.3661951395867789E-2</v>
      </c>
      <c r="W47" s="34">
        <f>IF(V47&lt;0,T47-V47,T47)</f>
        <v>11.925786424317851</v>
      </c>
      <c r="X47" s="34">
        <f>10^((W47-2.7)/5)</f>
        <v>70.009549792839493</v>
      </c>
    </row>
    <row r="48" spans="1:24" x14ac:dyDescent="0.25">
      <c r="A48" s="2" t="s">
        <v>275</v>
      </c>
      <c r="B48" s="24" t="s">
        <v>276</v>
      </c>
      <c r="C48" s="2" t="s">
        <v>277</v>
      </c>
      <c r="D48" s="13" t="s">
        <v>278</v>
      </c>
      <c r="E48" s="16">
        <v>4.2</v>
      </c>
      <c r="F48" s="16">
        <v>6.54</v>
      </c>
      <c r="G48" s="16">
        <v>10.51</v>
      </c>
      <c r="H48" s="35">
        <f>IF(I48&lt;X48,X48,I48)</f>
        <v>115.45594918655155</v>
      </c>
      <c r="I48" s="27">
        <f>J48+K48+L48+M48+N48</f>
        <v>115.45594918655155</v>
      </c>
      <c r="J48" s="9">
        <f>116/1.2213*(0.0950502775050452+(1.12627632206642)/((1+($B$2/0.302756091410027)^2.26536793426585)^0.152776210790626))/E48</f>
        <v>27.61964915415852</v>
      </c>
      <c r="K48" s="9">
        <f>5.91232283796472*O48*(G48-F48)/E48^0.600317738509086*(1+$B$2)^0.808139120750434</f>
        <v>39.372369241351279</v>
      </c>
      <c r="L48" s="9">
        <f>1.04237828050238*P48*(F48+2.34973310685883)/(R48*E48^-0.304107132838227+(1-R48)*(14-F48)^-0.304107132838227)</f>
        <v>15.626982608532398</v>
      </c>
      <c r="M48" s="9">
        <f>13.6914255489806*Q48*(G48-9)</f>
        <v>24.142699178319667</v>
      </c>
      <c r="N48" s="9">
        <f>2.4817076129942*Q48*(6.5-$B$3)</f>
        <v>8.6942490041896807</v>
      </c>
      <c r="O48" s="12">
        <f>IF(G48-F48&lt;=1,IF(F48&lt;=6,0,G48-F48), G48-F48)</f>
        <v>3.9699999999999998</v>
      </c>
      <c r="P48" s="11">
        <f>IF(F48-6&gt;0,F48/6,0)</f>
        <v>1.0900000000000001</v>
      </c>
      <c r="Q48" s="12">
        <f>IF(G48-9&gt;0,G48/9,0)</f>
        <v>1.1677777777777778</v>
      </c>
      <c r="R48" s="1">
        <f>IF(E48&lt;=14-F48,1,0)</f>
        <v>1</v>
      </c>
      <c r="S48" s="1">
        <f>LN((6.5/$B$3)^2.512)</f>
        <v>1.5550264915164334</v>
      </c>
      <c r="T48" s="33">
        <f>0.952988428558035*G48+(G48/13)^1.21758761926721*S48*3.49701599950785-6.17437592197594+$B$3*1.04875246413893</f>
        <v>11.709781016767783</v>
      </c>
      <c r="U48" s="34">
        <f>(T48/13)^2.512*S48</f>
        <v>1.1959323398147004</v>
      </c>
      <c r="V48" s="34">
        <f>T48-U48-G48</f>
        <v>3.8486769530834408E-3</v>
      </c>
      <c r="W48" s="34">
        <f>IF(V48&lt;0,T48-V48,T48)</f>
        <v>11.709781016767783</v>
      </c>
      <c r="X48" s="34">
        <f>10^((W48-2.7)/5)</f>
        <v>63.380579156871008</v>
      </c>
    </row>
    <row r="49" spans="1:24" x14ac:dyDescent="0.25">
      <c r="A49" s="2" t="s">
        <v>389</v>
      </c>
      <c r="B49" s="24" t="s">
        <v>390</v>
      </c>
      <c r="C49" s="2" t="s">
        <v>391</v>
      </c>
      <c r="D49" s="13" t="s">
        <v>392</v>
      </c>
      <c r="E49" s="16">
        <v>13.9</v>
      </c>
      <c r="F49" s="16">
        <v>9</v>
      </c>
      <c r="G49" s="16">
        <v>11.43</v>
      </c>
      <c r="H49" s="35">
        <f>IF(I49&lt;X49,X49,I49)</f>
        <v>116.84706775991918</v>
      </c>
      <c r="I49" s="27">
        <f>J49+K49+L49+M49+N49</f>
        <v>96.196104946823382</v>
      </c>
      <c r="J49" s="9">
        <f>116/1.2213*(0.0950502775050452+(1.12627632206642)/((1+($B$2/0.302756091410027)^2.26536793426585)^0.152776210790626))/E49</f>
        <v>8.3455054998176816</v>
      </c>
      <c r="K49" s="9">
        <f>5.91232283796472*O49*(G49-F49)/E49^0.600317738509086*(1+$B$2)^0.808139120750434</f>
        <v>7.1911546330071081</v>
      </c>
      <c r="L49" s="9">
        <f>1.04237828050238*P49*(F49+2.34973310685883)/(R49*E49^-0.304107132838227+(1-R49)*(14-F49)^-0.304107132838227)</f>
        <v>28.951030421781653</v>
      </c>
      <c r="M49" s="9">
        <f>13.6914255489806*Q49*(G49-9)</f>
        <v>42.25310838670903</v>
      </c>
      <c r="N49" s="9">
        <f>2.4817076129942*Q49*(6.5-$B$3)</f>
        <v>9.4553060055079019</v>
      </c>
      <c r="O49" s="12">
        <f>IF(G49-F49&lt;=1,IF(F49&lt;=6,0,G49-F49), G49-F49)</f>
        <v>2.4299999999999997</v>
      </c>
      <c r="P49" s="11">
        <f>IF(F49-6&gt;0,F49/6,0)</f>
        <v>1.5</v>
      </c>
      <c r="Q49" s="12">
        <f>IF(G49-9&gt;0,G49/9,0)</f>
        <v>1.27</v>
      </c>
      <c r="R49" s="1">
        <f>IF(E49&lt;=14-F49,1,0)</f>
        <v>0</v>
      </c>
      <c r="S49" s="1">
        <f>LN((6.5/$B$3)^2.512)</f>
        <v>1.5550264915164334</v>
      </c>
      <c r="T49" s="33">
        <f>0.952988428558035*G49+(G49/13)^1.21758761926721*S49*3.49701599950785-6.17437592197594+$B$3*1.04875246413893</f>
        <v>13.03808909191401</v>
      </c>
      <c r="U49" s="34">
        <f>(T49/13)^2.512*S49</f>
        <v>1.5664968260312722</v>
      </c>
      <c r="V49" s="34">
        <f>T49-U49-G49</f>
        <v>4.1592265882737678E-2</v>
      </c>
      <c r="W49" s="34">
        <f>IF(V49&lt;0,T49-V49,T49)</f>
        <v>13.03808909191401</v>
      </c>
      <c r="X49" s="34">
        <f>10^((W49-2.7)/5)</f>
        <v>116.84706775991918</v>
      </c>
    </row>
    <row r="50" spans="1:24" x14ac:dyDescent="0.25">
      <c r="A50" s="2" t="s">
        <v>376</v>
      </c>
      <c r="B50" s="24" t="s">
        <v>377</v>
      </c>
      <c r="C50" s="2" t="s">
        <v>378</v>
      </c>
      <c r="D50" s="13" t="s">
        <v>379</v>
      </c>
      <c r="E50" s="16">
        <v>11</v>
      </c>
      <c r="F50" s="16">
        <v>8.2100000000000009</v>
      </c>
      <c r="G50" s="16">
        <v>11.45</v>
      </c>
      <c r="H50" s="35">
        <f>IF(I50&lt;X50,X50,I50)</f>
        <v>118.41621438063832</v>
      </c>
      <c r="I50" s="27">
        <f>J50+K50+L50+M50+N50</f>
        <v>103.09777440702138</v>
      </c>
      <c r="J50" s="9">
        <f>116/1.2213*(0.0950502775050452+(1.12627632206642)/((1+($B$2/0.302756091410027)^2.26536793426585)^0.152776210790626))/E50</f>
        <v>10.54568422249689</v>
      </c>
      <c r="K50" s="9">
        <f>5.91232283796472*O50*(G50-F50)/E50^0.600317738509086*(1+$B$2)^0.808139120750434</f>
        <v>14.71233682548926</v>
      </c>
      <c r="L50" s="9">
        <f>1.04237828050238*P50*(F50+2.34973310685883)/(R50*E50^-0.304107132838227+(1-R50)*(14-F50)^-0.304107132838227)</f>
        <v>25.692489834687585</v>
      </c>
      <c r="M50" s="9">
        <f>13.6914255489806*Q50*(G50-9)</f>
        <v>42.675412801419789</v>
      </c>
      <c r="N50" s="9">
        <f>2.4817076129942*Q50*(6.5-$B$3)</f>
        <v>9.4718507229278615</v>
      </c>
      <c r="O50" s="12">
        <f>IF(G50-F50&lt;=1,IF(F50&lt;=6,0,G50-F50), G50-F50)</f>
        <v>3.2399999999999984</v>
      </c>
      <c r="P50" s="11">
        <f>IF(F50-6&gt;0,F50/6,0)</f>
        <v>1.3683333333333334</v>
      </c>
      <c r="Q50" s="12">
        <f>IF(G50-9&gt;0,G50/9,0)</f>
        <v>1.2722222222222221</v>
      </c>
      <c r="R50" s="1">
        <f>IF(E50&lt;=14-F50,1,0)</f>
        <v>0</v>
      </c>
      <c r="S50" s="1">
        <f>LN((6.5/$B$3)^2.512)</f>
        <v>1.5550264915164334</v>
      </c>
      <c r="T50" s="33">
        <f>0.952988428558035*G50+(G50/13)^1.21758761926721*S50*3.49701599950785-6.17437592197594+$B$3*1.04875246413893</f>
        <v>13.067055865562429</v>
      </c>
      <c r="U50" s="34">
        <f>(T50/13)^2.512*S50</f>
        <v>1.5752540094159531</v>
      </c>
      <c r="V50" s="34">
        <f>T50-U50-G50</f>
        <v>4.1801856146475913E-2</v>
      </c>
      <c r="W50" s="34">
        <f>IF(V50&lt;0,T50-V50,T50)</f>
        <v>13.067055865562429</v>
      </c>
      <c r="X50" s="34">
        <f>10^((W50-2.7)/5)</f>
        <v>118.41621438063832</v>
      </c>
    </row>
    <row r="51" spans="1:24" x14ac:dyDescent="0.25">
      <c r="A51" s="2" t="s">
        <v>183</v>
      </c>
      <c r="B51" s="24" t="s">
        <v>184</v>
      </c>
      <c r="C51" s="2" t="s">
        <v>185</v>
      </c>
      <c r="D51" s="13" t="s">
        <v>186</v>
      </c>
      <c r="E51" s="16">
        <v>1.8</v>
      </c>
      <c r="F51" s="16">
        <v>9.86</v>
      </c>
      <c r="G51" s="16">
        <v>10.31</v>
      </c>
      <c r="H51" s="35">
        <f>IF(I51&lt;X51,X51,I51)</f>
        <v>119.37082876515612</v>
      </c>
      <c r="I51" s="27">
        <f>J51+K51+L51+M51+N51</f>
        <v>119.37082876515612</v>
      </c>
      <c r="J51" s="9">
        <f>116/1.2213*(0.0950502775050452+(1.12627632206642)/((1+($B$2/0.302756091410027)^2.26536793426585)^0.152776210790626))/E51</f>
        <v>64.445848026369873</v>
      </c>
      <c r="K51" s="9">
        <f>5.91232283796472*O51*(G51-F51)/E51^0.600317738509086*(1+$B$2)^0.808139120750434</f>
        <v>0.84127610740120384</v>
      </c>
      <c r="L51" s="9">
        <f>1.04237828050238*P51*(F51+2.34973310685883)/(R51*E51^-0.304107132838227+(1-R51)*(14-F51)^-0.304107132838227)</f>
        <v>25.008484733940872</v>
      </c>
      <c r="M51" s="9">
        <f>13.6914255489806*Q51*(G51-9)</f>
        <v>20.546418067454105</v>
      </c>
      <c r="N51" s="9">
        <f>2.4817076129942*Q51*(6.5-$B$3)</f>
        <v>8.5288018299900674</v>
      </c>
      <c r="O51" s="12">
        <f>IF(G51-F51&lt;=1,IF(F51&lt;=6,0,G51-F51), G51-F51)</f>
        <v>0.45000000000000107</v>
      </c>
      <c r="P51" s="11">
        <f>IF(F51-6&gt;0,F51/6,0)</f>
        <v>1.6433333333333333</v>
      </c>
      <c r="Q51" s="12">
        <f>IF(G51-9&gt;0,G51/9,0)</f>
        <v>1.1455555555555557</v>
      </c>
      <c r="R51" s="1">
        <f>IF(E51&lt;=14-F51,1,0)</f>
        <v>1</v>
      </c>
      <c r="S51" s="1">
        <f>LN((6.5/$B$3)^2.512)</f>
        <v>1.5550264915164334</v>
      </c>
      <c r="T51" s="33">
        <f>0.952988428558035*G51+(G51/13)^1.21758761926721*S51*3.49701599950785-6.17437592197594+$B$3*1.04875246413893</f>
        <v>11.422126626569863</v>
      </c>
      <c r="U51" s="34">
        <f>(T51/13)^2.512*S51</f>
        <v>1.1234984586406382</v>
      </c>
      <c r="V51" s="34">
        <f>T51-U51-G51</f>
        <v>-1.1371832070775412E-2</v>
      </c>
      <c r="W51" s="34">
        <f>IF(V51&lt;0,T51-V51,T51)</f>
        <v>11.433498458640639</v>
      </c>
      <c r="X51" s="34">
        <f>10^((W51-2.7)/5)</f>
        <v>55.80841542647422</v>
      </c>
    </row>
    <row r="52" spans="1:24" x14ac:dyDescent="0.25">
      <c r="A52" s="2" t="s">
        <v>171</v>
      </c>
      <c r="B52" s="24" t="s">
        <v>172</v>
      </c>
      <c r="C52" s="2" t="s">
        <v>173</v>
      </c>
      <c r="D52" s="13" t="s">
        <v>174</v>
      </c>
      <c r="E52" s="16">
        <v>1.6</v>
      </c>
      <c r="F52" s="16">
        <v>9.6999999999999993</v>
      </c>
      <c r="G52" s="16">
        <v>10</v>
      </c>
      <c r="H52" s="35">
        <f>IF(I52&lt;X52,X52,I52)</f>
        <v>119.81389919925073</v>
      </c>
      <c r="I52" s="27">
        <f>J52+K52+L52+M52+N52</f>
        <v>119.81389919925073</v>
      </c>
      <c r="J52" s="9">
        <f>116/1.2213*(0.0950502775050452+(1.12627632206642)/((1+($B$2/0.302756091410027)^2.26536793426585)^0.152776210790626))/E52</f>
        <v>72.501579029666104</v>
      </c>
      <c r="K52" s="9">
        <f>5.91232283796472*O52*(G52-F52)/E52^0.600317738509086*(1+$B$2)^0.808139120750434</f>
        <v>0.40129505065558541</v>
      </c>
      <c r="L52" s="9">
        <f>1.04237828050238*P52*(F52+2.34973310685883)/(R52*E52^-0.304107132838227+(1-R52)*(14-F52)^-0.304107132838227)</f>
        <v>23.425971354525473</v>
      </c>
      <c r="M52" s="9">
        <f>13.6914255489806*Q52*(G52-9)</f>
        <v>15.212695054422889</v>
      </c>
      <c r="N52" s="9">
        <f>2.4817076129942*Q52*(6.5-$B$3)</f>
        <v>8.2723587099806668</v>
      </c>
      <c r="O52" s="12">
        <f>IF(G52-F52&lt;=1,IF(F52&lt;=6,0,G52-F52), G52-F52)</f>
        <v>0.30000000000000071</v>
      </c>
      <c r="P52" s="11">
        <f>IF(F52-6&gt;0,F52/6,0)</f>
        <v>1.6166666666666665</v>
      </c>
      <c r="Q52" s="12">
        <f>IF(G52-9&gt;0,G52/9,0)</f>
        <v>1.1111111111111112</v>
      </c>
      <c r="R52" s="1">
        <f>IF(E52&lt;=14-F52,1,0)</f>
        <v>1</v>
      </c>
      <c r="S52" s="1">
        <f>LN((6.5/$B$3)^2.512)</f>
        <v>1.5550264915164334</v>
      </c>
      <c r="T52" s="33">
        <f>0.952988428558035*G52+(G52/13)^1.21758761926721*S52*3.49701599950785-6.17437592197594+$B$3*1.04875246413893</f>
        <v>10.977072544061558</v>
      </c>
      <c r="U52" s="34">
        <f>(T52/13)^2.512*S52</f>
        <v>1.0167501972741186</v>
      </c>
      <c r="V52" s="34">
        <f>T52-U52-G52</f>
        <v>-3.9677653212560671E-2</v>
      </c>
      <c r="W52" s="34">
        <f>IF(V52&lt;0,T52-V52,T52)</f>
        <v>11.016750197274119</v>
      </c>
      <c r="X52" s="34">
        <f>10^((W52-2.7)/5)</f>
        <v>46.062768790680629</v>
      </c>
    </row>
    <row r="53" spans="1:24" x14ac:dyDescent="0.25">
      <c r="A53" s="2" t="s">
        <v>179</v>
      </c>
      <c r="B53" s="24" t="s">
        <v>180</v>
      </c>
      <c r="C53" s="2" t="s">
        <v>181</v>
      </c>
      <c r="D53" s="13" t="s">
        <v>182</v>
      </c>
      <c r="E53" s="16">
        <v>1.8</v>
      </c>
      <c r="F53" s="16">
        <v>8.93</v>
      </c>
      <c r="G53" s="16">
        <v>10.25</v>
      </c>
      <c r="H53" s="35">
        <f>IF(I53&lt;X53,X53,I53)</f>
        <v>120.57947002647279</v>
      </c>
      <c r="I53" s="27">
        <f>J53+K53+L53+M53+N53</f>
        <v>120.57947002647279</v>
      </c>
      <c r="J53" s="9">
        <f>116/1.2213*(0.0950502775050452+(1.12627632206642)/((1+($B$2/0.302756091410027)^2.26536793426585)^0.152776210790626))/E53</f>
        <v>64.445848026369873</v>
      </c>
      <c r="K53" s="9">
        <f>5.91232283796472*O53*(G53-F53)/E53^0.600317738509086*(1+$B$2)^0.808139120750434</f>
        <v>7.2387135285721058</v>
      </c>
      <c r="L53" s="9">
        <f>1.04237828050238*P53*(F53+2.34973310685883)/(R53*E53^-0.304107132838227+(1-R53)*(14-F53)^-0.304107132838227)</f>
        <v>20.924475255321294</v>
      </c>
      <c r="M53" s="9">
        <f>13.6914255489806*Q53*(G53-9)</f>
        <v>19.491265538479325</v>
      </c>
      <c r="N53" s="9">
        <f>2.4817076129942*Q53*(6.5-$B$3)</f>
        <v>8.4791676777301834</v>
      </c>
      <c r="O53" s="12">
        <f>IF(G53-F53&lt;=1,IF(F53&lt;=6,0,G53-F53), G53-F53)</f>
        <v>1.3200000000000003</v>
      </c>
      <c r="P53" s="11">
        <f>IF(F53-6&gt;0,F53/6,0)</f>
        <v>1.4883333333333333</v>
      </c>
      <c r="Q53" s="12">
        <f>IF(G53-9&gt;0,G53/9,0)</f>
        <v>1.1388888888888888</v>
      </c>
      <c r="R53" s="1">
        <f>IF(E53&lt;=14-F53,1,0)</f>
        <v>1</v>
      </c>
      <c r="S53" s="1">
        <f>LN((6.5/$B$3)^2.512)</f>
        <v>1.5550264915164334</v>
      </c>
      <c r="T53" s="33">
        <f>0.952988428558035*G53+(G53/13)^1.21758761926721*S53*3.49701599950785-6.17437592197594+$B$3*1.04875246413893</f>
        <v>11.335909747599768</v>
      </c>
      <c r="U53" s="34">
        <f>(T53/13)^2.512*S53</f>
        <v>1.1023170288446857</v>
      </c>
      <c r="V53" s="34">
        <f>T53-U53-G53</f>
        <v>-1.6407281244918082E-2</v>
      </c>
      <c r="W53" s="34">
        <f>IF(V53&lt;0,T53-V53,T53)</f>
        <v>11.352317028844686</v>
      </c>
      <c r="X53" s="34">
        <f>10^((W53-2.7)/5)</f>
        <v>53.760513188977939</v>
      </c>
    </row>
    <row r="54" spans="1:24" x14ac:dyDescent="0.25">
      <c r="A54" s="2" t="s">
        <v>267</v>
      </c>
      <c r="B54" s="24" t="s">
        <v>268</v>
      </c>
      <c r="C54" s="2" t="s">
        <v>269</v>
      </c>
      <c r="D54" s="13" t="s">
        <v>270</v>
      </c>
      <c r="E54" s="16">
        <v>3.6</v>
      </c>
      <c r="F54" s="16">
        <v>9.6</v>
      </c>
      <c r="G54" s="16">
        <v>11.4</v>
      </c>
      <c r="H54" s="35">
        <f>IF(I54&lt;X54,X54,I54)</f>
        <v>121.57642288618902</v>
      </c>
      <c r="I54" s="27">
        <f>J54+K54+L54+M54+N54</f>
        <v>121.57642288618902</v>
      </c>
      <c r="J54" s="9">
        <f>116/1.2213*(0.0950502775050452+(1.12627632206642)/((1+($B$2/0.302756091410027)^2.26536793426585)^0.152776210790626))/E54</f>
        <v>32.222924013184937</v>
      </c>
      <c r="K54" s="9">
        <f>5.91232283796472*O54*(G54-F54)/E54^0.600317738509086*(1+$B$2)^0.808139120750434</f>
        <v>8.8786081948457891</v>
      </c>
      <c r="L54" s="9">
        <f>1.04237828050238*P54*(F54+2.34973310685883)/(R54*E54^-0.304107132838227+(1-R54)*(14-F54)^-0.304107132838227)</f>
        <v>29.422468079879312</v>
      </c>
      <c r="M54" s="9">
        <f>13.6914255489806*Q54*(G54-9)</f>
        <v>41.621933668901022</v>
      </c>
      <c r="N54" s="9">
        <f>2.4817076129942*Q54*(6.5-$B$3)</f>
        <v>9.4304889293779599</v>
      </c>
      <c r="O54" s="12">
        <f>IF(G54-F54&lt;=1,IF(F54&lt;=6,0,G54-F54), G54-F54)</f>
        <v>1.8000000000000007</v>
      </c>
      <c r="P54" s="11">
        <f>IF(F54-6&gt;0,F54/6,0)</f>
        <v>1.5999999999999999</v>
      </c>
      <c r="Q54" s="12">
        <f>IF(G54-9&gt;0,G54/9,0)</f>
        <v>1.2666666666666666</v>
      </c>
      <c r="R54" s="1">
        <f>IF(E54&lt;=14-F54,1,0)</f>
        <v>1</v>
      </c>
      <c r="S54" s="1">
        <f>LN((6.5/$B$3)^2.512)</f>
        <v>1.5550264915164334</v>
      </c>
      <c r="T54" s="33">
        <f>0.952988428558035*G54+(G54/13)^1.21758761926721*S54*3.49701599950785-6.17437592197594+$B$3*1.04875246413893</f>
        <v>12.994646004028874</v>
      </c>
      <c r="U54" s="34">
        <f>(T54/13)^2.512*S54</f>
        <v>1.5534182292097038</v>
      </c>
      <c r="V54" s="34">
        <f>T54-U54-G54</f>
        <v>4.1227774819169838E-2</v>
      </c>
      <c r="W54" s="34">
        <f>IF(V54&lt;0,T54-V54,T54)</f>
        <v>12.994646004028874</v>
      </c>
      <c r="X54" s="34">
        <f>10^((W54-2.7)/5)</f>
        <v>114.53262138071582</v>
      </c>
    </row>
    <row r="55" spans="1:24" x14ac:dyDescent="0.25">
      <c r="A55" s="2" t="s">
        <v>303</v>
      </c>
      <c r="B55" s="24" t="s">
        <v>304</v>
      </c>
      <c r="C55" s="2" t="s">
        <v>305</v>
      </c>
      <c r="D55" s="13" t="s">
        <v>306</v>
      </c>
      <c r="E55" s="16">
        <v>6.2</v>
      </c>
      <c r="F55" s="16">
        <v>7.5</v>
      </c>
      <c r="G55" s="16">
        <v>11.39</v>
      </c>
      <c r="H55" s="35">
        <f>IF(I55&lt;X55,X55,I55)</f>
        <v>121.81786273466972</v>
      </c>
      <c r="I55" s="27">
        <f>J55+K55+L55+M55+N55</f>
        <v>121.81786273466972</v>
      </c>
      <c r="J55" s="9">
        <f>116/1.2213*(0.0950502775050452+(1.12627632206642)/((1+($B$2/0.302756091410027)^2.26536793426585)^0.152776210790626))/E55</f>
        <v>18.710084910881577</v>
      </c>
      <c r="K55" s="9">
        <f>5.91232283796472*O55*(G55-F55)/E55^0.600317738509086*(1+$B$2)^0.808139120750434</f>
        <v>29.920617756853705</v>
      </c>
      <c r="L55" s="9">
        <f>1.04237828050238*P55*(F55+2.34973310685883)/(R55*E55^-0.304107132838227+(1-R55)*(14-F55)^-0.304107132838227)</f>
        <v>22.352792892165912</v>
      </c>
      <c r="M55" s="9">
        <f>13.6914255489806*Q55*(G55-9)</f>
        <v>41.412150604100546</v>
      </c>
      <c r="N55" s="9">
        <f>2.4817076129942*Q55*(6.5-$B$3)</f>
        <v>9.4222165706679792</v>
      </c>
      <c r="O55" s="12">
        <f>IF(G55-F55&lt;=1,IF(F55&lt;=6,0,G55-F55), G55-F55)</f>
        <v>3.8900000000000006</v>
      </c>
      <c r="P55" s="11">
        <f>IF(F55-6&gt;0,F55/6,0)</f>
        <v>1.25</v>
      </c>
      <c r="Q55" s="12">
        <f>IF(G55-9&gt;0,G55/9,0)</f>
        <v>1.2655555555555555</v>
      </c>
      <c r="R55" s="1">
        <f>IF(E55&lt;=14-F55,1,0)</f>
        <v>1</v>
      </c>
      <c r="S55" s="1">
        <f>LN((6.5/$B$3)^2.512)</f>
        <v>1.5550264915164334</v>
      </c>
      <c r="T55" s="33">
        <f>0.952988428558035*G55+(G55/13)^1.21758761926721*S55*3.49701599950785-6.17437592197594+$B$3*1.04875246413893</f>
        <v>12.980166863343678</v>
      </c>
      <c r="U55" s="34">
        <f>(T55/13)^2.512*S55</f>
        <v>1.549073922807348</v>
      </c>
      <c r="V55" s="34">
        <f>T55-U55-G55</f>
        <v>4.1092940536328726E-2</v>
      </c>
      <c r="W55" s="34">
        <f>IF(V55&lt;0,T55-V55,T55)</f>
        <v>12.980166863343678</v>
      </c>
      <c r="X55" s="34">
        <f>10^((W55-2.7)/5)</f>
        <v>113.77147083417427</v>
      </c>
    </row>
    <row r="56" spans="1:24" x14ac:dyDescent="0.25">
      <c r="A56" s="2" t="s">
        <v>147</v>
      </c>
      <c r="B56" s="24" t="s">
        <v>148</v>
      </c>
      <c r="C56" s="2" t="s">
        <v>149</v>
      </c>
      <c r="D56" s="13" t="s">
        <v>150</v>
      </c>
      <c r="E56" s="16">
        <v>1.3</v>
      </c>
      <c r="F56" s="16">
        <v>9.32</v>
      </c>
      <c r="G56" s="16">
        <v>9.41</v>
      </c>
      <c r="H56" s="35">
        <f>IF(I56&lt;X56,X56,I56)</f>
        <v>123.39166025054989</v>
      </c>
      <c r="I56" s="27">
        <f>J56+K56+L56+M56+N56</f>
        <v>123.39166025054989</v>
      </c>
      <c r="J56" s="9">
        <f>116/1.2213*(0.0950502775050452+(1.12627632206642)/((1+($B$2/0.302756091410027)^2.26536793426585)^0.152776210790626))/E56</f>
        <v>89.232712651896748</v>
      </c>
      <c r="K56" s="9">
        <f>5.91232283796472*O56*(G56-F56)/E56^0.600317738509086*(1+$B$2)^0.808139120750434</f>
        <v>4.0911079924314343E-2</v>
      </c>
      <c r="L56" s="9">
        <f>1.04237828050238*P56*(F56+2.34973310685883)/(R56*E56^-0.304107132838227+(1-R56)*(14-F56)^-0.304107132838227)</f>
        <v>20.464537093690126</v>
      </c>
      <c r="M56" s="9">
        <f>13.6914255489806*Q56*(G56-9)</f>
        <v>5.8692098789468972</v>
      </c>
      <c r="N56" s="9">
        <f>2.4817076129942*Q56*(6.5-$B$3)</f>
        <v>7.7842895460918076</v>
      </c>
      <c r="O56" s="12">
        <f>IF(G56-F56&lt;=1,IF(F56&lt;=6,0,G56-F56), G56-F56)</f>
        <v>8.9999999999999858E-2</v>
      </c>
      <c r="P56" s="11">
        <f>IF(F56-6&gt;0,F56/6,0)</f>
        <v>1.5533333333333335</v>
      </c>
      <c r="Q56" s="12">
        <f>IF(G56-9&gt;0,G56/9,0)</f>
        <v>1.0455555555555556</v>
      </c>
      <c r="R56" s="1">
        <f>IF(E56&lt;=14-F56,1,0)</f>
        <v>1</v>
      </c>
      <c r="S56" s="1">
        <f>LN((6.5/$B$3)^2.512)</f>
        <v>1.5550264915164334</v>
      </c>
      <c r="T56" s="33">
        <f>0.952988428558035*G56+(G56/13)^1.21758761926721*S56*3.49701599950785-6.17437592197594+$B$3*1.04875246413893</f>
        <v>10.132834352931864</v>
      </c>
      <c r="U56" s="34">
        <f>(T56/13)^2.512*S56</f>
        <v>0.83158801209189326</v>
      </c>
      <c r="V56" s="34">
        <f>T56-U56-G56</f>
        <v>-0.10875365916002977</v>
      </c>
      <c r="W56" s="34">
        <f>IF(V56&lt;0,T56-V56,T56)</f>
        <v>10.241588012091894</v>
      </c>
      <c r="X56" s="34">
        <f>10^((W56-2.7)/5)</f>
        <v>32.234252416692463</v>
      </c>
    </row>
    <row r="57" spans="1:24" x14ac:dyDescent="0.25">
      <c r="A57" s="2" t="s">
        <v>175</v>
      </c>
      <c r="B57" s="24" t="s">
        <v>176</v>
      </c>
      <c r="C57" s="2" t="s">
        <v>177</v>
      </c>
      <c r="D57" s="13" t="s">
        <v>178</v>
      </c>
      <c r="E57" s="16">
        <v>1.7</v>
      </c>
      <c r="F57" s="16">
        <v>9.23</v>
      </c>
      <c r="G57" s="16">
        <v>10.3</v>
      </c>
      <c r="H57" s="35">
        <f>IF(I57&lt;X57,X57,I57)</f>
        <v>123.86961750538927</v>
      </c>
      <c r="I57" s="27">
        <f>J57+K57+L57+M57+N57</f>
        <v>123.86961750538927</v>
      </c>
      <c r="J57" s="9">
        <f>116/1.2213*(0.0950502775050452+(1.12627632206642)/((1+($B$2/0.302756091410027)^2.26536793426585)^0.152776210790626))/E57</f>
        <v>68.236780263215167</v>
      </c>
      <c r="K57" s="9">
        <f>5.91232283796472*O57*(G57-F57)/E57^0.600317738509086*(1+$B$2)^0.808139120750434</f>
        <v>4.9224704805369823</v>
      </c>
      <c r="L57" s="9">
        <f>1.04237828050238*P57*(F57+2.34973310685883)/(R57*E57^-0.304107132838227+(1-R57)*(14-F57)^-0.304107132838227)</f>
        <v>21.820038612484769</v>
      </c>
      <c r="M57" s="9">
        <f>13.6914255489806*Q57*(G57-9)</f>
        <v>20.369798677872264</v>
      </c>
      <c r="N57" s="9">
        <f>2.4817076129942*Q57*(6.5-$B$3)</f>
        <v>8.5205294712800868</v>
      </c>
      <c r="O57" s="12">
        <f>IF(G57-F57&lt;=1,IF(F57&lt;=6,0,G57-F57), G57-F57)</f>
        <v>1.0700000000000003</v>
      </c>
      <c r="P57" s="11">
        <f>IF(F57-6&gt;0,F57/6,0)</f>
        <v>1.5383333333333333</v>
      </c>
      <c r="Q57" s="12">
        <f>IF(G57-9&gt;0,G57/9,0)</f>
        <v>1.1444444444444446</v>
      </c>
      <c r="R57" s="1">
        <f>IF(E57&lt;=14-F57,1,0)</f>
        <v>1</v>
      </c>
      <c r="S57" s="1">
        <f>LN((6.5/$B$3)^2.512)</f>
        <v>1.5550264915164334</v>
      </c>
      <c r="T57" s="33">
        <f>0.952988428558035*G57+(G57/13)^1.21758761926721*S57*3.49701599950785-6.17437592197594+$B$3*1.04875246413893</f>
        <v>11.407754587151244</v>
      </c>
      <c r="U57" s="34">
        <f>(T57/13)^2.512*S57</f>
        <v>1.1199507306361369</v>
      </c>
      <c r="V57" s="34">
        <f>T57-U57-G57</f>
        <v>-1.2196143484894506E-2</v>
      </c>
      <c r="W57" s="34">
        <f>IF(V57&lt;0,T57-V57,T57)</f>
        <v>11.419950730636138</v>
      </c>
      <c r="X57" s="34">
        <f>10^((W57-2.7)/5)</f>
        <v>55.461312898680646</v>
      </c>
    </row>
    <row r="58" spans="1:24" x14ac:dyDescent="0.25">
      <c r="A58" s="2" t="s">
        <v>191</v>
      </c>
      <c r="B58" s="24" t="s">
        <v>192</v>
      </c>
      <c r="C58" s="2" t="s">
        <v>193</v>
      </c>
      <c r="D58" s="13" t="s">
        <v>194</v>
      </c>
      <c r="E58" s="16">
        <v>1.9</v>
      </c>
      <c r="F58" s="16">
        <v>9.7100000000000009</v>
      </c>
      <c r="G58" s="16">
        <v>10.78</v>
      </c>
      <c r="H58" s="35">
        <f>IF(I58&lt;X58,X58,I58)</f>
        <v>128.49555810737422</v>
      </c>
      <c r="I58" s="27">
        <f>J58+K58+L58+M58+N58</f>
        <v>128.49555810737422</v>
      </c>
      <c r="J58" s="9">
        <f>116/1.2213*(0.0950502775050452+(1.12627632206642)/((1+($B$2/0.302756091410027)^2.26536793426585)^0.152776210790626))/E58</f>
        <v>61.053961288139888</v>
      </c>
      <c r="K58" s="9">
        <f>5.91232283796472*O58*(G58-F58)/E58^0.600317738509086*(1+$B$2)^0.808139120750434</f>
        <v>4.6045263689262104</v>
      </c>
      <c r="L58" s="9">
        <f>1.04237828050238*P58*(F58+2.34973310685883)/(R58*E58^-0.304107132838227+(1-R58)*(14-F58)^-0.304107132838227)</f>
        <v>24.728739982720164</v>
      </c>
      <c r="M58" s="9">
        <f>13.6914255489806*Q58*(G58-9)</f>
        <v>29.190727778228801</v>
      </c>
      <c r="N58" s="9">
        <f>2.4817076129942*Q58*(6.5-$B$3)</f>
        <v>8.9176026893591569</v>
      </c>
      <c r="O58" s="12">
        <f>IF(G58-F58&lt;=1,IF(F58&lt;=6,0,G58-F58), G58-F58)</f>
        <v>1.0699999999999985</v>
      </c>
      <c r="P58" s="11">
        <f>IF(F58-6&gt;0,F58/6,0)</f>
        <v>1.6183333333333334</v>
      </c>
      <c r="Q58" s="12">
        <f>IF(G58-9&gt;0,G58/9,0)</f>
        <v>1.1977777777777776</v>
      </c>
      <c r="R58" s="1">
        <f>IF(E58&lt;=14-F58,1,0)</f>
        <v>1</v>
      </c>
      <c r="S58" s="1">
        <f>LN((6.5/$B$3)^2.512)</f>
        <v>1.5550264915164334</v>
      </c>
      <c r="T58" s="33">
        <f>0.952988428558035*G58+(G58/13)^1.21758761926721*S58*3.49701599950785-6.17437592197594+$B$3*1.04875246413893</f>
        <v>12.098752170710204</v>
      </c>
      <c r="U58" s="34">
        <f>(T58/13)^2.512*S58</f>
        <v>1.2982443165844721</v>
      </c>
      <c r="V58" s="34">
        <f>T58-U58-G58</f>
        <v>2.0507854125732194E-2</v>
      </c>
      <c r="W58" s="34">
        <f>IF(V58&lt;0,T58-V58,T58)</f>
        <v>12.098752170710204</v>
      </c>
      <c r="X58" s="34">
        <f>10^((W58-2.7)/5)</f>
        <v>75.814178621073509</v>
      </c>
    </row>
    <row r="59" spans="1:24" x14ac:dyDescent="0.25">
      <c r="A59" s="2" t="s">
        <v>195</v>
      </c>
      <c r="B59" s="24" t="s">
        <v>196</v>
      </c>
      <c r="C59" s="2" t="s">
        <v>197</v>
      </c>
      <c r="D59" s="13" t="s">
        <v>198</v>
      </c>
      <c r="E59" s="16">
        <v>1.9</v>
      </c>
      <c r="F59" s="16">
        <v>9.9700000000000006</v>
      </c>
      <c r="G59" s="16">
        <v>10.88</v>
      </c>
      <c r="H59" s="35">
        <f>IF(I59&lt;X59,X59,I59)</f>
        <v>130.43967226523066</v>
      </c>
      <c r="I59" s="27">
        <f>J59+K59+L59+M59+N59</f>
        <v>130.43967226523066</v>
      </c>
      <c r="J59" s="9">
        <f>116/1.2213*(0.0950502775050452+(1.12627632206642)/((1+($B$2/0.302756091410027)^2.26536793426585)^0.152776210790626))/E59</f>
        <v>61.053961288139888</v>
      </c>
      <c r="K59" s="9">
        <f>5.91232283796472*O59*(G59-F59)/E59^0.600317738509086*(1+$B$2)^0.808139120750434</f>
        <v>3.3304291083132207</v>
      </c>
      <c r="L59" s="9">
        <f>1.04237828050238*P59*(F59+2.34973310685883)/(R59*E59^-0.304107132838227+(1-R59)*(14-F59)^-0.304107132838227)</f>
        <v>25.938300620199808</v>
      </c>
      <c r="M59" s="9">
        <f>13.6914255489806*Q59*(G59-9)</f>
        <v>31.116654972118766</v>
      </c>
      <c r="N59" s="9">
        <f>2.4817076129942*Q59*(6.5-$B$3)</f>
        <v>9.0003262764589653</v>
      </c>
      <c r="O59" s="12">
        <f>IF(G59-F59&lt;=1,IF(F59&lt;=6,0,G59-F59), G59-F59)</f>
        <v>0.91000000000000014</v>
      </c>
      <c r="P59" s="14">
        <f>IF(F59-6&gt;0,F59/6,0)</f>
        <v>1.6616666666666668</v>
      </c>
      <c r="Q59" s="11">
        <f>IF(G59-9&gt;0,G59/9,0)</f>
        <v>1.2088888888888889</v>
      </c>
      <c r="R59" s="1">
        <f>IF(E59&lt;=14-F59,1,0)</f>
        <v>1</v>
      </c>
      <c r="S59" s="1">
        <f>LN((6.5/$B$3)^2.512)</f>
        <v>1.5550264915164334</v>
      </c>
      <c r="T59" s="33">
        <f>0.952988428558035*G59+(G59/13)^1.21758761926721*S59*3.49701599950785-6.17437592197594+$B$3*1.04875246413893</f>
        <v>12.24299891541712</v>
      </c>
      <c r="U59" s="34">
        <f>(T59/13)^2.512*S59</f>
        <v>1.3374768459850794</v>
      </c>
      <c r="V59" s="34">
        <f>T59-U59-G59</f>
        <v>2.5522069432039274E-2</v>
      </c>
      <c r="W59" s="34">
        <f>IF(V59&lt;0,T59-V59,T59)</f>
        <v>12.24299891541712</v>
      </c>
      <c r="X59" s="34">
        <f>10^((W59-2.7)/5)</f>
        <v>81.021407430495657</v>
      </c>
    </row>
    <row r="60" spans="1:24" x14ac:dyDescent="0.25">
      <c r="A60" s="2" t="s">
        <v>155</v>
      </c>
      <c r="B60" s="24" t="s">
        <v>156</v>
      </c>
      <c r="C60" s="2" t="s">
        <v>157</v>
      </c>
      <c r="D60" s="13" t="s">
        <v>158</v>
      </c>
      <c r="E60" s="16">
        <v>1.5</v>
      </c>
      <c r="F60" s="16">
        <v>9.68</v>
      </c>
      <c r="G60" s="16">
        <v>10.29</v>
      </c>
      <c r="H60" s="35">
        <f>IF(I60&lt;X60,X60,I60)</f>
        <v>130.65070368889073</v>
      </c>
      <c r="I60" s="27">
        <f>J60+K60+L60+M60+N60</f>
        <v>130.65070368889073</v>
      </c>
      <c r="J60" s="9">
        <f>116/1.2213*(0.0950502775050452+(1.12627632206642)/((1+($B$2/0.302756091410027)^2.26536793426585)^0.152776210790626))/E60</f>
        <v>77.335017631643851</v>
      </c>
      <c r="K60" s="9">
        <f>5.91232283796472*O60*(G60-F60)/E60^0.600317738509086*(1+$B$2)^0.808139120750434</f>
        <v>1.7246743482100986</v>
      </c>
      <c r="L60" s="9">
        <f>1.04237828050238*P60*(F60+2.34973310685883)/(R60*E60^-0.304107132838227+(1-R60)*(14-F60)^-0.304107132838227)</f>
        <v>22.88527105427519</v>
      </c>
      <c r="M60" s="9">
        <f>13.6914255489806*Q60*(G60-9)</f>
        <v>20.193483542191473</v>
      </c>
      <c r="N60" s="9">
        <f>2.4817076129942*Q60*(6.5-$B$3)</f>
        <v>8.5122571125701061</v>
      </c>
      <c r="O60" s="12">
        <f>IF(G60-F60&lt;=1,IF(F60&lt;=6,0,G60-F60), G60-F60)</f>
        <v>0.60999999999999943</v>
      </c>
      <c r="P60" s="11">
        <f>IF(F60-6&gt;0,F60/6,0)</f>
        <v>1.6133333333333333</v>
      </c>
      <c r="Q60" s="12">
        <f>IF(G60-9&gt;0,G60/9,0)</f>
        <v>1.1433333333333333</v>
      </c>
      <c r="R60" s="1">
        <f>IF(E60&lt;=14-F60,1,0)</f>
        <v>1</v>
      </c>
      <c r="S60" s="1">
        <f>LN((6.5/$B$3)^2.512)</f>
        <v>1.5550264915164334</v>
      </c>
      <c r="T60" s="33">
        <f>0.952988428558035*G60+(G60/13)^1.21758761926721*S60*3.49701599950785-6.17437592197594+$B$3*1.04875246413893</f>
        <v>11.393383570530561</v>
      </c>
      <c r="U60" s="34">
        <f>(T60/13)^2.512*S60</f>
        <v>1.1164100059893127</v>
      </c>
      <c r="V60" s="34">
        <f>T60-U60-G60</f>
        <v>-1.302643545874993E-2</v>
      </c>
      <c r="W60" s="34">
        <f>IF(V60&lt;0,T60-V60,T60)</f>
        <v>11.406410005989311</v>
      </c>
      <c r="X60" s="34">
        <f>10^((W60-2.7)/5)</f>
        <v>55.11654694773874</v>
      </c>
    </row>
    <row r="61" spans="1:24" x14ac:dyDescent="0.25">
      <c r="A61" s="2" t="s">
        <v>139</v>
      </c>
      <c r="B61" s="24" t="s">
        <v>140</v>
      </c>
      <c r="C61" s="2" t="s">
        <v>141</v>
      </c>
      <c r="D61" s="13" t="s">
        <v>142</v>
      </c>
      <c r="E61" s="16">
        <v>1.3</v>
      </c>
      <c r="F61" s="16">
        <v>8.89</v>
      </c>
      <c r="G61" s="16">
        <v>9.74</v>
      </c>
      <c r="H61" s="35">
        <f>IF(I61&lt;X61,X61,I61)</f>
        <v>130.70494168069433</v>
      </c>
      <c r="I61" s="27">
        <f>J61+K61+L61+M61+N61</f>
        <v>130.70494168069433</v>
      </c>
      <c r="J61" s="9">
        <f>116/1.2213*(0.0950502775050452+(1.12627632206642)/((1+($B$2/0.302756091410027)^2.26536793426585)^0.152776210790626))/E61</f>
        <v>89.232712651896748</v>
      </c>
      <c r="K61" s="9">
        <f>5.91232283796472*O61*(G61-F61)/E61^0.600317738509086*(1+$B$2)^0.808139120750434</f>
        <v>3.6491673142366894</v>
      </c>
      <c r="L61" s="9">
        <f>1.04237828050238*P61*(F61+2.34973310685883)/(R61*E61^-0.304107132838227+(1-R61)*(14-F61)^-0.304107132838227)</f>
        <v>18.801082243613859</v>
      </c>
      <c r="M61" s="9">
        <f>13.6914255489806*Q61*(G61-9)</f>
        <v>10.964702087425845</v>
      </c>
      <c r="N61" s="9">
        <f>2.4817076129942*Q61*(6.5-$B$3)</f>
        <v>8.0572773835211695</v>
      </c>
      <c r="O61" s="12">
        <f>IF(G61-F61&lt;=1,IF(F61&lt;=6,0,G61-F61), G61-F61)</f>
        <v>0.84999999999999964</v>
      </c>
      <c r="P61" s="11">
        <f>IF(F61-6&gt;0,F61/6,0)</f>
        <v>1.4816666666666667</v>
      </c>
      <c r="Q61" s="12">
        <f>IF(G61-9&gt;0,G61/9,0)</f>
        <v>1.0822222222222222</v>
      </c>
      <c r="R61" s="1">
        <f>IF(E61&lt;=14-F61,1,0)</f>
        <v>1</v>
      </c>
      <c r="S61" s="1">
        <f>LN((6.5/$B$3)^2.512)</f>
        <v>1.5550264915164334</v>
      </c>
      <c r="T61" s="33">
        <f>0.952988428558035*G61+(G61/13)^1.21758761926721*S61*3.49701599950785-6.17437592197594+$B$3*1.04875246413893</f>
        <v>10.604576066546638</v>
      </c>
      <c r="U61" s="34">
        <f>(T61/13)^2.512*S61</f>
        <v>0.93229056684482015</v>
      </c>
      <c r="V61" s="34">
        <f>T61-U61-G61</f>
        <v>-6.7714500298182045E-2</v>
      </c>
      <c r="W61" s="34">
        <f>IF(V61&lt;0,T61-V61,T61)</f>
        <v>10.67229056684482</v>
      </c>
      <c r="X61" s="34">
        <f>10^((W61-2.7)/5)</f>
        <v>39.305933347653536</v>
      </c>
    </row>
    <row r="62" spans="1:24" x14ac:dyDescent="0.25">
      <c r="A62" s="2" t="s">
        <v>215</v>
      </c>
      <c r="B62" s="24" t="s">
        <v>216</v>
      </c>
      <c r="C62" s="2" t="s">
        <v>217</v>
      </c>
      <c r="D62" s="13" t="s">
        <v>218</v>
      </c>
      <c r="E62" s="16">
        <v>2.4</v>
      </c>
      <c r="F62" s="16">
        <v>9.8000000000000007</v>
      </c>
      <c r="G62" s="16">
        <v>11.3</v>
      </c>
      <c r="H62" s="35">
        <f>IF(I62&lt;X62,X62,I62)</f>
        <v>132.08037457329104</v>
      </c>
      <c r="I62" s="27">
        <f>J62+K62+L62+M62+N62</f>
        <v>132.08037457329104</v>
      </c>
      <c r="J62" s="9">
        <f>116/1.2213*(0.0950502775050452+(1.12627632206642)/((1+($B$2/0.302756091410027)^2.26536793426585)^0.152776210790626))/E62</f>
        <v>48.334386019777412</v>
      </c>
      <c r="K62" s="9">
        <f>5.91232283796472*O62*(G62-F62)/E62^0.600317738509086*(1+$B$2)^0.808139120750434</f>
        <v>7.8648982004317665</v>
      </c>
      <c r="L62" s="9">
        <f>1.04237828050238*P62*(F62+2.34973310685883)/(R62*E62^-0.304107132838227+(1-R62)*(14-F62)^-0.304107132838227)</f>
        <v>26.995530564358585</v>
      </c>
      <c r="M62" s="9">
        <f>13.6914255489806*Q62*(G62-9)</f>
        <v>39.537794446445105</v>
      </c>
      <c r="N62" s="9">
        <f>2.4817076129942*Q62*(6.5-$B$3)</f>
        <v>9.3477653422781533</v>
      </c>
      <c r="O62" s="12">
        <f>IF(G62-F62&lt;=1,IF(F62&lt;=6,0,G62-F62), G62-F62)</f>
        <v>1.5</v>
      </c>
      <c r="P62" s="11">
        <f>IF(F62-6&gt;0,F62/6,0)</f>
        <v>1.6333333333333335</v>
      </c>
      <c r="Q62" s="12">
        <f>IF(G62-9&gt;0,G62/9,0)</f>
        <v>1.2555555555555555</v>
      </c>
      <c r="R62" s="1">
        <f>IF(E62&lt;=14-F62,1,0)</f>
        <v>1</v>
      </c>
      <c r="S62" s="1">
        <f>LN((6.5/$B$3)^2.512)</f>
        <v>1.5550264915164334</v>
      </c>
      <c r="T62" s="33">
        <f>0.952988428558035*G62+(G62/13)^1.21758761926721*S62*3.49701599950785-6.17437592197594+$B$3*1.04875246413893</f>
        <v>12.849897217733536</v>
      </c>
      <c r="U62" s="34">
        <f>(T62/13)^2.512*S62</f>
        <v>1.510316690074665</v>
      </c>
      <c r="V62" s="34">
        <f>T62-U62-G62</f>
        <v>3.9580527658870324E-2</v>
      </c>
      <c r="W62" s="34">
        <f>IF(V62&lt;0,T62-V62,T62)</f>
        <v>12.849897217733536</v>
      </c>
      <c r="X62" s="34">
        <f>10^((W62-2.7)/5)</f>
        <v>107.14685882329394</v>
      </c>
    </row>
    <row r="63" spans="1:24" x14ac:dyDescent="0.25">
      <c r="A63" s="2" t="s">
        <v>199</v>
      </c>
      <c r="B63" s="24" t="s">
        <v>200</v>
      </c>
      <c r="C63" s="2" t="s">
        <v>201</v>
      </c>
      <c r="D63" s="13" t="s">
        <v>202</v>
      </c>
      <c r="E63" s="16">
        <v>1.9</v>
      </c>
      <c r="F63" s="16">
        <v>9.89</v>
      </c>
      <c r="G63" s="16">
        <v>11.03</v>
      </c>
      <c r="H63" s="35">
        <f>IF(I63&lt;X63,X63,I63)</f>
        <v>135.03074793720549</v>
      </c>
      <c r="I63" s="27">
        <f>J63+K63+L63+M63+N63</f>
        <v>135.03074793720549</v>
      </c>
      <c r="J63" s="9">
        <f>116/1.2213*(0.0950502775050452+(1.12627632206642)/((1+($B$2/0.302756091410027)^2.26536793426585)^0.152776210790626))/E63</f>
        <v>61.053961288139888</v>
      </c>
      <c r="K63" s="9">
        <f>5.91232283796472*O63*(G63-F63)/E63^0.600317738509086*(1+$B$2)^0.808139120750434</f>
        <v>5.2266944441056049</v>
      </c>
      <c r="L63" s="9">
        <f>1.04237828050238*P63*(F63+2.34973310685883)/(R63*E63^-0.304107132838227+(1-R63)*(14-F63)^-0.304107132838227)</f>
        <v>25.563087178443588</v>
      </c>
      <c r="M63" s="9">
        <f>13.6914255489806*Q63*(G63-9)</f>
        <v>34.062593369407736</v>
      </c>
      <c r="N63" s="9">
        <f>2.4817076129942*Q63*(6.5-$B$3)</f>
        <v>9.1244116571086753</v>
      </c>
      <c r="O63" s="12">
        <f>IF(G63-F63&lt;=1,IF(F63&lt;=6,0,G63-F63), G63-F63)</f>
        <v>1.1399999999999988</v>
      </c>
      <c r="P63" s="11">
        <f>IF(F63-6&gt;0,F63/6,0)</f>
        <v>1.6483333333333334</v>
      </c>
      <c r="Q63" s="12">
        <f>IF(G63-9&gt;0,G63/9,0)</f>
        <v>1.2255555555555555</v>
      </c>
      <c r="R63" s="1">
        <f>IF(E63&lt;=14-F63,1,0)</f>
        <v>1</v>
      </c>
      <c r="S63" s="1">
        <f>LN((6.5/$B$3)^2.512)</f>
        <v>1.5550264915164334</v>
      </c>
      <c r="T63" s="33">
        <f>0.952988428558035*G63+(G63/13)^1.21758761926721*S63*3.49701599950785-6.17437592197594+$B$3*1.04875246413893</f>
        <v>12.459552543760338</v>
      </c>
      <c r="U63" s="34">
        <f>(T63/13)^2.512*S63</f>
        <v>1.3977008691480914</v>
      </c>
      <c r="V63" s="34">
        <f>T63-U63-G63</f>
        <v>3.185167461224836E-2</v>
      </c>
      <c r="W63" s="34">
        <f>IF(V63&lt;0,T63-V63,T63)</f>
        <v>12.459552543760338</v>
      </c>
      <c r="X63" s="34">
        <f>10^((W63-2.7)/5)</f>
        <v>89.518028460736829</v>
      </c>
    </row>
    <row r="64" spans="1:24" x14ac:dyDescent="0.25">
      <c r="A64" s="2" t="s">
        <v>259</v>
      </c>
      <c r="B64" s="24" t="s">
        <v>260</v>
      </c>
      <c r="C64" s="2" t="s">
        <v>261</v>
      </c>
      <c r="D64" s="13" t="s">
        <v>262</v>
      </c>
      <c r="E64" s="16">
        <v>3.5</v>
      </c>
      <c r="F64" s="16">
        <v>7.07</v>
      </c>
      <c r="G64" s="16">
        <v>11</v>
      </c>
      <c r="H64" s="35">
        <f>IF(I64&lt;X64,X64,I64)</f>
        <v>135.69185332501513</v>
      </c>
      <c r="I64" s="27">
        <f>J64+K64+L64+M64+N64</f>
        <v>135.69185332501513</v>
      </c>
      <c r="J64" s="9">
        <f>116/1.2213*(0.0950502775050452+(1.12627632206642)/((1+($B$2/0.302756091410027)^2.26536793426585)^0.152776210790626))/E64</f>
        <v>33.143578984990221</v>
      </c>
      <c r="K64" s="9">
        <f>5.91232283796472*O64*(G64-F64)/E64^0.600317738509086*(1+$B$2)^0.808139120750434</f>
        <v>43.045677056078191</v>
      </c>
      <c r="L64" s="9">
        <f>1.04237828050238*P64*(F64+2.34973310685883)/(R64*E64^-0.304107132838227+(1-R64)*(14-F64)^-0.304107132838227)</f>
        <v>16.935073583237632</v>
      </c>
      <c r="M64" s="9">
        <f>13.6914255489806*Q64*(G64-9)</f>
        <v>33.467929119730357</v>
      </c>
      <c r="N64" s="9">
        <f>2.4817076129942*Q64*(6.5-$B$3)</f>
        <v>9.0995945809787333</v>
      </c>
      <c r="O64" s="12">
        <f>IF(G64-F64&lt;=1,IF(F64&lt;=6,0,G64-F64), G64-F64)</f>
        <v>3.9299999999999997</v>
      </c>
      <c r="P64" s="14">
        <f>IF(F64-6&gt;0,F64/6,0)</f>
        <v>1.1783333333333335</v>
      </c>
      <c r="Q64" s="11">
        <f>IF(G64-9&gt;0,G64/9,0)</f>
        <v>1.2222222222222223</v>
      </c>
      <c r="R64" s="1">
        <f>IF(E64&lt;=14-F64,1,0)</f>
        <v>1</v>
      </c>
      <c r="S64" s="1">
        <f>LN((6.5/$B$3)^2.512)</f>
        <v>1.5550264915164334</v>
      </c>
      <c r="T64" s="33">
        <f>0.952988428558035*G64+(G64/13)^1.21758761926721*S64*3.49701599950785-6.17437592197594+$B$3*1.04875246413893</f>
        <v>12.416224293383801</v>
      </c>
      <c r="U64" s="34">
        <f>(T64/13)^2.512*S64</f>
        <v>1.3855233171432311</v>
      </c>
      <c r="V64" s="34">
        <f>T64-U64-G64</f>
        <v>3.0700976240568778E-2</v>
      </c>
      <c r="W64" s="34">
        <f>IF(V64&lt;0,T64-V64,T64)</f>
        <v>12.416224293383801</v>
      </c>
      <c r="X64" s="34">
        <f>10^((W64-2.7)/5)</f>
        <v>87.749542058554695</v>
      </c>
    </row>
    <row r="65" spans="1:24" x14ac:dyDescent="0.25">
      <c r="A65" s="2" t="s">
        <v>207</v>
      </c>
      <c r="B65" s="24" t="s">
        <v>208</v>
      </c>
      <c r="C65" s="2" t="s">
        <v>209</v>
      </c>
      <c r="D65" s="13" t="s">
        <v>210</v>
      </c>
      <c r="E65" s="16">
        <v>2.2999999999999998</v>
      </c>
      <c r="F65" s="16">
        <v>9.3000000000000007</v>
      </c>
      <c r="G65" s="16">
        <v>11.3</v>
      </c>
      <c r="H65" s="35">
        <f>IF(I65&lt;X65,X65,I65)</f>
        <v>137.91337846139271</v>
      </c>
      <c r="I65" s="27">
        <f>J65+K65+L65+M65+N65</f>
        <v>137.91337846139271</v>
      </c>
      <c r="J65" s="9">
        <f>116/1.2213*(0.0950502775050452+(1.12627632206642)/((1+($B$2/0.302756091410027)^2.26536793426585)^0.152776210790626))/E65</f>
        <v>50.435881064115563</v>
      </c>
      <c r="K65" s="9">
        <f>5.91232283796472*O65*(G65-F65)/E65^0.600317738509086*(1+$B$2)^0.808139120750434</f>
        <v>14.34387510936676</v>
      </c>
      <c r="L65" s="9">
        <f>1.04237828050238*P65*(F65+2.34973310685883)/(R65*E65^-0.304107132838227+(1-R65)*(14-F65)^-0.304107132838227)</f>
        <v>24.248062499187121</v>
      </c>
      <c r="M65" s="9">
        <f>13.6914255489806*Q65*(G65-9)</f>
        <v>39.537794446445105</v>
      </c>
      <c r="N65" s="9">
        <f>2.4817076129942*Q65*(6.5-$B$3)</f>
        <v>9.3477653422781533</v>
      </c>
      <c r="O65" s="12">
        <f>IF(G65-F65&lt;=1,IF(F65&lt;=6,0,G65-F65), G65-F65)</f>
        <v>2</v>
      </c>
      <c r="P65" s="11">
        <f>IF(F65-6&gt;0,F65/6,0)</f>
        <v>1.55</v>
      </c>
      <c r="Q65" s="12">
        <f>IF(G65-9&gt;0,G65/9,0)</f>
        <v>1.2555555555555555</v>
      </c>
      <c r="R65" s="1">
        <f>IF(E65&lt;=14-F65,1,0)</f>
        <v>1</v>
      </c>
      <c r="S65" s="1">
        <f>LN((6.5/$B$3)^2.512)</f>
        <v>1.5550264915164334</v>
      </c>
      <c r="T65" s="33">
        <f>0.952988428558035*G65+(G65/13)^1.21758761926721*S65*3.49701599950785-6.17437592197594+$B$3*1.04875246413893</f>
        <v>12.849897217733536</v>
      </c>
      <c r="U65" s="34">
        <f>(T65/13)^2.512*S65</f>
        <v>1.510316690074665</v>
      </c>
      <c r="V65" s="34">
        <f>T65-U65-G65</f>
        <v>3.9580527658870324E-2</v>
      </c>
      <c r="W65" s="34">
        <f>IF(V65&lt;0,T65-V65,T65)</f>
        <v>12.849897217733536</v>
      </c>
      <c r="X65" s="34">
        <f>10^((W65-2.7)/5)</f>
        <v>107.14685882329394</v>
      </c>
    </row>
    <row r="66" spans="1:24" x14ac:dyDescent="0.25">
      <c r="A66" s="2" t="s">
        <v>111</v>
      </c>
      <c r="B66" s="24" t="s">
        <v>112</v>
      </c>
      <c r="C66" s="2" t="s">
        <v>113</v>
      </c>
      <c r="D66" s="13" t="s">
        <v>114</v>
      </c>
      <c r="E66" s="16">
        <v>1</v>
      </c>
      <c r="F66" s="16">
        <v>6.38</v>
      </c>
      <c r="G66" s="16">
        <v>7.93</v>
      </c>
      <c r="H66" s="35">
        <f>IF(I66&lt;X66,X66,I66)</f>
        <v>139.88287958257578</v>
      </c>
      <c r="I66" s="27">
        <f>J66+K66+L66+M66+N66</f>
        <v>139.88287958257578</v>
      </c>
      <c r="J66" s="9">
        <f>116/1.2213*(0.0950502775050452+(1.12627632206642)/((1+($B$2/0.302756091410027)^2.26536793426585)^0.152776210790626))/E66</f>
        <v>116.00252644746578</v>
      </c>
      <c r="K66" s="9">
        <f>5.91232283796472*O66*(G66-F66)/E66^0.600317738509086*(1+$B$2)^0.808139120750434</f>
        <v>14.204355618210236</v>
      </c>
      <c r="L66" s="9">
        <f>1.04237828050238*P66*(F66+2.34973310685883)/(R66*E66^-0.304107132838227+(1-R66)*(14-F66)^-0.304107132838227)</f>
        <v>9.6759975168997805</v>
      </c>
      <c r="M66" s="9">
        <f>13.6914255489806*Q66*(G66-9)</f>
        <v>0</v>
      </c>
      <c r="N66" s="9">
        <f>2.4817076129942*Q66*(6.5-$B$3)</f>
        <v>0</v>
      </c>
      <c r="O66" s="12">
        <f>IF(G66-F66&lt;=1,IF(F66&lt;=6,0,G66-F66), G66-F66)</f>
        <v>1.5499999999999998</v>
      </c>
      <c r="P66" s="11">
        <f>IF(F66-6&gt;0,F66/6,0)</f>
        <v>1.0633333333333332</v>
      </c>
      <c r="Q66" s="12">
        <f>IF(G66-9&gt;0,G66/9,0)</f>
        <v>0</v>
      </c>
      <c r="R66" s="1">
        <f>IF(E66&lt;=14-F66,1,0)</f>
        <v>1</v>
      </c>
      <c r="S66" s="1">
        <f>LN((6.5/$B$3)^2.512)</f>
        <v>1.5550264915164334</v>
      </c>
      <c r="T66" s="33">
        <f>0.952988428558035*G66+(G66/13)^1.21758761926721*S66*3.49701599950785-6.17437592197594+$B$3*1.04875246413893</f>
        <v>8.0323542387258904</v>
      </c>
      <c r="U66" s="34">
        <f>(T66/13)^2.512*S66</f>
        <v>0.46395658004776408</v>
      </c>
      <c r="V66" s="34">
        <f>T66-U66-G66</f>
        <v>-0.36160234132187341</v>
      </c>
      <c r="W66" s="34">
        <f>IF(V66&lt;0,T66-V66,T66)</f>
        <v>8.3939565800477638</v>
      </c>
      <c r="X66" s="34">
        <f>10^((W66-2.7)/5)</f>
        <v>13.765478612967096</v>
      </c>
    </row>
    <row r="67" spans="1:24" x14ac:dyDescent="0.25">
      <c r="A67" s="2" t="s">
        <v>327</v>
      </c>
      <c r="B67" s="24" t="s">
        <v>328</v>
      </c>
      <c r="C67" s="2" t="s">
        <v>329</v>
      </c>
      <c r="D67" s="13" t="s">
        <v>330</v>
      </c>
      <c r="E67" s="16">
        <v>15</v>
      </c>
      <c r="F67" s="16">
        <v>10</v>
      </c>
      <c r="G67" s="16">
        <v>11.7</v>
      </c>
      <c r="H67" s="35">
        <f>IF(I67&lt;X67,X67,I67)</f>
        <v>139.9237156555478</v>
      </c>
      <c r="I67" s="27">
        <f>J67+K67+L67+M67+N67</f>
        <v>101.53691805725489</v>
      </c>
      <c r="J67" s="9">
        <f>116/1.2213*(0.0950502775050452+(1.12627632206642)/((1+($B$2/0.302756091410027)^2.26536793426585)^0.152776210790626))/E67</f>
        <v>7.7335017631643854</v>
      </c>
      <c r="K67" s="9">
        <f>5.91232283796472*O67*(G67-F67)/E67^0.600317738509086*(1+$B$2)^0.808139120750434</f>
        <v>3.3622309236448249</v>
      </c>
      <c r="L67" s="9">
        <f>1.04237828050238*P67*(F67+2.34973310685883)/(R67*E67^-0.304107132838227+(1-R67)*(14-F67)^-0.304107132838227)</f>
        <v>32.705622002846418</v>
      </c>
      <c r="M67" s="9">
        <f>13.6914255489806*Q67*(G67-9)</f>
        <v>48.056903676921891</v>
      </c>
      <c r="N67" s="9">
        <f>2.4817076129942*Q67*(6.5-$B$3)</f>
        <v>9.6786596906773781</v>
      </c>
      <c r="O67" s="12">
        <f>IF(G67-F67&lt;=1,IF(F67&lt;=6,0,G67-F67), G67-F67)</f>
        <v>1.6999999999999993</v>
      </c>
      <c r="P67" s="11">
        <f>IF(F67-6&gt;0,F67/6,0)</f>
        <v>1.6666666666666667</v>
      </c>
      <c r="Q67" s="12">
        <f>IF(G67-9&gt;0,G67/9,0)</f>
        <v>1.2999999999999998</v>
      </c>
      <c r="R67" s="1">
        <f>IF(E67&lt;=14-F67,1,0)</f>
        <v>0</v>
      </c>
      <c r="S67" s="1">
        <f>LN((6.5/$B$3)^2.512)</f>
        <v>1.5550264915164334</v>
      </c>
      <c r="T67" s="33">
        <f>0.952988428558035*G67+(G67/13)^1.21758761926721*S67*3.49701599950785-6.17437592197594+$B$3*1.04875246413893</f>
        <v>13.429456646278027</v>
      </c>
      <c r="U67" s="34">
        <f>(T67/13)^2.512*S67</f>
        <v>1.6873100614969099</v>
      </c>
      <c r="V67" s="34">
        <f>T67-U67-G67</f>
        <v>4.2146584781118435E-2</v>
      </c>
      <c r="W67" s="34">
        <f>IF(V67&lt;0,T67-V67,T67)</f>
        <v>13.429456646278027</v>
      </c>
      <c r="X67" s="34">
        <f>10^((W67-2.7)/5)</f>
        <v>139.9237156555478</v>
      </c>
    </row>
    <row r="68" spans="1:24" x14ac:dyDescent="0.25">
      <c r="A68" s="2" t="s">
        <v>397</v>
      </c>
      <c r="B68" s="24" t="s">
        <v>398</v>
      </c>
      <c r="C68" s="2" t="s">
        <v>399</v>
      </c>
      <c r="D68" s="13" t="s">
        <v>400</v>
      </c>
      <c r="E68" s="16">
        <v>16.8</v>
      </c>
      <c r="F68" s="16">
        <v>8.7100000000000009</v>
      </c>
      <c r="G68" s="16">
        <v>11.7</v>
      </c>
      <c r="H68" s="35">
        <f>IF(I68&lt;X68,X68,I68)</f>
        <v>139.9237156555478</v>
      </c>
      <c r="I68" s="27">
        <f>J68+K68+L68+M68+N68</f>
        <v>102.13174431872807</v>
      </c>
      <c r="J68" s="9">
        <f>116/1.2213*(0.0950502775050452+(1.12627632206642)/((1+($B$2/0.302756091410027)^2.26536793426585)^0.152776210790626))/E68</f>
        <v>6.9049122885396299</v>
      </c>
      <c r="K68" s="9">
        <f>5.91232283796472*O68*(G68-F68)/E68^0.600317738509086*(1+$B$2)^0.808139120750434</f>
        <v>9.7168527183118005</v>
      </c>
      <c r="L68" s="9">
        <f>1.04237828050238*P68*(F68+2.34973310685883)/(R68*E68^-0.304107132838227+(1-R68)*(14-F68)^-0.304107132838227)</f>
        <v>27.774415944277372</v>
      </c>
      <c r="M68" s="9">
        <f>13.6914255489806*Q68*(G68-9)</f>
        <v>48.056903676921891</v>
      </c>
      <c r="N68" s="9">
        <f>2.4817076129942*Q68*(6.5-$B$3)</f>
        <v>9.6786596906773781</v>
      </c>
      <c r="O68" s="12">
        <f>IF(G68-F68&lt;=1,IF(F68&lt;=6,0,G68-F68), G68-F68)</f>
        <v>2.9899999999999984</v>
      </c>
      <c r="P68" s="11">
        <f>IF(F68-6&gt;0,F68/6,0)</f>
        <v>1.4516666666666669</v>
      </c>
      <c r="Q68" s="12">
        <f>IF(G68-9&gt;0,G68/9,0)</f>
        <v>1.2999999999999998</v>
      </c>
      <c r="R68" s="1">
        <f>IF(E68&lt;=14-F68,1,0)</f>
        <v>0</v>
      </c>
      <c r="S68" s="1">
        <f>LN((6.5/$B$3)^2.512)</f>
        <v>1.5550264915164334</v>
      </c>
      <c r="T68" s="33">
        <f>0.952988428558035*G68+(G68/13)^1.21758761926721*S68*3.49701599950785-6.17437592197594+$B$3*1.04875246413893</f>
        <v>13.429456646278027</v>
      </c>
      <c r="U68" s="34">
        <f>(T68/13)^2.512*S68</f>
        <v>1.6873100614969099</v>
      </c>
      <c r="V68" s="34">
        <f>T68-U68-G68</f>
        <v>4.2146584781118435E-2</v>
      </c>
      <c r="W68" s="34">
        <f>IF(V68&lt;0,T68-V68,T68)</f>
        <v>13.429456646278027</v>
      </c>
      <c r="X68" s="34">
        <f>10^((W68-2.7)/5)</f>
        <v>139.9237156555478</v>
      </c>
    </row>
    <row r="69" spans="1:24" x14ac:dyDescent="0.25">
      <c r="A69" s="2" t="s">
        <v>235</v>
      </c>
      <c r="B69" s="24" t="s">
        <v>236</v>
      </c>
      <c r="C69" s="2" t="s">
        <v>237</v>
      </c>
      <c r="D69" s="13" t="s">
        <v>238</v>
      </c>
      <c r="E69" s="16">
        <v>2.8</v>
      </c>
      <c r="F69" s="16">
        <v>8.33</v>
      </c>
      <c r="G69" s="16">
        <v>11.31</v>
      </c>
      <c r="H69" s="35">
        <f>IF(I69&lt;X69,X69,I69)</f>
        <v>139.96620063538543</v>
      </c>
      <c r="I69" s="27">
        <f>J69+K69+L69+M69+N69</f>
        <v>139.96620063538543</v>
      </c>
      <c r="J69" s="9">
        <f>116/1.2213*(0.0950502775050452+(1.12627632206642)/((1+($B$2/0.302756091410027)^2.26536793426585)^0.152776210790626))/E69</f>
        <v>41.429473731237785</v>
      </c>
      <c r="K69" s="9">
        <f>5.91232283796472*O69*(G69-F69)/E69^0.600317738509086*(1+$B$2)^0.808139120750434</f>
        <v>28.297871516113467</v>
      </c>
      <c r="L69" s="9">
        <f>1.04237828050238*P69*(F69+2.34973310685883)/(R69*E69^-0.304107132838227+(1-R69)*(14-F69)^-0.304107132838227)</f>
        <v>21.137978460910226</v>
      </c>
      <c r="M69" s="9">
        <f>13.6914255489806*Q69*(G69-9)</f>
        <v>39.744839226135795</v>
      </c>
      <c r="N69" s="9">
        <f>2.4817076129942*Q69*(6.5-$B$3)</f>
        <v>9.3560377009881357</v>
      </c>
      <c r="O69" s="12">
        <f>IF(G69-F69&lt;=1,IF(F69&lt;=6,0,G69-F69), G69-F69)</f>
        <v>2.9800000000000004</v>
      </c>
      <c r="P69" s="11">
        <f>IF(F69-6&gt;0,F69/6,0)</f>
        <v>1.3883333333333334</v>
      </c>
      <c r="Q69" s="12">
        <f>IF(G69-9&gt;0,G69/9,0)</f>
        <v>1.2566666666666668</v>
      </c>
      <c r="R69" s="1">
        <f>IF(E69&lt;=14-F69,1,0)</f>
        <v>1</v>
      </c>
      <c r="S69" s="1">
        <f>LN((6.5/$B$3)^2.512)</f>
        <v>1.5550264915164334</v>
      </c>
      <c r="T69" s="33">
        <f>0.952988428558035*G69+(G69/13)^1.21758761926721*S69*3.49701599950785-6.17437592197594+$B$3*1.04875246413893</f>
        <v>12.86436782646537</v>
      </c>
      <c r="U69" s="34">
        <f>(T69/13)^2.512*S69</f>
        <v>1.514592756615128</v>
      </c>
      <c r="V69" s="34">
        <f>T69-U69-G69</f>
        <v>3.9775069850241707E-2</v>
      </c>
      <c r="W69" s="34">
        <f>IF(V69&lt;0,T69-V69,T69)</f>
        <v>12.86436782646537</v>
      </c>
      <c r="X69" s="34">
        <f>10^((W69-2.7)/5)</f>
        <v>107.86326577804506</v>
      </c>
    </row>
    <row r="70" spans="1:24" x14ac:dyDescent="0.25">
      <c r="A70" s="2" t="s">
        <v>323</v>
      </c>
      <c r="B70" s="24" t="s">
        <v>324</v>
      </c>
      <c r="C70" s="2" t="s">
        <v>325</v>
      </c>
      <c r="D70" s="13" t="s">
        <v>326</v>
      </c>
      <c r="E70" s="16">
        <v>6.9</v>
      </c>
      <c r="F70" s="16">
        <v>8.74</v>
      </c>
      <c r="G70" s="16">
        <v>11.73</v>
      </c>
      <c r="H70" s="35">
        <f>IF(I70&lt;X70,X70,I70)</f>
        <v>142.75678628426795</v>
      </c>
      <c r="I70" s="27">
        <f>J70+K70+L70+M70+N70</f>
        <v>119.7059956513752</v>
      </c>
      <c r="J70" s="9">
        <f>116/1.2213*(0.0950502775050452+(1.12627632206642)/((1+($B$2/0.302756091410027)^2.26536793426585)^0.152776210790626))/E70</f>
        <v>16.811960354705185</v>
      </c>
      <c r="K70" s="9">
        <f>5.91232283796472*O70*(G70-F70)/E70^0.600317738509086*(1+$B$2)^0.808139120750434</f>
        <v>16.577709611169212</v>
      </c>
      <c r="L70" s="9">
        <f>1.04237828050238*P70*(F70+2.34973310685883)/(R70*E70^-0.304107132838227+(1-R70)*(14-F70)^-0.304107132838227)</f>
        <v>27.89738767286558</v>
      </c>
      <c r="M70" s="9">
        <f>13.6914255489806*Q70*(G70-9)</f>
        <v>48.715461245827889</v>
      </c>
      <c r="N70" s="9">
        <f>2.4817076129942*Q70*(6.5-$B$3)</f>
        <v>9.7034767668073236</v>
      </c>
      <c r="O70" s="12">
        <f>IF(G70-F70&lt;=1,IF(F70&lt;=6,0,G70-F70), G70-F70)</f>
        <v>2.99</v>
      </c>
      <c r="P70" s="11">
        <f>IF(F70-6&gt;0,F70/6,0)</f>
        <v>1.4566666666666668</v>
      </c>
      <c r="Q70" s="12">
        <f>IF(G70-9&gt;0,G70/9,0)</f>
        <v>1.3033333333333335</v>
      </c>
      <c r="R70" s="1">
        <f>IF(E70&lt;=14-F70,1,0)</f>
        <v>0</v>
      </c>
      <c r="S70" s="1">
        <f>LN((6.5/$B$3)^2.512)</f>
        <v>1.5550264915164334</v>
      </c>
      <c r="T70" s="33">
        <f>0.952988428558035*G70+(G70/13)^1.21758761926721*S70*3.49701599950785-6.17437592197594+$B$3*1.04875246413893</f>
        <v>13.472983813162349</v>
      </c>
      <c r="U70" s="34">
        <f>(T70/13)^2.512*S70</f>
        <v>1.7010815200188865</v>
      </c>
      <c r="V70" s="34">
        <f>T70-U70-G70</f>
        <v>4.1902293143461833E-2</v>
      </c>
      <c r="W70" s="34">
        <f>IF(V70&lt;0,T70-V70,T70)</f>
        <v>13.472983813162349</v>
      </c>
      <c r="X70" s="34">
        <f>10^((W70-2.7)/5)</f>
        <v>142.75678628426795</v>
      </c>
    </row>
    <row r="71" spans="1:24" x14ac:dyDescent="0.25">
      <c r="A71" s="2" t="s">
        <v>219</v>
      </c>
      <c r="B71" s="24" t="s">
        <v>220</v>
      </c>
      <c r="C71" s="2" t="s">
        <v>221</v>
      </c>
      <c r="D71" s="13" t="s">
        <v>222</v>
      </c>
      <c r="E71" s="16">
        <v>2.5</v>
      </c>
      <c r="F71" s="16">
        <v>8.85</v>
      </c>
      <c r="G71" s="16">
        <v>11.43</v>
      </c>
      <c r="H71" s="35">
        <f>IF(I71&lt;X71,X71,I71)</f>
        <v>143.56681756521547</v>
      </c>
      <c r="I71" s="27">
        <f>J71+K71+L71+M71+N71</f>
        <v>143.56681756521547</v>
      </c>
      <c r="J71" s="9">
        <f>116/1.2213*(0.0950502775050452+(1.12627632206642)/((1+($B$2/0.302756091410027)^2.26536793426585)^0.152776210790626))/E71</f>
        <v>46.401010578986316</v>
      </c>
      <c r="K71" s="9">
        <f>5.91232283796472*O71*(G71-F71)/E71^0.600317738509086*(1+$B$2)^0.808139120750434</f>
        <v>22.704247176668567</v>
      </c>
      <c r="L71" s="9">
        <f>1.04237828050238*P71*(F71+2.34973310685883)/(R71*E71^-0.304107132838227+(1-R71)*(14-F71)^-0.304107132838227)</f>
        <v>22.753145417343646</v>
      </c>
      <c r="M71" s="9">
        <f>13.6914255489806*Q71*(G71-9)</f>
        <v>42.25310838670903</v>
      </c>
      <c r="N71" s="9">
        <f>2.4817076129942*Q71*(6.5-$B$3)</f>
        <v>9.4553060055079019</v>
      </c>
      <c r="O71" s="12">
        <f>IF(G71-F71&lt;=1,IF(F71&lt;=6,0,G71-F71), G71-F71)</f>
        <v>2.58</v>
      </c>
      <c r="P71" s="11">
        <f>IF(F71-6&gt;0,F71/6,0)</f>
        <v>1.4749999999999999</v>
      </c>
      <c r="Q71" s="12">
        <f>IF(G71-9&gt;0,G71/9,0)</f>
        <v>1.27</v>
      </c>
      <c r="R71" s="1">
        <f>IF(E71&lt;=14-F71,1,0)</f>
        <v>1</v>
      </c>
      <c r="S71" s="1">
        <f>LN((6.5/$B$3)^2.512)</f>
        <v>1.5550264915164334</v>
      </c>
      <c r="T71" s="33">
        <f>0.952988428558035*G71+(G71/13)^1.21758761926721*S71*3.49701599950785-6.17437592197594+$B$3*1.04875246413893</f>
        <v>13.03808909191401</v>
      </c>
      <c r="U71" s="34">
        <f>(T71/13)^2.512*S71</f>
        <v>1.5664968260312722</v>
      </c>
      <c r="V71" s="34">
        <f>T71-U71-G71</f>
        <v>4.1592265882737678E-2</v>
      </c>
      <c r="W71" s="34">
        <f>IF(V71&lt;0,T71-V71,T71)</f>
        <v>13.03808909191401</v>
      </c>
      <c r="X71" s="34">
        <f>10^((W71-2.7)/5)</f>
        <v>116.84706775991918</v>
      </c>
    </row>
    <row r="72" spans="1:24" x14ac:dyDescent="0.25">
      <c r="A72" s="2" t="s">
        <v>393</v>
      </c>
      <c r="B72" s="24" t="s">
        <v>394</v>
      </c>
      <c r="C72" s="2" t="s">
        <v>395</v>
      </c>
      <c r="D72" s="13" t="s">
        <v>396</v>
      </c>
      <c r="E72" s="16">
        <v>15.3</v>
      </c>
      <c r="F72" s="16">
        <v>9</v>
      </c>
      <c r="G72" s="16">
        <v>11.8</v>
      </c>
      <c r="H72" s="35">
        <f>IF(I72&lt;X72,X72,I72)</f>
        <v>149.59459486049698</v>
      </c>
      <c r="I72" s="27">
        <f>J72+K72+L72+M72+N72</f>
        <v>105.57030387231413</v>
      </c>
      <c r="J72" s="9">
        <f>116/1.2213*(0.0950502775050452+(1.12627632206642)/((1+($B$2/0.302756091410027)^2.26536793426585)^0.152776210790626))/E72</f>
        <v>7.5818644736905734</v>
      </c>
      <c r="K72" s="9">
        <f>5.91232283796472*O72*(G72-F72)/E72^0.600317738509086*(1+$B$2)^0.808139120750434</f>
        <v>9.0132812392514836</v>
      </c>
      <c r="L72" s="9">
        <f>1.04237828050238*P72*(F72+2.34973310685883)/(R72*E72^-0.304107132838227+(1-R72)*(14-F72)^-0.304107132838227)</f>
        <v>28.951030421781653</v>
      </c>
      <c r="M72" s="9">
        <f>13.6914255489806*Q72*(G72-9)</f>
        <v>50.262744459813234</v>
      </c>
      <c r="N72" s="9">
        <f>2.4817076129942*Q72*(6.5-$B$3)</f>
        <v>9.7613832777771865</v>
      </c>
      <c r="O72" s="12">
        <f>IF(G72-F72&lt;=1,IF(F72&lt;=6,0,G72-F72), G72-F72)</f>
        <v>2.8000000000000007</v>
      </c>
      <c r="P72" s="11">
        <f>IF(F72-6&gt;0,F72/6,0)</f>
        <v>1.5</v>
      </c>
      <c r="Q72" s="12">
        <f>IF(G72-9&gt;0,G72/9,0)</f>
        <v>1.3111111111111111</v>
      </c>
      <c r="R72" s="1">
        <f>IF(E72&lt;=14-F72,1,0)</f>
        <v>0</v>
      </c>
      <c r="S72" s="1">
        <f>LN((6.5/$B$3)^2.512)</f>
        <v>1.5550264915164334</v>
      </c>
      <c r="T72" s="33">
        <f>0.952988428558035*G72+(G72/13)^1.21758761926721*S72*3.49701599950785-6.17437592197594+$B$3*1.04875246413893</f>
        <v>13.574579509598495</v>
      </c>
      <c r="U72" s="34">
        <f>(T72/13)^2.512*S72</f>
        <v>1.7334877292826587</v>
      </c>
      <c r="V72" s="34">
        <f>T72-U72-G72</f>
        <v>4.1091780315834825E-2</v>
      </c>
      <c r="W72" s="34">
        <f>IF(V72&lt;0,T72-V72,T72)</f>
        <v>13.574579509598495</v>
      </c>
      <c r="X72" s="34">
        <f>10^((W72-2.7)/5)</f>
        <v>149.59459486049698</v>
      </c>
    </row>
    <row r="73" spans="1:24" x14ac:dyDescent="0.25">
      <c r="A73" s="2" t="s">
        <v>119</v>
      </c>
      <c r="B73" s="24" t="s">
        <v>120</v>
      </c>
      <c r="C73" s="2" t="s">
        <v>121</v>
      </c>
      <c r="D73" s="13" t="s">
        <v>122</v>
      </c>
      <c r="E73" s="16">
        <v>1.1000000000000001</v>
      </c>
      <c r="F73" s="16">
        <v>4.0199999999999996</v>
      </c>
      <c r="G73" s="16">
        <v>6.95</v>
      </c>
      <c r="H73" s="35">
        <f>IF(I73&lt;X73,X73,I73)</f>
        <v>153.39094667909225</v>
      </c>
      <c r="I73" s="27">
        <f>J73+K73+L73+M73+N73</f>
        <v>153.39094667909225</v>
      </c>
      <c r="J73" s="9">
        <f>116/1.2213*(0.0950502775050452+(1.12627632206642)/((1+($B$2/0.302756091410027)^2.26536793426585)^0.152776210790626))/E73</f>
        <v>105.45684222496888</v>
      </c>
      <c r="K73" s="9">
        <f>5.91232283796472*O73*(G73-F73)/E73^0.600317738509086*(1+$B$2)^0.808139120750434</f>
        <v>47.934104454123364</v>
      </c>
      <c r="L73" s="9">
        <f>1.04237828050238*P73*(F73+2.34973310685883)/(R73*E73^-0.304107132838227+(1-R73)*(14-F73)^-0.304107132838227)</f>
        <v>0</v>
      </c>
      <c r="M73" s="9">
        <f>13.6914255489806*Q73*(G73-9)</f>
        <v>0</v>
      </c>
      <c r="N73" s="9">
        <f>2.4817076129942*Q73*(6.5-$B$3)</f>
        <v>0</v>
      </c>
      <c r="O73" s="12">
        <f>IF(G73-F73&lt;=1,IF(F73&lt;=6,0,G73-F73), G73-F73)</f>
        <v>2.9300000000000006</v>
      </c>
      <c r="P73" s="14">
        <f>IF(F73-6&gt;0,F73/6,0)</f>
        <v>0</v>
      </c>
      <c r="Q73" s="11">
        <f>IF(G73-9&gt;0,G73/9,0)</f>
        <v>0</v>
      </c>
      <c r="R73" s="1">
        <f>IF(E73&lt;=14-F73,1,0)</f>
        <v>1</v>
      </c>
      <c r="S73" s="1">
        <f>LN((6.5/$B$3)^2.512)</f>
        <v>1.5550264915164334</v>
      </c>
      <c r="T73" s="33">
        <f>0.952988428558035*G73+(G73/13)^1.21758761926721*S73*3.49701599950785-6.17437592197594+$B$3*1.04875246413893</f>
        <v>6.6564197004143164</v>
      </c>
      <c r="U73" s="34">
        <f>(T73/13)^2.512*S73</f>
        <v>0.28939613233051709</v>
      </c>
      <c r="V73" s="34">
        <f>T73-U73-G73</f>
        <v>-0.58297643191620097</v>
      </c>
      <c r="W73" s="34">
        <f>IF(V73&lt;0,T73-V73,T73)</f>
        <v>7.2393961323305174</v>
      </c>
      <c r="X73" s="34">
        <f>10^((W73-2.7)/5)</f>
        <v>8.0887092789931163</v>
      </c>
    </row>
    <row r="74" spans="1:24" x14ac:dyDescent="0.25">
      <c r="A74" s="2" t="s">
        <v>211</v>
      </c>
      <c r="B74" s="24" t="s">
        <v>212</v>
      </c>
      <c r="C74" s="2" t="s">
        <v>213</v>
      </c>
      <c r="D74" s="13" t="s">
        <v>214</v>
      </c>
      <c r="E74" s="16">
        <v>2.4</v>
      </c>
      <c r="F74" s="16">
        <v>7.45</v>
      </c>
      <c r="G74" s="16">
        <v>11.05</v>
      </c>
      <c r="H74" s="35">
        <f>IF(I74&lt;X74,X74,I74)</f>
        <v>153.79044134468677</v>
      </c>
      <c r="I74" s="27">
        <f>J74+K74+L74+M74+N74</f>
        <v>153.79044134468677</v>
      </c>
      <c r="J74" s="9">
        <f>116/1.2213*(0.0950502775050452+(1.12627632206642)/((1+($B$2/0.302756091410027)^2.26536793426585)^0.152776210790626))/E74</f>
        <v>48.334386019777412</v>
      </c>
      <c r="K74" s="9">
        <f>5.91232283796472*O74*(G74-F74)/E74^0.600317738509086*(1+$B$2)^0.808139120750434</f>
        <v>45.301813634486983</v>
      </c>
      <c r="L74" s="9">
        <f>1.04237828050238*P74*(F74+2.34973310685883)/(R74*E74^-0.304107132838227+(1-R74)*(14-F74)^-0.304107132838227)</f>
        <v>16.552727843862264</v>
      </c>
      <c r="M74" s="9">
        <f>13.6914255489806*Q74*(G74-9)</f>
        <v>34.460557472031461</v>
      </c>
      <c r="N74" s="9">
        <f>2.4817076129942*Q74*(6.5-$B$3)</f>
        <v>9.1409563745286366</v>
      </c>
      <c r="O74" s="12">
        <f>IF(G74-F74&lt;=1,IF(F74&lt;=6,0,G74-F74), G74-F74)</f>
        <v>3.6000000000000005</v>
      </c>
      <c r="P74" s="11">
        <f>IF(F74-6&gt;0,F74/6,0)</f>
        <v>1.2416666666666667</v>
      </c>
      <c r="Q74" s="12">
        <f>IF(G74-9&gt;0,G74/9,0)</f>
        <v>1.2277777777777779</v>
      </c>
      <c r="R74" s="1">
        <f>IF(E74&lt;=14-F74,1,0)</f>
        <v>1</v>
      </c>
      <c r="S74" s="1">
        <f>LN((6.5/$B$3)^2.512)</f>
        <v>1.5550264915164334</v>
      </c>
      <c r="T74" s="33">
        <f>0.952988428558035*G74+(G74/13)^1.21758761926721*S74*3.49701599950785-6.17437592197594+$B$3*1.04875246413893</f>
        <v>12.488442892374762</v>
      </c>
      <c r="U74" s="34">
        <f>(T74/13)^2.512*S74</f>
        <v>1.40585626680458</v>
      </c>
      <c r="V74" s="34">
        <f>T74-U74-G74</f>
        <v>3.2586625570180772E-2</v>
      </c>
      <c r="W74" s="34">
        <f>IF(V74&lt;0,T74-V74,T74)</f>
        <v>12.488442892374762</v>
      </c>
      <c r="X74" s="34">
        <f>10^((W74-2.7)/5)</f>
        <v>90.716978851287948</v>
      </c>
    </row>
    <row r="75" spans="1:24" x14ac:dyDescent="0.25">
      <c r="A75" s="2" t="s">
        <v>203</v>
      </c>
      <c r="B75" s="24" t="s">
        <v>204</v>
      </c>
      <c r="C75" s="2" t="s">
        <v>205</v>
      </c>
      <c r="D75" s="13" t="s">
        <v>206</v>
      </c>
      <c r="E75" s="16">
        <v>2</v>
      </c>
      <c r="F75" s="16">
        <v>9.3699999999999992</v>
      </c>
      <c r="G75" s="16">
        <v>11.55</v>
      </c>
      <c r="H75" s="35">
        <f>IF(I75&lt;X75,X75,I75)</f>
        <v>154.44918631452637</v>
      </c>
      <c r="I75" s="27">
        <f>J75+K75+L75+M75+N75</f>
        <v>154.44918631452637</v>
      </c>
      <c r="J75" s="9">
        <f>116/1.2213*(0.0950502775050452+(1.12627632206642)/((1+($B$2/0.302756091410027)^2.26536793426585)^0.152776210790626))/E75</f>
        <v>58.001263223732892</v>
      </c>
      <c r="K75" s="9">
        <f>5.91232283796472*O75*(G75-F75)/E75^0.600317738509086*(1+$B$2)^0.808139120750434</f>
        <v>18.533501663364632</v>
      </c>
      <c r="L75" s="9">
        <f>1.04237828050238*P75*(F75+2.34973310685883)/(R75*E75^-0.304107132838227+(1-R75)*(14-F75)^-0.304107132838227)</f>
        <v>23.554657008362131</v>
      </c>
      <c r="M75" s="9">
        <f>13.6914255489806*Q75*(G75-9)</f>
        <v>44.805190109039032</v>
      </c>
      <c r="N75" s="9">
        <f>2.4817076129942*Q75*(6.5-$B$3)</f>
        <v>9.5545743100276717</v>
      </c>
      <c r="O75" s="12">
        <f>IF(G75-F75&lt;=1,IF(F75&lt;=6,0,G75-F75), G75-F75)</f>
        <v>2.1800000000000015</v>
      </c>
      <c r="P75" s="11">
        <f>IF(F75-6&gt;0,F75/6,0)</f>
        <v>1.5616666666666665</v>
      </c>
      <c r="Q75" s="12">
        <f>IF(G75-9&gt;0,G75/9,0)</f>
        <v>1.2833333333333334</v>
      </c>
      <c r="R75" s="1">
        <f>IF(E75&lt;=14-F75,1,0)</f>
        <v>1</v>
      </c>
      <c r="S75" s="1">
        <f>LN((6.5/$B$3)^2.512)</f>
        <v>1.5550264915164334</v>
      </c>
      <c r="T75" s="33">
        <f>0.952988428558035*G75+(G75/13)^1.21758761926721*S75*3.49701599950785-6.17437592197594+$B$3*1.04875246413893</f>
        <v>13.211946121719377</v>
      </c>
      <c r="U75" s="34">
        <f>(T75/13)^2.512*S75</f>
        <v>1.6194989752808009</v>
      </c>
      <c r="V75" s="34">
        <f>T75-U75-G75</f>
        <v>4.2447146438576056E-2</v>
      </c>
      <c r="W75" s="34">
        <f>IF(V75&lt;0,T75-V75,T75)</f>
        <v>13.211946121719377</v>
      </c>
      <c r="X75" s="34">
        <f>10^((W75-2.7)/5)</f>
        <v>126.5870340306394</v>
      </c>
    </row>
    <row r="76" spans="1:24" x14ac:dyDescent="0.25">
      <c r="A76" s="2" t="s">
        <v>107</v>
      </c>
      <c r="B76" s="24" t="s">
        <v>108</v>
      </c>
      <c r="C76" s="2" t="s">
        <v>109</v>
      </c>
      <c r="D76" s="13" t="s">
        <v>110</v>
      </c>
      <c r="E76" s="16">
        <v>1</v>
      </c>
      <c r="F76" s="16">
        <v>9.7200000000000006</v>
      </c>
      <c r="G76" s="16">
        <v>9.82</v>
      </c>
      <c r="H76" s="35">
        <f>IF(I76&lt;X76,X76,I76)</f>
        <v>156.8165652747912</v>
      </c>
      <c r="I76" s="27">
        <f>J76+K76+L76+M76+N76</f>
        <v>156.8165652747912</v>
      </c>
      <c r="J76" s="9">
        <f>116/1.2213*(0.0950502775050452+(1.12627632206642)/((1+($B$2/0.302756091410027)^2.26536793426585)^0.152776210790626))/E76</f>
        <v>116.00252644746578</v>
      </c>
      <c r="K76" s="9">
        <f>5.91232283796472*O76*(G76-F76)/E76^0.600317738509086*(1+$B$2)^0.808139120750434</f>
        <v>5.9123228379646786E-2</v>
      </c>
      <c r="L76" s="9">
        <f>1.04237828050238*P76*(F76+2.34973310685883)/(R76*E76^-0.304107132838227+(1-R76)*(14-F76)^-0.304107132838227)</f>
        <v>20.381588780121255</v>
      </c>
      <c r="M76" s="9">
        <f>13.6914255489806*Q76*(G76-9)</f>
        <v>12.249870565623491</v>
      </c>
      <c r="N76" s="9">
        <f>2.4817076129942*Q76*(6.5-$B$3)</f>
        <v>8.1234562532010148</v>
      </c>
      <c r="O76" s="12">
        <f>IF(G76-F76&lt;=1,IF(F76&lt;=6,0,G76-F76), G76-F76)</f>
        <v>9.9999999999999645E-2</v>
      </c>
      <c r="P76" s="11">
        <f>IF(F76-6&gt;0,F76/6,0)</f>
        <v>1.62</v>
      </c>
      <c r="Q76" s="12">
        <f>IF(G76-9&gt;0,G76/9,0)</f>
        <v>1.0911111111111111</v>
      </c>
      <c r="R76" s="1">
        <f>IF(E76&lt;=14-F76,1,0)</f>
        <v>1</v>
      </c>
      <c r="S76" s="1">
        <f>LN((6.5/$B$3)^2.512)</f>
        <v>1.5550264915164334</v>
      </c>
      <c r="T76" s="33">
        <f>0.952988428558035*G76+(G76/13)^1.21758761926721*S76*3.49701599950785-6.17437592197594+$B$3*1.04875246413893</f>
        <v>10.719114125000507</v>
      </c>
      <c r="U76" s="34">
        <f>(T76/13)^2.512*S76</f>
        <v>0.95779206535310557</v>
      </c>
      <c r="V76" s="34">
        <f>T76-U76-G76</f>
        <v>-5.8677940352598768E-2</v>
      </c>
      <c r="W76" s="34">
        <f>IF(V76&lt;0,T76-V76,T76)</f>
        <v>10.777792065353106</v>
      </c>
      <c r="X76" s="34">
        <f>10^((W76-2.7)/5)</f>
        <v>41.262773225426301</v>
      </c>
    </row>
    <row r="77" spans="1:24" x14ac:dyDescent="0.25">
      <c r="A77" s="2" t="s">
        <v>135</v>
      </c>
      <c r="B77" s="24" t="s">
        <v>136</v>
      </c>
      <c r="C77" s="2" t="s">
        <v>137</v>
      </c>
      <c r="D77" s="13" t="s">
        <v>138</v>
      </c>
      <c r="E77" s="16">
        <v>1.2</v>
      </c>
      <c r="F77" s="16">
        <v>8.31</v>
      </c>
      <c r="G77" s="16">
        <v>10.220000000000001</v>
      </c>
      <c r="H77" s="35">
        <f>IF(I77&lt;X77,X77,I77)</f>
        <v>159.69030991732265</v>
      </c>
      <c r="I77" s="27">
        <f>J77+K77+L77+M77+N77</f>
        <v>159.69030991732265</v>
      </c>
      <c r="J77" s="9">
        <f>116/1.2213*(0.0950502775050452+(1.12627632206642)/((1+($B$2/0.302756091410027)^2.26536793426585)^0.152776210790626))/E77</f>
        <v>96.668772039554824</v>
      </c>
      <c r="K77" s="9">
        <f>5.91232283796472*O77*(G77-F77)/E77^0.600317738509086*(1+$B$2)^0.808139120750434</f>
        <v>19.332631294191604</v>
      </c>
      <c r="L77" s="9">
        <f>1.04237828050238*P77*(F77+2.34973310685883)/(R77*E77^-0.304107132838227+(1-R77)*(14-F77)^-0.304107132838227)</f>
        <v>16.266759280319324</v>
      </c>
      <c r="M77" s="9">
        <f>13.6914255489806*Q77*(G77-9)</f>
        <v>18.967796701656646</v>
      </c>
      <c r="N77" s="9">
        <f>2.4817076129942*Q77*(6.5-$B$3)</f>
        <v>8.4543506016002414</v>
      </c>
      <c r="O77" s="12">
        <f>IF(G77-F77&lt;=1,IF(F77&lt;=6,0,G77-F77), G77-F77)</f>
        <v>1.9100000000000001</v>
      </c>
      <c r="P77" s="11">
        <f>IF(F77-6&gt;0,F77/6,0)</f>
        <v>1.385</v>
      </c>
      <c r="Q77" s="12">
        <f>IF(G77-9&gt;0,G77/9,0)</f>
        <v>1.1355555555555557</v>
      </c>
      <c r="R77" s="1">
        <f>IF(E77&lt;=14-F77,1,0)</f>
        <v>1</v>
      </c>
      <c r="S77" s="1">
        <f>LN((6.5/$B$3)^2.512)</f>
        <v>1.5550264915164334</v>
      </c>
      <c r="T77" s="33">
        <f>0.952988428558035*G77+(G77/13)^1.21758761926721*S77*3.49701599950785-6.17437592197594+$B$3*1.04875246413893</f>
        <v>11.292815158018046</v>
      </c>
      <c r="U77" s="34">
        <f>(T77/13)^2.512*S77</f>
        <v>1.091820556396619</v>
      </c>
      <c r="V77" s="34">
        <f>T77-U77-G77</f>
        <v>-1.9005398378574512E-2</v>
      </c>
      <c r="W77" s="34">
        <f>IF(V77&lt;0,T77-V77,T77)</f>
        <v>11.31182055639662</v>
      </c>
      <c r="X77" s="34">
        <f>10^((W77-2.7)/5)</f>
        <v>52.767207481381725</v>
      </c>
    </row>
    <row r="78" spans="1:24" x14ac:dyDescent="0.25">
      <c r="A78" s="2" t="s">
        <v>91</v>
      </c>
      <c r="B78" s="24" t="s">
        <v>92</v>
      </c>
      <c r="C78" s="2" t="s">
        <v>93</v>
      </c>
      <c r="D78" s="13" t="s">
        <v>94</v>
      </c>
      <c r="E78" s="16">
        <v>0.8</v>
      </c>
      <c r="F78" s="16">
        <v>8.4499999999999993</v>
      </c>
      <c r="G78" s="16">
        <v>8.57</v>
      </c>
      <c r="H78" s="35">
        <f>IF(I78&lt;X78,X78,I78)</f>
        <v>159.91451540883207</v>
      </c>
      <c r="I78" s="27">
        <f>J78+K78+L78+M78+N78</f>
        <v>159.91451540883207</v>
      </c>
      <c r="J78" s="9">
        <f>116/1.2213*(0.0950502775050452+(1.12627632206642)/((1+($B$2/0.302756091410027)^2.26536793426585)^0.152776210790626))/E78</f>
        <v>145.00315805933221</v>
      </c>
      <c r="K78" s="9">
        <f>5.91232283796472*O78*(G78-F78)/E78^0.600317738509086*(1+$B$2)^0.808139120750434</f>
        <v>9.7341365071956704E-2</v>
      </c>
      <c r="L78" s="9">
        <f>1.04237828050238*P78*(F78+2.34973310685883)/(R78*E78^-0.304107132838227+(1-R78)*(14-F78)^-0.304107132838227)</f>
        <v>14.814015984427909</v>
      </c>
      <c r="M78" s="9">
        <f>13.6914255489806*Q78*(G78-9)</f>
        <v>0</v>
      </c>
      <c r="N78" s="9">
        <f>2.4817076129942*Q78*(6.5-$B$3)</f>
        <v>0</v>
      </c>
      <c r="O78" s="12">
        <f>IF(G78-F78&lt;=1,IF(F78&lt;=6,0,G78-F78), G78-F78)</f>
        <v>0.12000000000000099</v>
      </c>
      <c r="P78" s="11">
        <f>IF(F78-6&gt;0,F78/6,0)</f>
        <v>1.4083333333333332</v>
      </c>
      <c r="Q78" s="12">
        <f>IF(G78-9&gt;0,G78/9,0)</f>
        <v>0</v>
      </c>
      <c r="R78" s="1">
        <f>IF(E78&lt;=14-F78,1,0)</f>
        <v>1</v>
      </c>
      <c r="S78" s="1">
        <f>LN((6.5/$B$3)^2.512)</f>
        <v>1.5550264915164334</v>
      </c>
      <c r="T78" s="33">
        <f>0.952988428558035*G78+(G78/13)^1.21758761926721*S78*3.49701599950785-6.17437592197594+$B$3*1.04875246413893</f>
        <v>8.9375117711931917</v>
      </c>
      <c r="U78" s="34">
        <f>(T78/13)^2.512*S78</f>
        <v>0.60669198512857259</v>
      </c>
      <c r="V78" s="34">
        <f>T78-U78-G78</f>
        <v>-0.23918021393538069</v>
      </c>
      <c r="W78" s="34">
        <f>IF(V78&lt;0,T78-V78,T78)</f>
        <v>9.1766919851285724</v>
      </c>
      <c r="X78" s="34">
        <f>10^((W78-2.7)/5)</f>
        <v>19.739602230549309</v>
      </c>
    </row>
    <row r="79" spans="1:24" x14ac:dyDescent="0.25">
      <c r="A79" s="2" t="s">
        <v>417</v>
      </c>
      <c r="B79" s="24" t="s">
        <v>418</v>
      </c>
      <c r="C79" s="2" t="s">
        <v>419</v>
      </c>
      <c r="D79" s="13" t="s">
        <v>420</v>
      </c>
      <c r="E79" s="16">
        <v>18.899999999999999</v>
      </c>
      <c r="F79" s="16">
        <v>8.9</v>
      </c>
      <c r="G79" s="16">
        <v>11.9</v>
      </c>
      <c r="H79" s="35">
        <f>IF(I79&lt;X79,X79,I79)</f>
        <v>159.94065360900197</v>
      </c>
      <c r="I79" s="27">
        <f>J79+K79+L79+M79+N79</f>
        <v>106.14351670594145</v>
      </c>
      <c r="J79" s="9">
        <f>116/1.2213*(0.0950502775050452+(1.12627632206642)/((1+($B$2/0.302756091410027)^2.26536793426585)^0.152776210790626))/E79</f>
        <v>6.1376998120352271</v>
      </c>
      <c r="K79" s="9">
        <f>5.91232283796472*O79*(G79-F79)/E79^0.600317738509086*(1+$B$2)^0.808139120750434</f>
        <v>9.1141880758617777</v>
      </c>
      <c r="L79" s="9">
        <f>1.04237828050238*P79*(F79+2.34973310685883)/(R79*E79^-0.304107132838227+(1-R79)*(14-F79)^-0.304107132838227)</f>
        <v>28.548511320354059</v>
      </c>
      <c r="M79" s="9">
        <f>13.6914255489806*Q79*(G79-9)</f>
        <v>52.499010632813395</v>
      </c>
      <c r="N79" s="9">
        <f>2.4817076129942*Q79*(6.5-$B$3)</f>
        <v>9.8441068648769932</v>
      </c>
      <c r="O79" s="12">
        <f>IF(G79-F79&lt;=1,IF(F79&lt;=6,0,G79-F79), G79-F79)</f>
        <v>3</v>
      </c>
      <c r="P79" s="11">
        <f>IF(F79-6&gt;0,F79/6,0)</f>
        <v>1.4833333333333334</v>
      </c>
      <c r="Q79" s="12">
        <f>IF(G79-9&gt;0,G79/9,0)</f>
        <v>1.3222222222222222</v>
      </c>
      <c r="R79" s="1">
        <f>IF(E79&lt;=14-F79,1,0)</f>
        <v>0</v>
      </c>
      <c r="S79" s="1">
        <f>LN((6.5/$B$3)^2.512)</f>
        <v>1.5550264915164334</v>
      </c>
      <c r="T79" s="33">
        <f>0.952988428558035*G79+(G79/13)^1.21758761926721*S79*3.49701599950785-6.17437592197594+$B$3*1.04875246413893</f>
        <v>13.71979433230277</v>
      </c>
      <c r="U79" s="34">
        <f>(T79/13)^2.512*S79</f>
        <v>1.7804478807294339</v>
      </c>
      <c r="V79" s="34">
        <f>T79-U79-G79</f>
        <v>3.9346451573335273E-2</v>
      </c>
      <c r="W79" s="34">
        <f>IF(V79&lt;0,T79-V79,T79)</f>
        <v>13.71979433230277</v>
      </c>
      <c r="X79" s="34">
        <f>10^((W79-2.7)/5)</f>
        <v>159.94065360900197</v>
      </c>
    </row>
    <row r="80" spans="1:24" x14ac:dyDescent="0.25">
      <c r="A80" s="2" t="s">
        <v>143</v>
      </c>
      <c r="B80" s="24" t="s">
        <v>144</v>
      </c>
      <c r="C80" s="2" t="s">
        <v>145</v>
      </c>
      <c r="D80" s="13" t="s">
        <v>146</v>
      </c>
      <c r="E80" s="16">
        <v>1.3</v>
      </c>
      <c r="F80" s="16">
        <v>5.72</v>
      </c>
      <c r="G80" s="16">
        <v>9.19</v>
      </c>
      <c r="H80" s="35">
        <f>IF(I80&lt;X80,X80,I80)</f>
        <v>160.30688198496719</v>
      </c>
      <c r="I80" s="27">
        <f>J80+K80+L80+M80+N80</f>
        <v>160.30688198496719</v>
      </c>
      <c r="J80" s="9">
        <f>116/1.2213*(0.0950502775050452+(1.12627632206642)/((1+($B$2/0.302756091410027)^2.26536793426585)^0.152776210790626))/E80</f>
        <v>89.232712651896748</v>
      </c>
      <c r="K80" s="9">
        <f>5.91232283796472*O80*(G80-F80)/E80^0.600317738509086*(1+$B$2)^0.808139120750434</f>
        <v>60.815582995145434</v>
      </c>
      <c r="L80" s="9">
        <f>1.04237828050238*P80*(F80+2.34973310685883)/(R80*E80^-0.304107132838227+(1-R80)*(14-F80)^-0.304107132838227)</f>
        <v>0</v>
      </c>
      <c r="M80" s="9">
        <f>13.6914255489806*Q80*(G80-9)</f>
        <v>2.6562886834527739</v>
      </c>
      <c r="N80" s="9">
        <f>2.4817076129942*Q80*(6.5-$B$3)</f>
        <v>7.602297654472232</v>
      </c>
      <c r="O80" s="12">
        <f>IF(G80-F80&lt;=1,IF(F80&lt;=6,0,G80-F80), G80-F80)</f>
        <v>3.4699999999999998</v>
      </c>
      <c r="P80" s="11">
        <f>IF(F80-6&gt;0,F80/6,0)</f>
        <v>0</v>
      </c>
      <c r="Q80" s="12">
        <f>IF(G80-9&gt;0,G80/9,0)</f>
        <v>1.0211111111111111</v>
      </c>
      <c r="R80" s="1">
        <f>IF(E80&lt;=14-F80,1,0)</f>
        <v>1</v>
      </c>
      <c r="S80" s="1">
        <f>LN((6.5/$B$3)^2.512)</f>
        <v>1.5550264915164334</v>
      </c>
      <c r="T80" s="33">
        <f>0.952988428558035*G80+(G80/13)^1.21758761926721*S80*3.49701599950785-6.17437592197594+$B$3*1.04875246413893</f>
        <v>9.8190020552253312</v>
      </c>
      <c r="U80" s="34">
        <f>(T80/13)^2.512*S80</f>
        <v>0.76839632063519347</v>
      </c>
      <c r="V80" s="34">
        <f>T80-U80-G80</f>
        <v>-0.13939426540986233</v>
      </c>
      <c r="W80" s="34">
        <f>IF(V80&lt;0,T80-V80,T80)</f>
        <v>9.9583963206351935</v>
      </c>
      <c r="X80" s="34">
        <f>10^((W80-2.7)/5)</f>
        <v>28.29301723490202</v>
      </c>
    </row>
    <row r="81" spans="1:24" x14ac:dyDescent="0.25">
      <c r="A81" s="2" t="s">
        <v>187</v>
      </c>
      <c r="B81" s="24" t="s">
        <v>188</v>
      </c>
      <c r="C81" s="2" t="s">
        <v>189</v>
      </c>
      <c r="D81" s="13" t="s">
        <v>190</v>
      </c>
      <c r="E81" s="16">
        <v>1.9</v>
      </c>
      <c r="F81" s="16">
        <v>8.74</v>
      </c>
      <c r="G81" s="16">
        <v>11.47</v>
      </c>
      <c r="H81" s="35">
        <f>IF(I81&lt;X81,X81,I81)</f>
        <v>164.08325568564541</v>
      </c>
      <c r="I81" s="27">
        <f>J81+K81+L81+M81+N81</f>
        <v>164.08325568564541</v>
      </c>
      <c r="J81" s="9">
        <f>116/1.2213*(0.0950502775050452+(1.12627632206642)/((1+($B$2/0.302756091410027)^2.26536793426585)^0.152776210790626))/E81</f>
        <v>61.053961288139888</v>
      </c>
      <c r="K81" s="9">
        <f>5.91232283796472*O81*(G81-F81)/E81^0.600317738509086*(1+$B$2)^0.808139120750434</f>
        <v>29.973861974818991</v>
      </c>
      <c r="L81" s="9">
        <f>1.04237828050238*P81*(F81+2.34973310685883)/(R81*E81^-0.304107132838227+(1-R81)*(14-F81)^-0.304107132838227)</f>
        <v>20.468102750603727</v>
      </c>
      <c r="M81" s="9">
        <f>13.6914255489806*Q81*(G81-9)</f>
        <v>43.098934231734958</v>
      </c>
      <c r="N81" s="9">
        <f>2.4817076129942*Q81*(6.5-$B$3)</f>
        <v>9.4883954403478246</v>
      </c>
      <c r="O81" s="12">
        <f>IF(G81-F81&lt;=1,IF(F81&lt;=6,0,G81-F81), G81-F81)</f>
        <v>2.7300000000000004</v>
      </c>
      <c r="P81" s="11">
        <f>IF(F81-6&gt;0,F81/6,0)</f>
        <v>1.4566666666666668</v>
      </c>
      <c r="Q81" s="12">
        <f>IF(G81-9&gt;0,G81/9,0)</f>
        <v>1.2744444444444445</v>
      </c>
      <c r="R81" s="1">
        <f>IF(E81&lt;=14-F81,1,0)</f>
        <v>1</v>
      </c>
      <c r="S81" s="1">
        <f>LN((6.5/$B$3)^2.512)</f>
        <v>1.5550264915164334</v>
      </c>
      <c r="T81" s="33">
        <f>0.952988428558035*G81+(G81/13)^1.21758761926721*S81*3.49701599950785-6.17437592197594+$B$3*1.04875246413893</f>
        <v>13.096026405241103</v>
      </c>
      <c r="U81" s="34">
        <f>(T81/13)^2.512*S81</f>
        <v>1.5840417383890548</v>
      </c>
      <c r="V81" s="34">
        <f>T81-U81-G81</f>
        <v>4.1984666852046715E-2</v>
      </c>
      <c r="W81" s="34">
        <f>IF(V81&lt;0,T81-V81,T81)</f>
        <v>13.096026405241103</v>
      </c>
      <c r="X81" s="34">
        <f>10^((W81-2.7)/5)</f>
        <v>120.0066412998616</v>
      </c>
    </row>
    <row r="82" spans="1:24" x14ac:dyDescent="0.25">
      <c r="A82" s="2" t="s">
        <v>103</v>
      </c>
      <c r="B82" s="24" t="s">
        <v>104</v>
      </c>
      <c r="C82" s="2" t="s">
        <v>105</v>
      </c>
      <c r="D82" s="13" t="s">
        <v>106</v>
      </c>
      <c r="E82" s="16">
        <v>1</v>
      </c>
      <c r="F82" s="16">
        <v>7.47</v>
      </c>
      <c r="G82" s="16">
        <v>9.42</v>
      </c>
      <c r="H82" s="35">
        <f>IF(I82&lt;X82,X82,I82)</f>
        <v>165.03911287105547</v>
      </c>
      <c r="I82" s="27">
        <f>J82+K82+L82+M82+N82</f>
        <v>165.03911287105547</v>
      </c>
      <c r="J82" s="9">
        <f>116/1.2213*(0.0950502775050452+(1.12627632206642)/((1+($B$2/0.302756091410027)^2.26536793426585)^0.152776210790626))/E82</f>
        <v>116.00252644746578</v>
      </c>
      <c r="K82" s="9">
        <f>5.91232283796472*O82*(G82-F82)/E82^0.600317738509086*(1+$B$2)^0.808139120750434</f>
        <v>22.481607591360856</v>
      </c>
      <c r="L82" s="9">
        <f>1.04237828050238*P82*(F82+2.34973310685883)/(R82*E82^-0.304107132838227+(1-R82)*(14-F82)^-0.304107132838227)</f>
        <v>12.743666256095153</v>
      </c>
      <c r="M82" s="9">
        <f>13.6914255489806*Q82*(G82-9)</f>
        <v>6.0187506713318708</v>
      </c>
      <c r="N82" s="9">
        <f>2.4817076129942*Q82*(6.5-$B$3)</f>
        <v>7.7925619048017882</v>
      </c>
      <c r="O82" s="12">
        <f>IF(G82-F82&lt;=1,IF(F82&lt;=6,0,G82-F82), G82-F82)</f>
        <v>1.9500000000000002</v>
      </c>
      <c r="P82" s="11">
        <f>IF(F82-6&gt;0,F82/6,0)</f>
        <v>1.2449999999999999</v>
      </c>
      <c r="Q82" s="12">
        <f>IF(G82-9&gt;0,G82/9,0)</f>
        <v>1.0466666666666666</v>
      </c>
      <c r="R82" s="1">
        <f>IF(E82&lt;=14-F82,1,0)</f>
        <v>1</v>
      </c>
      <c r="S82" s="1">
        <f>LN((6.5/$B$3)^2.512)</f>
        <v>1.5550264915164334</v>
      </c>
      <c r="T82" s="33">
        <f>0.952988428558035*G82+(G82/13)^1.21758761926721*S82*3.49701599950785-6.17437592197594+$B$3*1.04875246413893</f>
        <v>10.147112155580551</v>
      </c>
      <c r="U82" s="34">
        <f>(T82/13)^2.512*S82</f>
        <v>0.83453460937860247</v>
      </c>
      <c r="V82" s="34">
        <f>T82-U82-G82</f>
        <v>-0.10742245379805127</v>
      </c>
      <c r="W82" s="34">
        <f>IF(V82&lt;0,T82-V82,T82)</f>
        <v>10.254534609378602</v>
      </c>
      <c r="X82" s="34">
        <f>10^((W82-2.7)/5)</f>
        <v>32.42701122332317</v>
      </c>
    </row>
    <row r="83" spans="1:24" x14ac:dyDescent="0.25">
      <c r="A83" s="2" t="s">
        <v>159</v>
      </c>
      <c r="B83" s="24" t="s">
        <v>160</v>
      </c>
      <c r="C83" s="2" t="s">
        <v>161</v>
      </c>
      <c r="D83" s="13" t="s">
        <v>162</v>
      </c>
      <c r="E83" s="16">
        <v>1.5</v>
      </c>
      <c r="F83" s="16">
        <v>9.89</v>
      </c>
      <c r="G83" s="16">
        <v>11.49</v>
      </c>
      <c r="H83" s="35">
        <f>IF(I83&lt;X83,X83,I83)</f>
        <v>166.01908580916378</v>
      </c>
      <c r="I83" s="27">
        <f>J83+K83+L83+M83+N83</f>
        <v>166.01908580916378</v>
      </c>
      <c r="J83" s="9">
        <f>116/1.2213*(0.0950502775050452+(1.12627632206642)/((1+($B$2/0.302756091410027)^2.26536793426585)^0.152776210790626))/E83</f>
        <v>77.335017631643851</v>
      </c>
      <c r="K83" s="9">
        <f>5.91232283796472*O83*(G83-F83)/E83^0.600317738509086*(1+$B$2)^0.808139120750434</f>
        <v>11.865537036866053</v>
      </c>
      <c r="L83" s="9">
        <f>1.04237828050238*P83*(F83+2.34973310685883)/(R83*E83^-0.304107132838227+(1-R83)*(14-F83)^-0.304107132838227)</f>
        <v>23.789918305231676</v>
      </c>
      <c r="M83" s="9">
        <f>13.6914255489806*Q83*(G83-9)</f>
        <v>43.523672677654432</v>
      </c>
      <c r="N83" s="9">
        <f>2.4817076129942*Q83*(6.5-$B$3)</f>
        <v>9.5049401577677859</v>
      </c>
      <c r="O83" s="12">
        <f>IF(G83-F83&lt;=1,IF(F83&lt;=6,0,G83-F83), G83-F83)</f>
        <v>1.5999999999999996</v>
      </c>
      <c r="P83" s="11">
        <f>IF(F83-6&gt;0,F83/6,0)</f>
        <v>1.6483333333333334</v>
      </c>
      <c r="Q83" s="12">
        <f>IF(G83-9&gt;0,G83/9,0)</f>
        <v>1.2766666666666666</v>
      </c>
      <c r="R83" s="1">
        <f>IF(E83&lt;=14-F83,1,0)</f>
        <v>1</v>
      </c>
      <c r="S83" s="1">
        <f>LN((6.5/$B$3)^2.512)</f>
        <v>1.5550264915164334</v>
      </c>
      <c r="T83" s="33">
        <f>0.952988428558035*G83+(G83/13)^1.21758761926721*S83*3.49701599950785-6.17437592197594+$B$3*1.04875246413893</f>
        <v>13.125000705811146</v>
      </c>
      <c r="U83" s="34">
        <f>(T83/13)^2.512*S83</f>
        <v>1.5928600562247306</v>
      </c>
      <c r="V83" s="34">
        <f>T83-U83-G83</f>
        <v>4.2140649586416501E-2</v>
      </c>
      <c r="W83" s="34">
        <f>IF(V83&lt;0,T83-V83,T83)</f>
        <v>13.125000705811146</v>
      </c>
      <c r="X83" s="34">
        <f>10^((W83-2.7)/5)</f>
        <v>121.61863959531533</v>
      </c>
    </row>
    <row r="84" spans="1:24" x14ac:dyDescent="0.25">
      <c r="A84" s="2" t="s">
        <v>167</v>
      </c>
      <c r="B84" s="24" t="s">
        <v>168</v>
      </c>
      <c r="C84" s="2" t="s">
        <v>169</v>
      </c>
      <c r="D84" s="13" t="s">
        <v>170</v>
      </c>
      <c r="E84" s="16">
        <v>1.6</v>
      </c>
      <c r="F84" s="16">
        <v>5.12</v>
      </c>
      <c r="G84" s="16">
        <v>9.3800000000000008</v>
      </c>
      <c r="H84" s="35">
        <f>IF(I84&lt;X84,X84,I84)</f>
        <v>166.60059853901836</v>
      </c>
      <c r="I84" s="27">
        <f>J84+K84+L84+M84+N84</f>
        <v>166.60059853901836</v>
      </c>
      <c r="J84" s="9">
        <f>116/1.2213*(0.0950502775050452+(1.12627632206642)/((1+($B$2/0.302756091410027)^2.26536793426585)^0.152776210790626))/E84</f>
        <v>72.501579029666104</v>
      </c>
      <c r="K84" s="9">
        <f>5.91232283796472*O84*(G84-F84)/E84^0.600317738509086*(1+$B$2)^0.808139120750434</f>
        <v>80.917134014191888</v>
      </c>
      <c r="L84" s="9">
        <f>1.04237828050238*P84*(F84+2.34973310685883)/(R84*E84^-0.304107132838227+(1-R84)*(14-F84)^-0.304107132838227)</f>
        <v>0</v>
      </c>
      <c r="M84" s="9">
        <f>13.6914255489806*Q84*(G84-9)</f>
        <v>5.422413025198507</v>
      </c>
      <c r="N84" s="9">
        <f>2.4817076129942*Q84*(6.5-$B$3)</f>
        <v>7.7594724699618673</v>
      </c>
      <c r="O84" s="12">
        <f>IF(G84-F84&lt;=1,IF(F84&lt;=6,0,G84-F84), G84-F84)</f>
        <v>4.2600000000000007</v>
      </c>
      <c r="P84" s="11">
        <f>IF(F84-6&gt;0,F84/6,0)</f>
        <v>0</v>
      </c>
      <c r="Q84" s="12">
        <f>IF(G84-9&gt;0,G84/9,0)</f>
        <v>1.0422222222222224</v>
      </c>
      <c r="R84" s="1">
        <f>IF(E84&lt;=14-F84,1,0)</f>
        <v>1</v>
      </c>
      <c r="S84" s="1">
        <f>LN((6.5/$B$3)^2.512)</f>
        <v>1.5550264915164334</v>
      </c>
      <c r="T84" s="33">
        <f>0.952988428558035*G84+(G84/13)^1.21758761926721*S84*3.49701599950785-6.17437592197594+$B$3*1.04875246413893</f>
        <v>10.090007535054225</v>
      </c>
      <c r="U84" s="34">
        <f>(T84/13)^2.512*S84</f>
        <v>0.82278717835715209</v>
      </c>
      <c r="V84" s="34">
        <f>T84-U84-G84</f>
        <v>-0.11277964330292711</v>
      </c>
      <c r="W84" s="34">
        <f>IF(V84&lt;0,T84-V84,T84)</f>
        <v>10.202787178357152</v>
      </c>
      <c r="X84" s="34">
        <f>10^((W84-2.7)/5)</f>
        <v>31.663391857499828</v>
      </c>
    </row>
    <row r="85" spans="1:24" x14ac:dyDescent="0.25">
      <c r="A85" s="2" t="s">
        <v>123</v>
      </c>
      <c r="B85" s="24" t="s">
        <v>124</v>
      </c>
      <c r="C85" s="2" t="s">
        <v>125</v>
      </c>
      <c r="D85" s="13" t="s">
        <v>126</v>
      </c>
      <c r="E85" s="16">
        <v>1.2</v>
      </c>
      <c r="F85" s="16">
        <v>9.77</v>
      </c>
      <c r="G85" s="16">
        <v>10.96</v>
      </c>
      <c r="H85" s="35">
        <f>IF(I85&lt;X85,X85,I85)</f>
        <v>167.66311129346906</v>
      </c>
      <c r="I85" s="27">
        <f>J85+K85+L85+M85+N85</f>
        <v>167.66311129346906</v>
      </c>
      <c r="J85" s="9">
        <f>116/1.2213*(0.0950502775050452+(1.12627632206642)/((1+($B$2/0.302756091410027)^2.26536793426585)^0.152776210790626))/E85</f>
        <v>96.668772039554824</v>
      </c>
      <c r="K85" s="9">
        <f>5.91232283796472*O85*(G85-F85)/E85^0.600317738509086*(1+$B$2)^0.808139120750434</f>
        <v>7.5044377006399987</v>
      </c>
      <c r="L85" s="9">
        <f>1.04237828050238*P85*(F85+2.34973310685883)/(R85*E85^-0.304107132838227+(1-R85)*(14-F85)^-0.304107132838227)</f>
        <v>21.744093399026333</v>
      </c>
      <c r="M85" s="9">
        <f>13.6914255489806*Q85*(G85-9)</f>
        <v>32.679303008109088</v>
      </c>
      <c r="N85" s="9">
        <f>2.4817076129942*Q85*(6.5-$B$3)</f>
        <v>9.0665051461388106</v>
      </c>
      <c r="O85" s="12">
        <f>IF(G85-F85&lt;=1,IF(F85&lt;=6,0,G85-F85), G85-F85)</f>
        <v>1.1900000000000013</v>
      </c>
      <c r="P85" s="11">
        <f>IF(F85-6&gt;0,F85/6,0)</f>
        <v>1.6283333333333332</v>
      </c>
      <c r="Q85" s="12">
        <f>IF(G85-9&gt;0,G85/9,0)</f>
        <v>1.2177777777777778</v>
      </c>
      <c r="R85" s="1">
        <f>IF(E85&lt;=14-F85,1,0)</f>
        <v>1</v>
      </c>
      <c r="S85" s="1">
        <f>LN((6.5/$B$3)^2.512)</f>
        <v>1.5550264915164334</v>
      </c>
      <c r="T85" s="33">
        <f>0.952988428558035*G85+(G85/13)^1.21758761926721*S85*3.49701599950785-6.17437592197594+$B$3*1.04875246413893</f>
        <v>12.358466897275273</v>
      </c>
      <c r="U85" s="34">
        <f>(T85/13)^2.512*S85</f>
        <v>1.369390033971839</v>
      </c>
      <c r="V85" s="34">
        <f>T85-U85-G85</f>
        <v>2.9076863303432177E-2</v>
      </c>
      <c r="W85" s="34">
        <f>IF(V85&lt;0,T85-V85,T85)</f>
        <v>12.358466897275273</v>
      </c>
      <c r="X85" s="34">
        <f>10^((W85-2.7)/5)</f>
        <v>85.446323183286438</v>
      </c>
    </row>
    <row r="86" spans="1:24" s="4" customFormat="1" x14ac:dyDescent="0.25">
      <c r="A86" s="2" t="s">
        <v>327</v>
      </c>
      <c r="B86" s="24" t="s">
        <v>328</v>
      </c>
      <c r="C86" s="2" t="s">
        <v>329</v>
      </c>
      <c r="D86" s="13" t="s">
        <v>330</v>
      </c>
      <c r="E86" s="16">
        <v>7.2</v>
      </c>
      <c r="F86" s="16">
        <v>10</v>
      </c>
      <c r="G86" s="16">
        <v>12</v>
      </c>
      <c r="H86" s="35">
        <f>IF(I86&lt;X86,X86,I86)</f>
        <v>171.00944670282396</v>
      </c>
      <c r="I86" s="27">
        <f>J86+K86+L86+M86+N86</f>
        <v>120.73974865782803</v>
      </c>
      <c r="J86" s="9">
        <f>116/1.2213*(0.0950502775050452+(1.12627632206642)/((1+($B$2/0.302756091410027)^2.26536793426585)^0.152776210790626))/E86</f>
        <v>16.111462006592468</v>
      </c>
      <c r="K86" s="9">
        <f>5.91232283796472*O86*(G86-F86)/E86^0.600317738509086*(1+$B$2)^0.808139120750434</f>
        <v>7.2301320004899479</v>
      </c>
      <c r="L86" s="9">
        <f>1.04237828050238*P86*(F86+2.34973310685883)/(R86*E86^-0.304107132838227+(1-R86)*(14-F86)^-0.304107132838227)</f>
        <v>32.705622002846418</v>
      </c>
      <c r="M86" s="9">
        <f>13.6914255489806*Q86*(G86-9)</f>
        <v>54.765702195922401</v>
      </c>
      <c r="N86" s="9">
        <f>2.4817076129942*Q86*(6.5-$B$3)</f>
        <v>9.9268304519767998</v>
      </c>
      <c r="O86" s="12">
        <f>IF(G86-F86&lt;=1,IF(F86&lt;=6,0,G86-F86), G86-F86)</f>
        <v>2</v>
      </c>
      <c r="P86" s="11">
        <f>IF(F86-6&gt;0,F86/6,0)</f>
        <v>1.6666666666666667</v>
      </c>
      <c r="Q86" s="12">
        <f>IF(G86-9&gt;0,G86/9,0)</f>
        <v>1.3333333333333333</v>
      </c>
      <c r="R86" s="1">
        <f>IF(E86&lt;=14-F86,1,0)</f>
        <v>0</v>
      </c>
      <c r="S86" s="1">
        <f>LN((6.5/$B$3)^2.512)</f>
        <v>1.5550264915164334</v>
      </c>
      <c r="T86" s="33">
        <f>0.952988428558035*G86+(G86/13)^1.21758761926721*S86*3.49701599950785-6.17437592197594+$B$3*1.04875246413893</f>
        <v>13.865100509200234</v>
      </c>
      <c r="U86" s="34">
        <f>(T86/13)^2.512*S86</f>
        <v>1.8281958668450893</v>
      </c>
      <c r="V86" s="34">
        <f>T86-U86-G86</f>
        <v>3.6904642355144901E-2</v>
      </c>
      <c r="W86" s="34">
        <f>IF(V86&lt;0,T86-V86,T86)</f>
        <v>13.865100509200234</v>
      </c>
      <c r="X86" s="34">
        <f>10^((W86-2.7)/5)</f>
        <v>171.00944670282396</v>
      </c>
    </row>
    <row r="87" spans="1:24" x14ac:dyDescent="0.25">
      <c r="A87" s="2" t="s">
        <v>163</v>
      </c>
      <c r="B87" s="24" t="s">
        <v>164</v>
      </c>
      <c r="C87" s="2" t="s">
        <v>165</v>
      </c>
      <c r="D87" s="13" t="s">
        <v>166</v>
      </c>
      <c r="E87" s="16">
        <v>1.6</v>
      </c>
      <c r="F87" s="16">
        <v>8.2799999999999994</v>
      </c>
      <c r="G87" s="16">
        <v>11.29</v>
      </c>
      <c r="H87" s="35">
        <f>IF(I87&lt;X87,X87,I87)</f>
        <v>179.20971098878283</v>
      </c>
      <c r="I87" s="27">
        <f>J87+K87+L87+M87+N87</f>
        <v>179.20971098878283</v>
      </c>
      <c r="J87" s="9">
        <f>116/1.2213*(0.0950502775050452+(1.12627632206642)/((1+($B$2/0.302756091410027)^2.26536793426585)^0.152776210790626))/E87</f>
        <v>72.501579029666104</v>
      </c>
      <c r="K87" s="9">
        <f>5.91232283796472*O87*(G87-F87)/E87^0.600317738509086*(1+$B$2)^0.808139120750434</f>
        <v>40.397480982718349</v>
      </c>
      <c r="L87" s="9">
        <f>1.04237828050238*P87*(F87+2.34973310685883)/(R87*E87^-0.304107132838227+(1-R87)*(14-F87)^-0.304107132838227)</f>
        <v>17.640104072174733</v>
      </c>
      <c r="M87" s="9">
        <f>13.6914255489806*Q87*(G87-9)</f>
        <v>39.331053920655464</v>
      </c>
      <c r="N87" s="9">
        <f>2.4817076129942*Q87*(6.5-$B$3)</f>
        <v>9.3394929835681708</v>
      </c>
      <c r="O87" s="12">
        <f>IF(G87-F87&lt;=1,IF(F87&lt;=6,0,G87-F87), G87-F87)</f>
        <v>3.01</v>
      </c>
      <c r="P87" s="11">
        <f>IF(F87-6&gt;0,F87/6,0)</f>
        <v>1.38</v>
      </c>
      <c r="Q87" s="12">
        <f>IF(G87-9&gt;0,G87/9,0)</f>
        <v>1.2544444444444443</v>
      </c>
      <c r="R87" s="1">
        <f>IF(E87&lt;=14-F87,1,0)</f>
        <v>1</v>
      </c>
      <c r="S87" s="1">
        <f>LN((6.5/$B$3)^2.512)</f>
        <v>1.5550264915164334</v>
      </c>
      <c r="T87" s="33">
        <f>0.952988428558035*G87+(G87/13)^1.21758761926721*S87*3.49701599950785-6.17437592197594+$B$3*1.04875246413893</f>
        <v>12.835427560273473</v>
      </c>
      <c r="U87" s="34">
        <f>(T87/13)^2.512*S87</f>
        <v>1.5060481785951461</v>
      </c>
      <c r="V87" s="34">
        <f>T87-U87-G87</f>
        <v>3.9379381678328329E-2</v>
      </c>
      <c r="W87" s="34">
        <f>IF(V87&lt;0,T87-V87,T87)</f>
        <v>12.835427560273473</v>
      </c>
      <c r="X87" s="34">
        <f>10^((W87-2.7)/5)</f>
        <v>106.43525673182201</v>
      </c>
    </row>
    <row r="88" spans="1:24" x14ac:dyDescent="0.25">
      <c r="A88" s="2" t="s">
        <v>131</v>
      </c>
      <c r="B88" s="24" t="s">
        <v>132</v>
      </c>
      <c r="C88" s="2" t="s">
        <v>133</v>
      </c>
      <c r="D88" s="13" t="s">
        <v>134</v>
      </c>
      <c r="E88" s="16">
        <v>1.2</v>
      </c>
      <c r="F88" s="16">
        <v>9.5</v>
      </c>
      <c r="G88" s="16">
        <v>11.42</v>
      </c>
      <c r="H88" s="35">
        <f>IF(I88&lt;X88,X88,I88)</f>
        <v>188.36597547001628</v>
      </c>
      <c r="I88" s="27">
        <f>J88+K88+L88+M88+N88</f>
        <v>188.36597547001628</v>
      </c>
      <c r="J88" s="9">
        <f>116/1.2213*(0.0950502775050452+(1.12627632206642)/((1+($B$2/0.302756091410027)^2.26536793426585)^0.152776210790626))/E88</f>
        <v>96.668772039554824</v>
      </c>
      <c r="K88" s="9">
        <f>5.91232283796472*O88*(G88-F88)/E88^0.600317738509086*(1+$B$2)^0.808139120750434</f>
        <v>19.53559716096267</v>
      </c>
      <c r="L88" s="9">
        <f>1.04237828050238*P88*(F88+2.34973310685883)/(R88*E88^-0.304107132838227+(1-R88)*(14-F88)^-0.304107132838227)</f>
        <v>20.672160062495585</v>
      </c>
      <c r="M88" s="9">
        <f>13.6914255489806*Q88*(G88-9)</f>
        <v>42.042412560205278</v>
      </c>
      <c r="N88" s="9">
        <f>2.4817076129942*Q88*(6.5-$B$3)</f>
        <v>9.4470336467979212</v>
      </c>
      <c r="O88" s="12">
        <f>IF(G88-F88&lt;=1,IF(F88&lt;=6,0,G88-F88), G88-F88)</f>
        <v>1.92</v>
      </c>
      <c r="P88" s="11">
        <f>IF(F88-6&gt;0,F88/6,0)</f>
        <v>1.5833333333333333</v>
      </c>
      <c r="Q88" s="12">
        <f>IF(G88-9&gt;0,G88/9,0)</f>
        <v>1.268888888888889</v>
      </c>
      <c r="R88" s="1">
        <f>IF(E88&lt;=14-F88,1,0)</f>
        <v>1</v>
      </c>
      <c r="S88" s="1">
        <f>LN((6.5/$B$3)^2.512)</f>
        <v>1.5550264915164334</v>
      </c>
      <c r="T88" s="33">
        <f>0.952988428558035*G88+(G88/13)^1.21758761926721*S88*3.49701599950785-6.17437592197594+$B$3*1.04875246413893</f>
        <v>13.023607118961426</v>
      </c>
      <c r="U88" s="34">
        <f>(T88/13)^2.512*S88</f>
        <v>1.5621296754046836</v>
      </c>
      <c r="V88" s="34">
        <f>T88-U88-G88</f>
        <v>4.1477443556741989E-2</v>
      </c>
      <c r="W88" s="34">
        <f>IF(V88&lt;0,T88-V88,T88)</f>
        <v>13.023607118961426</v>
      </c>
      <c r="X88" s="34">
        <f>10^((W88-2.7)/5)</f>
        <v>116.07038468320059</v>
      </c>
    </row>
    <row r="89" spans="1:24" x14ac:dyDescent="0.25">
      <c r="A89" s="2" t="s">
        <v>83</v>
      </c>
      <c r="B89" s="24" t="s">
        <v>84</v>
      </c>
      <c r="C89" s="2" t="s">
        <v>85</v>
      </c>
      <c r="D89" s="13" t="s">
        <v>86</v>
      </c>
      <c r="E89" s="16">
        <v>0.7</v>
      </c>
      <c r="F89" s="16">
        <v>9.44</v>
      </c>
      <c r="G89" s="16">
        <v>9.61</v>
      </c>
      <c r="H89" s="35">
        <f>IF(I89&lt;X89,X89,I89)</f>
        <v>200.14488432351851</v>
      </c>
      <c r="I89" s="27">
        <f>J89+K89+L89+M89+N89</f>
        <v>200.14488432351851</v>
      </c>
      <c r="J89" s="9">
        <f>116/1.2213*(0.0950502775050452+(1.12627632206642)/((1+($B$2/0.302756091410027)^2.26536793426585)^0.152776210790626))/E89</f>
        <v>165.71789492495114</v>
      </c>
      <c r="K89" s="9">
        <f>5.91232283796472*O89*(G89-F89)/E89^0.600317738509086*(1+$B$2)^0.808139120750434</f>
        <v>0.21166369700638463</v>
      </c>
      <c r="L89" s="9">
        <f>1.04237828050238*P89*(F89+2.34973310685883)/(R89*E89^-0.304107132838227+(1-R89)*(14-F89)^-0.304107132838227)</f>
        <v>17.34775501341635</v>
      </c>
      <c r="M89" s="9">
        <f>13.6914255489806*Q89*(G89-9)</f>
        <v>8.9178339678532339</v>
      </c>
      <c r="N89" s="9">
        <f>2.4817076129942*Q89*(6.5-$B$3)</f>
        <v>7.94973672029142</v>
      </c>
      <c r="O89" s="12">
        <f>IF(G89-F89&lt;=1,IF(F89&lt;=6,0,G89-F89), G89-F89)</f>
        <v>0.16999999999999993</v>
      </c>
      <c r="P89" s="11">
        <f>IF(F89-6&gt;0,F89/6,0)</f>
        <v>1.5733333333333333</v>
      </c>
      <c r="Q89" s="12">
        <f>IF(G89-9&gt;0,G89/9,0)</f>
        <v>1.0677777777777777</v>
      </c>
      <c r="R89" s="1">
        <f>IF(E89&lt;=14-F89,1,0)</f>
        <v>1</v>
      </c>
      <c r="S89" s="1">
        <f>LN((6.5/$B$3)^2.512)</f>
        <v>1.5550264915164334</v>
      </c>
      <c r="T89" s="33">
        <f>0.952988428558035*G89+(G89/13)^1.21758761926721*S89*3.49701599950785-6.17437592197594+$B$3*1.04875246413893</f>
        <v>10.418597773056034</v>
      </c>
      <c r="U89" s="34">
        <f>(T89/13)^2.512*S89</f>
        <v>0.89176204002054704</v>
      </c>
      <c r="V89" s="34">
        <f>T89-U89-G89</f>
        <v>-8.3164266964512734E-2</v>
      </c>
      <c r="W89" s="34">
        <f>IF(V89&lt;0,T89-V89,T89)</f>
        <v>10.501762040020546</v>
      </c>
      <c r="X89" s="34">
        <f>10^((W89-2.7)/5)</f>
        <v>36.337279381267827</v>
      </c>
    </row>
    <row r="90" spans="1:24" x14ac:dyDescent="0.25">
      <c r="A90" s="2" t="s">
        <v>87</v>
      </c>
      <c r="B90" s="24" t="s">
        <v>88</v>
      </c>
      <c r="C90" s="2" t="s">
        <v>89</v>
      </c>
      <c r="D90" s="13" t="s">
        <v>90</v>
      </c>
      <c r="E90" s="16">
        <v>0.7</v>
      </c>
      <c r="F90" s="16">
        <v>8.9600000000000009</v>
      </c>
      <c r="G90" s="16">
        <v>9.6999999999999993</v>
      </c>
      <c r="H90" s="35">
        <f>IF(I90&lt;X90,X90,I90)</f>
        <v>203.87741975955146</v>
      </c>
      <c r="I90" s="27">
        <f>J90+K90+L90+M90+N90</f>
        <v>203.87741975955146</v>
      </c>
      <c r="J90" s="9">
        <f>116/1.2213*(0.0950502775050452+(1.12627632206642)/((1+($B$2/0.302756091410027)^2.26536793426585)^0.152776210790626))/E90</f>
        <v>165.71789492495114</v>
      </c>
      <c r="K90" s="9">
        <f>5.91232283796472*O90*(G90-F90)/E90^0.600317738509086*(1+$B$2)^0.808139120750434</f>
        <v>4.0106242380863604</v>
      </c>
      <c r="L90" s="9">
        <f>1.04237828050238*P90*(F90+2.34973310685883)/(R90*E90^-0.304107132838227+(1-R90)*(14-F90)^-0.304107132838227)</f>
        <v>15.795292705879584</v>
      </c>
      <c r="M90" s="9">
        <f>13.6914255489806*Q90*(G90-9)</f>
        <v>10.32941994195313</v>
      </c>
      <c r="N90" s="9">
        <f>2.4817076129942*Q90*(6.5-$B$3)</f>
        <v>8.0241879486812451</v>
      </c>
      <c r="O90" s="12">
        <f>IF(G90-F90&lt;=1,IF(F90&lt;=6,0,G90-F90), G90-F90)</f>
        <v>0.73999999999999844</v>
      </c>
      <c r="P90" s="11">
        <f>IF(F90-6&gt;0,F90/6,0)</f>
        <v>1.4933333333333334</v>
      </c>
      <c r="Q90" s="12">
        <f>IF(G90-9&gt;0,G90/9,0)</f>
        <v>1.0777777777777777</v>
      </c>
      <c r="R90" s="1">
        <f>IF(E90&lt;=14-F90,1,0)</f>
        <v>1</v>
      </c>
      <c r="S90" s="1">
        <f>LN((6.5/$B$3)^2.512)</f>
        <v>1.5550264915164334</v>
      </c>
      <c r="T90" s="33">
        <f>0.952988428558035*G90+(G90/13)^1.21758761926721*S90*3.49701599950785-6.17437592197594+$B$3*1.04875246413893</f>
        <v>10.547332654645746</v>
      </c>
      <c r="U90" s="34">
        <f>(T90/13)^2.512*S90</f>
        <v>0.91970047684535072</v>
      </c>
      <c r="V90" s="34">
        <f>T90-U90-G90</f>
        <v>-7.2367822199604248E-2</v>
      </c>
      <c r="W90" s="34">
        <f>IF(V90&lt;0,T90-V90,T90)</f>
        <v>10.619700476845351</v>
      </c>
      <c r="X90" s="34">
        <f>10^((W90-2.7)/5)</f>
        <v>38.365432228769045</v>
      </c>
    </row>
    <row r="91" spans="1:24" x14ac:dyDescent="0.25">
      <c r="A91" s="2" t="s">
        <v>99</v>
      </c>
      <c r="B91" s="24" t="s">
        <v>100</v>
      </c>
      <c r="C91" s="2" t="s">
        <v>101</v>
      </c>
      <c r="D91" s="13" t="s">
        <v>102</v>
      </c>
      <c r="E91" s="16">
        <v>0.8</v>
      </c>
      <c r="F91" s="16">
        <v>6.74</v>
      </c>
      <c r="G91" s="16">
        <v>9.32</v>
      </c>
      <c r="H91" s="35">
        <f>IF(I91&lt;X91,X91,I91)</f>
        <v>212.19128992612144</v>
      </c>
      <c r="I91" s="27">
        <f>J91+K91+L91+M91+N91</f>
        <v>212.19128992612144</v>
      </c>
      <c r="J91" s="9">
        <f>116/1.2213*(0.0950502775050452+(1.12627632206642)/((1+($B$2/0.302756091410027)^2.26536793426585)^0.152776210790626))/E91</f>
        <v>145.00315805933221</v>
      </c>
      <c r="K91" s="9">
        <f>5.91232283796472*O91*(G91-F91)/E91^0.600317738509086*(1+$B$2)^0.808139120750434</f>
        <v>44.996046004511243</v>
      </c>
      <c r="L91" s="9">
        <f>1.04237828050238*P91*(F91+2.34973310685883)/(R91*E91^-0.304107132838227+(1-R91)*(14-F91)^-0.304107132838227)</f>
        <v>9.9452133715449218</v>
      </c>
      <c r="M91" s="9">
        <f>13.6914255489806*Q91*(G91-9)</f>
        <v>4.5370341730310866</v>
      </c>
      <c r="N91" s="9">
        <f>2.4817076129942*Q91*(6.5-$B$3)</f>
        <v>7.7098383177019816</v>
      </c>
      <c r="O91" s="12">
        <f>IF(G91-F91&lt;=1,IF(F91&lt;=6,0,G91-F91), G91-F91)</f>
        <v>2.58</v>
      </c>
      <c r="P91" s="11">
        <f>IF(F91-6&gt;0,F91/6,0)</f>
        <v>1.1233333333333333</v>
      </c>
      <c r="Q91" s="12">
        <f>IF(G91-9&gt;0,G91/9,0)</f>
        <v>1.0355555555555556</v>
      </c>
      <c r="R91" s="1">
        <f>IF(E91&lt;=14-F91,1,0)</f>
        <v>1</v>
      </c>
      <c r="S91" s="1">
        <f>LN((6.5/$B$3)^2.512)</f>
        <v>1.5550264915164334</v>
      </c>
      <c r="T91" s="33">
        <f>0.952988428558035*G91+(G91/13)^1.21758761926721*S91*3.49701599950785-6.17437592197594+$B$3*1.04875246413893</f>
        <v>10.004383637183158</v>
      </c>
      <c r="U91" s="34">
        <f>(T91/13)^2.512*S91</f>
        <v>0.80536030154632454</v>
      </c>
      <c r="V91" s="34">
        <f>T91-U91-G91</f>
        <v>-0.12097666436316601</v>
      </c>
      <c r="W91" s="34">
        <f>IF(V91&lt;0,T91-V91,T91)</f>
        <v>10.125360301546324</v>
      </c>
      <c r="X91" s="34">
        <f>10^((W91-2.7)/5)</f>
        <v>30.55428043037621</v>
      </c>
    </row>
    <row r="92" spans="1:24" x14ac:dyDescent="0.25">
      <c r="A92" s="2" t="s">
        <v>59</v>
      </c>
      <c r="B92" s="24" t="s">
        <v>60</v>
      </c>
      <c r="C92" s="2" t="s">
        <v>61</v>
      </c>
      <c r="D92" s="36" t="s">
        <v>62</v>
      </c>
      <c r="E92" s="37">
        <v>0.6</v>
      </c>
      <c r="F92" s="16">
        <v>9.8000000000000007</v>
      </c>
      <c r="G92" s="16">
        <v>9.85</v>
      </c>
      <c r="H92" s="35">
        <f>IF(I92&lt;X92,X92,I92)</f>
        <v>231.95202080046832</v>
      </c>
      <c r="I92" s="27">
        <f>J92+K92+L92+M92+N92</f>
        <v>231.95202080046832</v>
      </c>
      <c r="J92" s="9">
        <f>116/1.2213*(0.0950502775050452+(1.12627632206642)/((1+($B$2/0.302756091410027)^2.26536793426585)^0.152776210790626))/E92</f>
        <v>193.33754407910965</v>
      </c>
      <c r="K92" s="9">
        <f>5.91232283796472*O92*(G92-F92)/E92^0.600317738509086*(1+$B$2)^0.808139120750434</f>
        <v>2.0085279920230337E-2</v>
      </c>
      <c r="L92" s="9">
        <f>1.04237828050238*P92*(F92+2.34973310685883)/(R92*E92^-0.304107132838227+(1-R92)*(14-F92)^-0.304107132838227)</f>
        <v>17.709289177791938</v>
      </c>
      <c r="M92" s="9">
        <f>13.6914255489806*Q92*(G92-9)</f>
        <v>12.736828934315557</v>
      </c>
      <c r="N92" s="9">
        <f>2.4817076129942*Q92*(6.5-$B$3)</f>
        <v>8.1482733293309551</v>
      </c>
      <c r="O92" s="12">
        <f>IF(G92-F92&lt;=1,IF(F92&lt;=6,0,G92-F92), G92-F92)</f>
        <v>4.9999999999998934E-2</v>
      </c>
      <c r="P92" s="11">
        <f>IF(F92-6&gt;0,F92/6,0)</f>
        <v>1.6333333333333335</v>
      </c>
      <c r="Q92" s="12">
        <f>IF(G92-9&gt;0,G92/9,0)</f>
        <v>1.0944444444444443</v>
      </c>
      <c r="R92" s="1">
        <f>IF(E92&lt;=14-F92,1,0)</f>
        <v>1</v>
      </c>
      <c r="S92" s="1">
        <f>LN((6.5/$B$3)^2.512)</f>
        <v>1.5550264915164334</v>
      </c>
      <c r="T92" s="33">
        <f>0.952988428558035*G92+(G92/13)^1.21758761926721*S92*3.49701599950785-6.17437592197594+$B$3*1.04875246413893</f>
        <v>10.7620834385009</v>
      </c>
      <c r="U92" s="34">
        <f>(T92/13)^2.512*S92</f>
        <v>0.96746605120844287</v>
      </c>
      <c r="V92" s="34">
        <f>T92-U92-G92</f>
        <v>-5.5382612707543188E-2</v>
      </c>
      <c r="W92" s="34">
        <f>IF(V92&lt;0,T92-V92,T92)</f>
        <v>10.817466051208443</v>
      </c>
      <c r="X92" s="34">
        <f>10^((W92-2.7)/5)</f>
        <v>42.023595765855852</v>
      </c>
    </row>
    <row r="93" spans="1:24" x14ac:dyDescent="0.25">
      <c r="A93" s="13" t="s">
        <v>67</v>
      </c>
      <c r="B93" s="24" t="s">
        <v>68</v>
      </c>
      <c r="C93" s="13" t="s">
        <v>69</v>
      </c>
      <c r="D93" s="13" t="s">
        <v>70</v>
      </c>
      <c r="E93" s="16">
        <v>0.6</v>
      </c>
      <c r="F93" s="16">
        <v>9.99</v>
      </c>
      <c r="G93" s="16">
        <v>10.17</v>
      </c>
      <c r="H93" s="35">
        <f>IF(I93&lt;X93,X93,I93)</f>
        <v>238.44721511578683</v>
      </c>
      <c r="I93" s="27">
        <f>J93+K93+L93+M93+N93</f>
        <v>238.44721511578683</v>
      </c>
      <c r="J93" s="9">
        <f>116/1.2213*(0.0950502775050452+(1.12627632206642)/((1+($B$2/0.302756091410027)^2.26536793426585)^0.152776210790626))/E93</f>
        <v>193.33754407910965</v>
      </c>
      <c r="K93" s="9">
        <f>5.91232283796472*O93*(G93-F93)/E93^0.600317738509086*(1+$B$2)^0.808139120750434</f>
        <v>0.26030522776619547</v>
      </c>
      <c r="L93" s="9">
        <f>1.04237828050238*P93*(F93+2.34973310685883)/(R93*E93^-0.304107132838227+(1-R93)*(14-F93)^-0.304107132838227)</f>
        <v>18.334943282553414</v>
      </c>
      <c r="M93" s="9">
        <f>13.6914255489806*Q93*(G93-9)</f>
        <v>18.101433718307248</v>
      </c>
      <c r="N93" s="9">
        <f>2.4817076129942*Q93*(6.5-$B$3)</f>
        <v>8.4129888080503381</v>
      </c>
      <c r="O93" s="12">
        <f>IF(G93-F93&lt;=1,IF(F93&lt;=6,0,G93-F93), G93-F93)</f>
        <v>0.17999999999999972</v>
      </c>
      <c r="P93" s="11">
        <f>IF(F93-6&gt;0,F93/6,0)</f>
        <v>1.665</v>
      </c>
      <c r="Q93" s="12">
        <f>IF(G93-9&gt;0,G93/9,0)</f>
        <v>1.1299999999999999</v>
      </c>
      <c r="R93" s="1">
        <f>IF(E93&lt;=14-F93,1,0)</f>
        <v>1</v>
      </c>
      <c r="S93" s="1">
        <f>LN((6.5/$B$3)^2.512)</f>
        <v>1.5550264915164334</v>
      </c>
      <c r="T93" s="33">
        <f>0.952988428558035*G93+(G93/13)^1.21758761926721*S93*3.49701599950785-6.17437592197594+$B$3*1.04875246413893</f>
        <v>11.221011433730181</v>
      </c>
      <c r="U93" s="34">
        <f>(T93/13)^2.512*S93</f>
        <v>1.0744655299353243</v>
      </c>
      <c r="V93" s="34">
        <f>T93-U93-G93</f>
        <v>-2.3454096205142605E-2</v>
      </c>
      <c r="W93" s="34">
        <f>IF(V93&lt;0,T93-V93,T93)</f>
        <v>11.244465529935324</v>
      </c>
      <c r="X93" s="34">
        <f>10^((W93-2.7)/5)</f>
        <v>51.155590947774286</v>
      </c>
    </row>
    <row r="94" spans="1:24" x14ac:dyDescent="0.25">
      <c r="A94" s="2" t="s">
        <v>63</v>
      </c>
      <c r="B94" s="24" t="s">
        <v>64</v>
      </c>
      <c r="C94" s="2" t="s">
        <v>65</v>
      </c>
      <c r="D94" s="36" t="s">
        <v>66</v>
      </c>
      <c r="E94" s="37">
        <v>0.6</v>
      </c>
      <c r="F94" s="16">
        <v>9.7100000000000009</v>
      </c>
      <c r="G94" s="16">
        <v>10.17</v>
      </c>
      <c r="H94" s="35">
        <f>IF(I94&lt;X94,X94,I94)</f>
        <v>238.96865948507289</v>
      </c>
      <c r="I94" s="27">
        <f>J94+K94+L94+M94+N94</f>
        <v>238.96865948507289</v>
      </c>
      <c r="J94" s="9">
        <f>116/1.2213*(0.0950502775050452+(1.12627632206642)/((1+($B$2/0.302756091410027)^2.26536793426585)^0.152776210790626))/E94</f>
        <v>193.33754407910965</v>
      </c>
      <c r="K94" s="9">
        <f>5.91232283796472*O94*(G94-F94)/E94^0.600317738509086*(1+$B$2)^0.808139120750434</f>
        <v>1.7000180924483614</v>
      </c>
      <c r="L94" s="9">
        <f>1.04237828050238*P94*(F94+2.34973310685883)/(R94*E94^-0.304107132838227+(1-R94)*(14-F94)^-0.304107132838227)</f>
        <v>17.41667478715728</v>
      </c>
      <c r="M94" s="9">
        <f>13.6914255489806*Q94*(G94-9)</f>
        <v>18.101433718307248</v>
      </c>
      <c r="N94" s="9">
        <f>2.4817076129942*Q94*(6.5-$B$3)</f>
        <v>8.4129888080503381</v>
      </c>
      <c r="O94" s="12">
        <f>IF(G94-F94&lt;=1,IF(F94&lt;=6,0,G94-F94), G94-F94)</f>
        <v>0.45999999999999908</v>
      </c>
      <c r="P94" s="11">
        <f>IF(F94-6&gt;0,F94/6,0)</f>
        <v>1.6183333333333334</v>
      </c>
      <c r="Q94" s="12">
        <f>IF(G94-9&gt;0,G94/9,0)</f>
        <v>1.1299999999999999</v>
      </c>
      <c r="R94" s="1">
        <f>IF(E94&lt;=14-F94,1,0)</f>
        <v>1</v>
      </c>
      <c r="S94" s="1">
        <f>LN((6.5/$B$3)^2.512)</f>
        <v>1.5550264915164334</v>
      </c>
      <c r="T94" s="33">
        <f>0.952988428558035*G94+(G94/13)^1.21758761926721*S94*3.49701599950785-6.17437592197594+$B$3*1.04875246413893</f>
        <v>11.221011433730181</v>
      </c>
      <c r="U94" s="34">
        <f>(T94/13)^2.512*S94</f>
        <v>1.0744655299353243</v>
      </c>
      <c r="V94" s="34">
        <f>T94-U94-G94</f>
        <v>-2.3454096205142605E-2</v>
      </c>
      <c r="W94" s="34">
        <f>IF(V94&lt;0,T94-V94,T94)</f>
        <v>11.244465529935324</v>
      </c>
      <c r="X94" s="34">
        <f>10^((W94-2.7)/5)</f>
        <v>51.155590947774286</v>
      </c>
    </row>
    <row r="95" spans="1:24" x14ac:dyDescent="0.25">
      <c r="A95" s="2" t="s">
        <v>95</v>
      </c>
      <c r="B95" s="24" t="s">
        <v>96</v>
      </c>
      <c r="C95" s="2" t="s">
        <v>97</v>
      </c>
      <c r="D95" s="13" t="s">
        <v>98</v>
      </c>
      <c r="E95" s="16">
        <v>0.8</v>
      </c>
      <c r="F95" s="16">
        <v>8.5299999999999994</v>
      </c>
      <c r="G95" s="16">
        <v>10.97</v>
      </c>
      <c r="H95" s="35">
        <f>IF(I95&lt;X95,X95,I95)</f>
        <v>242.26422743214712</v>
      </c>
      <c r="I95" s="27">
        <f>J95+K95+L95+M95+N95</f>
        <v>242.26422743214712</v>
      </c>
      <c r="J95" s="9">
        <f>116/1.2213*(0.0950502775050452+(1.12627632206642)/((1+($B$2/0.302756091410027)^2.26536793426585)^0.152776210790626))/E95</f>
        <v>145.00315805933221</v>
      </c>
      <c r="K95" s="9">
        <f>5.91232283796472*O95*(G95-F95)/E95^0.600317738509086*(1+$B$2)^0.808139120750434</f>
        <v>40.245246603638364</v>
      </c>
      <c r="L95" s="9">
        <f>1.04237828050238*P95*(F95+2.34973310685883)/(R95*E95^-0.304107132838227+(1-R95)*(14-F95)^-0.304107132838227)</f>
        <v>15.065042109164972</v>
      </c>
      <c r="M95" s="9">
        <f>13.6914255489806*Q95*(G95-9)</f>
        <v>32.87600315516277</v>
      </c>
      <c r="N95" s="9">
        <f>2.4817076129942*Q95*(6.5-$B$3)</f>
        <v>9.0747775048487913</v>
      </c>
      <c r="O95" s="12">
        <f>IF(G95-F95&lt;=1,IF(F95&lt;=6,0,G95-F95), G95-F95)</f>
        <v>2.4400000000000013</v>
      </c>
      <c r="P95" s="11">
        <f>IF(F95-6&gt;0,F95/6,0)</f>
        <v>1.4216666666666666</v>
      </c>
      <c r="Q95" s="12">
        <f>IF(G95-9&gt;0,G95/9,0)</f>
        <v>1.2188888888888889</v>
      </c>
      <c r="R95" s="1">
        <f>IF(E95&lt;=14-F95,1,0)</f>
        <v>1</v>
      </c>
      <c r="S95" s="1">
        <f>LN((6.5/$B$3)^2.512)</f>
        <v>1.5550264915164334</v>
      </c>
      <c r="T95" s="33">
        <f>0.952988428558035*G95+(G95/13)^1.21758761926721*S95*3.49701599950785-6.17437592197594+$B$3*1.04875246413893</f>
        <v>12.372904786612382</v>
      </c>
      <c r="U95" s="34">
        <f>(T95/13)^2.512*S95</f>
        <v>1.3734122869846643</v>
      </c>
      <c r="V95" s="34">
        <f>T95-U95-G95</f>
        <v>2.9492499627718161E-2</v>
      </c>
      <c r="W95" s="34">
        <f>IF(V95&lt;0,T95-V95,T95)</f>
        <v>12.372904786612382</v>
      </c>
      <c r="X95" s="34">
        <f>10^((W95-2.7)/5)</f>
        <v>86.016339597021243</v>
      </c>
    </row>
    <row r="96" spans="1:24" x14ac:dyDescent="0.25">
      <c r="A96" s="2" t="s">
        <v>47</v>
      </c>
      <c r="B96" s="24" t="s">
        <v>48</v>
      </c>
      <c r="C96" s="2" t="s">
        <v>49</v>
      </c>
      <c r="D96" s="36" t="s">
        <v>50</v>
      </c>
      <c r="E96" s="37">
        <v>0.6</v>
      </c>
      <c r="F96" s="16">
        <v>9.93</v>
      </c>
      <c r="G96" s="16">
        <v>10.39</v>
      </c>
      <c r="H96" s="35">
        <f>IF(I96&lt;X96,X96,I96)</f>
        <v>243.7390773778655</v>
      </c>
      <c r="I96" s="27">
        <f>J96+K96+L96+M96+N96</f>
        <v>243.7390773778655</v>
      </c>
      <c r="J96" s="9">
        <f>116/1.2213*(0.0950502775050452+(1.12627632206642)/((1+($B$2/0.302756091410027)^2.26536793426585)^0.152776210790626))/E96</f>
        <v>193.33754407910965</v>
      </c>
      <c r="K96" s="9">
        <f>5.91232283796472*O96*(G96-F96)/E96^0.600317738509086*(1+$B$2)^0.808139120750434</f>
        <v>1.7000180924483748</v>
      </c>
      <c r="L96" s="9">
        <f>1.04237828050238*P96*(F96+2.34973310685883)/(R96*E96^-0.304107132838227+(1-R96)*(14-F96)^-0.304107132838227)</f>
        <v>18.136208182089469</v>
      </c>
      <c r="M96" s="9">
        <f>13.6914255489806*Q96*(G96-9)</f>
        <v>21.970326324548093</v>
      </c>
      <c r="N96" s="9">
        <f>2.4817076129942*Q96*(6.5-$B$3)</f>
        <v>8.5949806996699127</v>
      </c>
      <c r="O96" s="12">
        <f>IF(G96-F96&lt;=1,IF(F96&lt;=6,0,G96-F96), G96-F96)</f>
        <v>0.46000000000000085</v>
      </c>
      <c r="P96" s="11">
        <f>IF(F96-6&gt;0,F96/6,0)</f>
        <v>1.655</v>
      </c>
      <c r="Q96" s="12">
        <f>IF(G96-9&gt;0,G96/9,0)</f>
        <v>1.1544444444444446</v>
      </c>
      <c r="R96" s="1">
        <f>IF(E96&lt;=14-F96,1,0)</f>
        <v>1</v>
      </c>
      <c r="S96" s="1">
        <f>LN((6.5/$B$3)^2.512)</f>
        <v>1.5550264915164334</v>
      </c>
      <c r="T96" s="33">
        <f>0.952988428558035*G96+(G96/13)^1.21758761926721*S96*3.49701599950785-6.17437592197594+$B$3*1.04875246413893</f>
        <v>11.537139669772879</v>
      </c>
      <c r="U96" s="34">
        <f>(T96/13)^2.512*S96</f>
        <v>1.1521330755844919</v>
      </c>
      <c r="V96" s="34">
        <f>T96-U96-G96</f>
        <v>-4.9934058116143376E-3</v>
      </c>
      <c r="W96" s="34">
        <f>IF(V96&lt;0,T96-V96,T96)</f>
        <v>11.542133075584493</v>
      </c>
      <c r="X96" s="34">
        <f>10^((W96-2.7)/5)</f>
        <v>58.671422124312535</v>
      </c>
    </row>
    <row r="97" spans="1:24" x14ac:dyDescent="0.25">
      <c r="A97" s="2" t="s">
        <v>115</v>
      </c>
      <c r="B97" s="24" t="s">
        <v>116</v>
      </c>
      <c r="C97" s="2" t="s">
        <v>117</v>
      </c>
      <c r="D97" s="13" t="s">
        <v>118</v>
      </c>
      <c r="E97" s="16">
        <v>1.1000000000000001</v>
      </c>
      <c r="F97" s="16">
        <v>6.84</v>
      </c>
      <c r="G97" s="16">
        <v>10.95</v>
      </c>
      <c r="H97" s="35">
        <f>IF(I97&lt;X97,X97,I97)</f>
        <v>252.55705616088318</v>
      </c>
      <c r="I97" s="27">
        <f>J97+K97+L97+M97+N97</f>
        <v>252.55705616088318</v>
      </c>
      <c r="J97" s="9">
        <f>116/1.2213*(0.0950502775050452+(1.12627632206642)/((1+($B$2/0.302756091410027)^2.26536793426585)^0.152776210790626))/E97</f>
        <v>105.45684222496888</v>
      </c>
      <c r="K97" s="9">
        <f>5.91232283796472*O97*(G97-F97)/E97^0.600317738509086*(1+$B$2)^0.808139120750434</f>
        <v>94.317660758948463</v>
      </c>
      <c r="L97" s="9">
        <f>1.04237828050238*P97*(F97+2.34973310685883)/(R97*E97^-0.304107132838227+(1-R97)*(14-F97)^-0.304107132838227)</f>
        <v>11.241413274580566</v>
      </c>
      <c r="M97" s="9">
        <f>13.6914255489806*Q97*(G97-9)</f>
        <v>32.482907114956461</v>
      </c>
      <c r="N97" s="9">
        <f>2.4817076129942*Q97*(6.5-$B$3)</f>
        <v>9.05823278742883</v>
      </c>
      <c r="O97" s="12">
        <f>IF(G97-F97&lt;=1,IF(F97&lt;=6,0,G97-F97), G97-F97)</f>
        <v>4.1099999999999994</v>
      </c>
      <c r="P97" s="11">
        <f>IF(F97-6&gt;0,F97/6,0)</f>
        <v>1.1399999999999999</v>
      </c>
      <c r="Q97" s="12">
        <f>IF(G97-9&gt;0,G97/9,0)</f>
        <v>1.2166666666666666</v>
      </c>
      <c r="R97" s="1">
        <f>IF(E97&lt;=14-F97,1,0)</f>
        <v>1</v>
      </c>
      <c r="S97" s="1">
        <f>LN((6.5/$B$3)^2.512)</f>
        <v>1.5550264915164334</v>
      </c>
      <c r="T97" s="33">
        <f>0.952988428558035*G97+(G97/13)^1.21758761926721*S97*3.49701599950785-6.17437592197594+$B$3*1.04875246413893</f>
        <v>12.34402998222216</v>
      </c>
      <c r="U97" s="34">
        <f>(T97/13)^2.512*S97</f>
        <v>1.3653751503333491</v>
      </c>
      <c r="V97" s="34">
        <f>T97-U97-G97</f>
        <v>2.8654831888811572E-2</v>
      </c>
      <c r="W97" s="34">
        <f>IF(V97&lt;0,T97-V97,T97)</f>
        <v>12.34402998222216</v>
      </c>
      <c r="X97" s="34">
        <f>10^((W97-2.7)/5)</f>
        <v>84.880122259945523</v>
      </c>
    </row>
    <row r="98" spans="1:24" x14ac:dyDescent="0.25">
      <c r="A98" s="2" t="s">
        <v>15</v>
      </c>
      <c r="B98" s="24" t="s">
        <v>16</v>
      </c>
      <c r="C98" s="2" t="s">
        <v>17</v>
      </c>
      <c r="D98" s="36" t="s">
        <v>18</v>
      </c>
      <c r="E98" s="37">
        <v>0.5</v>
      </c>
      <c r="F98" s="16">
        <v>8.6999999999999993</v>
      </c>
      <c r="G98" s="16">
        <v>9.5</v>
      </c>
      <c r="H98" s="35">
        <f>IF(I98&lt;X98,X98,I98)</f>
        <v>266.3533333196699</v>
      </c>
      <c r="I98" s="27">
        <f>J98+K98+L98+M98+N98</f>
        <v>266.3533333196699</v>
      </c>
      <c r="J98" s="9">
        <f>116/1.2213*(0.0950502775050452+(1.12627632206642)/((1+($B$2/0.302756091410027)^2.26536793426585)^0.152776210790626))/E98</f>
        <v>232.00505289493157</v>
      </c>
      <c r="K98" s="9">
        <f>5.91232283796472*O98*(G98-F98)/E98^0.600317738509086*(1+$B$2)^0.808139120750434</f>
        <v>5.7365629090454355</v>
      </c>
      <c r="L98" s="9">
        <f>1.04237828050238*P98*(F98+2.34973310685883)/(R98*E98^-0.304107132838227+(1-R98)*(14-F98)^-0.304107132838227)</f>
        <v>13.526946590360405</v>
      </c>
      <c r="M98" s="9">
        <f>13.6914255489806*Q98*(G98-9)</f>
        <v>7.2260301508508729</v>
      </c>
      <c r="N98" s="9">
        <f>2.4817076129942*Q98*(6.5-$B$3)</f>
        <v>7.8587407744816336</v>
      </c>
      <c r="O98" s="12">
        <f>IF(G98-F98&lt;=1,IF(F98&lt;=6,0,G98-F98), G98-F98)</f>
        <v>0.80000000000000071</v>
      </c>
      <c r="P98" s="11">
        <f>IF(F98-6&gt;0,F98/6,0)</f>
        <v>1.45</v>
      </c>
      <c r="Q98" s="12">
        <f>IF(G98-9&gt;0,G98/9,0)</f>
        <v>1.0555555555555556</v>
      </c>
      <c r="R98" s="1">
        <f>IF(E98&lt;=14-F98,1,0)</f>
        <v>1</v>
      </c>
      <c r="S98" s="1">
        <f>LN((6.5/$B$3)^2.512)</f>
        <v>1.5550264915164334</v>
      </c>
      <c r="T98" s="33">
        <f>0.952988428558035*G98+(G98/13)^1.21758761926721*S98*3.49701599950785-6.17437592197594+$B$3*1.04875246413893</f>
        <v>10.261373986180176</v>
      </c>
      <c r="U98" s="34">
        <f>(T98/13)^2.512*S98</f>
        <v>0.85834196847313571</v>
      </c>
      <c r="V98" s="34">
        <f>T98-U98-G98</f>
        <v>-9.6967982292959221E-2</v>
      </c>
      <c r="W98" s="34">
        <f>IF(V98&lt;0,T98-V98,T98)</f>
        <v>10.358341968473136</v>
      </c>
      <c r="X98" s="34">
        <f>10^((W98-2.7)/5)</f>
        <v>34.014836964262969</v>
      </c>
    </row>
    <row r="99" spans="1:24" x14ac:dyDescent="0.25">
      <c r="A99" s="2" t="s">
        <v>19</v>
      </c>
      <c r="B99" s="24" t="s">
        <v>20</v>
      </c>
      <c r="C99" s="2" t="s">
        <v>21</v>
      </c>
      <c r="D99" s="36" t="s">
        <v>22</v>
      </c>
      <c r="E99" s="37">
        <v>0.5</v>
      </c>
      <c r="F99" s="16">
        <v>9.48</v>
      </c>
      <c r="G99" s="16">
        <v>9.82</v>
      </c>
      <c r="H99" s="35">
        <f>IF(I99&lt;X99,X99,I99)</f>
        <v>269.19472876759312</v>
      </c>
      <c r="I99" s="27">
        <f>J99+K99+L99+M99+N99</f>
        <v>269.19472876759312</v>
      </c>
      <c r="J99" s="9">
        <f>116/1.2213*(0.0950502775050452+(1.12627632206642)/((1+($B$2/0.302756091410027)^2.26536793426585)^0.152776210790626))/E99</f>
        <v>232.00505289493157</v>
      </c>
      <c r="K99" s="9">
        <f>5.91232283796472*O99*(G99-F99)/E99^0.600317738509086*(1+$B$2)^0.808139120750434</f>
        <v>1.036166675446329</v>
      </c>
      <c r="L99" s="9">
        <f>1.04237828050238*P99*(F99+2.34973310685883)/(R99*E99^-0.304107132838227+(1-R99)*(14-F99)^-0.304107132838227)</f>
        <v>15.780182378390698</v>
      </c>
      <c r="M99" s="9">
        <f>13.6914255489806*Q99*(G99-9)</f>
        <v>12.249870565623491</v>
      </c>
      <c r="N99" s="9">
        <f>2.4817076129942*Q99*(6.5-$B$3)</f>
        <v>8.1234562532010148</v>
      </c>
      <c r="O99" s="12">
        <f>IF(G99-F99&lt;=1,IF(F99&lt;=6,0,G99-F99), G99-F99)</f>
        <v>0.33999999999999986</v>
      </c>
      <c r="P99" s="11">
        <f>IF(F99-6&gt;0,F99/6,0)</f>
        <v>1.58</v>
      </c>
      <c r="Q99" s="12">
        <f>IF(G99-9&gt;0,G99/9,0)</f>
        <v>1.0911111111111111</v>
      </c>
      <c r="R99" s="1">
        <f>IF(E99&lt;=14-F99,1,0)</f>
        <v>1</v>
      </c>
      <c r="S99" s="1">
        <f>LN((6.5/$B$3)^2.512)</f>
        <v>1.5550264915164334</v>
      </c>
      <c r="T99" s="33">
        <f>0.952988428558035*G99+(G99/13)^1.21758761926721*S99*3.49701599950785-6.17437592197594+$B$3*1.04875246413893</f>
        <v>10.719114125000507</v>
      </c>
      <c r="U99" s="34">
        <f>(T99/13)^2.512*S99</f>
        <v>0.95779206535310557</v>
      </c>
      <c r="V99" s="34">
        <f>T99-U99-G99</f>
        <v>-5.8677940352598768E-2</v>
      </c>
      <c r="W99" s="34">
        <f>IF(V99&lt;0,T99-V99,T99)</f>
        <v>10.777792065353106</v>
      </c>
      <c r="X99" s="34">
        <f>10^((W99-2.7)/5)</f>
        <v>41.262773225426301</v>
      </c>
    </row>
    <row r="100" spans="1:24" x14ac:dyDescent="0.25">
      <c r="A100" s="2" t="s">
        <v>35</v>
      </c>
      <c r="B100" s="24" t="s">
        <v>36</v>
      </c>
      <c r="C100" s="2" t="s">
        <v>37</v>
      </c>
      <c r="D100" s="36" t="s">
        <v>38</v>
      </c>
      <c r="E100" s="37">
        <v>0.5</v>
      </c>
      <c r="F100" s="16">
        <v>7.07</v>
      </c>
      <c r="G100" s="16">
        <v>8.9600000000000009</v>
      </c>
      <c r="H100" s="35">
        <f>IF(I100&lt;X100,X100,I100)</f>
        <v>273.39415840814064</v>
      </c>
      <c r="I100" s="27">
        <f>J100+K100+L100+M100+N100</f>
        <v>273.39415840814064</v>
      </c>
      <c r="J100" s="9">
        <f>116/1.2213*(0.0950502775050452+(1.12627632206642)/((1+($B$2/0.302756091410027)^2.26536793426585)^0.152776210790626))/E100</f>
        <v>232.00505289493157</v>
      </c>
      <c r="K100" s="9">
        <f>5.91232283796472*O100*(G100-F100)/E100^0.600317738509086*(1+$B$2)^0.808139120750434</f>
        <v>32.018088074064337</v>
      </c>
      <c r="L100" s="9">
        <f>1.04237828050238*P100*(F100+2.34973310685883)/(R100*E100^-0.304107132838227+(1-R100)*(14-F100)^-0.304107132838227)</f>
        <v>9.3710174391447172</v>
      </c>
      <c r="M100" s="9">
        <f>13.6914255489806*Q100*(G100-9)</f>
        <v>0</v>
      </c>
      <c r="N100" s="9">
        <f>2.4817076129942*Q100*(6.5-$B$3)</f>
        <v>0</v>
      </c>
      <c r="O100" s="12">
        <f>IF(G100-F100&lt;=1,IF(F100&lt;=6,0,G100-F100), G100-F100)</f>
        <v>1.8900000000000006</v>
      </c>
      <c r="P100" s="11">
        <f>IF(F100-6&gt;0,F100/6,0)</f>
        <v>1.1783333333333335</v>
      </c>
      <c r="Q100" s="12">
        <f>IF(G100-9&gt;0,G100/9,0)</f>
        <v>0</v>
      </c>
      <c r="R100" s="1">
        <f>IF(E100&lt;=14-F100,1,0)</f>
        <v>1</v>
      </c>
      <c r="S100" s="1">
        <f>LN((6.5/$B$3)^2.512)</f>
        <v>1.5550264915164334</v>
      </c>
      <c r="T100" s="33">
        <f>0.952988428558035*G100+(G100/13)^1.21758761926721*S100*3.49701599950785-6.17437592197594+$B$3*1.04875246413893</f>
        <v>9.4914835485006481</v>
      </c>
      <c r="U100" s="34">
        <f>(T100/13)^2.512*S100</f>
        <v>0.70562725729781928</v>
      </c>
      <c r="V100" s="34">
        <f>T100-U100-G100</f>
        <v>-0.17414370879717112</v>
      </c>
      <c r="W100" s="34">
        <f>IF(V100&lt;0,T100-V100,T100)</f>
        <v>9.6656272572978192</v>
      </c>
      <c r="X100" s="34">
        <f>10^((W100-2.7)/5)</f>
        <v>24.724382369614272</v>
      </c>
    </row>
    <row r="101" spans="1:24" x14ac:dyDescent="0.25">
      <c r="A101" s="2" t="s">
        <v>23</v>
      </c>
      <c r="B101" s="24" t="s">
        <v>24</v>
      </c>
      <c r="C101" s="2" t="s">
        <v>25</v>
      </c>
      <c r="D101" s="36" t="s">
        <v>26</v>
      </c>
      <c r="E101" s="37">
        <v>0.5</v>
      </c>
      <c r="F101" s="16">
        <v>8.93</v>
      </c>
      <c r="G101" s="16">
        <v>9.8699999999999992</v>
      </c>
      <c r="H101" s="35">
        <f>IF(I101&lt;X101,X101,I101)</f>
        <v>275.32646452614119</v>
      </c>
      <c r="I101" s="27">
        <f>J101+K101+L101+M101+N101</f>
        <v>275.32646452614119</v>
      </c>
      <c r="J101" s="9">
        <f>116/1.2213*(0.0950502775050452+(1.12627632206642)/((1+($B$2/0.302756091410027)^2.26536793426585)^0.152776210790626))/E101</f>
        <v>232.00505289493157</v>
      </c>
      <c r="K101" s="9">
        <f>5.91232283796472*O101*(G101-F101)/E101^0.600317738509086*(1+$B$2)^0.808139120750434</f>
        <v>7.9200421663008322</v>
      </c>
      <c r="L101" s="9">
        <f>1.04237828050238*P101*(F101+2.34973310685883)/(R101*E101^-0.304107132838227+(1-R101)*(14-F101)^-0.304107132838227)</f>
        <v>14.173562301875533</v>
      </c>
      <c r="M101" s="9">
        <f>13.6914255489806*Q101*(G101-9)</f>
        <v>13.062989116282379</v>
      </c>
      <c r="N101" s="9">
        <f>2.4817076129942*Q101*(6.5-$B$3)</f>
        <v>8.1648180467509182</v>
      </c>
      <c r="O101" s="12">
        <f>IF(G101-F101&lt;=1,IF(F101&lt;=6,0,G101-F101), G101-F101)</f>
        <v>0.9399999999999995</v>
      </c>
      <c r="P101" s="11">
        <f>IF(F101-6&gt;0,F101/6,0)</f>
        <v>1.4883333333333333</v>
      </c>
      <c r="Q101" s="12">
        <f>IF(G101-9&gt;0,G101/9,0)</f>
        <v>1.0966666666666667</v>
      </c>
      <c r="R101" s="1">
        <f>IF(E101&lt;=14-F101,1,0)</f>
        <v>1</v>
      </c>
      <c r="S101" s="1">
        <f>LN((6.5/$B$3)^2.512)</f>
        <v>1.5550264915164334</v>
      </c>
      <c r="T101" s="33">
        <f>0.952988428558035*G101+(G101/13)^1.21758761926721*S101*3.49701599950785-6.17437592197594+$B$3*1.04875246413893</f>
        <v>10.79073494480299</v>
      </c>
      <c r="U101" s="34">
        <f>(T101/13)^2.512*S101</f>
        <v>0.97394911184643351</v>
      </c>
      <c r="V101" s="34">
        <f>T101-U101-G101</f>
        <v>-5.3214167043442728E-2</v>
      </c>
      <c r="W101" s="34">
        <f>IF(V101&lt;0,T101-V101,T101)</f>
        <v>10.843949111846433</v>
      </c>
      <c r="X101" s="34">
        <f>10^((W101-2.7)/5)</f>
        <v>42.539249381339367</v>
      </c>
    </row>
    <row r="102" spans="1:24" x14ac:dyDescent="0.25">
      <c r="A102" s="2" t="s">
        <v>31</v>
      </c>
      <c r="B102" s="24" t="s">
        <v>32</v>
      </c>
      <c r="C102" s="2" t="s">
        <v>33</v>
      </c>
      <c r="D102" s="36" t="s">
        <v>34</v>
      </c>
      <c r="E102" s="37">
        <v>0.5</v>
      </c>
      <c r="F102" s="16">
        <v>9.26</v>
      </c>
      <c r="G102" s="16">
        <v>10.07</v>
      </c>
      <c r="H102" s="35">
        <f>IF(I102&lt;X102,X102,I102)</f>
        <v>277.7350369428728</v>
      </c>
      <c r="I102" s="27">
        <f>J102+K102+L102+M102+N102</f>
        <v>277.7350369428728</v>
      </c>
      <c r="J102" s="9">
        <f>116/1.2213*(0.0950502775050452+(1.12627632206642)/((1+($B$2/0.302756091410027)^2.26536793426585)^0.152776210790626))/E102</f>
        <v>232.00505289493157</v>
      </c>
      <c r="K102" s="9">
        <f>5.91232283796472*O102*(G102-F102)/E102^0.600317738509086*(1+$B$2)^0.808139120750434</f>
        <v>5.8808733197261072</v>
      </c>
      <c r="L102" s="9">
        <f>1.04237828050238*P102*(F102+2.34973310685883)/(R102*E102^-0.304107132838227+(1-R102)*(14-F102)^-0.304107132838227)</f>
        <v>15.127318713074475</v>
      </c>
      <c r="M102" s="9">
        <f>13.6914255489806*Q102*(G102-9)</f>
        <v>16.391526794190121</v>
      </c>
      <c r="N102" s="9">
        <f>2.4817076129942*Q102*(6.5-$B$3)</f>
        <v>8.3302652209505297</v>
      </c>
      <c r="O102" s="12">
        <f>IF(G102-F102&lt;=1,IF(F102&lt;=6,0,G102-F102), G102-F102)</f>
        <v>0.8100000000000005</v>
      </c>
      <c r="P102" s="11">
        <f>IF(F102-6&gt;0,F102/6,0)</f>
        <v>1.5433333333333332</v>
      </c>
      <c r="Q102" s="12">
        <f>IF(G102-9&gt;0,G102/9,0)</f>
        <v>1.1188888888888888</v>
      </c>
      <c r="R102" s="1">
        <f>IF(E102&lt;=14-F102,1,0)</f>
        <v>1</v>
      </c>
      <c r="S102" s="1">
        <f>LN((6.5/$B$3)^2.512)</f>
        <v>1.5550264915164334</v>
      </c>
      <c r="T102" s="33">
        <f>0.952988428558035*G102+(G102/13)^1.21758761926721*S102*3.49701599950785-6.17437592197594+$B$3*1.04875246413893</f>
        <v>11.077481561128428</v>
      </c>
      <c r="U102" s="34">
        <f>(T102/13)^2.512*S102</f>
        <v>1.040274548330308</v>
      </c>
      <c r="V102" s="34">
        <f>T102-U102-G102</f>
        <v>-3.2792987201879953E-2</v>
      </c>
      <c r="W102" s="34">
        <f>IF(V102&lt;0,T102-V102,T102)</f>
        <v>11.110274548330308</v>
      </c>
      <c r="X102" s="34">
        <f>10^((W102-2.7)/5)</f>
        <v>48.090014682117186</v>
      </c>
    </row>
    <row r="103" spans="1:24" x14ac:dyDescent="0.25">
      <c r="A103" s="2" t="s">
        <v>79</v>
      </c>
      <c r="B103" s="24" t="s">
        <v>80</v>
      </c>
      <c r="C103" s="2" t="s">
        <v>81</v>
      </c>
      <c r="D103" s="13" t="s">
        <v>82</v>
      </c>
      <c r="E103" s="16">
        <v>0.7</v>
      </c>
      <c r="F103" s="16">
        <v>9.18</v>
      </c>
      <c r="G103" s="16">
        <v>11.59</v>
      </c>
      <c r="H103" s="35">
        <f>IF(I103&lt;X103,X103,I103)</f>
        <v>280.00764477483386</v>
      </c>
      <c r="I103" s="27">
        <f>J103+K103+L103+M103+N103</f>
        <v>280.00764477483386</v>
      </c>
      <c r="J103" s="9">
        <f>116/1.2213*(0.0950502775050452+(1.12627632206642)/((1+($B$2/0.302756091410027)^2.26536793426585)^0.152776210790626))/E103</f>
        <v>165.71789492495114</v>
      </c>
      <c r="K103" s="9">
        <f>5.91232283796472*O103*(G103-F103)/E103^0.600317738509086*(1+$B$2)^0.808139120750434</f>
        <v>42.53854389559806</v>
      </c>
      <c r="L103" s="9">
        <f>1.04237828050238*P103*(F103+2.34973310685883)/(R103*E103^-0.304107132838227+(1-R103)*(14-F103)^-0.304107132838227)</f>
        <v>16.497922068099928</v>
      </c>
      <c r="M103" s="9">
        <f>13.6914255489806*Q103*(G103-9)</f>
        <v>45.665620141317163</v>
      </c>
      <c r="N103" s="9">
        <f>2.4817076129942*Q103*(6.5-$B$3)</f>
        <v>9.5876637448675908</v>
      </c>
      <c r="O103" s="12">
        <f>IF(G103-F103&lt;=1,IF(F103&lt;=6,0,G103-F103), G103-F103)</f>
        <v>2.41</v>
      </c>
      <c r="P103" s="11">
        <f>IF(F103-6&gt;0,F103/6,0)</f>
        <v>1.53</v>
      </c>
      <c r="Q103" s="12">
        <f>IF(G103-9&gt;0,G103/9,0)</f>
        <v>1.2877777777777777</v>
      </c>
      <c r="R103" s="1">
        <f>IF(E103&lt;=14-F103,1,0)</f>
        <v>1</v>
      </c>
      <c r="S103" s="1">
        <f>LN((6.5/$B$3)^2.512)</f>
        <v>1.5550264915164334</v>
      </c>
      <c r="T103" s="33">
        <f>0.952988428558035*G103+(G103/13)^1.21758761926721*S103*3.49701599950785-6.17437592197594+$B$3*1.04875246413893</f>
        <v>13.269928443282877</v>
      </c>
      <c r="U103" s="34">
        <f>(T103/13)^2.512*S103</f>
        <v>1.6374119912220828</v>
      </c>
      <c r="V103" s="34">
        <f>T103-U103-G103</f>
        <v>4.2516452060795018E-2</v>
      </c>
      <c r="W103" s="34">
        <f>IF(V103&lt;0,T103-V103,T103)</f>
        <v>13.269928443282877</v>
      </c>
      <c r="X103" s="34">
        <f>10^((W103-2.7)/5)</f>
        <v>130.01267341392548</v>
      </c>
    </row>
    <row r="104" spans="1:24" x14ac:dyDescent="0.25">
      <c r="A104" s="2" t="s">
        <v>39</v>
      </c>
      <c r="B104" s="24" t="s">
        <v>40</v>
      </c>
      <c r="C104" s="2" t="s">
        <v>41</v>
      </c>
      <c r="D104" s="36" t="s">
        <v>42</v>
      </c>
      <c r="E104" s="37">
        <v>0.5</v>
      </c>
      <c r="F104" s="16">
        <v>6.95</v>
      </c>
      <c r="G104" s="16">
        <v>9.1999999999999993</v>
      </c>
      <c r="H104" s="35">
        <f>IF(I104&lt;X104,X104,I104)</f>
        <v>296.88647656805313</v>
      </c>
      <c r="I104" s="27">
        <f>J104+K104+L104+M104+N104</f>
        <v>296.88647656805313</v>
      </c>
      <c r="J104" s="9">
        <f>116/1.2213*(0.0950502775050452+(1.12627632206642)/((1+($B$2/0.302756091410027)^2.26536793426585)^0.152776210790626))/E104</f>
        <v>232.00505289493157</v>
      </c>
      <c r="K104" s="9">
        <f>5.91232283796472*O104*(G104-F104)/E104^0.600317738509086*(1+$B$2)^0.808139120750434</f>
        <v>45.377108948503817</v>
      </c>
      <c r="L104" s="9">
        <f>1.04237828050238*P104*(F104+2.34973310685883)/(R104*E104^-0.304107132838227+(1-R104)*(14-F104)^-0.304107132838227)</f>
        <v>9.0946088214217156</v>
      </c>
      <c r="M104" s="9">
        <f>13.6914255489806*Q104*(G104-9)</f>
        <v>2.7991358900138015</v>
      </c>
      <c r="N104" s="9">
        <f>2.4817076129942*Q104*(6.5-$B$3)</f>
        <v>7.6105700131822118</v>
      </c>
      <c r="O104" s="12">
        <f>IF(G104-F104&lt;=1,IF(F104&lt;=6,0,G104-F104), G104-F104)</f>
        <v>2.2499999999999991</v>
      </c>
      <c r="P104" s="11">
        <f>IF(F104-6&gt;0,F104/6,0)</f>
        <v>1.1583333333333334</v>
      </c>
      <c r="Q104" s="12">
        <f>IF(G104-9&gt;0,G104/9,0)</f>
        <v>1.0222222222222221</v>
      </c>
      <c r="R104" s="1">
        <f>IF(E104&lt;=14-F104,1,0)</f>
        <v>1</v>
      </c>
      <c r="S104" s="1">
        <f>LN((6.5/$B$3)^2.512)</f>
        <v>1.5550264915164334</v>
      </c>
      <c r="T104" s="33">
        <f>0.952988428558035*G104+(G104/13)^1.21758761926721*S104*3.49701599950785-6.17437592197594+$B$3*1.04875246413893</f>
        <v>9.8332554939457975</v>
      </c>
      <c r="U104" s="34">
        <f>(T104/13)^2.512*S104</f>
        <v>0.77120132586347179</v>
      </c>
      <c r="V104" s="34">
        <f>T104-U104-G104</f>
        <v>-0.13794583191767273</v>
      </c>
      <c r="W104" s="34">
        <f>IF(V104&lt;0,T104-V104,T104)</f>
        <v>9.9712013258634702</v>
      </c>
      <c r="X104" s="34">
        <f>10^((W104-2.7)/5)</f>
        <v>28.460351868997353</v>
      </c>
    </row>
    <row r="105" spans="1:24" x14ac:dyDescent="0.25">
      <c r="A105" s="2" t="s">
        <v>75</v>
      </c>
      <c r="B105" s="24" t="s">
        <v>76</v>
      </c>
      <c r="C105" s="2" t="s">
        <v>77</v>
      </c>
      <c r="D105" s="13" t="s">
        <v>78</v>
      </c>
      <c r="E105" s="16">
        <v>0.7</v>
      </c>
      <c r="F105" s="16">
        <v>8.15</v>
      </c>
      <c r="G105" s="16">
        <v>11.52</v>
      </c>
      <c r="H105" s="35">
        <f>IF(I105&lt;X105,X105,I105)</f>
        <v>315.92707104681921</v>
      </c>
      <c r="I105" s="27">
        <f>J105+K105+L105+M105+N105</f>
        <v>315.92707104681921</v>
      </c>
      <c r="J105" s="9">
        <f>116/1.2213*(0.0950502775050452+(1.12627632206642)/((1+($B$2/0.302756091410027)^2.26536793426585)^0.152776210790626))/E105</f>
        <v>165.71789492495114</v>
      </c>
      <c r="K105" s="9">
        <f>5.91232283796472*O105*(G105-F105)/E105^0.600317738509086*(1+$B$2)^0.808139120750434</f>
        <v>83.177973720823886</v>
      </c>
      <c r="L105" s="9">
        <f>1.04237828050238*P105*(F105+2.34973310685883)/(R105*E105^-0.304107132838227+(1-R105)*(14-F105)^-0.304107132838227)</f>
        <v>13.338382916354643</v>
      </c>
      <c r="M105" s="9">
        <f>13.6914255489806*Q105*(G105-9)</f>
        <v>44.163062250791818</v>
      </c>
      <c r="N105" s="9">
        <f>2.4817076129942*Q105*(6.5-$B$3)</f>
        <v>9.5297572338977279</v>
      </c>
      <c r="O105" s="12">
        <f>IF(G105-F105&lt;=1,IF(F105&lt;=6,0,G105-F105), G105-F105)</f>
        <v>3.3699999999999992</v>
      </c>
      <c r="P105" s="11">
        <f>IF(F105-6&gt;0,F105/6,0)</f>
        <v>1.3583333333333334</v>
      </c>
      <c r="Q105" s="12">
        <f>IF(G105-9&gt;0,G105/9,0)</f>
        <v>1.28</v>
      </c>
      <c r="R105" s="1">
        <f>IF(E105&lt;=14-F105,1,0)</f>
        <v>1</v>
      </c>
      <c r="S105" s="1">
        <f>LN((6.5/$B$3)^2.512)</f>
        <v>1.5550264915164334</v>
      </c>
      <c r="T105" s="33">
        <f>0.952988428558035*G105+(G105/13)^1.21758761926721*S105*3.49701599950785-6.17437592197594+$B$3*1.04875246413893</f>
        <v>13.168469197135442</v>
      </c>
      <c r="U105" s="34">
        <f>(T105/13)^2.512*S105</f>
        <v>1.606144981697363</v>
      </c>
      <c r="V105" s="34">
        <f>T105-U105-G105</f>
        <v>4.2324215438078738E-2</v>
      </c>
      <c r="W105" s="34">
        <f>IF(V105&lt;0,T105-V105,T105)</f>
        <v>13.168469197135442</v>
      </c>
      <c r="X105" s="34">
        <f>10^((W105-2.7)/5)</f>
        <v>124.07772998833207</v>
      </c>
    </row>
    <row r="106" spans="1:24" x14ac:dyDescent="0.25">
      <c r="A106" s="2" t="s">
        <v>43</v>
      </c>
      <c r="B106" s="24" t="s">
        <v>44</v>
      </c>
      <c r="C106" s="2" t="s">
        <v>45</v>
      </c>
      <c r="D106" s="36" t="s">
        <v>46</v>
      </c>
      <c r="E106" s="37">
        <v>0.5</v>
      </c>
      <c r="F106" s="16">
        <v>9.8000000000000007</v>
      </c>
      <c r="G106" s="16">
        <v>11.5</v>
      </c>
      <c r="H106" s="35">
        <f>IF(I106&lt;X106,X106,I106)</f>
        <v>327.91304773339249</v>
      </c>
      <c r="I106" s="27">
        <f>J106+K106+L106+M106+N106</f>
        <v>327.91304773339249</v>
      </c>
      <c r="J106" s="9">
        <f>116/1.2213*(0.0950502775050452+(1.12627632206642)/((1+($B$2/0.302756091410027)^2.26536793426585)^0.152776210790626))/E106</f>
        <v>232.00505289493157</v>
      </c>
      <c r="K106" s="9">
        <f>5.91232283796472*O106*(G106-F106)/E106^0.600317738509086*(1+$B$2)^0.808139120750434</f>
        <v>25.904166886158229</v>
      </c>
      <c r="L106" s="9">
        <f>1.04237828050238*P106*(F106+2.34973310685883)/(R106*E106^-0.304107132838227+(1-R106)*(14-F106)^-0.304107132838227)</f>
        <v>16.754117154359129</v>
      </c>
      <c r="M106" s="9">
        <f>13.6914255489806*Q106*(G106-9)</f>
        <v>43.736498281465799</v>
      </c>
      <c r="N106" s="9">
        <f>2.4817076129942*Q106*(6.5-$B$3)</f>
        <v>9.5132125164777648</v>
      </c>
      <c r="O106" s="12">
        <f>IF(G106-F106&lt;=1,IF(F106&lt;=6,0,G106-F106), G106-F106)</f>
        <v>1.6999999999999993</v>
      </c>
      <c r="P106" s="11">
        <f>IF(F106-6&gt;0,F106/6,0)</f>
        <v>1.6333333333333335</v>
      </c>
      <c r="Q106" s="12">
        <f>IF(G106-9&gt;0,G106/9,0)</f>
        <v>1.2777777777777777</v>
      </c>
      <c r="R106" s="1">
        <f>IF(E106&lt;=14-F106,1,0)</f>
        <v>1</v>
      </c>
      <c r="S106" s="1">
        <f>LN((6.5/$B$3)^2.512)</f>
        <v>1.5550264915164334</v>
      </c>
      <c r="T106" s="33">
        <f>0.952988428558035*G106+(G106/13)^1.21758761926721*S106*3.49701599950785-6.17437592197594+$B$3*1.04875246413893</f>
        <v>13.139489264828892</v>
      </c>
      <c r="U106" s="34">
        <f>(T106/13)^2.512*S106</f>
        <v>1.5972806994824895</v>
      </c>
      <c r="V106" s="34">
        <f>T106-U106-G106</f>
        <v>4.2208565346403049E-2</v>
      </c>
      <c r="W106" s="34">
        <f>IF(V106&lt;0,T106-V106,T106)</f>
        <v>13.139489264828892</v>
      </c>
      <c r="X106" s="34">
        <f>10^((W106-2.7)/5)</f>
        <v>122.43282006642195</v>
      </c>
    </row>
    <row r="107" spans="1:24" x14ac:dyDescent="0.25">
      <c r="A107" s="2" t="s">
        <v>71</v>
      </c>
      <c r="B107" s="24" t="s">
        <v>72</v>
      </c>
      <c r="C107" s="2" t="s">
        <v>73</v>
      </c>
      <c r="D107" s="13" t="s">
        <v>74</v>
      </c>
      <c r="E107" s="16">
        <v>0.6</v>
      </c>
      <c r="F107" s="16">
        <v>8.4700000000000006</v>
      </c>
      <c r="G107" s="16">
        <v>11.45</v>
      </c>
      <c r="H107" s="35">
        <f>IF(I107&lt;X107,X107,I107)</f>
        <v>330.46132527939017</v>
      </c>
      <c r="I107" s="27">
        <f>J107+K107+L107+M107+N107</f>
        <v>330.46132527939017</v>
      </c>
      <c r="J107" s="9">
        <f>116/1.2213*(0.0950502775050452+(1.12627632206642)/((1+($B$2/0.302756091410027)^2.26536793426585)^0.152776210790626))/E107</f>
        <v>193.33754407910965</v>
      </c>
      <c r="K107" s="9">
        <f>5.91232283796472*O107*(G107-F107)/E107^0.600317738509086*(1+$B$2)^0.808139120750434</f>
        <v>71.346127921448385</v>
      </c>
      <c r="L107" s="9">
        <f>1.04237828050238*P107*(F107+2.34973310685883)/(R107*E107^-0.304107132838227+(1-R107)*(14-F107)^-0.304107132838227)</f>
        <v>13.630389754484497</v>
      </c>
      <c r="M107" s="9">
        <f>13.6914255489806*Q107*(G107-9)</f>
        <v>42.675412801419789</v>
      </c>
      <c r="N107" s="9">
        <f>2.4817076129942*Q107*(6.5-$B$3)</f>
        <v>9.4718507229278615</v>
      </c>
      <c r="O107" s="12">
        <f>IF(G107-F107&lt;=1,IF(F107&lt;=6,0,G107-F107), G107-F107)</f>
        <v>2.9799999999999986</v>
      </c>
      <c r="P107" s="11">
        <f>IF(F107-6&gt;0,F107/6,0)</f>
        <v>1.4116666666666668</v>
      </c>
      <c r="Q107" s="12">
        <f>IF(G107-9&gt;0,G107/9,0)</f>
        <v>1.2722222222222221</v>
      </c>
      <c r="R107" s="1">
        <f>IF(E107&lt;=14-F107,1,0)</f>
        <v>1</v>
      </c>
      <c r="S107" s="1">
        <f>LN((6.5/$B$3)^2.512)</f>
        <v>1.5550264915164334</v>
      </c>
      <c r="T107" s="33">
        <f>0.952988428558035*G107+(G107/13)^1.21758761926721*S107*3.49701599950785-6.17437592197594+$B$3*1.04875246413893</f>
        <v>13.067055865562429</v>
      </c>
      <c r="U107" s="34">
        <f>(T107/13)^2.512*S107</f>
        <v>1.5752540094159531</v>
      </c>
      <c r="V107" s="34">
        <f>T107-U107-G107</f>
        <v>4.1801856146475913E-2</v>
      </c>
      <c r="W107" s="34">
        <f>IF(V107&lt;0,T107-V107,T107)</f>
        <v>13.067055865562429</v>
      </c>
      <c r="X107" s="34">
        <f>10^((W107-2.7)/5)</f>
        <v>118.41621438063832</v>
      </c>
    </row>
    <row r="108" spans="1:24" x14ac:dyDescent="0.25">
      <c r="A108" s="2" t="s">
        <v>55</v>
      </c>
      <c r="B108" s="24" t="s">
        <v>56</v>
      </c>
      <c r="C108" s="2" t="s">
        <v>57</v>
      </c>
      <c r="D108" s="36" t="s">
        <v>58</v>
      </c>
      <c r="E108" s="37">
        <v>0.6</v>
      </c>
      <c r="F108" s="16">
        <v>5.49</v>
      </c>
      <c r="G108" s="16">
        <v>9.64</v>
      </c>
      <c r="H108" s="35">
        <f>IF(I108&lt;X108,X108,I108)</f>
        <v>349.06521558678054</v>
      </c>
      <c r="I108" s="27">
        <f>J108+K108+L108+M108+N108</f>
        <v>349.06521558678054</v>
      </c>
      <c r="J108" s="9">
        <f>116/1.2213*(0.0950502775050452+(1.12627632206642)/((1+($B$2/0.302756091410027)^2.26536793426585)^0.152776210790626))/E108</f>
        <v>193.33754407910965</v>
      </c>
      <c r="K108" s="9">
        <f>5.91232283796472*O108*(G108-F108)/E108^0.600317738509086*(1+$B$2)^0.808139120750434</f>
        <v>138.36749337047272</v>
      </c>
      <c r="L108" s="9">
        <f>1.04237828050238*P108*(F108+2.34973310685883)/(R108*E108^-0.304107132838227+(1-R108)*(14-F108)^-0.304107132838227)</f>
        <v>0</v>
      </c>
      <c r="M108" s="9">
        <f>13.6914255489806*Q108*(G108-9)</f>
        <v>9.3856243407767543</v>
      </c>
      <c r="N108" s="9">
        <f>2.4817076129942*Q108*(6.5-$B$3)</f>
        <v>7.974553796421362</v>
      </c>
      <c r="O108" s="12">
        <f>IF(G108-F108&lt;=1,IF(F108&lt;=6,0,G108-F108), G108-F108)</f>
        <v>4.1500000000000004</v>
      </c>
      <c r="P108" s="11">
        <f>IF(F108-6&gt;0,F108/6,0)</f>
        <v>0</v>
      </c>
      <c r="Q108" s="12">
        <f>IF(G108-9&gt;0,G108/9,0)</f>
        <v>1.0711111111111111</v>
      </c>
      <c r="R108" s="1">
        <f>IF(E108&lt;=14-F108,1,0)</f>
        <v>1</v>
      </c>
      <c r="S108" s="1">
        <f>LN((6.5/$B$3)^2.512)</f>
        <v>1.5550264915164334</v>
      </c>
      <c r="T108" s="33">
        <f>0.952988428558035*G108+(G108/13)^1.21758761926721*S108*3.49701599950785-6.17437592197594+$B$3*1.04875246413893</f>
        <v>10.461499713382667</v>
      </c>
      <c r="U108" s="34">
        <f>(T108/13)^2.512*S108</f>
        <v>0.90101513706575032</v>
      </c>
      <c r="V108" s="34">
        <f>T108-U108-G108</f>
        <v>-7.9515423683083952E-2</v>
      </c>
      <c r="W108" s="34">
        <f>IF(V108&lt;0,T108-V108,T108)</f>
        <v>10.541015137065751</v>
      </c>
      <c r="X108" s="34">
        <f>10^((W108-2.7)/5)</f>
        <v>37.000111039587438</v>
      </c>
    </row>
    <row r="109" spans="1:24" x14ac:dyDescent="0.25">
      <c r="A109" s="2" t="s">
        <v>51</v>
      </c>
      <c r="B109" s="24" t="s">
        <v>52</v>
      </c>
      <c r="C109" s="2" t="s">
        <v>53</v>
      </c>
      <c r="D109" s="36" t="s">
        <v>54</v>
      </c>
      <c r="E109" s="37">
        <v>0.6</v>
      </c>
      <c r="F109" s="16">
        <v>7.98</v>
      </c>
      <c r="G109" s="16">
        <v>11.62</v>
      </c>
      <c r="H109" s="35">
        <f>IF(I109&lt;X109,X109,I109)</f>
        <v>367.97320988755087</v>
      </c>
      <c r="I109" s="27">
        <f>J109+K109+L109+M109+N109</f>
        <v>367.97320988755087</v>
      </c>
      <c r="J109" s="9">
        <f>116/1.2213*(0.0950502775050452+(1.12627632206642)/((1+($B$2/0.302756091410027)^2.26536793426585)^0.152776210790626))/E109</f>
        <v>193.33754407910965</v>
      </c>
      <c r="K109" s="9">
        <f>5.91232283796472*O109*(G109-F109)/E109^0.600317738509086*(1+$B$2)^0.808139120750434</f>
        <v>106.44876993243801</v>
      </c>
      <c r="L109" s="9">
        <f>1.04237828050238*P109*(F109+2.34973310685883)/(R109*E109^-0.304107132838227+(1-R109)*(14-F109)^-0.304107132838227)</f>
        <v>12.260277723518463</v>
      </c>
      <c r="M109" s="9">
        <f>13.6914255489806*Q109*(G109-9)</f>
        <v>46.314137331487203</v>
      </c>
      <c r="N109" s="9">
        <f>2.4817076129942*Q109*(6.5-$B$3)</f>
        <v>9.6124808209975345</v>
      </c>
      <c r="O109" s="12">
        <f>IF(G109-F109&lt;=1,IF(F109&lt;=6,0,G109-F109), G109-F109)</f>
        <v>3.6399999999999988</v>
      </c>
      <c r="P109" s="11">
        <f>IF(F109-6&gt;0,F109/6,0)</f>
        <v>1.33</v>
      </c>
      <c r="Q109" s="12">
        <f>IF(G109-9&gt;0,G109/9,0)</f>
        <v>1.2911111111111111</v>
      </c>
      <c r="R109" s="1">
        <f>IF(E109&lt;=14-F109,1,0)</f>
        <v>1</v>
      </c>
      <c r="S109" s="1">
        <f>LN((6.5/$B$3)^2.512)</f>
        <v>1.5550264915164334</v>
      </c>
      <c r="T109" s="33">
        <f>0.952988428558035*G109+(G109/13)^1.21758761926721*S109*3.49701599950785-6.17437592197594+$B$3*1.04875246413893</f>
        <v>13.313424978941066</v>
      </c>
      <c r="U109" s="34">
        <f>(T109/13)^2.512*S109</f>
        <v>1.650927710288026</v>
      </c>
      <c r="V109" s="34">
        <f>T109-U109-G109</f>
        <v>4.2497268653042042E-2</v>
      </c>
      <c r="W109" s="34">
        <f>IF(V109&lt;0,T109-V109,T109)</f>
        <v>13.313424978941066</v>
      </c>
      <c r="X109" s="34">
        <f>10^((W109-2.7)/5)</f>
        <v>132.6432015752369</v>
      </c>
    </row>
    <row r="110" spans="1:24" x14ac:dyDescent="0.25">
      <c r="A110" s="13" t="s">
        <v>27</v>
      </c>
      <c r="B110" s="24" t="s">
        <v>28</v>
      </c>
      <c r="C110" s="13" t="s">
        <v>29</v>
      </c>
      <c r="D110" s="36" t="s">
        <v>30</v>
      </c>
      <c r="E110" s="37">
        <v>0.5</v>
      </c>
      <c r="F110" s="16">
        <v>6.24</v>
      </c>
      <c r="G110" s="16">
        <v>9.98</v>
      </c>
      <c r="H110" s="35">
        <f>IF(I110&lt;X110,X110,I110)</f>
        <v>388.05777117715405</v>
      </c>
      <c r="I110" s="27">
        <f>J110+K110+L110+M110+N110</f>
        <v>388.05777117715405</v>
      </c>
      <c r="J110" s="9">
        <f>116/1.2213*(0.0950502775050452+(1.12627632206642)/((1+($B$2/0.302756091410027)^2.26536793426585)^0.152776210790626))/E110</f>
        <v>232.00505289493157</v>
      </c>
      <c r="K110" s="9">
        <f>5.91232283796472*O110*(G110-F110)/E110^0.600317738509086*(1+$B$2)^0.808139120750434</f>
        <v>125.37616772900594</v>
      </c>
      <c r="L110" s="9">
        <f>1.04237828050238*P110*(F110+2.34973310685883)/(R110*E110^-0.304107132838227+(1-R110)*(14-F110)^-0.304107132838227)</f>
        <v>7.5421122896280357</v>
      </c>
      <c r="M110" s="9">
        <f>13.6914255489806*Q110*(G110-9)</f>
        <v>14.878624271027771</v>
      </c>
      <c r="N110" s="9">
        <f>2.4817076129942*Q110*(6.5-$B$3)</f>
        <v>8.2558139925607072</v>
      </c>
      <c r="O110" s="12">
        <f>IF(G110-F110&lt;=1,IF(F110&lt;=6,0,G110-F110), G110-F110)</f>
        <v>3.74</v>
      </c>
      <c r="P110" s="11">
        <f>IF(F110-6&gt;0,F110/6,0)</f>
        <v>1.04</v>
      </c>
      <c r="Q110" s="12">
        <f>IF(G110-9&gt;0,G110/9,0)</f>
        <v>1.108888888888889</v>
      </c>
      <c r="R110" s="1">
        <f>IF(E110&lt;=14-F110,1,0)</f>
        <v>1</v>
      </c>
      <c r="S110" s="1">
        <f>LN((6.5/$B$3)^2.512)</f>
        <v>1.5550264915164334</v>
      </c>
      <c r="T110" s="33">
        <f>0.952988428558035*G110+(G110/13)^1.21758761926721*S110*3.49701599950785-6.17437592197594+$B$3*1.04875246413893</f>
        <v>10.948393661780068</v>
      </c>
      <c r="U110" s="34">
        <f>(T110/13)^2.512*S110</f>
        <v>1.0100905484149194</v>
      </c>
      <c r="V110" s="34">
        <f>T110-U110-G110</f>
        <v>-4.1696886634850827E-2</v>
      </c>
      <c r="W110" s="34">
        <f>IF(V110&lt;0,T110-V110,T110)</f>
        <v>10.990090548414919</v>
      </c>
      <c r="X110" s="34">
        <f>10^((W110-2.7)/5)</f>
        <v>45.500703313190868</v>
      </c>
    </row>
  </sheetData>
  <sortState ref="A5:X110">
    <sortCondition ref="H5:H110"/>
  </sortState>
  <mergeCells count="1">
    <mergeCell ref="A1:W1"/>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RoT V3.0 Beta</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WRAK's RoT for splitting unequal and faint double stars</dc:title>
  <dc:creator>Wilfried R.A. Knapp</dc:creator>
  <cp:lastModifiedBy>Wilfried Knapp</cp:lastModifiedBy>
  <dcterms:created xsi:type="dcterms:W3CDTF">2012-12-27T20:58:43Z</dcterms:created>
  <dcterms:modified xsi:type="dcterms:W3CDTF">2013-02-20T09:37:56Z</dcterms:modified>
</cp:coreProperties>
</file>