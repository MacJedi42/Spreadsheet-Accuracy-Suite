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4895" windowHeight="7875"/>
  </bookViews>
  <sheets>
    <sheet name="Base Data 10" sheetId="1" r:id="rId1"/>
  </sheets>
  <definedNames>
    <definedName name="MF" localSheetId="0">#REF!</definedName>
    <definedName name="MF">#REF!</definedName>
    <definedName name="_xlnm.Print_Area" localSheetId="0">'Base Data 10'!$A$20:$O$158</definedName>
    <definedName name="SF" localSheetId="0">#REF!</definedName>
    <definedName name="SF">#REF!</definedName>
    <definedName name="work">#REF!</definedName>
  </definedNames>
  <calcPr calcId="125725"/>
</workbook>
</file>

<file path=xl/calcChain.xml><?xml version="1.0" encoding="utf-8"?>
<calcChain xmlns="http://schemas.openxmlformats.org/spreadsheetml/2006/main">
  <c r="J47" i="1"/>
  <c r="I47"/>
  <c r="I145"/>
  <c r="J129"/>
  <c r="I129"/>
  <c r="J104"/>
  <c r="I104"/>
  <c r="J125"/>
  <c r="I125"/>
  <c r="J90"/>
  <c r="I90"/>
  <c r="J30"/>
  <c r="I30"/>
  <c r="J27"/>
  <c r="I27"/>
  <c r="J26"/>
  <c r="I26"/>
  <c r="N115"/>
  <c r="N77"/>
  <c r="N76"/>
  <c r="N62"/>
  <c r="N47"/>
  <c r="J95"/>
  <c r="I95"/>
  <c r="I46"/>
  <c r="J141"/>
  <c r="I141"/>
  <c r="J73"/>
  <c r="I73"/>
  <c r="J56"/>
  <c r="I56"/>
  <c r="J46"/>
  <c r="J60"/>
  <c r="I60"/>
  <c r="J130"/>
  <c r="I130"/>
  <c r="J76"/>
  <c r="I76"/>
  <c r="J144"/>
  <c r="I144"/>
  <c r="J124"/>
  <c r="I124"/>
  <c r="J31"/>
  <c r="I31"/>
  <c r="J59"/>
  <c r="I59"/>
  <c r="G132"/>
  <c r="H26"/>
  <c r="J123"/>
  <c r="I123"/>
  <c r="J122"/>
  <c r="I96"/>
  <c r="I34"/>
  <c r="J148"/>
  <c r="I148"/>
  <c r="I84"/>
  <c r="J92"/>
  <c r="J111" l="1"/>
  <c r="I111"/>
  <c r="N110"/>
  <c r="M110"/>
  <c r="L110"/>
  <c r="K110"/>
  <c r="I122"/>
  <c r="J48"/>
  <c r="I48"/>
  <c r="J113"/>
  <c r="I113"/>
  <c r="I49"/>
  <c r="J49"/>
  <c r="K76"/>
  <c r="M77"/>
  <c r="M76"/>
  <c r="L77"/>
  <c r="L76"/>
  <c r="K77"/>
  <c r="M47"/>
  <c r="L47"/>
  <c r="K47"/>
  <c r="J143" l="1"/>
  <c r="I143"/>
  <c r="J85"/>
  <c r="I85"/>
  <c r="H90"/>
  <c r="N104"/>
  <c r="M104"/>
  <c r="L104"/>
  <c r="K104"/>
  <c r="J105"/>
  <c r="I105"/>
  <c r="J134"/>
  <c r="I134"/>
  <c r="J132"/>
  <c r="J117"/>
  <c r="J116"/>
  <c r="J114"/>
  <c r="J37"/>
  <c r="J33"/>
  <c r="J29"/>
  <c r="I29"/>
  <c r="N136" l="1"/>
  <c r="M136"/>
  <c r="L136"/>
  <c r="K136"/>
  <c r="G46"/>
  <c r="H145"/>
  <c r="G145"/>
  <c r="J28"/>
  <c r="I132"/>
  <c r="J42"/>
  <c r="I42"/>
  <c r="I33"/>
  <c r="J32"/>
  <c r="I32"/>
  <c r="I28"/>
  <c r="K130"/>
  <c r="L73"/>
  <c r="K52"/>
  <c r="M142"/>
  <c r="L142"/>
  <c r="K142"/>
  <c r="M52"/>
  <c r="L52"/>
  <c r="N113"/>
  <c r="M113"/>
  <c r="M86"/>
  <c r="K86"/>
  <c r="L86"/>
  <c r="K113"/>
  <c r="L113"/>
  <c r="L79"/>
  <c r="H154"/>
  <c r="G154"/>
  <c r="M150"/>
  <c r="L150"/>
  <c r="K150"/>
  <c r="N149"/>
  <c r="M149"/>
  <c r="L149"/>
  <c r="K149"/>
  <c r="N148"/>
  <c r="M148"/>
  <c r="L148"/>
  <c r="K148"/>
  <c r="K147"/>
  <c r="N147"/>
  <c r="K146"/>
  <c r="M146"/>
  <c r="K145"/>
  <c r="N145"/>
  <c r="N144"/>
  <c r="M144"/>
  <c r="L144"/>
  <c r="K144"/>
  <c r="K143"/>
  <c r="M143"/>
  <c r="N141"/>
  <c r="M141"/>
  <c r="L141"/>
  <c r="K141"/>
  <c r="N140"/>
  <c r="M140"/>
  <c r="L140"/>
  <c r="K140"/>
  <c r="K139"/>
  <c r="N139"/>
  <c r="N138"/>
  <c r="M138"/>
  <c r="L138"/>
  <c r="K138"/>
  <c r="K137"/>
  <c r="M137"/>
  <c r="K135"/>
  <c r="N135"/>
  <c r="N134"/>
  <c r="M134"/>
  <c r="L134"/>
  <c r="K134"/>
  <c r="N133"/>
  <c r="M133"/>
  <c r="L133"/>
  <c r="K133"/>
  <c r="N132"/>
  <c r="M132"/>
  <c r="L132"/>
  <c r="K132"/>
  <c r="N131"/>
  <c r="M131"/>
  <c r="L131"/>
  <c r="K131"/>
  <c r="N130"/>
  <c r="M130"/>
  <c r="L130"/>
  <c r="N129"/>
  <c r="M129"/>
  <c r="J154"/>
  <c r="N128"/>
  <c r="M128"/>
  <c r="L128"/>
  <c r="K128"/>
  <c r="K127"/>
  <c r="M127"/>
  <c r="K126"/>
  <c r="N126"/>
  <c r="N125"/>
  <c r="M125"/>
  <c r="L125"/>
  <c r="K125"/>
  <c r="N124"/>
  <c r="M124"/>
  <c r="L124"/>
  <c r="K124"/>
  <c r="N123"/>
  <c r="M123"/>
  <c r="L123"/>
  <c r="K123"/>
  <c r="N122"/>
  <c r="M122"/>
  <c r="L122"/>
  <c r="K122"/>
  <c r="M121"/>
  <c r="L121"/>
  <c r="K121"/>
  <c r="M120"/>
  <c r="L120"/>
  <c r="K120"/>
  <c r="M119"/>
  <c r="L119"/>
  <c r="K119"/>
  <c r="M106"/>
  <c r="L106"/>
  <c r="K106"/>
  <c r="M118"/>
  <c r="L118"/>
  <c r="K118"/>
  <c r="N117"/>
  <c r="M117"/>
  <c r="L117"/>
  <c r="K117"/>
  <c r="N116"/>
  <c r="M116"/>
  <c r="L116"/>
  <c r="K116"/>
  <c r="K114"/>
  <c r="N114"/>
  <c r="K109"/>
  <c r="L109"/>
  <c r="K108"/>
  <c r="L108"/>
  <c r="K107"/>
  <c r="L107"/>
  <c r="K112"/>
  <c r="M112"/>
  <c r="K111"/>
  <c r="N111"/>
  <c r="N105"/>
  <c r="M105"/>
  <c r="L105"/>
  <c r="K105"/>
  <c r="K103"/>
  <c r="M103"/>
  <c r="K102"/>
  <c r="N102"/>
  <c r="K101"/>
  <c r="M101"/>
  <c r="K100"/>
  <c r="N100"/>
  <c r="N99"/>
  <c r="M99"/>
  <c r="L99"/>
  <c r="K99"/>
  <c r="N98"/>
  <c r="M98"/>
  <c r="L98"/>
  <c r="K98"/>
  <c r="N97"/>
  <c r="M97"/>
  <c r="L97"/>
  <c r="K97"/>
  <c r="K96"/>
  <c r="M96"/>
  <c r="N95"/>
  <c r="M95"/>
  <c r="L95"/>
  <c r="K95"/>
  <c r="N94"/>
  <c r="M94"/>
  <c r="J94"/>
  <c r="L94" s="1"/>
  <c r="I94"/>
  <c r="N93"/>
  <c r="M93"/>
  <c r="L93"/>
  <c r="K93"/>
  <c r="N92"/>
  <c r="M92"/>
  <c r="L92"/>
  <c r="K92"/>
  <c r="N91"/>
  <c r="M91"/>
  <c r="L91"/>
  <c r="K91"/>
  <c r="M90"/>
  <c r="L90"/>
  <c r="K90"/>
  <c r="K89"/>
  <c r="M89"/>
  <c r="K88"/>
  <c r="N88"/>
  <c r="K87"/>
  <c r="M87"/>
  <c r="N85"/>
  <c r="M85"/>
  <c r="L85"/>
  <c r="K85"/>
  <c r="N84"/>
  <c r="M84"/>
  <c r="L84"/>
  <c r="K84"/>
  <c r="K83"/>
  <c r="N83"/>
  <c r="K82"/>
  <c r="M82"/>
  <c r="K81"/>
  <c r="N81"/>
  <c r="K80"/>
  <c r="M80"/>
  <c r="N79"/>
  <c r="M79"/>
  <c r="K79"/>
  <c r="N78"/>
  <c r="M78"/>
  <c r="L78"/>
  <c r="K78"/>
  <c r="K75"/>
  <c r="M75"/>
  <c r="K74"/>
  <c r="N74"/>
  <c r="N73"/>
  <c r="M73"/>
  <c r="K73"/>
  <c r="M72"/>
  <c r="L72"/>
  <c r="K72"/>
  <c r="N71"/>
  <c r="M71"/>
  <c r="L71"/>
  <c r="K71"/>
  <c r="N70"/>
  <c r="M70"/>
  <c r="L70"/>
  <c r="K70"/>
  <c r="N69"/>
  <c r="M69"/>
  <c r="L69"/>
  <c r="K69"/>
  <c r="K68"/>
  <c r="M68"/>
  <c r="K67"/>
  <c r="N67"/>
  <c r="K66"/>
  <c r="M66"/>
  <c r="K65"/>
  <c r="N65"/>
  <c r="N64"/>
  <c r="M64"/>
  <c r="L64"/>
  <c r="K64"/>
  <c r="K63"/>
  <c r="M63"/>
  <c r="K61"/>
  <c r="N61"/>
  <c r="N60"/>
  <c r="M60"/>
  <c r="L60"/>
  <c r="K60"/>
  <c r="N59"/>
  <c r="M59"/>
  <c r="L59"/>
  <c r="K59"/>
  <c r="N58"/>
  <c r="M58"/>
  <c r="L58"/>
  <c r="K58"/>
  <c r="N57"/>
  <c r="M57"/>
  <c r="L57"/>
  <c r="K57"/>
  <c r="N56"/>
  <c r="M56"/>
  <c r="L56"/>
  <c r="K56"/>
  <c r="N37"/>
  <c r="M37"/>
  <c r="L37"/>
  <c r="K37"/>
  <c r="N36"/>
  <c r="M36"/>
  <c r="L36"/>
  <c r="K36"/>
  <c r="N35"/>
  <c r="M35"/>
  <c r="L35"/>
  <c r="K35"/>
  <c r="K55"/>
  <c r="M55"/>
  <c r="N54"/>
  <c r="M54"/>
  <c r="L54"/>
  <c r="K54"/>
  <c r="K53"/>
  <c r="N53"/>
  <c r="K51"/>
  <c r="M51"/>
  <c r="N50"/>
  <c r="M50"/>
  <c r="L50"/>
  <c r="K50"/>
  <c r="N49"/>
  <c r="M49"/>
  <c r="L49"/>
  <c r="K49"/>
  <c r="N48"/>
  <c r="M48"/>
  <c r="L48"/>
  <c r="K48"/>
  <c r="M46"/>
  <c r="L46"/>
  <c r="K46"/>
  <c r="K45"/>
  <c r="M45"/>
  <c r="K44"/>
  <c r="N44"/>
  <c r="N43"/>
  <c r="M43"/>
  <c r="L43"/>
  <c r="K43"/>
  <c r="K42"/>
  <c r="M42"/>
  <c r="K41"/>
  <c r="N41"/>
  <c r="K40"/>
  <c r="M40"/>
  <c r="K39"/>
  <c r="N39"/>
  <c r="K38"/>
  <c r="M38"/>
  <c r="N34"/>
  <c r="M34"/>
  <c r="L34"/>
  <c r="K34"/>
  <c r="N33"/>
  <c r="M33"/>
  <c r="L33"/>
  <c r="K33"/>
  <c r="N32"/>
  <c r="M32"/>
  <c r="L32"/>
  <c r="K32"/>
  <c r="N31"/>
  <c r="M31"/>
  <c r="L31"/>
  <c r="K31"/>
  <c r="K30"/>
  <c r="N30"/>
  <c r="K29"/>
  <c r="M29"/>
  <c r="K28"/>
  <c r="N28"/>
  <c r="M27"/>
  <c r="L27"/>
  <c r="K27"/>
  <c r="K26"/>
  <c r="M26"/>
  <c r="B13"/>
  <c r="I154" l="1"/>
  <c r="I155" s="1"/>
  <c r="I156" s="1"/>
  <c r="K94"/>
  <c r="M30"/>
  <c r="M41"/>
  <c r="M61"/>
  <c r="M67"/>
  <c r="M74"/>
  <c r="M81"/>
  <c r="M88"/>
  <c r="M100"/>
  <c r="M111"/>
  <c r="M108"/>
  <c r="M114"/>
  <c r="M126"/>
  <c r="M139"/>
  <c r="M147"/>
  <c r="M28"/>
  <c r="M39"/>
  <c r="M44"/>
  <c r="M53"/>
  <c r="M65"/>
  <c r="M83"/>
  <c r="M102"/>
  <c r="M107"/>
  <c r="M109"/>
  <c r="M135"/>
  <c r="M145"/>
  <c r="J155"/>
  <c r="J156" s="1"/>
  <c r="L26"/>
  <c r="L29"/>
  <c r="N29"/>
  <c r="L38"/>
  <c r="N38"/>
  <c r="L40"/>
  <c r="N40"/>
  <c r="L42"/>
  <c r="N42"/>
  <c r="L45"/>
  <c r="N45"/>
  <c r="L51"/>
  <c r="N51"/>
  <c r="L55"/>
  <c r="N55"/>
  <c r="L63"/>
  <c r="N63"/>
  <c r="L66"/>
  <c r="N66"/>
  <c r="L68"/>
  <c r="L75"/>
  <c r="N75"/>
  <c r="L80"/>
  <c r="N80"/>
  <c r="L82"/>
  <c r="N82"/>
  <c r="L87"/>
  <c r="N87"/>
  <c r="L89"/>
  <c r="N89"/>
  <c r="L96"/>
  <c r="N96"/>
  <c r="L101"/>
  <c r="N101"/>
  <c r="L103"/>
  <c r="N103"/>
  <c r="L112"/>
  <c r="N112"/>
  <c r="L127"/>
  <c r="N127"/>
  <c r="L129"/>
  <c r="L137"/>
  <c r="N137"/>
  <c r="L143"/>
  <c r="N143"/>
  <c r="L146"/>
  <c r="N146"/>
  <c r="H155"/>
  <c r="H156" s="1"/>
  <c r="L28"/>
  <c r="L30"/>
  <c r="L39"/>
  <c r="L41"/>
  <c r="L44"/>
  <c r="L53"/>
  <c r="L61"/>
  <c r="L65"/>
  <c r="L67"/>
  <c r="L74"/>
  <c r="L81"/>
  <c r="L83"/>
  <c r="L88"/>
  <c r="L100"/>
  <c r="L102"/>
  <c r="L111"/>
  <c r="L114"/>
  <c r="L126"/>
  <c r="K129"/>
  <c r="K154" s="1"/>
  <c r="L135"/>
  <c r="L139"/>
  <c r="L145"/>
  <c r="L147"/>
  <c r="G155"/>
  <c r="G156" s="1"/>
  <c r="M154" l="1"/>
  <c r="M155" s="1"/>
  <c r="M156" s="1"/>
  <c r="N154"/>
  <c r="N155" s="1"/>
  <c r="N156" s="1"/>
  <c r="N158" s="1"/>
  <c r="K155"/>
  <c r="K156" s="1"/>
  <c r="L154"/>
  <c r="L155" l="1"/>
  <c r="L156" s="1"/>
  <c r="L158" s="1"/>
</calcChain>
</file>

<file path=xl/comments1.xml><?xml version="1.0" encoding="utf-8"?>
<comments xmlns="http://schemas.openxmlformats.org/spreadsheetml/2006/main">
  <authors>
    <author>ahanson</author>
    <author>Valued Employee</author>
    <author>wchiem</author>
    <author>Alice Hanson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ahanson: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8" authorId="1">
      <text>
        <r>
          <rPr>
            <b/>
            <sz val="8"/>
            <color indexed="81"/>
            <rFont val="Tahoma"/>
            <family val="2"/>
          </rPr>
          <t xml:space="preserve">FORMULA
</t>
        </r>
      </text>
    </comment>
    <comment ref="L18" authorId="2">
      <text>
        <r>
          <rPr>
            <b/>
            <sz val="8"/>
            <color indexed="81"/>
            <rFont val="Tahoma"/>
            <family val="2"/>
          </rPr>
          <t>wchiem: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Formula</t>
        </r>
      </text>
    </comment>
    <comment ref="M18" authorId="2">
      <text>
        <r>
          <rPr>
            <b/>
            <sz val="8"/>
            <color indexed="81"/>
            <rFont val="Tahoma"/>
            <family val="2"/>
          </rPr>
          <t>wchiem: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Formula</t>
        </r>
      </text>
    </comment>
    <comment ref="N18" authorId="2">
      <text>
        <r>
          <rPr>
            <b/>
            <sz val="8"/>
            <color indexed="81"/>
            <rFont val="Tahoma"/>
            <family val="2"/>
          </rPr>
          <t>wchiem: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Formula</t>
        </r>
      </text>
    </comment>
    <comment ref="B116" authorId="3">
      <text>
        <r>
          <rPr>
            <b/>
            <sz val="8"/>
            <color indexed="81"/>
            <rFont val="Tahoma"/>
            <family val="2"/>
          </rPr>
          <t>Alice Hanson:</t>
        </r>
        <r>
          <rPr>
            <sz val="8"/>
            <color indexed="81"/>
            <rFont val="Tahoma"/>
            <family val="2"/>
          </rPr>
          <t xml:space="preserve">
Includes La Placa Estates (3 units)</t>
        </r>
      </text>
    </comment>
  </commentList>
</comments>
</file>

<file path=xl/sharedStrings.xml><?xml version="1.0" encoding="utf-8"?>
<sst xmlns="http://schemas.openxmlformats.org/spreadsheetml/2006/main" count="405" uniqueCount="236">
  <si>
    <t xml:space="preserve"> </t>
  </si>
  <si>
    <t>POP/UNIT</t>
  </si>
  <si>
    <t>SF</t>
  </si>
  <si>
    <t>APT</t>
  </si>
  <si>
    <t>TH</t>
  </si>
  <si>
    <t>C</t>
  </si>
  <si>
    <t>MH</t>
  </si>
  <si>
    <t>AC</t>
  </si>
  <si>
    <t>CITY AND COUNTY OF BROOMFIELD</t>
  </si>
  <si>
    <t>RESIDENTIAL LAND USE ACCOUNTING SUMMARY</t>
  </si>
  <si>
    <t>ID_GIS</t>
  </si>
  <si>
    <t>Subdivision</t>
  </si>
  <si>
    <t>Map #</t>
  </si>
  <si>
    <t>Type of Unit</t>
  </si>
  <si>
    <t>Estimated Population Per Unit</t>
  </si>
  <si>
    <t># of Approved Units</t>
  </si>
  <si>
    <t># of Platted Units</t>
  </si>
  <si>
    <t># of Units Under Construction</t>
  </si>
  <si>
    <t># of Units Completed</t>
  </si>
  <si>
    <t># of Platted Units Not Started</t>
  </si>
  <si>
    <t>Estimated Population of Completed Units</t>
  </si>
  <si>
    <t>Estimated Population at Build-Out of All Platted Units</t>
  </si>
  <si>
    <t>Est Pop at Build-Out Zoned Units</t>
  </si>
  <si>
    <t>0003</t>
  </si>
  <si>
    <t>Anthem West-Highlands</t>
  </si>
  <si>
    <t>Anthem West- Ranch</t>
  </si>
  <si>
    <t>0007</t>
  </si>
  <si>
    <t>Aspen Creek</t>
  </si>
  <si>
    <t>0008</t>
  </si>
  <si>
    <t>Brandywine</t>
  </si>
  <si>
    <t>0009</t>
  </si>
  <si>
    <t xml:space="preserve">Broadlands  </t>
  </si>
  <si>
    <t>0010</t>
  </si>
  <si>
    <t>0011</t>
  </si>
  <si>
    <t>0012</t>
  </si>
  <si>
    <t>Broadlands West</t>
  </si>
  <si>
    <t>0013</t>
  </si>
  <si>
    <t>Broomfield Business Center</t>
  </si>
  <si>
    <t>0014</t>
  </si>
  <si>
    <t>Broomfield Heights 1</t>
  </si>
  <si>
    <t>0015</t>
  </si>
  <si>
    <t>0016</t>
  </si>
  <si>
    <t>Broomfield Heights 2</t>
  </si>
  <si>
    <t>0017</t>
  </si>
  <si>
    <t>0018</t>
  </si>
  <si>
    <t>Broomfield Highlands</t>
  </si>
  <si>
    <t>0019</t>
  </si>
  <si>
    <t>Broomfield Retirement Village</t>
  </si>
  <si>
    <t>0020</t>
  </si>
  <si>
    <t>Broomfield Town Center</t>
  </si>
  <si>
    <t>0021</t>
  </si>
  <si>
    <t>0022</t>
  </si>
  <si>
    <t>Broomfield Urban Transit Village</t>
  </si>
  <si>
    <t>0023</t>
  </si>
  <si>
    <t>0024</t>
  </si>
  <si>
    <t>0025</t>
  </si>
  <si>
    <t>L/W</t>
  </si>
  <si>
    <t>0026</t>
  </si>
  <si>
    <t>Cimmaron</t>
  </si>
  <si>
    <t>0027</t>
  </si>
  <si>
    <t>Columbine Meadows</t>
  </si>
  <si>
    <t>0028</t>
  </si>
  <si>
    <t>Columbine Meadows (Mt. Terrace)</t>
  </si>
  <si>
    <t>0029</t>
  </si>
  <si>
    <t>Country  Vistas</t>
  </si>
  <si>
    <t>0030</t>
  </si>
  <si>
    <t>0031</t>
  </si>
  <si>
    <t>0032</t>
  </si>
  <si>
    <t>0033</t>
  </si>
  <si>
    <t>Country Estates</t>
  </si>
  <si>
    <t>0034</t>
  </si>
  <si>
    <t xml:space="preserve">Crofton Park  </t>
  </si>
  <si>
    <t>0035</t>
  </si>
  <si>
    <t>0036</t>
  </si>
  <si>
    <t>Crofton Park (Senior)</t>
  </si>
  <si>
    <t>0037</t>
  </si>
  <si>
    <t>DU</t>
  </si>
  <si>
    <t>0038</t>
  </si>
  <si>
    <t>Crystal Pines</t>
  </si>
  <si>
    <t>0039</t>
  </si>
  <si>
    <t>Elliot</t>
  </si>
  <si>
    <t>0040</t>
  </si>
  <si>
    <t>Emerald Hill</t>
  </si>
  <si>
    <t>0041</t>
  </si>
  <si>
    <t>Foxborough</t>
  </si>
  <si>
    <t>0042</t>
  </si>
  <si>
    <t>Country Club Village Condos</t>
  </si>
  <si>
    <t>0043</t>
  </si>
  <si>
    <t>Front Range</t>
  </si>
  <si>
    <t>0044</t>
  </si>
  <si>
    <t>Gate 'n Green</t>
  </si>
  <si>
    <t>0045</t>
  </si>
  <si>
    <t>Great Western Park</t>
  </si>
  <si>
    <t>0047</t>
  </si>
  <si>
    <t>0048</t>
  </si>
  <si>
    <t>0049</t>
  </si>
  <si>
    <t>0050</t>
  </si>
  <si>
    <t>Green Family Farm Estates</t>
  </si>
  <si>
    <t>0051</t>
  </si>
  <si>
    <t>Greenway Park</t>
  </si>
  <si>
    <t>0052</t>
  </si>
  <si>
    <t>0053</t>
  </si>
  <si>
    <t>Highlands</t>
  </si>
  <si>
    <t>0054</t>
  </si>
  <si>
    <t>0055</t>
  </si>
  <si>
    <t>Highland Park</t>
  </si>
  <si>
    <t>0056</t>
  </si>
  <si>
    <t>0057</t>
  </si>
  <si>
    <t>0058</t>
  </si>
  <si>
    <t>Interlocken (Oaisis Apts.)</t>
  </si>
  <si>
    <t>0059</t>
  </si>
  <si>
    <t>0060</t>
  </si>
  <si>
    <t>Interlocken Lofts</t>
  </si>
  <si>
    <t>0061</t>
  </si>
  <si>
    <t>Lac Amora</t>
  </si>
  <si>
    <t>0062</t>
  </si>
  <si>
    <t>0063</t>
  </si>
  <si>
    <t>Lac Amora (Sunridge, Sun-Up)</t>
  </si>
  <si>
    <t>0064</t>
  </si>
  <si>
    <t>0065</t>
  </si>
  <si>
    <t>0066</t>
  </si>
  <si>
    <t>McKay Heights</t>
  </si>
  <si>
    <t>0067</t>
  </si>
  <si>
    <t xml:space="preserve">McKay Landing </t>
  </si>
  <si>
    <t>0068</t>
  </si>
  <si>
    <t>0111</t>
  </si>
  <si>
    <t>0069</t>
  </si>
  <si>
    <t>0070</t>
  </si>
  <si>
    <t>Mid Cities (Sunrise Senior)</t>
  </si>
  <si>
    <t>0071</t>
  </si>
  <si>
    <t>Mid Cities (Heritage Place)</t>
  </si>
  <si>
    <t>0072</t>
  </si>
  <si>
    <t>Miramonte &amp; Miramonte CC</t>
  </si>
  <si>
    <t>0073</t>
  </si>
  <si>
    <t>Miramonte</t>
  </si>
  <si>
    <t>0074</t>
  </si>
  <si>
    <t>Miramonte Farms</t>
  </si>
  <si>
    <t>0075</t>
  </si>
  <si>
    <t>0112</t>
  </si>
  <si>
    <t>0076</t>
  </si>
  <si>
    <t>Northmoor</t>
  </si>
  <si>
    <t>0077</t>
  </si>
  <si>
    <t>0004</t>
  </si>
  <si>
    <t>North Park (McWhinney)</t>
  </si>
  <si>
    <t>0005</t>
  </si>
  <si>
    <t>0006</t>
  </si>
  <si>
    <t>0078</t>
  </si>
  <si>
    <t>Northridge</t>
  </si>
  <si>
    <t>0079</t>
  </si>
  <si>
    <t>Original Broomfield</t>
  </si>
  <si>
    <t>0080</t>
  </si>
  <si>
    <t>0081</t>
  </si>
  <si>
    <t>0082</t>
  </si>
  <si>
    <t>North Broomfield (E. of I-25)</t>
  </si>
  <si>
    <t>0083</t>
  </si>
  <si>
    <t>Pallisade</t>
  </si>
  <si>
    <t>0084</t>
  </si>
  <si>
    <t>0085</t>
  </si>
  <si>
    <t>0086</t>
  </si>
  <si>
    <t>0087</t>
  </si>
  <si>
    <t>Parkway Circle (Catania &amp; Vantage Point)</t>
  </si>
  <si>
    <t>0088</t>
  </si>
  <si>
    <t xml:space="preserve">Parkway Circle (Vantage) </t>
  </si>
  <si>
    <t>0089</t>
  </si>
  <si>
    <t>Pinnacle North</t>
  </si>
  <si>
    <t>0090</t>
  </si>
  <si>
    <t>Red Hawk Estates</t>
  </si>
  <si>
    <t>0091</t>
  </si>
  <si>
    <t>Red Leaf</t>
  </si>
  <si>
    <t>0092</t>
  </si>
  <si>
    <t>Ridgeview Heights</t>
  </si>
  <si>
    <t>0093</t>
  </si>
  <si>
    <t>Seven 25</t>
  </si>
  <si>
    <t>0094</t>
  </si>
  <si>
    <t>Spruce Meadows</t>
  </si>
  <si>
    <t>0095</t>
  </si>
  <si>
    <t>0096</t>
  </si>
  <si>
    <t>The Outlook</t>
  </si>
  <si>
    <t>0097</t>
  </si>
  <si>
    <t>The Overlook (Terracina)</t>
  </si>
  <si>
    <t>0098</t>
  </si>
  <si>
    <t>The Ridge at Broomfield</t>
  </si>
  <si>
    <t>Thompson</t>
  </si>
  <si>
    <t>0099</t>
  </si>
  <si>
    <t>Trails at Westlake</t>
  </si>
  <si>
    <t>0100</t>
  </si>
  <si>
    <t>Village Square</t>
  </si>
  <si>
    <t>0101</t>
  </si>
  <si>
    <t>Westbrook Preserve</t>
  </si>
  <si>
    <t>0102</t>
  </si>
  <si>
    <t>Westlake Village</t>
  </si>
  <si>
    <t>0103</t>
  </si>
  <si>
    <t>Westlake # 7</t>
  </si>
  <si>
    <t>0104</t>
  </si>
  <si>
    <t>Whistle Pig</t>
  </si>
  <si>
    <t>0105</t>
  </si>
  <si>
    <t>Wildgrass (Archdiocese)</t>
  </si>
  <si>
    <t>0106</t>
  </si>
  <si>
    <t>0107</t>
  </si>
  <si>
    <t>0108</t>
  </si>
  <si>
    <t>Willow Run</t>
  </si>
  <si>
    <t>0109</t>
  </si>
  <si>
    <t>0110</t>
  </si>
  <si>
    <t>Zuni West Annexation</t>
  </si>
  <si>
    <t>0001</t>
  </si>
  <si>
    <t>257 Land</t>
  </si>
  <si>
    <t>0002</t>
  </si>
  <si>
    <t>TOTALS</t>
  </si>
  <si>
    <t xml:space="preserve">     Single Family</t>
  </si>
  <si>
    <t xml:space="preserve">     Multi-Family (All Types)</t>
  </si>
  <si>
    <t>Sunny Slope, Southern Slope, James, Gilmore</t>
  </si>
  <si>
    <t>Civic Center</t>
  </si>
  <si>
    <t>Northmoor Estates</t>
  </si>
  <si>
    <t>Wilcox Annexation</t>
  </si>
  <si>
    <t>correction factor</t>
  </si>
  <si>
    <t>GRAND TOTAL (Net at 5.5% Vacancy Rate)</t>
  </si>
  <si>
    <t>Willow Park, Willow Park West</t>
  </si>
  <si>
    <t xml:space="preserve">Brooomfield Country Club </t>
  </si>
  <si>
    <t>Broomfield Country Club Addition</t>
  </si>
  <si>
    <t>Broomfield Country Club Estates</t>
  </si>
  <si>
    <t>0113</t>
  </si>
  <si>
    <t>0114</t>
  </si>
  <si>
    <t xml:space="preserve">Lambertson Farms </t>
  </si>
  <si>
    <t>Varra Estates</t>
  </si>
  <si>
    <t>Mustang Acres/Brozavich/Tiara Estates</t>
  </si>
  <si>
    <t>Harvest Station</t>
  </si>
  <si>
    <t>JF Beyer (the Crossing)</t>
  </si>
  <si>
    <t>Mid Cities (Greystar/AMLI, Carmel, Etc)</t>
  </si>
  <si>
    <t>0121</t>
  </si>
  <si>
    <t>Northlands</t>
  </si>
  <si>
    <t>Mountain View (Silverleaf)</t>
  </si>
  <si>
    <t>Interlocken East (Camden)</t>
  </si>
  <si>
    <t>(Duplex)</t>
  </si>
  <si>
    <t>Dry Creek Valley</t>
  </si>
  <si>
    <t>Norwest</t>
  </si>
  <si>
    <t>DATA AS OF 7-31-2013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</si>
</sst>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mm/dd/yy_)"/>
    <numFmt numFmtId="165" formatCode="0.00_)"/>
    <numFmt numFmtId="166" formatCode="0_)"/>
    <numFmt numFmtId="167" formatCode="General_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0"/>
      <name val="Arial MT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20"/>
      <name val="Arial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20"/>
      <color indexed="81"/>
      <name val="Tahoma"/>
      <family val="2"/>
    </font>
    <font>
      <sz val="9"/>
      <name val="Arial"/>
      <family val="2"/>
    </font>
    <font>
      <sz val="7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8"/>
      </patternFill>
    </fill>
    <fill>
      <patternFill patternType="solid">
        <fgColor theme="6" tint="0.59999389629810485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24994659260841701"/>
        <bgColor indexed="64"/>
      </patternFill>
    </fill>
  </fills>
  <borders count="5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</cellStyleXfs>
  <cellXfs count="444">
    <xf numFmtId="0" fontId="0" fillId="0" borderId="0" xfId="0"/>
    <xf numFmtId="164" fontId="2" fillId="0" borderId="1" xfId="1" applyNumberFormat="1" applyFont="1" applyBorder="1" applyProtection="1"/>
    <xf numFmtId="0" fontId="2" fillId="0" borderId="2" xfId="1" applyFont="1" applyBorder="1" applyAlignment="1">
      <alignment horizontal="left"/>
    </xf>
    <xf numFmtId="0" fontId="2" fillId="0" borderId="2" xfId="1" applyFont="1" applyBorder="1" applyAlignment="1">
      <alignment horizontal="center"/>
    </xf>
    <xf numFmtId="0" fontId="2" fillId="0" borderId="0" xfId="1" applyFont="1"/>
    <xf numFmtId="0" fontId="2" fillId="0" borderId="3" xfId="1" applyFont="1" applyBorder="1"/>
    <xf numFmtId="0" fontId="2" fillId="0" borderId="0" xfId="1" applyFont="1" applyAlignment="1">
      <alignment horizontal="center"/>
    </xf>
    <xf numFmtId="14" fontId="2" fillId="0" borderId="3" xfId="1" applyNumberFormat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5" xfId="1" applyFont="1" applyBorder="1"/>
    <xf numFmtId="0" fontId="2" fillId="0" borderId="3" xfId="1" applyFont="1" applyBorder="1" applyAlignment="1">
      <alignment horizontal="left"/>
    </xf>
    <xf numFmtId="165" fontId="2" fillId="0" borderId="0" xfId="1" applyNumberFormat="1" applyFont="1" applyProtection="1"/>
    <xf numFmtId="0" fontId="2" fillId="0" borderId="0" xfId="1" applyFont="1" applyFill="1" applyBorder="1" applyAlignment="1">
      <alignment horizontal="centerContinuous"/>
    </xf>
    <xf numFmtId="0" fontId="2" fillId="0" borderId="0" xfId="1" applyFont="1" applyFill="1" applyBorder="1" applyAlignment="1">
      <alignment horizontal="left"/>
    </xf>
    <xf numFmtId="49" fontId="2" fillId="0" borderId="0" xfId="1" applyNumberFormat="1" applyFont="1"/>
    <xf numFmtId="0" fontId="2" fillId="0" borderId="6" xfId="1" applyFont="1" applyFill="1" applyBorder="1" applyAlignment="1">
      <alignment horizontal="centerContinuous"/>
    </xf>
    <xf numFmtId="0" fontId="2" fillId="0" borderId="7" xfId="1" applyFont="1" applyFill="1" applyBorder="1" applyAlignment="1">
      <alignment horizontal="centerContinuous"/>
    </xf>
    <xf numFmtId="0" fontId="2" fillId="0" borderId="8" xfId="1" applyFont="1" applyBorder="1"/>
    <xf numFmtId="0" fontId="2" fillId="0" borderId="0" xfId="1" applyFont="1" applyFill="1" applyBorder="1"/>
    <xf numFmtId="0" fontId="2" fillId="0" borderId="0" xfId="1" applyFont="1" applyFill="1" applyBorder="1" applyAlignment="1">
      <alignment horizontal="center"/>
    </xf>
    <xf numFmtId="0" fontId="2" fillId="0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0" borderId="0" xfId="1" applyFont="1" applyFill="1"/>
    <xf numFmtId="0" fontId="2" fillId="2" borderId="9" xfId="1" applyFont="1" applyFill="1" applyBorder="1" applyAlignment="1">
      <alignment horizontal="center"/>
    </xf>
    <xf numFmtId="14" fontId="2" fillId="0" borderId="8" xfId="1" applyNumberFormat="1" applyFont="1" applyFill="1" applyBorder="1" applyAlignment="1">
      <alignment horizontal="left"/>
    </xf>
    <xf numFmtId="0" fontId="2" fillId="0" borderId="10" xfId="1" applyFont="1" applyFill="1" applyBorder="1"/>
    <xf numFmtId="0" fontId="2" fillId="0" borderId="10" xfId="1" applyFont="1" applyFill="1" applyBorder="1" applyAlignment="1">
      <alignment horizontal="center"/>
    </xf>
    <xf numFmtId="49" fontId="3" fillId="0" borderId="0" xfId="1" applyNumberFormat="1" applyFont="1"/>
    <xf numFmtId="14" fontId="3" fillId="3" borderId="11" xfId="1" applyNumberFormat="1" applyFont="1" applyFill="1" applyBorder="1" applyAlignment="1">
      <alignment horizontal="left"/>
    </xf>
    <xf numFmtId="0" fontId="3" fillId="3" borderId="0" xfId="1" applyFont="1" applyFill="1" applyBorder="1"/>
    <xf numFmtId="0" fontId="3" fillId="3" borderId="0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3" fillId="0" borderId="0" xfId="1" applyFont="1" applyFill="1"/>
    <xf numFmtId="0" fontId="3" fillId="0" borderId="0" xfId="1" applyFont="1"/>
    <xf numFmtId="0" fontId="3" fillId="3" borderId="0" xfId="1" applyFont="1" applyFill="1" applyAlignment="1">
      <alignment horizontal="center"/>
    </xf>
    <xf numFmtId="0" fontId="3" fillId="3" borderId="0" xfId="1" applyFont="1" applyFill="1"/>
    <xf numFmtId="0" fontId="4" fillId="3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14" fontId="2" fillId="3" borderId="11" xfId="1" applyNumberFormat="1" applyFont="1" applyFill="1" applyBorder="1" applyAlignment="1">
      <alignment horizontal="left"/>
    </xf>
    <xf numFmtId="0" fontId="2" fillId="3" borderId="0" xfId="1" applyFont="1" applyFill="1" applyBorder="1"/>
    <xf numFmtId="0" fontId="2" fillId="3" borderId="0" xfId="1" applyFont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49" fontId="2" fillId="0" borderId="13" xfId="1" applyNumberFormat="1" applyFont="1" applyBorder="1" applyAlignment="1">
      <alignment wrapText="1"/>
    </xf>
    <xf numFmtId="0" fontId="5" fillId="4" borderId="16" xfId="1" applyFont="1" applyFill="1" applyBorder="1" applyAlignment="1">
      <alignment horizontal="center" wrapText="1"/>
    </xf>
    <xf numFmtId="14" fontId="5" fillId="4" borderId="16" xfId="1" applyNumberFormat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 wrapText="1"/>
    </xf>
    <xf numFmtId="0" fontId="2" fillId="0" borderId="0" xfId="1" applyFont="1" applyFill="1" applyAlignment="1">
      <alignment wrapText="1"/>
    </xf>
    <xf numFmtId="0" fontId="2" fillId="0" borderId="0" xfId="1" applyFont="1" applyAlignment="1">
      <alignment wrapText="1"/>
    </xf>
    <xf numFmtId="49" fontId="6" fillId="0" borderId="18" xfId="1" applyNumberFormat="1" applyFont="1" applyBorder="1"/>
    <xf numFmtId="0" fontId="6" fillId="5" borderId="19" xfId="1" applyFont="1" applyFill="1" applyBorder="1"/>
    <xf numFmtId="0" fontId="6" fillId="5" borderId="20" xfId="1" applyFont="1" applyFill="1" applyBorder="1"/>
    <xf numFmtId="0" fontId="6" fillId="5" borderId="21" xfId="1" applyFont="1" applyFill="1" applyBorder="1" applyAlignment="1">
      <alignment horizontal="center"/>
    </xf>
    <xf numFmtId="166" fontId="6" fillId="5" borderId="21" xfId="1" applyNumberFormat="1" applyFont="1" applyFill="1" applyBorder="1" applyAlignment="1" applyProtection="1">
      <alignment horizontal="center"/>
    </xf>
    <xf numFmtId="165" fontId="6" fillId="5" borderId="20" xfId="1" applyNumberFormat="1" applyFont="1" applyFill="1" applyBorder="1" applyAlignment="1" applyProtection="1">
      <alignment horizontal="center"/>
    </xf>
    <xf numFmtId="3" fontId="6" fillId="5" borderId="21" xfId="2" applyNumberFormat="1" applyFont="1" applyFill="1" applyBorder="1" applyAlignment="1" applyProtection="1">
      <alignment horizontal="right"/>
    </xf>
    <xf numFmtId="3" fontId="6" fillId="5" borderId="21" xfId="2" applyNumberFormat="1" applyFont="1" applyFill="1" applyBorder="1" applyAlignment="1">
      <alignment horizontal="right"/>
    </xf>
    <xf numFmtId="3" fontId="6" fillId="5" borderId="21" xfId="1" applyNumberFormat="1" applyFont="1" applyFill="1" applyBorder="1"/>
    <xf numFmtId="3" fontId="6" fillId="5" borderId="22" xfId="2" applyNumberFormat="1" applyFont="1" applyFill="1" applyBorder="1" applyAlignment="1" applyProtection="1">
      <alignment horizontal="right"/>
    </xf>
    <xf numFmtId="3" fontId="2" fillId="2" borderId="23" xfId="2" applyNumberFormat="1" applyFont="1" applyFill="1" applyBorder="1" applyAlignment="1" applyProtection="1">
      <alignment horizontal="right"/>
    </xf>
    <xf numFmtId="0" fontId="6" fillId="5" borderId="24" xfId="1" applyFont="1" applyFill="1" applyBorder="1"/>
    <xf numFmtId="0" fontId="6" fillId="5" borderId="25" xfId="1" applyFont="1" applyFill="1" applyBorder="1"/>
    <xf numFmtId="0" fontId="6" fillId="5" borderId="18" xfId="1" applyFont="1" applyFill="1" applyBorder="1" applyAlignment="1">
      <alignment horizontal="center"/>
    </xf>
    <xf numFmtId="166" fontId="6" fillId="5" borderId="18" xfId="1" applyNumberFormat="1" applyFont="1" applyFill="1" applyBorder="1" applyAlignment="1" applyProtection="1">
      <alignment horizontal="center"/>
    </xf>
    <xf numFmtId="3" fontId="6" fillId="5" borderId="18" xfId="2" applyNumberFormat="1" applyFont="1" applyFill="1" applyBorder="1" applyAlignment="1" applyProtection="1">
      <alignment horizontal="right"/>
    </xf>
    <xf numFmtId="3" fontId="6" fillId="5" borderId="26" xfId="2" applyNumberFormat="1" applyFont="1" applyFill="1" applyBorder="1" applyAlignment="1" applyProtection="1">
      <alignment horizontal="right"/>
    </xf>
    <xf numFmtId="0" fontId="6" fillId="6" borderId="27" xfId="1" applyFont="1" applyFill="1" applyBorder="1" applyAlignment="1">
      <alignment horizontal="left"/>
    </xf>
    <xf numFmtId="0" fontId="6" fillId="6" borderId="28" xfId="1" applyFont="1" applyFill="1" applyBorder="1"/>
    <xf numFmtId="0" fontId="6" fillId="6" borderId="0" xfId="1" applyFont="1" applyFill="1" applyBorder="1" applyAlignment="1">
      <alignment horizontal="center"/>
    </xf>
    <xf numFmtId="0" fontId="6" fillId="6" borderId="29" xfId="1" applyFont="1" applyFill="1" applyBorder="1" applyAlignment="1">
      <alignment horizontal="center"/>
    </xf>
    <xf numFmtId="165" fontId="6" fillId="6" borderId="13" xfId="1" applyNumberFormat="1" applyFont="1" applyFill="1" applyBorder="1" applyAlignment="1" applyProtection="1">
      <alignment horizontal="center"/>
    </xf>
    <xf numFmtId="3" fontId="6" fillId="6" borderId="18" xfId="2" applyNumberFormat="1" applyFont="1" applyFill="1" applyBorder="1" applyAlignment="1">
      <alignment horizontal="right"/>
    </xf>
    <xf numFmtId="3" fontId="6" fillId="6" borderId="21" xfId="1" applyNumberFormat="1" applyFont="1" applyFill="1" applyBorder="1"/>
    <xf numFmtId="3" fontId="6" fillId="6" borderId="18" xfId="2" applyNumberFormat="1" applyFont="1" applyFill="1" applyBorder="1" applyAlignment="1" applyProtection="1">
      <alignment horizontal="right"/>
    </xf>
    <xf numFmtId="3" fontId="6" fillId="6" borderId="26" xfId="2" applyNumberFormat="1" applyFont="1" applyFill="1" applyBorder="1" applyAlignment="1" applyProtection="1">
      <alignment horizontal="right"/>
    </xf>
    <xf numFmtId="3" fontId="2" fillId="2" borderId="30" xfId="2" applyNumberFormat="1" applyFont="1" applyFill="1" applyBorder="1" applyAlignment="1">
      <alignment horizontal="right"/>
    </xf>
    <xf numFmtId="165" fontId="6" fillId="7" borderId="27" xfId="1" applyNumberFormat="1" applyFont="1" applyFill="1" applyBorder="1" applyAlignment="1" applyProtection="1">
      <alignment horizontal="left"/>
    </xf>
    <xf numFmtId="0" fontId="6" fillId="7" borderId="0" xfId="1" applyFont="1" applyFill="1" applyBorder="1"/>
    <xf numFmtId="0" fontId="6" fillId="7" borderId="18" xfId="1" applyFont="1" applyFill="1" applyBorder="1" applyAlignment="1">
      <alignment horizontal="center"/>
    </xf>
    <xf numFmtId="165" fontId="6" fillId="7" borderId="13" xfId="1" applyNumberFormat="1" applyFont="1" applyFill="1" applyBorder="1" applyAlignment="1" applyProtection="1">
      <alignment horizontal="center"/>
    </xf>
    <xf numFmtId="3" fontId="6" fillId="7" borderId="18" xfId="2" applyNumberFormat="1" applyFont="1" applyFill="1" applyBorder="1" applyAlignment="1" applyProtection="1">
      <alignment horizontal="right"/>
    </xf>
    <xf numFmtId="3" fontId="6" fillId="7" borderId="18" xfId="2" applyNumberFormat="1" applyFont="1" applyFill="1" applyBorder="1" applyAlignment="1">
      <alignment horizontal="right"/>
    </xf>
    <xf numFmtId="3" fontId="6" fillId="7" borderId="21" xfId="1" applyNumberFormat="1" applyFont="1" applyFill="1" applyBorder="1"/>
    <xf numFmtId="3" fontId="6" fillId="7" borderId="26" xfId="2" applyNumberFormat="1" applyFont="1" applyFill="1" applyBorder="1" applyAlignment="1" applyProtection="1">
      <alignment horizontal="right"/>
    </xf>
    <xf numFmtId="3" fontId="2" fillId="2" borderId="30" xfId="2" applyNumberFormat="1" applyFont="1" applyFill="1" applyBorder="1" applyAlignment="1" applyProtection="1">
      <alignment horizontal="right"/>
    </xf>
    <xf numFmtId="0" fontId="6" fillId="8" borderId="27" xfId="1" applyFont="1" applyFill="1" applyBorder="1"/>
    <xf numFmtId="0" fontId="6" fillId="8" borderId="25" xfId="1" applyFont="1" applyFill="1" applyBorder="1"/>
    <xf numFmtId="0" fontId="6" fillId="8" borderId="18" xfId="1" applyFont="1" applyFill="1" applyBorder="1" applyAlignment="1">
      <alignment horizontal="center"/>
    </xf>
    <xf numFmtId="0" fontId="6" fillId="8" borderId="13" xfId="1" applyFont="1" applyFill="1" applyBorder="1" applyAlignment="1">
      <alignment horizontal="center"/>
    </xf>
    <xf numFmtId="3" fontId="6" fillId="8" borderId="18" xfId="1" applyNumberFormat="1" applyFont="1" applyFill="1" applyBorder="1" applyAlignment="1">
      <alignment horizontal="right"/>
    </xf>
    <xf numFmtId="3" fontId="6" fillId="8" borderId="18" xfId="2" applyNumberFormat="1" applyFont="1" applyFill="1" applyBorder="1" applyAlignment="1" applyProtection="1">
      <alignment horizontal="right"/>
    </xf>
    <xf numFmtId="3" fontId="6" fillId="8" borderId="18" xfId="2" applyNumberFormat="1" applyFont="1" applyFill="1" applyBorder="1" applyAlignment="1">
      <alignment horizontal="right"/>
    </xf>
    <xf numFmtId="3" fontId="6" fillId="8" borderId="21" xfId="1" applyNumberFormat="1" applyFont="1" applyFill="1" applyBorder="1"/>
    <xf numFmtId="3" fontId="6" fillId="8" borderId="26" xfId="2" applyNumberFormat="1" applyFont="1" applyFill="1" applyBorder="1" applyAlignment="1" applyProtection="1">
      <alignment horizontal="right"/>
    </xf>
    <xf numFmtId="0" fontId="6" fillId="8" borderId="0" xfId="1" applyFont="1" applyFill="1" applyBorder="1"/>
    <xf numFmtId="0" fontId="6" fillId="8" borderId="24" xfId="1" applyFont="1" applyFill="1" applyBorder="1"/>
    <xf numFmtId="0" fontId="6" fillId="9" borderId="24" xfId="1" applyFont="1" applyFill="1" applyBorder="1"/>
    <xf numFmtId="0" fontId="6" fillId="9" borderId="31" xfId="1" applyFont="1" applyFill="1" applyBorder="1"/>
    <xf numFmtId="0" fontId="6" fillId="9" borderId="18" xfId="1" applyFont="1" applyFill="1" applyBorder="1" applyAlignment="1">
      <alignment horizontal="center"/>
    </xf>
    <xf numFmtId="0" fontId="6" fillId="9" borderId="13" xfId="1" applyFont="1" applyFill="1" applyBorder="1" applyAlignment="1">
      <alignment horizontal="center"/>
    </xf>
    <xf numFmtId="165" fontId="6" fillId="9" borderId="13" xfId="1" applyNumberFormat="1" applyFont="1" applyFill="1" applyBorder="1" applyAlignment="1" applyProtection="1">
      <alignment horizontal="center"/>
    </xf>
    <xf numFmtId="3" fontId="6" fillId="9" borderId="18" xfId="1" applyNumberFormat="1" applyFont="1" applyFill="1" applyBorder="1" applyAlignment="1">
      <alignment horizontal="right"/>
    </xf>
    <xf numFmtId="3" fontId="6" fillId="9" borderId="18" xfId="2" applyNumberFormat="1" applyFont="1" applyFill="1" applyBorder="1" applyAlignment="1" applyProtection="1">
      <alignment horizontal="right"/>
    </xf>
    <xf numFmtId="3" fontId="6" fillId="9" borderId="18" xfId="2" applyNumberFormat="1" applyFont="1" applyFill="1" applyBorder="1" applyAlignment="1">
      <alignment horizontal="right"/>
    </xf>
    <xf numFmtId="3" fontId="6" fillId="9" borderId="21" xfId="1" applyNumberFormat="1" applyFont="1" applyFill="1" applyBorder="1"/>
    <xf numFmtId="3" fontId="6" fillId="9" borderId="26" xfId="2" applyNumberFormat="1" applyFont="1" applyFill="1" applyBorder="1" applyAlignment="1" applyProtection="1">
      <alignment horizontal="right"/>
    </xf>
    <xf numFmtId="0" fontId="6" fillId="10" borderId="11" xfId="1" applyFont="1" applyFill="1" applyBorder="1"/>
    <xf numFmtId="0" fontId="6" fillId="10" borderId="0" xfId="1" applyFont="1" applyFill="1" applyBorder="1"/>
    <xf numFmtId="0" fontId="6" fillId="10" borderId="18" xfId="1" applyFont="1" applyFill="1" applyBorder="1" applyAlignment="1">
      <alignment horizontal="center"/>
    </xf>
    <xf numFmtId="0" fontId="6" fillId="10" borderId="13" xfId="1" applyFont="1" applyFill="1" applyBorder="1" applyAlignment="1">
      <alignment horizontal="center"/>
    </xf>
    <xf numFmtId="0" fontId="7" fillId="11" borderId="13" xfId="1" applyFont="1" applyFill="1" applyBorder="1" applyAlignment="1">
      <alignment horizontal="center"/>
    </xf>
    <xf numFmtId="3" fontId="6" fillId="10" borderId="18" xfId="1" applyNumberFormat="1" applyFont="1" applyFill="1" applyBorder="1" applyAlignment="1">
      <alignment horizontal="right"/>
    </xf>
    <xf numFmtId="3" fontId="6" fillId="10" borderId="18" xfId="2" applyNumberFormat="1" applyFont="1" applyFill="1" applyBorder="1" applyAlignment="1" applyProtection="1">
      <alignment horizontal="right"/>
    </xf>
    <xf numFmtId="3" fontId="6" fillId="10" borderId="18" xfId="2" applyNumberFormat="1" applyFont="1" applyFill="1" applyBorder="1" applyAlignment="1">
      <alignment horizontal="right"/>
    </xf>
    <xf numFmtId="3" fontId="6" fillId="10" borderId="21" xfId="1" applyNumberFormat="1" applyFont="1" applyFill="1" applyBorder="1"/>
    <xf numFmtId="3" fontId="6" fillId="10" borderId="26" xfId="2" applyNumberFormat="1" applyFont="1" applyFill="1" applyBorder="1" applyAlignment="1" applyProtection="1">
      <alignment horizontal="right"/>
    </xf>
    <xf numFmtId="167" fontId="6" fillId="5" borderId="24" xfId="1" applyNumberFormat="1" applyFont="1" applyFill="1" applyBorder="1" applyAlignment="1" applyProtection="1">
      <alignment horizontal="left"/>
    </xf>
    <xf numFmtId="167" fontId="6" fillId="5" borderId="13" xfId="1" applyNumberFormat="1" applyFont="1" applyFill="1" applyBorder="1" applyAlignment="1" applyProtection="1">
      <alignment horizontal="center"/>
    </xf>
    <xf numFmtId="3" fontId="6" fillId="5" borderId="18" xfId="2" applyNumberFormat="1" applyFont="1" applyFill="1" applyBorder="1" applyAlignment="1">
      <alignment horizontal="right"/>
    </xf>
    <xf numFmtId="166" fontId="6" fillId="5" borderId="13" xfId="1" applyNumberFormat="1" applyFont="1" applyFill="1" applyBorder="1" applyAlignment="1" applyProtection="1">
      <alignment horizontal="center"/>
    </xf>
    <xf numFmtId="165" fontId="6" fillId="6" borderId="24" xfId="1" applyNumberFormat="1" applyFont="1" applyFill="1" applyBorder="1" applyAlignment="1" applyProtection="1">
      <alignment horizontal="left"/>
    </xf>
    <xf numFmtId="0" fontId="6" fillId="6" borderId="32" xfId="1" applyFont="1" applyFill="1" applyBorder="1"/>
    <xf numFmtId="0" fontId="6" fillId="6" borderId="18" xfId="1" applyFont="1" applyFill="1" applyBorder="1" applyAlignment="1">
      <alignment horizontal="center"/>
    </xf>
    <xf numFmtId="165" fontId="6" fillId="6" borderId="33" xfId="1" applyNumberFormat="1" applyFont="1" applyFill="1" applyBorder="1" applyAlignment="1" applyProtection="1">
      <alignment horizontal="left"/>
    </xf>
    <xf numFmtId="0" fontId="6" fillId="7" borderId="33" xfId="1" applyFont="1" applyFill="1" applyBorder="1" applyAlignment="1">
      <alignment horizontal="left"/>
    </xf>
    <xf numFmtId="0" fontId="6" fillId="7" borderId="32" xfId="1" applyFont="1" applyFill="1" applyBorder="1"/>
    <xf numFmtId="0" fontId="6" fillId="7" borderId="13" xfId="1" applyFont="1" applyFill="1" applyBorder="1" applyAlignment="1">
      <alignment horizontal="center"/>
    </xf>
    <xf numFmtId="0" fontId="6" fillId="8" borderId="33" xfId="1" applyFont="1" applyFill="1" applyBorder="1" applyAlignment="1">
      <alignment horizontal="left"/>
    </xf>
    <xf numFmtId="0" fontId="6" fillId="8" borderId="32" xfId="1" applyFont="1" applyFill="1" applyBorder="1"/>
    <xf numFmtId="0" fontId="6" fillId="9" borderId="33" xfId="1" applyFont="1" applyFill="1" applyBorder="1" applyAlignment="1">
      <alignment horizontal="left"/>
    </xf>
    <xf numFmtId="0" fontId="6" fillId="9" borderId="32" xfId="1" applyFont="1" applyFill="1" applyBorder="1"/>
    <xf numFmtId="0" fontId="8" fillId="9" borderId="32" xfId="1" applyFont="1" applyFill="1" applyBorder="1"/>
    <xf numFmtId="0" fontId="7" fillId="11" borderId="33" xfId="1" applyFont="1" applyFill="1" applyBorder="1" applyAlignment="1">
      <alignment horizontal="left"/>
    </xf>
    <xf numFmtId="0" fontId="9" fillId="11" borderId="32" xfId="1" applyFont="1" applyFill="1" applyBorder="1"/>
    <xf numFmtId="0" fontId="7" fillId="11" borderId="18" xfId="1" applyFont="1" applyFill="1" applyBorder="1" applyAlignment="1">
      <alignment horizontal="center"/>
    </xf>
    <xf numFmtId="3" fontId="7" fillId="11" borderId="18" xfId="1" applyNumberFormat="1" applyFont="1" applyFill="1" applyBorder="1" applyAlignment="1">
      <alignment horizontal="right"/>
    </xf>
    <xf numFmtId="3" fontId="7" fillId="10" borderId="18" xfId="1" applyNumberFormat="1" applyFont="1" applyFill="1" applyBorder="1" applyAlignment="1">
      <alignment horizontal="right"/>
    </xf>
    <xf numFmtId="3" fontId="6" fillId="10" borderId="18" xfId="1" applyNumberFormat="1" applyFont="1" applyFill="1" applyBorder="1" applyAlignment="1" applyProtection="1">
      <alignment horizontal="right"/>
    </xf>
    <xf numFmtId="3" fontId="2" fillId="2" borderId="30" xfId="1" applyNumberFormat="1" applyFont="1" applyFill="1" applyBorder="1" applyAlignment="1" applyProtection="1">
      <alignment horizontal="right"/>
    </xf>
    <xf numFmtId="165" fontId="6" fillId="12" borderId="34" xfId="1" applyNumberFormat="1" applyFont="1" applyFill="1" applyBorder="1" applyAlignment="1" applyProtection="1">
      <alignment horizontal="left"/>
    </xf>
    <xf numFmtId="0" fontId="6" fillId="12" borderId="35" xfId="1" applyFont="1" applyFill="1" applyBorder="1"/>
    <xf numFmtId="0" fontId="6" fillId="12" borderId="18" xfId="1" applyFont="1" applyFill="1" applyBorder="1" applyAlignment="1">
      <alignment horizontal="center"/>
    </xf>
    <xf numFmtId="165" fontId="6" fillId="12" borderId="13" xfId="1" applyNumberFormat="1" applyFont="1" applyFill="1" applyBorder="1" applyAlignment="1" applyProtection="1">
      <alignment horizontal="center"/>
    </xf>
    <xf numFmtId="3" fontId="6" fillId="12" borderId="18" xfId="2" applyNumberFormat="1" applyFont="1" applyFill="1" applyBorder="1" applyAlignment="1" applyProtection="1">
      <alignment horizontal="right"/>
    </xf>
    <xf numFmtId="3" fontId="6" fillId="12" borderId="18" xfId="2" applyNumberFormat="1" applyFont="1" applyFill="1" applyBorder="1" applyAlignment="1">
      <alignment horizontal="right"/>
    </xf>
    <xf numFmtId="3" fontId="6" fillId="12" borderId="21" xfId="1" applyNumberFormat="1" applyFont="1" applyFill="1" applyBorder="1"/>
    <xf numFmtId="3" fontId="6" fillId="12" borderId="26" xfId="2" applyNumberFormat="1" applyFont="1" applyFill="1" applyBorder="1" applyAlignment="1" applyProtection="1">
      <alignment horizontal="right"/>
    </xf>
    <xf numFmtId="165" fontId="6" fillId="5" borderId="19" xfId="1" applyNumberFormat="1" applyFont="1" applyFill="1" applyBorder="1" applyAlignment="1" applyProtection="1">
      <alignment horizontal="left"/>
    </xf>
    <xf numFmtId="0" fontId="6" fillId="5" borderId="32" xfId="1" applyFont="1" applyFill="1" applyBorder="1"/>
    <xf numFmtId="167" fontId="6" fillId="6" borderId="33" xfId="1" applyNumberFormat="1" applyFont="1" applyFill="1" applyBorder="1" applyAlignment="1" applyProtection="1">
      <alignment horizontal="left"/>
    </xf>
    <xf numFmtId="167" fontId="6" fillId="6" borderId="13" xfId="1" applyNumberFormat="1" applyFont="1" applyFill="1" applyBorder="1" applyAlignment="1" applyProtection="1">
      <alignment horizontal="center"/>
    </xf>
    <xf numFmtId="0" fontId="6" fillId="7" borderId="34" xfId="1" applyFont="1" applyFill="1" applyBorder="1"/>
    <xf numFmtId="0" fontId="6" fillId="7" borderId="36" xfId="1" applyFont="1" applyFill="1" applyBorder="1"/>
    <xf numFmtId="0" fontId="6" fillId="8" borderId="24" xfId="1" applyFont="1" applyFill="1" applyBorder="1" applyAlignment="1">
      <alignment horizontal="left"/>
    </xf>
    <xf numFmtId="0" fontId="7" fillId="9" borderId="24" xfId="1" applyFont="1" applyFill="1" applyBorder="1" applyAlignment="1">
      <alignment horizontal="left"/>
    </xf>
    <xf numFmtId="0" fontId="7" fillId="9" borderId="32" xfId="1" applyFont="1" applyFill="1" applyBorder="1"/>
    <xf numFmtId="0" fontId="7" fillId="9" borderId="18" xfId="1" applyFont="1" applyFill="1" applyBorder="1" applyAlignment="1">
      <alignment horizontal="center"/>
    </xf>
    <xf numFmtId="0" fontId="7" fillId="9" borderId="13" xfId="1" applyFont="1" applyFill="1" applyBorder="1" applyAlignment="1">
      <alignment horizontal="center"/>
    </xf>
    <xf numFmtId="3" fontId="7" fillId="9" borderId="18" xfId="2" applyNumberFormat="1" applyFont="1" applyFill="1" applyBorder="1" applyAlignment="1">
      <alignment horizontal="right"/>
    </xf>
    <xf numFmtId="3" fontId="10" fillId="2" borderId="30" xfId="2" applyNumberFormat="1" applyFont="1" applyFill="1" applyBorder="1" applyAlignment="1">
      <alignment horizontal="right"/>
    </xf>
    <xf numFmtId="165" fontId="6" fillId="10" borderId="24" xfId="1" applyNumberFormat="1" applyFont="1" applyFill="1" applyBorder="1" applyAlignment="1" applyProtection="1">
      <alignment horizontal="left"/>
    </xf>
    <xf numFmtId="0" fontId="6" fillId="10" borderId="25" xfId="1" applyFont="1" applyFill="1" applyBorder="1"/>
    <xf numFmtId="0" fontId="6" fillId="12" borderId="24" xfId="1" applyFont="1" applyFill="1" applyBorder="1" applyAlignment="1">
      <alignment horizontal="left"/>
    </xf>
    <xf numFmtId="0" fontId="6" fillId="12" borderId="25" xfId="1" applyFont="1" applyFill="1" applyBorder="1"/>
    <xf numFmtId="0" fontId="6" fillId="12" borderId="13" xfId="1" applyFont="1" applyFill="1" applyBorder="1" applyAlignment="1">
      <alignment horizontal="center"/>
    </xf>
    <xf numFmtId="0" fontId="6" fillId="12" borderId="32" xfId="1" applyFont="1" applyFill="1" applyBorder="1"/>
    <xf numFmtId="0" fontId="6" fillId="12" borderId="19" xfId="1" applyFont="1" applyFill="1" applyBorder="1" applyAlignment="1">
      <alignment horizontal="left"/>
    </xf>
    <xf numFmtId="0" fontId="6" fillId="12" borderId="20" xfId="1" applyFont="1" applyFill="1" applyBorder="1"/>
    <xf numFmtId="167" fontId="6" fillId="6" borderId="19" xfId="1" applyNumberFormat="1" applyFont="1" applyFill="1" applyBorder="1" applyAlignment="1" applyProtection="1">
      <alignment horizontal="left"/>
    </xf>
    <xf numFmtId="0" fontId="6" fillId="6" borderId="20" xfId="1" applyFont="1" applyFill="1" applyBorder="1"/>
    <xf numFmtId="0" fontId="7" fillId="13" borderId="24" xfId="1" applyFont="1" applyFill="1" applyBorder="1" applyAlignment="1">
      <alignment horizontal="left"/>
    </xf>
    <xf numFmtId="0" fontId="9" fillId="13" borderId="25" xfId="1" applyFont="1" applyFill="1" applyBorder="1"/>
    <xf numFmtId="0" fontId="7" fillId="13" borderId="18" xfId="1" applyFont="1" applyFill="1" applyBorder="1" applyAlignment="1">
      <alignment horizontal="center"/>
    </xf>
    <xf numFmtId="0" fontId="7" fillId="13" borderId="13" xfId="1" applyFont="1" applyFill="1" applyBorder="1" applyAlignment="1">
      <alignment horizontal="center"/>
    </xf>
    <xf numFmtId="3" fontId="7" fillId="13" borderId="18" xfId="1" applyNumberFormat="1" applyFont="1" applyFill="1" applyBorder="1" applyAlignment="1">
      <alignment horizontal="right"/>
    </xf>
    <xf numFmtId="3" fontId="6" fillId="7" borderId="18" xfId="1" applyNumberFormat="1" applyFont="1" applyFill="1" applyBorder="1" applyAlignment="1" applyProtection="1">
      <alignment horizontal="right"/>
    </xf>
    <xf numFmtId="167" fontId="6" fillId="8" borderId="24" xfId="1" applyNumberFormat="1" applyFont="1" applyFill="1" applyBorder="1" applyAlignment="1" applyProtection="1">
      <alignment horizontal="left"/>
    </xf>
    <xf numFmtId="167" fontId="6" fillId="8" borderId="13" xfId="1" applyNumberFormat="1" applyFont="1" applyFill="1" applyBorder="1" applyAlignment="1" applyProtection="1">
      <alignment horizontal="center"/>
    </xf>
    <xf numFmtId="165" fontId="6" fillId="9" borderId="19" xfId="1" applyNumberFormat="1" applyFont="1" applyFill="1" applyBorder="1" applyAlignment="1" applyProtection="1">
      <alignment horizontal="left"/>
    </xf>
    <xf numFmtId="0" fontId="6" fillId="9" borderId="20" xfId="1" applyFont="1" applyFill="1" applyBorder="1"/>
    <xf numFmtId="0" fontId="8" fillId="10" borderId="32" xfId="1" applyFont="1" applyFill="1" applyBorder="1"/>
    <xf numFmtId="165" fontId="6" fillId="10" borderId="18" xfId="1" applyNumberFormat="1" applyFont="1" applyFill="1" applyBorder="1" applyAlignment="1" applyProtection="1">
      <alignment horizontal="center"/>
    </xf>
    <xf numFmtId="165" fontId="6" fillId="12" borderId="19" xfId="1" applyNumberFormat="1" applyFont="1" applyFill="1" applyBorder="1" applyAlignment="1" applyProtection="1">
      <alignment horizontal="left"/>
    </xf>
    <xf numFmtId="0" fontId="8" fillId="12" borderId="20" xfId="1" applyFont="1" applyFill="1" applyBorder="1"/>
    <xf numFmtId="165" fontId="6" fillId="12" borderId="18" xfId="1" applyNumberFormat="1" applyFont="1" applyFill="1" applyBorder="1" applyAlignment="1" applyProtection="1">
      <alignment horizontal="center"/>
    </xf>
    <xf numFmtId="166" fontId="6" fillId="12" borderId="37" xfId="1" applyNumberFormat="1" applyFont="1" applyFill="1" applyBorder="1" applyAlignment="1" applyProtection="1">
      <alignment horizontal="right"/>
    </xf>
    <xf numFmtId="0" fontId="6" fillId="12" borderId="21" xfId="1" applyFont="1" applyFill="1" applyBorder="1" applyAlignment="1">
      <alignment horizontal="center"/>
    </xf>
    <xf numFmtId="165" fontId="6" fillId="12" borderId="21" xfId="1" applyNumberFormat="1" applyFont="1" applyFill="1" applyBorder="1" applyAlignment="1" applyProtection="1">
      <alignment horizontal="center"/>
    </xf>
    <xf numFmtId="0" fontId="8" fillId="12" borderId="31" xfId="1" applyFont="1" applyFill="1" applyBorder="1"/>
    <xf numFmtId="0" fontId="8" fillId="12" borderId="0" xfId="1" applyFont="1" applyFill="1" applyBorder="1"/>
    <xf numFmtId="2" fontId="6" fillId="12" borderId="18" xfId="1" applyNumberFormat="1" applyFont="1" applyFill="1" applyBorder="1" applyAlignment="1" applyProtection="1">
      <alignment horizontal="center"/>
    </xf>
    <xf numFmtId="0" fontId="8" fillId="5" borderId="35" xfId="1" applyFont="1" applyFill="1" applyBorder="1"/>
    <xf numFmtId="165" fontId="6" fillId="5" borderId="18" xfId="1" applyNumberFormat="1" applyFont="1" applyFill="1" applyBorder="1" applyAlignment="1" applyProtection="1">
      <alignment horizontal="center"/>
    </xf>
    <xf numFmtId="3" fontId="6" fillId="5" borderId="18" xfId="1" applyNumberFormat="1" applyFont="1" applyFill="1" applyBorder="1" applyAlignment="1" applyProtection="1">
      <alignment horizontal="right"/>
    </xf>
    <xf numFmtId="165" fontId="6" fillId="6" borderId="19" xfId="1" applyNumberFormat="1" applyFont="1" applyFill="1" applyBorder="1" applyAlignment="1" applyProtection="1">
      <alignment horizontal="left"/>
    </xf>
    <xf numFmtId="165" fontId="6" fillId="6" borderId="18" xfId="1" applyNumberFormat="1" applyFont="1" applyFill="1" applyBorder="1" applyAlignment="1" applyProtection="1">
      <alignment horizontal="center"/>
    </xf>
    <xf numFmtId="3" fontId="6" fillId="6" borderId="18" xfId="1" applyNumberFormat="1" applyFont="1" applyFill="1" applyBorder="1" applyAlignment="1" applyProtection="1">
      <alignment horizontal="right"/>
    </xf>
    <xf numFmtId="165" fontId="6" fillId="7" borderId="19" xfId="1" applyNumberFormat="1" applyFont="1" applyFill="1" applyBorder="1" applyAlignment="1" applyProtection="1">
      <alignment horizontal="left"/>
    </xf>
    <xf numFmtId="0" fontId="6" fillId="7" borderId="37" xfId="1" applyFont="1" applyFill="1" applyBorder="1"/>
    <xf numFmtId="0" fontId="6" fillId="7" borderId="21" xfId="1" applyFont="1" applyFill="1" applyBorder="1" applyAlignment="1">
      <alignment horizontal="center"/>
    </xf>
    <xf numFmtId="165" fontId="6" fillId="7" borderId="18" xfId="1" applyNumberFormat="1" applyFont="1" applyFill="1" applyBorder="1" applyAlignment="1" applyProtection="1">
      <alignment horizontal="center"/>
    </xf>
    <xf numFmtId="165" fontId="6" fillId="7" borderId="24" xfId="1" applyNumberFormat="1" applyFont="1" applyFill="1" applyBorder="1" applyAlignment="1" applyProtection="1">
      <alignment horizontal="left"/>
    </xf>
    <xf numFmtId="0" fontId="6" fillId="7" borderId="20" xfId="1" applyFont="1" applyFill="1" applyBorder="1"/>
    <xf numFmtId="165" fontId="6" fillId="8" borderId="33" xfId="1" applyNumberFormat="1" applyFont="1" applyFill="1" applyBorder="1" applyAlignment="1" applyProtection="1">
      <alignment horizontal="left"/>
    </xf>
    <xf numFmtId="0" fontId="6" fillId="8" borderId="20" xfId="1" applyFont="1" applyFill="1" applyBorder="1"/>
    <xf numFmtId="0" fontId="6" fillId="8" borderId="21" xfId="1" applyFont="1" applyFill="1" applyBorder="1" applyAlignment="1">
      <alignment horizontal="center"/>
    </xf>
    <xf numFmtId="165" fontId="6" fillId="8" borderId="18" xfId="1" applyNumberFormat="1" applyFont="1" applyFill="1" applyBorder="1" applyAlignment="1" applyProtection="1">
      <alignment horizontal="center"/>
    </xf>
    <xf numFmtId="0" fontId="6" fillId="9" borderId="33" xfId="1" applyFont="1" applyFill="1" applyBorder="1"/>
    <xf numFmtId="165" fontId="6" fillId="9" borderId="18" xfId="1" applyNumberFormat="1" applyFont="1" applyFill="1" applyBorder="1" applyAlignment="1" applyProtection="1">
      <alignment horizontal="center"/>
    </xf>
    <xf numFmtId="0" fontId="6" fillId="9" borderId="19" xfId="1" applyFont="1" applyFill="1" applyBorder="1"/>
    <xf numFmtId="0" fontId="6" fillId="9" borderId="11" xfId="1" applyFont="1" applyFill="1" applyBorder="1"/>
    <xf numFmtId="0" fontId="6" fillId="9" borderId="0" xfId="1" applyFont="1" applyFill="1" applyBorder="1"/>
    <xf numFmtId="165" fontId="6" fillId="10" borderId="19" xfId="1" applyNumberFormat="1" applyFont="1" applyFill="1" applyBorder="1" applyAlignment="1" applyProtection="1">
      <alignment horizontal="left"/>
    </xf>
    <xf numFmtId="0" fontId="6" fillId="10" borderId="20" xfId="1" applyFont="1" applyFill="1" applyBorder="1"/>
    <xf numFmtId="0" fontId="6" fillId="10" borderId="32" xfId="1" applyFont="1" applyFill="1" applyBorder="1"/>
    <xf numFmtId="165" fontId="6" fillId="8" borderId="19" xfId="1" applyNumberFormat="1" applyFont="1" applyFill="1" applyBorder="1" applyAlignment="1" applyProtection="1">
      <alignment horizontal="left"/>
    </xf>
    <xf numFmtId="0" fontId="6" fillId="8" borderId="38" xfId="1" applyFont="1" applyFill="1" applyBorder="1"/>
    <xf numFmtId="0" fontId="6" fillId="6" borderId="33" xfId="1" applyFont="1" applyFill="1" applyBorder="1" applyAlignment="1">
      <alignment horizontal="left"/>
    </xf>
    <xf numFmtId="0" fontId="6" fillId="6" borderId="34" xfId="1" applyFont="1" applyFill="1" applyBorder="1" applyAlignment="1">
      <alignment horizontal="left"/>
    </xf>
    <xf numFmtId="0" fontId="6" fillId="6" borderId="36" xfId="1" applyFont="1" applyFill="1" applyBorder="1"/>
    <xf numFmtId="0" fontId="6" fillId="6" borderId="19" xfId="1" applyFont="1" applyFill="1" applyBorder="1" applyAlignment="1">
      <alignment horizontal="left"/>
    </xf>
    <xf numFmtId="0" fontId="6" fillId="7" borderId="24" xfId="1" applyFont="1" applyFill="1" applyBorder="1"/>
    <xf numFmtId="0" fontId="6" fillId="7" borderId="31" xfId="1" applyFont="1" applyFill="1" applyBorder="1"/>
    <xf numFmtId="0" fontId="6" fillId="7" borderId="19" xfId="1" applyFont="1" applyFill="1" applyBorder="1"/>
    <xf numFmtId="165" fontId="6" fillId="8" borderId="24" xfId="1" applyNumberFormat="1" applyFont="1" applyFill="1" applyBorder="1" applyAlignment="1" applyProtection="1">
      <alignment horizontal="left"/>
    </xf>
    <xf numFmtId="0" fontId="6" fillId="9" borderId="24" xfId="1" applyFont="1" applyFill="1" applyBorder="1" applyAlignment="1">
      <alignment horizontal="left"/>
    </xf>
    <xf numFmtId="0" fontId="6" fillId="9" borderId="25" xfId="1" applyFont="1" applyFill="1" applyBorder="1"/>
    <xf numFmtId="0" fontId="6" fillId="10" borderId="24" xfId="1" applyFont="1" applyFill="1" applyBorder="1" applyAlignment="1">
      <alignment horizontal="left"/>
    </xf>
    <xf numFmtId="165" fontId="6" fillId="12" borderId="24" xfId="1" applyNumberFormat="1" applyFont="1" applyFill="1" applyBorder="1" applyAlignment="1" applyProtection="1">
      <alignment horizontal="left"/>
    </xf>
    <xf numFmtId="0" fontId="7" fillId="6" borderId="24" xfId="1" applyFont="1" applyFill="1" applyBorder="1" applyAlignment="1">
      <alignment horizontal="left"/>
    </xf>
    <xf numFmtId="0" fontId="7" fillId="6" borderId="18" xfId="1" applyFont="1" applyFill="1" applyBorder="1" applyAlignment="1">
      <alignment horizontal="center"/>
    </xf>
    <xf numFmtId="3" fontId="7" fillId="6" borderId="18" xfId="2" applyNumberFormat="1" applyFont="1" applyFill="1" applyBorder="1" applyAlignment="1">
      <alignment horizontal="right"/>
    </xf>
    <xf numFmtId="3" fontId="7" fillId="6" borderId="18" xfId="2" applyNumberFormat="1" applyFont="1" applyFill="1" applyBorder="1" applyAlignment="1" applyProtection="1">
      <alignment horizontal="right"/>
    </xf>
    <xf numFmtId="3" fontId="10" fillId="2" borderId="30" xfId="2" applyNumberFormat="1" applyFont="1" applyFill="1" applyBorder="1" applyAlignment="1" applyProtection="1">
      <alignment horizontal="right"/>
    </xf>
    <xf numFmtId="0" fontId="6" fillId="7" borderId="33" xfId="1" applyFont="1" applyFill="1" applyBorder="1"/>
    <xf numFmtId="0" fontId="6" fillId="8" borderId="33" xfId="1" applyFont="1" applyFill="1" applyBorder="1"/>
    <xf numFmtId="3" fontId="6" fillId="8" borderId="18" xfId="1" applyNumberFormat="1" applyFont="1" applyFill="1" applyBorder="1" applyAlignment="1" applyProtection="1">
      <alignment horizontal="right"/>
    </xf>
    <xf numFmtId="3" fontId="6" fillId="9" borderId="18" xfId="1" applyNumberFormat="1" applyFont="1" applyFill="1" applyBorder="1" applyAlignment="1" applyProtection="1">
      <alignment horizontal="right"/>
    </xf>
    <xf numFmtId="0" fontId="6" fillId="12" borderId="33" xfId="1" applyFont="1" applyFill="1" applyBorder="1" applyAlignment="1">
      <alignment horizontal="left"/>
    </xf>
    <xf numFmtId="167" fontId="6" fillId="12" borderId="18" xfId="1" applyNumberFormat="1" applyFont="1" applyFill="1" applyBorder="1" applyAlignment="1" applyProtection="1">
      <alignment horizontal="center"/>
    </xf>
    <xf numFmtId="0" fontId="6" fillId="12" borderId="11" xfId="1" applyFont="1" applyFill="1" applyBorder="1" applyAlignment="1">
      <alignment horizontal="left"/>
    </xf>
    <xf numFmtId="0" fontId="6" fillId="12" borderId="0" xfId="1" applyFont="1" applyFill="1" applyBorder="1"/>
    <xf numFmtId="0" fontId="6" fillId="5" borderId="35" xfId="1" applyFont="1" applyFill="1" applyBorder="1"/>
    <xf numFmtId="167" fontId="6" fillId="5" borderId="18" xfId="1" applyNumberFormat="1" applyFont="1" applyFill="1" applyBorder="1" applyAlignment="1" applyProtection="1">
      <alignment horizontal="center"/>
    </xf>
    <xf numFmtId="0" fontId="6" fillId="6" borderId="33" xfId="1" applyFont="1" applyFill="1" applyBorder="1"/>
    <xf numFmtId="166" fontId="6" fillId="6" borderId="18" xfId="1" applyNumberFormat="1" applyFont="1" applyFill="1" applyBorder="1" applyAlignment="1" applyProtection="1">
      <alignment horizontal="center"/>
    </xf>
    <xf numFmtId="167" fontId="6" fillId="9" borderId="33" xfId="1" applyNumberFormat="1" applyFont="1" applyFill="1" applyBorder="1" applyAlignment="1" applyProtection="1">
      <alignment horizontal="left"/>
    </xf>
    <xf numFmtId="167" fontId="6" fillId="9" borderId="18" xfId="1" applyNumberFormat="1" applyFont="1" applyFill="1" applyBorder="1" applyAlignment="1" applyProtection="1">
      <alignment horizontal="center"/>
    </xf>
    <xf numFmtId="0" fontId="6" fillId="10" borderId="33" xfId="1" applyFont="1" applyFill="1" applyBorder="1" applyAlignment="1"/>
    <xf numFmtId="167" fontId="6" fillId="5" borderId="33" xfId="1" applyNumberFormat="1" applyFont="1" applyFill="1" applyBorder="1" applyAlignment="1" applyProtection="1">
      <alignment horizontal="left"/>
    </xf>
    <xf numFmtId="167" fontId="6" fillId="6" borderId="18" xfId="1" applyNumberFormat="1" applyFont="1" applyFill="1" applyBorder="1" applyAlignment="1" applyProtection="1">
      <alignment horizontal="center"/>
    </xf>
    <xf numFmtId="167" fontId="6" fillId="9" borderId="40" xfId="1" applyNumberFormat="1" applyFont="1" applyFill="1" applyBorder="1" applyAlignment="1" applyProtection="1">
      <alignment horizontal="left"/>
    </xf>
    <xf numFmtId="0" fontId="6" fillId="9" borderId="38" xfId="1" applyFont="1" applyFill="1" applyBorder="1"/>
    <xf numFmtId="167" fontId="6" fillId="10" borderId="33" xfId="1" applyNumberFormat="1" applyFont="1" applyFill="1" applyBorder="1" applyAlignment="1" applyProtection="1">
      <alignment horizontal="left"/>
    </xf>
    <xf numFmtId="167" fontId="6" fillId="10" borderId="18" xfId="1" applyNumberFormat="1" applyFont="1" applyFill="1" applyBorder="1" applyAlignment="1" applyProtection="1">
      <alignment horizontal="center"/>
    </xf>
    <xf numFmtId="0" fontId="6" fillId="12" borderId="19" xfId="1" applyFont="1" applyFill="1" applyBorder="1" applyAlignment="1"/>
    <xf numFmtId="0" fontId="6" fillId="12" borderId="37" xfId="1" applyFont="1" applyFill="1" applyBorder="1"/>
    <xf numFmtId="165" fontId="6" fillId="5" borderId="33" xfId="1" applyNumberFormat="1" applyFont="1" applyFill="1" applyBorder="1" applyAlignment="1" applyProtection="1">
      <alignment horizontal="left"/>
    </xf>
    <xf numFmtId="165" fontId="6" fillId="6" borderId="34" xfId="1" applyNumberFormat="1" applyFont="1" applyFill="1" applyBorder="1" applyAlignment="1" applyProtection="1">
      <alignment horizontal="left"/>
    </xf>
    <xf numFmtId="167" fontId="6" fillId="7" borderId="24" xfId="1" applyNumberFormat="1" applyFont="1" applyFill="1" applyBorder="1" applyAlignment="1" applyProtection="1">
      <alignment horizontal="left"/>
    </xf>
    <xf numFmtId="0" fontId="6" fillId="7" borderId="25" xfId="1" applyFont="1" applyFill="1" applyBorder="1"/>
    <xf numFmtId="167" fontId="6" fillId="7" borderId="18" xfId="1" applyNumberFormat="1" applyFont="1" applyFill="1" applyBorder="1" applyAlignment="1" applyProtection="1">
      <alignment horizontal="center"/>
    </xf>
    <xf numFmtId="0" fontId="6" fillId="14" borderId="18" xfId="1" applyFont="1" applyFill="1" applyBorder="1" applyAlignment="1">
      <alignment horizontal="center"/>
    </xf>
    <xf numFmtId="3" fontId="6" fillId="14" borderId="18" xfId="1" applyNumberFormat="1" applyFont="1" applyFill="1" applyBorder="1" applyAlignment="1">
      <alignment horizontal="right"/>
    </xf>
    <xf numFmtId="167" fontId="6" fillId="10" borderId="24" xfId="1" applyNumberFormat="1" applyFont="1" applyFill="1" applyBorder="1" applyAlignment="1" applyProtection="1">
      <alignment horizontal="left"/>
    </xf>
    <xf numFmtId="0" fontId="6" fillId="12" borderId="19" xfId="1" applyFont="1" applyFill="1" applyBorder="1"/>
    <xf numFmtId="167" fontId="6" fillId="5" borderId="34" xfId="1" applyNumberFormat="1" applyFont="1" applyFill="1" applyBorder="1" applyAlignment="1" applyProtection="1">
      <alignment horizontal="left"/>
    </xf>
    <xf numFmtId="166" fontId="6" fillId="0" borderId="19" xfId="1" applyNumberFormat="1" applyFont="1" applyFill="1" applyBorder="1" applyAlignment="1" applyProtection="1">
      <alignment horizontal="left"/>
    </xf>
    <xf numFmtId="0" fontId="6" fillId="0" borderId="20" xfId="1" applyFont="1" applyFill="1" applyBorder="1"/>
    <xf numFmtId="0" fontId="6" fillId="0" borderId="18" xfId="1" applyFont="1" applyFill="1" applyBorder="1" applyAlignment="1">
      <alignment horizontal="center"/>
    </xf>
    <xf numFmtId="166" fontId="6" fillId="0" borderId="18" xfId="1" applyNumberFormat="1" applyFont="1" applyFill="1" applyBorder="1" applyAlignment="1" applyProtection="1">
      <alignment horizontal="center"/>
    </xf>
    <xf numFmtId="165" fontId="6" fillId="0" borderId="20" xfId="1" applyNumberFormat="1" applyFont="1" applyFill="1" applyBorder="1" applyAlignment="1" applyProtection="1">
      <alignment horizontal="center"/>
    </xf>
    <xf numFmtId="3" fontId="6" fillId="0" borderId="18" xfId="1" applyNumberFormat="1" applyFont="1" applyFill="1" applyBorder="1" applyAlignment="1" applyProtection="1">
      <alignment horizontal="right"/>
    </xf>
    <xf numFmtId="3" fontId="6" fillId="0" borderId="26" xfId="1" applyNumberFormat="1" applyFont="1" applyFill="1" applyBorder="1" applyAlignment="1" applyProtection="1">
      <alignment horizontal="right"/>
    </xf>
    <xf numFmtId="3" fontId="2" fillId="0" borderId="30" xfId="1" applyNumberFormat="1" applyFont="1" applyFill="1" applyBorder="1" applyAlignment="1" applyProtection="1">
      <alignment horizontal="right"/>
    </xf>
    <xf numFmtId="0" fontId="6" fillId="15" borderId="41" xfId="1" applyFont="1" applyFill="1" applyBorder="1" applyAlignment="1">
      <alignment horizontal="left"/>
    </xf>
    <xf numFmtId="0" fontId="6" fillId="15" borderId="42" xfId="1" applyFont="1" applyFill="1" applyBorder="1"/>
    <xf numFmtId="0" fontId="6" fillId="15" borderId="18" xfId="1" applyFont="1" applyFill="1" applyBorder="1" applyAlignment="1">
      <alignment horizontal="center"/>
    </xf>
    <xf numFmtId="0" fontId="6" fillId="15" borderId="25" xfId="1" applyFont="1" applyFill="1" applyBorder="1" applyAlignment="1">
      <alignment horizontal="center"/>
    </xf>
    <xf numFmtId="3" fontId="6" fillId="15" borderId="18" xfId="1" applyNumberFormat="1" applyFont="1" applyFill="1" applyBorder="1" applyAlignment="1">
      <alignment horizontal="right"/>
    </xf>
    <xf numFmtId="3" fontId="6" fillId="15" borderId="26" xfId="1" applyNumberFormat="1" applyFont="1" applyFill="1" applyBorder="1" applyAlignment="1">
      <alignment horizontal="right"/>
    </xf>
    <xf numFmtId="3" fontId="2" fillId="15" borderId="30" xfId="1" applyNumberFormat="1" applyFont="1" applyFill="1" applyBorder="1" applyAlignment="1">
      <alignment horizontal="right"/>
    </xf>
    <xf numFmtId="49" fontId="6" fillId="0" borderId="18" xfId="1" applyNumberFormat="1" applyFont="1" applyFill="1" applyBorder="1"/>
    <xf numFmtId="0" fontId="6" fillId="0" borderId="24" xfId="1" applyFont="1" applyFill="1" applyBorder="1" applyAlignment="1">
      <alignment horizontal="left"/>
    </xf>
    <xf numFmtId="0" fontId="6" fillId="0" borderId="31" xfId="1" applyFont="1" applyFill="1" applyBorder="1"/>
    <xf numFmtId="0" fontId="6" fillId="0" borderId="31" xfId="1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3" fontId="6" fillId="0" borderId="18" xfId="1" applyNumberFormat="1" applyFont="1" applyFill="1" applyBorder="1" applyAlignment="1">
      <alignment horizontal="right"/>
    </xf>
    <xf numFmtId="3" fontId="6" fillId="0" borderId="26" xfId="1" applyNumberFormat="1" applyFont="1" applyFill="1" applyBorder="1" applyAlignment="1">
      <alignment horizontal="right"/>
    </xf>
    <xf numFmtId="3" fontId="2" fillId="2" borderId="30" xfId="1" applyNumberFormat="1" applyFont="1" applyFill="1" applyBorder="1" applyAlignment="1">
      <alignment horizontal="right"/>
    </xf>
    <xf numFmtId="3" fontId="6" fillId="0" borderId="18" xfId="1" applyNumberFormat="1" applyFont="1" applyFill="1" applyBorder="1" applyAlignment="1" applyProtection="1">
      <alignment horizontal="center"/>
    </xf>
    <xf numFmtId="3" fontId="6" fillId="0" borderId="26" xfId="1" applyNumberFormat="1" applyFont="1" applyFill="1" applyBorder="1" applyAlignment="1" applyProtection="1">
      <alignment horizontal="center"/>
    </xf>
    <xf numFmtId="3" fontId="2" fillId="2" borderId="30" xfId="1" applyNumberFormat="1" applyFont="1" applyFill="1" applyBorder="1" applyAlignment="1" applyProtection="1">
      <alignment horizontal="center"/>
    </xf>
    <xf numFmtId="0" fontId="6" fillId="0" borderId="11" xfId="1" applyNumberFormat="1" applyFont="1" applyFill="1" applyBorder="1" applyAlignment="1" applyProtection="1">
      <alignment horizontal="left"/>
    </xf>
    <xf numFmtId="0" fontId="9" fillId="0" borderId="0" xfId="1" applyFont="1" applyFill="1" applyBorder="1"/>
    <xf numFmtId="0" fontId="9" fillId="0" borderId="43" xfId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/>
    </xf>
    <xf numFmtId="3" fontId="6" fillId="0" borderId="44" xfId="1" applyNumberFormat="1" applyFont="1" applyFill="1" applyBorder="1" applyAlignment="1">
      <alignment horizontal="center"/>
    </xf>
    <xf numFmtId="3" fontId="6" fillId="0" borderId="45" xfId="1" applyNumberFormat="1" applyFont="1" applyFill="1" applyBorder="1" applyAlignment="1">
      <alignment horizontal="center"/>
    </xf>
    <xf numFmtId="3" fontId="2" fillId="2" borderId="46" xfId="1" applyNumberFormat="1" applyFont="1" applyFill="1" applyBorder="1" applyAlignment="1">
      <alignment horizontal="center"/>
    </xf>
    <xf numFmtId="0" fontId="6" fillId="0" borderId="47" xfId="1" applyNumberFormat="1" applyFont="1" applyFill="1" applyBorder="1" applyAlignment="1" applyProtection="1">
      <alignment horizontal="left"/>
    </xf>
    <xf numFmtId="0" fontId="9" fillId="0" borderId="48" xfId="1" applyFont="1" applyFill="1" applyBorder="1"/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4" fontId="6" fillId="0" borderId="49" xfId="1" applyNumberFormat="1" applyFont="1" applyFill="1" applyBorder="1" applyAlignment="1">
      <alignment horizontal="center"/>
    </xf>
    <xf numFmtId="3" fontId="6" fillId="0" borderId="49" xfId="1" applyNumberFormat="1" applyFont="1" applyFill="1" applyBorder="1" applyAlignment="1">
      <alignment horizontal="center"/>
    </xf>
    <xf numFmtId="3" fontId="6" fillId="0" borderId="50" xfId="1" applyNumberFormat="1" applyFont="1" applyFill="1" applyBorder="1" applyAlignment="1">
      <alignment horizontal="center"/>
    </xf>
    <xf numFmtId="3" fontId="2" fillId="2" borderId="30" xfId="1" applyNumberFormat="1" applyFont="1" applyFill="1" applyBorder="1" applyAlignment="1">
      <alignment horizontal="center"/>
    </xf>
    <xf numFmtId="0" fontId="6" fillId="0" borderId="11" xfId="1" applyFont="1" applyBorder="1"/>
    <xf numFmtId="0" fontId="6" fillId="0" borderId="0" xfId="1" applyFont="1" applyBorder="1"/>
    <xf numFmtId="0" fontId="6" fillId="0" borderId="0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51" xfId="1" applyFont="1" applyBorder="1"/>
    <xf numFmtId="0" fontId="6" fillId="0" borderId="49" xfId="1" applyFont="1" applyBorder="1"/>
    <xf numFmtId="0" fontId="6" fillId="0" borderId="49" xfId="1" applyFont="1" applyBorder="1" applyAlignment="1">
      <alignment horizontal="center"/>
    </xf>
    <xf numFmtId="168" fontId="6" fillId="0" borderId="49" xfId="2" applyNumberFormat="1" applyFont="1" applyBorder="1" applyAlignment="1">
      <alignment horizontal="center"/>
    </xf>
    <xf numFmtId="168" fontId="6" fillId="0" borderId="50" xfId="2" applyNumberFormat="1" applyFont="1" applyBorder="1" applyAlignment="1"/>
    <xf numFmtId="168" fontId="2" fillId="2" borderId="52" xfId="2" applyNumberFormat="1" applyFont="1" applyFill="1" applyBorder="1" applyAlignment="1">
      <alignment horizontal="center"/>
    </xf>
    <xf numFmtId="49" fontId="2" fillId="0" borderId="0" xfId="3" applyNumberFormat="1" applyFont="1"/>
    <xf numFmtId="0" fontId="2" fillId="0" borderId="0" xfId="3" applyFont="1"/>
    <xf numFmtId="0" fontId="6" fillId="10" borderId="21" xfId="1" applyFont="1" applyFill="1" applyBorder="1" applyAlignment="1">
      <alignment horizontal="center"/>
    </xf>
    <xf numFmtId="165" fontId="6" fillId="10" borderId="21" xfId="1" applyNumberFormat="1" applyFont="1" applyFill="1" applyBorder="1" applyAlignment="1" applyProtection="1">
      <alignment horizontal="center"/>
    </xf>
    <xf numFmtId="3" fontId="6" fillId="10" borderId="21" xfId="2" applyNumberFormat="1" applyFont="1" applyFill="1" applyBorder="1" applyAlignment="1" applyProtection="1">
      <alignment horizontal="right"/>
    </xf>
    <xf numFmtId="0" fontId="6" fillId="9" borderId="43" xfId="1" applyFont="1" applyFill="1" applyBorder="1" applyAlignment="1">
      <alignment horizontal="center"/>
    </xf>
    <xf numFmtId="165" fontId="6" fillId="9" borderId="43" xfId="1" applyNumberFormat="1" applyFont="1" applyFill="1" applyBorder="1" applyAlignment="1" applyProtection="1">
      <alignment horizontal="center"/>
    </xf>
    <xf numFmtId="3" fontId="6" fillId="9" borderId="43" xfId="2" applyNumberFormat="1" applyFont="1" applyFill="1" applyBorder="1" applyAlignment="1" applyProtection="1">
      <alignment horizontal="right"/>
    </xf>
    <xf numFmtId="3" fontId="6" fillId="9" borderId="44" xfId="2" applyNumberFormat="1" applyFont="1" applyFill="1" applyBorder="1" applyAlignment="1" applyProtection="1">
      <alignment horizontal="right"/>
    </xf>
    <xf numFmtId="167" fontId="6" fillId="6" borderId="24" xfId="1" applyNumberFormat="1" applyFont="1" applyFill="1" applyBorder="1" applyAlignment="1" applyProtection="1">
      <alignment horizontal="left"/>
    </xf>
    <xf numFmtId="0" fontId="6" fillId="16" borderId="24" xfId="1" applyFont="1" applyFill="1" applyBorder="1"/>
    <xf numFmtId="0" fontId="6" fillId="16" borderId="25" xfId="1" applyFont="1" applyFill="1" applyBorder="1"/>
    <xf numFmtId="0" fontId="6" fillId="16" borderId="18" xfId="1" applyFont="1" applyFill="1" applyBorder="1" applyAlignment="1">
      <alignment horizontal="center"/>
    </xf>
    <xf numFmtId="165" fontId="6" fillId="16" borderId="18" xfId="1" applyNumberFormat="1" applyFont="1" applyFill="1" applyBorder="1" applyAlignment="1" applyProtection="1">
      <alignment horizontal="center"/>
    </xf>
    <xf numFmtId="3" fontId="6" fillId="16" borderId="18" xfId="2" applyNumberFormat="1" applyFont="1" applyFill="1" applyBorder="1" applyAlignment="1" applyProtection="1">
      <alignment horizontal="right"/>
    </xf>
    <xf numFmtId="3" fontId="6" fillId="16" borderId="18" xfId="2" applyNumberFormat="1" applyFont="1" applyFill="1" applyBorder="1" applyAlignment="1">
      <alignment horizontal="right"/>
    </xf>
    <xf numFmtId="3" fontId="6" fillId="16" borderId="21" xfId="1" applyNumberFormat="1" applyFont="1" applyFill="1" applyBorder="1"/>
    <xf numFmtId="3" fontId="6" fillId="16" borderId="26" xfId="2" applyNumberFormat="1" applyFont="1" applyFill="1" applyBorder="1" applyAlignment="1" applyProtection="1">
      <alignment horizontal="right"/>
    </xf>
    <xf numFmtId="2" fontId="6" fillId="5" borderId="20" xfId="1" applyNumberFormat="1" applyFont="1" applyFill="1" applyBorder="1" applyAlignment="1" applyProtection="1">
      <alignment horizontal="center"/>
    </xf>
    <xf numFmtId="2" fontId="6" fillId="5" borderId="25" xfId="1" applyNumberFormat="1" applyFont="1" applyFill="1" applyBorder="1" applyAlignment="1" applyProtection="1">
      <alignment horizontal="center"/>
    </xf>
    <xf numFmtId="2" fontId="6" fillId="6" borderId="13" xfId="1" applyNumberFormat="1" applyFont="1" applyFill="1" applyBorder="1" applyAlignment="1" applyProtection="1">
      <alignment horizontal="center"/>
    </xf>
    <xf numFmtId="2" fontId="6" fillId="7" borderId="13" xfId="1" applyNumberFormat="1" applyFont="1" applyFill="1" applyBorder="1" applyAlignment="1" applyProtection="1">
      <alignment horizontal="center"/>
    </xf>
    <xf numFmtId="2" fontId="6" fillId="8" borderId="13" xfId="1" applyNumberFormat="1" applyFont="1" applyFill="1" applyBorder="1" applyAlignment="1" applyProtection="1">
      <alignment horizontal="center"/>
    </xf>
    <xf numFmtId="2" fontId="6" fillId="9" borderId="13" xfId="1" applyNumberFormat="1" applyFont="1" applyFill="1" applyBorder="1" applyAlignment="1" applyProtection="1">
      <alignment horizontal="center"/>
    </xf>
    <xf numFmtId="2" fontId="7" fillId="11" borderId="13" xfId="1" applyNumberFormat="1" applyFont="1" applyFill="1" applyBorder="1" applyAlignment="1">
      <alignment horizontal="center"/>
    </xf>
    <xf numFmtId="2" fontId="6" fillId="5" borderId="13" xfId="1" applyNumberFormat="1" applyFont="1" applyFill="1" applyBorder="1" applyAlignment="1" applyProtection="1">
      <alignment horizontal="center"/>
    </xf>
    <xf numFmtId="2" fontId="6" fillId="10" borderId="13" xfId="1" applyNumberFormat="1" applyFont="1" applyFill="1" applyBorder="1" applyAlignment="1" applyProtection="1">
      <alignment horizontal="center"/>
    </xf>
    <xf numFmtId="2" fontId="6" fillId="12" borderId="13" xfId="1" applyNumberFormat="1" applyFont="1" applyFill="1" applyBorder="1" applyAlignment="1" applyProtection="1">
      <alignment horizontal="center"/>
    </xf>
    <xf numFmtId="2" fontId="6" fillId="17" borderId="13" xfId="1" applyNumberFormat="1" applyFont="1" applyFill="1" applyBorder="1" applyAlignment="1" applyProtection="1">
      <alignment horizontal="center"/>
    </xf>
    <xf numFmtId="2" fontId="7" fillId="9" borderId="13" xfId="1" applyNumberFormat="1" applyFont="1" applyFill="1" applyBorder="1" applyAlignment="1" applyProtection="1">
      <alignment horizontal="center"/>
    </xf>
    <xf numFmtId="2" fontId="6" fillId="10" borderId="18" xfId="1" applyNumberFormat="1" applyFont="1" applyFill="1" applyBorder="1" applyAlignment="1" applyProtection="1">
      <alignment horizontal="center"/>
    </xf>
    <xf numFmtId="2" fontId="6" fillId="5" borderId="0" xfId="1" applyNumberFormat="1" applyFont="1" applyFill="1" applyBorder="1" applyAlignment="1" applyProtection="1">
      <alignment horizontal="center"/>
    </xf>
    <xf numFmtId="2" fontId="6" fillId="6" borderId="18" xfId="1" applyNumberFormat="1" applyFont="1" applyFill="1" applyBorder="1" applyAlignment="1" applyProtection="1">
      <alignment horizontal="center"/>
    </xf>
    <xf numFmtId="2" fontId="6" fillId="6" borderId="32" xfId="1" applyNumberFormat="1" applyFont="1" applyFill="1" applyBorder="1" applyAlignment="1" applyProtection="1">
      <alignment horizontal="center"/>
    </xf>
    <xf numFmtId="2" fontId="6" fillId="7" borderId="32" xfId="1" applyNumberFormat="1" applyFont="1" applyFill="1" applyBorder="1" applyAlignment="1" applyProtection="1">
      <alignment horizontal="center"/>
    </xf>
    <xf numFmtId="2" fontId="6" fillId="8" borderId="32" xfId="1" applyNumberFormat="1" applyFont="1" applyFill="1" applyBorder="1" applyAlignment="1" applyProtection="1">
      <alignment horizontal="center"/>
    </xf>
    <xf numFmtId="2" fontId="6" fillId="9" borderId="32" xfId="1" applyNumberFormat="1" applyFont="1" applyFill="1" applyBorder="1" applyAlignment="1" applyProtection="1">
      <alignment horizontal="center"/>
    </xf>
    <xf numFmtId="2" fontId="6" fillId="9" borderId="20" xfId="1" applyNumberFormat="1" applyFont="1" applyFill="1" applyBorder="1" applyAlignment="1" applyProtection="1">
      <alignment horizontal="center"/>
    </xf>
    <xf numFmtId="2" fontId="6" fillId="9" borderId="0" xfId="1" applyNumberFormat="1" applyFont="1" applyFill="1" applyBorder="1" applyAlignment="1" applyProtection="1">
      <alignment horizontal="center"/>
    </xf>
    <xf numFmtId="2" fontId="6" fillId="18" borderId="25" xfId="1" applyNumberFormat="1" applyFont="1" applyFill="1" applyBorder="1" applyAlignment="1" applyProtection="1">
      <alignment horizontal="center"/>
    </xf>
    <xf numFmtId="2" fontId="6" fillId="10" borderId="20" xfId="1" applyNumberFormat="1" applyFont="1" applyFill="1" applyBorder="1" applyAlignment="1" applyProtection="1">
      <alignment horizontal="center"/>
    </xf>
    <xf numFmtId="2" fontId="6" fillId="10" borderId="32" xfId="1" applyNumberFormat="1" applyFont="1" applyFill="1" applyBorder="1" applyAlignment="1" applyProtection="1">
      <alignment horizontal="center"/>
    </xf>
    <xf numFmtId="2" fontId="6" fillId="8" borderId="38" xfId="1" applyNumberFormat="1" applyFont="1" applyFill="1" applyBorder="1" applyAlignment="1" applyProtection="1">
      <alignment horizontal="center"/>
    </xf>
    <xf numFmtId="2" fontId="6" fillId="8" borderId="25" xfId="1" applyNumberFormat="1" applyFont="1" applyFill="1" applyBorder="1" applyAlignment="1" applyProtection="1">
      <alignment horizontal="center"/>
    </xf>
    <xf numFmtId="2" fontId="6" fillId="6" borderId="20" xfId="1" applyNumberFormat="1" applyFont="1" applyFill="1" applyBorder="1" applyAlignment="1" applyProtection="1">
      <alignment horizontal="center"/>
    </xf>
    <xf numFmtId="2" fontId="6" fillId="5" borderId="32" xfId="1" applyNumberFormat="1" applyFont="1" applyFill="1" applyBorder="1" applyAlignment="1" applyProtection="1">
      <alignment horizontal="center"/>
    </xf>
    <xf numFmtId="2" fontId="7" fillId="6" borderId="13" xfId="1" applyNumberFormat="1" applyFont="1" applyFill="1" applyBorder="1" applyAlignment="1" applyProtection="1">
      <alignment horizontal="center"/>
    </xf>
    <xf numFmtId="2" fontId="6" fillId="12" borderId="32" xfId="1" applyNumberFormat="1" applyFont="1" applyFill="1" applyBorder="1" applyAlignment="1" applyProtection="1">
      <alignment horizontal="center"/>
    </xf>
    <xf numFmtId="2" fontId="6" fillId="9" borderId="38" xfId="1" applyNumberFormat="1" applyFont="1" applyFill="1" applyBorder="1" applyAlignment="1" applyProtection="1">
      <alignment horizontal="center"/>
    </xf>
    <xf numFmtId="2" fontId="6" fillId="12" borderId="20" xfId="1" applyNumberFormat="1" applyFont="1" applyFill="1" applyBorder="1" applyAlignment="1" applyProtection="1">
      <alignment horizontal="center"/>
    </xf>
    <xf numFmtId="2" fontId="6" fillId="8" borderId="20" xfId="1" applyNumberFormat="1" applyFont="1" applyFill="1" applyBorder="1" applyAlignment="1" applyProtection="1">
      <alignment horizontal="center"/>
    </xf>
    <xf numFmtId="2" fontId="6" fillId="19" borderId="25" xfId="1" applyNumberFormat="1" applyFont="1" applyFill="1" applyBorder="1" applyAlignment="1" applyProtection="1">
      <alignment horizontal="center"/>
    </xf>
    <xf numFmtId="2" fontId="6" fillId="20" borderId="20" xfId="1" applyNumberFormat="1" applyFont="1" applyFill="1" applyBorder="1" applyAlignment="1" applyProtection="1">
      <alignment horizontal="center"/>
    </xf>
    <xf numFmtId="2" fontId="6" fillId="21" borderId="39" xfId="1" applyNumberFormat="1" applyFont="1" applyFill="1" applyBorder="1" applyAlignment="1" applyProtection="1">
      <alignment horizontal="center"/>
    </xf>
    <xf numFmtId="168" fontId="6" fillId="0" borderId="49" xfId="2" applyNumberFormat="1" applyFont="1" applyFill="1" applyBorder="1" applyAlignment="1"/>
    <xf numFmtId="165" fontId="6" fillId="20" borderId="24" xfId="1" applyNumberFormat="1" applyFont="1" applyFill="1" applyBorder="1" applyAlignment="1" applyProtection="1">
      <alignment horizontal="left"/>
    </xf>
    <xf numFmtId="0" fontId="6" fillId="20" borderId="25" xfId="1" applyFont="1" applyFill="1" applyBorder="1"/>
    <xf numFmtId="0" fontId="6" fillId="20" borderId="18" xfId="1" applyFont="1" applyFill="1" applyBorder="1" applyAlignment="1">
      <alignment horizontal="center"/>
    </xf>
    <xf numFmtId="165" fontId="6" fillId="20" borderId="13" xfId="1" applyNumberFormat="1" applyFont="1" applyFill="1" applyBorder="1" applyAlignment="1" applyProtection="1">
      <alignment horizontal="center"/>
    </xf>
    <xf numFmtId="2" fontId="6" fillId="20" borderId="13" xfId="1" applyNumberFormat="1" applyFont="1" applyFill="1" applyBorder="1" applyAlignment="1" applyProtection="1">
      <alignment horizontal="center"/>
    </xf>
    <xf numFmtId="3" fontId="6" fillId="20" borderId="18" xfId="2" applyNumberFormat="1" applyFont="1" applyFill="1" applyBorder="1" applyAlignment="1" applyProtection="1">
      <alignment horizontal="right"/>
    </xf>
    <xf numFmtId="3" fontId="6" fillId="20" borderId="18" xfId="2" applyNumberFormat="1" applyFont="1" applyFill="1" applyBorder="1" applyAlignment="1">
      <alignment horizontal="right"/>
    </xf>
    <xf numFmtId="3" fontId="6" fillId="20" borderId="21" xfId="1" applyNumberFormat="1" applyFont="1" applyFill="1" applyBorder="1"/>
    <xf numFmtId="3" fontId="6" fillId="20" borderId="26" xfId="2" applyNumberFormat="1" applyFont="1" applyFill="1" applyBorder="1" applyAlignment="1" applyProtection="1">
      <alignment horizontal="right"/>
    </xf>
    <xf numFmtId="165" fontId="6" fillId="19" borderId="19" xfId="1" applyNumberFormat="1" applyFont="1" applyFill="1" applyBorder="1" applyAlignment="1" applyProtection="1">
      <alignment horizontal="left"/>
    </xf>
    <xf numFmtId="0" fontId="6" fillId="19" borderId="32" xfId="1" applyFont="1" applyFill="1" applyBorder="1"/>
    <xf numFmtId="0" fontId="6" fillId="19" borderId="21" xfId="1" applyFont="1" applyFill="1" applyBorder="1" applyAlignment="1">
      <alignment horizontal="center"/>
    </xf>
    <xf numFmtId="165" fontId="6" fillId="19" borderId="13" xfId="1" applyNumberFormat="1" applyFont="1" applyFill="1" applyBorder="1" applyAlignment="1" applyProtection="1">
      <alignment horizontal="center"/>
    </xf>
    <xf numFmtId="2" fontId="6" fillId="19" borderId="13" xfId="1" applyNumberFormat="1" applyFont="1" applyFill="1" applyBorder="1" applyAlignment="1" applyProtection="1">
      <alignment horizontal="center"/>
    </xf>
    <xf numFmtId="3" fontId="6" fillId="19" borderId="18" xfId="2" applyNumberFormat="1" applyFont="1" applyFill="1" applyBorder="1" applyAlignment="1" applyProtection="1">
      <alignment horizontal="right"/>
    </xf>
    <xf numFmtId="3" fontId="6" fillId="19" borderId="18" xfId="2" applyNumberFormat="1" applyFont="1" applyFill="1" applyBorder="1" applyAlignment="1">
      <alignment horizontal="right"/>
    </xf>
    <xf numFmtId="3" fontId="6" fillId="19" borderId="21" xfId="1" applyNumberFormat="1" applyFont="1" applyFill="1" applyBorder="1"/>
    <xf numFmtId="3" fontId="6" fillId="19" borderId="26" xfId="2" applyNumberFormat="1" applyFont="1" applyFill="1" applyBorder="1" applyAlignment="1" applyProtection="1">
      <alignment horizontal="right"/>
    </xf>
    <xf numFmtId="0" fontId="6" fillId="19" borderId="18" xfId="1" applyFont="1" applyFill="1" applyBorder="1" applyAlignment="1">
      <alignment horizontal="center"/>
    </xf>
    <xf numFmtId="167" fontId="6" fillId="19" borderId="19" xfId="1" applyNumberFormat="1" applyFont="1" applyFill="1" applyBorder="1" applyAlignment="1" applyProtection="1">
      <alignment horizontal="left"/>
    </xf>
    <xf numFmtId="0" fontId="6" fillId="19" borderId="20" xfId="1" applyFont="1" applyFill="1" applyBorder="1"/>
    <xf numFmtId="167" fontId="6" fillId="19" borderId="13" xfId="1" applyNumberFormat="1" applyFont="1" applyFill="1" applyBorder="1" applyAlignment="1" applyProtection="1">
      <alignment horizontal="center"/>
    </xf>
    <xf numFmtId="0" fontId="6" fillId="20" borderId="32" xfId="1" applyFont="1" applyFill="1" applyBorder="1"/>
    <xf numFmtId="165" fontId="6" fillId="20" borderId="18" xfId="1" applyNumberFormat="1" applyFont="1" applyFill="1" applyBorder="1" applyAlignment="1" applyProtection="1">
      <alignment horizontal="center"/>
    </xf>
    <xf numFmtId="2" fontId="6" fillId="20" borderId="18" xfId="1" applyNumberFormat="1" applyFont="1" applyFill="1" applyBorder="1" applyAlignment="1" applyProtection="1">
      <alignment horizontal="center"/>
    </xf>
    <xf numFmtId="0" fontId="6" fillId="6" borderId="25" xfId="1" applyFont="1" applyFill="1" applyBorder="1"/>
    <xf numFmtId="2" fontId="6" fillId="6" borderId="25" xfId="1" applyNumberFormat="1" applyFont="1" applyFill="1" applyBorder="1" applyAlignment="1" applyProtection="1">
      <alignment horizontal="center"/>
    </xf>
    <xf numFmtId="3" fontId="14" fillId="6" borderId="18" xfId="2" applyNumberFormat="1" applyFont="1" applyFill="1" applyBorder="1" applyAlignment="1" applyProtection="1">
      <alignment horizontal="right"/>
    </xf>
    <xf numFmtId="3" fontId="14" fillId="6" borderId="26" xfId="2" applyNumberFormat="1" applyFont="1" applyFill="1" applyBorder="1" applyAlignment="1" applyProtection="1">
      <alignment horizontal="right"/>
    </xf>
    <xf numFmtId="0" fontId="6" fillId="20" borderId="33" xfId="1" applyFont="1" applyFill="1" applyBorder="1"/>
    <xf numFmtId="0" fontId="6" fillId="20" borderId="21" xfId="1" applyFont="1" applyFill="1" applyBorder="1" applyAlignment="1">
      <alignment horizontal="center"/>
    </xf>
    <xf numFmtId="166" fontId="6" fillId="20" borderId="21" xfId="1" applyNumberFormat="1" applyFont="1" applyFill="1" applyBorder="1" applyAlignment="1" applyProtection="1">
      <alignment horizontal="center"/>
    </xf>
    <xf numFmtId="2" fontId="6" fillId="20" borderId="32" xfId="1" applyNumberFormat="1" applyFont="1" applyFill="1" applyBorder="1" applyAlignment="1" applyProtection="1">
      <alignment horizontal="center"/>
    </xf>
    <xf numFmtId="3" fontId="6" fillId="20" borderId="21" xfId="2" applyNumberFormat="1" applyFont="1" applyFill="1" applyBorder="1" applyAlignment="1" applyProtection="1">
      <alignment horizontal="right"/>
    </xf>
    <xf numFmtId="166" fontId="6" fillId="20" borderId="18" xfId="1" applyNumberFormat="1" applyFont="1" applyFill="1" applyBorder="1" applyAlignment="1" applyProtection="1">
      <alignment horizontal="center"/>
    </xf>
    <xf numFmtId="0" fontId="6" fillId="20" borderId="34" xfId="1" applyFont="1" applyFill="1" applyBorder="1" applyAlignment="1">
      <alignment horizontal="left"/>
    </xf>
    <xf numFmtId="0" fontId="6" fillId="20" borderId="35" xfId="1" applyFont="1" applyFill="1" applyBorder="1"/>
    <xf numFmtId="167" fontId="6" fillId="20" borderId="18" xfId="1" applyNumberFormat="1" applyFont="1" applyFill="1" applyBorder="1" applyAlignment="1" applyProtection="1">
      <alignment horizontal="center"/>
    </xf>
    <xf numFmtId="2" fontId="6" fillId="20" borderId="39" xfId="1" applyNumberFormat="1" applyFont="1" applyFill="1" applyBorder="1" applyAlignment="1" applyProtection="1">
      <alignment horizontal="center"/>
    </xf>
    <xf numFmtId="167" fontId="6" fillId="18" borderId="33" xfId="1" applyNumberFormat="1" applyFont="1" applyFill="1" applyBorder="1" applyAlignment="1" applyProtection="1">
      <alignment horizontal="left"/>
    </xf>
    <xf numFmtId="0" fontId="6" fillId="18" borderId="32" xfId="1" applyFont="1" applyFill="1" applyBorder="1"/>
    <xf numFmtId="0" fontId="6" fillId="18" borderId="18" xfId="1" applyFont="1" applyFill="1" applyBorder="1" applyAlignment="1">
      <alignment horizontal="center"/>
    </xf>
    <xf numFmtId="167" fontId="6" fillId="18" borderId="18" xfId="1" applyNumberFormat="1" applyFont="1" applyFill="1" applyBorder="1" applyAlignment="1" applyProtection="1">
      <alignment horizontal="center"/>
    </xf>
    <xf numFmtId="3" fontId="6" fillId="18" borderId="18" xfId="2" applyNumberFormat="1" applyFont="1" applyFill="1" applyBorder="1" applyAlignment="1" applyProtection="1">
      <alignment horizontal="right"/>
    </xf>
    <xf numFmtId="3" fontId="6" fillId="18" borderId="18" xfId="2" applyNumberFormat="1" applyFont="1" applyFill="1" applyBorder="1" applyAlignment="1">
      <alignment horizontal="right"/>
    </xf>
    <xf numFmtId="2" fontId="6" fillId="7" borderId="38" xfId="1" applyNumberFormat="1" applyFont="1" applyFill="1" applyBorder="1" applyAlignment="1" applyProtection="1">
      <alignment horizontal="center"/>
    </xf>
    <xf numFmtId="0" fontId="6" fillId="6" borderId="24" xfId="1" applyFont="1" applyFill="1" applyBorder="1" applyAlignment="1">
      <alignment horizontal="left"/>
    </xf>
    <xf numFmtId="0" fontId="6" fillId="8" borderId="53" xfId="1" applyFont="1" applyFill="1" applyBorder="1"/>
    <xf numFmtId="0" fontId="15" fillId="11" borderId="32" xfId="1" applyFont="1" applyFill="1" applyBorder="1"/>
    <xf numFmtId="167" fontId="6" fillId="5" borderId="19" xfId="1" applyNumberFormat="1" applyFont="1" applyFill="1" applyBorder="1" applyAlignment="1" applyProtection="1">
      <alignment horizontal="left"/>
    </xf>
    <xf numFmtId="0" fontId="6" fillId="18" borderId="24" xfId="1" applyFont="1" applyFill="1" applyBorder="1" applyAlignment="1">
      <alignment horizontal="left"/>
    </xf>
    <xf numFmtId="0" fontId="6" fillId="18" borderId="25" xfId="1" applyFont="1" applyFill="1" applyBorder="1"/>
    <xf numFmtId="2" fontId="6" fillId="18" borderId="13" xfId="1" applyNumberFormat="1" applyFont="1" applyFill="1" applyBorder="1" applyAlignment="1" applyProtection="1">
      <alignment horizontal="center"/>
    </xf>
    <xf numFmtId="3" fontId="6" fillId="18" borderId="21" xfId="1" applyNumberFormat="1" applyFont="1" applyFill="1" applyBorder="1"/>
    <xf numFmtId="3" fontId="6" fillId="18" borderId="26" xfId="2" applyNumberFormat="1" applyFont="1" applyFill="1" applyBorder="1" applyAlignment="1" applyProtection="1">
      <alignment horizontal="right"/>
    </xf>
    <xf numFmtId="0" fontId="6" fillId="0" borderId="0" xfId="1" applyFont="1"/>
    <xf numFmtId="49" fontId="6" fillId="0" borderId="0" xfId="1" applyNumberFormat="1" applyFont="1"/>
    <xf numFmtId="165" fontId="6" fillId="7" borderId="21" xfId="1" applyNumberFormat="1" applyFont="1" applyFill="1" applyBorder="1" applyAlignment="1" applyProtection="1">
      <alignment horizontal="center"/>
    </xf>
    <xf numFmtId="3" fontId="6" fillId="7" borderId="21" xfId="1" applyNumberFormat="1" applyFont="1" applyFill="1" applyBorder="1" applyAlignment="1" applyProtection="1">
      <alignment horizontal="right"/>
    </xf>
    <xf numFmtId="3" fontId="6" fillId="7" borderId="21" xfId="2" applyNumberFormat="1" applyFont="1" applyFill="1" applyBorder="1" applyAlignment="1">
      <alignment horizontal="right"/>
    </xf>
    <xf numFmtId="3" fontId="6" fillId="7" borderId="21" xfId="2" applyNumberFormat="1" applyFont="1" applyFill="1" applyBorder="1" applyAlignment="1" applyProtection="1">
      <alignment horizontal="right"/>
    </xf>
    <xf numFmtId="3" fontId="6" fillId="7" borderId="22" xfId="2" applyNumberFormat="1" applyFont="1" applyFill="1" applyBorder="1" applyAlignment="1" applyProtection="1">
      <alignment horizontal="right"/>
    </xf>
    <xf numFmtId="0" fontId="6" fillId="17" borderId="31" xfId="1" applyFont="1" applyFill="1" applyBorder="1"/>
    <xf numFmtId="0" fontId="6" fillId="17" borderId="18" xfId="1" applyFont="1" applyFill="1" applyBorder="1" applyAlignment="1">
      <alignment horizontal="center"/>
    </xf>
    <xf numFmtId="0" fontId="6" fillId="17" borderId="24" xfId="1" applyFont="1" applyFill="1" applyBorder="1"/>
    <xf numFmtId="0" fontId="6" fillId="21" borderId="54" xfId="1" applyFont="1" applyFill="1" applyBorder="1" applyAlignment="1">
      <alignment horizontal="center"/>
    </xf>
    <xf numFmtId="0" fontId="5" fillId="4" borderId="14" xfId="1" applyFont="1" applyFill="1" applyBorder="1" applyAlignment="1">
      <alignment horizontal="center" wrapText="1"/>
    </xf>
    <xf numFmtId="0" fontId="5" fillId="4" borderId="15" xfId="1" applyFont="1" applyFill="1" applyBorder="1" applyAlignment="1">
      <alignment horizontal="center" wrapText="1"/>
    </xf>
  </cellXfs>
  <cellStyles count="4">
    <cellStyle name="Comma 2" xfId="2"/>
    <cellStyle name="Normal" xfId="0" builtinId="0"/>
    <cellStyle name="Normal 2" xfId="3"/>
    <cellStyle name="Normal_002 Build-out Estimates" xfId="1"/>
  </cellStyles>
  <dxfs count="0"/>
  <tableStyles count="0" defaultTableStyle="TableStyleMedium9" defaultPivotStyle="PivotStyleLight16"/>
  <colors>
    <mruColors>
      <color rgb="FFC5BE97"/>
      <color rgb="FFCCC0D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CITY AND COUNTY OF BROOMFIELD YEARS TO BUILD OUT OF ALL APPROVED UNITS PROJECTED AT VARIOUS NUMBERS OF NEW UNITS PER YEAR</a:t>
            </a:r>
          </a:p>
        </c:rich>
      </c:tx>
      <c:layout/>
      <c:spPr>
        <a:solidFill>
          <a:srgbClr val="0000FF"/>
        </a:solidFill>
        <a:ln w="25400">
          <a:noFill/>
        </a:ln>
      </c:spPr>
    </c:title>
    <c:plotArea>
      <c:layout/>
      <c:scatterChart>
        <c:scatterStyle val="lineMarker"/>
        <c:ser>
          <c:idx val="0"/>
          <c:order val="0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1"/>
          <c:order val="1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2"/>
          <c:order val="2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3"/>
          <c:order val="3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4"/>
          <c:order val="4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600080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'Chart - Pg 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'Chart - Pg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axId val="79071488"/>
        <c:axId val="79090432"/>
      </c:scatterChart>
      <c:valAx>
        <c:axId val="79071488"/>
        <c:scaling>
          <c:orientation val="minMax"/>
          <c:max val="2049"/>
          <c:min val="1996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90432"/>
        <c:crosses val="autoZero"/>
        <c:crossBetween val="midCat"/>
        <c:majorUnit val="1"/>
        <c:minorUnit val="1"/>
      </c:valAx>
      <c:valAx>
        <c:axId val="79090432"/>
        <c:scaling>
          <c:orientation val="minMax"/>
          <c:max val="80000"/>
          <c:min val="30000"/>
        </c:scaling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71488"/>
        <c:crossesAt val="1996"/>
        <c:crossBetween val="midCat"/>
        <c:majorUnit val="10000"/>
        <c:minorUnit val="5000"/>
      </c:valAx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777" r="0.75000000000000777" t="1" header="0.5" footer="0.5"/>
    <c:pageSetup orientation="landscape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158</xdr:row>
      <xdr:rowOff>0</xdr:rowOff>
    </xdr:from>
    <xdr:to>
      <xdr:col>24</xdr:col>
      <xdr:colOff>333375</xdr:colOff>
      <xdr:row>158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1219200</xdr:colOff>
      <xdr:row>158</xdr:row>
      <xdr:rowOff>0</xdr:rowOff>
    </xdr:from>
    <xdr:to>
      <xdr:col>3</xdr:col>
      <xdr:colOff>295275</xdr:colOff>
      <xdr:row>158</xdr:row>
      <xdr:rowOff>0</xdr:rowOff>
    </xdr:to>
    <xdr:sp macro="" textlink="">
      <xdr:nvSpPr>
        <xdr:cNvPr id="3" name="AutoShape 2"/>
        <xdr:cNvSpPr>
          <a:spLocks/>
        </xdr:cNvSpPr>
      </xdr:nvSpPr>
      <xdr:spPr bwMode="auto">
        <a:xfrm>
          <a:off x="1866900" y="21593175"/>
          <a:ext cx="1362075" cy="0"/>
        </a:xfrm>
        <a:prstGeom prst="leftBrace">
          <a:avLst>
            <a:gd name="adj1" fmla="val -2147483648"/>
            <a:gd name="adj2" fmla="val 52111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171450</xdr:colOff>
      <xdr:row>158</xdr:row>
      <xdr:rowOff>0</xdr:rowOff>
    </xdr:from>
    <xdr:to>
      <xdr:col>13</xdr:col>
      <xdr:colOff>866775</xdr:colOff>
      <xdr:row>158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162925" y="21593175"/>
          <a:ext cx="18573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Instruction for Arne: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Update and maintains up to column 12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Move up from yellow once those potential subdivisions approved by Council</a:t>
          </a:r>
        </a:p>
      </xdr:txBody>
    </xdr:sp>
    <xdr:clientData/>
  </xdr:twoCellAnchor>
  <xdr:twoCellAnchor>
    <xdr:from>
      <xdr:col>15</xdr:col>
      <xdr:colOff>0</xdr:colOff>
      <xdr:row>158</xdr:row>
      <xdr:rowOff>0</xdr:rowOff>
    </xdr:from>
    <xdr:to>
      <xdr:col>15</xdr:col>
      <xdr:colOff>0</xdr:colOff>
      <xdr:row>158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096500" y="21593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Instructions for Waishing"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Update column 14 to 16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Periodically review of all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formulas </a:t>
          </a:r>
        </a:p>
      </xdr:txBody>
    </xdr:sp>
    <xdr:clientData/>
  </xdr:twoCellAnchor>
  <xdr:twoCellAnchor>
    <xdr:from>
      <xdr:col>15</xdr:col>
      <xdr:colOff>0</xdr:colOff>
      <xdr:row>158</xdr:row>
      <xdr:rowOff>0</xdr:rowOff>
    </xdr:from>
    <xdr:to>
      <xdr:col>15</xdr:col>
      <xdr:colOff>0</xdr:colOff>
      <xdr:row>158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0096500" y="21593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Instruction for Kevin: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Update column 13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Change the font to RED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color if modified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Maintain "Not Approve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But Potential" </a:t>
          </a:r>
        </a:p>
      </xdr:txBody>
    </xdr:sp>
    <xdr:clientData/>
  </xdr:twoCellAnchor>
  <xdr:twoCellAnchor>
    <xdr:from>
      <xdr:col>11</xdr:col>
      <xdr:colOff>228600</xdr:colOff>
      <xdr:row>158</xdr:row>
      <xdr:rowOff>0</xdr:rowOff>
    </xdr:from>
    <xdr:to>
      <xdr:col>13</xdr:col>
      <xdr:colOff>923925</xdr:colOff>
      <xdr:row>158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220075" y="21593175"/>
          <a:ext cx="18002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Instruction for ###: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 Hard code the expected population number for the proposed subdivion going to council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-</a:t>
          </a:r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647700</xdr:colOff>
      <xdr:row>24</xdr:row>
      <xdr:rowOff>0</xdr:rowOff>
    </xdr:to>
    <xdr:pic>
      <xdr:nvPicPr>
        <xdr:cNvPr id="8" name="Picture 7" descr="1.5in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" y="161925"/>
          <a:ext cx="64770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0.53477</cdr:x>
      <cdr:y>0.58962</cdr:y>
    </cdr:from>
    <cdr:to>
      <cdr:x>0.53477</cdr:x>
      <cdr:y>0.58962</cdr:y>
    </cdr:to>
    <cdr:sp macro="" textlink="">
      <cdr:nvSpPr>
        <cdr:cNvPr id="7169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47036" y="43562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21 YEARS</a:t>
          </a:r>
        </a:p>
      </cdr:txBody>
    </cdr:sp>
  </cdr:relSizeAnchor>
  <cdr:relSizeAnchor xmlns:cdr="http://schemas.openxmlformats.org/drawingml/2006/chartDrawing">
    <cdr:from>
      <cdr:x>0.58187</cdr:x>
      <cdr:y>0.58962</cdr:y>
    </cdr:from>
    <cdr:to>
      <cdr:x>0.58187</cdr:x>
      <cdr:y>0.58962</cdr:y>
    </cdr:to>
    <cdr:sp macro="" textlink="">
      <cdr:nvSpPr>
        <cdr:cNvPr id="717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76779" y="43562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24 YEARS</a:t>
          </a:r>
        </a:p>
      </cdr:txBody>
    </cdr:sp>
  </cdr:relSizeAnchor>
  <cdr:relSizeAnchor xmlns:cdr="http://schemas.openxmlformats.org/drawingml/2006/chartDrawing">
    <cdr:from>
      <cdr:x>0.64352</cdr:x>
      <cdr:y>0.58962</cdr:y>
    </cdr:from>
    <cdr:to>
      <cdr:x>0.64352</cdr:x>
      <cdr:y>0.58962</cdr:y>
    </cdr:to>
    <cdr:sp macro="" textlink="">
      <cdr:nvSpPr>
        <cdr:cNvPr id="7171" name="Text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08381" y="43562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29 YEARS</a:t>
          </a:r>
        </a:p>
      </cdr:txBody>
    </cdr:sp>
  </cdr:relSizeAnchor>
  <cdr:relSizeAnchor xmlns:cdr="http://schemas.openxmlformats.org/drawingml/2006/chartDrawing">
    <cdr:from>
      <cdr:x>0.72983</cdr:x>
      <cdr:y>0.58962</cdr:y>
    </cdr:from>
    <cdr:to>
      <cdr:x>0.72983</cdr:x>
      <cdr:y>0.58962</cdr:y>
    </cdr:to>
    <cdr:sp macro="" textlink="">
      <cdr:nvSpPr>
        <cdr:cNvPr id="7172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12623" y="43562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36 YEARS</a:t>
          </a:r>
        </a:p>
      </cdr:txBody>
    </cdr:sp>
  </cdr:relSizeAnchor>
  <cdr:relSizeAnchor xmlns:cdr="http://schemas.openxmlformats.org/drawingml/2006/chartDrawing">
    <cdr:from>
      <cdr:x>0.87335</cdr:x>
      <cdr:y>0.58962</cdr:y>
    </cdr:from>
    <cdr:to>
      <cdr:x>0.87335</cdr:x>
      <cdr:y>0.58962</cdr:y>
    </cdr:to>
    <cdr:sp macro="" textlink="">
      <cdr:nvSpPr>
        <cdr:cNvPr id="7173" name="Text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7392" y="43562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49 YEARS</a:t>
          </a:r>
        </a:p>
      </cdr:txBody>
    </cdr:sp>
  </cdr:relSizeAnchor>
  <cdr:relSizeAnchor xmlns:cdr="http://schemas.openxmlformats.org/drawingml/2006/chartDrawing">
    <cdr:from>
      <cdr:x>0.88938</cdr:x>
      <cdr:y>0.61312</cdr:y>
    </cdr:from>
    <cdr:to>
      <cdr:x>0.88938</cdr:x>
      <cdr:y>0.61312</cdr:y>
    </cdr:to>
    <cdr:sp macro="" textlink="">
      <cdr:nvSpPr>
        <cdr:cNvPr id="7174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29608" y="45285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50 YEARS</a:t>
          </a:r>
        </a:p>
      </cdr:txBody>
    </cdr:sp>
  </cdr:relSizeAnchor>
  <cdr:relSizeAnchor xmlns:cdr="http://schemas.openxmlformats.org/drawingml/2006/chartDrawing">
    <cdr:from>
      <cdr:x>0.1989</cdr:x>
      <cdr:y>0.85762</cdr:y>
    </cdr:from>
    <cdr:to>
      <cdr:x>0.1989</cdr:x>
      <cdr:y>0.85762</cdr:y>
    </cdr:to>
    <cdr:sp macro="" textlink="">
      <cdr:nvSpPr>
        <cdr:cNvPr id="7175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95670" y="632177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000000"/>
          </a:outerShdw>
        </a:effectLst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50 YEAR TIME PERIOD</a:t>
          </a:r>
        </a:p>
        <a:p xmlns:a="http://schemas.openxmlformats.org/drawingml/2006/main"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DECEMBER 1996</a:t>
          </a:r>
        </a:p>
      </cdr:txBody>
    </cdr:sp>
  </cdr:relSizeAnchor>
  <cdr:relSizeAnchor xmlns:cdr="http://schemas.openxmlformats.org/drawingml/2006/chartDrawing">
    <cdr:from>
      <cdr:x>0.60037</cdr:x>
      <cdr:y>0.63204</cdr:y>
    </cdr:from>
    <cdr:to>
      <cdr:x>0.60037</cdr:x>
      <cdr:y>0.63204</cdr:y>
    </cdr:to>
    <cdr:sp macro="" textlink="">
      <cdr:nvSpPr>
        <cdr:cNvPr id="7176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6260" y="466731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73"/>
  <sheetViews>
    <sheetView tabSelected="1" topLeftCell="B134" workbookViewId="0">
      <selection activeCell="I154" sqref="I154"/>
    </sheetView>
  </sheetViews>
  <sheetFormatPr defaultColWidth="9.7109375" defaultRowHeight="12.75"/>
  <cols>
    <col min="1" max="1" width="9.7109375" style="15"/>
    <col min="2" max="2" width="22.7109375" style="4" customWidth="1"/>
    <col min="3" max="3" width="11.5703125" style="4" customWidth="1"/>
    <col min="4" max="4" width="9.140625" style="6" customWidth="1"/>
    <col min="5" max="5" width="9.140625" style="4" customWidth="1"/>
    <col min="6" max="6" width="9.140625" style="6" customWidth="1"/>
    <col min="7" max="8" width="9.28515625" style="6" customWidth="1"/>
    <col min="9" max="9" width="9.85546875" style="6" customWidth="1"/>
    <col min="10" max="10" width="10.7109375" style="6" customWidth="1"/>
    <col min="11" max="11" width="9.28515625" style="6" customWidth="1"/>
    <col min="12" max="12" width="10.7109375" style="6" customWidth="1"/>
    <col min="13" max="14" width="9.85546875" style="6" customWidth="1"/>
    <col min="15" max="15" width="1.140625" style="6" customWidth="1"/>
    <col min="16" max="16" width="11.7109375" style="4" customWidth="1"/>
    <col min="17" max="17" width="13.42578125" style="4" customWidth="1"/>
    <col min="18" max="60" width="9.7109375" style="4" customWidth="1"/>
    <col min="61" max="61" width="16.7109375" style="4" customWidth="1"/>
    <col min="62" max="257" width="9.7109375" style="4"/>
    <col min="258" max="258" width="22.7109375" style="4" customWidth="1"/>
    <col min="259" max="259" width="11" style="4" customWidth="1"/>
    <col min="260" max="260" width="5.28515625" style="4" customWidth="1"/>
    <col min="261" max="261" width="7.42578125" style="4" customWidth="1"/>
    <col min="262" max="262" width="7.28515625" style="4" customWidth="1"/>
    <col min="263" max="263" width="12.7109375" style="4" customWidth="1"/>
    <col min="264" max="264" width="9.7109375" style="4" customWidth="1"/>
    <col min="265" max="265" width="11.140625" style="4" customWidth="1"/>
    <col min="266" max="266" width="9.7109375" style="4" customWidth="1"/>
    <col min="267" max="267" width="12.7109375" style="4" customWidth="1"/>
    <col min="268" max="268" width="10.28515625" style="4" customWidth="1"/>
    <col min="269" max="269" width="12" style="4" customWidth="1"/>
    <col min="270" max="270" width="11.28515625" style="4" customWidth="1"/>
    <col min="271" max="271" width="1.140625" style="4" customWidth="1"/>
    <col min="272" max="272" width="11.7109375" style="4" customWidth="1"/>
    <col min="273" max="273" width="13.42578125" style="4" customWidth="1"/>
    <col min="274" max="316" width="9.7109375" style="4" customWidth="1"/>
    <col min="317" max="317" width="16.7109375" style="4" customWidth="1"/>
    <col min="318" max="513" width="9.7109375" style="4"/>
    <col min="514" max="514" width="22.7109375" style="4" customWidth="1"/>
    <col min="515" max="515" width="11" style="4" customWidth="1"/>
    <col min="516" max="516" width="5.28515625" style="4" customWidth="1"/>
    <col min="517" max="517" width="7.42578125" style="4" customWidth="1"/>
    <col min="518" max="518" width="7.28515625" style="4" customWidth="1"/>
    <col min="519" max="519" width="12.7109375" style="4" customWidth="1"/>
    <col min="520" max="520" width="9.7109375" style="4" customWidth="1"/>
    <col min="521" max="521" width="11.140625" style="4" customWidth="1"/>
    <col min="522" max="522" width="9.7109375" style="4" customWidth="1"/>
    <col min="523" max="523" width="12.7109375" style="4" customWidth="1"/>
    <col min="524" max="524" width="10.28515625" style="4" customWidth="1"/>
    <col min="525" max="525" width="12" style="4" customWidth="1"/>
    <col min="526" max="526" width="11.28515625" style="4" customWidth="1"/>
    <col min="527" max="527" width="1.140625" style="4" customWidth="1"/>
    <col min="528" max="528" width="11.7109375" style="4" customWidth="1"/>
    <col min="529" max="529" width="13.42578125" style="4" customWidth="1"/>
    <col min="530" max="572" width="9.7109375" style="4" customWidth="1"/>
    <col min="573" max="573" width="16.7109375" style="4" customWidth="1"/>
    <col min="574" max="769" width="9.7109375" style="4"/>
    <col min="770" max="770" width="22.7109375" style="4" customWidth="1"/>
    <col min="771" max="771" width="11" style="4" customWidth="1"/>
    <col min="772" max="772" width="5.28515625" style="4" customWidth="1"/>
    <col min="773" max="773" width="7.42578125" style="4" customWidth="1"/>
    <col min="774" max="774" width="7.28515625" style="4" customWidth="1"/>
    <col min="775" max="775" width="12.7109375" style="4" customWidth="1"/>
    <col min="776" max="776" width="9.7109375" style="4" customWidth="1"/>
    <col min="777" max="777" width="11.140625" style="4" customWidth="1"/>
    <col min="778" max="778" width="9.7109375" style="4" customWidth="1"/>
    <col min="779" max="779" width="12.7109375" style="4" customWidth="1"/>
    <col min="780" max="780" width="10.28515625" style="4" customWidth="1"/>
    <col min="781" max="781" width="12" style="4" customWidth="1"/>
    <col min="782" max="782" width="11.28515625" style="4" customWidth="1"/>
    <col min="783" max="783" width="1.140625" style="4" customWidth="1"/>
    <col min="784" max="784" width="11.7109375" style="4" customWidth="1"/>
    <col min="785" max="785" width="13.42578125" style="4" customWidth="1"/>
    <col min="786" max="828" width="9.7109375" style="4" customWidth="1"/>
    <col min="829" max="829" width="16.7109375" style="4" customWidth="1"/>
    <col min="830" max="1025" width="9.7109375" style="4"/>
    <col min="1026" max="1026" width="22.7109375" style="4" customWidth="1"/>
    <col min="1027" max="1027" width="11" style="4" customWidth="1"/>
    <col min="1028" max="1028" width="5.28515625" style="4" customWidth="1"/>
    <col min="1029" max="1029" width="7.42578125" style="4" customWidth="1"/>
    <col min="1030" max="1030" width="7.28515625" style="4" customWidth="1"/>
    <col min="1031" max="1031" width="12.7109375" style="4" customWidth="1"/>
    <col min="1032" max="1032" width="9.7109375" style="4" customWidth="1"/>
    <col min="1033" max="1033" width="11.140625" style="4" customWidth="1"/>
    <col min="1034" max="1034" width="9.7109375" style="4" customWidth="1"/>
    <col min="1035" max="1035" width="12.7109375" style="4" customWidth="1"/>
    <col min="1036" max="1036" width="10.28515625" style="4" customWidth="1"/>
    <col min="1037" max="1037" width="12" style="4" customWidth="1"/>
    <col min="1038" max="1038" width="11.28515625" style="4" customWidth="1"/>
    <col min="1039" max="1039" width="1.140625" style="4" customWidth="1"/>
    <col min="1040" max="1040" width="11.7109375" style="4" customWidth="1"/>
    <col min="1041" max="1041" width="13.42578125" style="4" customWidth="1"/>
    <col min="1042" max="1084" width="9.7109375" style="4" customWidth="1"/>
    <col min="1085" max="1085" width="16.7109375" style="4" customWidth="1"/>
    <col min="1086" max="1281" width="9.7109375" style="4"/>
    <col min="1282" max="1282" width="22.7109375" style="4" customWidth="1"/>
    <col min="1283" max="1283" width="11" style="4" customWidth="1"/>
    <col min="1284" max="1284" width="5.28515625" style="4" customWidth="1"/>
    <col min="1285" max="1285" width="7.42578125" style="4" customWidth="1"/>
    <col min="1286" max="1286" width="7.28515625" style="4" customWidth="1"/>
    <col min="1287" max="1287" width="12.7109375" style="4" customWidth="1"/>
    <col min="1288" max="1288" width="9.7109375" style="4" customWidth="1"/>
    <col min="1289" max="1289" width="11.140625" style="4" customWidth="1"/>
    <col min="1290" max="1290" width="9.7109375" style="4" customWidth="1"/>
    <col min="1291" max="1291" width="12.7109375" style="4" customWidth="1"/>
    <col min="1292" max="1292" width="10.28515625" style="4" customWidth="1"/>
    <col min="1293" max="1293" width="12" style="4" customWidth="1"/>
    <col min="1294" max="1294" width="11.28515625" style="4" customWidth="1"/>
    <col min="1295" max="1295" width="1.140625" style="4" customWidth="1"/>
    <col min="1296" max="1296" width="11.7109375" style="4" customWidth="1"/>
    <col min="1297" max="1297" width="13.42578125" style="4" customWidth="1"/>
    <col min="1298" max="1340" width="9.7109375" style="4" customWidth="1"/>
    <col min="1341" max="1341" width="16.7109375" style="4" customWidth="1"/>
    <col min="1342" max="1537" width="9.7109375" style="4"/>
    <col min="1538" max="1538" width="22.7109375" style="4" customWidth="1"/>
    <col min="1539" max="1539" width="11" style="4" customWidth="1"/>
    <col min="1540" max="1540" width="5.28515625" style="4" customWidth="1"/>
    <col min="1541" max="1541" width="7.42578125" style="4" customWidth="1"/>
    <col min="1542" max="1542" width="7.28515625" style="4" customWidth="1"/>
    <col min="1543" max="1543" width="12.7109375" style="4" customWidth="1"/>
    <col min="1544" max="1544" width="9.7109375" style="4" customWidth="1"/>
    <col min="1545" max="1545" width="11.140625" style="4" customWidth="1"/>
    <col min="1546" max="1546" width="9.7109375" style="4" customWidth="1"/>
    <col min="1547" max="1547" width="12.7109375" style="4" customWidth="1"/>
    <col min="1548" max="1548" width="10.28515625" style="4" customWidth="1"/>
    <col min="1549" max="1549" width="12" style="4" customWidth="1"/>
    <col min="1550" max="1550" width="11.28515625" style="4" customWidth="1"/>
    <col min="1551" max="1551" width="1.140625" style="4" customWidth="1"/>
    <col min="1552" max="1552" width="11.7109375" style="4" customWidth="1"/>
    <col min="1553" max="1553" width="13.42578125" style="4" customWidth="1"/>
    <col min="1554" max="1596" width="9.7109375" style="4" customWidth="1"/>
    <col min="1597" max="1597" width="16.7109375" style="4" customWidth="1"/>
    <col min="1598" max="1793" width="9.7109375" style="4"/>
    <col min="1794" max="1794" width="22.7109375" style="4" customWidth="1"/>
    <col min="1795" max="1795" width="11" style="4" customWidth="1"/>
    <col min="1796" max="1796" width="5.28515625" style="4" customWidth="1"/>
    <col min="1797" max="1797" width="7.42578125" style="4" customWidth="1"/>
    <col min="1798" max="1798" width="7.28515625" style="4" customWidth="1"/>
    <col min="1799" max="1799" width="12.7109375" style="4" customWidth="1"/>
    <col min="1800" max="1800" width="9.7109375" style="4" customWidth="1"/>
    <col min="1801" max="1801" width="11.140625" style="4" customWidth="1"/>
    <col min="1802" max="1802" width="9.7109375" style="4" customWidth="1"/>
    <col min="1803" max="1803" width="12.7109375" style="4" customWidth="1"/>
    <col min="1804" max="1804" width="10.28515625" style="4" customWidth="1"/>
    <col min="1805" max="1805" width="12" style="4" customWidth="1"/>
    <col min="1806" max="1806" width="11.28515625" style="4" customWidth="1"/>
    <col min="1807" max="1807" width="1.140625" style="4" customWidth="1"/>
    <col min="1808" max="1808" width="11.7109375" style="4" customWidth="1"/>
    <col min="1809" max="1809" width="13.42578125" style="4" customWidth="1"/>
    <col min="1810" max="1852" width="9.7109375" style="4" customWidth="1"/>
    <col min="1853" max="1853" width="16.7109375" style="4" customWidth="1"/>
    <col min="1854" max="2049" width="9.7109375" style="4"/>
    <col min="2050" max="2050" width="22.7109375" style="4" customWidth="1"/>
    <col min="2051" max="2051" width="11" style="4" customWidth="1"/>
    <col min="2052" max="2052" width="5.28515625" style="4" customWidth="1"/>
    <col min="2053" max="2053" width="7.42578125" style="4" customWidth="1"/>
    <col min="2054" max="2054" width="7.28515625" style="4" customWidth="1"/>
    <col min="2055" max="2055" width="12.7109375" style="4" customWidth="1"/>
    <col min="2056" max="2056" width="9.7109375" style="4" customWidth="1"/>
    <col min="2057" max="2057" width="11.140625" style="4" customWidth="1"/>
    <col min="2058" max="2058" width="9.7109375" style="4" customWidth="1"/>
    <col min="2059" max="2059" width="12.7109375" style="4" customWidth="1"/>
    <col min="2060" max="2060" width="10.28515625" style="4" customWidth="1"/>
    <col min="2061" max="2061" width="12" style="4" customWidth="1"/>
    <col min="2062" max="2062" width="11.28515625" style="4" customWidth="1"/>
    <col min="2063" max="2063" width="1.140625" style="4" customWidth="1"/>
    <col min="2064" max="2064" width="11.7109375" style="4" customWidth="1"/>
    <col min="2065" max="2065" width="13.42578125" style="4" customWidth="1"/>
    <col min="2066" max="2108" width="9.7109375" style="4" customWidth="1"/>
    <col min="2109" max="2109" width="16.7109375" style="4" customWidth="1"/>
    <col min="2110" max="2305" width="9.7109375" style="4"/>
    <col min="2306" max="2306" width="22.7109375" style="4" customWidth="1"/>
    <col min="2307" max="2307" width="11" style="4" customWidth="1"/>
    <col min="2308" max="2308" width="5.28515625" style="4" customWidth="1"/>
    <col min="2309" max="2309" width="7.42578125" style="4" customWidth="1"/>
    <col min="2310" max="2310" width="7.28515625" style="4" customWidth="1"/>
    <col min="2311" max="2311" width="12.7109375" style="4" customWidth="1"/>
    <col min="2312" max="2312" width="9.7109375" style="4" customWidth="1"/>
    <col min="2313" max="2313" width="11.140625" style="4" customWidth="1"/>
    <col min="2314" max="2314" width="9.7109375" style="4" customWidth="1"/>
    <col min="2315" max="2315" width="12.7109375" style="4" customWidth="1"/>
    <col min="2316" max="2316" width="10.28515625" style="4" customWidth="1"/>
    <col min="2317" max="2317" width="12" style="4" customWidth="1"/>
    <col min="2318" max="2318" width="11.28515625" style="4" customWidth="1"/>
    <col min="2319" max="2319" width="1.140625" style="4" customWidth="1"/>
    <col min="2320" max="2320" width="11.7109375" style="4" customWidth="1"/>
    <col min="2321" max="2321" width="13.42578125" style="4" customWidth="1"/>
    <col min="2322" max="2364" width="9.7109375" style="4" customWidth="1"/>
    <col min="2365" max="2365" width="16.7109375" style="4" customWidth="1"/>
    <col min="2366" max="2561" width="9.7109375" style="4"/>
    <col min="2562" max="2562" width="22.7109375" style="4" customWidth="1"/>
    <col min="2563" max="2563" width="11" style="4" customWidth="1"/>
    <col min="2564" max="2564" width="5.28515625" style="4" customWidth="1"/>
    <col min="2565" max="2565" width="7.42578125" style="4" customWidth="1"/>
    <col min="2566" max="2566" width="7.28515625" style="4" customWidth="1"/>
    <col min="2567" max="2567" width="12.7109375" style="4" customWidth="1"/>
    <col min="2568" max="2568" width="9.7109375" style="4" customWidth="1"/>
    <col min="2569" max="2569" width="11.140625" style="4" customWidth="1"/>
    <col min="2570" max="2570" width="9.7109375" style="4" customWidth="1"/>
    <col min="2571" max="2571" width="12.7109375" style="4" customWidth="1"/>
    <col min="2572" max="2572" width="10.28515625" style="4" customWidth="1"/>
    <col min="2573" max="2573" width="12" style="4" customWidth="1"/>
    <col min="2574" max="2574" width="11.28515625" style="4" customWidth="1"/>
    <col min="2575" max="2575" width="1.140625" style="4" customWidth="1"/>
    <col min="2576" max="2576" width="11.7109375" style="4" customWidth="1"/>
    <col min="2577" max="2577" width="13.42578125" style="4" customWidth="1"/>
    <col min="2578" max="2620" width="9.7109375" style="4" customWidth="1"/>
    <col min="2621" max="2621" width="16.7109375" style="4" customWidth="1"/>
    <col min="2622" max="2817" width="9.7109375" style="4"/>
    <col min="2818" max="2818" width="22.7109375" style="4" customWidth="1"/>
    <col min="2819" max="2819" width="11" style="4" customWidth="1"/>
    <col min="2820" max="2820" width="5.28515625" style="4" customWidth="1"/>
    <col min="2821" max="2821" width="7.42578125" style="4" customWidth="1"/>
    <col min="2822" max="2822" width="7.28515625" style="4" customWidth="1"/>
    <col min="2823" max="2823" width="12.7109375" style="4" customWidth="1"/>
    <col min="2824" max="2824" width="9.7109375" style="4" customWidth="1"/>
    <col min="2825" max="2825" width="11.140625" style="4" customWidth="1"/>
    <col min="2826" max="2826" width="9.7109375" style="4" customWidth="1"/>
    <col min="2827" max="2827" width="12.7109375" style="4" customWidth="1"/>
    <col min="2828" max="2828" width="10.28515625" style="4" customWidth="1"/>
    <col min="2829" max="2829" width="12" style="4" customWidth="1"/>
    <col min="2830" max="2830" width="11.28515625" style="4" customWidth="1"/>
    <col min="2831" max="2831" width="1.140625" style="4" customWidth="1"/>
    <col min="2832" max="2832" width="11.7109375" style="4" customWidth="1"/>
    <col min="2833" max="2833" width="13.42578125" style="4" customWidth="1"/>
    <col min="2834" max="2876" width="9.7109375" style="4" customWidth="1"/>
    <col min="2877" max="2877" width="16.7109375" style="4" customWidth="1"/>
    <col min="2878" max="3073" width="9.7109375" style="4"/>
    <col min="3074" max="3074" width="22.7109375" style="4" customWidth="1"/>
    <col min="3075" max="3075" width="11" style="4" customWidth="1"/>
    <col min="3076" max="3076" width="5.28515625" style="4" customWidth="1"/>
    <col min="3077" max="3077" width="7.42578125" style="4" customWidth="1"/>
    <col min="3078" max="3078" width="7.28515625" style="4" customWidth="1"/>
    <col min="3079" max="3079" width="12.7109375" style="4" customWidth="1"/>
    <col min="3080" max="3080" width="9.7109375" style="4" customWidth="1"/>
    <col min="3081" max="3081" width="11.140625" style="4" customWidth="1"/>
    <col min="3082" max="3082" width="9.7109375" style="4" customWidth="1"/>
    <col min="3083" max="3083" width="12.7109375" style="4" customWidth="1"/>
    <col min="3084" max="3084" width="10.28515625" style="4" customWidth="1"/>
    <col min="3085" max="3085" width="12" style="4" customWidth="1"/>
    <col min="3086" max="3086" width="11.28515625" style="4" customWidth="1"/>
    <col min="3087" max="3087" width="1.140625" style="4" customWidth="1"/>
    <col min="3088" max="3088" width="11.7109375" style="4" customWidth="1"/>
    <col min="3089" max="3089" width="13.42578125" style="4" customWidth="1"/>
    <col min="3090" max="3132" width="9.7109375" style="4" customWidth="1"/>
    <col min="3133" max="3133" width="16.7109375" style="4" customWidth="1"/>
    <col min="3134" max="3329" width="9.7109375" style="4"/>
    <col min="3330" max="3330" width="22.7109375" style="4" customWidth="1"/>
    <col min="3331" max="3331" width="11" style="4" customWidth="1"/>
    <col min="3332" max="3332" width="5.28515625" style="4" customWidth="1"/>
    <col min="3333" max="3333" width="7.42578125" style="4" customWidth="1"/>
    <col min="3334" max="3334" width="7.28515625" style="4" customWidth="1"/>
    <col min="3335" max="3335" width="12.7109375" style="4" customWidth="1"/>
    <col min="3336" max="3336" width="9.7109375" style="4" customWidth="1"/>
    <col min="3337" max="3337" width="11.140625" style="4" customWidth="1"/>
    <col min="3338" max="3338" width="9.7109375" style="4" customWidth="1"/>
    <col min="3339" max="3339" width="12.7109375" style="4" customWidth="1"/>
    <col min="3340" max="3340" width="10.28515625" style="4" customWidth="1"/>
    <col min="3341" max="3341" width="12" style="4" customWidth="1"/>
    <col min="3342" max="3342" width="11.28515625" style="4" customWidth="1"/>
    <col min="3343" max="3343" width="1.140625" style="4" customWidth="1"/>
    <col min="3344" max="3344" width="11.7109375" style="4" customWidth="1"/>
    <col min="3345" max="3345" width="13.42578125" style="4" customWidth="1"/>
    <col min="3346" max="3388" width="9.7109375" style="4" customWidth="1"/>
    <col min="3389" max="3389" width="16.7109375" style="4" customWidth="1"/>
    <col min="3390" max="3585" width="9.7109375" style="4"/>
    <col min="3586" max="3586" width="22.7109375" style="4" customWidth="1"/>
    <col min="3587" max="3587" width="11" style="4" customWidth="1"/>
    <col min="3588" max="3588" width="5.28515625" style="4" customWidth="1"/>
    <col min="3589" max="3589" width="7.42578125" style="4" customWidth="1"/>
    <col min="3590" max="3590" width="7.28515625" style="4" customWidth="1"/>
    <col min="3591" max="3591" width="12.7109375" style="4" customWidth="1"/>
    <col min="3592" max="3592" width="9.7109375" style="4" customWidth="1"/>
    <col min="3593" max="3593" width="11.140625" style="4" customWidth="1"/>
    <col min="3594" max="3594" width="9.7109375" style="4" customWidth="1"/>
    <col min="3595" max="3595" width="12.7109375" style="4" customWidth="1"/>
    <col min="3596" max="3596" width="10.28515625" style="4" customWidth="1"/>
    <col min="3597" max="3597" width="12" style="4" customWidth="1"/>
    <col min="3598" max="3598" width="11.28515625" style="4" customWidth="1"/>
    <col min="3599" max="3599" width="1.140625" style="4" customWidth="1"/>
    <col min="3600" max="3600" width="11.7109375" style="4" customWidth="1"/>
    <col min="3601" max="3601" width="13.42578125" style="4" customWidth="1"/>
    <col min="3602" max="3644" width="9.7109375" style="4" customWidth="1"/>
    <col min="3645" max="3645" width="16.7109375" style="4" customWidth="1"/>
    <col min="3646" max="3841" width="9.7109375" style="4"/>
    <col min="3842" max="3842" width="22.7109375" style="4" customWidth="1"/>
    <col min="3843" max="3843" width="11" style="4" customWidth="1"/>
    <col min="3844" max="3844" width="5.28515625" style="4" customWidth="1"/>
    <col min="3845" max="3845" width="7.42578125" style="4" customWidth="1"/>
    <col min="3846" max="3846" width="7.28515625" style="4" customWidth="1"/>
    <col min="3847" max="3847" width="12.7109375" style="4" customWidth="1"/>
    <col min="3848" max="3848" width="9.7109375" style="4" customWidth="1"/>
    <col min="3849" max="3849" width="11.140625" style="4" customWidth="1"/>
    <col min="3850" max="3850" width="9.7109375" style="4" customWidth="1"/>
    <col min="3851" max="3851" width="12.7109375" style="4" customWidth="1"/>
    <col min="3852" max="3852" width="10.28515625" style="4" customWidth="1"/>
    <col min="3853" max="3853" width="12" style="4" customWidth="1"/>
    <col min="3854" max="3854" width="11.28515625" style="4" customWidth="1"/>
    <col min="3855" max="3855" width="1.140625" style="4" customWidth="1"/>
    <col min="3856" max="3856" width="11.7109375" style="4" customWidth="1"/>
    <col min="3857" max="3857" width="13.42578125" style="4" customWidth="1"/>
    <col min="3858" max="3900" width="9.7109375" style="4" customWidth="1"/>
    <col min="3901" max="3901" width="16.7109375" style="4" customWidth="1"/>
    <col min="3902" max="4097" width="9.7109375" style="4"/>
    <col min="4098" max="4098" width="22.7109375" style="4" customWidth="1"/>
    <col min="4099" max="4099" width="11" style="4" customWidth="1"/>
    <col min="4100" max="4100" width="5.28515625" style="4" customWidth="1"/>
    <col min="4101" max="4101" width="7.42578125" style="4" customWidth="1"/>
    <col min="4102" max="4102" width="7.28515625" style="4" customWidth="1"/>
    <col min="4103" max="4103" width="12.7109375" style="4" customWidth="1"/>
    <col min="4104" max="4104" width="9.7109375" style="4" customWidth="1"/>
    <col min="4105" max="4105" width="11.140625" style="4" customWidth="1"/>
    <col min="4106" max="4106" width="9.7109375" style="4" customWidth="1"/>
    <col min="4107" max="4107" width="12.7109375" style="4" customWidth="1"/>
    <col min="4108" max="4108" width="10.28515625" style="4" customWidth="1"/>
    <col min="4109" max="4109" width="12" style="4" customWidth="1"/>
    <col min="4110" max="4110" width="11.28515625" style="4" customWidth="1"/>
    <col min="4111" max="4111" width="1.140625" style="4" customWidth="1"/>
    <col min="4112" max="4112" width="11.7109375" style="4" customWidth="1"/>
    <col min="4113" max="4113" width="13.42578125" style="4" customWidth="1"/>
    <col min="4114" max="4156" width="9.7109375" style="4" customWidth="1"/>
    <col min="4157" max="4157" width="16.7109375" style="4" customWidth="1"/>
    <col min="4158" max="4353" width="9.7109375" style="4"/>
    <col min="4354" max="4354" width="22.7109375" style="4" customWidth="1"/>
    <col min="4355" max="4355" width="11" style="4" customWidth="1"/>
    <col min="4356" max="4356" width="5.28515625" style="4" customWidth="1"/>
    <col min="4357" max="4357" width="7.42578125" style="4" customWidth="1"/>
    <col min="4358" max="4358" width="7.28515625" style="4" customWidth="1"/>
    <col min="4359" max="4359" width="12.7109375" style="4" customWidth="1"/>
    <col min="4360" max="4360" width="9.7109375" style="4" customWidth="1"/>
    <col min="4361" max="4361" width="11.140625" style="4" customWidth="1"/>
    <col min="4362" max="4362" width="9.7109375" style="4" customWidth="1"/>
    <col min="4363" max="4363" width="12.7109375" style="4" customWidth="1"/>
    <col min="4364" max="4364" width="10.28515625" style="4" customWidth="1"/>
    <col min="4365" max="4365" width="12" style="4" customWidth="1"/>
    <col min="4366" max="4366" width="11.28515625" style="4" customWidth="1"/>
    <col min="4367" max="4367" width="1.140625" style="4" customWidth="1"/>
    <col min="4368" max="4368" width="11.7109375" style="4" customWidth="1"/>
    <col min="4369" max="4369" width="13.42578125" style="4" customWidth="1"/>
    <col min="4370" max="4412" width="9.7109375" style="4" customWidth="1"/>
    <col min="4413" max="4413" width="16.7109375" style="4" customWidth="1"/>
    <col min="4414" max="4609" width="9.7109375" style="4"/>
    <col min="4610" max="4610" width="22.7109375" style="4" customWidth="1"/>
    <col min="4611" max="4611" width="11" style="4" customWidth="1"/>
    <col min="4612" max="4612" width="5.28515625" style="4" customWidth="1"/>
    <col min="4613" max="4613" width="7.42578125" style="4" customWidth="1"/>
    <col min="4614" max="4614" width="7.28515625" style="4" customWidth="1"/>
    <col min="4615" max="4615" width="12.7109375" style="4" customWidth="1"/>
    <col min="4616" max="4616" width="9.7109375" style="4" customWidth="1"/>
    <col min="4617" max="4617" width="11.140625" style="4" customWidth="1"/>
    <col min="4618" max="4618" width="9.7109375" style="4" customWidth="1"/>
    <col min="4619" max="4619" width="12.7109375" style="4" customWidth="1"/>
    <col min="4620" max="4620" width="10.28515625" style="4" customWidth="1"/>
    <col min="4621" max="4621" width="12" style="4" customWidth="1"/>
    <col min="4622" max="4622" width="11.28515625" style="4" customWidth="1"/>
    <col min="4623" max="4623" width="1.140625" style="4" customWidth="1"/>
    <col min="4624" max="4624" width="11.7109375" style="4" customWidth="1"/>
    <col min="4625" max="4625" width="13.42578125" style="4" customWidth="1"/>
    <col min="4626" max="4668" width="9.7109375" style="4" customWidth="1"/>
    <col min="4669" max="4669" width="16.7109375" style="4" customWidth="1"/>
    <col min="4670" max="4865" width="9.7109375" style="4"/>
    <col min="4866" max="4866" width="22.7109375" style="4" customWidth="1"/>
    <col min="4867" max="4867" width="11" style="4" customWidth="1"/>
    <col min="4868" max="4868" width="5.28515625" style="4" customWidth="1"/>
    <col min="4869" max="4869" width="7.42578125" style="4" customWidth="1"/>
    <col min="4870" max="4870" width="7.28515625" style="4" customWidth="1"/>
    <col min="4871" max="4871" width="12.7109375" style="4" customWidth="1"/>
    <col min="4872" max="4872" width="9.7109375" style="4" customWidth="1"/>
    <col min="4873" max="4873" width="11.140625" style="4" customWidth="1"/>
    <col min="4874" max="4874" width="9.7109375" style="4" customWidth="1"/>
    <col min="4875" max="4875" width="12.7109375" style="4" customWidth="1"/>
    <col min="4876" max="4876" width="10.28515625" style="4" customWidth="1"/>
    <col min="4877" max="4877" width="12" style="4" customWidth="1"/>
    <col min="4878" max="4878" width="11.28515625" style="4" customWidth="1"/>
    <col min="4879" max="4879" width="1.140625" style="4" customWidth="1"/>
    <col min="4880" max="4880" width="11.7109375" style="4" customWidth="1"/>
    <col min="4881" max="4881" width="13.42578125" style="4" customWidth="1"/>
    <col min="4882" max="4924" width="9.7109375" style="4" customWidth="1"/>
    <col min="4925" max="4925" width="16.7109375" style="4" customWidth="1"/>
    <col min="4926" max="5121" width="9.7109375" style="4"/>
    <col min="5122" max="5122" width="22.7109375" style="4" customWidth="1"/>
    <col min="5123" max="5123" width="11" style="4" customWidth="1"/>
    <col min="5124" max="5124" width="5.28515625" style="4" customWidth="1"/>
    <col min="5125" max="5125" width="7.42578125" style="4" customWidth="1"/>
    <col min="5126" max="5126" width="7.28515625" style="4" customWidth="1"/>
    <col min="5127" max="5127" width="12.7109375" style="4" customWidth="1"/>
    <col min="5128" max="5128" width="9.7109375" style="4" customWidth="1"/>
    <col min="5129" max="5129" width="11.140625" style="4" customWidth="1"/>
    <col min="5130" max="5130" width="9.7109375" style="4" customWidth="1"/>
    <col min="5131" max="5131" width="12.7109375" style="4" customWidth="1"/>
    <col min="5132" max="5132" width="10.28515625" style="4" customWidth="1"/>
    <col min="5133" max="5133" width="12" style="4" customWidth="1"/>
    <col min="5134" max="5134" width="11.28515625" style="4" customWidth="1"/>
    <col min="5135" max="5135" width="1.140625" style="4" customWidth="1"/>
    <col min="5136" max="5136" width="11.7109375" style="4" customWidth="1"/>
    <col min="5137" max="5137" width="13.42578125" style="4" customWidth="1"/>
    <col min="5138" max="5180" width="9.7109375" style="4" customWidth="1"/>
    <col min="5181" max="5181" width="16.7109375" style="4" customWidth="1"/>
    <col min="5182" max="5377" width="9.7109375" style="4"/>
    <col min="5378" max="5378" width="22.7109375" style="4" customWidth="1"/>
    <col min="5379" max="5379" width="11" style="4" customWidth="1"/>
    <col min="5380" max="5380" width="5.28515625" style="4" customWidth="1"/>
    <col min="5381" max="5381" width="7.42578125" style="4" customWidth="1"/>
    <col min="5382" max="5382" width="7.28515625" style="4" customWidth="1"/>
    <col min="5383" max="5383" width="12.7109375" style="4" customWidth="1"/>
    <col min="5384" max="5384" width="9.7109375" style="4" customWidth="1"/>
    <col min="5385" max="5385" width="11.140625" style="4" customWidth="1"/>
    <col min="5386" max="5386" width="9.7109375" style="4" customWidth="1"/>
    <col min="5387" max="5387" width="12.7109375" style="4" customWidth="1"/>
    <col min="5388" max="5388" width="10.28515625" style="4" customWidth="1"/>
    <col min="5389" max="5389" width="12" style="4" customWidth="1"/>
    <col min="5390" max="5390" width="11.28515625" style="4" customWidth="1"/>
    <col min="5391" max="5391" width="1.140625" style="4" customWidth="1"/>
    <col min="5392" max="5392" width="11.7109375" style="4" customWidth="1"/>
    <col min="5393" max="5393" width="13.42578125" style="4" customWidth="1"/>
    <col min="5394" max="5436" width="9.7109375" style="4" customWidth="1"/>
    <col min="5437" max="5437" width="16.7109375" style="4" customWidth="1"/>
    <col min="5438" max="5633" width="9.7109375" style="4"/>
    <col min="5634" max="5634" width="22.7109375" style="4" customWidth="1"/>
    <col min="5635" max="5635" width="11" style="4" customWidth="1"/>
    <col min="5636" max="5636" width="5.28515625" style="4" customWidth="1"/>
    <col min="5637" max="5637" width="7.42578125" style="4" customWidth="1"/>
    <col min="5638" max="5638" width="7.28515625" style="4" customWidth="1"/>
    <col min="5639" max="5639" width="12.7109375" style="4" customWidth="1"/>
    <col min="5640" max="5640" width="9.7109375" style="4" customWidth="1"/>
    <col min="5641" max="5641" width="11.140625" style="4" customWidth="1"/>
    <col min="5642" max="5642" width="9.7109375" style="4" customWidth="1"/>
    <col min="5643" max="5643" width="12.7109375" style="4" customWidth="1"/>
    <col min="5644" max="5644" width="10.28515625" style="4" customWidth="1"/>
    <col min="5645" max="5645" width="12" style="4" customWidth="1"/>
    <col min="5646" max="5646" width="11.28515625" style="4" customWidth="1"/>
    <col min="5647" max="5647" width="1.140625" style="4" customWidth="1"/>
    <col min="5648" max="5648" width="11.7109375" style="4" customWidth="1"/>
    <col min="5649" max="5649" width="13.42578125" style="4" customWidth="1"/>
    <col min="5650" max="5692" width="9.7109375" style="4" customWidth="1"/>
    <col min="5693" max="5693" width="16.7109375" style="4" customWidth="1"/>
    <col min="5694" max="5889" width="9.7109375" style="4"/>
    <col min="5890" max="5890" width="22.7109375" style="4" customWidth="1"/>
    <col min="5891" max="5891" width="11" style="4" customWidth="1"/>
    <col min="5892" max="5892" width="5.28515625" style="4" customWidth="1"/>
    <col min="5893" max="5893" width="7.42578125" style="4" customWidth="1"/>
    <col min="5894" max="5894" width="7.28515625" style="4" customWidth="1"/>
    <col min="5895" max="5895" width="12.7109375" style="4" customWidth="1"/>
    <col min="5896" max="5896" width="9.7109375" style="4" customWidth="1"/>
    <col min="5897" max="5897" width="11.140625" style="4" customWidth="1"/>
    <col min="5898" max="5898" width="9.7109375" style="4" customWidth="1"/>
    <col min="5899" max="5899" width="12.7109375" style="4" customWidth="1"/>
    <col min="5900" max="5900" width="10.28515625" style="4" customWidth="1"/>
    <col min="5901" max="5901" width="12" style="4" customWidth="1"/>
    <col min="5902" max="5902" width="11.28515625" style="4" customWidth="1"/>
    <col min="5903" max="5903" width="1.140625" style="4" customWidth="1"/>
    <col min="5904" max="5904" width="11.7109375" style="4" customWidth="1"/>
    <col min="5905" max="5905" width="13.42578125" style="4" customWidth="1"/>
    <col min="5906" max="5948" width="9.7109375" style="4" customWidth="1"/>
    <col min="5949" max="5949" width="16.7109375" style="4" customWidth="1"/>
    <col min="5950" max="6145" width="9.7109375" style="4"/>
    <col min="6146" max="6146" width="22.7109375" style="4" customWidth="1"/>
    <col min="6147" max="6147" width="11" style="4" customWidth="1"/>
    <col min="6148" max="6148" width="5.28515625" style="4" customWidth="1"/>
    <col min="6149" max="6149" width="7.42578125" style="4" customWidth="1"/>
    <col min="6150" max="6150" width="7.28515625" style="4" customWidth="1"/>
    <col min="6151" max="6151" width="12.7109375" style="4" customWidth="1"/>
    <col min="6152" max="6152" width="9.7109375" style="4" customWidth="1"/>
    <col min="6153" max="6153" width="11.140625" style="4" customWidth="1"/>
    <col min="6154" max="6154" width="9.7109375" style="4" customWidth="1"/>
    <col min="6155" max="6155" width="12.7109375" style="4" customWidth="1"/>
    <col min="6156" max="6156" width="10.28515625" style="4" customWidth="1"/>
    <col min="6157" max="6157" width="12" style="4" customWidth="1"/>
    <col min="6158" max="6158" width="11.28515625" style="4" customWidth="1"/>
    <col min="6159" max="6159" width="1.140625" style="4" customWidth="1"/>
    <col min="6160" max="6160" width="11.7109375" style="4" customWidth="1"/>
    <col min="6161" max="6161" width="13.42578125" style="4" customWidth="1"/>
    <col min="6162" max="6204" width="9.7109375" style="4" customWidth="1"/>
    <col min="6205" max="6205" width="16.7109375" style="4" customWidth="1"/>
    <col min="6206" max="6401" width="9.7109375" style="4"/>
    <col min="6402" max="6402" width="22.7109375" style="4" customWidth="1"/>
    <col min="6403" max="6403" width="11" style="4" customWidth="1"/>
    <col min="6404" max="6404" width="5.28515625" style="4" customWidth="1"/>
    <col min="6405" max="6405" width="7.42578125" style="4" customWidth="1"/>
    <col min="6406" max="6406" width="7.28515625" style="4" customWidth="1"/>
    <col min="6407" max="6407" width="12.7109375" style="4" customWidth="1"/>
    <col min="6408" max="6408" width="9.7109375" style="4" customWidth="1"/>
    <col min="6409" max="6409" width="11.140625" style="4" customWidth="1"/>
    <col min="6410" max="6410" width="9.7109375" style="4" customWidth="1"/>
    <col min="6411" max="6411" width="12.7109375" style="4" customWidth="1"/>
    <col min="6412" max="6412" width="10.28515625" style="4" customWidth="1"/>
    <col min="6413" max="6413" width="12" style="4" customWidth="1"/>
    <col min="6414" max="6414" width="11.28515625" style="4" customWidth="1"/>
    <col min="6415" max="6415" width="1.140625" style="4" customWidth="1"/>
    <col min="6416" max="6416" width="11.7109375" style="4" customWidth="1"/>
    <col min="6417" max="6417" width="13.42578125" style="4" customWidth="1"/>
    <col min="6418" max="6460" width="9.7109375" style="4" customWidth="1"/>
    <col min="6461" max="6461" width="16.7109375" style="4" customWidth="1"/>
    <col min="6462" max="6657" width="9.7109375" style="4"/>
    <col min="6658" max="6658" width="22.7109375" style="4" customWidth="1"/>
    <col min="6659" max="6659" width="11" style="4" customWidth="1"/>
    <col min="6660" max="6660" width="5.28515625" style="4" customWidth="1"/>
    <col min="6661" max="6661" width="7.42578125" style="4" customWidth="1"/>
    <col min="6662" max="6662" width="7.28515625" style="4" customWidth="1"/>
    <col min="6663" max="6663" width="12.7109375" style="4" customWidth="1"/>
    <col min="6664" max="6664" width="9.7109375" style="4" customWidth="1"/>
    <col min="6665" max="6665" width="11.140625" style="4" customWidth="1"/>
    <col min="6666" max="6666" width="9.7109375" style="4" customWidth="1"/>
    <col min="6667" max="6667" width="12.7109375" style="4" customWidth="1"/>
    <col min="6668" max="6668" width="10.28515625" style="4" customWidth="1"/>
    <col min="6669" max="6669" width="12" style="4" customWidth="1"/>
    <col min="6670" max="6670" width="11.28515625" style="4" customWidth="1"/>
    <col min="6671" max="6671" width="1.140625" style="4" customWidth="1"/>
    <col min="6672" max="6672" width="11.7109375" style="4" customWidth="1"/>
    <col min="6673" max="6673" width="13.42578125" style="4" customWidth="1"/>
    <col min="6674" max="6716" width="9.7109375" style="4" customWidth="1"/>
    <col min="6717" max="6717" width="16.7109375" style="4" customWidth="1"/>
    <col min="6718" max="6913" width="9.7109375" style="4"/>
    <col min="6914" max="6914" width="22.7109375" style="4" customWidth="1"/>
    <col min="6915" max="6915" width="11" style="4" customWidth="1"/>
    <col min="6916" max="6916" width="5.28515625" style="4" customWidth="1"/>
    <col min="6917" max="6917" width="7.42578125" style="4" customWidth="1"/>
    <col min="6918" max="6918" width="7.28515625" style="4" customWidth="1"/>
    <col min="6919" max="6919" width="12.7109375" style="4" customWidth="1"/>
    <col min="6920" max="6920" width="9.7109375" style="4" customWidth="1"/>
    <col min="6921" max="6921" width="11.140625" style="4" customWidth="1"/>
    <col min="6922" max="6922" width="9.7109375" style="4" customWidth="1"/>
    <col min="6923" max="6923" width="12.7109375" style="4" customWidth="1"/>
    <col min="6924" max="6924" width="10.28515625" style="4" customWidth="1"/>
    <col min="6925" max="6925" width="12" style="4" customWidth="1"/>
    <col min="6926" max="6926" width="11.28515625" style="4" customWidth="1"/>
    <col min="6927" max="6927" width="1.140625" style="4" customWidth="1"/>
    <col min="6928" max="6928" width="11.7109375" style="4" customWidth="1"/>
    <col min="6929" max="6929" width="13.42578125" style="4" customWidth="1"/>
    <col min="6930" max="6972" width="9.7109375" style="4" customWidth="1"/>
    <col min="6973" max="6973" width="16.7109375" style="4" customWidth="1"/>
    <col min="6974" max="7169" width="9.7109375" style="4"/>
    <col min="7170" max="7170" width="22.7109375" style="4" customWidth="1"/>
    <col min="7171" max="7171" width="11" style="4" customWidth="1"/>
    <col min="7172" max="7172" width="5.28515625" style="4" customWidth="1"/>
    <col min="7173" max="7173" width="7.42578125" style="4" customWidth="1"/>
    <col min="7174" max="7174" width="7.28515625" style="4" customWidth="1"/>
    <col min="7175" max="7175" width="12.7109375" style="4" customWidth="1"/>
    <col min="7176" max="7176" width="9.7109375" style="4" customWidth="1"/>
    <col min="7177" max="7177" width="11.140625" style="4" customWidth="1"/>
    <col min="7178" max="7178" width="9.7109375" style="4" customWidth="1"/>
    <col min="7179" max="7179" width="12.7109375" style="4" customWidth="1"/>
    <col min="7180" max="7180" width="10.28515625" style="4" customWidth="1"/>
    <col min="7181" max="7181" width="12" style="4" customWidth="1"/>
    <col min="7182" max="7182" width="11.28515625" style="4" customWidth="1"/>
    <col min="7183" max="7183" width="1.140625" style="4" customWidth="1"/>
    <col min="7184" max="7184" width="11.7109375" style="4" customWidth="1"/>
    <col min="7185" max="7185" width="13.42578125" style="4" customWidth="1"/>
    <col min="7186" max="7228" width="9.7109375" style="4" customWidth="1"/>
    <col min="7229" max="7229" width="16.7109375" style="4" customWidth="1"/>
    <col min="7230" max="7425" width="9.7109375" style="4"/>
    <col min="7426" max="7426" width="22.7109375" style="4" customWidth="1"/>
    <col min="7427" max="7427" width="11" style="4" customWidth="1"/>
    <col min="7428" max="7428" width="5.28515625" style="4" customWidth="1"/>
    <col min="7429" max="7429" width="7.42578125" style="4" customWidth="1"/>
    <col min="7430" max="7430" width="7.28515625" style="4" customWidth="1"/>
    <col min="7431" max="7431" width="12.7109375" style="4" customWidth="1"/>
    <col min="7432" max="7432" width="9.7109375" style="4" customWidth="1"/>
    <col min="7433" max="7433" width="11.140625" style="4" customWidth="1"/>
    <col min="7434" max="7434" width="9.7109375" style="4" customWidth="1"/>
    <col min="7435" max="7435" width="12.7109375" style="4" customWidth="1"/>
    <col min="7436" max="7436" width="10.28515625" style="4" customWidth="1"/>
    <col min="7437" max="7437" width="12" style="4" customWidth="1"/>
    <col min="7438" max="7438" width="11.28515625" style="4" customWidth="1"/>
    <col min="7439" max="7439" width="1.140625" style="4" customWidth="1"/>
    <col min="7440" max="7440" width="11.7109375" style="4" customWidth="1"/>
    <col min="7441" max="7441" width="13.42578125" style="4" customWidth="1"/>
    <col min="7442" max="7484" width="9.7109375" style="4" customWidth="1"/>
    <col min="7485" max="7485" width="16.7109375" style="4" customWidth="1"/>
    <col min="7486" max="7681" width="9.7109375" style="4"/>
    <col min="7682" max="7682" width="22.7109375" style="4" customWidth="1"/>
    <col min="7683" max="7683" width="11" style="4" customWidth="1"/>
    <col min="7684" max="7684" width="5.28515625" style="4" customWidth="1"/>
    <col min="7685" max="7685" width="7.42578125" style="4" customWidth="1"/>
    <col min="7686" max="7686" width="7.28515625" style="4" customWidth="1"/>
    <col min="7687" max="7687" width="12.7109375" style="4" customWidth="1"/>
    <col min="7688" max="7688" width="9.7109375" style="4" customWidth="1"/>
    <col min="7689" max="7689" width="11.140625" style="4" customWidth="1"/>
    <col min="7690" max="7690" width="9.7109375" style="4" customWidth="1"/>
    <col min="7691" max="7691" width="12.7109375" style="4" customWidth="1"/>
    <col min="7692" max="7692" width="10.28515625" style="4" customWidth="1"/>
    <col min="7693" max="7693" width="12" style="4" customWidth="1"/>
    <col min="7694" max="7694" width="11.28515625" style="4" customWidth="1"/>
    <col min="7695" max="7695" width="1.140625" style="4" customWidth="1"/>
    <col min="7696" max="7696" width="11.7109375" style="4" customWidth="1"/>
    <col min="7697" max="7697" width="13.42578125" style="4" customWidth="1"/>
    <col min="7698" max="7740" width="9.7109375" style="4" customWidth="1"/>
    <col min="7741" max="7741" width="16.7109375" style="4" customWidth="1"/>
    <col min="7742" max="7937" width="9.7109375" style="4"/>
    <col min="7938" max="7938" width="22.7109375" style="4" customWidth="1"/>
    <col min="7939" max="7939" width="11" style="4" customWidth="1"/>
    <col min="7940" max="7940" width="5.28515625" style="4" customWidth="1"/>
    <col min="7941" max="7941" width="7.42578125" style="4" customWidth="1"/>
    <col min="7942" max="7942" width="7.28515625" style="4" customWidth="1"/>
    <col min="7943" max="7943" width="12.7109375" style="4" customWidth="1"/>
    <col min="7944" max="7944" width="9.7109375" style="4" customWidth="1"/>
    <col min="7945" max="7945" width="11.140625" style="4" customWidth="1"/>
    <col min="7946" max="7946" width="9.7109375" style="4" customWidth="1"/>
    <col min="7947" max="7947" width="12.7109375" style="4" customWidth="1"/>
    <col min="7948" max="7948" width="10.28515625" style="4" customWidth="1"/>
    <col min="7949" max="7949" width="12" style="4" customWidth="1"/>
    <col min="7950" max="7950" width="11.28515625" style="4" customWidth="1"/>
    <col min="7951" max="7951" width="1.140625" style="4" customWidth="1"/>
    <col min="7952" max="7952" width="11.7109375" style="4" customWidth="1"/>
    <col min="7953" max="7953" width="13.42578125" style="4" customWidth="1"/>
    <col min="7954" max="7996" width="9.7109375" style="4" customWidth="1"/>
    <col min="7997" max="7997" width="16.7109375" style="4" customWidth="1"/>
    <col min="7998" max="8193" width="9.7109375" style="4"/>
    <col min="8194" max="8194" width="22.7109375" style="4" customWidth="1"/>
    <col min="8195" max="8195" width="11" style="4" customWidth="1"/>
    <col min="8196" max="8196" width="5.28515625" style="4" customWidth="1"/>
    <col min="8197" max="8197" width="7.42578125" style="4" customWidth="1"/>
    <col min="8198" max="8198" width="7.28515625" style="4" customWidth="1"/>
    <col min="8199" max="8199" width="12.7109375" style="4" customWidth="1"/>
    <col min="8200" max="8200" width="9.7109375" style="4" customWidth="1"/>
    <col min="8201" max="8201" width="11.140625" style="4" customWidth="1"/>
    <col min="8202" max="8202" width="9.7109375" style="4" customWidth="1"/>
    <col min="8203" max="8203" width="12.7109375" style="4" customWidth="1"/>
    <col min="8204" max="8204" width="10.28515625" style="4" customWidth="1"/>
    <col min="8205" max="8205" width="12" style="4" customWidth="1"/>
    <col min="8206" max="8206" width="11.28515625" style="4" customWidth="1"/>
    <col min="8207" max="8207" width="1.140625" style="4" customWidth="1"/>
    <col min="8208" max="8208" width="11.7109375" style="4" customWidth="1"/>
    <col min="8209" max="8209" width="13.42578125" style="4" customWidth="1"/>
    <col min="8210" max="8252" width="9.7109375" style="4" customWidth="1"/>
    <col min="8253" max="8253" width="16.7109375" style="4" customWidth="1"/>
    <col min="8254" max="8449" width="9.7109375" style="4"/>
    <col min="8450" max="8450" width="22.7109375" style="4" customWidth="1"/>
    <col min="8451" max="8451" width="11" style="4" customWidth="1"/>
    <col min="8452" max="8452" width="5.28515625" style="4" customWidth="1"/>
    <col min="8453" max="8453" width="7.42578125" style="4" customWidth="1"/>
    <col min="8454" max="8454" width="7.28515625" style="4" customWidth="1"/>
    <col min="8455" max="8455" width="12.7109375" style="4" customWidth="1"/>
    <col min="8456" max="8456" width="9.7109375" style="4" customWidth="1"/>
    <col min="8457" max="8457" width="11.140625" style="4" customWidth="1"/>
    <col min="8458" max="8458" width="9.7109375" style="4" customWidth="1"/>
    <col min="8459" max="8459" width="12.7109375" style="4" customWidth="1"/>
    <col min="8460" max="8460" width="10.28515625" style="4" customWidth="1"/>
    <col min="8461" max="8461" width="12" style="4" customWidth="1"/>
    <col min="8462" max="8462" width="11.28515625" style="4" customWidth="1"/>
    <col min="8463" max="8463" width="1.140625" style="4" customWidth="1"/>
    <col min="8464" max="8464" width="11.7109375" style="4" customWidth="1"/>
    <col min="8465" max="8465" width="13.42578125" style="4" customWidth="1"/>
    <col min="8466" max="8508" width="9.7109375" style="4" customWidth="1"/>
    <col min="8509" max="8509" width="16.7109375" style="4" customWidth="1"/>
    <col min="8510" max="8705" width="9.7109375" style="4"/>
    <col min="8706" max="8706" width="22.7109375" style="4" customWidth="1"/>
    <col min="8707" max="8707" width="11" style="4" customWidth="1"/>
    <col min="8708" max="8708" width="5.28515625" style="4" customWidth="1"/>
    <col min="8709" max="8709" width="7.42578125" style="4" customWidth="1"/>
    <col min="8710" max="8710" width="7.28515625" style="4" customWidth="1"/>
    <col min="8711" max="8711" width="12.7109375" style="4" customWidth="1"/>
    <col min="8712" max="8712" width="9.7109375" style="4" customWidth="1"/>
    <col min="8713" max="8713" width="11.140625" style="4" customWidth="1"/>
    <col min="8714" max="8714" width="9.7109375" style="4" customWidth="1"/>
    <col min="8715" max="8715" width="12.7109375" style="4" customWidth="1"/>
    <col min="8716" max="8716" width="10.28515625" style="4" customWidth="1"/>
    <col min="8717" max="8717" width="12" style="4" customWidth="1"/>
    <col min="8718" max="8718" width="11.28515625" style="4" customWidth="1"/>
    <col min="8719" max="8719" width="1.140625" style="4" customWidth="1"/>
    <col min="8720" max="8720" width="11.7109375" style="4" customWidth="1"/>
    <col min="8721" max="8721" width="13.42578125" style="4" customWidth="1"/>
    <col min="8722" max="8764" width="9.7109375" style="4" customWidth="1"/>
    <col min="8765" max="8765" width="16.7109375" style="4" customWidth="1"/>
    <col min="8766" max="8961" width="9.7109375" style="4"/>
    <col min="8962" max="8962" width="22.7109375" style="4" customWidth="1"/>
    <col min="8963" max="8963" width="11" style="4" customWidth="1"/>
    <col min="8964" max="8964" width="5.28515625" style="4" customWidth="1"/>
    <col min="8965" max="8965" width="7.42578125" style="4" customWidth="1"/>
    <col min="8966" max="8966" width="7.28515625" style="4" customWidth="1"/>
    <col min="8967" max="8967" width="12.7109375" style="4" customWidth="1"/>
    <col min="8968" max="8968" width="9.7109375" style="4" customWidth="1"/>
    <col min="8969" max="8969" width="11.140625" style="4" customWidth="1"/>
    <col min="8970" max="8970" width="9.7109375" style="4" customWidth="1"/>
    <col min="8971" max="8971" width="12.7109375" style="4" customWidth="1"/>
    <col min="8972" max="8972" width="10.28515625" style="4" customWidth="1"/>
    <col min="8973" max="8973" width="12" style="4" customWidth="1"/>
    <col min="8974" max="8974" width="11.28515625" style="4" customWidth="1"/>
    <col min="8975" max="8975" width="1.140625" style="4" customWidth="1"/>
    <col min="8976" max="8976" width="11.7109375" style="4" customWidth="1"/>
    <col min="8977" max="8977" width="13.42578125" style="4" customWidth="1"/>
    <col min="8978" max="9020" width="9.7109375" style="4" customWidth="1"/>
    <col min="9021" max="9021" width="16.7109375" style="4" customWidth="1"/>
    <col min="9022" max="9217" width="9.7109375" style="4"/>
    <col min="9218" max="9218" width="22.7109375" style="4" customWidth="1"/>
    <col min="9219" max="9219" width="11" style="4" customWidth="1"/>
    <col min="9220" max="9220" width="5.28515625" style="4" customWidth="1"/>
    <col min="9221" max="9221" width="7.42578125" style="4" customWidth="1"/>
    <col min="9222" max="9222" width="7.28515625" style="4" customWidth="1"/>
    <col min="9223" max="9223" width="12.7109375" style="4" customWidth="1"/>
    <col min="9224" max="9224" width="9.7109375" style="4" customWidth="1"/>
    <col min="9225" max="9225" width="11.140625" style="4" customWidth="1"/>
    <col min="9226" max="9226" width="9.7109375" style="4" customWidth="1"/>
    <col min="9227" max="9227" width="12.7109375" style="4" customWidth="1"/>
    <col min="9228" max="9228" width="10.28515625" style="4" customWidth="1"/>
    <col min="9229" max="9229" width="12" style="4" customWidth="1"/>
    <col min="9230" max="9230" width="11.28515625" style="4" customWidth="1"/>
    <col min="9231" max="9231" width="1.140625" style="4" customWidth="1"/>
    <col min="9232" max="9232" width="11.7109375" style="4" customWidth="1"/>
    <col min="9233" max="9233" width="13.42578125" style="4" customWidth="1"/>
    <col min="9234" max="9276" width="9.7109375" style="4" customWidth="1"/>
    <col min="9277" max="9277" width="16.7109375" style="4" customWidth="1"/>
    <col min="9278" max="9473" width="9.7109375" style="4"/>
    <col min="9474" max="9474" width="22.7109375" style="4" customWidth="1"/>
    <col min="9475" max="9475" width="11" style="4" customWidth="1"/>
    <col min="9476" max="9476" width="5.28515625" style="4" customWidth="1"/>
    <col min="9477" max="9477" width="7.42578125" style="4" customWidth="1"/>
    <col min="9478" max="9478" width="7.28515625" style="4" customWidth="1"/>
    <col min="9479" max="9479" width="12.7109375" style="4" customWidth="1"/>
    <col min="9480" max="9480" width="9.7109375" style="4" customWidth="1"/>
    <col min="9481" max="9481" width="11.140625" style="4" customWidth="1"/>
    <col min="9482" max="9482" width="9.7109375" style="4" customWidth="1"/>
    <col min="9483" max="9483" width="12.7109375" style="4" customWidth="1"/>
    <col min="9484" max="9484" width="10.28515625" style="4" customWidth="1"/>
    <col min="9485" max="9485" width="12" style="4" customWidth="1"/>
    <col min="9486" max="9486" width="11.28515625" style="4" customWidth="1"/>
    <col min="9487" max="9487" width="1.140625" style="4" customWidth="1"/>
    <col min="9488" max="9488" width="11.7109375" style="4" customWidth="1"/>
    <col min="9489" max="9489" width="13.42578125" style="4" customWidth="1"/>
    <col min="9490" max="9532" width="9.7109375" style="4" customWidth="1"/>
    <col min="9533" max="9533" width="16.7109375" style="4" customWidth="1"/>
    <col min="9534" max="9729" width="9.7109375" style="4"/>
    <col min="9730" max="9730" width="22.7109375" style="4" customWidth="1"/>
    <col min="9731" max="9731" width="11" style="4" customWidth="1"/>
    <col min="9732" max="9732" width="5.28515625" style="4" customWidth="1"/>
    <col min="9733" max="9733" width="7.42578125" style="4" customWidth="1"/>
    <col min="9734" max="9734" width="7.28515625" style="4" customWidth="1"/>
    <col min="9735" max="9735" width="12.7109375" style="4" customWidth="1"/>
    <col min="9736" max="9736" width="9.7109375" style="4" customWidth="1"/>
    <col min="9737" max="9737" width="11.140625" style="4" customWidth="1"/>
    <col min="9738" max="9738" width="9.7109375" style="4" customWidth="1"/>
    <col min="9739" max="9739" width="12.7109375" style="4" customWidth="1"/>
    <col min="9740" max="9740" width="10.28515625" style="4" customWidth="1"/>
    <col min="9741" max="9741" width="12" style="4" customWidth="1"/>
    <col min="9742" max="9742" width="11.28515625" style="4" customWidth="1"/>
    <col min="9743" max="9743" width="1.140625" style="4" customWidth="1"/>
    <col min="9744" max="9744" width="11.7109375" style="4" customWidth="1"/>
    <col min="9745" max="9745" width="13.42578125" style="4" customWidth="1"/>
    <col min="9746" max="9788" width="9.7109375" style="4" customWidth="1"/>
    <col min="9789" max="9789" width="16.7109375" style="4" customWidth="1"/>
    <col min="9790" max="9985" width="9.7109375" style="4"/>
    <col min="9986" max="9986" width="22.7109375" style="4" customWidth="1"/>
    <col min="9987" max="9987" width="11" style="4" customWidth="1"/>
    <col min="9988" max="9988" width="5.28515625" style="4" customWidth="1"/>
    <col min="9989" max="9989" width="7.42578125" style="4" customWidth="1"/>
    <col min="9990" max="9990" width="7.28515625" style="4" customWidth="1"/>
    <col min="9991" max="9991" width="12.7109375" style="4" customWidth="1"/>
    <col min="9992" max="9992" width="9.7109375" style="4" customWidth="1"/>
    <col min="9993" max="9993" width="11.140625" style="4" customWidth="1"/>
    <col min="9994" max="9994" width="9.7109375" style="4" customWidth="1"/>
    <col min="9995" max="9995" width="12.7109375" style="4" customWidth="1"/>
    <col min="9996" max="9996" width="10.28515625" style="4" customWidth="1"/>
    <col min="9997" max="9997" width="12" style="4" customWidth="1"/>
    <col min="9998" max="9998" width="11.28515625" style="4" customWidth="1"/>
    <col min="9999" max="9999" width="1.140625" style="4" customWidth="1"/>
    <col min="10000" max="10000" width="11.7109375" style="4" customWidth="1"/>
    <col min="10001" max="10001" width="13.42578125" style="4" customWidth="1"/>
    <col min="10002" max="10044" width="9.7109375" style="4" customWidth="1"/>
    <col min="10045" max="10045" width="16.7109375" style="4" customWidth="1"/>
    <col min="10046" max="10241" width="9.7109375" style="4"/>
    <col min="10242" max="10242" width="22.7109375" style="4" customWidth="1"/>
    <col min="10243" max="10243" width="11" style="4" customWidth="1"/>
    <col min="10244" max="10244" width="5.28515625" style="4" customWidth="1"/>
    <col min="10245" max="10245" width="7.42578125" style="4" customWidth="1"/>
    <col min="10246" max="10246" width="7.28515625" style="4" customWidth="1"/>
    <col min="10247" max="10247" width="12.7109375" style="4" customWidth="1"/>
    <col min="10248" max="10248" width="9.7109375" style="4" customWidth="1"/>
    <col min="10249" max="10249" width="11.140625" style="4" customWidth="1"/>
    <col min="10250" max="10250" width="9.7109375" style="4" customWidth="1"/>
    <col min="10251" max="10251" width="12.7109375" style="4" customWidth="1"/>
    <col min="10252" max="10252" width="10.28515625" style="4" customWidth="1"/>
    <col min="10253" max="10253" width="12" style="4" customWidth="1"/>
    <col min="10254" max="10254" width="11.28515625" style="4" customWidth="1"/>
    <col min="10255" max="10255" width="1.140625" style="4" customWidth="1"/>
    <col min="10256" max="10256" width="11.7109375" style="4" customWidth="1"/>
    <col min="10257" max="10257" width="13.42578125" style="4" customWidth="1"/>
    <col min="10258" max="10300" width="9.7109375" style="4" customWidth="1"/>
    <col min="10301" max="10301" width="16.7109375" style="4" customWidth="1"/>
    <col min="10302" max="10497" width="9.7109375" style="4"/>
    <col min="10498" max="10498" width="22.7109375" style="4" customWidth="1"/>
    <col min="10499" max="10499" width="11" style="4" customWidth="1"/>
    <col min="10500" max="10500" width="5.28515625" style="4" customWidth="1"/>
    <col min="10501" max="10501" width="7.42578125" style="4" customWidth="1"/>
    <col min="10502" max="10502" width="7.28515625" style="4" customWidth="1"/>
    <col min="10503" max="10503" width="12.7109375" style="4" customWidth="1"/>
    <col min="10504" max="10504" width="9.7109375" style="4" customWidth="1"/>
    <col min="10505" max="10505" width="11.140625" style="4" customWidth="1"/>
    <col min="10506" max="10506" width="9.7109375" style="4" customWidth="1"/>
    <col min="10507" max="10507" width="12.7109375" style="4" customWidth="1"/>
    <col min="10508" max="10508" width="10.28515625" style="4" customWidth="1"/>
    <col min="10509" max="10509" width="12" style="4" customWidth="1"/>
    <col min="10510" max="10510" width="11.28515625" style="4" customWidth="1"/>
    <col min="10511" max="10511" width="1.140625" style="4" customWidth="1"/>
    <col min="10512" max="10512" width="11.7109375" style="4" customWidth="1"/>
    <col min="10513" max="10513" width="13.42578125" style="4" customWidth="1"/>
    <col min="10514" max="10556" width="9.7109375" style="4" customWidth="1"/>
    <col min="10557" max="10557" width="16.7109375" style="4" customWidth="1"/>
    <col min="10558" max="10753" width="9.7109375" style="4"/>
    <col min="10754" max="10754" width="22.7109375" style="4" customWidth="1"/>
    <col min="10755" max="10755" width="11" style="4" customWidth="1"/>
    <col min="10756" max="10756" width="5.28515625" style="4" customWidth="1"/>
    <col min="10757" max="10757" width="7.42578125" style="4" customWidth="1"/>
    <col min="10758" max="10758" width="7.28515625" style="4" customWidth="1"/>
    <col min="10759" max="10759" width="12.7109375" style="4" customWidth="1"/>
    <col min="10760" max="10760" width="9.7109375" style="4" customWidth="1"/>
    <col min="10761" max="10761" width="11.140625" style="4" customWidth="1"/>
    <col min="10762" max="10762" width="9.7109375" style="4" customWidth="1"/>
    <col min="10763" max="10763" width="12.7109375" style="4" customWidth="1"/>
    <col min="10764" max="10764" width="10.28515625" style="4" customWidth="1"/>
    <col min="10765" max="10765" width="12" style="4" customWidth="1"/>
    <col min="10766" max="10766" width="11.28515625" style="4" customWidth="1"/>
    <col min="10767" max="10767" width="1.140625" style="4" customWidth="1"/>
    <col min="10768" max="10768" width="11.7109375" style="4" customWidth="1"/>
    <col min="10769" max="10769" width="13.42578125" style="4" customWidth="1"/>
    <col min="10770" max="10812" width="9.7109375" style="4" customWidth="1"/>
    <col min="10813" max="10813" width="16.7109375" style="4" customWidth="1"/>
    <col min="10814" max="11009" width="9.7109375" style="4"/>
    <col min="11010" max="11010" width="22.7109375" style="4" customWidth="1"/>
    <col min="11011" max="11011" width="11" style="4" customWidth="1"/>
    <col min="11012" max="11012" width="5.28515625" style="4" customWidth="1"/>
    <col min="11013" max="11013" width="7.42578125" style="4" customWidth="1"/>
    <col min="11014" max="11014" width="7.28515625" style="4" customWidth="1"/>
    <col min="11015" max="11015" width="12.7109375" style="4" customWidth="1"/>
    <col min="11016" max="11016" width="9.7109375" style="4" customWidth="1"/>
    <col min="11017" max="11017" width="11.140625" style="4" customWidth="1"/>
    <col min="11018" max="11018" width="9.7109375" style="4" customWidth="1"/>
    <col min="11019" max="11019" width="12.7109375" style="4" customWidth="1"/>
    <col min="11020" max="11020" width="10.28515625" style="4" customWidth="1"/>
    <col min="11021" max="11021" width="12" style="4" customWidth="1"/>
    <col min="11022" max="11022" width="11.28515625" style="4" customWidth="1"/>
    <col min="11023" max="11023" width="1.140625" style="4" customWidth="1"/>
    <col min="11024" max="11024" width="11.7109375" style="4" customWidth="1"/>
    <col min="11025" max="11025" width="13.42578125" style="4" customWidth="1"/>
    <col min="11026" max="11068" width="9.7109375" style="4" customWidth="1"/>
    <col min="11069" max="11069" width="16.7109375" style="4" customWidth="1"/>
    <col min="11070" max="11265" width="9.7109375" style="4"/>
    <col min="11266" max="11266" width="22.7109375" style="4" customWidth="1"/>
    <col min="11267" max="11267" width="11" style="4" customWidth="1"/>
    <col min="11268" max="11268" width="5.28515625" style="4" customWidth="1"/>
    <col min="11269" max="11269" width="7.42578125" style="4" customWidth="1"/>
    <col min="11270" max="11270" width="7.28515625" style="4" customWidth="1"/>
    <col min="11271" max="11271" width="12.7109375" style="4" customWidth="1"/>
    <col min="11272" max="11272" width="9.7109375" style="4" customWidth="1"/>
    <col min="11273" max="11273" width="11.140625" style="4" customWidth="1"/>
    <col min="11274" max="11274" width="9.7109375" style="4" customWidth="1"/>
    <col min="11275" max="11275" width="12.7109375" style="4" customWidth="1"/>
    <col min="11276" max="11276" width="10.28515625" style="4" customWidth="1"/>
    <col min="11277" max="11277" width="12" style="4" customWidth="1"/>
    <col min="11278" max="11278" width="11.28515625" style="4" customWidth="1"/>
    <col min="11279" max="11279" width="1.140625" style="4" customWidth="1"/>
    <col min="11280" max="11280" width="11.7109375" style="4" customWidth="1"/>
    <col min="11281" max="11281" width="13.42578125" style="4" customWidth="1"/>
    <col min="11282" max="11324" width="9.7109375" style="4" customWidth="1"/>
    <col min="11325" max="11325" width="16.7109375" style="4" customWidth="1"/>
    <col min="11326" max="11521" width="9.7109375" style="4"/>
    <col min="11522" max="11522" width="22.7109375" style="4" customWidth="1"/>
    <col min="11523" max="11523" width="11" style="4" customWidth="1"/>
    <col min="11524" max="11524" width="5.28515625" style="4" customWidth="1"/>
    <col min="11525" max="11525" width="7.42578125" style="4" customWidth="1"/>
    <col min="11526" max="11526" width="7.28515625" style="4" customWidth="1"/>
    <col min="11527" max="11527" width="12.7109375" style="4" customWidth="1"/>
    <col min="11528" max="11528" width="9.7109375" style="4" customWidth="1"/>
    <col min="11529" max="11529" width="11.140625" style="4" customWidth="1"/>
    <col min="11530" max="11530" width="9.7109375" style="4" customWidth="1"/>
    <col min="11531" max="11531" width="12.7109375" style="4" customWidth="1"/>
    <col min="11532" max="11532" width="10.28515625" style="4" customWidth="1"/>
    <col min="11533" max="11533" width="12" style="4" customWidth="1"/>
    <col min="11534" max="11534" width="11.28515625" style="4" customWidth="1"/>
    <col min="11535" max="11535" width="1.140625" style="4" customWidth="1"/>
    <col min="11536" max="11536" width="11.7109375" style="4" customWidth="1"/>
    <col min="11537" max="11537" width="13.42578125" style="4" customWidth="1"/>
    <col min="11538" max="11580" width="9.7109375" style="4" customWidth="1"/>
    <col min="11581" max="11581" width="16.7109375" style="4" customWidth="1"/>
    <col min="11582" max="11777" width="9.7109375" style="4"/>
    <col min="11778" max="11778" width="22.7109375" style="4" customWidth="1"/>
    <col min="11779" max="11779" width="11" style="4" customWidth="1"/>
    <col min="11780" max="11780" width="5.28515625" style="4" customWidth="1"/>
    <col min="11781" max="11781" width="7.42578125" style="4" customWidth="1"/>
    <col min="11782" max="11782" width="7.28515625" style="4" customWidth="1"/>
    <col min="11783" max="11783" width="12.7109375" style="4" customWidth="1"/>
    <col min="11784" max="11784" width="9.7109375" style="4" customWidth="1"/>
    <col min="11785" max="11785" width="11.140625" style="4" customWidth="1"/>
    <col min="11786" max="11786" width="9.7109375" style="4" customWidth="1"/>
    <col min="11787" max="11787" width="12.7109375" style="4" customWidth="1"/>
    <col min="11788" max="11788" width="10.28515625" style="4" customWidth="1"/>
    <col min="11789" max="11789" width="12" style="4" customWidth="1"/>
    <col min="11790" max="11790" width="11.28515625" style="4" customWidth="1"/>
    <col min="11791" max="11791" width="1.140625" style="4" customWidth="1"/>
    <col min="11792" max="11792" width="11.7109375" style="4" customWidth="1"/>
    <col min="11793" max="11793" width="13.42578125" style="4" customWidth="1"/>
    <col min="11794" max="11836" width="9.7109375" style="4" customWidth="1"/>
    <col min="11837" max="11837" width="16.7109375" style="4" customWidth="1"/>
    <col min="11838" max="12033" width="9.7109375" style="4"/>
    <col min="12034" max="12034" width="22.7109375" style="4" customWidth="1"/>
    <col min="12035" max="12035" width="11" style="4" customWidth="1"/>
    <col min="12036" max="12036" width="5.28515625" style="4" customWidth="1"/>
    <col min="12037" max="12037" width="7.42578125" style="4" customWidth="1"/>
    <col min="12038" max="12038" width="7.28515625" style="4" customWidth="1"/>
    <col min="12039" max="12039" width="12.7109375" style="4" customWidth="1"/>
    <col min="12040" max="12040" width="9.7109375" style="4" customWidth="1"/>
    <col min="12041" max="12041" width="11.140625" style="4" customWidth="1"/>
    <col min="12042" max="12042" width="9.7109375" style="4" customWidth="1"/>
    <col min="12043" max="12043" width="12.7109375" style="4" customWidth="1"/>
    <col min="12044" max="12044" width="10.28515625" style="4" customWidth="1"/>
    <col min="12045" max="12045" width="12" style="4" customWidth="1"/>
    <col min="12046" max="12046" width="11.28515625" style="4" customWidth="1"/>
    <col min="12047" max="12047" width="1.140625" style="4" customWidth="1"/>
    <col min="12048" max="12048" width="11.7109375" style="4" customWidth="1"/>
    <col min="12049" max="12049" width="13.42578125" style="4" customWidth="1"/>
    <col min="12050" max="12092" width="9.7109375" style="4" customWidth="1"/>
    <col min="12093" max="12093" width="16.7109375" style="4" customWidth="1"/>
    <col min="12094" max="12289" width="9.7109375" style="4"/>
    <col min="12290" max="12290" width="22.7109375" style="4" customWidth="1"/>
    <col min="12291" max="12291" width="11" style="4" customWidth="1"/>
    <col min="12292" max="12292" width="5.28515625" style="4" customWidth="1"/>
    <col min="12293" max="12293" width="7.42578125" style="4" customWidth="1"/>
    <col min="12294" max="12294" width="7.28515625" style="4" customWidth="1"/>
    <col min="12295" max="12295" width="12.7109375" style="4" customWidth="1"/>
    <col min="12296" max="12296" width="9.7109375" style="4" customWidth="1"/>
    <col min="12297" max="12297" width="11.140625" style="4" customWidth="1"/>
    <col min="12298" max="12298" width="9.7109375" style="4" customWidth="1"/>
    <col min="12299" max="12299" width="12.7109375" style="4" customWidth="1"/>
    <col min="12300" max="12300" width="10.28515625" style="4" customWidth="1"/>
    <col min="12301" max="12301" width="12" style="4" customWidth="1"/>
    <col min="12302" max="12302" width="11.28515625" style="4" customWidth="1"/>
    <col min="12303" max="12303" width="1.140625" style="4" customWidth="1"/>
    <col min="12304" max="12304" width="11.7109375" style="4" customWidth="1"/>
    <col min="12305" max="12305" width="13.42578125" style="4" customWidth="1"/>
    <col min="12306" max="12348" width="9.7109375" style="4" customWidth="1"/>
    <col min="12349" max="12349" width="16.7109375" style="4" customWidth="1"/>
    <col min="12350" max="12545" width="9.7109375" style="4"/>
    <col min="12546" max="12546" width="22.7109375" style="4" customWidth="1"/>
    <col min="12547" max="12547" width="11" style="4" customWidth="1"/>
    <col min="12548" max="12548" width="5.28515625" style="4" customWidth="1"/>
    <col min="12549" max="12549" width="7.42578125" style="4" customWidth="1"/>
    <col min="12550" max="12550" width="7.28515625" style="4" customWidth="1"/>
    <col min="12551" max="12551" width="12.7109375" style="4" customWidth="1"/>
    <col min="12552" max="12552" width="9.7109375" style="4" customWidth="1"/>
    <col min="12553" max="12553" width="11.140625" style="4" customWidth="1"/>
    <col min="12554" max="12554" width="9.7109375" style="4" customWidth="1"/>
    <col min="12555" max="12555" width="12.7109375" style="4" customWidth="1"/>
    <col min="12556" max="12556" width="10.28515625" style="4" customWidth="1"/>
    <col min="12557" max="12557" width="12" style="4" customWidth="1"/>
    <col min="12558" max="12558" width="11.28515625" style="4" customWidth="1"/>
    <col min="12559" max="12559" width="1.140625" style="4" customWidth="1"/>
    <col min="12560" max="12560" width="11.7109375" style="4" customWidth="1"/>
    <col min="12561" max="12561" width="13.42578125" style="4" customWidth="1"/>
    <col min="12562" max="12604" width="9.7109375" style="4" customWidth="1"/>
    <col min="12605" max="12605" width="16.7109375" style="4" customWidth="1"/>
    <col min="12606" max="12801" width="9.7109375" style="4"/>
    <col min="12802" max="12802" width="22.7109375" style="4" customWidth="1"/>
    <col min="12803" max="12803" width="11" style="4" customWidth="1"/>
    <col min="12804" max="12804" width="5.28515625" style="4" customWidth="1"/>
    <col min="12805" max="12805" width="7.42578125" style="4" customWidth="1"/>
    <col min="12806" max="12806" width="7.28515625" style="4" customWidth="1"/>
    <col min="12807" max="12807" width="12.7109375" style="4" customWidth="1"/>
    <col min="12808" max="12808" width="9.7109375" style="4" customWidth="1"/>
    <col min="12809" max="12809" width="11.140625" style="4" customWidth="1"/>
    <col min="12810" max="12810" width="9.7109375" style="4" customWidth="1"/>
    <col min="12811" max="12811" width="12.7109375" style="4" customWidth="1"/>
    <col min="12812" max="12812" width="10.28515625" style="4" customWidth="1"/>
    <col min="12813" max="12813" width="12" style="4" customWidth="1"/>
    <col min="12814" max="12814" width="11.28515625" style="4" customWidth="1"/>
    <col min="12815" max="12815" width="1.140625" style="4" customWidth="1"/>
    <col min="12816" max="12816" width="11.7109375" style="4" customWidth="1"/>
    <col min="12817" max="12817" width="13.42578125" style="4" customWidth="1"/>
    <col min="12818" max="12860" width="9.7109375" style="4" customWidth="1"/>
    <col min="12861" max="12861" width="16.7109375" style="4" customWidth="1"/>
    <col min="12862" max="13057" width="9.7109375" style="4"/>
    <col min="13058" max="13058" width="22.7109375" style="4" customWidth="1"/>
    <col min="13059" max="13059" width="11" style="4" customWidth="1"/>
    <col min="13060" max="13060" width="5.28515625" style="4" customWidth="1"/>
    <col min="13061" max="13061" width="7.42578125" style="4" customWidth="1"/>
    <col min="13062" max="13062" width="7.28515625" style="4" customWidth="1"/>
    <col min="13063" max="13063" width="12.7109375" style="4" customWidth="1"/>
    <col min="13064" max="13064" width="9.7109375" style="4" customWidth="1"/>
    <col min="13065" max="13065" width="11.140625" style="4" customWidth="1"/>
    <col min="13066" max="13066" width="9.7109375" style="4" customWidth="1"/>
    <col min="13067" max="13067" width="12.7109375" style="4" customWidth="1"/>
    <col min="13068" max="13068" width="10.28515625" style="4" customWidth="1"/>
    <col min="13069" max="13069" width="12" style="4" customWidth="1"/>
    <col min="13070" max="13070" width="11.28515625" style="4" customWidth="1"/>
    <col min="13071" max="13071" width="1.140625" style="4" customWidth="1"/>
    <col min="13072" max="13072" width="11.7109375" style="4" customWidth="1"/>
    <col min="13073" max="13073" width="13.42578125" style="4" customWidth="1"/>
    <col min="13074" max="13116" width="9.7109375" style="4" customWidth="1"/>
    <col min="13117" max="13117" width="16.7109375" style="4" customWidth="1"/>
    <col min="13118" max="13313" width="9.7109375" style="4"/>
    <col min="13314" max="13314" width="22.7109375" style="4" customWidth="1"/>
    <col min="13315" max="13315" width="11" style="4" customWidth="1"/>
    <col min="13316" max="13316" width="5.28515625" style="4" customWidth="1"/>
    <col min="13317" max="13317" width="7.42578125" style="4" customWidth="1"/>
    <col min="13318" max="13318" width="7.28515625" style="4" customWidth="1"/>
    <col min="13319" max="13319" width="12.7109375" style="4" customWidth="1"/>
    <col min="13320" max="13320" width="9.7109375" style="4" customWidth="1"/>
    <col min="13321" max="13321" width="11.140625" style="4" customWidth="1"/>
    <col min="13322" max="13322" width="9.7109375" style="4" customWidth="1"/>
    <col min="13323" max="13323" width="12.7109375" style="4" customWidth="1"/>
    <col min="13324" max="13324" width="10.28515625" style="4" customWidth="1"/>
    <col min="13325" max="13325" width="12" style="4" customWidth="1"/>
    <col min="13326" max="13326" width="11.28515625" style="4" customWidth="1"/>
    <col min="13327" max="13327" width="1.140625" style="4" customWidth="1"/>
    <col min="13328" max="13328" width="11.7109375" style="4" customWidth="1"/>
    <col min="13329" max="13329" width="13.42578125" style="4" customWidth="1"/>
    <col min="13330" max="13372" width="9.7109375" style="4" customWidth="1"/>
    <col min="13373" max="13373" width="16.7109375" style="4" customWidth="1"/>
    <col min="13374" max="13569" width="9.7109375" style="4"/>
    <col min="13570" max="13570" width="22.7109375" style="4" customWidth="1"/>
    <col min="13571" max="13571" width="11" style="4" customWidth="1"/>
    <col min="13572" max="13572" width="5.28515625" style="4" customWidth="1"/>
    <col min="13573" max="13573" width="7.42578125" style="4" customWidth="1"/>
    <col min="13574" max="13574" width="7.28515625" style="4" customWidth="1"/>
    <col min="13575" max="13575" width="12.7109375" style="4" customWidth="1"/>
    <col min="13576" max="13576" width="9.7109375" style="4" customWidth="1"/>
    <col min="13577" max="13577" width="11.140625" style="4" customWidth="1"/>
    <col min="13578" max="13578" width="9.7109375" style="4" customWidth="1"/>
    <col min="13579" max="13579" width="12.7109375" style="4" customWidth="1"/>
    <col min="13580" max="13580" width="10.28515625" style="4" customWidth="1"/>
    <col min="13581" max="13581" width="12" style="4" customWidth="1"/>
    <col min="13582" max="13582" width="11.28515625" style="4" customWidth="1"/>
    <col min="13583" max="13583" width="1.140625" style="4" customWidth="1"/>
    <col min="13584" max="13584" width="11.7109375" style="4" customWidth="1"/>
    <col min="13585" max="13585" width="13.42578125" style="4" customWidth="1"/>
    <col min="13586" max="13628" width="9.7109375" style="4" customWidth="1"/>
    <col min="13629" max="13629" width="16.7109375" style="4" customWidth="1"/>
    <col min="13630" max="13825" width="9.7109375" style="4"/>
    <col min="13826" max="13826" width="22.7109375" style="4" customWidth="1"/>
    <col min="13827" max="13827" width="11" style="4" customWidth="1"/>
    <col min="13828" max="13828" width="5.28515625" style="4" customWidth="1"/>
    <col min="13829" max="13829" width="7.42578125" style="4" customWidth="1"/>
    <col min="13830" max="13830" width="7.28515625" style="4" customWidth="1"/>
    <col min="13831" max="13831" width="12.7109375" style="4" customWidth="1"/>
    <col min="13832" max="13832" width="9.7109375" style="4" customWidth="1"/>
    <col min="13833" max="13833" width="11.140625" style="4" customWidth="1"/>
    <col min="13834" max="13834" width="9.7109375" style="4" customWidth="1"/>
    <col min="13835" max="13835" width="12.7109375" style="4" customWidth="1"/>
    <col min="13836" max="13836" width="10.28515625" style="4" customWidth="1"/>
    <col min="13837" max="13837" width="12" style="4" customWidth="1"/>
    <col min="13838" max="13838" width="11.28515625" style="4" customWidth="1"/>
    <col min="13839" max="13839" width="1.140625" style="4" customWidth="1"/>
    <col min="13840" max="13840" width="11.7109375" style="4" customWidth="1"/>
    <col min="13841" max="13841" width="13.42578125" style="4" customWidth="1"/>
    <col min="13842" max="13884" width="9.7109375" style="4" customWidth="1"/>
    <col min="13885" max="13885" width="16.7109375" style="4" customWidth="1"/>
    <col min="13886" max="14081" width="9.7109375" style="4"/>
    <col min="14082" max="14082" width="22.7109375" style="4" customWidth="1"/>
    <col min="14083" max="14083" width="11" style="4" customWidth="1"/>
    <col min="14084" max="14084" width="5.28515625" style="4" customWidth="1"/>
    <col min="14085" max="14085" width="7.42578125" style="4" customWidth="1"/>
    <col min="14086" max="14086" width="7.28515625" style="4" customWidth="1"/>
    <col min="14087" max="14087" width="12.7109375" style="4" customWidth="1"/>
    <col min="14088" max="14088" width="9.7109375" style="4" customWidth="1"/>
    <col min="14089" max="14089" width="11.140625" style="4" customWidth="1"/>
    <col min="14090" max="14090" width="9.7109375" style="4" customWidth="1"/>
    <col min="14091" max="14091" width="12.7109375" style="4" customWidth="1"/>
    <col min="14092" max="14092" width="10.28515625" style="4" customWidth="1"/>
    <col min="14093" max="14093" width="12" style="4" customWidth="1"/>
    <col min="14094" max="14094" width="11.28515625" style="4" customWidth="1"/>
    <col min="14095" max="14095" width="1.140625" style="4" customWidth="1"/>
    <col min="14096" max="14096" width="11.7109375" style="4" customWidth="1"/>
    <col min="14097" max="14097" width="13.42578125" style="4" customWidth="1"/>
    <col min="14098" max="14140" width="9.7109375" style="4" customWidth="1"/>
    <col min="14141" max="14141" width="16.7109375" style="4" customWidth="1"/>
    <col min="14142" max="14337" width="9.7109375" style="4"/>
    <col min="14338" max="14338" width="22.7109375" style="4" customWidth="1"/>
    <col min="14339" max="14339" width="11" style="4" customWidth="1"/>
    <col min="14340" max="14340" width="5.28515625" style="4" customWidth="1"/>
    <col min="14341" max="14341" width="7.42578125" style="4" customWidth="1"/>
    <col min="14342" max="14342" width="7.28515625" style="4" customWidth="1"/>
    <col min="14343" max="14343" width="12.7109375" style="4" customWidth="1"/>
    <col min="14344" max="14344" width="9.7109375" style="4" customWidth="1"/>
    <col min="14345" max="14345" width="11.140625" style="4" customWidth="1"/>
    <col min="14346" max="14346" width="9.7109375" style="4" customWidth="1"/>
    <col min="14347" max="14347" width="12.7109375" style="4" customWidth="1"/>
    <col min="14348" max="14348" width="10.28515625" style="4" customWidth="1"/>
    <col min="14349" max="14349" width="12" style="4" customWidth="1"/>
    <col min="14350" max="14350" width="11.28515625" style="4" customWidth="1"/>
    <col min="14351" max="14351" width="1.140625" style="4" customWidth="1"/>
    <col min="14352" max="14352" width="11.7109375" style="4" customWidth="1"/>
    <col min="14353" max="14353" width="13.42578125" style="4" customWidth="1"/>
    <col min="14354" max="14396" width="9.7109375" style="4" customWidth="1"/>
    <col min="14397" max="14397" width="16.7109375" style="4" customWidth="1"/>
    <col min="14398" max="14593" width="9.7109375" style="4"/>
    <col min="14594" max="14594" width="22.7109375" style="4" customWidth="1"/>
    <col min="14595" max="14595" width="11" style="4" customWidth="1"/>
    <col min="14596" max="14596" width="5.28515625" style="4" customWidth="1"/>
    <col min="14597" max="14597" width="7.42578125" style="4" customWidth="1"/>
    <col min="14598" max="14598" width="7.28515625" style="4" customWidth="1"/>
    <col min="14599" max="14599" width="12.7109375" style="4" customWidth="1"/>
    <col min="14600" max="14600" width="9.7109375" style="4" customWidth="1"/>
    <col min="14601" max="14601" width="11.140625" style="4" customWidth="1"/>
    <col min="14602" max="14602" width="9.7109375" style="4" customWidth="1"/>
    <col min="14603" max="14603" width="12.7109375" style="4" customWidth="1"/>
    <col min="14604" max="14604" width="10.28515625" style="4" customWidth="1"/>
    <col min="14605" max="14605" width="12" style="4" customWidth="1"/>
    <col min="14606" max="14606" width="11.28515625" style="4" customWidth="1"/>
    <col min="14607" max="14607" width="1.140625" style="4" customWidth="1"/>
    <col min="14608" max="14608" width="11.7109375" style="4" customWidth="1"/>
    <col min="14609" max="14609" width="13.42578125" style="4" customWidth="1"/>
    <col min="14610" max="14652" width="9.7109375" style="4" customWidth="1"/>
    <col min="14653" max="14653" width="16.7109375" style="4" customWidth="1"/>
    <col min="14654" max="14849" width="9.7109375" style="4"/>
    <col min="14850" max="14850" width="22.7109375" style="4" customWidth="1"/>
    <col min="14851" max="14851" width="11" style="4" customWidth="1"/>
    <col min="14852" max="14852" width="5.28515625" style="4" customWidth="1"/>
    <col min="14853" max="14853" width="7.42578125" style="4" customWidth="1"/>
    <col min="14854" max="14854" width="7.28515625" style="4" customWidth="1"/>
    <col min="14855" max="14855" width="12.7109375" style="4" customWidth="1"/>
    <col min="14856" max="14856" width="9.7109375" style="4" customWidth="1"/>
    <col min="14857" max="14857" width="11.140625" style="4" customWidth="1"/>
    <col min="14858" max="14858" width="9.7109375" style="4" customWidth="1"/>
    <col min="14859" max="14859" width="12.7109375" style="4" customWidth="1"/>
    <col min="14860" max="14860" width="10.28515625" style="4" customWidth="1"/>
    <col min="14861" max="14861" width="12" style="4" customWidth="1"/>
    <col min="14862" max="14862" width="11.28515625" style="4" customWidth="1"/>
    <col min="14863" max="14863" width="1.140625" style="4" customWidth="1"/>
    <col min="14864" max="14864" width="11.7109375" style="4" customWidth="1"/>
    <col min="14865" max="14865" width="13.42578125" style="4" customWidth="1"/>
    <col min="14866" max="14908" width="9.7109375" style="4" customWidth="1"/>
    <col min="14909" max="14909" width="16.7109375" style="4" customWidth="1"/>
    <col min="14910" max="15105" width="9.7109375" style="4"/>
    <col min="15106" max="15106" width="22.7109375" style="4" customWidth="1"/>
    <col min="15107" max="15107" width="11" style="4" customWidth="1"/>
    <col min="15108" max="15108" width="5.28515625" style="4" customWidth="1"/>
    <col min="15109" max="15109" width="7.42578125" style="4" customWidth="1"/>
    <col min="15110" max="15110" width="7.28515625" style="4" customWidth="1"/>
    <col min="15111" max="15111" width="12.7109375" style="4" customWidth="1"/>
    <col min="15112" max="15112" width="9.7109375" style="4" customWidth="1"/>
    <col min="15113" max="15113" width="11.140625" style="4" customWidth="1"/>
    <col min="15114" max="15114" width="9.7109375" style="4" customWidth="1"/>
    <col min="15115" max="15115" width="12.7109375" style="4" customWidth="1"/>
    <col min="15116" max="15116" width="10.28515625" style="4" customWidth="1"/>
    <col min="15117" max="15117" width="12" style="4" customWidth="1"/>
    <col min="15118" max="15118" width="11.28515625" style="4" customWidth="1"/>
    <col min="15119" max="15119" width="1.140625" style="4" customWidth="1"/>
    <col min="15120" max="15120" width="11.7109375" style="4" customWidth="1"/>
    <col min="15121" max="15121" width="13.42578125" style="4" customWidth="1"/>
    <col min="15122" max="15164" width="9.7109375" style="4" customWidth="1"/>
    <col min="15165" max="15165" width="16.7109375" style="4" customWidth="1"/>
    <col min="15166" max="15361" width="9.7109375" style="4"/>
    <col min="15362" max="15362" width="22.7109375" style="4" customWidth="1"/>
    <col min="15363" max="15363" width="11" style="4" customWidth="1"/>
    <col min="15364" max="15364" width="5.28515625" style="4" customWidth="1"/>
    <col min="15365" max="15365" width="7.42578125" style="4" customWidth="1"/>
    <col min="15366" max="15366" width="7.28515625" style="4" customWidth="1"/>
    <col min="15367" max="15367" width="12.7109375" style="4" customWidth="1"/>
    <col min="15368" max="15368" width="9.7109375" style="4" customWidth="1"/>
    <col min="15369" max="15369" width="11.140625" style="4" customWidth="1"/>
    <col min="15370" max="15370" width="9.7109375" style="4" customWidth="1"/>
    <col min="15371" max="15371" width="12.7109375" style="4" customWidth="1"/>
    <col min="15372" max="15372" width="10.28515625" style="4" customWidth="1"/>
    <col min="15373" max="15373" width="12" style="4" customWidth="1"/>
    <col min="15374" max="15374" width="11.28515625" style="4" customWidth="1"/>
    <col min="15375" max="15375" width="1.140625" style="4" customWidth="1"/>
    <col min="15376" max="15376" width="11.7109375" style="4" customWidth="1"/>
    <col min="15377" max="15377" width="13.42578125" style="4" customWidth="1"/>
    <col min="15378" max="15420" width="9.7109375" style="4" customWidth="1"/>
    <col min="15421" max="15421" width="16.7109375" style="4" customWidth="1"/>
    <col min="15422" max="15617" width="9.7109375" style="4"/>
    <col min="15618" max="15618" width="22.7109375" style="4" customWidth="1"/>
    <col min="15619" max="15619" width="11" style="4" customWidth="1"/>
    <col min="15620" max="15620" width="5.28515625" style="4" customWidth="1"/>
    <col min="15621" max="15621" width="7.42578125" style="4" customWidth="1"/>
    <col min="15622" max="15622" width="7.28515625" style="4" customWidth="1"/>
    <col min="15623" max="15623" width="12.7109375" style="4" customWidth="1"/>
    <col min="15624" max="15624" width="9.7109375" style="4" customWidth="1"/>
    <col min="15625" max="15625" width="11.140625" style="4" customWidth="1"/>
    <col min="15626" max="15626" width="9.7109375" style="4" customWidth="1"/>
    <col min="15627" max="15627" width="12.7109375" style="4" customWidth="1"/>
    <col min="15628" max="15628" width="10.28515625" style="4" customWidth="1"/>
    <col min="15629" max="15629" width="12" style="4" customWidth="1"/>
    <col min="15630" max="15630" width="11.28515625" style="4" customWidth="1"/>
    <col min="15631" max="15631" width="1.140625" style="4" customWidth="1"/>
    <col min="15632" max="15632" width="11.7109375" style="4" customWidth="1"/>
    <col min="15633" max="15633" width="13.42578125" style="4" customWidth="1"/>
    <col min="15634" max="15676" width="9.7109375" style="4" customWidth="1"/>
    <col min="15677" max="15677" width="16.7109375" style="4" customWidth="1"/>
    <col min="15678" max="15873" width="9.7109375" style="4"/>
    <col min="15874" max="15874" width="22.7109375" style="4" customWidth="1"/>
    <col min="15875" max="15875" width="11" style="4" customWidth="1"/>
    <col min="15876" max="15876" width="5.28515625" style="4" customWidth="1"/>
    <col min="15877" max="15877" width="7.42578125" style="4" customWidth="1"/>
    <col min="15878" max="15878" width="7.28515625" style="4" customWidth="1"/>
    <col min="15879" max="15879" width="12.7109375" style="4" customWidth="1"/>
    <col min="15880" max="15880" width="9.7109375" style="4" customWidth="1"/>
    <col min="15881" max="15881" width="11.140625" style="4" customWidth="1"/>
    <col min="15882" max="15882" width="9.7109375" style="4" customWidth="1"/>
    <col min="15883" max="15883" width="12.7109375" style="4" customWidth="1"/>
    <col min="15884" max="15884" width="10.28515625" style="4" customWidth="1"/>
    <col min="15885" max="15885" width="12" style="4" customWidth="1"/>
    <col min="15886" max="15886" width="11.28515625" style="4" customWidth="1"/>
    <col min="15887" max="15887" width="1.140625" style="4" customWidth="1"/>
    <col min="15888" max="15888" width="11.7109375" style="4" customWidth="1"/>
    <col min="15889" max="15889" width="13.42578125" style="4" customWidth="1"/>
    <col min="15890" max="15932" width="9.7109375" style="4" customWidth="1"/>
    <col min="15933" max="15933" width="16.7109375" style="4" customWidth="1"/>
    <col min="15934" max="16129" width="9.7109375" style="4"/>
    <col min="16130" max="16130" width="22.7109375" style="4" customWidth="1"/>
    <col min="16131" max="16131" width="11" style="4" customWidth="1"/>
    <col min="16132" max="16132" width="5.28515625" style="4" customWidth="1"/>
    <col min="16133" max="16133" width="7.42578125" style="4" customWidth="1"/>
    <col min="16134" max="16134" width="7.28515625" style="4" customWidth="1"/>
    <col min="16135" max="16135" width="12.7109375" style="4" customWidth="1"/>
    <col min="16136" max="16136" width="9.7109375" style="4" customWidth="1"/>
    <col min="16137" max="16137" width="11.140625" style="4" customWidth="1"/>
    <col min="16138" max="16138" width="9.7109375" style="4" customWidth="1"/>
    <col min="16139" max="16139" width="12.7109375" style="4" customWidth="1"/>
    <col min="16140" max="16140" width="10.28515625" style="4" customWidth="1"/>
    <col min="16141" max="16141" width="12" style="4" customWidth="1"/>
    <col min="16142" max="16142" width="11.28515625" style="4" customWidth="1"/>
    <col min="16143" max="16143" width="1.140625" style="4" customWidth="1"/>
    <col min="16144" max="16144" width="11.7109375" style="4" customWidth="1"/>
    <col min="16145" max="16145" width="13.42578125" style="4" customWidth="1"/>
    <col min="16146" max="16188" width="9.7109375" style="4" customWidth="1"/>
    <col min="16189" max="16189" width="16.7109375" style="4" customWidth="1"/>
    <col min="16190" max="16384" width="9.7109375" style="4"/>
  </cols>
  <sheetData>
    <row r="1" spans="2:15" ht="13.5" hidden="1" customHeight="1" thickBot="1">
      <c r="B1" s="1"/>
      <c r="C1" s="2" t="s">
        <v>0</v>
      </c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5" ht="13.5" hidden="1" customHeight="1" thickBot="1">
      <c r="B2" s="5"/>
    </row>
    <row r="3" spans="2:15" ht="13.5" hidden="1" customHeight="1" thickBot="1">
      <c r="B3" s="7"/>
    </row>
    <row r="4" spans="2:15" ht="13.5" hidden="1" customHeight="1" thickBot="1">
      <c r="B4" s="5"/>
      <c r="E4" s="8"/>
    </row>
    <row r="5" spans="2:15" ht="13.5" hidden="1" customHeight="1" thickBot="1">
      <c r="B5" s="5"/>
    </row>
    <row r="6" spans="2:15" ht="13.5" hidden="1" customHeight="1" thickBot="1">
      <c r="B6" s="9" t="s">
        <v>1</v>
      </c>
      <c r="C6" s="10"/>
      <c r="D6" s="4"/>
      <c r="F6" s="4"/>
      <c r="H6" s="4"/>
      <c r="I6" s="4"/>
      <c r="J6" s="4"/>
      <c r="K6" s="4"/>
      <c r="L6" s="4"/>
      <c r="M6" s="4"/>
      <c r="N6" s="4"/>
      <c r="O6" s="4"/>
    </row>
    <row r="7" spans="2:15" ht="13.5" hidden="1" customHeight="1" thickBot="1">
      <c r="B7" s="11" t="s">
        <v>2</v>
      </c>
      <c r="C7" s="12">
        <v>3</v>
      </c>
      <c r="D7" s="4"/>
      <c r="F7" s="4"/>
      <c r="H7" s="4"/>
      <c r="I7" s="4"/>
      <c r="J7" s="4"/>
      <c r="K7" s="4"/>
      <c r="L7" s="4"/>
      <c r="M7" s="4"/>
      <c r="N7" s="4"/>
      <c r="O7" s="4"/>
    </row>
    <row r="8" spans="2:15" ht="13.5" hidden="1" customHeight="1" thickBot="1">
      <c r="B8" s="11" t="s">
        <v>3</v>
      </c>
      <c r="C8" s="4">
        <v>1.93</v>
      </c>
      <c r="D8" s="4"/>
      <c r="F8" s="4"/>
      <c r="H8" s="4"/>
      <c r="I8" s="4"/>
      <c r="J8" s="4"/>
      <c r="K8" s="4"/>
      <c r="L8" s="4"/>
      <c r="M8" s="4"/>
      <c r="N8" s="4"/>
      <c r="O8" s="4"/>
    </row>
    <row r="9" spans="2:15" ht="13.5" hidden="1" customHeight="1" thickBot="1">
      <c r="B9" s="11" t="s">
        <v>4</v>
      </c>
      <c r="C9" s="4">
        <v>2.68</v>
      </c>
      <c r="D9" s="4"/>
      <c r="F9" s="4"/>
      <c r="H9" s="4"/>
      <c r="I9" s="4"/>
      <c r="J9" s="4"/>
      <c r="K9" s="4"/>
      <c r="L9" s="4"/>
      <c r="M9" s="4"/>
      <c r="N9" s="4"/>
      <c r="O9" s="4"/>
    </row>
    <row r="10" spans="2:15" ht="13.5" hidden="1" customHeight="1" thickBot="1">
      <c r="B10" s="11" t="s">
        <v>5</v>
      </c>
      <c r="C10" s="4">
        <v>1.96</v>
      </c>
      <c r="D10" s="4"/>
      <c r="F10" s="4"/>
      <c r="H10" s="4"/>
      <c r="I10" s="4"/>
      <c r="J10" s="4"/>
      <c r="K10" s="4"/>
      <c r="L10" s="4"/>
      <c r="M10" s="4"/>
      <c r="N10" s="4"/>
      <c r="O10" s="4"/>
    </row>
    <row r="11" spans="2:15" ht="13.5" hidden="1" customHeight="1" thickBot="1">
      <c r="B11" s="11" t="s">
        <v>6</v>
      </c>
      <c r="C11" s="4">
        <v>3</v>
      </c>
      <c r="D11" s="4"/>
      <c r="F11" s="4"/>
      <c r="H11" s="4"/>
      <c r="I11" s="4"/>
      <c r="J11" s="4"/>
      <c r="K11" s="4"/>
      <c r="L11" s="4"/>
      <c r="M11" s="4"/>
      <c r="N11" s="4"/>
      <c r="O11" s="4"/>
    </row>
    <row r="12" spans="2:15" ht="13.5" hidden="1" customHeight="1" thickBot="1">
      <c r="B12" s="11" t="s">
        <v>7</v>
      </c>
      <c r="C12" s="4">
        <v>1.88</v>
      </c>
      <c r="D12" s="4"/>
      <c r="F12" s="4"/>
      <c r="H12" s="4"/>
      <c r="I12" s="4"/>
      <c r="J12" s="4"/>
      <c r="K12" s="4"/>
      <c r="L12" s="4"/>
      <c r="M12" s="4"/>
      <c r="N12" s="4"/>
      <c r="O12" s="4"/>
    </row>
    <row r="13" spans="2:15" ht="13.5" hidden="1" customHeight="1" thickBot="1">
      <c r="B13" s="4" t="str">
        <f ca="1">CELL("filename",B1)</f>
        <v>\\ccb-fs-01\CommunityDevelopment\Planning\LUAS\2013\7.13 (Jul)\[Jul 13 Res LUA.xlsx]Base Data 10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3"/>
      <c r="O13" s="13"/>
    </row>
    <row r="14" spans="2:15" ht="13.5" hidden="1" customHeight="1" thickBot="1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3"/>
      <c r="O14" s="13"/>
    </row>
    <row r="15" spans="2:15" ht="13.5" hidden="1" customHeight="1" thickBot="1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2:15" ht="13.5" hidden="1" customHeight="1" thickBot="1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60" ht="13.5" hidden="1" customHeight="1" thickBot="1">
      <c r="B17" s="16" t="s">
        <v>0</v>
      </c>
      <c r="C17" s="13" t="s">
        <v>0</v>
      </c>
      <c r="D17" s="13"/>
      <c r="E17" s="13"/>
      <c r="F17" s="13"/>
      <c r="G17" s="13"/>
      <c r="H17" s="13" t="s">
        <v>0</v>
      </c>
      <c r="I17" s="13"/>
      <c r="J17" s="13"/>
      <c r="K17" s="13"/>
      <c r="L17" s="13"/>
      <c r="M17" s="13"/>
      <c r="N17" s="17"/>
      <c r="O17" s="13"/>
    </row>
    <row r="18" spans="1:60" ht="13.5" hidden="1" customHeight="1" thickBot="1">
      <c r="B18" s="18"/>
      <c r="C18" s="19"/>
      <c r="D18" s="20">
        <v>1</v>
      </c>
      <c r="E18" s="20">
        <v>2</v>
      </c>
      <c r="F18" s="20">
        <v>3</v>
      </c>
      <c r="G18" s="20">
        <v>4</v>
      </c>
      <c r="H18" s="20">
        <v>5</v>
      </c>
      <c r="I18" s="20">
        <v>8</v>
      </c>
      <c r="J18" s="20">
        <v>6</v>
      </c>
      <c r="K18" s="20">
        <v>9</v>
      </c>
      <c r="L18" s="20">
        <v>10</v>
      </c>
      <c r="M18" s="20">
        <v>11</v>
      </c>
      <c r="N18" s="21">
        <v>12</v>
      </c>
      <c r="O18" s="22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</row>
    <row r="19" spans="1:60" ht="14.25" hidden="1" customHeight="1"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</row>
    <row r="20" spans="1:60" ht="12.75" customHeight="1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1"/>
      <c r="O20" s="2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</row>
    <row r="21" spans="1:60" s="35" customFormat="1" ht="12.75" customHeight="1">
      <c r="A21" s="28"/>
      <c r="B21" s="29"/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  <c r="O21" s="3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</row>
    <row r="22" spans="1:60" s="35" customFormat="1" ht="12.75" customHeight="1">
      <c r="A22" s="28"/>
      <c r="B22" s="29"/>
      <c r="C22" s="30"/>
      <c r="D22" s="31"/>
      <c r="E22" s="36"/>
      <c r="F22" s="37"/>
      <c r="G22" s="36"/>
      <c r="H22" s="38" t="s">
        <v>8</v>
      </c>
      <c r="I22" s="36"/>
      <c r="J22" s="36"/>
      <c r="K22" s="31"/>
      <c r="L22" s="31"/>
      <c r="M22" s="31"/>
      <c r="N22" s="32"/>
      <c r="O22" s="3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</row>
    <row r="23" spans="1:60" s="35" customFormat="1" ht="12.75" customHeight="1">
      <c r="A23" s="28"/>
      <c r="B23" s="29"/>
      <c r="C23" s="30"/>
      <c r="D23" s="31"/>
      <c r="E23" s="36"/>
      <c r="F23" s="39" t="s">
        <v>9</v>
      </c>
      <c r="G23" s="36"/>
      <c r="H23" s="36"/>
      <c r="I23" s="36"/>
      <c r="J23" s="36"/>
      <c r="K23" s="31"/>
      <c r="L23" s="31"/>
      <c r="M23" s="31"/>
      <c r="N23" s="32"/>
      <c r="O23" s="33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spans="1:60" ht="12.75" customHeight="1">
      <c r="B24" s="40"/>
      <c r="C24" s="41"/>
      <c r="D24" s="42"/>
      <c r="E24" s="42"/>
      <c r="F24" s="42"/>
      <c r="G24" s="42"/>
      <c r="H24" s="43" t="s">
        <v>235</v>
      </c>
      <c r="I24" s="42"/>
      <c r="J24" s="42"/>
      <c r="K24" s="42"/>
      <c r="L24" s="42"/>
      <c r="M24" s="42"/>
      <c r="N24" s="44"/>
      <c r="O24" s="45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</row>
    <row r="25" spans="1:60" s="51" customFormat="1" ht="79.5" customHeight="1" thickBot="1">
      <c r="A25" s="46" t="s">
        <v>10</v>
      </c>
      <c r="B25" s="442" t="s">
        <v>11</v>
      </c>
      <c r="C25" s="443"/>
      <c r="D25" s="47" t="s">
        <v>12</v>
      </c>
      <c r="E25" s="47" t="s">
        <v>13</v>
      </c>
      <c r="F25" s="47" t="s">
        <v>14</v>
      </c>
      <c r="G25" s="48" t="s">
        <v>15</v>
      </c>
      <c r="H25" s="48" t="s">
        <v>16</v>
      </c>
      <c r="I25" s="48" t="s">
        <v>17</v>
      </c>
      <c r="J25" s="48" t="s">
        <v>18</v>
      </c>
      <c r="K25" s="48" t="s">
        <v>19</v>
      </c>
      <c r="L25" s="48" t="s">
        <v>20</v>
      </c>
      <c r="M25" s="48" t="s">
        <v>21</v>
      </c>
      <c r="N25" s="47" t="s">
        <v>22</v>
      </c>
      <c r="O25" s="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</row>
    <row r="26" spans="1:60" ht="12.75" customHeight="1">
      <c r="A26" s="52" t="s">
        <v>23</v>
      </c>
      <c r="B26" s="53" t="s">
        <v>24</v>
      </c>
      <c r="C26" s="54"/>
      <c r="D26" s="55">
        <v>1</v>
      </c>
      <c r="E26" s="56" t="s">
        <v>2</v>
      </c>
      <c r="F26" s="339">
        <v>2.9319999999999999</v>
      </c>
      <c r="G26" s="58">
        <v>1800</v>
      </c>
      <c r="H26" s="58">
        <f>801+172</f>
        <v>973</v>
      </c>
      <c r="I26" s="58">
        <f>20+(0-1)+(7-2)+(5-4)+(3-3)+(9-1)+(8-2)+(14-3)</f>
        <v>50</v>
      </c>
      <c r="J26" s="59">
        <f>571+1+2+4+3+1+2+3</f>
        <v>587</v>
      </c>
      <c r="K26" s="60">
        <f t="shared" ref="K26:K95" si="0">H26-I26-J26</f>
        <v>336</v>
      </c>
      <c r="L26" s="58">
        <f t="shared" ref="L26:L79" si="1">F26*J26</f>
        <v>1721.0840000000001</v>
      </c>
      <c r="M26" s="58">
        <f t="shared" ref="M26:M95" si="2">F26*H26</f>
        <v>2852.8359999999998</v>
      </c>
      <c r="N26" s="61">
        <v>5000</v>
      </c>
      <c r="O26" s="62"/>
    </row>
    <row r="27" spans="1:60" ht="12.75" customHeight="1">
      <c r="A27" s="52" t="s">
        <v>41</v>
      </c>
      <c r="B27" s="63" t="s">
        <v>25</v>
      </c>
      <c r="C27" s="64"/>
      <c r="D27" s="65">
        <v>1</v>
      </c>
      <c r="E27" s="66" t="s">
        <v>2</v>
      </c>
      <c r="F27" s="340">
        <v>1.75</v>
      </c>
      <c r="G27" s="67">
        <v>1700</v>
      </c>
      <c r="H27" s="58">
        <v>1300</v>
      </c>
      <c r="I27" s="58">
        <f>23+(9-3)+(6-6)+(5-11)+(6-3)+(4-4)+(3-9)+(0-6)</f>
        <v>14</v>
      </c>
      <c r="J27" s="59">
        <f>836+3+6+11+3+4+9+6</f>
        <v>878</v>
      </c>
      <c r="K27" s="60">
        <f t="shared" si="0"/>
        <v>408</v>
      </c>
      <c r="L27" s="58">
        <f t="shared" si="1"/>
        <v>1536.5</v>
      </c>
      <c r="M27" s="58">
        <f t="shared" si="2"/>
        <v>2275</v>
      </c>
      <c r="N27" s="68">
        <v>2800</v>
      </c>
      <c r="O27" s="62"/>
    </row>
    <row r="28" spans="1:60" ht="12.75" customHeight="1">
      <c r="A28" s="52" t="s">
        <v>26</v>
      </c>
      <c r="B28" s="69" t="s">
        <v>27</v>
      </c>
      <c r="C28" s="70"/>
      <c r="D28" s="71">
        <v>2</v>
      </c>
      <c r="E28" s="72" t="s">
        <v>2</v>
      </c>
      <c r="F28" s="341">
        <v>2.9319999999999999</v>
      </c>
      <c r="G28" s="74">
        <v>355</v>
      </c>
      <c r="H28" s="74">
        <v>355</v>
      </c>
      <c r="I28" s="74">
        <f>1+0+0+(0-1)+0</f>
        <v>0</v>
      </c>
      <c r="J28" s="74">
        <f>353+0+0+1+0+0+0</f>
        <v>354</v>
      </c>
      <c r="K28" s="75">
        <f t="shared" si="0"/>
        <v>1</v>
      </c>
      <c r="L28" s="76">
        <f t="shared" si="1"/>
        <v>1037.9279999999999</v>
      </c>
      <c r="M28" s="74">
        <f t="shared" si="2"/>
        <v>1040.8599999999999</v>
      </c>
      <c r="N28" s="77">
        <f t="shared" ref="N28:N97" si="3">F28*G28</f>
        <v>1040.8599999999999</v>
      </c>
      <c r="O28" s="78"/>
    </row>
    <row r="29" spans="1:60" ht="12.75" customHeight="1">
      <c r="A29" s="52" t="s">
        <v>28</v>
      </c>
      <c r="B29" s="79" t="s">
        <v>29</v>
      </c>
      <c r="C29" s="80"/>
      <c r="D29" s="81">
        <v>3</v>
      </c>
      <c r="E29" s="82" t="s">
        <v>2</v>
      </c>
      <c r="F29" s="342">
        <v>2.9319999999999999</v>
      </c>
      <c r="G29" s="83">
        <v>877</v>
      </c>
      <c r="H29" s="83">
        <v>877</v>
      </c>
      <c r="I29" s="83">
        <f>1+(0-0)+(0-0)+(0-0)+0+0+0+0+0+0+(0-1)</f>
        <v>0</v>
      </c>
      <c r="J29" s="84">
        <f>876+0+0+0+0+0+0+0+0+0+1</f>
        <v>877</v>
      </c>
      <c r="K29" s="85">
        <f t="shared" si="0"/>
        <v>0</v>
      </c>
      <c r="L29" s="83">
        <f t="shared" si="1"/>
        <v>2571.364</v>
      </c>
      <c r="M29" s="83">
        <f t="shared" si="2"/>
        <v>2571.364</v>
      </c>
      <c r="N29" s="86">
        <f t="shared" si="3"/>
        <v>2571.364</v>
      </c>
      <c r="O29" s="87"/>
    </row>
    <row r="30" spans="1:60" ht="12.75" customHeight="1">
      <c r="A30" s="52" t="s">
        <v>30</v>
      </c>
      <c r="B30" s="88" t="s">
        <v>31</v>
      </c>
      <c r="C30" s="89"/>
      <c r="D30" s="90">
        <v>4</v>
      </c>
      <c r="E30" s="91" t="s">
        <v>2</v>
      </c>
      <c r="F30" s="343">
        <v>2.9319999999999999</v>
      </c>
      <c r="G30" s="92">
        <v>1292</v>
      </c>
      <c r="H30" s="92">
        <v>1277</v>
      </c>
      <c r="I30" s="93">
        <f>0+(1-0)+(1-0)+(1-0)+(3-0)+(1-0)+(2-1)</f>
        <v>8</v>
      </c>
      <c r="J30" s="94">
        <f>1267+0+0+0+0+0+1</f>
        <v>1268</v>
      </c>
      <c r="K30" s="95">
        <f t="shared" si="0"/>
        <v>1</v>
      </c>
      <c r="L30" s="93">
        <f t="shared" si="1"/>
        <v>3717.7759999999998</v>
      </c>
      <c r="M30" s="93">
        <f t="shared" si="2"/>
        <v>3744.1639999999998</v>
      </c>
      <c r="N30" s="96">
        <f t="shared" si="3"/>
        <v>3788.1439999999998</v>
      </c>
      <c r="O30" s="87"/>
    </row>
    <row r="31" spans="1:60" ht="12.75" customHeight="1">
      <c r="A31" s="52" t="s">
        <v>32</v>
      </c>
      <c r="B31" s="88" t="s">
        <v>31</v>
      </c>
      <c r="C31" s="97"/>
      <c r="D31" s="90">
        <v>4</v>
      </c>
      <c r="E31" s="91" t="s">
        <v>4</v>
      </c>
      <c r="F31" s="343">
        <v>2.5</v>
      </c>
      <c r="G31" s="92">
        <v>215</v>
      </c>
      <c r="H31" s="92">
        <v>215</v>
      </c>
      <c r="I31" s="93">
        <f>13+(0-1)+0+(0-5)</f>
        <v>7</v>
      </c>
      <c r="J31" s="94">
        <f>198+1+0+5</f>
        <v>204</v>
      </c>
      <c r="K31" s="95">
        <f t="shared" si="0"/>
        <v>4</v>
      </c>
      <c r="L31" s="93">
        <f t="shared" si="1"/>
        <v>510</v>
      </c>
      <c r="M31" s="93">
        <f t="shared" si="2"/>
        <v>537.5</v>
      </c>
      <c r="N31" s="96">
        <f t="shared" si="3"/>
        <v>537.5</v>
      </c>
      <c r="O31" s="87"/>
    </row>
    <row r="32" spans="1:60" ht="12.75" customHeight="1">
      <c r="A32" s="52" t="s">
        <v>33</v>
      </c>
      <c r="B32" s="98" t="s">
        <v>31</v>
      </c>
      <c r="C32" s="89"/>
      <c r="D32" s="90">
        <v>4</v>
      </c>
      <c r="E32" s="91" t="s">
        <v>5</v>
      </c>
      <c r="F32" s="343">
        <v>1.91</v>
      </c>
      <c r="G32" s="92">
        <v>614</v>
      </c>
      <c r="H32" s="92">
        <v>601</v>
      </c>
      <c r="I32" s="93">
        <f>0+(0-0)+(0-0)+(0-0)+(0-0)</f>
        <v>0</v>
      </c>
      <c r="J32" s="94">
        <f>587+0+0+0+0</f>
        <v>587</v>
      </c>
      <c r="K32" s="95">
        <f t="shared" si="0"/>
        <v>14</v>
      </c>
      <c r="L32" s="93">
        <f t="shared" si="1"/>
        <v>1121.1699999999998</v>
      </c>
      <c r="M32" s="93">
        <f t="shared" si="2"/>
        <v>1147.9099999999999</v>
      </c>
      <c r="N32" s="96">
        <f t="shared" si="3"/>
        <v>1172.74</v>
      </c>
      <c r="O32" s="87"/>
    </row>
    <row r="33" spans="1:15" ht="12.75" customHeight="1">
      <c r="A33" s="52" t="s">
        <v>34</v>
      </c>
      <c r="B33" s="99" t="s">
        <v>35</v>
      </c>
      <c r="C33" s="100"/>
      <c r="D33" s="101">
        <v>5</v>
      </c>
      <c r="E33" s="102" t="s">
        <v>2</v>
      </c>
      <c r="F33" s="344">
        <v>2.9319999999999999</v>
      </c>
      <c r="G33" s="104">
        <v>218</v>
      </c>
      <c r="H33" s="104">
        <v>218</v>
      </c>
      <c r="I33" s="105">
        <f>0+(0-0)+(0-0)+(0-0)+(0-0)</f>
        <v>0</v>
      </c>
      <c r="J33" s="106">
        <f>214</f>
        <v>214</v>
      </c>
      <c r="K33" s="107">
        <f t="shared" si="0"/>
        <v>4</v>
      </c>
      <c r="L33" s="105">
        <f t="shared" si="1"/>
        <v>627.44799999999998</v>
      </c>
      <c r="M33" s="105">
        <f t="shared" si="2"/>
        <v>639.17599999999993</v>
      </c>
      <c r="N33" s="108">
        <f t="shared" si="3"/>
        <v>639.17599999999993</v>
      </c>
      <c r="O33" s="87"/>
    </row>
    <row r="34" spans="1:15" ht="12.75" customHeight="1">
      <c r="A34" s="52" t="s">
        <v>36</v>
      </c>
      <c r="B34" s="109" t="s">
        <v>37</v>
      </c>
      <c r="C34" s="110"/>
      <c r="D34" s="111">
        <v>6</v>
      </c>
      <c r="E34" s="112" t="s">
        <v>5</v>
      </c>
      <c r="F34" s="345">
        <v>1.91</v>
      </c>
      <c r="G34" s="114">
        <v>500</v>
      </c>
      <c r="H34" s="114">
        <v>374</v>
      </c>
      <c r="I34" s="115">
        <f>0+0+0+0+0+0+0+0+0+0+74+0+300</f>
        <v>374</v>
      </c>
      <c r="J34" s="116">
        <v>0</v>
      </c>
      <c r="K34" s="117">
        <f t="shared" si="0"/>
        <v>0</v>
      </c>
      <c r="L34" s="115">
        <f t="shared" si="1"/>
        <v>0</v>
      </c>
      <c r="M34" s="115">
        <f t="shared" si="2"/>
        <v>714.33999999999992</v>
      </c>
      <c r="N34" s="118">
        <f t="shared" si="3"/>
        <v>955</v>
      </c>
      <c r="O34" s="87"/>
    </row>
    <row r="35" spans="1:15" ht="12.75" customHeight="1">
      <c r="A35" s="52" t="s">
        <v>65</v>
      </c>
      <c r="B35" s="154" t="s">
        <v>217</v>
      </c>
      <c r="C35" s="155"/>
      <c r="D35" s="81">
        <v>16</v>
      </c>
      <c r="E35" s="129" t="s">
        <v>2</v>
      </c>
      <c r="F35" s="342">
        <v>2.9319999999999999</v>
      </c>
      <c r="G35" s="84">
        <v>397</v>
      </c>
      <c r="H35" s="84">
        <v>397</v>
      </c>
      <c r="I35" s="84">
        <v>0</v>
      </c>
      <c r="J35" s="84">
        <v>397</v>
      </c>
      <c r="K35" s="85">
        <f>H35-I35-J35</f>
        <v>0</v>
      </c>
      <c r="L35" s="83">
        <f>F35*J35</f>
        <v>1164.0039999999999</v>
      </c>
      <c r="M35" s="84">
        <f>F35*H35</f>
        <v>1164.0039999999999</v>
      </c>
      <c r="N35" s="86">
        <f>F35*G35</f>
        <v>1164.0039999999999</v>
      </c>
      <c r="O35" s="78"/>
    </row>
    <row r="36" spans="1:15" ht="12.75" customHeight="1">
      <c r="A36" s="52" t="s">
        <v>66</v>
      </c>
      <c r="B36" s="156" t="s">
        <v>218</v>
      </c>
      <c r="C36" s="89"/>
      <c r="D36" s="90">
        <v>17</v>
      </c>
      <c r="E36" s="91" t="s">
        <v>2</v>
      </c>
      <c r="F36" s="343">
        <v>2.9319999999999999</v>
      </c>
      <c r="G36" s="94">
        <v>4</v>
      </c>
      <c r="H36" s="94">
        <v>4</v>
      </c>
      <c r="I36" s="94">
        <v>0</v>
      </c>
      <c r="J36" s="94">
        <v>4</v>
      </c>
      <c r="K36" s="95">
        <f>H36-I36-J36</f>
        <v>0</v>
      </c>
      <c r="L36" s="93">
        <f>F36*J36</f>
        <v>11.728</v>
      </c>
      <c r="M36" s="94">
        <f>F36*H36</f>
        <v>11.728</v>
      </c>
      <c r="N36" s="96">
        <f>F36*G36</f>
        <v>11.728</v>
      </c>
      <c r="O36" s="78"/>
    </row>
    <row r="37" spans="1:15" ht="12.75" customHeight="1">
      <c r="A37" s="52" t="s">
        <v>67</v>
      </c>
      <c r="B37" s="157" t="s">
        <v>219</v>
      </c>
      <c r="C37" s="158"/>
      <c r="D37" s="159">
        <v>18</v>
      </c>
      <c r="E37" s="160" t="s">
        <v>2</v>
      </c>
      <c r="F37" s="350">
        <v>2.9319999999999999</v>
      </c>
      <c r="G37" s="161">
        <v>102</v>
      </c>
      <c r="H37" s="161">
        <v>91</v>
      </c>
      <c r="I37" s="161">
        <v>0</v>
      </c>
      <c r="J37" s="106">
        <f>90</f>
        <v>90</v>
      </c>
      <c r="K37" s="107">
        <f>H37-I37-J37</f>
        <v>1</v>
      </c>
      <c r="L37" s="105">
        <f>F37*J37</f>
        <v>263.88</v>
      </c>
      <c r="M37" s="161">
        <f>F37*H37</f>
        <v>266.81200000000001</v>
      </c>
      <c r="N37" s="108">
        <f>F37*G37</f>
        <v>299.06400000000002</v>
      </c>
      <c r="O37" s="162"/>
    </row>
    <row r="38" spans="1:15" ht="12.75" customHeight="1">
      <c r="A38" s="52" t="s">
        <v>38</v>
      </c>
      <c r="B38" s="119" t="s">
        <v>39</v>
      </c>
      <c r="C38" s="64"/>
      <c r="D38" s="65">
        <v>7</v>
      </c>
      <c r="E38" s="120" t="s">
        <v>2</v>
      </c>
      <c r="F38" s="346">
        <v>2.9319999999999999</v>
      </c>
      <c r="G38" s="67">
        <v>873</v>
      </c>
      <c r="H38" s="67">
        <v>867</v>
      </c>
      <c r="I38" s="67">
        <v>0</v>
      </c>
      <c r="J38" s="121">
        <v>867</v>
      </c>
      <c r="K38" s="60">
        <f t="shared" si="0"/>
        <v>0</v>
      </c>
      <c r="L38" s="67">
        <f t="shared" si="1"/>
        <v>2542.0439999999999</v>
      </c>
      <c r="M38" s="67">
        <f t="shared" si="2"/>
        <v>2542.0439999999999</v>
      </c>
      <c r="N38" s="68">
        <f t="shared" si="3"/>
        <v>2559.636</v>
      </c>
      <c r="O38" s="87"/>
    </row>
    <row r="39" spans="1:15" ht="12.75" customHeight="1">
      <c r="A39" s="52" t="s">
        <v>40</v>
      </c>
      <c r="B39" s="119" t="s">
        <v>39</v>
      </c>
      <c r="C39" s="64"/>
      <c r="D39" s="65">
        <v>7</v>
      </c>
      <c r="E39" s="122" t="s">
        <v>3</v>
      </c>
      <c r="F39" s="346">
        <v>1.91</v>
      </c>
      <c r="G39" s="67">
        <v>553</v>
      </c>
      <c r="H39" s="67">
        <v>534</v>
      </c>
      <c r="I39" s="67">
        <v>0</v>
      </c>
      <c r="J39" s="121">
        <v>534</v>
      </c>
      <c r="K39" s="60">
        <f t="shared" si="0"/>
        <v>0</v>
      </c>
      <c r="L39" s="67">
        <f t="shared" si="1"/>
        <v>1019.9399999999999</v>
      </c>
      <c r="M39" s="67">
        <f t="shared" si="2"/>
        <v>1019.9399999999999</v>
      </c>
      <c r="N39" s="68">
        <f t="shared" si="3"/>
        <v>1056.23</v>
      </c>
      <c r="O39" s="87"/>
    </row>
    <row r="40" spans="1:15" ht="12.75" customHeight="1">
      <c r="A40" s="52" t="s">
        <v>41</v>
      </c>
      <c r="B40" s="123" t="s">
        <v>42</v>
      </c>
      <c r="C40" s="124"/>
      <c r="D40" s="125">
        <v>8</v>
      </c>
      <c r="E40" s="73" t="s">
        <v>2</v>
      </c>
      <c r="F40" s="341">
        <v>2.9319999999999999</v>
      </c>
      <c r="G40" s="76">
        <v>728</v>
      </c>
      <c r="H40" s="76">
        <v>723</v>
      </c>
      <c r="I40" s="76">
        <v>0</v>
      </c>
      <c r="J40" s="74">
        <v>723</v>
      </c>
      <c r="K40" s="75">
        <f t="shared" si="0"/>
        <v>0</v>
      </c>
      <c r="L40" s="76">
        <f t="shared" si="1"/>
        <v>2119.8359999999998</v>
      </c>
      <c r="M40" s="76">
        <f t="shared" si="2"/>
        <v>2119.8359999999998</v>
      </c>
      <c r="N40" s="77">
        <f t="shared" si="3"/>
        <v>2134.4960000000001</v>
      </c>
      <c r="O40" s="87"/>
    </row>
    <row r="41" spans="1:15" ht="12.75" customHeight="1">
      <c r="A41" s="52" t="s">
        <v>43</v>
      </c>
      <c r="B41" s="126" t="s">
        <v>42</v>
      </c>
      <c r="C41" s="124"/>
      <c r="D41" s="125">
        <v>8</v>
      </c>
      <c r="E41" s="73" t="s">
        <v>3</v>
      </c>
      <c r="F41" s="341">
        <v>1.91</v>
      </c>
      <c r="G41" s="76">
        <v>244</v>
      </c>
      <c r="H41" s="76">
        <v>197</v>
      </c>
      <c r="I41" s="76">
        <v>0</v>
      </c>
      <c r="J41" s="74">
        <v>197</v>
      </c>
      <c r="K41" s="75">
        <f t="shared" si="0"/>
        <v>0</v>
      </c>
      <c r="L41" s="76">
        <f t="shared" si="1"/>
        <v>376.27</v>
      </c>
      <c r="M41" s="76">
        <f t="shared" si="2"/>
        <v>376.27</v>
      </c>
      <c r="N41" s="77">
        <f t="shared" si="3"/>
        <v>466.03999999999996</v>
      </c>
      <c r="O41" s="87"/>
    </row>
    <row r="42" spans="1:15" ht="12.75" customHeight="1">
      <c r="A42" s="52" t="s">
        <v>44</v>
      </c>
      <c r="B42" s="127" t="s">
        <v>45</v>
      </c>
      <c r="C42" s="128"/>
      <c r="D42" s="81">
        <v>9</v>
      </c>
      <c r="E42" s="129" t="s">
        <v>2</v>
      </c>
      <c r="F42" s="342">
        <v>2.9319999999999999</v>
      </c>
      <c r="G42" s="84">
        <v>22</v>
      </c>
      <c r="H42" s="84">
        <v>22</v>
      </c>
      <c r="I42" s="83">
        <f>0+(0-0)+(0-0)+(0-0)+(0-0)</f>
        <v>0</v>
      </c>
      <c r="J42" s="84">
        <f>20+0+0+0+0</f>
        <v>20</v>
      </c>
      <c r="K42" s="85">
        <f t="shared" si="0"/>
        <v>2</v>
      </c>
      <c r="L42" s="83">
        <f t="shared" si="1"/>
        <v>58.64</v>
      </c>
      <c r="M42" s="83">
        <f t="shared" si="2"/>
        <v>64.504000000000005</v>
      </c>
      <c r="N42" s="86">
        <f t="shared" si="3"/>
        <v>64.504000000000005</v>
      </c>
      <c r="O42" s="87"/>
    </row>
    <row r="43" spans="1:15" ht="12.75" customHeight="1">
      <c r="A43" s="52" t="s">
        <v>46</v>
      </c>
      <c r="B43" s="130" t="s">
        <v>47</v>
      </c>
      <c r="C43" s="131"/>
      <c r="D43" s="90">
        <v>10</v>
      </c>
      <c r="E43" s="91" t="s">
        <v>7</v>
      </c>
      <c r="F43" s="343">
        <v>1.75</v>
      </c>
      <c r="G43" s="94">
        <v>204</v>
      </c>
      <c r="H43" s="94">
        <v>118</v>
      </c>
      <c r="I43" s="93">
        <v>0</v>
      </c>
      <c r="J43" s="94">
        <v>118</v>
      </c>
      <c r="K43" s="95">
        <f t="shared" si="0"/>
        <v>0</v>
      </c>
      <c r="L43" s="93">
        <f t="shared" si="1"/>
        <v>206.5</v>
      </c>
      <c r="M43" s="93">
        <f t="shared" si="2"/>
        <v>206.5</v>
      </c>
      <c r="N43" s="96">
        <f t="shared" si="3"/>
        <v>357</v>
      </c>
      <c r="O43" s="87"/>
    </row>
    <row r="44" spans="1:15" ht="12.75" customHeight="1">
      <c r="A44" s="52" t="s">
        <v>48</v>
      </c>
      <c r="B44" s="132" t="s">
        <v>49</v>
      </c>
      <c r="C44" s="133"/>
      <c r="D44" s="101">
        <v>11</v>
      </c>
      <c r="E44" s="102" t="s">
        <v>3</v>
      </c>
      <c r="F44" s="344">
        <v>1.91</v>
      </c>
      <c r="G44" s="106">
        <v>283</v>
      </c>
      <c r="H44" s="106">
        <v>283</v>
      </c>
      <c r="I44" s="105">
        <v>0</v>
      </c>
      <c r="J44" s="106">
        <v>283</v>
      </c>
      <c r="K44" s="107">
        <f t="shared" si="0"/>
        <v>0</v>
      </c>
      <c r="L44" s="105">
        <f t="shared" si="1"/>
        <v>540.53</v>
      </c>
      <c r="M44" s="105">
        <f t="shared" si="2"/>
        <v>540.53</v>
      </c>
      <c r="N44" s="108">
        <f t="shared" si="3"/>
        <v>540.53</v>
      </c>
      <c r="O44" s="87"/>
    </row>
    <row r="45" spans="1:15" ht="12.75" customHeight="1">
      <c r="A45" s="52" t="s">
        <v>50</v>
      </c>
      <c r="B45" s="132" t="s">
        <v>49</v>
      </c>
      <c r="C45" s="134"/>
      <c r="D45" s="101">
        <v>11</v>
      </c>
      <c r="E45" s="102" t="s">
        <v>7</v>
      </c>
      <c r="F45" s="344">
        <v>1.75</v>
      </c>
      <c r="G45" s="106">
        <v>88</v>
      </c>
      <c r="H45" s="106">
        <v>88</v>
      </c>
      <c r="I45" s="105">
        <v>0</v>
      </c>
      <c r="J45" s="106">
        <v>88</v>
      </c>
      <c r="K45" s="107">
        <f t="shared" si="0"/>
        <v>0</v>
      </c>
      <c r="L45" s="105">
        <f t="shared" si="1"/>
        <v>154</v>
      </c>
      <c r="M45" s="105">
        <f t="shared" si="2"/>
        <v>154</v>
      </c>
      <c r="N45" s="108">
        <f t="shared" si="3"/>
        <v>154</v>
      </c>
      <c r="O45" s="87"/>
    </row>
    <row r="46" spans="1:15" ht="12.75" customHeight="1">
      <c r="A46" s="52" t="s">
        <v>51</v>
      </c>
      <c r="B46" s="135" t="s">
        <v>52</v>
      </c>
      <c r="C46" s="136"/>
      <c r="D46" s="137">
        <v>12</v>
      </c>
      <c r="E46" s="113" t="s">
        <v>3</v>
      </c>
      <c r="F46" s="345">
        <v>1.91</v>
      </c>
      <c r="G46" s="138">
        <f>2121-62</f>
        <v>2059</v>
      </c>
      <c r="H46" s="139">
        <v>1012</v>
      </c>
      <c r="I46" s="139">
        <f>178+(0-42)+(0-42)+(0-42)+(0-42)+(168-0)</f>
        <v>178</v>
      </c>
      <c r="J46" s="116">
        <f>452+42+42+42+0+42</f>
        <v>620</v>
      </c>
      <c r="K46" s="117">
        <f t="shared" si="0"/>
        <v>214</v>
      </c>
      <c r="L46" s="115">
        <f t="shared" si="1"/>
        <v>1184.2</v>
      </c>
      <c r="M46" s="140">
        <f t="shared" si="2"/>
        <v>1932.9199999999998</v>
      </c>
      <c r="N46" s="118">
        <v>2316</v>
      </c>
      <c r="O46" s="141"/>
    </row>
    <row r="47" spans="1:15" ht="12.75" customHeight="1">
      <c r="A47" s="52"/>
      <c r="B47" s="135" t="s">
        <v>52</v>
      </c>
      <c r="C47" s="424" t="s">
        <v>232</v>
      </c>
      <c r="D47" s="137">
        <v>12</v>
      </c>
      <c r="E47" s="113" t="s">
        <v>2</v>
      </c>
      <c r="F47" s="345">
        <v>2.9319999999999999</v>
      </c>
      <c r="G47" s="138">
        <v>62</v>
      </c>
      <c r="H47" s="139">
        <v>62</v>
      </c>
      <c r="I47" s="139">
        <f>10+(4-3)+(2-3)+(6-0)+(6-2)+(2-6)+(2-1)+(6-4)</f>
        <v>19</v>
      </c>
      <c r="J47" s="116">
        <f>0+3+3+0+2+6+1+4</f>
        <v>19</v>
      </c>
      <c r="K47" s="117">
        <f t="shared" si="0"/>
        <v>24</v>
      </c>
      <c r="L47" s="115">
        <f t="shared" si="1"/>
        <v>55.707999999999998</v>
      </c>
      <c r="M47" s="140">
        <f t="shared" si="2"/>
        <v>181.78399999999999</v>
      </c>
      <c r="N47" s="118">
        <f t="shared" si="3"/>
        <v>181.78399999999999</v>
      </c>
      <c r="O47" s="141"/>
    </row>
    <row r="48" spans="1:15" ht="12.75" customHeight="1">
      <c r="A48" s="52" t="s">
        <v>53</v>
      </c>
      <c r="B48" s="135" t="s">
        <v>52</v>
      </c>
      <c r="C48" s="136"/>
      <c r="D48" s="137">
        <v>12</v>
      </c>
      <c r="E48" s="113" t="s">
        <v>4</v>
      </c>
      <c r="F48" s="347">
        <v>2.5</v>
      </c>
      <c r="G48" s="138">
        <v>86</v>
      </c>
      <c r="H48" s="139">
        <v>86</v>
      </c>
      <c r="I48" s="138">
        <f>16-0-0-0-0-4-4-3</f>
        <v>5</v>
      </c>
      <c r="J48" s="116">
        <f>0+0+0+0+4+4+3</f>
        <v>11</v>
      </c>
      <c r="K48" s="117">
        <f t="shared" si="0"/>
        <v>70</v>
      </c>
      <c r="L48" s="115">
        <f t="shared" si="1"/>
        <v>27.5</v>
      </c>
      <c r="M48" s="140">
        <f t="shared" si="2"/>
        <v>215</v>
      </c>
      <c r="N48" s="118">
        <f t="shared" si="3"/>
        <v>215</v>
      </c>
      <c r="O48" s="141"/>
    </row>
    <row r="49" spans="1:15" ht="12.75" customHeight="1">
      <c r="A49" s="52" t="s">
        <v>54</v>
      </c>
      <c r="B49" s="135" t="s">
        <v>52</v>
      </c>
      <c r="C49" s="136"/>
      <c r="D49" s="137">
        <v>12</v>
      </c>
      <c r="E49" s="113" t="s">
        <v>5</v>
      </c>
      <c r="F49" s="345">
        <v>1.91</v>
      </c>
      <c r="G49" s="138">
        <v>30</v>
      </c>
      <c r="H49" s="139">
        <v>30</v>
      </c>
      <c r="I49" s="138">
        <f>12-0-0-0-0-6-6</f>
        <v>0</v>
      </c>
      <c r="J49" s="116">
        <f>0+0+0+0+6+6</f>
        <v>12</v>
      </c>
      <c r="K49" s="117">
        <f t="shared" si="0"/>
        <v>18</v>
      </c>
      <c r="L49" s="115">
        <f t="shared" si="1"/>
        <v>22.919999999999998</v>
      </c>
      <c r="M49" s="140">
        <f t="shared" si="2"/>
        <v>57.3</v>
      </c>
      <c r="N49" s="118">
        <f t="shared" si="3"/>
        <v>57.3</v>
      </c>
      <c r="O49" s="141"/>
    </row>
    <row r="50" spans="1:15" ht="12.75" customHeight="1">
      <c r="A50" s="52" t="s">
        <v>55</v>
      </c>
      <c r="B50" s="135" t="s">
        <v>52</v>
      </c>
      <c r="C50" s="136"/>
      <c r="D50" s="137">
        <v>12</v>
      </c>
      <c r="E50" s="113" t="s">
        <v>56</v>
      </c>
      <c r="F50" s="345">
        <v>1.91</v>
      </c>
      <c r="G50" s="139">
        <v>13</v>
      </c>
      <c r="H50" s="138">
        <v>13</v>
      </c>
      <c r="I50" s="138">
        <v>0</v>
      </c>
      <c r="J50" s="116">
        <v>13</v>
      </c>
      <c r="K50" s="117">
        <f t="shared" si="0"/>
        <v>0</v>
      </c>
      <c r="L50" s="115">
        <f t="shared" si="1"/>
        <v>24.83</v>
      </c>
      <c r="M50" s="140">
        <f t="shared" si="2"/>
        <v>24.83</v>
      </c>
      <c r="N50" s="118">
        <f t="shared" si="3"/>
        <v>24.83</v>
      </c>
      <c r="O50" s="141"/>
    </row>
    <row r="51" spans="1:15" ht="12.75" customHeight="1">
      <c r="A51" s="52" t="s">
        <v>57</v>
      </c>
      <c r="B51" s="142" t="s">
        <v>58</v>
      </c>
      <c r="C51" s="143"/>
      <c r="D51" s="144">
        <v>13</v>
      </c>
      <c r="E51" s="145" t="s">
        <v>6</v>
      </c>
      <c r="F51" s="348">
        <v>2.9319999999999999</v>
      </c>
      <c r="G51" s="146">
        <v>327</v>
      </c>
      <c r="H51" s="146">
        <v>327</v>
      </c>
      <c r="I51" s="146">
        <v>0</v>
      </c>
      <c r="J51" s="147">
        <v>327</v>
      </c>
      <c r="K51" s="148">
        <f t="shared" si="0"/>
        <v>0</v>
      </c>
      <c r="L51" s="146">
        <f t="shared" si="1"/>
        <v>958.76400000000001</v>
      </c>
      <c r="M51" s="146">
        <f t="shared" si="2"/>
        <v>958.76400000000001</v>
      </c>
      <c r="N51" s="149">
        <f t="shared" si="3"/>
        <v>958.76400000000001</v>
      </c>
      <c r="O51" s="87"/>
    </row>
    <row r="52" spans="1:15" ht="12.75" customHeight="1">
      <c r="A52" s="52" t="s">
        <v>43</v>
      </c>
      <c r="B52" s="376" t="s">
        <v>211</v>
      </c>
      <c r="C52" s="377"/>
      <c r="D52" s="378">
        <v>71</v>
      </c>
      <c r="E52" s="379"/>
      <c r="F52" s="380">
        <v>2.5</v>
      </c>
      <c r="G52" s="381">
        <v>69</v>
      </c>
      <c r="H52" s="381"/>
      <c r="I52" s="381"/>
      <c r="J52" s="382"/>
      <c r="K52" s="383">
        <f t="shared" si="0"/>
        <v>0</v>
      </c>
      <c r="L52" s="381">
        <f t="shared" si="1"/>
        <v>0</v>
      </c>
      <c r="M52" s="381">
        <f t="shared" si="2"/>
        <v>0</v>
      </c>
      <c r="N52" s="384">
        <v>70</v>
      </c>
      <c r="O52" s="87"/>
    </row>
    <row r="53" spans="1:15" ht="12.75" customHeight="1">
      <c r="A53" s="52" t="s">
        <v>59</v>
      </c>
      <c r="B53" s="385" t="s">
        <v>60</v>
      </c>
      <c r="C53" s="386"/>
      <c r="D53" s="387">
        <v>14</v>
      </c>
      <c r="E53" s="388" t="s">
        <v>2</v>
      </c>
      <c r="F53" s="389">
        <v>2.9319999999999999</v>
      </c>
      <c r="G53" s="390">
        <v>213</v>
      </c>
      <c r="H53" s="390">
        <v>213</v>
      </c>
      <c r="I53" s="390">
        <v>1</v>
      </c>
      <c r="J53" s="391">
        <v>212</v>
      </c>
      <c r="K53" s="392">
        <f t="shared" si="0"/>
        <v>0</v>
      </c>
      <c r="L53" s="390">
        <f t="shared" si="1"/>
        <v>621.58399999999995</v>
      </c>
      <c r="M53" s="390">
        <f t="shared" si="2"/>
        <v>624.51599999999996</v>
      </c>
      <c r="N53" s="393">
        <f t="shared" si="3"/>
        <v>624.51599999999996</v>
      </c>
      <c r="O53" s="87"/>
    </row>
    <row r="54" spans="1:15" ht="12.75" customHeight="1">
      <c r="A54" s="52" t="s">
        <v>61</v>
      </c>
      <c r="B54" s="385" t="s">
        <v>62</v>
      </c>
      <c r="C54" s="386"/>
      <c r="D54" s="394">
        <v>14</v>
      </c>
      <c r="E54" s="388" t="s">
        <v>7</v>
      </c>
      <c r="F54" s="389">
        <v>1.75</v>
      </c>
      <c r="G54" s="390">
        <v>180</v>
      </c>
      <c r="H54" s="390">
        <v>116</v>
      </c>
      <c r="I54" s="390">
        <v>0</v>
      </c>
      <c r="J54" s="391">
        <v>0</v>
      </c>
      <c r="K54" s="392">
        <f t="shared" si="0"/>
        <v>116</v>
      </c>
      <c r="L54" s="390">
        <f t="shared" si="1"/>
        <v>0</v>
      </c>
      <c r="M54" s="390">
        <f t="shared" si="2"/>
        <v>203</v>
      </c>
      <c r="N54" s="393">
        <f t="shared" si="3"/>
        <v>315</v>
      </c>
      <c r="O54" s="87"/>
    </row>
    <row r="55" spans="1:15" ht="12.75" customHeight="1">
      <c r="A55" s="52" t="s">
        <v>63</v>
      </c>
      <c r="B55" s="152" t="s">
        <v>64</v>
      </c>
      <c r="C55" s="124"/>
      <c r="D55" s="125">
        <v>15</v>
      </c>
      <c r="E55" s="153" t="s">
        <v>2</v>
      </c>
      <c r="F55" s="341">
        <v>2.9319999999999999</v>
      </c>
      <c r="G55" s="76">
        <v>241</v>
      </c>
      <c r="H55" s="76">
        <v>241</v>
      </c>
      <c r="I55" s="76">
        <v>0</v>
      </c>
      <c r="J55" s="74">
        <v>241</v>
      </c>
      <c r="K55" s="75">
        <f t="shared" si="0"/>
        <v>0</v>
      </c>
      <c r="L55" s="76">
        <f t="shared" si="1"/>
        <v>706.61199999999997</v>
      </c>
      <c r="M55" s="76">
        <f t="shared" si="2"/>
        <v>706.61199999999997</v>
      </c>
      <c r="N55" s="77">
        <f t="shared" si="3"/>
        <v>706.61199999999997</v>
      </c>
      <c r="O55" s="87"/>
    </row>
    <row r="56" spans="1:15" ht="12.75" customHeight="1">
      <c r="A56" s="52" t="s">
        <v>68</v>
      </c>
      <c r="B56" s="163" t="s">
        <v>69</v>
      </c>
      <c r="C56" s="164"/>
      <c r="D56" s="111">
        <v>19</v>
      </c>
      <c r="E56" s="112" t="s">
        <v>2</v>
      </c>
      <c r="F56" s="347">
        <v>2.9319999999999999</v>
      </c>
      <c r="G56" s="116">
        <v>365</v>
      </c>
      <c r="H56" s="116">
        <v>364</v>
      </c>
      <c r="I56" s="115">
        <f>1+(1-0)+(0-1)+(2-0)+(2-0)+(0-1)+(1-0)</f>
        <v>5</v>
      </c>
      <c r="J56" s="116">
        <f>355+0+1+0+0+1+0</f>
        <v>357</v>
      </c>
      <c r="K56" s="117">
        <f t="shared" si="0"/>
        <v>2</v>
      </c>
      <c r="L56" s="115">
        <f t="shared" si="1"/>
        <v>1046.7239999999999</v>
      </c>
      <c r="M56" s="115">
        <f t="shared" si="2"/>
        <v>1067.248</v>
      </c>
      <c r="N56" s="118">
        <f t="shared" si="3"/>
        <v>1070.18</v>
      </c>
      <c r="O56" s="87"/>
    </row>
    <row r="57" spans="1:15" ht="12.75" customHeight="1">
      <c r="A57" s="52" t="s">
        <v>70</v>
      </c>
      <c r="B57" s="165" t="s">
        <v>71</v>
      </c>
      <c r="C57" s="166"/>
      <c r="D57" s="144">
        <v>20</v>
      </c>
      <c r="E57" s="167" t="s">
        <v>2</v>
      </c>
      <c r="F57" s="348">
        <v>2.9319999999999999</v>
      </c>
      <c r="G57" s="147">
        <v>181</v>
      </c>
      <c r="H57" s="147">
        <v>181</v>
      </c>
      <c r="I57" s="147">
        <v>0</v>
      </c>
      <c r="J57" s="147">
        <v>181</v>
      </c>
      <c r="K57" s="148">
        <f t="shared" si="0"/>
        <v>0</v>
      </c>
      <c r="L57" s="146">
        <f t="shared" si="1"/>
        <v>530.69200000000001</v>
      </c>
      <c r="M57" s="147">
        <f t="shared" si="2"/>
        <v>530.69200000000001</v>
      </c>
      <c r="N57" s="149">
        <f t="shared" si="3"/>
        <v>530.69200000000001</v>
      </c>
      <c r="O57" s="78"/>
    </row>
    <row r="58" spans="1:15" ht="12.75" customHeight="1">
      <c r="A58" s="52" t="s">
        <v>72</v>
      </c>
      <c r="B58" s="165" t="s">
        <v>71</v>
      </c>
      <c r="C58" s="168"/>
      <c r="D58" s="144">
        <v>20</v>
      </c>
      <c r="E58" s="167" t="s">
        <v>4</v>
      </c>
      <c r="F58" s="348">
        <v>2.5</v>
      </c>
      <c r="G58" s="147">
        <v>88</v>
      </c>
      <c r="H58" s="147">
        <v>88</v>
      </c>
      <c r="I58" s="147">
        <v>0</v>
      </c>
      <c r="J58" s="147">
        <v>88</v>
      </c>
      <c r="K58" s="148">
        <f t="shared" si="0"/>
        <v>0</v>
      </c>
      <c r="L58" s="146">
        <f t="shared" si="1"/>
        <v>220</v>
      </c>
      <c r="M58" s="147">
        <f t="shared" si="2"/>
        <v>220</v>
      </c>
      <c r="N58" s="149">
        <f t="shared" si="3"/>
        <v>220</v>
      </c>
      <c r="O58" s="78"/>
    </row>
    <row r="59" spans="1:15" ht="12.75" customHeight="1">
      <c r="A59" s="52" t="s">
        <v>73</v>
      </c>
      <c r="B59" s="169" t="s">
        <v>74</v>
      </c>
      <c r="C59" s="143"/>
      <c r="D59" s="144">
        <v>20</v>
      </c>
      <c r="E59" s="167" t="s">
        <v>3</v>
      </c>
      <c r="F59" s="348">
        <v>1.91</v>
      </c>
      <c r="G59" s="147">
        <v>68</v>
      </c>
      <c r="H59" s="147">
        <v>70</v>
      </c>
      <c r="I59" s="147">
        <f>0+0+0+70</f>
        <v>70</v>
      </c>
      <c r="J59" s="147">
        <f>0+0+0+0</f>
        <v>0</v>
      </c>
      <c r="K59" s="148">
        <f t="shared" si="0"/>
        <v>0</v>
      </c>
      <c r="L59" s="146">
        <f t="shared" si="1"/>
        <v>0</v>
      </c>
      <c r="M59" s="147">
        <f t="shared" si="2"/>
        <v>133.69999999999999</v>
      </c>
      <c r="N59" s="149">
        <f t="shared" si="3"/>
        <v>129.88</v>
      </c>
      <c r="O59" s="78"/>
    </row>
    <row r="60" spans="1:15" ht="12.75" customHeight="1">
      <c r="A60" s="52" t="s">
        <v>75</v>
      </c>
      <c r="B60" s="169" t="s">
        <v>74</v>
      </c>
      <c r="C60" s="170"/>
      <c r="D60" s="144">
        <v>20</v>
      </c>
      <c r="E60" s="167" t="s">
        <v>76</v>
      </c>
      <c r="F60" s="348">
        <v>1.75</v>
      </c>
      <c r="G60" s="147">
        <v>18</v>
      </c>
      <c r="H60" s="147">
        <v>20</v>
      </c>
      <c r="I60" s="147">
        <f>0+0+0+0+20</f>
        <v>20</v>
      </c>
      <c r="J60" s="147">
        <f>0+0+0+0+0</f>
        <v>0</v>
      </c>
      <c r="K60" s="148">
        <f t="shared" si="0"/>
        <v>0</v>
      </c>
      <c r="L60" s="146">
        <f t="shared" si="1"/>
        <v>0</v>
      </c>
      <c r="M60" s="147">
        <f t="shared" si="2"/>
        <v>35</v>
      </c>
      <c r="N60" s="149">
        <f t="shared" si="3"/>
        <v>31.5</v>
      </c>
      <c r="O60" s="78"/>
    </row>
    <row r="61" spans="1:15" ht="12.75" customHeight="1">
      <c r="A61" s="52" t="s">
        <v>77</v>
      </c>
      <c r="B61" s="395" t="s">
        <v>78</v>
      </c>
      <c r="C61" s="396"/>
      <c r="D61" s="394">
        <v>21</v>
      </c>
      <c r="E61" s="397" t="s">
        <v>2</v>
      </c>
      <c r="F61" s="389">
        <v>2.9319999999999999</v>
      </c>
      <c r="G61" s="390">
        <v>26</v>
      </c>
      <c r="H61" s="390">
        <v>26</v>
      </c>
      <c r="I61" s="390">
        <v>0</v>
      </c>
      <c r="J61" s="391">
        <v>26</v>
      </c>
      <c r="K61" s="392">
        <f t="shared" si="0"/>
        <v>0</v>
      </c>
      <c r="L61" s="390">
        <f t="shared" si="1"/>
        <v>76.231999999999999</v>
      </c>
      <c r="M61" s="390">
        <f t="shared" si="2"/>
        <v>76.231999999999999</v>
      </c>
      <c r="N61" s="393">
        <f t="shared" si="3"/>
        <v>76.231999999999999</v>
      </c>
      <c r="O61" s="87"/>
    </row>
    <row r="62" spans="1:15" ht="12.75" customHeight="1">
      <c r="A62" s="52"/>
      <c r="B62" s="425" t="s">
        <v>233</v>
      </c>
      <c r="C62" s="54"/>
      <c r="D62" s="65">
        <v>79</v>
      </c>
      <c r="E62" s="120" t="s">
        <v>3</v>
      </c>
      <c r="F62" s="346">
        <v>1.91</v>
      </c>
      <c r="G62" s="67"/>
      <c r="H62" s="67"/>
      <c r="I62" s="67"/>
      <c r="J62" s="121"/>
      <c r="K62" s="60"/>
      <c r="L62" s="67"/>
      <c r="M62" s="67"/>
      <c r="N62" s="68">
        <f t="shared" si="3"/>
        <v>0</v>
      </c>
      <c r="O62" s="87"/>
    </row>
    <row r="63" spans="1:15" ht="12.75" customHeight="1">
      <c r="A63" s="52" t="s">
        <v>79</v>
      </c>
      <c r="B63" s="171" t="s">
        <v>80</v>
      </c>
      <c r="C63" s="172"/>
      <c r="D63" s="125">
        <v>22</v>
      </c>
      <c r="E63" s="153" t="s">
        <v>2</v>
      </c>
      <c r="F63" s="341">
        <v>2.9319999999999999</v>
      </c>
      <c r="G63" s="76">
        <v>7</v>
      </c>
      <c r="H63" s="76">
        <v>7</v>
      </c>
      <c r="I63" s="76">
        <v>0</v>
      </c>
      <c r="J63" s="74">
        <v>7</v>
      </c>
      <c r="K63" s="75">
        <f t="shared" si="0"/>
        <v>0</v>
      </c>
      <c r="L63" s="76">
        <f t="shared" si="1"/>
        <v>20.524000000000001</v>
      </c>
      <c r="M63" s="76">
        <f t="shared" si="2"/>
        <v>20.524000000000001</v>
      </c>
      <c r="N63" s="77">
        <f t="shared" si="3"/>
        <v>20.524000000000001</v>
      </c>
      <c r="O63" s="87"/>
    </row>
    <row r="64" spans="1:15" ht="12.75" customHeight="1">
      <c r="A64" s="52" t="s">
        <v>81</v>
      </c>
      <c r="B64" s="173" t="s">
        <v>82</v>
      </c>
      <c r="C64" s="174"/>
      <c r="D64" s="175">
        <v>23</v>
      </c>
      <c r="E64" s="176" t="s">
        <v>4</v>
      </c>
      <c r="F64" s="342">
        <v>2.5</v>
      </c>
      <c r="G64" s="177">
        <v>14</v>
      </c>
      <c r="H64" s="177">
        <v>14</v>
      </c>
      <c r="I64" s="177">
        <v>0</v>
      </c>
      <c r="J64" s="84">
        <v>14</v>
      </c>
      <c r="K64" s="85">
        <f t="shared" si="0"/>
        <v>0</v>
      </c>
      <c r="L64" s="83">
        <f t="shared" si="1"/>
        <v>35</v>
      </c>
      <c r="M64" s="178">
        <f t="shared" si="2"/>
        <v>35</v>
      </c>
      <c r="N64" s="86">
        <f t="shared" si="3"/>
        <v>35</v>
      </c>
      <c r="O64" s="141"/>
    </row>
    <row r="65" spans="1:15" ht="12.75" customHeight="1">
      <c r="A65" s="52" t="s">
        <v>83</v>
      </c>
      <c r="B65" s="179" t="s">
        <v>84</v>
      </c>
      <c r="C65" s="89"/>
      <c r="D65" s="90">
        <v>24</v>
      </c>
      <c r="E65" s="180" t="s">
        <v>4</v>
      </c>
      <c r="F65" s="343">
        <v>2.5</v>
      </c>
      <c r="G65" s="93">
        <v>28</v>
      </c>
      <c r="H65" s="93">
        <v>28</v>
      </c>
      <c r="I65" s="93">
        <v>0</v>
      </c>
      <c r="J65" s="94">
        <v>28</v>
      </c>
      <c r="K65" s="95">
        <f t="shared" si="0"/>
        <v>0</v>
      </c>
      <c r="L65" s="93">
        <f t="shared" si="1"/>
        <v>70</v>
      </c>
      <c r="M65" s="93">
        <f t="shared" si="2"/>
        <v>70</v>
      </c>
      <c r="N65" s="96">
        <f t="shared" si="3"/>
        <v>70</v>
      </c>
      <c r="O65" s="87"/>
    </row>
    <row r="66" spans="1:15" ht="12.75" customHeight="1">
      <c r="A66" s="52" t="s">
        <v>85</v>
      </c>
      <c r="B66" s="179" t="s">
        <v>86</v>
      </c>
      <c r="C66" s="131"/>
      <c r="D66" s="90">
        <v>24</v>
      </c>
      <c r="E66" s="180" t="s">
        <v>5</v>
      </c>
      <c r="F66" s="343">
        <v>1.91</v>
      </c>
      <c r="G66" s="93">
        <v>22</v>
      </c>
      <c r="H66" s="93">
        <v>22</v>
      </c>
      <c r="I66" s="93">
        <v>0</v>
      </c>
      <c r="J66" s="94">
        <v>22</v>
      </c>
      <c r="K66" s="95">
        <f t="shared" si="0"/>
        <v>0</v>
      </c>
      <c r="L66" s="93">
        <f t="shared" si="1"/>
        <v>42.019999999999996</v>
      </c>
      <c r="M66" s="93">
        <f t="shared" si="2"/>
        <v>42.019999999999996</v>
      </c>
      <c r="N66" s="96">
        <f t="shared" si="3"/>
        <v>42.019999999999996</v>
      </c>
      <c r="O66" s="87"/>
    </row>
    <row r="67" spans="1:15" ht="12.75" customHeight="1">
      <c r="A67" s="52" t="s">
        <v>87</v>
      </c>
      <c r="B67" s="181" t="s">
        <v>88</v>
      </c>
      <c r="C67" s="182"/>
      <c r="D67" s="101">
        <v>25</v>
      </c>
      <c r="E67" s="103" t="s">
        <v>6</v>
      </c>
      <c r="F67" s="344">
        <v>2.9319999999999999</v>
      </c>
      <c r="G67" s="105">
        <v>593</v>
      </c>
      <c r="H67" s="105">
        <v>593</v>
      </c>
      <c r="I67" s="105">
        <v>0</v>
      </c>
      <c r="J67" s="106">
        <v>593</v>
      </c>
      <c r="K67" s="107">
        <f t="shared" si="0"/>
        <v>0</v>
      </c>
      <c r="L67" s="105">
        <f t="shared" si="1"/>
        <v>1738.6759999999999</v>
      </c>
      <c r="M67" s="105">
        <f t="shared" si="2"/>
        <v>1738.6759999999999</v>
      </c>
      <c r="N67" s="108">
        <f t="shared" si="3"/>
        <v>1738.6759999999999</v>
      </c>
      <c r="O67" s="87"/>
    </row>
    <row r="68" spans="1:15" ht="12.75" customHeight="1">
      <c r="A68" s="52" t="s">
        <v>89</v>
      </c>
      <c r="B68" s="163" t="s">
        <v>90</v>
      </c>
      <c r="C68" s="183"/>
      <c r="D68" s="111">
        <v>26</v>
      </c>
      <c r="E68" s="184" t="s">
        <v>7</v>
      </c>
      <c r="F68" s="351">
        <v>1.75</v>
      </c>
      <c r="G68" s="115">
        <v>300</v>
      </c>
      <c r="H68" s="115">
        <v>293</v>
      </c>
      <c r="I68" s="115">
        <v>0</v>
      </c>
      <c r="J68" s="116">
        <v>293</v>
      </c>
      <c r="K68" s="117">
        <f t="shared" si="0"/>
        <v>0</v>
      </c>
      <c r="L68" s="115">
        <f t="shared" si="1"/>
        <v>512.75</v>
      </c>
      <c r="M68" s="115">
        <f t="shared" si="2"/>
        <v>512.75</v>
      </c>
      <c r="N68" s="118">
        <v>562</v>
      </c>
      <c r="O68" s="87"/>
    </row>
    <row r="69" spans="1:15" ht="12.75" customHeight="1">
      <c r="A69" s="52" t="s">
        <v>91</v>
      </c>
      <c r="B69" s="185" t="s">
        <v>92</v>
      </c>
      <c r="C69" s="186"/>
      <c r="D69" s="144">
        <v>27</v>
      </c>
      <c r="E69" s="187" t="s">
        <v>2</v>
      </c>
      <c r="F69" s="193">
        <v>1.75</v>
      </c>
      <c r="G69" s="188">
        <v>432</v>
      </c>
      <c r="H69" s="146">
        <v>432</v>
      </c>
      <c r="I69" s="146">
        <v>0</v>
      </c>
      <c r="J69" s="147">
        <v>0</v>
      </c>
      <c r="K69" s="148">
        <f t="shared" si="0"/>
        <v>432</v>
      </c>
      <c r="L69" s="146">
        <f t="shared" si="1"/>
        <v>0</v>
      </c>
      <c r="M69" s="146">
        <f t="shared" si="2"/>
        <v>756</v>
      </c>
      <c r="N69" s="149">
        <f t="shared" si="3"/>
        <v>756</v>
      </c>
      <c r="O69" s="87"/>
    </row>
    <row r="70" spans="1:15" ht="12.75" customHeight="1">
      <c r="A70" s="52" t="s">
        <v>93</v>
      </c>
      <c r="B70" s="185" t="s">
        <v>92</v>
      </c>
      <c r="C70" s="186"/>
      <c r="D70" s="189">
        <v>27</v>
      </c>
      <c r="E70" s="190" t="s">
        <v>3</v>
      </c>
      <c r="F70" s="193">
        <v>1.75</v>
      </c>
      <c r="G70" s="188">
        <v>264</v>
      </c>
      <c r="H70" s="146">
        <v>0</v>
      </c>
      <c r="I70" s="146">
        <v>0</v>
      </c>
      <c r="J70" s="147">
        <v>0</v>
      </c>
      <c r="K70" s="148">
        <f t="shared" si="0"/>
        <v>0</v>
      </c>
      <c r="L70" s="146">
        <f t="shared" si="1"/>
        <v>0</v>
      </c>
      <c r="M70" s="146">
        <f t="shared" si="2"/>
        <v>0</v>
      </c>
      <c r="N70" s="149">
        <f t="shared" si="3"/>
        <v>462</v>
      </c>
      <c r="O70" s="87"/>
    </row>
    <row r="71" spans="1:15" ht="12.75" customHeight="1">
      <c r="A71" s="52" t="s">
        <v>94</v>
      </c>
      <c r="B71" s="185" t="s">
        <v>92</v>
      </c>
      <c r="C71" s="191"/>
      <c r="D71" s="189">
        <v>27</v>
      </c>
      <c r="E71" s="190" t="s">
        <v>5</v>
      </c>
      <c r="F71" s="193">
        <v>1.75</v>
      </c>
      <c r="G71" s="188">
        <v>165</v>
      </c>
      <c r="H71" s="146">
        <v>0</v>
      </c>
      <c r="I71" s="146">
        <v>0</v>
      </c>
      <c r="J71" s="147">
        <v>0</v>
      </c>
      <c r="K71" s="148">
        <f t="shared" si="0"/>
        <v>0</v>
      </c>
      <c r="L71" s="146">
        <f t="shared" si="1"/>
        <v>0</v>
      </c>
      <c r="M71" s="146">
        <f t="shared" si="2"/>
        <v>0</v>
      </c>
      <c r="N71" s="149">
        <f t="shared" si="3"/>
        <v>288.75</v>
      </c>
      <c r="O71" s="87"/>
    </row>
    <row r="72" spans="1:15" ht="12.75" customHeight="1">
      <c r="A72" s="52" t="s">
        <v>95</v>
      </c>
      <c r="B72" s="185" t="s">
        <v>92</v>
      </c>
      <c r="C72" s="192"/>
      <c r="D72" s="189">
        <v>27</v>
      </c>
      <c r="E72" s="190" t="s">
        <v>7</v>
      </c>
      <c r="F72" s="193">
        <v>1.75</v>
      </c>
      <c r="G72" s="146">
        <v>0</v>
      </c>
      <c r="H72" s="146">
        <v>0</v>
      </c>
      <c r="I72" s="146">
        <v>0</v>
      </c>
      <c r="J72" s="147">
        <v>0</v>
      </c>
      <c r="K72" s="148">
        <f t="shared" si="0"/>
        <v>0</v>
      </c>
      <c r="L72" s="146">
        <f t="shared" si="1"/>
        <v>0</v>
      </c>
      <c r="M72" s="146">
        <f t="shared" si="2"/>
        <v>0</v>
      </c>
      <c r="N72" s="149">
        <v>96</v>
      </c>
      <c r="O72" s="87"/>
    </row>
    <row r="73" spans="1:15" ht="12.75" customHeight="1">
      <c r="A73" s="52" t="s">
        <v>96</v>
      </c>
      <c r="B73" s="150" t="s">
        <v>97</v>
      </c>
      <c r="C73" s="194"/>
      <c r="D73" s="65">
        <v>28</v>
      </c>
      <c r="E73" s="195" t="s">
        <v>2</v>
      </c>
      <c r="F73" s="352">
        <v>2.9319999999999999</v>
      </c>
      <c r="G73" s="67">
        <v>32</v>
      </c>
      <c r="H73" s="67">
        <v>32</v>
      </c>
      <c r="I73" s="67">
        <f>1+0+(0-0)+(0-1)+(1-0)+0+(1-0)</f>
        <v>2</v>
      </c>
      <c r="J73" s="121">
        <f>10+0+1+0+0+0+0</f>
        <v>11</v>
      </c>
      <c r="K73" s="60">
        <f t="shared" si="0"/>
        <v>19</v>
      </c>
      <c r="L73" s="67">
        <f t="shared" si="1"/>
        <v>32.252000000000002</v>
      </c>
      <c r="M73" s="196">
        <f t="shared" si="2"/>
        <v>93.823999999999998</v>
      </c>
      <c r="N73" s="68">
        <f t="shared" si="3"/>
        <v>93.823999999999998</v>
      </c>
      <c r="O73" s="87"/>
    </row>
    <row r="74" spans="1:15" ht="12.75" customHeight="1">
      <c r="A74" s="52" t="s">
        <v>98</v>
      </c>
      <c r="B74" s="197" t="s">
        <v>99</v>
      </c>
      <c r="C74" s="172"/>
      <c r="D74" s="125">
        <v>29</v>
      </c>
      <c r="E74" s="198" t="s">
        <v>2</v>
      </c>
      <c r="F74" s="353">
        <v>2.9319999999999999</v>
      </c>
      <c r="G74" s="199">
        <v>528</v>
      </c>
      <c r="H74" s="199">
        <v>502</v>
      </c>
      <c r="I74" s="199">
        <v>0</v>
      </c>
      <c r="J74" s="74">
        <v>502</v>
      </c>
      <c r="K74" s="75">
        <f t="shared" si="0"/>
        <v>0</v>
      </c>
      <c r="L74" s="76">
        <f t="shared" si="1"/>
        <v>1471.864</v>
      </c>
      <c r="M74" s="199">
        <f t="shared" si="2"/>
        <v>1471.864</v>
      </c>
      <c r="N74" s="77">
        <f t="shared" si="3"/>
        <v>1548.096</v>
      </c>
      <c r="O74" s="141"/>
    </row>
    <row r="75" spans="1:15" ht="12.75" customHeight="1">
      <c r="A75" s="52" t="s">
        <v>100</v>
      </c>
      <c r="B75" s="123" t="s">
        <v>99</v>
      </c>
      <c r="C75" s="124"/>
      <c r="D75" s="125">
        <v>29</v>
      </c>
      <c r="E75" s="198" t="s">
        <v>5</v>
      </c>
      <c r="F75" s="354">
        <v>1.91</v>
      </c>
      <c r="G75" s="199">
        <v>47</v>
      </c>
      <c r="H75" s="199">
        <v>47</v>
      </c>
      <c r="I75" s="199">
        <v>0</v>
      </c>
      <c r="J75" s="74">
        <v>47</v>
      </c>
      <c r="K75" s="75">
        <f t="shared" si="0"/>
        <v>0</v>
      </c>
      <c r="L75" s="76">
        <f t="shared" si="1"/>
        <v>89.77</v>
      </c>
      <c r="M75" s="199">
        <f t="shared" si="2"/>
        <v>89.77</v>
      </c>
      <c r="N75" s="77">
        <f t="shared" si="3"/>
        <v>89.77</v>
      </c>
      <c r="O75" s="141"/>
    </row>
    <row r="76" spans="1:15" ht="12.75" customHeight="1">
      <c r="A76" s="52"/>
      <c r="B76" s="218" t="s">
        <v>225</v>
      </c>
      <c r="C76" s="423"/>
      <c r="D76" s="208">
        <v>74</v>
      </c>
      <c r="E76" s="209" t="s">
        <v>3</v>
      </c>
      <c r="F76" s="356">
        <v>1.91</v>
      </c>
      <c r="G76" s="239">
        <v>330</v>
      </c>
      <c r="H76" s="239">
        <v>297</v>
      </c>
      <c r="I76" s="239">
        <f>0+(244-0)+0+0+53</f>
        <v>297</v>
      </c>
      <c r="J76" s="94">
        <f>0+0+0+0+0</f>
        <v>0</v>
      </c>
      <c r="K76" s="95">
        <f t="shared" si="0"/>
        <v>0</v>
      </c>
      <c r="L76" s="93">
        <f t="shared" si="1"/>
        <v>0</v>
      </c>
      <c r="M76" s="93">
        <f t="shared" si="2"/>
        <v>567.27</v>
      </c>
      <c r="N76" s="96">
        <f t="shared" si="3"/>
        <v>630.29999999999995</v>
      </c>
      <c r="O76" s="141"/>
    </row>
    <row r="77" spans="1:15" ht="12.75" customHeight="1">
      <c r="A77" s="52"/>
      <c r="B77" s="218" t="s">
        <v>225</v>
      </c>
      <c r="C77" s="423"/>
      <c r="D77" s="208">
        <v>74</v>
      </c>
      <c r="E77" s="209" t="s">
        <v>7</v>
      </c>
      <c r="F77" s="356">
        <v>1.75</v>
      </c>
      <c r="G77" s="239">
        <v>186</v>
      </c>
      <c r="H77" s="239">
        <v>0</v>
      </c>
      <c r="I77" s="239">
        <v>0</v>
      </c>
      <c r="J77" s="94">
        <v>0</v>
      </c>
      <c r="K77" s="95">
        <f t="shared" si="0"/>
        <v>0</v>
      </c>
      <c r="L77" s="93">
        <f t="shared" si="1"/>
        <v>0</v>
      </c>
      <c r="M77" s="93">
        <f t="shared" si="2"/>
        <v>0</v>
      </c>
      <c r="N77" s="96">
        <f t="shared" si="3"/>
        <v>325.5</v>
      </c>
      <c r="O77" s="141"/>
    </row>
    <row r="78" spans="1:15" ht="12.75" customHeight="1">
      <c r="A78" s="52" t="s">
        <v>101</v>
      </c>
      <c r="B78" s="200" t="s">
        <v>102</v>
      </c>
      <c r="C78" s="201"/>
      <c r="D78" s="202">
        <v>30</v>
      </c>
      <c r="E78" s="203" t="s">
        <v>3</v>
      </c>
      <c r="F78" s="355">
        <v>1.91</v>
      </c>
      <c r="G78" s="178">
        <v>500</v>
      </c>
      <c r="H78" s="178">
        <v>0</v>
      </c>
      <c r="I78" s="178">
        <v>0</v>
      </c>
      <c r="J78" s="84">
        <v>0</v>
      </c>
      <c r="K78" s="85">
        <f t="shared" si="0"/>
        <v>0</v>
      </c>
      <c r="L78" s="83">
        <f t="shared" si="1"/>
        <v>0</v>
      </c>
      <c r="M78" s="178">
        <f t="shared" si="2"/>
        <v>0</v>
      </c>
      <c r="N78" s="86">
        <f t="shared" si="3"/>
        <v>955</v>
      </c>
      <c r="O78" s="141"/>
    </row>
    <row r="79" spans="1:15" ht="12.75" customHeight="1">
      <c r="A79" s="52" t="s">
        <v>103</v>
      </c>
      <c r="B79" s="204" t="s">
        <v>102</v>
      </c>
      <c r="C79" s="205"/>
      <c r="D79" s="202">
        <v>30</v>
      </c>
      <c r="E79" s="203" t="s">
        <v>4</v>
      </c>
      <c r="F79" s="355">
        <v>2.5</v>
      </c>
      <c r="G79" s="178">
        <v>300</v>
      </c>
      <c r="H79" s="178">
        <v>0</v>
      </c>
      <c r="I79" s="178">
        <v>0</v>
      </c>
      <c r="J79" s="84">
        <v>0</v>
      </c>
      <c r="K79" s="85">
        <f t="shared" si="0"/>
        <v>0</v>
      </c>
      <c r="L79" s="83">
        <f t="shared" si="1"/>
        <v>0</v>
      </c>
      <c r="M79" s="178">
        <f t="shared" si="2"/>
        <v>0</v>
      </c>
      <c r="N79" s="86">
        <f t="shared" si="3"/>
        <v>750</v>
      </c>
      <c r="O79" s="141"/>
    </row>
    <row r="80" spans="1:15" ht="12.75" customHeight="1">
      <c r="A80" s="52" t="s">
        <v>104</v>
      </c>
      <c r="B80" s="206" t="s">
        <v>105</v>
      </c>
      <c r="C80" s="207"/>
      <c r="D80" s="208">
        <v>31</v>
      </c>
      <c r="E80" s="209" t="s">
        <v>2</v>
      </c>
      <c r="F80" s="356">
        <v>2.9319999999999999</v>
      </c>
      <c r="G80" s="93">
        <v>497</v>
      </c>
      <c r="H80" s="93">
        <v>405</v>
      </c>
      <c r="I80" s="93">
        <v>0</v>
      </c>
      <c r="J80" s="94">
        <v>405</v>
      </c>
      <c r="K80" s="95">
        <f t="shared" si="0"/>
        <v>0</v>
      </c>
      <c r="L80" s="93">
        <f t="shared" ref="L80:L148" si="4">F80*J80</f>
        <v>1187.46</v>
      </c>
      <c r="M80" s="93">
        <f t="shared" si="2"/>
        <v>1187.46</v>
      </c>
      <c r="N80" s="96">
        <f t="shared" si="3"/>
        <v>1457.204</v>
      </c>
      <c r="O80" s="87"/>
    </row>
    <row r="81" spans="1:15" ht="12.75" customHeight="1">
      <c r="A81" s="52" t="s">
        <v>106</v>
      </c>
      <c r="B81" s="206" t="s">
        <v>105</v>
      </c>
      <c r="C81" s="131"/>
      <c r="D81" s="90">
        <v>31</v>
      </c>
      <c r="E81" s="209" t="s">
        <v>7</v>
      </c>
      <c r="F81" s="356">
        <v>1.75</v>
      </c>
      <c r="G81" s="93">
        <v>100</v>
      </c>
      <c r="H81" s="93">
        <v>100</v>
      </c>
      <c r="I81" s="93">
        <v>0</v>
      </c>
      <c r="J81" s="94">
        <v>100</v>
      </c>
      <c r="K81" s="95">
        <f t="shared" si="0"/>
        <v>0</v>
      </c>
      <c r="L81" s="93">
        <f t="shared" si="4"/>
        <v>175</v>
      </c>
      <c r="M81" s="93">
        <f t="shared" si="2"/>
        <v>175</v>
      </c>
      <c r="N81" s="96">
        <f t="shared" si="3"/>
        <v>175</v>
      </c>
      <c r="O81" s="87"/>
    </row>
    <row r="82" spans="1:15" ht="12.75" customHeight="1">
      <c r="A82" s="52" t="s">
        <v>107</v>
      </c>
      <c r="B82" s="206" t="s">
        <v>105</v>
      </c>
      <c r="C82" s="131"/>
      <c r="D82" s="90">
        <v>31</v>
      </c>
      <c r="E82" s="209" t="s">
        <v>7</v>
      </c>
      <c r="F82" s="356">
        <v>1.75</v>
      </c>
      <c r="G82" s="93">
        <v>50</v>
      </c>
      <c r="H82" s="93">
        <v>50</v>
      </c>
      <c r="I82" s="93">
        <v>0</v>
      </c>
      <c r="J82" s="94">
        <v>50</v>
      </c>
      <c r="K82" s="95">
        <f t="shared" si="0"/>
        <v>0</v>
      </c>
      <c r="L82" s="93">
        <f t="shared" si="4"/>
        <v>87.5</v>
      </c>
      <c r="M82" s="93">
        <f t="shared" si="2"/>
        <v>87.5</v>
      </c>
      <c r="N82" s="96">
        <f t="shared" si="3"/>
        <v>87.5</v>
      </c>
      <c r="O82" s="87"/>
    </row>
    <row r="83" spans="1:15" ht="12.75" customHeight="1">
      <c r="A83" s="52" t="s">
        <v>108</v>
      </c>
      <c r="B83" s="210" t="s">
        <v>109</v>
      </c>
      <c r="C83" s="133"/>
      <c r="D83" s="101">
        <v>32</v>
      </c>
      <c r="E83" s="211" t="s">
        <v>3</v>
      </c>
      <c r="F83" s="357">
        <v>1.91</v>
      </c>
      <c r="G83" s="105">
        <v>340</v>
      </c>
      <c r="H83" s="105">
        <v>340</v>
      </c>
      <c r="I83" s="105">
        <v>0</v>
      </c>
      <c r="J83" s="106">
        <v>340</v>
      </c>
      <c r="K83" s="107">
        <f t="shared" si="0"/>
        <v>0</v>
      </c>
      <c r="L83" s="105">
        <f t="shared" si="4"/>
        <v>649.4</v>
      </c>
      <c r="M83" s="105">
        <f t="shared" si="2"/>
        <v>649.4</v>
      </c>
      <c r="N83" s="108">
        <f t="shared" si="3"/>
        <v>649.4</v>
      </c>
      <c r="O83" s="87"/>
    </row>
    <row r="84" spans="1:15" ht="12.75" customHeight="1">
      <c r="A84" s="52" t="s">
        <v>110</v>
      </c>
      <c r="B84" s="212" t="s">
        <v>231</v>
      </c>
      <c r="C84" s="182"/>
      <c r="D84" s="101">
        <v>32</v>
      </c>
      <c r="E84" s="211" t="s">
        <v>3</v>
      </c>
      <c r="F84" s="358">
        <v>1.91</v>
      </c>
      <c r="G84" s="105">
        <v>650</v>
      </c>
      <c r="H84" s="105">
        <v>424</v>
      </c>
      <c r="I84" s="105">
        <f>0+0+0+0+0+0+0+0+0+0+424</f>
        <v>424</v>
      </c>
      <c r="J84" s="106">
        <v>0</v>
      </c>
      <c r="K84" s="107">
        <f t="shared" si="0"/>
        <v>0</v>
      </c>
      <c r="L84" s="105">
        <f t="shared" si="4"/>
        <v>0</v>
      </c>
      <c r="M84" s="105">
        <f t="shared" si="2"/>
        <v>809.83999999999992</v>
      </c>
      <c r="N84" s="108">
        <f t="shared" si="3"/>
        <v>1241.5</v>
      </c>
      <c r="O84" s="87"/>
    </row>
    <row r="85" spans="1:15" ht="12.75" customHeight="1">
      <c r="A85" s="52" t="s">
        <v>111</v>
      </c>
      <c r="B85" s="213" t="s">
        <v>112</v>
      </c>
      <c r="C85" s="214"/>
      <c r="D85" s="326">
        <v>32</v>
      </c>
      <c r="E85" s="327" t="s">
        <v>3</v>
      </c>
      <c r="F85" s="359">
        <v>1.91</v>
      </c>
      <c r="G85" s="328">
        <v>343</v>
      </c>
      <c r="H85" s="328">
        <v>343</v>
      </c>
      <c r="I85" s="329">
        <f>0+0+0+0+343</f>
        <v>343</v>
      </c>
      <c r="J85" s="106">
        <f>0+0+0+0+0</f>
        <v>0</v>
      </c>
      <c r="K85" s="107">
        <f t="shared" si="0"/>
        <v>0</v>
      </c>
      <c r="L85" s="105">
        <f t="shared" si="4"/>
        <v>0</v>
      </c>
      <c r="M85" s="105">
        <f t="shared" si="2"/>
        <v>655.13</v>
      </c>
      <c r="N85" s="108">
        <f t="shared" si="3"/>
        <v>655.13</v>
      </c>
      <c r="O85" s="87"/>
    </row>
    <row r="86" spans="1:15" ht="12.75" customHeight="1">
      <c r="A86" s="52" t="s">
        <v>40</v>
      </c>
      <c r="B86" s="331" t="s">
        <v>226</v>
      </c>
      <c r="C86" s="332"/>
      <c r="D86" s="333">
        <v>72</v>
      </c>
      <c r="E86" s="334" t="s">
        <v>5</v>
      </c>
      <c r="F86" s="360">
        <v>1.91</v>
      </c>
      <c r="G86" s="335">
        <v>780</v>
      </c>
      <c r="H86" s="335"/>
      <c r="I86" s="335"/>
      <c r="J86" s="336"/>
      <c r="K86" s="337">
        <f t="shared" si="0"/>
        <v>0</v>
      </c>
      <c r="L86" s="335">
        <f t="shared" si="4"/>
        <v>0</v>
      </c>
      <c r="M86" s="335">
        <f t="shared" si="2"/>
        <v>0</v>
      </c>
      <c r="N86" s="338">
        <v>500</v>
      </c>
      <c r="O86" s="87"/>
    </row>
    <row r="87" spans="1:15" ht="12.75" customHeight="1">
      <c r="A87" s="52" t="s">
        <v>113</v>
      </c>
      <c r="B87" s="215" t="s">
        <v>114</v>
      </c>
      <c r="C87" s="216"/>
      <c r="D87" s="323">
        <v>33</v>
      </c>
      <c r="E87" s="324" t="s">
        <v>2</v>
      </c>
      <c r="F87" s="361">
        <v>2.9319999999999999</v>
      </c>
      <c r="G87" s="325">
        <v>666</v>
      </c>
      <c r="H87" s="325">
        <v>666</v>
      </c>
      <c r="I87" s="325">
        <v>0</v>
      </c>
      <c r="J87" s="116">
        <v>666</v>
      </c>
      <c r="K87" s="117">
        <f t="shared" si="0"/>
        <v>0</v>
      </c>
      <c r="L87" s="115">
        <f t="shared" si="4"/>
        <v>1952.712</v>
      </c>
      <c r="M87" s="115">
        <f t="shared" si="2"/>
        <v>1952.712</v>
      </c>
      <c r="N87" s="118">
        <f t="shared" si="3"/>
        <v>1952.712</v>
      </c>
      <c r="O87" s="87"/>
    </row>
    <row r="88" spans="1:15" ht="12.75" customHeight="1">
      <c r="A88" s="52" t="s">
        <v>115</v>
      </c>
      <c r="B88" s="215" t="s">
        <v>114</v>
      </c>
      <c r="C88" s="216"/>
      <c r="D88" s="111">
        <v>33</v>
      </c>
      <c r="E88" s="184" t="s">
        <v>3</v>
      </c>
      <c r="F88" s="361">
        <v>1.91</v>
      </c>
      <c r="G88" s="115">
        <v>282</v>
      </c>
      <c r="H88" s="115">
        <v>282</v>
      </c>
      <c r="I88" s="115">
        <v>0</v>
      </c>
      <c r="J88" s="116">
        <v>282</v>
      </c>
      <c r="K88" s="117">
        <f t="shared" si="0"/>
        <v>0</v>
      </c>
      <c r="L88" s="115">
        <f t="shared" si="4"/>
        <v>538.62</v>
      </c>
      <c r="M88" s="115">
        <f t="shared" si="2"/>
        <v>538.62</v>
      </c>
      <c r="N88" s="118">
        <f t="shared" si="3"/>
        <v>538.62</v>
      </c>
      <c r="O88" s="87"/>
    </row>
    <row r="89" spans="1:15" ht="12.75" customHeight="1">
      <c r="A89" s="52" t="s">
        <v>116</v>
      </c>
      <c r="B89" s="215" t="s">
        <v>117</v>
      </c>
      <c r="C89" s="217"/>
      <c r="D89" s="111">
        <v>33</v>
      </c>
      <c r="E89" s="184" t="s">
        <v>5</v>
      </c>
      <c r="F89" s="362">
        <v>1.91</v>
      </c>
      <c r="G89" s="115">
        <v>60</v>
      </c>
      <c r="H89" s="115">
        <v>58</v>
      </c>
      <c r="I89" s="115">
        <v>0</v>
      </c>
      <c r="J89" s="116">
        <v>58</v>
      </c>
      <c r="K89" s="117">
        <f t="shared" si="0"/>
        <v>0</v>
      </c>
      <c r="L89" s="115">
        <f t="shared" si="4"/>
        <v>110.78</v>
      </c>
      <c r="M89" s="115">
        <f t="shared" si="2"/>
        <v>110.78</v>
      </c>
      <c r="N89" s="118">
        <f t="shared" si="3"/>
        <v>114.6</v>
      </c>
      <c r="O89" s="87"/>
    </row>
    <row r="90" spans="1:15" ht="12.75" customHeight="1">
      <c r="A90" s="52" t="s">
        <v>118</v>
      </c>
      <c r="B90" s="218" t="s">
        <v>222</v>
      </c>
      <c r="C90" s="219"/>
      <c r="D90" s="90">
        <v>34</v>
      </c>
      <c r="E90" s="209" t="s">
        <v>2</v>
      </c>
      <c r="F90" s="363">
        <v>2.9319999999999999</v>
      </c>
      <c r="G90" s="93">
        <v>264</v>
      </c>
      <c r="H90" s="93">
        <f>123+69</f>
        <v>192</v>
      </c>
      <c r="I90" s="93">
        <f>10+(2-3)+(3-1)+(9-1)+(3-4)+(1-0)+(1-1)+(3-3)</f>
        <v>19</v>
      </c>
      <c r="J90" s="94">
        <f>8+3+1+1+4+0+1+3</f>
        <v>21</v>
      </c>
      <c r="K90" s="95">
        <f t="shared" si="0"/>
        <v>152</v>
      </c>
      <c r="L90" s="93">
        <f t="shared" si="4"/>
        <v>61.571999999999996</v>
      </c>
      <c r="M90" s="93">
        <f t="shared" si="2"/>
        <v>562.94399999999996</v>
      </c>
      <c r="N90" s="96">
        <v>615</v>
      </c>
      <c r="O90" s="87"/>
    </row>
    <row r="91" spans="1:15" ht="12.75" customHeight="1">
      <c r="A91" s="52" t="s">
        <v>119</v>
      </c>
      <c r="B91" s="218" t="s">
        <v>222</v>
      </c>
      <c r="C91" s="131"/>
      <c r="D91" s="90">
        <v>34</v>
      </c>
      <c r="E91" s="209" t="s">
        <v>4</v>
      </c>
      <c r="F91" s="364">
        <v>2.5</v>
      </c>
      <c r="G91" s="93">
        <v>285</v>
      </c>
      <c r="H91" s="93">
        <v>0</v>
      </c>
      <c r="I91" s="93">
        <v>0</v>
      </c>
      <c r="J91" s="94">
        <v>0</v>
      </c>
      <c r="K91" s="95">
        <f t="shared" si="0"/>
        <v>0</v>
      </c>
      <c r="L91" s="93">
        <f t="shared" si="4"/>
        <v>0</v>
      </c>
      <c r="M91" s="93">
        <f t="shared" si="2"/>
        <v>0</v>
      </c>
      <c r="N91" s="96">
        <f t="shared" si="3"/>
        <v>712.5</v>
      </c>
      <c r="O91" s="87"/>
    </row>
    <row r="92" spans="1:15" ht="12.75" customHeight="1">
      <c r="A92" s="52" t="s">
        <v>120</v>
      </c>
      <c r="B92" s="376" t="s">
        <v>121</v>
      </c>
      <c r="C92" s="398"/>
      <c r="D92" s="378">
        <v>35</v>
      </c>
      <c r="E92" s="399" t="s">
        <v>2</v>
      </c>
      <c r="F92" s="400">
        <v>2.9319999999999999</v>
      </c>
      <c r="G92" s="381">
        <v>7</v>
      </c>
      <c r="H92" s="381">
        <v>7</v>
      </c>
      <c r="I92" s="381">
        <v>0</v>
      </c>
      <c r="J92" s="382">
        <f>6+0+0+0+0+0+0+0+0+1+0+0</f>
        <v>7</v>
      </c>
      <c r="K92" s="383">
        <f t="shared" si="0"/>
        <v>0</v>
      </c>
      <c r="L92" s="381">
        <f t="shared" si="4"/>
        <v>20.524000000000001</v>
      </c>
      <c r="M92" s="381">
        <f t="shared" si="2"/>
        <v>20.524000000000001</v>
      </c>
      <c r="N92" s="384">
        <f t="shared" si="3"/>
        <v>20.524000000000001</v>
      </c>
      <c r="O92" s="87"/>
    </row>
    <row r="93" spans="1:15" ht="12.75" customHeight="1">
      <c r="A93" s="52" t="s">
        <v>122</v>
      </c>
      <c r="B93" s="220" t="s">
        <v>123</v>
      </c>
      <c r="C93" s="124"/>
      <c r="D93" s="125">
        <v>36</v>
      </c>
      <c r="E93" s="125" t="s">
        <v>2</v>
      </c>
      <c r="F93" s="354">
        <v>2.9319999999999999</v>
      </c>
      <c r="G93" s="74">
        <v>487</v>
      </c>
      <c r="H93" s="74">
        <v>458</v>
      </c>
      <c r="I93" s="74">
        <v>0</v>
      </c>
      <c r="J93" s="74">
        <v>458</v>
      </c>
      <c r="K93" s="75">
        <f t="shared" si="0"/>
        <v>0</v>
      </c>
      <c r="L93" s="76">
        <f t="shared" si="4"/>
        <v>1342.856</v>
      </c>
      <c r="M93" s="74">
        <f t="shared" si="2"/>
        <v>1342.856</v>
      </c>
      <c r="N93" s="77">
        <f t="shared" si="3"/>
        <v>1427.884</v>
      </c>
      <c r="O93" s="78"/>
    </row>
    <row r="94" spans="1:15" ht="12.75" customHeight="1">
      <c r="A94" s="52" t="s">
        <v>124</v>
      </c>
      <c r="B94" s="221" t="s">
        <v>123</v>
      </c>
      <c r="C94" s="222"/>
      <c r="D94" s="125">
        <v>36</v>
      </c>
      <c r="E94" s="125" t="s">
        <v>4</v>
      </c>
      <c r="F94" s="365">
        <v>2.5</v>
      </c>
      <c r="G94" s="74">
        <v>232</v>
      </c>
      <c r="H94" s="74">
        <v>212</v>
      </c>
      <c r="I94" s="74">
        <f>3-3</f>
        <v>0</v>
      </c>
      <c r="J94" s="74">
        <f>209+3</f>
        <v>212</v>
      </c>
      <c r="K94" s="75">
        <f t="shared" si="0"/>
        <v>0</v>
      </c>
      <c r="L94" s="76">
        <f t="shared" si="4"/>
        <v>530</v>
      </c>
      <c r="M94" s="74">
        <f t="shared" si="2"/>
        <v>530</v>
      </c>
      <c r="N94" s="77">
        <f t="shared" si="3"/>
        <v>580</v>
      </c>
      <c r="O94" s="78"/>
    </row>
    <row r="95" spans="1:15" ht="12.75" customHeight="1">
      <c r="A95" s="52" t="s">
        <v>125</v>
      </c>
      <c r="B95" s="223" t="s">
        <v>123</v>
      </c>
      <c r="C95" s="172"/>
      <c r="D95" s="125">
        <v>36</v>
      </c>
      <c r="E95" s="125" t="s">
        <v>5</v>
      </c>
      <c r="F95" s="365">
        <v>1.91</v>
      </c>
      <c r="G95" s="74">
        <v>120</v>
      </c>
      <c r="H95" s="74">
        <v>120</v>
      </c>
      <c r="I95" s="74">
        <f>0+0+0+0+0+0+(5-0)</f>
        <v>5</v>
      </c>
      <c r="J95" s="74">
        <f>110+0+0+0+0+5+0</f>
        <v>115</v>
      </c>
      <c r="K95" s="75">
        <f t="shared" si="0"/>
        <v>0</v>
      </c>
      <c r="L95" s="76">
        <f t="shared" si="4"/>
        <v>219.64999999999998</v>
      </c>
      <c r="M95" s="74">
        <f t="shared" si="2"/>
        <v>229.2</v>
      </c>
      <c r="N95" s="77">
        <f t="shared" si="3"/>
        <v>229.2</v>
      </c>
      <c r="O95" s="78"/>
    </row>
    <row r="96" spans="1:15" ht="12.75" customHeight="1">
      <c r="A96" s="52" t="s">
        <v>126</v>
      </c>
      <c r="B96" s="224" t="s">
        <v>227</v>
      </c>
      <c r="C96" s="225"/>
      <c r="D96" s="81">
        <v>37</v>
      </c>
      <c r="E96" s="203" t="s">
        <v>3</v>
      </c>
      <c r="F96" s="342">
        <v>1.91</v>
      </c>
      <c r="G96" s="83">
        <v>920</v>
      </c>
      <c r="H96" s="83">
        <v>920</v>
      </c>
      <c r="I96" s="83">
        <f>0+0+0+0+0+0+0+0+0+0+0+0+220</f>
        <v>220</v>
      </c>
      <c r="J96" s="84">
        <v>500</v>
      </c>
      <c r="K96" s="85">
        <f t="shared" ref="K96:K148" si="5">H96-I96-J96</f>
        <v>200</v>
      </c>
      <c r="L96" s="83">
        <f t="shared" si="4"/>
        <v>955</v>
      </c>
      <c r="M96" s="83">
        <f t="shared" ref="M96:M148" si="6">F96*H96</f>
        <v>1757.1999999999998</v>
      </c>
      <c r="N96" s="86">
        <f t="shared" si="3"/>
        <v>1757.1999999999998</v>
      </c>
      <c r="O96" s="87"/>
    </row>
    <row r="97" spans="1:15" ht="12.75" customHeight="1">
      <c r="A97" s="52" t="s">
        <v>127</v>
      </c>
      <c r="B97" s="226" t="s">
        <v>128</v>
      </c>
      <c r="C97" s="205"/>
      <c r="D97" s="81">
        <v>37</v>
      </c>
      <c r="E97" s="203" t="s">
        <v>7</v>
      </c>
      <c r="F97" s="342">
        <v>1.75</v>
      </c>
      <c r="G97" s="83">
        <v>76</v>
      </c>
      <c r="H97" s="83">
        <v>76</v>
      </c>
      <c r="I97" s="83">
        <v>0</v>
      </c>
      <c r="J97" s="84">
        <v>76</v>
      </c>
      <c r="K97" s="85">
        <f t="shared" si="5"/>
        <v>0</v>
      </c>
      <c r="L97" s="83">
        <f t="shared" si="4"/>
        <v>133</v>
      </c>
      <c r="M97" s="83">
        <f t="shared" si="6"/>
        <v>133</v>
      </c>
      <c r="N97" s="86">
        <f t="shared" si="3"/>
        <v>133</v>
      </c>
      <c r="O97" s="87"/>
    </row>
    <row r="98" spans="1:15" ht="12.75" customHeight="1">
      <c r="A98" s="52" t="s">
        <v>127</v>
      </c>
      <c r="B98" s="226" t="s">
        <v>128</v>
      </c>
      <c r="C98" s="205"/>
      <c r="D98" s="81">
        <v>37</v>
      </c>
      <c r="E98" s="203" t="s">
        <v>5</v>
      </c>
      <c r="F98" s="342">
        <v>1.75</v>
      </c>
      <c r="G98" s="83">
        <v>130</v>
      </c>
      <c r="H98" s="83">
        <v>130</v>
      </c>
      <c r="I98" s="83">
        <v>0</v>
      </c>
      <c r="J98" s="84">
        <v>130</v>
      </c>
      <c r="K98" s="85">
        <f t="shared" si="5"/>
        <v>0</v>
      </c>
      <c r="L98" s="83">
        <f t="shared" si="4"/>
        <v>227.5</v>
      </c>
      <c r="M98" s="83">
        <f t="shared" si="6"/>
        <v>227.5</v>
      </c>
      <c r="N98" s="86">
        <f t="shared" ref="N98:N148" si="7">F98*G98</f>
        <v>227.5</v>
      </c>
      <c r="O98" s="87"/>
    </row>
    <row r="99" spans="1:15" ht="12.75" customHeight="1">
      <c r="A99" s="52" t="s">
        <v>129</v>
      </c>
      <c r="B99" s="226" t="s">
        <v>130</v>
      </c>
      <c r="C99" s="205"/>
      <c r="D99" s="81">
        <v>37</v>
      </c>
      <c r="E99" s="203" t="s">
        <v>5</v>
      </c>
      <c r="F99" s="342">
        <v>1.91</v>
      </c>
      <c r="G99" s="83">
        <v>75</v>
      </c>
      <c r="H99" s="83">
        <v>75</v>
      </c>
      <c r="I99" s="83">
        <v>0</v>
      </c>
      <c r="J99" s="84">
        <v>0</v>
      </c>
      <c r="K99" s="85">
        <f t="shared" si="5"/>
        <v>75</v>
      </c>
      <c r="L99" s="83">
        <f t="shared" si="4"/>
        <v>0</v>
      </c>
      <c r="M99" s="83">
        <f t="shared" si="6"/>
        <v>143.25</v>
      </c>
      <c r="N99" s="86">
        <f t="shared" si="7"/>
        <v>143.25</v>
      </c>
      <c r="O99" s="87"/>
    </row>
    <row r="100" spans="1:15" ht="12.75" customHeight="1">
      <c r="A100" s="52" t="s">
        <v>131</v>
      </c>
      <c r="B100" s="218" t="s">
        <v>132</v>
      </c>
      <c r="C100" s="207"/>
      <c r="D100" s="90">
        <v>38</v>
      </c>
      <c r="E100" s="209" t="s">
        <v>2</v>
      </c>
      <c r="F100" s="343">
        <v>2.9319999999999999</v>
      </c>
      <c r="G100" s="93">
        <v>240</v>
      </c>
      <c r="H100" s="93">
        <v>240</v>
      </c>
      <c r="I100" s="93">
        <v>0</v>
      </c>
      <c r="J100" s="94">
        <v>239</v>
      </c>
      <c r="K100" s="95">
        <f t="shared" si="5"/>
        <v>1</v>
      </c>
      <c r="L100" s="93">
        <f t="shared" si="4"/>
        <v>700.74799999999993</v>
      </c>
      <c r="M100" s="93">
        <f t="shared" si="6"/>
        <v>703.68</v>
      </c>
      <c r="N100" s="96">
        <f t="shared" si="7"/>
        <v>703.68</v>
      </c>
      <c r="O100" s="87"/>
    </row>
    <row r="101" spans="1:15" ht="12.75" customHeight="1">
      <c r="A101" s="52" t="s">
        <v>133</v>
      </c>
      <c r="B101" s="227" t="s">
        <v>134</v>
      </c>
      <c r="C101" s="207"/>
      <c r="D101" s="90">
        <v>38</v>
      </c>
      <c r="E101" s="209" t="s">
        <v>5</v>
      </c>
      <c r="F101" s="343">
        <v>1.91</v>
      </c>
      <c r="G101" s="93">
        <v>78</v>
      </c>
      <c r="H101" s="93">
        <v>78</v>
      </c>
      <c r="I101" s="93">
        <v>0</v>
      </c>
      <c r="J101" s="94">
        <v>78</v>
      </c>
      <c r="K101" s="95">
        <f t="shared" si="5"/>
        <v>0</v>
      </c>
      <c r="L101" s="93">
        <f t="shared" si="4"/>
        <v>148.97999999999999</v>
      </c>
      <c r="M101" s="93">
        <f t="shared" si="6"/>
        <v>148.97999999999999</v>
      </c>
      <c r="N101" s="96">
        <f t="shared" si="7"/>
        <v>148.97999999999999</v>
      </c>
      <c r="O101" s="87"/>
    </row>
    <row r="102" spans="1:15" ht="12.75" customHeight="1">
      <c r="A102" s="52" t="s">
        <v>135</v>
      </c>
      <c r="B102" s="228" t="s">
        <v>136</v>
      </c>
      <c r="C102" s="229"/>
      <c r="D102" s="101">
        <v>39</v>
      </c>
      <c r="E102" s="101" t="s">
        <v>2</v>
      </c>
      <c r="F102" s="358">
        <v>2.9319999999999999</v>
      </c>
      <c r="G102" s="106">
        <v>220</v>
      </c>
      <c r="H102" s="106">
        <v>220</v>
      </c>
      <c r="I102" s="105">
        <v>0</v>
      </c>
      <c r="J102" s="106">
        <v>220</v>
      </c>
      <c r="K102" s="107">
        <f t="shared" si="5"/>
        <v>0</v>
      </c>
      <c r="L102" s="105">
        <f t="shared" si="4"/>
        <v>645.04</v>
      </c>
      <c r="M102" s="105">
        <f t="shared" si="6"/>
        <v>645.04</v>
      </c>
      <c r="N102" s="108">
        <f t="shared" si="7"/>
        <v>645.04</v>
      </c>
      <c r="O102" s="87"/>
    </row>
    <row r="103" spans="1:15" ht="12.75" customHeight="1">
      <c r="A103" s="52" t="s">
        <v>137</v>
      </c>
      <c r="B103" s="228" t="s">
        <v>136</v>
      </c>
      <c r="C103" s="229"/>
      <c r="D103" s="101">
        <v>39</v>
      </c>
      <c r="E103" s="101" t="s">
        <v>5</v>
      </c>
      <c r="F103" s="344">
        <v>1.91</v>
      </c>
      <c r="G103" s="106">
        <v>272</v>
      </c>
      <c r="H103" s="106">
        <v>272</v>
      </c>
      <c r="I103" s="106">
        <v>0</v>
      </c>
      <c r="J103" s="106">
        <v>272</v>
      </c>
      <c r="K103" s="107">
        <f t="shared" si="5"/>
        <v>0</v>
      </c>
      <c r="L103" s="105">
        <f t="shared" si="4"/>
        <v>519.52</v>
      </c>
      <c r="M103" s="106">
        <f t="shared" si="6"/>
        <v>519.52</v>
      </c>
      <c r="N103" s="108">
        <f t="shared" si="7"/>
        <v>519.52</v>
      </c>
      <c r="O103" s="78"/>
    </row>
    <row r="104" spans="1:15" ht="12.75" customHeight="1">
      <c r="A104" s="52"/>
      <c r="B104" s="422" t="s">
        <v>230</v>
      </c>
      <c r="C104" s="401"/>
      <c r="D104" s="125">
        <v>75</v>
      </c>
      <c r="E104" s="125" t="s">
        <v>2</v>
      </c>
      <c r="F104" s="341">
        <v>2.9319999999999999</v>
      </c>
      <c r="G104" s="74">
        <v>71</v>
      </c>
      <c r="H104" s="74">
        <v>71</v>
      </c>
      <c r="I104" s="74">
        <f>9+(0-1)+(4-1)+(4-3)+(2-2)+(8-0)+(9-3)+(9-0)</f>
        <v>35</v>
      </c>
      <c r="J104" s="74">
        <f>0+1+1+3+2+0+3+0</f>
        <v>10</v>
      </c>
      <c r="K104" s="75">
        <f t="shared" si="5"/>
        <v>26</v>
      </c>
      <c r="L104" s="76">
        <f t="shared" si="4"/>
        <v>29.32</v>
      </c>
      <c r="M104" s="74">
        <f t="shared" si="6"/>
        <v>208.172</v>
      </c>
      <c r="N104" s="77">
        <f t="shared" si="7"/>
        <v>208.172</v>
      </c>
      <c r="O104" s="78"/>
    </row>
    <row r="105" spans="1:15" ht="12.75" customHeight="1">
      <c r="A105" s="52" t="s">
        <v>138</v>
      </c>
      <c r="B105" s="230" t="s">
        <v>224</v>
      </c>
      <c r="C105" s="164"/>
      <c r="D105" s="111">
        <v>40</v>
      </c>
      <c r="E105" s="111" t="s">
        <v>2</v>
      </c>
      <c r="F105" s="347">
        <v>2.9319999999999999</v>
      </c>
      <c r="G105" s="116">
        <v>13</v>
      </c>
      <c r="H105" s="116">
        <v>13</v>
      </c>
      <c r="I105" s="116">
        <f>1+0+(0-1)</f>
        <v>0</v>
      </c>
      <c r="J105" s="116">
        <f>5+0+1</f>
        <v>6</v>
      </c>
      <c r="K105" s="117">
        <f t="shared" si="5"/>
        <v>7</v>
      </c>
      <c r="L105" s="115">
        <f t="shared" si="4"/>
        <v>17.591999999999999</v>
      </c>
      <c r="M105" s="116">
        <f t="shared" si="6"/>
        <v>38.116</v>
      </c>
      <c r="N105" s="118">
        <f t="shared" si="7"/>
        <v>38.116</v>
      </c>
      <c r="O105" s="78"/>
    </row>
    <row r="106" spans="1:15" ht="12.75" customHeight="1">
      <c r="A106" s="52" t="s">
        <v>152</v>
      </c>
      <c r="B106" s="238" t="s">
        <v>153</v>
      </c>
      <c r="C106" s="131"/>
      <c r="D106" s="90">
        <v>45</v>
      </c>
      <c r="E106" s="209" t="s">
        <v>2</v>
      </c>
      <c r="F106" s="356">
        <v>2.9319999999999999</v>
      </c>
      <c r="G106" s="239">
        <v>0</v>
      </c>
      <c r="H106" s="239">
        <v>0</v>
      </c>
      <c r="I106" s="239">
        <v>0</v>
      </c>
      <c r="J106" s="94">
        <v>0</v>
      </c>
      <c r="K106" s="95">
        <f t="shared" ref="K106:K114" si="8">H106-I106-J106</f>
        <v>0</v>
      </c>
      <c r="L106" s="93">
        <f t="shared" ref="L106:L114" si="9">F106*J106</f>
        <v>0</v>
      </c>
      <c r="M106" s="239">
        <f t="shared" ref="M106:M114" si="10">F106*H106</f>
        <v>0</v>
      </c>
      <c r="N106" s="96">
        <v>3000</v>
      </c>
      <c r="O106" s="141"/>
    </row>
    <row r="107" spans="1:15" ht="12.75" customHeight="1">
      <c r="A107" s="52" t="s">
        <v>142</v>
      </c>
      <c r="B107" s="405" t="s">
        <v>143</v>
      </c>
      <c r="C107" s="398"/>
      <c r="D107" s="406">
        <v>42</v>
      </c>
      <c r="E107" s="407" t="s">
        <v>3</v>
      </c>
      <c r="F107" s="408">
        <v>1.91</v>
      </c>
      <c r="G107" s="409">
        <v>2067</v>
      </c>
      <c r="H107" s="381">
        <v>0</v>
      </c>
      <c r="I107" s="381">
        <v>0</v>
      </c>
      <c r="J107" s="382">
        <v>0</v>
      </c>
      <c r="K107" s="383">
        <f t="shared" si="8"/>
        <v>0</v>
      </c>
      <c r="L107" s="381">
        <f t="shared" si="9"/>
        <v>0</v>
      </c>
      <c r="M107" s="381">
        <f t="shared" si="10"/>
        <v>0</v>
      </c>
      <c r="N107" s="384">
        <v>1930</v>
      </c>
      <c r="O107" s="87"/>
    </row>
    <row r="108" spans="1:15" ht="12.75" customHeight="1">
      <c r="A108" s="52" t="s">
        <v>144</v>
      </c>
      <c r="B108" s="405" t="s">
        <v>143</v>
      </c>
      <c r="C108" s="398"/>
      <c r="D108" s="378">
        <v>42</v>
      </c>
      <c r="E108" s="410" t="s">
        <v>4</v>
      </c>
      <c r="F108" s="408">
        <v>2.5</v>
      </c>
      <c r="G108" s="381">
        <v>2066</v>
      </c>
      <c r="H108" s="381">
        <v>0</v>
      </c>
      <c r="I108" s="381">
        <v>0</v>
      </c>
      <c r="J108" s="382">
        <v>0</v>
      </c>
      <c r="K108" s="383">
        <f t="shared" si="8"/>
        <v>0</v>
      </c>
      <c r="L108" s="381">
        <f t="shared" si="9"/>
        <v>0</v>
      </c>
      <c r="M108" s="381">
        <f t="shared" si="10"/>
        <v>0</v>
      </c>
      <c r="N108" s="384">
        <v>2010</v>
      </c>
      <c r="O108" s="87"/>
    </row>
    <row r="109" spans="1:15" ht="12.75" customHeight="1">
      <c r="A109" s="52" t="s">
        <v>145</v>
      </c>
      <c r="B109" s="405" t="s">
        <v>143</v>
      </c>
      <c r="C109" s="398"/>
      <c r="D109" s="378">
        <v>42</v>
      </c>
      <c r="E109" s="410" t="s">
        <v>5</v>
      </c>
      <c r="F109" s="408">
        <v>1.91</v>
      </c>
      <c r="G109" s="381">
        <v>2067</v>
      </c>
      <c r="H109" s="381">
        <v>0</v>
      </c>
      <c r="I109" s="381">
        <v>0</v>
      </c>
      <c r="J109" s="382">
        <v>0</v>
      </c>
      <c r="K109" s="383">
        <f t="shared" si="8"/>
        <v>0</v>
      </c>
      <c r="L109" s="381">
        <f t="shared" si="9"/>
        <v>0</v>
      </c>
      <c r="M109" s="381">
        <f t="shared" si="10"/>
        <v>0</v>
      </c>
      <c r="N109" s="384">
        <v>1470</v>
      </c>
      <c r="O109" s="87"/>
    </row>
    <row r="110" spans="1:15" ht="12.75" customHeight="1">
      <c r="A110" s="52" t="s">
        <v>228</v>
      </c>
      <c r="B110" s="426" t="s">
        <v>229</v>
      </c>
      <c r="C110" s="427"/>
      <c r="D110" s="417">
        <v>80</v>
      </c>
      <c r="E110" s="417" t="s">
        <v>3</v>
      </c>
      <c r="F110" s="428">
        <v>1.91</v>
      </c>
      <c r="G110" s="420">
        <v>525</v>
      </c>
      <c r="H110" s="420">
        <v>0</v>
      </c>
      <c r="I110" s="420">
        <v>0</v>
      </c>
      <c r="J110" s="420">
        <v>0</v>
      </c>
      <c r="K110" s="429">
        <f t="shared" si="8"/>
        <v>0</v>
      </c>
      <c r="L110" s="419">
        <f t="shared" si="9"/>
        <v>0</v>
      </c>
      <c r="M110" s="420">
        <f t="shared" si="10"/>
        <v>0</v>
      </c>
      <c r="N110" s="430">
        <f>F110*G110</f>
        <v>1002.75</v>
      </c>
      <c r="O110" s="78"/>
    </row>
    <row r="111" spans="1:15" ht="12.75" customHeight="1">
      <c r="A111" s="52" t="s">
        <v>139</v>
      </c>
      <c r="B111" s="231" t="s">
        <v>140</v>
      </c>
      <c r="C111" s="166"/>
      <c r="D111" s="144">
        <v>41</v>
      </c>
      <c r="E111" s="187" t="s">
        <v>2</v>
      </c>
      <c r="F111" s="348">
        <v>2.9319999999999999</v>
      </c>
      <c r="G111" s="146">
        <v>1114</v>
      </c>
      <c r="H111" s="146">
        <v>1029</v>
      </c>
      <c r="I111" s="146">
        <f>1+0+0+0+0+0+0+0+(0-1)</f>
        <v>0</v>
      </c>
      <c r="J111" s="147">
        <f>1024+0+0+0+0+0+0+0+1</f>
        <v>1025</v>
      </c>
      <c r="K111" s="148">
        <f t="shared" si="8"/>
        <v>4</v>
      </c>
      <c r="L111" s="146">
        <f t="shared" si="9"/>
        <v>3005.2999999999997</v>
      </c>
      <c r="M111" s="146">
        <f t="shared" si="10"/>
        <v>3017.0279999999998</v>
      </c>
      <c r="N111" s="149">
        <f>F111*G111</f>
        <v>3266.248</v>
      </c>
      <c r="O111" s="87"/>
    </row>
    <row r="112" spans="1:15" ht="12.75" customHeight="1">
      <c r="A112" s="52" t="s">
        <v>141</v>
      </c>
      <c r="B112" s="231" t="s">
        <v>140</v>
      </c>
      <c r="C112" s="166"/>
      <c r="D112" s="144">
        <v>41</v>
      </c>
      <c r="E112" s="187" t="s">
        <v>3</v>
      </c>
      <c r="F112" s="348">
        <v>1.91</v>
      </c>
      <c r="G112" s="146">
        <v>605</v>
      </c>
      <c r="H112" s="146">
        <v>605</v>
      </c>
      <c r="I112" s="146">
        <v>0</v>
      </c>
      <c r="J112" s="147">
        <v>605</v>
      </c>
      <c r="K112" s="148">
        <f t="shared" si="8"/>
        <v>0</v>
      </c>
      <c r="L112" s="146">
        <f t="shared" si="9"/>
        <v>1155.55</v>
      </c>
      <c r="M112" s="146">
        <f t="shared" si="10"/>
        <v>1155.55</v>
      </c>
      <c r="N112" s="149">
        <f>F112*G112</f>
        <v>1155.55</v>
      </c>
      <c r="O112" s="87"/>
    </row>
    <row r="113" spans="1:15" ht="12.75" customHeight="1">
      <c r="A113" s="52" t="s">
        <v>158</v>
      </c>
      <c r="B113" s="123" t="s">
        <v>212</v>
      </c>
      <c r="C113" s="401"/>
      <c r="D113" s="125">
        <v>47</v>
      </c>
      <c r="E113" s="198" t="s">
        <v>2</v>
      </c>
      <c r="F113" s="402">
        <v>2.9319999999999999</v>
      </c>
      <c r="G113" s="76">
        <v>8</v>
      </c>
      <c r="H113" s="76">
        <v>5</v>
      </c>
      <c r="I113" s="76">
        <f>0+0+1+0+0+0</f>
        <v>1</v>
      </c>
      <c r="J113" s="74">
        <f>0-0-0-0-0-0</f>
        <v>0</v>
      </c>
      <c r="K113" s="75">
        <f t="shared" si="8"/>
        <v>4</v>
      </c>
      <c r="L113" s="76">
        <f t="shared" si="9"/>
        <v>0</v>
      </c>
      <c r="M113" s="403">
        <f t="shared" si="10"/>
        <v>14.66</v>
      </c>
      <c r="N113" s="404">
        <f>F113*G113</f>
        <v>23.456</v>
      </c>
      <c r="O113" s="87"/>
    </row>
    <row r="114" spans="1:15" ht="12.75" customHeight="1">
      <c r="A114" s="52" t="s">
        <v>146</v>
      </c>
      <c r="B114" s="232" t="s">
        <v>147</v>
      </c>
      <c r="C114" s="172"/>
      <c r="D114" s="233">
        <v>43</v>
      </c>
      <c r="E114" s="233" t="s">
        <v>2</v>
      </c>
      <c r="F114" s="367">
        <v>2.9319999999999999</v>
      </c>
      <c r="G114" s="234">
        <v>80</v>
      </c>
      <c r="H114" s="234">
        <v>80</v>
      </c>
      <c r="I114" s="235">
        <v>0</v>
      </c>
      <c r="J114" s="74">
        <f>80+0</f>
        <v>80</v>
      </c>
      <c r="K114" s="75">
        <f t="shared" si="8"/>
        <v>0</v>
      </c>
      <c r="L114" s="76">
        <f t="shared" si="9"/>
        <v>234.56</v>
      </c>
      <c r="M114" s="235">
        <f t="shared" si="10"/>
        <v>234.56</v>
      </c>
      <c r="N114" s="77">
        <f>F114*G114</f>
        <v>234.56</v>
      </c>
      <c r="O114" s="236"/>
    </row>
    <row r="115" spans="1:15" s="431" customFormat="1" ht="11.25">
      <c r="A115" s="432"/>
      <c r="B115" s="440" t="s">
        <v>234</v>
      </c>
      <c r="C115" s="438"/>
      <c r="D115" s="439">
        <v>78</v>
      </c>
      <c r="E115" s="439" t="s">
        <v>3</v>
      </c>
      <c r="F115" s="439">
        <v>1.91</v>
      </c>
      <c r="G115" s="439"/>
      <c r="H115" s="439"/>
      <c r="I115" s="439"/>
      <c r="J115" s="439"/>
      <c r="K115" s="439"/>
      <c r="L115" s="439"/>
      <c r="M115" s="439"/>
      <c r="N115" s="108">
        <f t="shared" si="7"/>
        <v>0</v>
      </c>
      <c r="O115" s="441"/>
    </row>
    <row r="116" spans="1:15" ht="12.75" customHeight="1">
      <c r="A116" s="52" t="s">
        <v>148</v>
      </c>
      <c r="B116" s="237" t="s">
        <v>149</v>
      </c>
      <c r="C116" s="128"/>
      <c r="D116" s="202">
        <v>44</v>
      </c>
      <c r="E116" s="433" t="s">
        <v>2</v>
      </c>
      <c r="F116" s="355">
        <v>2.9319999999999999</v>
      </c>
      <c r="G116" s="434">
        <v>39</v>
      </c>
      <c r="H116" s="434">
        <v>42</v>
      </c>
      <c r="I116" s="434">
        <v>0</v>
      </c>
      <c r="J116" s="435">
        <f>36</f>
        <v>36</v>
      </c>
      <c r="K116" s="85">
        <f>H116-I116-J116</f>
        <v>6</v>
      </c>
      <c r="L116" s="436">
        <f>F116*J116</f>
        <v>105.55199999999999</v>
      </c>
      <c r="M116" s="434">
        <f>F116*H116</f>
        <v>123.14399999999999</v>
      </c>
      <c r="N116" s="437">
        <f>F116*G116</f>
        <v>114.348</v>
      </c>
      <c r="O116" s="141"/>
    </row>
    <row r="117" spans="1:15" ht="12.75" customHeight="1">
      <c r="A117" s="52" t="s">
        <v>150</v>
      </c>
      <c r="B117" s="237" t="s">
        <v>149</v>
      </c>
      <c r="C117" s="128"/>
      <c r="D117" s="81">
        <v>44</v>
      </c>
      <c r="E117" s="203" t="s">
        <v>6</v>
      </c>
      <c r="F117" s="355">
        <v>2.9319999999999999</v>
      </c>
      <c r="G117" s="178">
        <v>41</v>
      </c>
      <c r="H117" s="178">
        <v>41</v>
      </c>
      <c r="I117" s="178">
        <v>0</v>
      </c>
      <c r="J117" s="84">
        <f>41</f>
        <v>41</v>
      </c>
      <c r="K117" s="85">
        <f>H117-I117-J117</f>
        <v>0</v>
      </c>
      <c r="L117" s="83">
        <f>F117*J117</f>
        <v>120.212</v>
      </c>
      <c r="M117" s="178">
        <f>F117*H117</f>
        <v>120.212</v>
      </c>
      <c r="N117" s="86">
        <f>F117*G117</f>
        <v>120.212</v>
      </c>
      <c r="O117" s="141"/>
    </row>
    <row r="118" spans="1:15" ht="12.75" customHeight="1">
      <c r="A118" s="52" t="s">
        <v>151</v>
      </c>
      <c r="B118" s="237" t="s">
        <v>149</v>
      </c>
      <c r="C118" s="128"/>
      <c r="D118" s="81">
        <v>44</v>
      </c>
      <c r="E118" s="203" t="s">
        <v>3</v>
      </c>
      <c r="F118" s="355">
        <v>1.91</v>
      </c>
      <c r="G118" s="178">
        <v>0</v>
      </c>
      <c r="H118" s="178">
        <v>0</v>
      </c>
      <c r="I118" s="178">
        <v>0</v>
      </c>
      <c r="J118" s="84">
        <v>0</v>
      </c>
      <c r="K118" s="85">
        <f>H118-I118-J118</f>
        <v>0</v>
      </c>
      <c r="L118" s="83">
        <f>F118*J118</f>
        <v>0</v>
      </c>
      <c r="M118" s="178">
        <f>F118*H118</f>
        <v>0</v>
      </c>
      <c r="N118" s="86">
        <v>772</v>
      </c>
      <c r="O118" s="141"/>
    </row>
    <row r="119" spans="1:15" ht="12.75" customHeight="1">
      <c r="A119" s="52" t="s">
        <v>154</v>
      </c>
      <c r="B119" s="210" t="s">
        <v>155</v>
      </c>
      <c r="C119" s="133"/>
      <c r="D119" s="101">
        <v>46</v>
      </c>
      <c r="E119" s="211" t="s">
        <v>2</v>
      </c>
      <c r="F119" s="357">
        <v>2.9319999999999999</v>
      </c>
      <c r="G119" s="240">
        <v>250</v>
      </c>
      <c r="H119" s="240">
        <v>0</v>
      </c>
      <c r="I119" s="240">
        <v>0</v>
      </c>
      <c r="J119" s="106">
        <v>0</v>
      </c>
      <c r="K119" s="107">
        <f t="shared" si="5"/>
        <v>0</v>
      </c>
      <c r="L119" s="105">
        <f t="shared" si="4"/>
        <v>0</v>
      </c>
      <c r="M119" s="240">
        <f t="shared" si="6"/>
        <v>0</v>
      </c>
      <c r="N119" s="108">
        <v>1500</v>
      </c>
      <c r="O119" s="141"/>
    </row>
    <row r="120" spans="1:15" ht="12.75" customHeight="1">
      <c r="A120" s="52" t="s">
        <v>156</v>
      </c>
      <c r="B120" s="210" t="s">
        <v>155</v>
      </c>
      <c r="C120" s="133"/>
      <c r="D120" s="101">
        <v>46</v>
      </c>
      <c r="E120" s="211" t="s">
        <v>4</v>
      </c>
      <c r="F120" s="357">
        <v>2.5</v>
      </c>
      <c r="G120" s="240">
        <v>250</v>
      </c>
      <c r="H120" s="240">
        <v>0</v>
      </c>
      <c r="I120" s="240">
        <v>0</v>
      </c>
      <c r="J120" s="106">
        <v>0</v>
      </c>
      <c r="K120" s="107">
        <f t="shared" si="5"/>
        <v>0</v>
      </c>
      <c r="L120" s="105">
        <f t="shared" si="4"/>
        <v>0</v>
      </c>
      <c r="M120" s="240">
        <f t="shared" si="6"/>
        <v>0</v>
      </c>
      <c r="N120" s="108">
        <v>0</v>
      </c>
      <c r="O120" s="141"/>
    </row>
    <row r="121" spans="1:15" ht="12.75" customHeight="1">
      <c r="A121" s="52" t="s">
        <v>157</v>
      </c>
      <c r="B121" s="210" t="s">
        <v>155</v>
      </c>
      <c r="C121" s="133"/>
      <c r="D121" s="101">
        <v>46</v>
      </c>
      <c r="E121" s="211" t="s">
        <v>3</v>
      </c>
      <c r="F121" s="357">
        <v>1.91</v>
      </c>
      <c r="G121" s="240">
        <v>500</v>
      </c>
      <c r="H121" s="240">
        <v>0</v>
      </c>
      <c r="I121" s="240">
        <v>0</v>
      </c>
      <c r="J121" s="106">
        <v>0</v>
      </c>
      <c r="K121" s="107">
        <f t="shared" si="5"/>
        <v>0</v>
      </c>
      <c r="L121" s="105">
        <f t="shared" si="4"/>
        <v>0</v>
      </c>
      <c r="M121" s="240">
        <f t="shared" si="6"/>
        <v>0</v>
      </c>
      <c r="N121" s="108">
        <v>0</v>
      </c>
      <c r="O121" s="141"/>
    </row>
    <row r="122" spans="1:15" ht="12" customHeight="1">
      <c r="A122" s="52" t="s">
        <v>159</v>
      </c>
      <c r="B122" s="241" t="s">
        <v>160</v>
      </c>
      <c r="C122" s="168"/>
      <c r="D122" s="144">
        <v>48</v>
      </c>
      <c r="E122" s="242" t="s">
        <v>3</v>
      </c>
      <c r="F122" s="368">
        <v>1.91</v>
      </c>
      <c r="G122" s="146">
        <v>553</v>
      </c>
      <c r="H122" s="146">
        <v>553</v>
      </c>
      <c r="I122" s="146">
        <f>174-87-87-0-0+0+95</f>
        <v>95</v>
      </c>
      <c r="J122" s="147">
        <f>458+0</f>
        <v>458</v>
      </c>
      <c r="K122" s="148">
        <f t="shared" si="5"/>
        <v>0</v>
      </c>
      <c r="L122" s="146">
        <f t="shared" si="4"/>
        <v>874.78</v>
      </c>
      <c r="M122" s="146">
        <f t="shared" si="6"/>
        <v>1056.23</v>
      </c>
      <c r="N122" s="149">
        <f t="shared" si="7"/>
        <v>1056.23</v>
      </c>
      <c r="O122" s="87"/>
    </row>
    <row r="123" spans="1:15" ht="12" customHeight="1">
      <c r="A123" s="52" t="s">
        <v>161</v>
      </c>
      <c r="B123" s="243" t="s">
        <v>162</v>
      </c>
      <c r="C123" s="244"/>
      <c r="D123" s="144">
        <v>48</v>
      </c>
      <c r="E123" s="144" t="s">
        <v>4</v>
      </c>
      <c r="F123" s="368">
        <v>2.5</v>
      </c>
      <c r="G123" s="147">
        <v>95</v>
      </c>
      <c r="H123" s="147">
        <v>95</v>
      </c>
      <c r="I123" s="147">
        <f>1+0-1</f>
        <v>0</v>
      </c>
      <c r="J123" s="147">
        <f>94+0+1</f>
        <v>95</v>
      </c>
      <c r="K123" s="148">
        <f t="shared" si="5"/>
        <v>0</v>
      </c>
      <c r="L123" s="146">
        <f t="shared" si="4"/>
        <v>237.5</v>
      </c>
      <c r="M123" s="147">
        <f t="shared" si="6"/>
        <v>237.5</v>
      </c>
      <c r="N123" s="149">
        <f t="shared" si="7"/>
        <v>237.5</v>
      </c>
      <c r="O123" s="78"/>
    </row>
    <row r="124" spans="1:15" ht="12" customHeight="1">
      <c r="A124" s="52" t="s">
        <v>163</v>
      </c>
      <c r="B124" s="411" t="s">
        <v>164</v>
      </c>
      <c r="C124" s="412"/>
      <c r="D124" s="378">
        <v>49</v>
      </c>
      <c r="E124" s="413" t="s">
        <v>2</v>
      </c>
      <c r="F124" s="414">
        <v>2.9319999999999999</v>
      </c>
      <c r="G124" s="381">
        <v>15</v>
      </c>
      <c r="H124" s="381">
        <v>15</v>
      </c>
      <c r="I124" s="381">
        <f>9+(0-3)+(0-1)+(0-3)</f>
        <v>2</v>
      </c>
      <c r="J124" s="382">
        <f>6+3+1+3</f>
        <v>13</v>
      </c>
      <c r="K124" s="383">
        <f t="shared" si="5"/>
        <v>0</v>
      </c>
      <c r="L124" s="381">
        <f t="shared" si="4"/>
        <v>38.116</v>
      </c>
      <c r="M124" s="381">
        <f t="shared" si="6"/>
        <v>43.98</v>
      </c>
      <c r="N124" s="384">
        <f t="shared" si="7"/>
        <v>43.98</v>
      </c>
      <c r="O124" s="87"/>
    </row>
    <row r="125" spans="1:15" ht="12.75" customHeight="1">
      <c r="A125" s="52" t="s">
        <v>165</v>
      </c>
      <c r="B125" s="247" t="s">
        <v>166</v>
      </c>
      <c r="C125" s="124"/>
      <c r="D125" s="125">
        <v>50</v>
      </c>
      <c r="E125" s="248" t="s">
        <v>2</v>
      </c>
      <c r="F125" s="354">
        <v>2.9319999999999999</v>
      </c>
      <c r="G125" s="76">
        <v>13</v>
      </c>
      <c r="H125" s="76">
        <v>13</v>
      </c>
      <c r="I125" s="76">
        <f>2+0+0+0+0+0+(0-1)+(1-0)</f>
        <v>2</v>
      </c>
      <c r="J125" s="74">
        <f>4+0+0+0+0+0+1+0</f>
        <v>5</v>
      </c>
      <c r="K125" s="75">
        <f t="shared" si="5"/>
        <v>6</v>
      </c>
      <c r="L125" s="76">
        <f t="shared" si="4"/>
        <v>14.66</v>
      </c>
      <c r="M125" s="76">
        <f t="shared" si="6"/>
        <v>38.116</v>
      </c>
      <c r="N125" s="77">
        <f t="shared" si="7"/>
        <v>38.116</v>
      </c>
      <c r="O125" s="87"/>
    </row>
    <row r="126" spans="1:15" ht="12.75" customHeight="1">
      <c r="A126" s="52" t="s">
        <v>167</v>
      </c>
      <c r="B126" s="127" t="s">
        <v>168</v>
      </c>
      <c r="C126" s="128"/>
      <c r="D126" s="81">
        <v>51</v>
      </c>
      <c r="E126" s="81" t="s">
        <v>2</v>
      </c>
      <c r="F126" s="355">
        <v>2.9319999999999999</v>
      </c>
      <c r="G126" s="84">
        <v>500</v>
      </c>
      <c r="H126" s="84">
        <v>492</v>
      </c>
      <c r="I126" s="84">
        <v>0</v>
      </c>
      <c r="J126" s="84">
        <v>491</v>
      </c>
      <c r="K126" s="85">
        <f t="shared" si="5"/>
        <v>1</v>
      </c>
      <c r="L126" s="83">
        <f t="shared" si="4"/>
        <v>1439.6120000000001</v>
      </c>
      <c r="M126" s="84">
        <f t="shared" si="6"/>
        <v>1442.5439999999999</v>
      </c>
      <c r="N126" s="86">
        <f t="shared" si="7"/>
        <v>1466</v>
      </c>
      <c r="O126" s="78"/>
    </row>
    <row r="127" spans="1:15" ht="12.75" customHeight="1">
      <c r="A127" s="52" t="s">
        <v>169</v>
      </c>
      <c r="B127" s="152" t="s">
        <v>170</v>
      </c>
      <c r="C127" s="124"/>
      <c r="D127" s="125">
        <v>52</v>
      </c>
      <c r="E127" s="253" t="s">
        <v>2</v>
      </c>
      <c r="F127" s="354">
        <v>2.9319999999999999</v>
      </c>
      <c r="G127" s="76">
        <v>320</v>
      </c>
      <c r="H127" s="76">
        <v>320</v>
      </c>
      <c r="I127" s="76">
        <v>0</v>
      </c>
      <c r="J127" s="74">
        <v>320</v>
      </c>
      <c r="K127" s="75">
        <f t="shared" si="5"/>
        <v>0</v>
      </c>
      <c r="L127" s="76">
        <f t="shared" si="4"/>
        <v>938.24</v>
      </c>
      <c r="M127" s="76">
        <f t="shared" si="6"/>
        <v>938.24</v>
      </c>
      <c r="N127" s="77">
        <f t="shared" si="7"/>
        <v>938.24</v>
      </c>
      <c r="O127" s="87"/>
    </row>
    <row r="128" spans="1:15" ht="12.75" customHeight="1">
      <c r="A128" s="52" t="s">
        <v>171</v>
      </c>
      <c r="B128" s="249" t="s">
        <v>172</v>
      </c>
      <c r="C128" s="133"/>
      <c r="D128" s="101">
        <v>53</v>
      </c>
      <c r="E128" s="250" t="s">
        <v>3</v>
      </c>
      <c r="F128" s="357">
        <v>1.91</v>
      </c>
      <c r="G128" s="105">
        <v>300</v>
      </c>
      <c r="H128" s="105">
        <v>0</v>
      </c>
      <c r="I128" s="105">
        <v>0</v>
      </c>
      <c r="J128" s="106">
        <v>0</v>
      </c>
      <c r="K128" s="107">
        <f t="shared" si="5"/>
        <v>0</v>
      </c>
      <c r="L128" s="105">
        <f t="shared" si="4"/>
        <v>0</v>
      </c>
      <c r="M128" s="105">
        <f t="shared" si="6"/>
        <v>0</v>
      </c>
      <c r="N128" s="108">
        <f t="shared" si="7"/>
        <v>573</v>
      </c>
      <c r="O128" s="87"/>
    </row>
    <row r="129" spans="1:15" ht="12.75" customHeight="1">
      <c r="A129" s="52" t="s">
        <v>173</v>
      </c>
      <c r="B129" s="251" t="s">
        <v>174</v>
      </c>
      <c r="C129" s="217"/>
      <c r="D129" s="111">
        <v>54</v>
      </c>
      <c r="E129" s="111" t="s">
        <v>2</v>
      </c>
      <c r="F129" s="362">
        <v>2.9319999999999999</v>
      </c>
      <c r="G129" s="115">
        <v>73</v>
      </c>
      <c r="H129" s="115">
        <v>73</v>
      </c>
      <c r="I129" s="115">
        <f>3+(1-0)+0+0+(2-0)+0+(1-1)+(2-0)</f>
        <v>8</v>
      </c>
      <c r="J129" s="116">
        <f>47+0+0+0+0+0+1+0</f>
        <v>48</v>
      </c>
      <c r="K129" s="117">
        <f t="shared" si="5"/>
        <v>17</v>
      </c>
      <c r="L129" s="115">
        <f t="shared" si="4"/>
        <v>140.73599999999999</v>
      </c>
      <c r="M129" s="116">
        <f t="shared" si="6"/>
        <v>214.036</v>
      </c>
      <c r="N129" s="118">
        <f t="shared" si="7"/>
        <v>214.036</v>
      </c>
      <c r="O129" s="78"/>
    </row>
    <row r="130" spans="1:15" ht="12.75" customHeight="1">
      <c r="A130" s="52" t="s">
        <v>175</v>
      </c>
      <c r="B130" s="241" t="s">
        <v>210</v>
      </c>
      <c r="C130" s="168"/>
      <c r="D130" s="144">
        <v>55</v>
      </c>
      <c r="E130" s="144" t="s">
        <v>2</v>
      </c>
      <c r="F130" s="368">
        <v>2.9319999999999999</v>
      </c>
      <c r="G130" s="147">
        <v>79</v>
      </c>
      <c r="H130" s="147">
        <v>79</v>
      </c>
      <c r="I130" s="147">
        <f>2+0+0+0+(0-1)</f>
        <v>1</v>
      </c>
      <c r="J130" s="147">
        <f>76+0+0+0+1</f>
        <v>77</v>
      </c>
      <c r="K130" s="148">
        <f t="shared" si="5"/>
        <v>1</v>
      </c>
      <c r="L130" s="146">
        <f t="shared" si="4"/>
        <v>225.76399999999998</v>
      </c>
      <c r="M130" s="147">
        <f t="shared" si="6"/>
        <v>231.62799999999999</v>
      </c>
      <c r="N130" s="149">
        <f t="shared" si="7"/>
        <v>231.62799999999999</v>
      </c>
      <c r="O130" s="78"/>
    </row>
    <row r="131" spans="1:15" ht="12.75" customHeight="1">
      <c r="A131" s="52" t="s">
        <v>176</v>
      </c>
      <c r="B131" s="252" t="s">
        <v>177</v>
      </c>
      <c r="C131" s="151"/>
      <c r="D131" s="65">
        <v>56</v>
      </c>
      <c r="E131" s="246" t="s">
        <v>2</v>
      </c>
      <c r="F131" s="366">
        <v>2.9319999999999999</v>
      </c>
      <c r="G131" s="67">
        <v>178</v>
      </c>
      <c r="H131" s="67">
        <v>178</v>
      </c>
      <c r="I131" s="67">
        <v>0</v>
      </c>
      <c r="J131" s="121">
        <v>178</v>
      </c>
      <c r="K131" s="60">
        <f t="shared" si="5"/>
        <v>0</v>
      </c>
      <c r="L131" s="67">
        <f t="shared" si="4"/>
        <v>521.89599999999996</v>
      </c>
      <c r="M131" s="67">
        <f t="shared" si="6"/>
        <v>521.89599999999996</v>
      </c>
      <c r="N131" s="68">
        <f t="shared" si="7"/>
        <v>521.89599999999996</v>
      </c>
      <c r="O131" s="87"/>
    </row>
    <row r="132" spans="1:15" ht="12.75" customHeight="1">
      <c r="A132" s="52" t="s">
        <v>178</v>
      </c>
      <c r="B132" s="152" t="s">
        <v>179</v>
      </c>
      <c r="C132" s="124"/>
      <c r="D132" s="125">
        <v>57</v>
      </c>
      <c r="E132" s="253" t="s">
        <v>3</v>
      </c>
      <c r="F132" s="354">
        <v>1.91</v>
      </c>
      <c r="G132" s="76">
        <f>376+10</f>
        <v>386</v>
      </c>
      <c r="H132" s="76">
        <v>376</v>
      </c>
      <c r="I132" s="76">
        <f>76+(0-76)+(0-0)+(0-0)+(0-0)</f>
        <v>0</v>
      </c>
      <c r="J132" s="74">
        <f>376+0</f>
        <v>376</v>
      </c>
      <c r="K132" s="75">
        <f t="shared" si="5"/>
        <v>0</v>
      </c>
      <c r="L132" s="76">
        <f t="shared" si="4"/>
        <v>718.16</v>
      </c>
      <c r="M132" s="76">
        <f t="shared" si="6"/>
        <v>718.16</v>
      </c>
      <c r="N132" s="77">
        <f t="shared" si="7"/>
        <v>737.26</v>
      </c>
      <c r="O132" s="87"/>
    </row>
    <row r="133" spans="1:15" ht="12.75" customHeight="1">
      <c r="A133" s="52" t="s">
        <v>180</v>
      </c>
      <c r="B133" s="237" t="s">
        <v>181</v>
      </c>
      <c r="C133" s="128"/>
      <c r="D133" s="81">
        <v>58</v>
      </c>
      <c r="E133" s="203" t="s">
        <v>3</v>
      </c>
      <c r="F133" s="355">
        <v>1.91</v>
      </c>
      <c r="G133" s="178">
        <v>350</v>
      </c>
      <c r="H133" s="178">
        <v>350</v>
      </c>
      <c r="I133" s="178">
        <v>0</v>
      </c>
      <c r="J133" s="84">
        <v>350</v>
      </c>
      <c r="K133" s="85">
        <f t="shared" si="5"/>
        <v>0</v>
      </c>
      <c r="L133" s="83">
        <f t="shared" si="4"/>
        <v>668.5</v>
      </c>
      <c r="M133" s="178">
        <f t="shared" si="6"/>
        <v>668.5</v>
      </c>
      <c r="N133" s="86">
        <f t="shared" si="7"/>
        <v>668.5</v>
      </c>
      <c r="O133" s="141"/>
    </row>
    <row r="134" spans="1:15" ht="12.75" customHeight="1">
      <c r="A134" s="52" t="s">
        <v>220</v>
      </c>
      <c r="B134" s="238" t="s">
        <v>182</v>
      </c>
      <c r="C134" s="131"/>
      <c r="D134" s="90">
        <v>59</v>
      </c>
      <c r="E134" s="209" t="s">
        <v>2</v>
      </c>
      <c r="F134" s="356">
        <v>2.9319999999999999</v>
      </c>
      <c r="G134" s="239">
        <v>4</v>
      </c>
      <c r="H134" s="239">
        <v>4</v>
      </c>
      <c r="I134" s="239">
        <f>1+(0-0)</f>
        <v>1</v>
      </c>
      <c r="J134" s="94">
        <f>1+0</f>
        <v>1</v>
      </c>
      <c r="K134" s="95">
        <f t="shared" si="5"/>
        <v>2</v>
      </c>
      <c r="L134" s="93">
        <f t="shared" si="4"/>
        <v>2.9319999999999999</v>
      </c>
      <c r="M134" s="239">
        <f t="shared" si="6"/>
        <v>11.728</v>
      </c>
      <c r="N134" s="96">
        <f t="shared" si="7"/>
        <v>11.728</v>
      </c>
      <c r="O134" s="141"/>
    </row>
    <row r="135" spans="1:15" ht="12.75" customHeight="1">
      <c r="A135" s="52" t="s">
        <v>183</v>
      </c>
      <c r="B135" s="254" t="s">
        <v>184</v>
      </c>
      <c r="C135" s="255"/>
      <c r="D135" s="101">
        <v>60</v>
      </c>
      <c r="E135" s="250" t="s">
        <v>2</v>
      </c>
      <c r="F135" s="369">
        <v>2.9319999999999999</v>
      </c>
      <c r="G135" s="105">
        <v>347</v>
      </c>
      <c r="H135" s="105">
        <v>347</v>
      </c>
      <c r="I135" s="105">
        <v>0</v>
      </c>
      <c r="J135" s="106">
        <v>347</v>
      </c>
      <c r="K135" s="107">
        <f t="shared" si="5"/>
        <v>0</v>
      </c>
      <c r="L135" s="105">
        <f t="shared" si="4"/>
        <v>1017.404</v>
      </c>
      <c r="M135" s="105">
        <f t="shared" si="6"/>
        <v>1017.404</v>
      </c>
      <c r="N135" s="108">
        <f t="shared" si="7"/>
        <v>1017.404</v>
      </c>
      <c r="O135" s="87"/>
    </row>
    <row r="136" spans="1:15" ht="12.75" customHeight="1">
      <c r="A136" s="52"/>
      <c r="B136" s="415" t="s">
        <v>223</v>
      </c>
      <c r="C136" s="416"/>
      <c r="D136" s="417"/>
      <c r="E136" s="418" t="s">
        <v>2</v>
      </c>
      <c r="F136" s="421">
        <v>2.9319999999999999</v>
      </c>
      <c r="G136" s="419">
        <v>13</v>
      </c>
      <c r="H136" s="419">
        <v>13</v>
      </c>
      <c r="I136" s="419">
        <v>0</v>
      </c>
      <c r="J136" s="420">
        <v>2</v>
      </c>
      <c r="K136" s="85">
        <f t="shared" si="5"/>
        <v>11</v>
      </c>
      <c r="L136" s="83">
        <f t="shared" si="4"/>
        <v>5.8639999999999999</v>
      </c>
      <c r="M136" s="83">
        <f t="shared" si="6"/>
        <v>38.116</v>
      </c>
      <c r="N136" s="86">
        <f t="shared" si="7"/>
        <v>38.116</v>
      </c>
      <c r="O136" s="87"/>
    </row>
    <row r="137" spans="1:15" ht="12.75" customHeight="1">
      <c r="A137" s="52" t="s">
        <v>185</v>
      </c>
      <c r="B137" s="256" t="s">
        <v>186</v>
      </c>
      <c r="C137" s="217"/>
      <c r="D137" s="111">
        <v>61</v>
      </c>
      <c r="E137" s="257" t="s">
        <v>3</v>
      </c>
      <c r="F137" s="362">
        <v>1.91</v>
      </c>
      <c r="G137" s="115">
        <v>108</v>
      </c>
      <c r="H137" s="115">
        <v>108</v>
      </c>
      <c r="I137" s="115">
        <v>0</v>
      </c>
      <c r="J137" s="116">
        <v>108</v>
      </c>
      <c r="K137" s="117">
        <f t="shared" si="5"/>
        <v>0</v>
      </c>
      <c r="L137" s="115">
        <f t="shared" si="4"/>
        <v>206.28</v>
      </c>
      <c r="M137" s="115">
        <f t="shared" si="6"/>
        <v>206.28</v>
      </c>
      <c r="N137" s="118">
        <f t="shared" si="7"/>
        <v>206.28</v>
      </c>
      <c r="O137" s="87"/>
    </row>
    <row r="138" spans="1:15" ht="12.75" customHeight="1">
      <c r="A138" s="52" t="s">
        <v>187</v>
      </c>
      <c r="B138" s="258" t="s">
        <v>188</v>
      </c>
      <c r="C138" s="259"/>
      <c r="D138" s="144">
        <v>62</v>
      </c>
      <c r="E138" s="242" t="s">
        <v>2</v>
      </c>
      <c r="F138" s="370">
        <v>2.9319999999999999</v>
      </c>
      <c r="G138" s="146">
        <v>35</v>
      </c>
      <c r="H138" s="146">
        <v>35</v>
      </c>
      <c r="I138" s="146">
        <v>0</v>
      </c>
      <c r="J138" s="147">
        <v>0</v>
      </c>
      <c r="K138" s="148">
        <f t="shared" si="5"/>
        <v>35</v>
      </c>
      <c r="L138" s="146">
        <f t="shared" si="4"/>
        <v>0</v>
      </c>
      <c r="M138" s="146">
        <f t="shared" si="6"/>
        <v>102.62</v>
      </c>
      <c r="N138" s="149">
        <f t="shared" si="7"/>
        <v>102.62</v>
      </c>
      <c r="O138" s="87"/>
    </row>
    <row r="139" spans="1:15" ht="12.75" customHeight="1">
      <c r="A139" s="52" t="s">
        <v>189</v>
      </c>
      <c r="B139" s="260" t="s">
        <v>190</v>
      </c>
      <c r="C139" s="151"/>
      <c r="D139" s="65">
        <v>63</v>
      </c>
      <c r="E139" s="195" t="s">
        <v>2</v>
      </c>
      <c r="F139" s="366">
        <v>2.9319999999999999</v>
      </c>
      <c r="G139" s="67">
        <v>1386</v>
      </c>
      <c r="H139" s="67">
        <v>1328</v>
      </c>
      <c r="I139" s="67">
        <v>0</v>
      </c>
      <c r="J139" s="121">
        <v>1328</v>
      </c>
      <c r="K139" s="60">
        <f t="shared" si="5"/>
        <v>0</v>
      </c>
      <c r="L139" s="67">
        <f t="shared" si="4"/>
        <v>3893.6959999999999</v>
      </c>
      <c r="M139" s="67">
        <f t="shared" si="6"/>
        <v>3893.6959999999999</v>
      </c>
      <c r="N139" s="68">
        <f t="shared" si="7"/>
        <v>4063.752</v>
      </c>
      <c r="O139" s="87"/>
    </row>
    <row r="140" spans="1:15" ht="12.75" customHeight="1">
      <c r="A140" s="52" t="s">
        <v>191</v>
      </c>
      <c r="B140" s="261" t="s">
        <v>192</v>
      </c>
      <c r="C140" s="222"/>
      <c r="D140" s="125">
        <v>64</v>
      </c>
      <c r="E140" s="198" t="s">
        <v>4</v>
      </c>
      <c r="F140" s="354">
        <v>2.5</v>
      </c>
      <c r="G140" s="76">
        <v>100</v>
      </c>
      <c r="H140" s="76">
        <v>100</v>
      </c>
      <c r="I140" s="76">
        <v>0</v>
      </c>
      <c r="J140" s="74">
        <v>64</v>
      </c>
      <c r="K140" s="75">
        <f t="shared" si="5"/>
        <v>36</v>
      </c>
      <c r="L140" s="76">
        <f t="shared" si="4"/>
        <v>160</v>
      </c>
      <c r="M140" s="76">
        <f t="shared" si="6"/>
        <v>250</v>
      </c>
      <c r="N140" s="77">
        <f t="shared" si="7"/>
        <v>250</v>
      </c>
      <c r="O140" s="87"/>
    </row>
    <row r="141" spans="1:15" ht="12.75" customHeight="1">
      <c r="A141" s="52" t="s">
        <v>193</v>
      </c>
      <c r="B141" s="262" t="s">
        <v>194</v>
      </c>
      <c r="C141" s="263"/>
      <c r="D141" s="81">
        <v>65</v>
      </c>
      <c r="E141" s="264" t="s">
        <v>2</v>
      </c>
      <c r="F141" s="342">
        <v>2.9319999999999999</v>
      </c>
      <c r="G141" s="83">
        <v>14</v>
      </c>
      <c r="H141" s="83">
        <v>14</v>
      </c>
      <c r="I141" s="83">
        <f>1-1+0+0+0+0+1</f>
        <v>1</v>
      </c>
      <c r="J141" s="84">
        <f>7+0+0+0+0+0+0</f>
        <v>7</v>
      </c>
      <c r="K141" s="85">
        <f t="shared" si="5"/>
        <v>6</v>
      </c>
      <c r="L141" s="83">
        <f t="shared" si="4"/>
        <v>20.524000000000001</v>
      </c>
      <c r="M141" s="83">
        <f t="shared" si="6"/>
        <v>41.048000000000002</v>
      </c>
      <c r="N141" s="86">
        <f t="shared" si="7"/>
        <v>41.048000000000002</v>
      </c>
      <c r="O141" s="87"/>
    </row>
    <row r="142" spans="1:15" ht="12.75" customHeight="1">
      <c r="A142" s="52" t="s">
        <v>221</v>
      </c>
      <c r="B142" s="330" t="s">
        <v>213</v>
      </c>
      <c r="C142" s="172"/>
      <c r="D142" s="125">
        <v>73</v>
      </c>
      <c r="E142" s="253" t="s">
        <v>5</v>
      </c>
      <c r="F142" s="365">
        <v>1.91</v>
      </c>
      <c r="G142" s="76">
        <v>427</v>
      </c>
      <c r="H142" s="76">
        <v>0</v>
      </c>
      <c r="I142" s="76">
        <v>0</v>
      </c>
      <c r="J142" s="74">
        <v>0</v>
      </c>
      <c r="K142" s="75">
        <f t="shared" si="5"/>
        <v>0</v>
      </c>
      <c r="L142" s="76">
        <f t="shared" si="4"/>
        <v>0</v>
      </c>
      <c r="M142" s="76">
        <f t="shared" si="6"/>
        <v>0</v>
      </c>
      <c r="N142" s="77">
        <v>450</v>
      </c>
      <c r="O142" s="87"/>
    </row>
    <row r="143" spans="1:15" ht="12.75" customHeight="1">
      <c r="A143" s="52" t="s">
        <v>195</v>
      </c>
      <c r="B143" s="98" t="s">
        <v>196</v>
      </c>
      <c r="C143" s="207"/>
      <c r="D143" s="90">
        <v>66</v>
      </c>
      <c r="E143" s="265" t="s">
        <v>2</v>
      </c>
      <c r="F143" s="371">
        <v>2.9319999999999999</v>
      </c>
      <c r="G143" s="266">
        <v>346</v>
      </c>
      <c r="H143" s="92">
        <v>344</v>
      </c>
      <c r="I143" s="94">
        <f>6+(0-0)+(0-2)+(0-2)+(0-1)+(0-1)</f>
        <v>0</v>
      </c>
      <c r="J143" s="94">
        <f>336+0+2+2+1+3</f>
        <v>344</v>
      </c>
      <c r="K143" s="95">
        <f t="shared" si="5"/>
        <v>0</v>
      </c>
      <c r="L143" s="93">
        <f t="shared" si="4"/>
        <v>1008.6079999999999</v>
      </c>
      <c r="M143" s="94">
        <f t="shared" si="6"/>
        <v>1008.6079999999999</v>
      </c>
      <c r="N143" s="96">
        <f t="shared" si="7"/>
        <v>1014.472</v>
      </c>
      <c r="O143" s="78"/>
    </row>
    <row r="144" spans="1:15" ht="12.75" customHeight="1">
      <c r="A144" s="52" t="s">
        <v>197</v>
      </c>
      <c r="B144" s="98" t="s">
        <v>196</v>
      </c>
      <c r="C144" s="89"/>
      <c r="D144" s="90">
        <v>66</v>
      </c>
      <c r="E144" s="90" t="s">
        <v>4</v>
      </c>
      <c r="F144" s="372">
        <v>2.5</v>
      </c>
      <c r="G144" s="92">
        <v>166</v>
      </c>
      <c r="H144" s="92">
        <v>166</v>
      </c>
      <c r="I144" s="94">
        <f>12+(0-3)+(0-2)+(0-1)</f>
        <v>6</v>
      </c>
      <c r="J144" s="94">
        <f>154+3+2+1</f>
        <v>160</v>
      </c>
      <c r="K144" s="95">
        <f t="shared" si="5"/>
        <v>0</v>
      </c>
      <c r="L144" s="93">
        <f t="shared" si="4"/>
        <v>400</v>
      </c>
      <c r="M144" s="94">
        <f t="shared" si="6"/>
        <v>415</v>
      </c>
      <c r="N144" s="96">
        <f t="shared" si="7"/>
        <v>415</v>
      </c>
      <c r="O144" s="78"/>
    </row>
    <row r="145" spans="1:15" ht="12.75" customHeight="1">
      <c r="A145" s="52" t="s">
        <v>198</v>
      </c>
      <c r="B145" s="228" t="s">
        <v>216</v>
      </c>
      <c r="C145" s="229"/>
      <c r="D145" s="101">
        <v>67</v>
      </c>
      <c r="E145" s="101" t="s">
        <v>2</v>
      </c>
      <c r="F145" s="349">
        <v>2.9319999999999999</v>
      </c>
      <c r="G145" s="106">
        <f>474+31</f>
        <v>505</v>
      </c>
      <c r="H145" s="106">
        <f>474+31</f>
        <v>505</v>
      </c>
      <c r="I145" s="105">
        <f>0+0+0+0+0+0+0+4</f>
        <v>4</v>
      </c>
      <c r="J145" s="106">
        <v>474</v>
      </c>
      <c r="K145" s="107">
        <f t="shared" si="5"/>
        <v>27</v>
      </c>
      <c r="L145" s="105">
        <f t="shared" si="4"/>
        <v>1389.768</v>
      </c>
      <c r="M145" s="105">
        <f t="shared" si="6"/>
        <v>1480.66</v>
      </c>
      <c r="N145" s="108">
        <f t="shared" si="7"/>
        <v>1480.66</v>
      </c>
      <c r="O145" s="87"/>
    </row>
    <row r="146" spans="1:15" ht="12.75" customHeight="1">
      <c r="A146" s="52" t="s">
        <v>199</v>
      </c>
      <c r="B146" s="267" t="s">
        <v>200</v>
      </c>
      <c r="C146" s="164"/>
      <c r="D146" s="111">
        <v>68</v>
      </c>
      <c r="E146" s="257" t="s">
        <v>2</v>
      </c>
      <c r="F146" s="361">
        <v>2.9319999999999999</v>
      </c>
      <c r="G146" s="115">
        <v>487</v>
      </c>
      <c r="H146" s="115">
        <v>487</v>
      </c>
      <c r="I146" s="115">
        <v>0</v>
      </c>
      <c r="J146" s="116">
        <v>487</v>
      </c>
      <c r="K146" s="117">
        <f t="shared" si="5"/>
        <v>0</v>
      </c>
      <c r="L146" s="115">
        <f t="shared" si="4"/>
        <v>1427.884</v>
      </c>
      <c r="M146" s="115">
        <f t="shared" si="6"/>
        <v>1427.884</v>
      </c>
      <c r="N146" s="118">
        <f t="shared" si="7"/>
        <v>1427.884</v>
      </c>
      <c r="O146" s="87"/>
    </row>
    <row r="147" spans="1:15" ht="12.75" customHeight="1">
      <c r="A147" s="52" t="s">
        <v>201</v>
      </c>
      <c r="B147" s="267" t="s">
        <v>200</v>
      </c>
      <c r="C147" s="216"/>
      <c r="D147" s="111">
        <v>68</v>
      </c>
      <c r="E147" s="257" t="s">
        <v>3</v>
      </c>
      <c r="F147" s="373">
        <v>1.91</v>
      </c>
      <c r="G147" s="115">
        <v>216</v>
      </c>
      <c r="H147" s="115">
        <v>216</v>
      </c>
      <c r="I147" s="115">
        <v>0</v>
      </c>
      <c r="J147" s="116">
        <v>216</v>
      </c>
      <c r="K147" s="117">
        <f t="shared" si="5"/>
        <v>0</v>
      </c>
      <c r="L147" s="115">
        <f t="shared" si="4"/>
        <v>412.56</v>
      </c>
      <c r="M147" s="115">
        <f t="shared" si="6"/>
        <v>412.56</v>
      </c>
      <c r="N147" s="118">
        <f t="shared" si="7"/>
        <v>412.56</v>
      </c>
      <c r="O147" s="87"/>
    </row>
    <row r="148" spans="1:15" ht="12.75" customHeight="1">
      <c r="A148" s="52" t="s">
        <v>202</v>
      </c>
      <c r="B148" s="268" t="s">
        <v>203</v>
      </c>
      <c r="C148" s="170"/>
      <c r="D148" s="144">
        <v>69</v>
      </c>
      <c r="E148" s="242" t="s">
        <v>2</v>
      </c>
      <c r="F148" s="374">
        <v>2.9319999999999999</v>
      </c>
      <c r="G148" s="146">
        <v>154</v>
      </c>
      <c r="H148" s="146">
        <v>154</v>
      </c>
      <c r="I148" s="146">
        <f>1+(1-0)+0+0+0+0+0+0+0+0+0+(0-1)+(0-1)</f>
        <v>0</v>
      </c>
      <c r="J148" s="147">
        <f>152+0+0+0+0+0+0+0+0+0+0+1+1</f>
        <v>154</v>
      </c>
      <c r="K148" s="148">
        <f t="shared" si="5"/>
        <v>0</v>
      </c>
      <c r="L148" s="146">
        <f t="shared" si="4"/>
        <v>451.52799999999996</v>
      </c>
      <c r="M148" s="146">
        <f t="shared" si="6"/>
        <v>451.52799999999996</v>
      </c>
      <c r="N148" s="149">
        <f t="shared" si="7"/>
        <v>451.52799999999996</v>
      </c>
      <c r="O148" s="87"/>
    </row>
    <row r="149" spans="1:15" ht="13.5" customHeight="1">
      <c r="A149" s="52" t="s">
        <v>204</v>
      </c>
      <c r="B149" s="269" t="s">
        <v>205</v>
      </c>
      <c r="C149" s="245"/>
      <c r="D149" s="65">
        <v>70</v>
      </c>
      <c r="E149" s="246" t="s">
        <v>2</v>
      </c>
      <c r="F149" s="57">
        <v>2.9319999999999999</v>
      </c>
      <c r="G149" s="67">
        <v>1200</v>
      </c>
      <c r="H149" s="67">
        <v>0</v>
      </c>
      <c r="I149" s="67">
        <v>0</v>
      </c>
      <c r="J149" s="121">
        <v>0</v>
      </c>
      <c r="K149" s="60">
        <f>H149-I149-J149</f>
        <v>0</v>
      </c>
      <c r="L149" s="67">
        <f>F149*J149</f>
        <v>0</v>
      </c>
      <c r="M149" s="67">
        <f>F149*H149</f>
        <v>0</v>
      </c>
      <c r="N149" s="68">
        <f>F149*G149</f>
        <v>3518.4</v>
      </c>
      <c r="O149" s="87"/>
    </row>
    <row r="150" spans="1:15" ht="12.75" customHeight="1">
      <c r="A150" s="52" t="s">
        <v>206</v>
      </c>
      <c r="B150" s="269" t="s">
        <v>205</v>
      </c>
      <c r="C150" s="245"/>
      <c r="D150" s="65">
        <v>70</v>
      </c>
      <c r="E150" s="246" t="s">
        <v>3</v>
      </c>
      <c r="F150" s="57">
        <v>1.91</v>
      </c>
      <c r="G150" s="67">
        <v>1500</v>
      </c>
      <c r="H150" s="67">
        <v>0</v>
      </c>
      <c r="I150" s="67">
        <v>0</v>
      </c>
      <c r="J150" s="121">
        <v>0</v>
      </c>
      <c r="K150" s="60">
        <f>H150-I150-J150</f>
        <v>0</v>
      </c>
      <c r="L150" s="67">
        <f>F150*J150</f>
        <v>0</v>
      </c>
      <c r="M150" s="67">
        <f>F150*H150</f>
        <v>0</v>
      </c>
      <c r="N150" s="68">
        <v>2316</v>
      </c>
      <c r="O150" s="87"/>
    </row>
    <row r="151" spans="1:15" ht="12.75" customHeight="1">
      <c r="A151" s="52"/>
      <c r="B151" s="270"/>
      <c r="C151" s="271"/>
      <c r="D151" s="272"/>
      <c r="E151" s="273"/>
      <c r="F151" s="274"/>
      <c r="G151" s="275"/>
      <c r="H151" s="275"/>
      <c r="I151" s="275"/>
      <c r="J151" s="275"/>
      <c r="K151" s="275"/>
      <c r="L151" s="275"/>
      <c r="M151" s="275"/>
      <c r="N151" s="276"/>
      <c r="O151" s="277"/>
    </row>
    <row r="152" spans="1:15" ht="12.75" customHeight="1">
      <c r="A152" s="52"/>
      <c r="B152" s="278"/>
      <c r="C152" s="279"/>
      <c r="D152" s="280"/>
      <c r="E152" s="280"/>
      <c r="F152" s="281"/>
      <c r="G152" s="282"/>
      <c r="H152" s="282"/>
      <c r="I152" s="282"/>
      <c r="J152" s="282"/>
      <c r="K152" s="282"/>
      <c r="L152" s="282"/>
      <c r="M152" s="282"/>
      <c r="N152" s="283"/>
      <c r="O152" s="284"/>
    </row>
    <row r="153" spans="1:15" s="23" customFormat="1" ht="12.75" customHeight="1">
      <c r="A153" s="285"/>
      <c r="B153" s="286" t="s">
        <v>207</v>
      </c>
      <c r="C153" s="287"/>
      <c r="D153" s="288"/>
      <c r="E153" s="272"/>
      <c r="F153" s="289"/>
      <c r="G153" s="290"/>
      <c r="H153" s="290"/>
      <c r="I153" s="290"/>
      <c r="J153" s="290"/>
      <c r="K153" s="290"/>
      <c r="L153" s="290"/>
      <c r="M153" s="290"/>
      <c r="N153" s="291"/>
      <c r="O153" s="292"/>
    </row>
    <row r="154" spans="1:15" s="23" customFormat="1" ht="12.75" customHeight="1">
      <c r="A154" s="285"/>
      <c r="B154" s="286" t="s">
        <v>208</v>
      </c>
      <c r="C154" s="287"/>
      <c r="D154" s="288"/>
      <c r="E154" s="272"/>
      <c r="F154" s="293" t="s">
        <v>0</v>
      </c>
      <c r="G154" s="293">
        <f t="shared" ref="G154:N154" si="11">SUMIF($E26:$E152,"SF",G26:G152)</f>
        <v>20080</v>
      </c>
      <c r="H154" s="293">
        <f t="shared" si="11"/>
        <v>16993</v>
      </c>
      <c r="I154" s="293">
        <f t="shared" si="11"/>
        <v>173</v>
      </c>
      <c r="J154" s="293">
        <f t="shared" si="11"/>
        <v>15284</v>
      </c>
      <c r="K154" s="293">
        <f t="shared" si="11"/>
        <v>1536</v>
      </c>
      <c r="L154" s="293">
        <f t="shared" si="11"/>
        <v>43774.891999999993</v>
      </c>
      <c r="M154" s="293">
        <f t="shared" si="11"/>
        <v>47776.252000000022</v>
      </c>
      <c r="N154" s="294">
        <f t="shared" si="11"/>
        <v>59509.888000000014</v>
      </c>
      <c r="O154" s="295"/>
    </row>
    <row r="155" spans="1:15" s="23" customFormat="1" ht="13.5" customHeight="1" thickBot="1">
      <c r="A155" s="285"/>
      <c r="B155" s="296" t="s">
        <v>209</v>
      </c>
      <c r="C155" s="297"/>
      <c r="D155" s="298"/>
      <c r="E155" s="298" t="s">
        <v>0</v>
      </c>
      <c r="F155" s="299" t="s">
        <v>0</v>
      </c>
      <c r="G155" s="300">
        <f>(SUM(G26:G150))-G154</f>
        <v>25503</v>
      </c>
      <c r="H155" s="300">
        <f t="shared" ref="H155:N155" si="12">(SUM(H26:H152))-H154</f>
        <v>11556</v>
      </c>
      <c r="I155" s="300">
        <f t="shared" si="12"/>
        <v>2044</v>
      </c>
      <c r="J155" s="300">
        <f t="shared" si="12"/>
        <v>8765</v>
      </c>
      <c r="K155" s="300">
        <f t="shared" si="12"/>
        <v>747</v>
      </c>
      <c r="L155" s="300">
        <f t="shared" si="12"/>
        <v>18103.332000000009</v>
      </c>
      <c r="M155" s="300">
        <f t="shared" si="12"/>
        <v>23487.901999999987</v>
      </c>
      <c r="N155" s="301">
        <f t="shared" si="12"/>
        <v>39818.07199999992</v>
      </c>
      <c r="O155" s="302"/>
    </row>
    <row r="156" spans="1:15" s="23" customFormat="1" ht="13.5" customHeight="1" thickBot="1">
      <c r="A156" s="285"/>
      <c r="B156" s="303" t="s">
        <v>207</v>
      </c>
      <c r="C156" s="304"/>
      <c r="D156" s="305"/>
      <c r="E156" s="306"/>
      <c r="F156" s="307" t="s">
        <v>0</v>
      </c>
      <c r="G156" s="308">
        <f t="shared" ref="G156:N156" si="13">SUM(G154:G155)</f>
        <v>45583</v>
      </c>
      <c r="H156" s="308">
        <f t="shared" si="13"/>
        <v>28549</v>
      </c>
      <c r="I156" s="308">
        <f>SUM(I154:I155)</f>
        <v>2217</v>
      </c>
      <c r="J156" s="308">
        <f t="shared" si="13"/>
        <v>24049</v>
      </c>
      <c r="K156" s="308">
        <f t="shared" si="13"/>
        <v>2283</v>
      </c>
      <c r="L156" s="308">
        <f t="shared" si="13"/>
        <v>61878.224000000002</v>
      </c>
      <c r="M156" s="308">
        <f t="shared" si="13"/>
        <v>71264.15400000001</v>
      </c>
      <c r="N156" s="309">
        <f t="shared" si="13"/>
        <v>99327.959999999934</v>
      </c>
      <c r="O156" s="310"/>
    </row>
    <row r="157" spans="1:15" ht="13.5" hidden="1" customHeight="1" thickBot="1">
      <c r="A157" s="52"/>
      <c r="B157" s="311"/>
      <c r="C157" s="312" t="s">
        <v>214</v>
      </c>
      <c r="D157" s="313"/>
      <c r="E157" s="312"/>
      <c r="F157" s="313">
        <v>6.8000000000000005E-2</v>
      </c>
      <c r="G157" s="313"/>
      <c r="H157" s="313"/>
      <c r="I157" s="313"/>
      <c r="J157" s="313"/>
      <c r="K157" s="313"/>
      <c r="L157" s="313"/>
      <c r="M157" s="313"/>
      <c r="N157" s="314"/>
      <c r="O157" s="45"/>
    </row>
    <row r="158" spans="1:15" ht="13.5" customHeight="1" thickBot="1">
      <c r="A158" s="52"/>
      <c r="B158" s="315" t="s">
        <v>215</v>
      </c>
      <c r="C158" s="316"/>
      <c r="D158" s="317"/>
      <c r="E158" s="316"/>
      <c r="F158" s="316"/>
      <c r="G158" s="317"/>
      <c r="H158" s="317"/>
      <c r="I158" s="317"/>
      <c r="J158" s="317"/>
      <c r="K158" s="317"/>
      <c r="L158" s="375">
        <f>+L156*0.945</f>
        <v>58474.921679999999</v>
      </c>
      <c r="M158" s="318"/>
      <c r="N158" s="319">
        <f>+N156*0.945</f>
        <v>93864.922199999928</v>
      </c>
      <c r="O158" s="320"/>
    </row>
    <row r="159" spans="1:15" s="322" customFormat="1" ht="13.5" customHeight="1">
      <c r="A159" s="321"/>
      <c r="B159" s="4"/>
      <c r="C159" s="4"/>
      <c r="D159" s="6"/>
      <c r="E159" s="4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s="322" customFormat="1" ht="13.5" customHeight="1">
      <c r="A160" s="321"/>
      <c r="B160" s="4"/>
      <c r="C160" s="4"/>
      <c r="D160" s="6"/>
      <c r="E160" s="4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322" customFormat="1" ht="13.5" customHeight="1">
      <c r="A161" s="321"/>
      <c r="B161" s="4"/>
      <c r="C161" s="4"/>
      <c r="D161" s="6"/>
      <c r="E161" s="4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s="322" customFormat="1" ht="13.5" customHeight="1">
      <c r="A162" s="321"/>
      <c r="B162" s="4"/>
      <c r="C162" s="4"/>
      <c r="D162" s="6"/>
      <c r="E162" s="4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322" customFormat="1" ht="13.5" customHeight="1">
      <c r="A163" s="321"/>
      <c r="B163" s="4"/>
      <c r="C163" s="4"/>
      <c r="D163" s="6"/>
      <c r="E163" s="4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s="322" customFormat="1" ht="13.5" customHeight="1">
      <c r="A164" s="321"/>
      <c r="B164" s="4"/>
      <c r="C164" s="4"/>
      <c r="D164" s="6"/>
      <c r="E164" s="4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322" customFormat="1" ht="12.75" customHeight="1">
      <c r="A165" s="321"/>
      <c r="B165" s="4"/>
      <c r="C165" s="4"/>
      <c r="D165" s="6"/>
      <c r="E165" s="4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s="322" customFormat="1" ht="12.75" customHeight="1">
      <c r="A166" s="321"/>
      <c r="B166" s="4"/>
      <c r="C166" s="4"/>
      <c r="D166" s="6"/>
      <c r="E166" s="4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322" customFormat="1" ht="12.75" customHeight="1">
      <c r="A167" s="321"/>
      <c r="B167" s="4"/>
      <c r="C167" s="4"/>
      <c r="D167" s="6"/>
      <c r="E167" s="4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s="322" customFormat="1" ht="12.75" customHeight="1">
      <c r="A168" s="321"/>
      <c r="B168" s="4"/>
      <c r="C168" s="4"/>
      <c r="D168" s="6"/>
      <c r="E168" s="4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322" customFormat="1" ht="12.75" customHeight="1">
      <c r="A169" s="321"/>
      <c r="B169" s="4"/>
      <c r="C169" s="4"/>
      <c r="D169" s="6"/>
      <c r="E169" s="4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s="322" customFormat="1" ht="12.75" customHeight="1">
      <c r="A170" s="321"/>
      <c r="B170" s="4"/>
      <c r="C170" s="4"/>
      <c r="D170" s="6"/>
      <c r="E170" s="4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322" customFormat="1" ht="12.75" customHeight="1">
      <c r="A171" s="321"/>
      <c r="B171" s="4"/>
      <c r="C171" s="4"/>
      <c r="D171" s="6"/>
      <c r="E171" s="4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s="322" customFormat="1" ht="12.75" customHeight="1">
      <c r="A172" s="321"/>
      <c r="B172" s="4"/>
      <c r="C172" s="4"/>
      <c r="D172" s="6"/>
      <c r="E172" s="4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322" customFormat="1" ht="12.75" customHeight="1">
      <c r="A173" s="321"/>
      <c r="B173" s="4"/>
      <c r="C173" s="4"/>
      <c r="D173" s="6"/>
      <c r="E173" s="4"/>
      <c r="F173" s="6"/>
      <c r="G173" s="6"/>
      <c r="H173" s="6"/>
      <c r="I173" s="6"/>
      <c r="J173" s="6"/>
      <c r="K173" s="6"/>
      <c r="L173" s="6"/>
      <c r="M173" s="6"/>
      <c r="N173" s="6"/>
      <c r="O173" s="6"/>
    </row>
  </sheetData>
  <mergeCells count="1">
    <mergeCell ref="B25:C25"/>
  </mergeCells>
  <printOptions horizontalCentered="1" verticalCentered="1"/>
  <pageMargins left="0.75" right="0.75" top="0.5" bottom="0.75" header="0.5" footer="0.25"/>
  <pageSetup paperSize="17" scale="64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Data 10</vt:lpstr>
      <vt:lpstr>'Base Data 10'!Print_Area</vt:lpstr>
    </vt:vector>
  </TitlesOfParts>
  <Company>City and County of Broomfield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Hanson</dc:creator>
  <cp:lastModifiedBy>Alice Hanson</cp:lastModifiedBy>
  <cp:lastPrinted>2013-08-08T18:58:59Z</cp:lastPrinted>
  <dcterms:created xsi:type="dcterms:W3CDTF">2010-08-10T17:16:34Z</dcterms:created>
  <dcterms:modified xsi:type="dcterms:W3CDTF">2013-08-08T21:17:46Z</dcterms:modified>
</cp:coreProperties>
</file>