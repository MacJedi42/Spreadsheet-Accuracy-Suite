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585" yWindow="7305" windowWidth="9600" windowHeight="7335"/>
  </bookViews>
  <sheets>
    <sheet name="Metadata" sheetId="3" r:id="rId1"/>
    <sheet name="Soils" sheetId="1" r:id="rId2"/>
    <sheet name="Sites(Do NOT Edit)" sheetId="4" r:id="rId3"/>
  </sheets>
  <definedNames>
    <definedName name="_xlnm._FilterDatabase" localSheetId="2" hidden="1">'Sites(Do NOT Edit)'!$A$2:$N$637</definedName>
    <definedName name="_Order1" hidden="1">255</definedName>
    <definedName name="_Order2" hidden="1">255</definedName>
    <definedName name="ABSTRACT" localSheetId="0">Metadata!$A$6</definedName>
    <definedName name="ABSTRACT" localSheetId="2">Metadata!$A$6</definedName>
    <definedName name="ABSTRACT">#REF!</definedName>
    <definedName name="Address_line_2" localSheetId="0">Metadata!$A$22</definedName>
    <definedName name="Address_line_2" localSheetId="2">Metadata!$A$22</definedName>
    <definedName name="Address_line_2">#REF!</definedName>
    <definedName name="Address_line_3" localSheetId="0">Metadata!$A$23</definedName>
    <definedName name="Address_line_3" localSheetId="2">Metadata!$A$23</definedName>
    <definedName name="Address_line_3">#REF!</definedName>
    <definedName name="Availability_Status" localSheetId="0">Metadata!$A$37</definedName>
    <definedName name="Availability_Status" localSheetId="2">Metadata!$A$37</definedName>
    <definedName name="Availability_Status">#REF!</definedName>
    <definedName name="Beginning_Date" localSheetId="0">Metadata!$A$33</definedName>
    <definedName name="Beginning_Date" localSheetId="2">Metadata!$A$33</definedName>
    <definedName name="Beginning_Date">#REF!</definedName>
    <definedName name="City" localSheetId="0">Metadata!$A$24</definedName>
    <definedName name="City" localSheetId="2">Metadata!$A$24</definedName>
    <definedName name="City">#REF!</definedName>
    <definedName name="Code_Information" localSheetId="0">Metadata!$F$121</definedName>
    <definedName name="Code_Information" localSheetId="2">Metadata!$F$121</definedName>
    <definedName name="Code_Information">#REF!</definedName>
    <definedName name="Country" localSheetId="0">Metadata!$A$27</definedName>
    <definedName name="Country" localSheetId="2">Metadata!$A$27</definedName>
    <definedName name="Country">#REF!</definedName>
    <definedName name="DATA_FILE_INFORMATION" localSheetId="0">Metadata!$A$30</definedName>
    <definedName name="DATA_FILE_INFORMATION" localSheetId="2">Metadata!$A$30</definedName>
    <definedName name="DATA_FILE_INFORMATION">#REF!</definedName>
    <definedName name="Data_File_Name" localSheetId="0">Metadata!$A$32</definedName>
    <definedName name="Data_File_Name" localSheetId="2">Metadata!$A$32</definedName>
    <definedName name="Data_File_Name">#REF!</definedName>
    <definedName name="Data_File_URL" localSheetId="0">Metadata!$A$31</definedName>
    <definedName name="Data_File_URL" localSheetId="2">Metadata!$A$31</definedName>
    <definedName name="Data_File_URL">#REF!</definedName>
    <definedName name="Data_Type" localSheetId="0">Metadata!$C$121</definedName>
    <definedName name="Data_Type" localSheetId="2">Metadata!$C$121</definedName>
    <definedName name="Data_Type">#REF!</definedName>
    <definedName name="DATASET_ID" localSheetId="0">Metadata!$A$14</definedName>
    <definedName name="DATASET_ID" localSheetId="2">Metadata!$A$14</definedName>
    <definedName name="DATASET_ID">#REF!</definedName>
    <definedName name="DATASET_TITLE" localSheetId="0">Metadata!$A$5</definedName>
    <definedName name="DATASET_TITLE" localSheetId="2">Metadata!$A$5</definedName>
    <definedName name="DATASET_TITLE">#REF!</definedName>
    <definedName name="DateTime_Format" localSheetId="0">Metadata!$E$121</definedName>
    <definedName name="DateTime_Format" localSheetId="2">Metadata!$E$121</definedName>
    <definedName name="DateTime_Format">#REF!</definedName>
    <definedName name="Distribution_URL_for_file" localSheetId="0">Metadata!$A$4</definedName>
    <definedName name="Distribution_URL_for_file" localSheetId="2">Metadata!$A$4</definedName>
    <definedName name="Distribution_URL_for_file">#REF!</definedName>
    <definedName name="East_Bounding_Coordinate" localSheetId="0">Metadata!$A$50</definedName>
    <definedName name="East_Bounding_Coordinate" localSheetId="2">Metadata!$A$50</definedName>
    <definedName name="East_Bounding_Coordinate">#REF!</definedName>
    <definedName name="Elevation" localSheetId="0">Metadata!$A$56</definedName>
    <definedName name="Elevation" localSheetId="2">Metadata!$A$56</definedName>
    <definedName name="Elevation">#REF!</definedName>
    <definedName name="Email" localSheetId="0">Metadata!$A$18</definedName>
    <definedName name="Email" localSheetId="2">Metadata!$A$18</definedName>
    <definedName name="Email">#REF!</definedName>
    <definedName name="End_Date" localSheetId="0">Metadata!$A$34</definedName>
    <definedName name="End_Date" localSheetId="2">Metadata!$A$34</definedName>
    <definedName name="End_Date">#REF!</definedName>
    <definedName name="First_Name" localSheetId="0">Metadata!$A$19</definedName>
    <definedName name="First_Name" localSheetId="2">Metadata!$A$19</definedName>
    <definedName name="First_Name">#REF!</definedName>
    <definedName name="Geographic_Description" localSheetId="0">Metadata!$A$47</definedName>
    <definedName name="Geographic_Description" localSheetId="2">Metadata!$A$47</definedName>
    <definedName name="Geographic_Description">#REF!</definedName>
    <definedName name="INVESTIGATOR_INFORMATION" localSheetId="0">Metadata!$A$16</definedName>
    <definedName name="INVESTIGATOR_INFORMATION" localSheetId="2">Metadata!$A$16</definedName>
    <definedName name="INVESTIGATOR_INFORMATION">#REF!</definedName>
    <definedName name="KEYWORD_INFORMATION" localSheetId="0">Metadata!$A$62</definedName>
    <definedName name="KEYWORD_INFORMATION" localSheetId="2">Metadata!$A$62</definedName>
    <definedName name="KEYWORD_INFORMATION">#REF!</definedName>
    <definedName name="KEYWORDS" localSheetId="0">Metadata!$A$63</definedName>
    <definedName name="KEYWORDS" localSheetId="2">Metadata!$A$63</definedName>
    <definedName name="KEYWORDS">#REF!</definedName>
    <definedName name="Last_Name" localSheetId="0">Metadata!$A$20</definedName>
    <definedName name="Last_Name" localSheetId="2">Metadata!$A$20</definedName>
    <definedName name="Last_Name">#REF!</definedName>
    <definedName name="Latitude" localSheetId="0">Metadata!$A$54</definedName>
    <definedName name="Latitude" localSheetId="2">Metadata!$A$54</definedName>
    <definedName name="Latitude">#REF!</definedName>
    <definedName name="Link_to_Google_Map">Metadata!$A$57</definedName>
    <definedName name="Location_Bounding_Box" localSheetId="0">Metadata!$A$48</definedName>
    <definedName name="Location_Bounding_Box" localSheetId="2">Metadata!$A$48</definedName>
    <definedName name="Location_Bounding_Box">#REF!</definedName>
    <definedName name="Location_Name">Metadata!$A$46</definedName>
    <definedName name="Log_of_Changes" localSheetId="0">Metadata!$A$40</definedName>
    <definedName name="Log_of_Changes" localSheetId="2">Metadata!$A$40</definedName>
    <definedName name="Log_of_Changes">#REF!</definedName>
    <definedName name="Longitude" localSheetId="0">Metadata!$A$55</definedName>
    <definedName name="Longitude" localSheetId="2">Metadata!$A$55</definedName>
    <definedName name="Longitude">#REF!</definedName>
    <definedName name="LTER_Sites_number">'Sites(Do NOT Edit)'!$A$2:$A$637</definedName>
    <definedName name="Maintenance_Description" localSheetId="0">Metadata!$A$39</definedName>
    <definedName name="Maintenance_Description" localSheetId="2">Metadata!$A$39</definedName>
    <definedName name="Maintenance_Description">#REF!</definedName>
    <definedName name="Metacat_Package_ID" localSheetId="0">Metadata!$A$2</definedName>
    <definedName name="Metacat_Package_ID" localSheetId="2">Metadata!$A$2</definedName>
    <definedName name="Metacat_Package_ID">#REF!</definedName>
    <definedName name="METHODS" localSheetId="0">Metadata!$A$66</definedName>
    <definedName name="METHODS" localSheetId="2">Metadata!$A$66</definedName>
    <definedName name="METHODS">#REF!</definedName>
    <definedName name="Missing_Value_Code" localSheetId="0">Metadata!$G$121</definedName>
    <definedName name="Missing_Value_Code" localSheetId="2">Metadata!$G$121</definedName>
    <definedName name="Missing_Value_Code">#REF!</definedName>
    <definedName name="North_Bounding_Coordinate" localSheetId="0">Metadata!$A$51</definedName>
    <definedName name="North_Bounding_Coordinate" localSheetId="2">Metadata!$A$51</definedName>
    <definedName name="North_Bounding_Coordinate">#REF!</definedName>
    <definedName name="Number_of_Data_Records" localSheetId="0">Metadata!$A$35</definedName>
    <definedName name="Number_of_Data_Records" localSheetId="2">Metadata!$A$35</definedName>
    <definedName name="Number_of_Data_Records">#REF!</definedName>
    <definedName name="OR" localSheetId="0">Metadata!$A$112</definedName>
    <definedName name="OR" localSheetId="2">Metadata!$A$112</definedName>
    <definedName name="OR">#REF!</definedName>
    <definedName name="OR_if_single_point_location" localSheetId="0">Metadata!$A$53</definedName>
    <definedName name="OR_if_single_point_location" localSheetId="2">Metadata!$A$53</definedName>
    <definedName name="OR_if_single_point_location">#REF!</definedName>
    <definedName name="Organisms_studied" localSheetId="0">Metadata!$A$60</definedName>
    <definedName name="Organisms_studied" localSheetId="2">Metadata!$A$60</definedName>
    <definedName name="Organisms_studied">#REF!</definedName>
    <definedName name="Organization" localSheetId="0">Metadata!$A$21</definedName>
    <definedName name="Organization" localSheetId="2">Metadata!$A$21</definedName>
    <definedName name="Organization">#REF!</definedName>
    <definedName name="Other_Files_to_Reference" localSheetId="0">Metadata!$A$36</definedName>
    <definedName name="Other_Files_to_Reference" localSheetId="2">Metadata!$A$36</definedName>
    <definedName name="Other_Files_to_Reference">#REF!</definedName>
    <definedName name="Protocol_Document" localSheetId="0">Metadata!$A$113</definedName>
    <definedName name="Protocol_Document" localSheetId="2">Metadata!$A$113</definedName>
    <definedName name="Protocol_Document">#REF!</definedName>
    <definedName name="Protocol_Title" localSheetId="0">Metadata!$A$110</definedName>
    <definedName name="Protocol_Title" localSheetId="2">Metadata!$A$110</definedName>
    <definedName name="Protocol_Title">#REF!</definedName>
    <definedName name="Quality_Control_Information" localSheetId="0">Metadata!$A$38</definedName>
    <definedName name="Quality_Control_Information" localSheetId="2">Metadata!$A$38</definedName>
    <definedName name="Quality_Control_Information">#REF!</definedName>
    <definedName name="RESEARCH_LOCATION" localSheetId="0">Metadata!$A$45</definedName>
    <definedName name="RESEARCH_LOCATION" localSheetId="2">Metadata!$A$45</definedName>
    <definedName name="RESEARCH_LOCATION">#REF!</definedName>
    <definedName name="Role" localSheetId="0">Metadata!$A$17</definedName>
    <definedName name="Role" localSheetId="2">Metadata!$A$17</definedName>
    <definedName name="Role">#REF!</definedName>
    <definedName name="Sampling_and_or_Lab_Protocols" localSheetId="0">Metadata!$A$109</definedName>
    <definedName name="Sampling_and_or_Lab_Protocols" localSheetId="2">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Metadata!$A$52</definedName>
    <definedName name="South_Bounding_Coordinate">#REF!</definedName>
    <definedName name="State" localSheetId="0">Metadata!$A$25</definedName>
    <definedName name="State" localSheetId="2">Metadata!$A$25</definedName>
    <definedName name="State">#REF!</definedName>
    <definedName name="TAXONOMIC_COVERAGE" localSheetId="0">Metadata!$A$59</definedName>
    <definedName name="TAXONOMIC_COVERAGE" localSheetId="2">Metadata!$A$59</definedName>
    <definedName name="TAXONOMIC_COVERAGE">#REF!</definedName>
    <definedName name="Units" localSheetId="0">Metadata!$D$121</definedName>
    <definedName name="Units" localSheetId="2">Metadata!$D$121</definedName>
    <definedName name="Units">#REF!</definedName>
    <definedName name="URL_of_online_Protocol" localSheetId="0">Metadata!$A$111</definedName>
    <definedName name="URL_of_online_Protocol" localSheetId="2">Metadata!$A$111</definedName>
    <definedName name="URL_of_online_Protocol">#REF!</definedName>
    <definedName name="Variable_Description" localSheetId="0">Metadata!$B$121</definedName>
    <definedName name="Variable_Description" localSheetId="2">Metadata!$B$121</definedName>
    <definedName name="Variable_Description">#REF!</definedName>
    <definedName name="VARIABLE_DESCRIPTIONS" localSheetId="0">Metadata!$A$120</definedName>
    <definedName name="VARIABLE_DESCRIPTIONS" localSheetId="2">Metadata!$A$120</definedName>
    <definedName name="VARIABLE_DESCRIPTIONS">#REF!</definedName>
    <definedName name="Variable_Name" localSheetId="0">Metadata!$A$121</definedName>
    <definedName name="Variable_Name" localSheetId="2">Metadata!$A$121</definedName>
    <definedName name="Variable_Name">#REF!</definedName>
    <definedName name="West_Bounding_Coordinate" localSheetId="0">Metadata!$A$49</definedName>
    <definedName name="West_Bounding_Coordinate" localSheetId="2">Metadata!$A$49</definedName>
    <definedName name="West_Bounding_Coordinate">#REF!</definedName>
    <definedName name="Year_Released_to_Public" localSheetId="0">Metadata!$A$3</definedName>
    <definedName name="Year_Released_to_Public" localSheetId="2">Metadata!$A$3</definedName>
    <definedName name="Year_Released_to_Public">#REF!</definedName>
    <definedName name="Zip_Code" localSheetId="0">Metadata!$A$26</definedName>
    <definedName name="Zip_Code" localSheetId="2">Metadata!$A$26</definedName>
    <definedName name="Zip_Code">#REF!</definedName>
  </definedNames>
  <calcPr calcId="145621"/>
</workbook>
</file>

<file path=xl/calcChain.xml><?xml version="1.0" encoding="utf-8"?>
<calcChain xmlns="http://schemas.openxmlformats.org/spreadsheetml/2006/main">
  <c r="B54" i="3" l="1"/>
  <c r="D54" i="3"/>
  <c r="C54" i="3"/>
  <c r="C57" i="3" s="1"/>
  <c r="B57" i="3"/>
  <c r="D47" i="3"/>
  <c r="C47" i="3"/>
  <c r="B47" i="3"/>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N434" i="4"/>
  <c r="M434" i="4"/>
  <c r="N433" i="4"/>
  <c r="M433" i="4"/>
  <c r="N432" i="4"/>
  <c r="M432" i="4"/>
  <c r="N431" i="4"/>
  <c r="M431" i="4"/>
  <c r="N430" i="4"/>
  <c r="M430" i="4"/>
  <c r="N429" i="4"/>
  <c r="M429" i="4"/>
  <c r="N428" i="4"/>
  <c r="M428" i="4"/>
  <c r="N427" i="4"/>
  <c r="M427" i="4"/>
  <c r="N426" i="4"/>
  <c r="M426" i="4"/>
  <c r="N425" i="4"/>
  <c r="M425" i="4"/>
  <c r="N424" i="4"/>
  <c r="M424" i="4"/>
  <c r="N423" i="4"/>
  <c r="M423" i="4"/>
  <c r="N422" i="4"/>
  <c r="M422" i="4"/>
  <c r="N421" i="4"/>
  <c r="M421" i="4"/>
  <c r="N420" i="4"/>
  <c r="M420" i="4"/>
  <c r="N419" i="4"/>
  <c r="M419" i="4"/>
  <c r="N418" i="4"/>
  <c r="M418" i="4"/>
  <c r="N417" i="4"/>
  <c r="M417" i="4"/>
  <c r="N416" i="4"/>
  <c r="M416" i="4"/>
  <c r="N415" i="4"/>
  <c r="M415" i="4"/>
  <c r="N414" i="4"/>
  <c r="M414" i="4"/>
  <c r="N413" i="4"/>
  <c r="M413" i="4"/>
  <c r="N412" i="4"/>
  <c r="M412" i="4"/>
  <c r="N411" i="4"/>
  <c r="M411" i="4"/>
  <c r="N410" i="4"/>
  <c r="M410" i="4"/>
  <c r="N409" i="4"/>
  <c r="M409" i="4"/>
  <c r="N408" i="4"/>
  <c r="M408" i="4"/>
  <c r="N407" i="4"/>
  <c r="M407" i="4"/>
  <c r="N406" i="4"/>
  <c r="M406" i="4"/>
  <c r="N405" i="4"/>
  <c r="M405" i="4"/>
  <c r="N404" i="4"/>
  <c r="M404" i="4"/>
  <c r="N403" i="4"/>
  <c r="M403" i="4"/>
  <c r="N402" i="4"/>
  <c r="M402" i="4"/>
  <c r="N401" i="4"/>
  <c r="M401" i="4"/>
  <c r="N400" i="4"/>
  <c r="M400" i="4"/>
  <c r="N399" i="4"/>
  <c r="M399" i="4"/>
  <c r="N398" i="4"/>
  <c r="M398" i="4"/>
  <c r="N397" i="4"/>
  <c r="M397" i="4"/>
  <c r="N396" i="4"/>
  <c r="M396" i="4"/>
  <c r="N395" i="4"/>
  <c r="M395" i="4"/>
  <c r="N394" i="4"/>
  <c r="M394" i="4"/>
  <c r="N393" i="4"/>
  <c r="M393" i="4"/>
  <c r="N392" i="4"/>
  <c r="M392" i="4"/>
  <c r="N391" i="4"/>
  <c r="M391" i="4"/>
  <c r="N390" i="4"/>
  <c r="M390" i="4"/>
  <c r="N389" i="4"/>
  <c r="M389" i="4"/>
  <c r="N388" i="4"/>
  <c r="M388" i="4"/>
  <c r="N387" i="4"/>
  <c r="M387" i="4"/>
  <c r="N386" i="4"/>
  <c r="M386" i="4"/>
  <c r="N385" i="4"/>
  <c r="M385" i="4"/>
  <c r="N384" i="4"/>
  <c r="M384" i="4"/>
  <c r="N383" i="4"/>
  <c r="M383" i="4"/>
  <c r="N382" i="4"/>
  <c r="M382" i="4"/>
  <c r="N381" i="4"/>
  <c r="M381" i="4"/>
  <c r="N380" i="4"/>
  <c r="M380" i="4"/>
  <c r="N379" i="4"/>
  <c r="M379" i="4"/>
  <c r="N378" i="4"/>
  <c r="M378" i="4"/>
  <c r="N377" i="4"/>
  <c r="M377" i="4"/>
  <c r="N376" i="4"/>
  <c r="M376" i="4"/>
  <c r="N375" i="4"/>
  <c r="M375" i="4"/>
  <c r="N374" i="4"/>
  <c r="M374" i="4"/>
  <c r="N373" i="4"/>
  <c r="M373" i="4"/>
  <c r="N372" i="4"/>
  <c r="M372" i="4"/>
  <c r="N371" i="4"/>
  <c r="M371" i="4"/>
  <c r="N370" i="4"/>
  <c r="M370" i="4"/>
  <c r="N369" i="4"/>
  <c r="M369" i="4"/>
  <c r="N368" i="4"/>
  <c r="M368" i="4"/>
  <c r="N367" i="4"/>
  <c r="M367" i="4"/>
  <c r="N366" i="4"/>
  <c r="M366" i="4"/>
  <c r="N365" i="4"/>
  <c r="M365" i="4"/>
  <c r="N364" i="4"/>
  <c r="M364" i="4"/>
  <c r="N363" i="4"/>
  <c r="M363" i="4"/>
  <c r="N362" i="4"/>
  <c r="M362" i="4"/>
  <c r="N361" i="4"/>
  <c r="M361" i="4"/>
  <c r="N360" i="4"/>
  <c r="M360" i="4"/>
  <c r="N359" i="4"/>
  <c r="M359" i="4"/>
  <c r="N358" i="4"/>
  <c r="M358" i="4"/>
  <c r="N357" i="4"/>
  <c r="M357" i="4"/>
  <c r="N356"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N199" i="4"/>
  <c r="M199" i="4"/>
  <c r="N198" i="4"/>
  <c r="M198" i="4"/>
  <c r="N197" i="4"/>
  <c r="M197" i="4"/>
  <c r="N196" i="4"/>
  <c r="M196" i="4"/>
  <c r="N195" i="4"/>
  <c r="M195" i="4"/>
  <c r="N194" i="4"/>
  <c r="M194" i="4"/>
  <c r="N193" i="4"/>
  <c r="M193" i="4"/>
  <c r="N192" i="4"/>
  <c r="M192" i="4"/>
  <c r="N191" i="4"/>
  <c r="M191" i="4"/>
  <c r="N190" i="4"/>
  <c r="M190" i="4"/>
  <c r="N189" i="4"/>
  <c r="M189" i="4"/>
  <c r="N188" i="4"/>
  <c r="M188" i="4"/>
  <c r="N187" i="4"/>
  <c r="M187" i="4"/>
  <c r="N186" i="4"/>
  <c r="M186" i="4"/>
  <c r="N185" i="4"/>
  <c r="M185" i="4"/>
  <c r="N184" i="4"/>
  <c r="M184" i="4"/>
  <c r="N183" i="4"/>
  <c r="M183" i="4"/>
  <c r="N182" i="4"/>
  <c r="M182" i="4"/>
  <c r="N181" i="4"/>
  <c r="M181" i="4"/>
  <c r="N180" i="4"/>
  <c r="M180" i="4"/>
  <c r="N179" i="4"/>
  <c r="M179" i="4"/>
  <c r="N178" i="4"/>
  <c r="M178" i="4"/>
  <c r="N177" i="4"/>
  <c r="M177" i="4"/>
  <c r="N176" i="4"/>
  <c r="M176" i="4"/>
  <c r="N175" i="4"/>
  <c r="M175" i="4"/>
  <c r="N174" i="4"/>
  <c r="M174" i="4"/>
  <c r="N173" i="4"/>
  <c r="M173" i="4"/>
  <c r="N172" i="4"/>
  <c r="M172" i="4"/>
  <c r="N171" i="4"/>
  <c r="M171" i="4"/>
  <c r="N170" i="4"/>
  <c r="M170" i="4"/>
  <c r="N169" i="4"/>
  <c r="M169" i="4"/>
  <c r="N168" i="4"/>
  <c r="M168" i="4"/>
  <c r="N167"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E47" i="3"/>
  <c r="F47" i="3"/>
  <c r="G47" i="3"/>
  <c r="H47" i="3"/>
  <c r="I47" i="3"/>
  <c r="E54" i="3"/>
  <c r="E57" i="3" s="1"/>
  <c r="F54" i="3"/>
  <c r="F57" i="3" s="1"/>
  <c r="G54" i="3"/>
  <c r="G57" i="3" s="1"/>
  <c r="H54" i="3"/>
  <c r="H57" i="3" s="1"/>
  <c r="I54" i="3"/>
  <c r="I57" i="3" s="1"/>
  <c r="E55" i="3"/>
  <c r="F55" i="3"/>
  <c r="G55" i="3"/>
  <c r="H55" i="3"/>
  <c r="I55" i="3"/>
  <c r="B56" i="3"/>
  <c r="C56" i="3"/>
  <c r="D56" i="3"/>
  <c r="E56" i="3"/>
  <c r="F56" i="3"/>
  <c r="G56" i="3"/>
  <c r="H56" i="3"/>
  <c r="I56" i="3"/>
  <c r="D57" i="3"/>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<sst xmlns="http://schemas.openxmlformats.org/spreadsheetml/2006/main" count="6458" uniqueCount="1710">
  <si>
    <t>Transect</t>
  </si>
  <si>
    <t>Tussock</t>
  </si>
  <si>
    <t>Layer</t>
  </si>
  <si>
    <t>Ice</t>
  </si>
  <si>
    <t>Depth bin (cm)</t>
  </si>
  <si>
    <t>Mean depth (cm)</t>
  </si>
  <si>
    <t>ug C-DOC/g ode t0</t>
  </si>
  <si>
    <t>ug N-DON/g ode t0</t>
  </si>
  <si>
    <t xml:space="preserve"> MB ug C-DOC/ g ode t1</t>
  </si>
  <si>
    <t>MB ug N-TN/ g ode t1</t>
  </si>
  <si>
    <t>0-5</t>
  </si>
  <si>
    <t>5-15</t>
  </si>
  <si>
    <t>15+</t>
  </si>
  <si>
    <t>Unburned</t>
  </si>
  <si>
    <t>15-31</t>
  </si>
  <si>
    <t>15-25</t>
  </si>
  <si>
    <t>15-41</t>
  </si>
  <si>
    <t>15-36</t>
  </si>
  <si>
    <t>5-8</t>
  </si>
  <si>
    <t>15-39</t>
  </si>
  <si>
    <t>15-32</t>
  </si>
  <si>
    <t>15-37</t>
  </si>
  <si>
    <t>15-30</t>
  </si>
  <si>
    <t>15-28</t>
  </si>
  <si>
    <t>28-34</t>
  </si>
  <si>
    <t>15-46</t>
  </si>
  <si>
    <t>5-13</t>
  </si>
  <si>
    <t>13-17</t>
  </si>
  <si>
    <t>15-24</t>
  </si>
  <si>
    <t>15-19</t>
  </si>
  <si>
    <t>5-9.5</t>
  </si>
  <si>
    <t>15-26</t>
  </si>
  <si>
    <t>15-29</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</si>
  <si>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</si>
  <si>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</si>
  <si>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</si>
  <si>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</si>
  <si>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</si>
  <si>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</si>
  <si>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</si>
  <si>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</si>
  <si>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</si>
  <si>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</si>
  <si>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</si>
  <si>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</si>
  <si>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</si>
  <si>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</si>
  <si>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</si>
  <si>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</si>
  <si>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</si>
  <si>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</si>
  <si>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Data Manager </t>
  </si>
  <si>
    <t>Email</t>
  </si>
  <si>
    <t>msbretharte@alaska.edu</t>
  </si>
  <si>
    <t>mcmack@ufl.edu</t>
  </si>
  <si>
    <t>gshaver@mbl.edu</t>
  </si>
  <si>
    <t>jiml@mbl.edu</t>
  </si>
  <si>
    <t xml:space="preserve">First Name  </t>
  </si>
  <si>
    <t>M. Syndonia</t>
  </si>
  <si>
    <t>Mack</t>
  </si>
  <si>
    <t>Gaius</t>
  </si>
  <si>
    <t>James</t>
  </si>
  <si>
    <t xml:space="preserve">Last Name  </t>
  </si>
  <si>
    <t>Bret-Harte</t>
  </si>
  <si>
    <t>Michelle</t>
  </si>
  <si>
    <t>Shaver</t>
  </si>
  <si>
    <t>Laundre</t>
  </si>
  <si>
    <t>Organization</t>
  </si>
  <si>
    <t>Institute of Arctic Biology</t>
  </si>
  <si>
    <t>Department of Biology</t>
  </si>
  <si>
    <t xml:space="preserve">The Ecosystem Center </t>
  </si>
  <si>
    <t>The Ecosystem Center</t>
  </si>
  <si>
    <t>Address line 2</t>
  </si>
  <si>
    <t>University of Alaska Fairbanks</t>
  </si>
  <si>
    <t>University of Florida</t>
  </si>
  <si>
    <t>Marine Biological Laboratory</t>
  </si>
  <si>
    <t>Address line 3</t>
  </si>
  <si>
    <t>Bartram-Carr Hall</t>
  </si>
  <si>
    <t xml:space="preserve">7 MBL St. </t>
  </si>
  <si>
    <t>7 MBL St.</t>
  </si>
  <si>
    <t xml:space="preserve"> City  </t>
  </si>
  <si>
    <t>Fairbanks</t>
  </si>
  <si>
    <t>Gainesville</t>
  </si>
  <si>
    <t>Woods Hole</t>
  </si>
  <si>
    <t xml:space="preserve">State  </t>
  </si>
  <si>
    <t>AK</t>
  </si>
  <si>
    <t>FL</t>
  </si>
  <si>
    <t>MA</t>
  </si>
  <si>
    <t xml:space="preserve">Zip Code  </t>
  </si>
  <si>
    <t>99775-7000</t>
  </si>
  <si>
    <t>32611</t>
  </si>
  <si>
    <t>02543</t>
  </si>
  <si>
    <t>Country</t>
  </si>
  <si>
    <t>USA</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</si>
  <si>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</si>
  <si>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</si>
  <si>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</si>
  <si>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</si>
  <si>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</si>
  <si>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</si>
  <si>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</si>
  <si>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</si>
  <si>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</si>
  <si>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</si>
  <si>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</si>
  <si>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</si>
  <si>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</si>
  <si>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</si>
  <si>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</si>
  <si>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</si>
  <si>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</si>
  <si>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</si>
  <si>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</si>
  <si>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</si>
  <si>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</si>
  <si>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</si>
  <si>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</si>
  <si>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</si>
  <si>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</si>
  <si>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</si>
  <si>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</si>
  <si>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</si>
  <si>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</si>
  <si>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</si>
  <si>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</si>
  <si>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</si>
  <si>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</si>
  <si>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</si>
  <si>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</si>
  <si>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</si>
  <si>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</si>
  <si>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</si>
  <si>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</si>
  <si>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</si>
  <si>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</si>
  <si>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</si>
  <si>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</si>
  <si>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</si>
  <si>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</si>
  <si>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</si>
  <si>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Year</t>
  </si>
  <si>
    <t>datetime</t>
  </si>
  <si>
    <t>YYYY</t>
  </si>
  <si>
    <t xml:space="preserve"> </t>
  </si>
  <si>
    <t>Harvest</t>
  </si>
  <si>
    <t>Site of harvest</t>
  </si>
  <si>
    <t>text</t>
  </si>
  <si>
    <t>ampere</t>
  </si>
  <si>
    <t>Degree of fire disturbance</t>
  </si>
  <si>
    <t xml:space="preserve">Associated Researcher </t>
  </si>
  <si>
    <t>interval</t>
  </si>
  <si>
    <t>number</t>
  </si>
  <si>
    <t>amperePerMeter</t>
  </si>
  <si>
    <t xml:space="preserve">Transect, where 108 &amp; 109 are from the unburned control site, 101 &amp; 114 are from the severely burned site and 103 &amp; 104 are from the moderately burned site </t>
  </si>
  <si>
    <t>nominal</t>
  </si>
  <si>
    <t>amperePerMeterSquared</t>
  </si>
  <si>
    <t>Quadrat</t>
  </si>
  <si>
    <t xml:space="preserve">Field Crew </t>
  </si>
  <si>
    <t>ordinal</t>
  </si>
  <si>
    <t>angstrom</t>
  </si>
  <si>
    <t>centimeter</t>
  </si>
  <si>
    <t>bar</t>
  </si>
  <si>
    <t>gramPerMeterSquared</t>
  </si>
  <si>
    <t>becquerel</t>
  </si>
  <si>
    <t>becquerelPerGram</t>
  </si>
  <si>
    <t>becquerelPerMilligram</t>
  </si>
  <si>
    <t>becquerelPerMilliliter</t>
  </si>
  <si>
    <t>calorie</t>
  </si>
  <si>
    <t>candela</t>
  </si>
  <si>
    <t>candelaPerMeterSquared</t>
  </si>
  <si>
    <t>celsius</t>
  </si>
  <si>
    <t>microgramPerGram</t>
  </si>
  <si>
    <t>centigram</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</si>
  <si>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</si>
  <si>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</si>
  <si>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</si>
  <si>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</si>
  <si>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</si>
  <si>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</si>
  <si>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</si>
  <si>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</si>
  <si>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</si>
  <si>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</si>
  <si>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</si>
  <si>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</si>
  <si>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</si>
  <si>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</si>
  <si>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</si>
  <si>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</si>
  <si>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</si>
  <si>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</si>
  <si>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</si>
  <si>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</si>
  <si>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</si>
  <si>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</si>
  <si>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</si>
  <si>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</si>
  <si>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</si>
  <si>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</si>
  <si>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</si>
  <si>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</si>
  <si>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</si>
  <si>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</si>
  <si>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</si>
  <si>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</si>
  <si>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</si>
  <si>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</si>
  <si>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</si>
  <si>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</si>
  <si>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</si>
  <si>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</si>
  <si>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</si>
  <si>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</si>
  <si>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</si>
  <si>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</si>
  <si>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</si>
  <si>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</si>
  <si>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</si>
  <si>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</si>
  <si>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</si>
  <si>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</si>
  <si>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</si>
  <si>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</si>
  <si>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</si>
  <si>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</si>
  <si>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</si>
  <si>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</si>
  <si>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</si>
  <si>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</si>
  <si>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</si>
  <si>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</si>
  <si>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</si>
  <si>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</si>
  <si>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</si>
  <si>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</si>
  <si>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</si>
  <si>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</si>
  <si>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</si>
  <si>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</si>
  <si>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</si>
  <si>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</si>
  <si>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</si>
  <si>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</si>
  <si>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</si>
  <si>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</si>
  <si>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</si>
  <si>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</si>
  <si>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</si>
  <si>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</si>
  <si>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</si>
  <si>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</si>
  <si>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</si>
  <si>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</si>
  <si>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</si>
  <si>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</si>
  <si>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</si>
  <si>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</si>
  <si>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</si>
  <si>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</si>
  <si>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</si>
  <si>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</si>
  <si>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</si>
  <si>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</si>
  <si>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</si>
  <si>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</si>
  <si>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</si>
  <si>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</si>
  <si>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</si>
  <si>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</si>
  <si>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</si>
  <si>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</si>
  <si>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</si>
  <si>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</si>
  <si>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</si>
  <si>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</si>
  <si>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</si>
  <si>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</si>
  <si>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</si>
  <si>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</si>
  <si>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</si>
  <si>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</si>
  <si>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</si>
  <si>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</si>
  <si>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</si>
  <si>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</si>
  <si>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</si>
  <si>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</si>
  <si>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</si>
  <si>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</si>
  <si>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</si>
  <si>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</si>
  <si>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</si>
  <si>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</si>
  <si>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</si>
  <si>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</si>
  <si>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</si>
  <si>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</si>
  <si>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</si>
  <si>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</si>
  <si>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</si>
  <si>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</si>
  <si>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</si>
  <si>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</si>
  <si>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</si>
  <si>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</si>
  <si>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</si>
  <si>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</si>
  <si>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</si>
  <si>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</si>
  <si>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</si>
  <si>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</si>
  <si>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</si>
  <si>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</si>
  <si>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</si>
  <si>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</si>
  <si>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</si>
  <si>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</si>
  <si>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</si>
  <si>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</si>
  <si>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</si>
  <si>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</si>
  <si>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</si>
  <si>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</si>
  <si>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</si>
  <si>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</si>
  <si>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</si>
  <si>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</si>
  <si>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</si>
  <si>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</si>
  <si>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</si>
  <si>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</si>
  <si>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</si>
  <si>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</si>
  <si>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</si>
  <si>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</si>
  <si>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</si>
  <si>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</si>
  <si>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</si>
  <si>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</si>
  <si>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</si>
  <si>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</si>
  <si>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</si>
  <si>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</si>
  <si>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</si>
  <si>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</si>
  <si>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</si>
  <si>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</si>
  <si>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</si>
  <si>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</si>
  <si>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</si>
  <si>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</si>
  <si>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</si>
  <si>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</si>
  <si>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</si>
  <si>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</si>
  <si>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</si>
  <si>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</si>
  <si>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</si>
  <si>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</si>
  <si>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Bulk %C</t>
  </si>
  <si>
    <t>Bulk %N</t>
  </si>
  <si>
    <r>
      <t>Bulk d (g/cm</t>
    </r>
    <r>
      <rPr>
        <vertAlign val="superscript"/>
        <sz val="11"/>
        <color theme="1"/>
        <rFont val="Calibri"/>
        <family val="2"/>
        <scheme val="minor"/>
      </rPr>
      <t>3</t>
    </r>
    <r>
      <rPr>
        <sz val="11"/>
        <color theme="1"/>
        <rFont val="Calibri"/>
        <family val="2"/>
        <scheme val="minor"/>
      </rPr>
      <t>)</t>
    </r>
  </si>
  <si>
    <r>
      <t>ug-N-NH</t>
    </r>
    <r>
      <rPr>
        <vertAlign val="subscript"/>
        <sz val="11"/>
        <color theme="1"/>
        <rFont val="Calibri"/>
        <family val="2"/>
        <scheme val="minor"/>
      </rPr>
      <t>4</t>
    </r>
    <r>
      <rPr>
        <sz val="11"/>
        <color theme="1"/>
        <rFont val="Calibri"/>
        <family val="2"/>
        <scheme val="minor"/>
      </rPr>
      <t>/g ode</t>
    </r>
  </si>
  <si>
    <r>
      <t>ug-N- NO</t>
    </r>
    <r>
      <rPr>
        <vertAlign val="subscript"/>
        <sz val="11"/>
        <color theme="1"/>
        <rFont val="Calibri"/>
        <family val="2"/>
        <scheme val="minor"/>
      </rPr>
      <t>3</t>
    </r>
    <r>
      <rPr>
        <sz val="11"/>
        <color theme="1"/>
        <rFont val="Calibri"/>
        <family val="2"/>
        <scheme val="minor"/>
      </rPr>
      <t>/g  ode</t>
    </r>
  </si>
  <si>
    <r>
      <t>gN/m</t>
    </r>
    <r>
      <rPr>
        <vertAlign val="superscript"/>
        <sz val="11"/>
        <color theme="1"/>
        <rFont val="Calibri"/>
        <family val="2"/>
        <scheme val="minor"/>
      </rPr>
      <t>2</t>
    </r>
  </si>
  <si>
    <r>
      <t>gC/m</t>
    </r>
    <r>
      <rPr>
        <vertAlign val="superscript"/>
        <sz val="11"/>
        <color theme="1"/>
        <rFont val="Calibri"/>
        <family val="2"/>
        <scheme val="minor"/>
      </rPr>
      <t>2</t>
    </r>
  </si>
  <si>
    <r>
      <t>gC-COD/m</t>
    </r>
    <r>
      <rPr>
        <vertAlign val="superscript"/>
        <sz val="11"/>
        <color theme="1"/>
        <rFont val="Calibri"/>
        <family val="2"/>
        <scheme val="minor"/>
      </rPr>
      <t>2</t>
    </r>
  </si>
  <si>
    <r>
      <t>gN-NH4+/m</t>
    </r>
    <r>
      <rPr>
        <vertAlign val="superscript"/>
        <sz val="11"/>
        <color theme="1"/>
        <rFont val="Calibri"/>
        <family val="2"/>
        <scheme val="minor"/>
      </rPr>
      <t>2</t>
    </r>
  </si>
  <si>
    <r>
      <t>gN-NO3-/m</t>
    </r>
    <r>
      <rPr>
        <vertAlign val="superscript"/>
        <sz val="11"/>
        <color theme="1"/>
        <rFont val="Calibri"/>
        <family val="2"/>
        <scheme val="minor"/>
      </rPr>
      <t>2</t>
    </r>
  </si>
  <si>
    <r>
      <t>gN-DON/m</t>
    </r>
    <r>
      <rPr>
        <vertAlign val="superscript"/>
        <sz val="11"/>
        <color theme="1"/>
        <rFont val="Calibri"/>
        <family val="2"/>
        <scheme val="minor"/>
      </rPr>
      <t>2</t>
    </r>
  </si>
  <si>
    <r>
      <t>gC-DOC/m</t>
    </r>
    <r>
      <rPr>
        <vertAlign val="superscript"/>
        <sz val="11"/>
        <color theme="1"/>
        <rFont val="Calibri"/>
        <family val="2"/>
        <scheme val="minor"/>
      </rPr>
      <t>2</t>
    </r>
  </si>
  <si>
    <r>
      <t>gN-MBN/m</t>
    </r>
    <r>
      <rPr>
        <vertAlign val="superscript"/>
        <sz val="11"/>
        <color theme="1"/>
        <rFont val="Calibri"/>
        <family val="2"/>
        <scheme val="minor"/>
      </rPr>
      <t>2</t>
    </r>
  </si>
  <si>
    <r>
      <t>gC-MBC/m</t>
    </r>
    <r>
      <rPr>
        <vertAlign val="superscript"/>
        <sz val="11"/>
        <color theme="1"/>
        <rFont val="Calibri"/>
        <family val="2"/>
        <scheme val="minor"/>
      </rPr>
      <t>2</t>
    </r>
  </si>
  <si>
    <t>Fire Disturbance</t>
  </si>
  <si>
    <t>ARF</t>
  </si>
  <si>
    <t>Moderate Burn</t>
  </si>
  <si>
    <t>Severe Burn</t>
  </si>
  <si>
    <t>Year of root harvest</t>
  </si>
  <si>
    <t>Plot 1-10 for each transect</t>
  </si>
  <si>
    <t>mineral or organic soil layer</t>
  </si>
  <si>
    <t>0=no ice in core, 1= ice hit in core and stopped coring progress</t>
  </si>
  <si>
    <t>Incremental depth category</t>
  </si>
  <si>
    <t>Actual measured depth of the bottom of the increment</t>
  </si>
  <si>
    <t>Organic</t>
  </si>
  <si>
    <t>Mineral</t>
  </si>
  <si>
    <t>Homogenized soil bulk carbon concentration</t>
  </si>
  <si>
    <t>Homogenized soil bulk nitrogen concentration</t>
  </si>
  <si>
    <t>Homogenized soil ammonium concentration per gram oven dry equivalent soil (2N KCl extract)</t>
  </si>
  <si>
    <t>Homogenized soil nitrate concentration per gram oven dry equivalent soil (2N KCl extract)</t>
  </si>
  <si>
    <t>Homogenized soil dissolved organic carbon concentration per gram oven dry equivalent soil (2N KCl extract)</t>
  </si>
  <si>
    <t>Homogenized soil dissolved organic nitrogen concentration per gram oven dry equivalent soil (2N KCl extract)</t>
  </si>
  <si>
    <t>Homogenized soil microbial biomass (chloroform-labile) carbon concentration per gram oven dry equivalent soil (2N KCl extract)</t>
  </si>
  <si>
    <t>Homogenized soil microbial biomass (chloroform-labile) nitrogen concentration per gram oven dry equivalent soil (2N KCl extract)</t>
  </si>
  <si>
    <t>Homogenized soil bulk nitrogen pool</t>
  </si>
  <si>
    <t>Homogenized soil bulk carbon pool</t>
  </si>
  <si>
    <t>Coarse organic debris (&gt;2mm diameter) carbon pool</t>
  </si>
  <si>
    <t>Homogenized soil ammonium pool</t>
  </si>
  <si>
    <t>Homogenized soil nitrate pool</t>
  </si>
  <si>
    <t>Homogenized soil dissolved organic nitrogen pool</t>
  </si>
  <si>
    <t>Homogenized soil dissolved organic carbon pool</t>
  </si>
  <si>
    <t>0=plot is not on an Erivag tussock, 1=plot on tussock</t>
  </si>
  <si>
    <t>Homogenized soil bulk density (measured on cut monoliths (organic soil) or field cores (mineral soil))</t>
  </si>
  <si>
    <t>2011ARF_SoilCN_byDepth</t>
  </si>
  <si>
    <t>Soil properties and nutrient concentrations by depth from the Anaktuvuk River Fire site in 2011</t>
  </si>
  <si>
    <t>Alaska, biomass, productivity, tundra, primary production, disturbance, organic matter, burn, recovery, carbon, nitrogen</t>
  </si>
  <si>
    <t>Homogenized soil microbial biomass nitrogen pool</t>
  </si>
  <si>
    <t>Homogenized soil microbial biomass carbon pool</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</si>
  <si>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</si>
  <si>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</si>
  <si>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</si>
  <si>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</si>
  <si>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</si>
  <si>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</si>
  <si>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</si>
  <si>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</si>
  <si>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</si>
  <si>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</si>
  <si>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</si>
  <si>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</si>
  <si>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</si>
  <si>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</si>
  <si>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</si>
  <si>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</si>
  <si>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</si>
  <si>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</si>
  <si>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atmosphere</t>
  </si>
  <si>
    <t>ratio</t>
  </si>
  <si>
    <t xml:space="preserve">Lab Crew </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</si>
  <si>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</si>
  <si>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</si>
  <si>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</si>
  <si>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</si>
  <si>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</si>
  <si>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</si>
  <si>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</si>
  <si>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</si>
  <si>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</si>
  <si>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</si>
  <si>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</si>
  <si>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</si>
  <si>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</si>
  <si>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</si>
  <si>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</si>
  <si>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</si>
  <si>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</si>
  <si>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</si>
  <si>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</si>
  <si>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</si>
  <si>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</si>
  <si>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</si>
  <si>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</si>
  <si>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</si>
  <si>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</si>
  <si>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</si>
  <si>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</si>
  <si>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</si>
  <si>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</si>
  <si>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</si>
  <si>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</si>
  <si>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</si>
  <si>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</si>
  <si>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</si>
  <si>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</si>
  <si>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</si>
  <si>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</si>
  <si>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</si>
  <si>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</si>
  <si>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</si>
  <si>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</si>
  <si>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</si>
  <si>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</si>
  <si>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</si>
  <si>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</si>
  <si>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</si>
  <si>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</si>
  <si>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</si>
  <si>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</si>
  <si>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</si>
  <si>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</si>
  <si>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</si>
  <si>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</si>
  <si>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</si>
  <si>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</si>
  <si>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</si>
  <si>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</si>
  <si>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</si>
  <si>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</si>
  <si>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</si>
  <si>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</si>
  <si>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</si>
  <si>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</si>
  <si>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</si>
  <si>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</si>
  <si>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</si>
  <si>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</si>
  <si>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</si>
  <si>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</si>
  <si>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</si>
  <si>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</si>
  <si>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</si>
  <si>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</si>
  <si>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</si>
  <si>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</si>
  <si>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</si>
  <si>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</si>
  <si>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</si>
  <si>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</si>
  <si>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</si>
  <si>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</si>
  <si>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</si>
  <si>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</si>
  <si>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</si>
  <si>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</si>
  <si>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</si>
  <si>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</si>
  <si>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</si>
  <si>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</si>
  <si>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</si>
  <si>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</si>
  <si>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</si>
  <si>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</si>
  <si>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</si>
  <si>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</si>
  <si>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</si>
  <si>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</si>
  <si>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</si>
  <si>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</si>
  <si>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</si>
  <si>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</si>
  <si>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</si>
  <si>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</si>
  <si>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</si>
  <si>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</si>
  <si>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</si>
  <si>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</si>
  <si>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</si>
  <si>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</si>
  <si>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</si>
  <si>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</si>
  <si>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</si>
  <si>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</si>
  <si>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</si>
  <si>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</si>
  <si>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</si>
  <si>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</si>
  <si>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</si>
  <si>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</si>
  <si>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</si>
  <si>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</si>
  <si>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</si>
  <si>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</si>
  <si>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</si>
  <si>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</si>
  <si>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</si>
  <si>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</si>
  <si>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</si>
  <si>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</si>
  <si>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</si>
  <si>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</si>
  <si>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</si>
  <si>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</si>
  <si>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</si>
  <si>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</si>
  <si>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</si>
  <si>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</si>
  <si>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</si>
  <si>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</si>
  <si>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</si>
  <si>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</si>
  <si>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</si>
  <si>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</si>
  <si>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</si>
  <si>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</si>
  <si>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</si>
  <si>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</si>
  <si>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</si>
  <si>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</si>
  <si>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</si>
  <si>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</si>
  <si>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</si>
  <si>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</si>
  <si>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</si>
  <si>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</si>
  <si>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</si>
  <si>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</si>
  <si>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</si>
  <si>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</si>
  <si>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</si>
  <si>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</si>
  <si>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</si>
  <si>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</si>
  <si>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</si>
  <si>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</si>
  <si>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</si>
  <si>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</si>
  <si>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</si>
  <si>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</si>
  <si>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</si>
  <si>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</si>
  <si>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</si>
  <si>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</si>
  <si>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</si>
  <si>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</si>
  <si>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</si>
  <si>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</si>
  <si>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</si>
  <si>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</si>
  <si>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</si>
  <si>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</si>
  <si>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</si>
  <si>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</si>
  <si>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</si>
  <si>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</si>
  <si>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</si>
  <si>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</si>
  <si>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</si>
  <si>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</si>
  <si>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</si>
  <si>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</si>
  <si>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</si>
  <si>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</si>
  <si>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</si>
  <si>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</si>
  <si>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</si>
  <si>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</si>
  <si>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</si>
  <si>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</si>
  <si>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</si>
  <si>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</si>
  <si>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</si>
  <si>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</si>
  <si>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</si>
  <si>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</si>
  <si>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</si>
  <si>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</si>
  <si>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</si>
  <si>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</si>
  <si>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</si>
  <si>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</si>
  <si>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</si>
  <si>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</si>
  <si>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</si>
  <si>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</si>
  <si>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</si>
  <si>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</si>
  <si>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</si>
  <si>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</si>
  <si>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</si>
  <si>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</si>
  <si>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</si>
  <si>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</si>
  <si>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</si>
  <si>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</si>
  <si>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</si>
  <si>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</si>
  <si>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</si>
  <si>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</si>
  <si>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</si>
  <si>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</si>
  <si>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</si>
  <si>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</si>
  <si>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</si>
  <si>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</si>
  <si>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</si>
  <si>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</si>
  <si>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</si>
  <si>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</si>
  <si>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</si>
  <si>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</si>
  <si>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</si>
  <si>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</si>
  <si>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</si>
  <si>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</si>
  <si>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</si>
  <si>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</si>
  <si>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</si>
  <si>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</si>
  <si>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</si>
  <si>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</si>
  <si>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</si>
  <si>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</si>
  <si>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</si>
  <si>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</si>
  <si>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</si>
  <si>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</si>
  <si>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</si>
  <si>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</si>
  <si>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</si>
  <si>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</si>
  <si>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</si>
  <si>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</si>
  <si>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</si>
  <si>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</si>
  <si>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</si>
  <si>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</si>
  <si>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</si>
  <si>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</si>
  <si>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</si>
  <si>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</si>
  <si>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</si>
  <si>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</si>
  <si>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</si>
  <si>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</si>
  <si>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</si>
  <si>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</si>
  <si>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</si>
  <si>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</si>
  <si>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</si>
  <si>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</si>
  <si>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</si>
  <si>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</si>
  <si>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</si>
  <si>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</si>
  <si>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</si>
  <si>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</si>
  <si>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</si>
  <si>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</si>
  <si>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</si>
  <si>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</si>
  <si>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</si>
  <si>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</si>
  <si>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</si>
  <si>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</si>
  <si>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</si>
  <si>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</si>
  <si>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</si>
  <si>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</si>
  <si>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</si>
  <si>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</si>
  <si>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</si>
  <si>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</si>
  <si>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</si>
  <si>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</si>
  <si>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</si>
  <si>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</si>
  <si>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</si>
  <si>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</si>
  <si>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</si>
  <si>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</si>
  <si>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</si>
  <si>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</si>
  <si>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</si>
  <si>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</si>
  <si>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</si>
  <si>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</si>
  <si>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</si>
  <si>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</si>
  <si>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</si>
  <si>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</si>
  <si>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</si>
  <si>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</si>
  <si>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</si>
  <si>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</si>
  <si>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</si>
  <si>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</si>
  <si>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</si>
  <si>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</si>
  <si>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</si>
  <si>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</si>
  <si>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</si>
  <si>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</si>
  <si>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</si>
  <si>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</si>
  <si>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</si>
  <si>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</si>
  <si>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</si>
  <si>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</si>
  <si>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</si>
  <si>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</si>
  <si>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</si>
  <si>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</si>
  <si>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</si>
  <si>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</si>
  <si>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</si>
  <si>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</si>
  <si>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</si>
  <si>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</si>
  <si>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</si>
  <si>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</si>
  <si>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</si>
  <si>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</si>
  <si>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</si>
  <si>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</si>
  <si>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</si>
  <si>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</si>
  <si>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</si>
  <si>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</si>
  <si>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</si>
  <si>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</si>
  <si>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</si>
  <si>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</si>
  <si>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</si>
  <si>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</si>
  <si>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</si>
  <si>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</si>
  <si>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</si>
  <si>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</si>
  <si>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</si>
  <si>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</si>
  <si>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</si>
  <si>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</si>
  <si>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</si>
  <si>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</si>
  <si>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</si>
  <si>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</si>
  <si>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</si>
  <si>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</si>
  <si>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</si>
  <si>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</si>
  <si>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</si>
  <si>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</si>
  <si>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</si>
  <si>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</si>
  <si>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</si>
  <si>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</si>
  <si>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</si>
  <si>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</si>
  <si>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</si>
  <si>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</si>
  <si>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</si>
  <si>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</si>
  <si>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</si>
  <si>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</si>
  <si>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</si>
  <si>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</si>
  <si>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</si>
  <si>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</si>
  <si>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</si>
  <si>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</si>
  <si>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</si>
  <si>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</si>
  <si>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</si>
  <si>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</si>
  <si>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</si>
  <si>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</si>
  <si>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</si>
  <si>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</si>
  <si>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</si>
  <si>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</si>
  <si>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</si>
  <si>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</si>
  <si>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</si>
  <si>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</si>
  <si>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</si>
  <si>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</si>
  <si>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</si>
  <si>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</si>
  <si>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</si>
  <si>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</si>
  <si>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</si>
  <si>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</si>
  <si>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</si>
  <si>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</si>
  <si>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</si>
  <si>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</si>
  <si>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</si>
  <si>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</si>
  <si>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</si>
  <si>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</si>
  <si>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</si>
  <si>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</si>
  <si>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</si>
  <si>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</si>
  <si>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</si>
  <si>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</si>
  <si>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</si>
  <si>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</si>
  <si>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</si>
  <si>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</si>
  <si>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</si>
  <si>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</si>
  <si>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</si>
  <si>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</si>
  <si>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</si>
  <si>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</si>
  <si>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</si>
  <si>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</si>
  <si>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</si>
  <si>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</si>
  <si>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</si>
  <si>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</si>
  <si>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</si>
  <si>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</si>
  <si>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</si>
  <si>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</si>
  <si>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</si>
  <si>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</si>
  <si>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</si>
  <si>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</si>
  <si>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</si>
  <si>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</si>
  <si>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</si>
  <si>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</si>
  <si>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</si>
  <si>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</si>
  <si>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</si>
  <si>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</si>
  <si>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</si>
  <si>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</si>
  <si>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</si>
  <si>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</si>
  <si>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</si>
  <si>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</si>
  <si>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</si>
  <si>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</si>
  <si>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</si>
  <si>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</si>
  <si>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</si>
  <si>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</si>
  <si>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</si>
  <si>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</si>
  <si>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</si>
  <si>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</si>
  <si>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</si>
  <si>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</si>
  <si>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</si>
  <si>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</si>
  <si>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</si>
  <si>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</si>
  <si>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</si>
  <si>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</si>
  <si>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</si>
  <si>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</si>
  <si>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</si>
  <si>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</si>
  <si>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</si>
  <si>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</si>
  <si>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</si>
  <si>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</si>
  <si>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</si>
  <si>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</si>
  <si>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</si>
  <si>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</si>
  <si>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</si>
  <si>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</si>
  <si>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</si>
  <si>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</si>
  <si>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</si>
  <si>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</si>
  <si>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</si>
  <si>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</si>
  <si>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</si>
  <si>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</si>
  <si>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</si>
  <si>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</si>
  <si>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</si>
  <si>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</si>
  <si>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</si>
  <si>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</si>
  <si>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</si>
  <si>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</si>
  <si>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</si>
  <si>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</si>
  <si>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</si>
  <si>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</si>
  <si>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</si>
  <si>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</si>
  <si>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</si>
  <si>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</si>
  <si>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</si>
  <si>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</si>
  <si>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</si>
  <si>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</si>
  <si>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</si>
  <si>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</si>
  <si>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</si>
  <si>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</si>
  <si>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</si>
  <si>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</si>
  <si>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</si>
  <si>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</si>
  <si>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</si>
  <si>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</si>
  <si>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</si>
  <si>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</si>
  <si>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</si>
  <si>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</si>
  <si>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</si>
  <si>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</si>
  <si>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</si>
  <si>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</si>
  <si>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</si>
  <si>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</si>
  <si>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</si>
  <si>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</si>
  <si>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</si>
  <si>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</si>
  <si>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</si>
  <si>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</si>
  <si>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</si>
  <si>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</si>
  <si>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</si>
  <si>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</si>
  <si>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</si>
  <si>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</si>
  <si>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</si>
  <si>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</si>
  <si>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</si>
  <si>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</si>
  <si>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</si>
  <si>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</si>
  <si>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</si>
  <si>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</si>
  <si>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</si>
  <si>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</si>
  <si>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</si>
  <si>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</si>
  <si>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</si>
  <si>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</si>
  <si>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</si>
  <si>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</si>
  <si>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</si>
  <si>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</si>
  <si>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</si>
  <si>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</si>
  <si>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</si>
  <si>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</si>
  <si>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</si>
  <si>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</si>
  <si>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</si>
  <si>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</si>
  <si>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</si>
  <si>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</si>
  <si>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</si>
  <si>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</si>
  <si>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</si>
  <si>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</si>
  <si>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</si>
  <si>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</si>
  <si>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</si>
  <si>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</si>
  <si>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</si>
  <si>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</si>
  <si>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</si>
  <si>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</si>
  <si>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</si>
  <si>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</si>
  <si>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</si>
  <si>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</si>
  <si>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</si>
  <si>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</si>
  <si>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</si>
  <si>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</si>
  <si>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</si>
  <si>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</si>
  <si>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</si>
  <si>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</si>
  <si>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</si>
  <si>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</si>
  <si>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</si>
  <si>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</si>
  <si>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</si>
  <si>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</si>
  <si>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</si>
  <si>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</si>
  <si>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</si>
  <si>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</si>
  <si>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</si>
  <si>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</si>
  <si>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</si>
  <si>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</si>
  <si>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</si>
  <si>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</si>
  <si>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</si>
  <si>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</si>
  <si>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</si>
  <si>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</si>
  <si>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</si>
  <si>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</si>
  <si>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</si>
  <si>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</si>
  <si>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</si>
  <si>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</si>
  <si>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</si>
  <si>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</si>
  <si>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</si>
  <si>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</si>
  <si>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</si>
  <si>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</si>
  <si>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</si>
  <si>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</si>
  <si>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</si>
  <si>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</si>
  <si>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</si>
  <si>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</si>
  <si>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</si>
  <si>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</si>
  <si>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</si>
  <si>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</si>
  <si>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</si>
  <si>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</si>
  <si>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</si>
  <si>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</si>
  <si>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</si>
  <si>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</si>
  <si>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</si>
  <si>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</si>
  <si>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</si>
  <si>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</si>
  <si>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</si>
  <si>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</si>
  <si>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</si>
  <si>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</si>
  <si>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</si>
  <si>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</si>
  <si>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</si>
  <si>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</si>
  <si>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</si>
  <si>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</si>
  <si>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</si>
  <si>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</si>
  <si>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</si>
  <si>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</si>
  <si>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</si>
  <si>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</si>
  <si>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</si>
  <si>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</si>
  <si>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</si>
  <si>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</si>
  <si>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</si>
  <si>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</si>
  <si>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</si>
  <si>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</si>
  <si>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</si>
  <si>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</si>
  <si>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</si>
  <si>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</si>
  <si>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</si>
  <si>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</si>
  <si>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</si>
  <si>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</si>
  <si>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</si>
  <si>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</si>
  <si>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</si>
  <si>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</si>
  <si>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</si>
  <si>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</si>
  <si>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</si>
  <si>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</si>
  <si>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</si>
  <si>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</si>
  <si>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</si>
  <si>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</si>
  <si>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</si>
  <si>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</si>
  <si>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</si>
  <si>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</si>
  <si>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</si>
  <si>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</si>
  <si>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</si>
  <si>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</si>
  <si>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</si>
  <si>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</si>
  <si>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</si>
  <si>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</si>
  <si>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</si>
  <si>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</si>
  <si>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</si>
  <si>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</si>
  <si>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</si>
  <si>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</si>
  <si>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</si>
  <si>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</si>
  <si>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</si>
  <si>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</si>
  <si>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</si>
  <si>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</si>
  <si>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</si>
  <si>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</si>
  <si>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</si>
  <si>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</si>
  <si>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</si>
  <si>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</si>
  <si>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</si>
  <si>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</si>
  <si>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</si>
  <si>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</si>
  <si>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</si>
  <si>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</si>
  <si>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</si>
  <si>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</si>
  <si>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</si>
  <si>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</si>
  <si>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</si>
  <si>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</si>
  <si>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</si>
  <si>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</si>
  <si>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</si>
  <si>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</si>
  <si>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</si>
  <si>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</si>
  <si>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</si>
  <si>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</si>
  <si>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</si>
  <si>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</si>
  <si>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</si>
  <si>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</si>
  <si>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</si>
  <si>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</si>
  <si>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</si>
  <si>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</si>
  <si>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</si>
  <si>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</si>
  <si>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</si>
  <si>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</si>
  <si>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</si>
  <si>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</si>
  <si>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</si>
  <si>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</si>
  <si>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</si>
  <si>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</si>
  <si>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</si>
  <si>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</si>
  <si>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</si>
  <si>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</si>
  <si>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</si>
  <si>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</si>
  <si>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</si>
  <si>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</si>
  <si>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</si>
  <si>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</si>
  <si>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</si>
  <si>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</si>
  <si>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</si>
  <si>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</si>
  <si>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</si>
  <si>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</si>
  <si>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</si>
  <si>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</si>
  <si>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</si>
  <si>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</si>
  <si>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</si>
  <si>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</si>
  <si>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</si>
  <si>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</si>
  <si>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</si>
  <si>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</si>
  <si>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</si>
  <si>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</si>
  <si>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</si>
  <si>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</si>
  <si>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</si>
  <si>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</si>
  <si>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</si>
  <si>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</si>
  <si>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</si>
  <si>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</si>
  <si>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</si>
  <si>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</si>
  <si>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</si>
  <si>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</si>
  <si>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</si>
  <si>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</si>
  <si>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</si>
  <si>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</si>
  <si>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</si>
  <si>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</si>
  <si>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</si>
  <si>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</si>
  <si>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</si>
  <si>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</si>
  <si>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</si>
  <si>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</si>
  <si>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</si>
  <si>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</si>
  <si>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</si>
  <si>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</si>
  <si>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</si>
  <si>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</si>
  <si>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</si>
  <si>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</si>
  <si>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</si>
  <si>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</si>
  <si>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</si>
  <si>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</si>
  <si>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</si>
  <si>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</si>
  <si>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</si>
  <si>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</si>
  <si>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</si>
  <si>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</si>
  <si>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</si>
  <si>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</si>
  <si>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</si>
  <si>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</si>
  <si>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</si>
  <si>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</si>
  <si>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</si>
  <si>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</si>
  <si>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</si>
  <si>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</si>
  <si>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</si>
  <si>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</si>
  <si>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</si>
  <si>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</si>
  <si>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</si>
  <si>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</si>
  <si>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</si>
  <si>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</si>
  <si>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</si>
  <si>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</si>
  <si>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</si>
  <si>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</si>
  <si>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</si>
  <si>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</si>
  <si>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</si>
  <si>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</si>
  <si>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</si>
  <si>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</si>
  <si>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</si>
  <si>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</si>
  <si>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</si>
  <si>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</si>
  <si>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</si>
  <si>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</si>
  <si>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</si>
  <si>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</si>
  <si>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</si>
  <si>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</si>
  <si>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</si>
  <si>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</si>
  <si>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</si>
  <si>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</si>
  <si>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</si>
  <si>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</si>
  <si>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</si>
  <si>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</si>
  <si>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</si>
  <si>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</si>
  <si>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</si>
  <si>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</si>
  <si>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</si>
  <si>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</si>
  <si>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</si>
  <si>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</si>
  <si>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</si>
  <si>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</si>
  <si>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</si>
  <si>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</si>
  <si>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</si>
  <si>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</si>
  <si>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</si>
  <si>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</si>
  <si>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</si>
  <si>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</si>
  <si>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</si>
  <si>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</si>
  <si>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</si>
  <si>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</si>
  <si>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</si>
  <si>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</si>
  <si>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</si>
  <si>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</si>
  <si>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</si>
  <si>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</si>
  <si>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</si>
  <si>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</si>
  <si>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</si>
  <si>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</si>
  <si>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</si>
  <si>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</si>
  <si>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</si>
  <si>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</si>
  <si>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</si>
  <si>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</si>
  <si>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</si>
  <si>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</si>
  <si>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</si>
  <si>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</si>
  <si>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</si>
  <si>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</si>
  <si>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</si>
  <si>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</si>
  <si>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</si>
  <si>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</si>
  <si>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</si>
  <si>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</si>
  <si>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</si>
  <si>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</si>
  <si>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</si>
  <si>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</si>
  <si>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</si>
  <si>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</si>
  <si>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</si>
  <si>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</si>
  <si>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</si>
  <si>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</si>
  <si>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</si>
  <si>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</si>
  <si>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</si>
  <si>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</si>
  <si>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</si>
  <si>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</si>
  <si>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</si>
  <si>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</si>
  <si>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</si>
  <si>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</si>
  <si>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</si>
  <si>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</si>
  <si>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</si>
  <si>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</si>
  <si>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</si>
  <si>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</si>
  <si>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</si>
  <si>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</si>
  <si>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</si>
  <si>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</si>
  <si>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</si>
  <si>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</si>
  <si>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</si>
  <si>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</si>
  <si>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</si>
  <si>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</si>
  <si>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</si>
  <si>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</si>
  <si>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</si>
  <si>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</si>
  <si>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</si>
  <si>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</si>
  <si>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</si>
  <si>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</si>
  <si>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</si>
  <si>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</si>
  <si>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</si>
  <si>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</si>
  <si>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</si>
  <si>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</si>
  <si>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</si>
  <si>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</si>
  <si>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</si>
  <si>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</si>
  <si>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</si>
  <si>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</si>
  <si>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</si>
  <si>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</si>
  <si>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</si>
  <si>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</si>
  <si>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</si>
  <si>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</si>
  <si>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</si>
  <si>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</si>
  <si>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</si>
  <si>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</si>
  <si>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</si>
  <si>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</si>
  <si>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</si>
  <si>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</si>
  <si>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</si>
  <si>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</si>
  <si>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</si>
  <si>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</si>
  <si>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</si>
  <si>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</si>
  <si>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</si>
  <si>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</si>
  <si>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</si>
  <si>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</si>
  <si>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</si>
  <si>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</si>
  <si>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</si>
  <si>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</si>
  <si>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</si>
  <si>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</si>
  <si>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</si>
  <si>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</si>
  <si>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</si>
  <si>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</si>
  <si>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</si>
  <si>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</si>
  <si>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</si>
  <si>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</si>
  <si>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</si>
  <si>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</si>
  <si>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</si>
  <si>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</si>
  <si>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</si>
  <si>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</si>
  <si>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</si>
  <si>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</si>
  <si>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</si>
  <si>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</si>
  <si>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</si>
  <si>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</si>
  <si>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</si>
  <si>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</si>
  <si>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</si>
  <si>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</si>
  <si>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</si>
  <si>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</si>
  <si>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</si>
  <si>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</si>
  <si>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</si>
  <si>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</si>
  <si>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</si>
  <si>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</si>
  <si>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</si>
  <si>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</si>
  <si>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</si>
  <si>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</si>
  <si>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</si>
  <si>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</si>
  <si>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</si>
  <si>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</si>
  <si>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</si>
  <si>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</si>
  <si>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</si>
  <si>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</si>
  <si>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</si>
  <si>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</si>
  <si>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</si>
  <si>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</si>
  <si>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</si>
  <si>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</si>
  <si>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</si>
  <si>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</si>
  <si>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</si>
  <si>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</si>
  <si>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</si>
  <si>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</si>
  <si>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</si>
  <si>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</si>
  <si>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</si>
  <si>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</si>
  <si>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</si>
  <si>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</si>
  <si>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</si>
  <si>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</si>
  <si>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</si>
  <si>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</si>
  <si>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</si>
  <si>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</si>
  <si>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</si>
  <si>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</si>
  <si>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</si>
  <si>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</si>
  <si>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</si>
  <si>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</si>
  <si>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</si>
  <si>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</si>
  <si>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</si>
  <si>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</si>
  <si>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</si>
  <si>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</si>
  <si>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</si>
  <si>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</si>
  <si>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</si>
  <si>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</si>
  <si>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</si>
  <si>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</si>
  <si>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</si>
  <si>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</si>
  <si>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</si>
  <si>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</si>
  <si>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</si>
  <si>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</si>
  <si>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</si>
  <si>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</si>
  <si>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</si>
  <si>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</si>
  <si>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</si>
  <si>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</si>
  <si>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</si>
  <si>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</si>
  <si>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</si>
  <si>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</si>
  <si>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</si>
  <si>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</si>
  <si>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</si>
  <si>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</si>
  <si>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</si>
  <si>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</si>
  <si>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</si>
  <si>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</si>
  <si>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</si>
  <si>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</si>
  <si>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</si>
  <si>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</si>
  <si>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</si>
  <si>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</si>
  <si>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</si>
  <si>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</si>
  <si>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</si>
  <si>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</si>
  <si>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</si>
  <si>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</si>
  <si>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</si>
  <si>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</si>
  <si>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</si>
  <si>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</si>
  <si>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</si>
  <si>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</si>
  <si>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</si>
  <si>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</si>
  <si>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</si>
  <si>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</si>
  <si>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</si>
  <si>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</si>
  <si>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</si>
  <si>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</si>
  <si>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</si>
  <si>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</si>
  <si>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</si>
  <si>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</si>
  <si>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</si>
  <si>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</si>
  <si>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</si>
  <si>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</si>
  <si>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</si>
  <si>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</si>
  <si>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</si>
  <si>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</si>
  <si>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</si>
  <si>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</si>
  <si>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</si>
  <si>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</si>
  <si>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</si>
  <si>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</si>
  <si>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</si>
  <si>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</si>
  <si>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</si>
  <si>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</si>
  <si>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</si>
  <si>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</si>
  <si>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</si>
  <si>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</si>
  <si>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</si>
  <si>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</si>
  <si>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</si>
  <si>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</si>
  <si>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</si>
  <si>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</si>
  <si>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</si>
  <si>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</si>
  <si>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</si>
  <si>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</si>
  <si>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</si>
  <si>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</si>
  <si>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</si>
  <si>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</si>
  <si>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</si>
  <si>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</si>
  <si>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</si>
  <si>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</si>
  <si>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</si>
  <si>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</si>
  <si>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</si>
  <si>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</si>
  <si>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</si>
  <si>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</si>
  <si>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</si>
  <si>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</si>
  <si>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</si>
  <si>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</si>
  <si>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</si>
  <si>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</si>
  <si>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</si>
  <si>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</si>
  <si>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</si>
  <si>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</si>
  <si>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</si>
  <si>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</si>
  <si>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</si>
  <si>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</si>
  <si>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</si>
  <si>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</si>
  <si>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</si>
  <si>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</si>
  <si>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</si>
  <si>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</si>
  <si>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</si>
  <si>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</si>
  <si>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</si>
  <si>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</si>
  <si>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</si>
  <si>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</si>
  <si>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</si>
  <si>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</si>
  <si>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</si>
  <si>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</si>
  <si>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</si>
  <si>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</si>
  <si>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</si>
  <si>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</si>
  <si>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</si>
  <si>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</si>
  <si>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</si>
  <si>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</si>
  <si>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</si>
  <si>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</si>
  <si>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</si>
  <si>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</si>
  <si>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</si>
  <si>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</si>
  <si>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</si>
  <si>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</si>
  <si>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</si>
  <si>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</si>
  <si>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</si>
  <si>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 xml:space="preserve"> 2011ARF_AbvgrdBiomassCN_control, 2011ARF_AbvgrdBiomassCN_mod, 2011ARF_AbvgrdBiomassCN_severe, 2011ARF_RootBiomassCN_byDepth, 2011ARF_RootBiomassCN_byQuad, 2011ARF_SoilCN_byQuad</t>
  </si>
  <si>
    <r>
      <t>Bulk d (g/cm</t>
    </r>
    <r>
      <rPr>
        <vertAlign val="superscript"/>
        <sz val="11"/>
        <color theme="1"/>
        <rFont val="Calibri"/>
        <family val="2"/>
        <scheme val="minor"/>
      </rPr>
      <t>3</t>
    </r>
    <r>
      <rPr>
        <sz val="11"/>
        <color theme="1"/>
        <rFont val="Calibri"/>
        <family val="2"/>
        <scheme val="minor"/>
      </rPr>
      <t>)</t>
    </r>
  </si>
  <si>
    <r>
      <t>ug-N-NH</t>
    </r>
    <r>
      <rPr>
        <vertAlign val="subscript"/>
        <sz val="11"/>
        <color theme="1"/>
        <rFont val="Calibri"/>
        <family val="2"/>
        <scheme val="minor"/>
      </rPr>
      <t>4</t>
    </r>
    <r>
      <rPr>
        <sz val="11"/>
        <color theme="1"/>
        <rFont val="Calibri"/>
        <family val="2"/>
        <scheme val="minor"/>
      </rPr>
      <t>/g ode</t>
    </r>
  </si>
  <si>
    <r>
      <t>ug-N- NO</t>
    </r>
    <r>
      <rPr>
        <vertAlign val="subscript"/>
        <sz val="11"/>
        <color theme="1"/>
        <rFont val="Calibri"/>
        <family val="2"/>
        <scheme val="minor"/>
      </rPr>
      <t>3</t>
    </r>
    <r>
      <rPr>
        <sz val="11"/>
        <color theme="1"/>
        <rFont val="Calibri"/>
        <family val="2"/>
        <scheme val="minor"/>
      </rPr>
      <t>/g  ode</t>
    </r>
  </si>
  <si>
    <t xml:space="preserve">Version 1: Metadata updated to newer form (with sites sheet). CH March 2013. </t>
  </si>
  <si>
    <t>http://ecosystems.mbl.edu/ARC/meta_template.php?FileName=./burn/terrestrial/xlsfiles/2011ARF_SoilCN_byDepth.html</t>
  </si>
  <si>
    <t>http://metacat.lternet.edu/das/dataAccessServlet?docid=knb-lter-arc.10204&amp;amp;urlTail=burn/terrestrial/data/2011ARF_SoilCN_byDepth.csv</t>
  </si>
  <si>
    <t>.=Missing or Not Measured</t>
  </si>
  <si>
    <t>Version 2 Corrected eml excel .xls -&gt; .xlsx JimL</t>
  </si>
  <si>
    <t>2011ARF_SoilCN_byDepth.3</t>
  </si>
  <si>
    <t>Version 3: updated investigator information (Dec2013-JD)</t>
  </si>
  <si>
    <t>knb-lter-arc.10204.3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</si>
</sst>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0.00000"/>
  </numFmts>
  <fonts count="30" x14ac:knownFonts="1">
    <font>
      <sz val="11"/>
      <color theme="1"/>
      <name val="Calibri"/>
      <family val="2"/>
      <scheme val="minor"/>
    </font>
    <font>
      <sz val="11"/>
      <color theme="1"/>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8"/>
      <name val="MS Sans Serif"/>
      <family val="2"/>
    </font>
    <font>
      <sz val="10"/>
      <name val="Verdana"/>
      <family val="2"/>
    </font>
    <font>
      <vertAlign val="superscript"/>
      <sz val="11"/>
      <color theme="1"/>
      <name val="Calibri"/>
      <family val="2"/>
      <scheme val="minor"/>
    </font>
    <font>
      <vertAlign val="subscript"/>
      <sz val="11"/>
      <color theme="1"/>
      <name val="Calibri"/>
      <family val="2"/>
      <scheme val="minor"/>
    </font>
    <font>
      <b/>
      <sz val="9"/>
      <color indexed="81"/>
      <name val="Tahoma"/>
      <family val="2"/>
    </font>
    <font>
      <b/>
      <sz val="8"/>
      <color indexed="39"/>
      <name val="Tahoma"/>
      <family val="2"/>
    </font>
    <font>
      <b/>
      <sz val="8"/>
      <color indexed="12"/>
      <name val="Arial"/>
      <family val="2"/>
    </font>
    <font>
      <b/>
      <sz val="8"/>
      <color indexed="10"/>
      <name val="Arial"/>
      <family val="2"/>
    </font>
  </fonts>
  <fills count="10">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
      <patternFill patternType="solid">
        <fgColor indexed="1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2" fillId="0" borderId="0"/>
    <xf numFmtId="0" fontId="7" fillId="0" borderId="0" applyNumberFormat="0" applyFill="0" applyBorder="0" applyAlignment="0" applyProtection="0">
      <alignment vertical="top"/>
      <protection locked="0"/>
    </xf>
    <xf numFmtId="0" fontId="13" fillId="0" borderId="0"/>
    <xf numFmtId="0" fontId="2" fillId="0" borderId="0"/>
    <xf numFmtId="0" fontId="22" fillId="0" borderId="0"/>
    <xf numFmtId="0" fontId="2" fillId="0" borderId="0"/>
    <xf numFmtId="0" fontId="22" fillId="0" borderId="0"/>
    <xf numFmtId="0" fontId="1" fillId="0" borderId="0"/>
    <xf numFmtId="0" fontId="1" fillId="0" borderId="0"/>
    <xf numFmtId="0" fontId="23" fillId="0" borderId="0"/>
  </cellStyleXfs>
  <cellXfs count="96">
    <xf numFmtId="0" fontId="0" fillId="0" borderId="0" xfId="0"/>
    <xf numFmtId="0" fontId="3" fillId="0" borderId="0" xfId="1" applyFont="1" applyAlignment="1" applyProtection="1">
      <alignment vertical="top"/>
    </xf>
    <xf numFmtId="0" fontId="2" fillId="0" borderId="0" xfId="1" applyFont="1" applyAlignment="1" applyProtection="1">
      <alignment horizontal="left" wrapText="1"/>
      <protection locked="0"/>
    </xf>
    <xf numFmtId="0" fontId="4" fillId="0" borderId="0" xfId="1" applyFont="1" applyProtection="1">
      <protection locked="0"/>
    </xf>
    <xf numFmtId="0" fontId="5" fillId="0" borderId="0" xfId="1" applyFont="1" applyProtection="1">
      <protection locked="0"/>
    </xf>
    <xf numFmtId="0" fontId="2" fillId="0" borderId="0" xfId="1" applyFont="1"/>
    <xf numFmtId="0" fontId="6" fillId="0" borderId="1" xfId="1" applyFont="1" applyFill="1" applyBorder="1" applyAlignment="1" applyProtection="1"/>
    <xf numFmtId="0" fontId="6" fillId="0" borderId="1" xfId="1" applyFont="1" applyFill="1" applyBorder="1" applyAlignment="1" applyProtection="1">
      <alignment horizontal="left"/>
    </xf>
    <xf numFmtId="0" fontId="2" fillId="0" borderId="0" xfId="1" applyFont="1" applyProtection="1">
      <protection locked="0"/>
    </xf>
    <xf numFmtId="0" fontId="6" fillId="0" borderId="3" xfId="1" applyFont="1" applyBorder="1" applyAlignment="1" applyProtection="1"/>
    <xf numFmtId="0" fontId="5" fillId="2" borderId="1" xfId="1" applyFont="1" applyFill="1" applyBorder="1" applyAlignment="1" applyProtection="1">
      <alignment vertical="top"/>
    </xf>
    <xf numFmtId="0" fontId="2" fillId="0" borderId="0" xfId="1" applyFont="1" applyFill="1" applyBorder="1"/>
    <xf numFmtId="0" fontId="2" fillId="0" borderId="0" xfId="1" applyFont="1" applyAlignment="1" applyProtection="1">
      <alignment vertical="top"/>
    </xf>
    <xf numFmtId="0" fontId="2" fillId="0" borderId="0" xfId="1" applyFont="1" applyAlignment="1" applyProtection="1">
      <protection locked="0"/>
    </xf>
    <xf numFmtId="0" fontId="2" fillId="0" borderId="0" xfId="1" applyNumberFormat="1" applyFont="1" applyAlignment="1" applyProtection="1">
      <alignment horizontal="left"/>
      <protection locked="0"/>
    </xf>
    <xf numFmtId="0" fontId="8" fillId="0" borderId="0" xfId="1" applyFont="1" applyAlignment="1" applyProtection="1">
      <protection locked="0"/>
    </xf>
    <xf numFmtId="0" fontId="2" fillId="4" borderId="1" xfId="1" applyFont="1" applyFill="1" applyBorder="1" applyAlignment="1" applyProtection="1">
      <alignment horizontal="left" wrapText="1"/>
      <protection locked="0"/>
    </xf>
    <xf numFmtId="0" fontId="2" fillId="0" borderId="0" xfId="1" applyFont="1" applyAlignment="1" applyProtection="1">
      <alignment vertical="top" wrapText="1"/>
    </xf>
    <xf numFmtId="0" fontId="9" fillId="2" borderId="1" xfId="1" applyFont="1" applyFill="1" applyBorder="1" applyAlignment="1" applyProtection="1">
      <alignment vertical="top" wrapText="1"/>
    </xf>
    <xf numFmtId="0" fontId="5" fillId="2" borderId="1" xfId="1" applyFont="1" applyFill="1" applyBorder="1" applyAlignment="1" applyProtection="1">
      <alignment horizontal="left" wrapText="1"/>
    </xf>
    <xf numFmtId="49" fontId="5" fillId="5" borderId="0" xfId="1" applyNumberFormat="1" applyFont="1" applyFill="1" applyBorder="1" applyAlignment="1" applyProtection="1">
      <alignment horizontal="right" vertical="top"/>
    </xf>
    <xf numFmtId="49" fontId="2" fillId="6" borderId="1" xfId="1" applyNumberFormat="1" applyFont="1" applyFill="1" applyBorder="1" applyAlignment="1" applyProtection="1">
      <alignment horizontal="left" wrapText="1"/>
      <protection locked="0"/>
    </xf>
    <xf numFmtId="49" fontId="2" fillId="0" borderId="0" xfId="1" applyNumberFormat="1" applyFont="1"/>
    <xf numFmtId="0" fontId="2" fillId="0" borderId="0" xfId="1" applyFont="1" applyFill="1" applyBorder="1" applyAlignment="1" applyProtection="1">
      <alignment horizontal="right" vertical="top"/>
    </xf>
    <xf numFmtId="0" fontId="2" fillId="0" borderId="0" xfId="1" applyFont="1" applyFill="1" applyAlignment="1" applyProtection="1">
      <alignment horizontal="left" wrapText="1"/>
      <protection locked="0"/>
    </xf>
    <xf numFmtId="0" fontId="2" fillId="0" borderId="0" xfId="1" applyFont="1" applyFill="1" applyProtection="1">
      <protection locked="0"/>
    </xf>
    <xf numFmtId="0" fontId="2" fillId="0" borderId="0" xfId="1" applyFont="1" applyFill="1" applyAlignment="1" applyProtection="1">
      <alignment horizontal="right" vertical="top" wrapText="1"/>
    </xf>
    <xf numFmtId="0" fontId="5" fillId="2" borderId="1" xfId="1" applyNumberFormat="1" applyFont="1" applyFill="1" applyBorder="1" applyAlignment="1" applyProtection="1">
      <alignment vertical="top" wrapText="1"/>
    </xf>
    <xf numFmtId="0" fontId="2" fillId="0" borderId="0" xfId="1" applyFont="1" applyBorder="1" applyAlignment="1" applyProtection="1">
      <alignment horizontal="left" wrapText="1"/>
      <protection locked="0"/>
    </xf>
    <xf numFmtId="0" fontId="6" fillId="0" borderId="1" xfId="1" applyFont="1" applyFill="1" applyBorder="1" applyAlignment="1" applyProtection="1">
      <alignment horizontal="right"/>
    </xf>
    <xf numFmtId="0" fontId="6" fillId="0" borderId="3" xfId="1" applyFont="1" applyBorder="1" applyAlignment="1"/>
    <xf numFmtId="0" fontId="5" fillId="7" borderId="0" xfId="1" applyNumberFormat="1" applyFont="1" applyFill="1" applyAlignment="1" applyProtection="1">
      <alignment horizontal="right" vertical="top" wrapText="1"/>
    </xf>
    <xf numFmtId="0" fontId="5" fillId="7" borderId="0" xfId="1" applyFont="1" applyFill="1" applyAlignment="1" applyProtection="1">
      <alignment horizontal="right" vertical="top" wrapText="1"/>
    </xf>
    <xf numFmtId="164" fontId="2" fillId="3" borderId="1" xfId="1" applyNumberFormat="1" applyFont="1" applyFill="1" applyBorder="1" applyAlignment="1" applyProtection="1">
      <alignment horizontal="left" wrapText="1"/>
      <protection locked="0"/>
    </xf>
    <xf numFmtId="0" fontId="5" fillId="7" borderId="0" xfId="1" applyFont="1" applyFill="1" applyAlignment="1" applyProtection="1">
      <alignment horizontal="right" vertical="top"/>
    </xf>
    <xf numFmtId="0" fontId="5" fillId="7" borderId="0" xfId="1" applyFont="1" applyFill="1" applyBorder="1" applyAlignment="1" applyProtection="1">
      <alignment horizontal="right" vertical="top"/>
    </xf>
    <xf numFmtId="0" fontId="2" fillId="0" borderId="0" xfId="1" applyFont="1" applyAlignment="1" applyProtection="1">
      <alignment horizontal="right" vertical="top"/>
    </xf>
    <xf numFmtId="0" fontId="2" fillId="3" borderId="1" xfId="1" applyFont="1" applyFill="1" applyBorder="1" applyAlignment="1" applyProtection="1">
      <alignment horizontal="left" vertical="top" wrapText="1"/>
      <protection locked="0"/>
    </xf>
    <xf numFmtId="0" fontId="5" fillId="2" borderId="4" xfId="1" applyFont="1" applyFill="1" applyBorder="1" applyAlignment="1" applyProtection="1">
      <alignment horizontal="left" vertical="top"/>
    </xf>
    <xf numFmtId="0" fontId="5" fillId="7" borderId="0" xfId="1" applyFont="1" applyFill="1" applyBorder="1" applyAlignment="1" applyProtection="1">
      <alignment horizontal="left" vertical="top"/>
    </xf>
    <xf numFmtId="0" fontId="2" fillId="3" borderId="5" xfId="1" applyFont="1" applyFill="1" applyBorder="1" applyAlignment="1" applyProtection="1">
      <alignment horizontal="left" wrapText="1"/>
      <protection locked="0"/>
    </xf>
    <xf numFmtId="0" fontId="2" fillId="3" borderId="6" xfId="1" applyFont="1" applyFill="1" applyBorder="1" applyAlignment="1" applyProtection="1">
      <alignment horizontal="left" wrapText="1"/>
      <protection locked="0"/>
    </xf>
    <xf numFmtId="0" fontId="5" fillId="2" borderId="1" xfId="1" applyFont="1" applyFill="1" applyBorder="1" applyAlignment="1" applyProtection="1">
      <alignment horizontal="left" vertical="top"/>
    </xf>
    <xf numFmtId="0" fontId="2" fillId="0" borderId="1" xfId="1" applyFont="1" applyBorder="1" applyAlignment="1" applyProtection="1">
      <alignment horizontal="left" wrapText="1"/>
      <protection locked="0"/>
    </xf>
    <xf numFmtId="0" fontId="5" fillId="0" borderId="0" xfId="1" applyFont="1" applyFill="1" applyBorder="1" applyAlignment="1" applyProtection="1">
      <alignment horizontal="right" vertical="top"/>
    </xf>
    <xf numFmtId="0" fontId="2" fillId="0" borderId="0" xfId="1" applyFont="1" applyFill="1" applyBorder="1" applyAlignment="1" applyProtection="1">
      <alignment horizontal="left" wrapText="1"/>
      <protection locked="0"/>
    </xf>
    <xf numFmtId="0" fontId="5" fillId="2" borderId="1" xfId="1" applyFont="1" applyFill="1" applyBorder="1" applyAlignment="1" applyProtection="1">
      <alignment wrapText="1"/>
    </xf>
    <xf numFmtId="0" fontId="5" fillId="7" borderId="0" xfId="1" applyFont="1" applyFill="1" applyBorder="1" applyAlignment="1" applyProtection="1">
      <alignment horizontal="right" wrapText="1"/>
    </xf>
    <xf numFmtId="0" fontId="5" fillId="7" borderId="2" xfId="1" applyFont="1" applyFill="1" applyBorder="1" applyAlignment="1" applyProtection="1">
      <alignment horizontal="right" wrapText="1"/>
    </xf>
    <xf numFmtId="0" fontId="5" fillId="2" borderId="1" xfId="1" applyFont="1" applyFill="1" applyBorder="1" applyAlignment="1" applyProtection="1">
      <alignment vertical="top" wrapText="1"/>
    </xf>
    <xf numFmtId="0" fontId="8" fillId="0" borderId="0" xfId="1" applyFont="1"/>
    <xf numFmtId="0" fontId="2" fillId="0" borderId="0" xfId="1" applyFont="1" applyAlignment="1" applyProtection="1"/>
    <xf numFmtId="0" fontId="2" fillId="0" borderId="0" xfId="1" applyNumberFormat="1" applyFont="1" applyAlignment="1" applyProtection="1">
      <protection locked="0"/>
    </xf>
    <xf numFmtId="0" fontId="2" fillId="0" borderId="0" xfId="1" applyFont="1" applyFill="1" applyAlignment="1" applyProtection="1">
      <alignment vertical="center"/>
      <protection locked="0"/>
    </xf>
    <xf numFmtId="0" fontId="2" fillId="0" borderId="0" xfId="1" applyFont="1" applyAlignment="1" applyProtection="1">
      <alignment vertical="center"/>
      <protection locked="0"/>
    </xf>
    <xf numFmtId="0" fontId="2" fillId="0" borderId="0" xfId="1" applyFont="1" applyAlignment="1" applyProtection="1">
      <alignment horizontal="left"/>
      <protection locked="0"/>
    </xf>
    <xf numFmtId="0" fontId="5" fillId="2" borderId="7" xfId="1" applyFont="1" applyFill="1" applyBorder="1" applyAlignment="1" applyProtection="1">
      <alignment horizontal="left"/>
    </xf>
    <xf numFmtId="0" fontId="2" fillId="2" borderId="8" xfId="1" applyNumberFormat="1" applyFont="1" applyFill="1" applyBorder="1" applyAlignment="1" applyProtection="1">
      <alignment horizontal="left"/>
    </xf>
    <xf numFmtId="0" fontId="5" fillId="2" borderId="9" xfId="1" applyFont="1" applyFill="1" applyBorder="1" applyAlignment="1" applyProtection="1">
      <alignment horizontal="right" wrapText="1"/>
    </xf>
    <xf numFmtId="0" fontId="2" fillId="3" borderId="2" xfId="1" applyFont="1" applyFill="1" applyBorder="1" applyAlignment="1" applyProtection="1">
      <alignment horizontal="left"/>
      <protection locked="0"/>
    </xf>
    <xf numFmtId="0" fontId="2" fillId="6" borderId="3" xfId="1" applyFont="1" applyFill="1" applyBorder="1" applyAlignment="1" applyProtection="1">
      <protection locked="0"/>
    </xf>
    <xf numFmtId="0" fontId="5" fillId="2" borderId="2" xfId="1" applyFont="1" applyFill="1" applyBorder="1" applyAlignment="1" applyProtection="1">
      <alignment horizontal="right"/>
    </xf>
    <xf numFmtId="0" fontId="2" fillId="3" borderId="9" xfId="1" applyFont="1" applyFill="1" applyBorder="1" applyAlignment="1" applyProtection="1">
      <alignment horizontal="left"/>
      <protection locked="0"/>
    </xf>
    <xf numFmtId="0" fontId="2" fillId="6" borderId="10" xfId="1" applyFont="1" applyFill="1" applyBorder="1" applyAlignment="1" applyProtection="1">
      <protection locked="0"/>
    </xf>
    <xf numFmtId="0" fontId="5" fillId="0" borderId="0" xfId="1" applyFont="1" applyAlignment="1" applyProtection="1">
      <alignment horizontal="center" vertical="top"/>
    </xf>
    <xf numFmtId="0" fontId="5" fillId="2" borderId="1" xfId="1" applyFont="1" applyFill="1" applyBorder="1" applyAlignment="1" applyProtection="1">
      <alignment horizontal="right" vertical="top"/>
    </xf>
    <xf numFmtId="0" fontId="11" fillId="0" borderId="0" xfId="1" applyFont="1"/>
    <xf numFmtId="0" fontId="5" fillId="7" borderId="1" xfId="1" applyFont="1" applyFill="1" applyBorder="1" applyAlignment="1" applyProtection="1">
      <alignment vertical="center" wrapText="1"/>
    </xf>
    <xf numFmtId="0" fontId="5" fillId="7" borderId="1" xfId="1" applyFont="1" applyFill="1" applyBorder="1" applyAlignment="1" applyProtection="1">
      <alignment horizontal="left" vertical="center" wrapText="1"/>
    </xf>
    <xf numFmtId="0" fontId="5" fillId="0" borderId="0" xfId="1" applyFont="1" applyFill="1" applyBorder="1" applyAlignment="1" applyProtection="1">
      <alignment vertical="center" wrapText="1"/>
    </xf>
    <xf numFmtId="0" fontId="12" fillId="0" borderId="0" xfId="1" applyFont="1"/>
    <xf numFmtId="0" fontId="2" fillId="0" borderId="0" xfId="1" applyFont="1" applyAlignment="1" applyProtection="1">
      <alignment wrapText="1"/>
      <protection locked="0"/>
    </xf>
    <xf numFmtId="0" fontId="14" fillId="0" borderId="0" xfId="1" applyFont="1"/>
    <xf numFmtId="0" fontId="2" fillId="0" borderId="0" xfId="1" applyFont="1" applyAlignment="1">
      <alignment vertical="center" wrapText="1"/>
    </xf>
    <xf numFmtId="0" fontId="2" fillId="0" borderId="0" xfId="1" applyFont="1" applyAlignment="1">
      <alignment vertical="top"/>
    </xf>
    <xf numFmtId="0" fontId="5" fillId="0" borderId="0" xfId="1" applyFont="1" applyFill="1" applyBorder="1" applyAlignment="1" applyProtection="1">
      <alignment horizontal="left" wrapText="1"/>
      <protection locked="0"/>
    </xf>
    <xf numFmtId="0" fontId="2" fillId="0" borderId="0" xfId="1" applyFont="1" applyFill="1" applyBorder="1" applyAlignment="1"/>
    <xf numFmtId="0" fontId="2" fillId="0" borderId="0" xfId="1" applyFont="1" applyAlignment="1" applyProtection="1">
      <alignment vertical="top" wrapText="1"/>
      <protection locked="0"/>
    </xf>
    <xf numFmtId="0" fontId="7" fillId="3" borderId="1" xfId="2" applyFill="1" applyBorder="1" applyAlignment="1" applyProtection="1">
      <alignment horizontal="left" vertical="top" wrapText="1"/>
    </xf>
    <xf numFmtId="0" fontId="2" fillId="8" borderId="1" xfId="1" applyFont="1" applyFill="1" applyBorder="1" applyAlignment="1" applyProtection="1">
      <alignment horizontal="center" wrapText="1"/>
      <protection locked="0"/>
    </xf>
    <xf numFmtId="0" fontId="2" fillId="0" borderId="0" xfId="1"/>
    <xf numFmtId="0" fontId="28" fillId="0" borderId="0" xfId="1" applyFont="1" applyAlignment="1">
      <alignment horizontal="center" wrapText="1"/>
    </xf>
    <xf numFmtId="0" fontId="28" fillId="0" borderId="0" xfId="1" applyFont="1" applyAlignment="1">
      <alignment wrapText="1"/>
    </xf>
    <xf numFmtId="165" fontId="28" fillId="0" borderId="0" xfId="1" applyNumberFormat="1" applyFont="1" applyAlignment="1">
      <alignment wrapText="1"/>
    </xf>
    <xf numFmtId="1" fontId="28" fillId="0" borderId="0" xfId="1" applyNumberFormat="1" applyFont="1" applyAlignment="1">
      <alignment wrapText="1"/>
    </xf>
    <xf numFmtId="0" fontId="29" fillId="0" borderId="0" xfId="1" applyFont="1" applyAlignment="1">
      <alignment horizontal="center" wrapText="1"/>
    </xf>
    <xf numFmtId="0" fontId="7" fillId="0" borderId="0" xfId="2" applyAlignment="1" applyProtection="1"/>
    <xf numFmtId="0" fontId="2" fillId="0" borderId="0" xfId="1" applyAlignment="1"/>
    <xf numFmtId="1" fontId="2" fillId="0" borderId="0" xfId="1" applyNumberFormat="1"/>
    <xf numFmtId="0" fontId="0" fillId="0" borderId="0" xfId="0" applyFont="1" applyFill="1" applyAlignment="1">
      <alignment horizontal="left" wrapText="1"/>
    </xf>
    <xf numFmtId="0" fontId="2" fillId="9" borderId="0" xfId="1" applyFont="1" applyFill="1" applyAlignment="1" applyProtection="1">
      <alignment wrapText="1"/>
      <protection locked="0"/>
    </xf>
    <xf numFmtId="0" fontId="7" fillId="0" borderId="2" xfId="2" applyFill="1" applyBorder="1" applyAlignment="1" applyProtection="1">
      <alignment horizontal="left"/>
    </xf>
    <xf numFmtId="0" fontId="2" fillId="3" borderId="2" xfId="1" applyFont="1" applyFill="1" applyBorder="1" applyAlignment="1" applyProtection="1">
      <alignment horizontal="left" wrapText="1"/>
      <protection locked="0"/>
    </xf>
    <xf numFmtId="0" fontId="2" fillId="0" borderId="3" xfId="1" applyFont="1" applyBorder="1" applyAlignment="1"/>
    <xf numFmtId="0" fontId="5" fillId="0" borderId="0" xfId="1" applyFont="1" applyFill="1" applyBorder="1" applyAlignment="1" applyProtection="1">
      <alignment horizontal="left" wrapText="1"/>
      <protection locked="0"/>
    </xf>
    <xf numFmtId="0" fontId="2" fillId="0" borderId="0" xfId="1" applyFont="1" applyFill="1" applyBorder="1" applyAlignment="1"/>
  </cellXfs>
  <cellStyles count="11">
    <cellStyle name="Hyperlink" xfId="2" builtinId="8"/>
    <cellStyle name="Normal" xfId="0" builtinId="0"/>
    <cellStyle name="Normal 2" xfId="1"/>
    <cellStyle name="Normal 2 2" xfId="4"/>
    <cellStyle name="Normal 2 3" xfId="5"/>
    <cellStyle name="Normal 2 4" xfId="6"/>
    <cellStyle name="Normal 3" xfId="3"/>
    <cellStyle name="Normal 3 2" xfId="7"/>
    <cellStyle name="Normal 4" xfId="8"/>
    <cellStyle name="Normal 5" xfId="9"/>
    <cellStyle name="Normal 6" xfId="10"/>
  </cellStyles>
  <dxfs count="13">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Below ground soil bulk density,  carbon and nitrogen was measured at various depth increments in mineral and organic soil layers at three sites at and around the Anaktuvuk River Burn: severely burned, moderately burned and unburned. This data corresponds with the aboveground biomass and root biomass data files: 2011ARF_AbvgroundBiomassCN, 2011ARF_RootBiomassCN_byDepth, 2011ARF_RootBiomassCN_byQuad, 2011ARF_RootBiomassCN_byQuad. </a:t>
          </a:r>
        </a:p>
      </xdr:txBody>
    </xdr:sp>
    <xdr:clientData fLocksWithSheet="0"/>
  </xdr:twoCellAnchor>
  <xdr:twoCellAnchor>
    <xdr:from>
      <xdr:col>1</xdr:col>
      <xdr:colOff>30480</xdr:colOff>
      <xdr:row>65</xdr:row>
      <xdr:rowOff>17145</xdr:rowOff>
    </xdr:from>
    <xdr:to>
      <xdr:col>6</xdr:col>
      <xdr:colOff>817247</xdr:colOff>
      <xdr:row>106</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The Anaktuvuk River Fire occurred in 2007 on the North Slope of Alaska. In 2008, three eddy covariance towers were established at sites representing unburned tundra, moderately burned tundra, and severely burned tundra. The three sites (unburned, moderately burned and severely burned) were harvested  for analysis of biomass, carbon concentration and nitrogen concentration during the summer of 2011. </a:t>
          </a:r>
          <a:br>
            <a:rPr lang="en-US"/>
          </a:br>
          <a:r>
            <a:rPr lang="en-US"/>
            <a:t>
Units: Tissue mass data are expressed in g/m2 , µg/m2 or percentages as indicated.</a:t>
          </a:r>
          <a:br>
            <a:rPr lang="en-US"/>
          </a:br>
          <a:r>
            <a:rPr lang="en-US"/>
            <a:t/>
          </a:r>
          <a:br>
            <a:rPr lang="en-US"/>
          </a:br>
          <a:r>
            <a:rPr lang="en-US"/>
            <a:t>Sampling description:
Two transects at each of three sites were harvested for  aboveground biomass, where transects 108 and 109 are from the unburned control site, 101 and 114 are from the severely burned site and 103 and 104 are from the moderately burned site . Quadrats measuring 10 x 40 cm were harvested every 5 meters over 50 meter transects for a total of 20 quadrats per site. Aboveground biomass is considered "within" the quadrat if it is associated with a meristem that is within the quadrat. Briefly, harvest method were as follows: the rhizome-containing soil layer was harvested by cutting around each quadrat boundary with a serrated bread knife.  All aboveground live vascular plant biomass, and all live rhizomes and belowground stems within the quadrat boundaries, were separated by species.  Data for aboveground biomass and further methods are explained in 2011ARF_AbvgroundBiomassCN.
For every second quadrat in a transect, two contiguous 10 x 20 cm soil monoliths were excised from the side of the pit, extending from the surface of the green moss to the surface of the mineral soil (roughly 5-30 cm depth depending on location). In addition, two cores (2.42 cm in diameter) were taken through the mineral soil from the bottom of these monoliths to the ice surface at the bottom of the thawed layer. Monoliths and cores were wrapped in tinfoil to preserve structure, returned to the field station, and refrigerated prior to analyses. Within 24 hours of collection, one monolith and one core from each location were processed for determination of microbial biomass, bulk density, moisture, and carbon (C) and nitrogen (N) concentrations in both soluble pools and solid fractions. Coarse (&gt; 2 mm) and fine roots (&lt; 2 mm) were separated by hand from the other monolith and core respectively.  Root data and method information is available in the file 2011ARF_RootBiomassCN_byDepth and 2011ARF_RootBiomassCN_byPlot.
Soil samples from monoliths and cores were separated into depth increments between 5 and 10 cm wide starting at the surface of the layer (mineral or organic). Samples were  homogenized by hand and coarse organic materials (&gt;2.5 cm twigs and roots) and rocks were removed.  A subsample of 10 g (wet weight) homogenized soil was extracted with 2M KCl overnight, for determination of soluble DOC (dissolve organic carbon), DON (dissolved organic nitrogen), NH4+ and NO3- concentrations. A second 10 g subsample was fumigated with chloroform for 24 hours prior to extraction with 2M KCl as above, for determination of microbial biomass.  Extracts were frozen prior to analysis for NH4+ and NO3- using an Astoria Pacific (Astoria, Oregon) colorimetric auto analyzer, and a Shimadzu TOC-L auto analyzer with a TN unit (Columbia, Missouri) for DOC and DON.  Coarse and fine soil fractions were weighed wet, dried at 70° C for 48 hours to determine dry matter content, then ground on a Wiley mill with a 40 mm sieve. Dry matter content of fine mineral soil was also determined on subsamples dried at 105°C for 48 hours. For all samples dried at 70°C, C and N content was measured on the same Costech Elemental Analyzer as the roots. The volume of each organic monolith layer or mineral core was calculated as depth times area minus the volume of rocks.  Bulk density, C and N pools for soil fractions, and C and N pools for extracted fractions, were calculated for both mineral and organic horizons.  
Data summarized by quadrat area is shown in file 2011ARF_SoilCN_byQuad. This worksheet shows all data measurements for all depths taken in the mineral and organic soil layers. 
For further information reference: 
Bret-Harte, M.S., Mack, M.C., Shaver, G.R., Huebner, D.C., Johnston, M., Johica, C.A., Pizano, M.C., Reiskind, J.A. (2013) The response of arctic vegetation and soils following the Anaktuvuk River fire of 2007. Philosophical Transactions of the Royal Society: Biological Science, Submitted.
</a:t>
          </a:r>
          <a:br>
            <a:rPr lang="en-US"/>
          </a:br>
          <a:r>
            <a:rPr lang="en-US"/>
            <a:t>Notes:</a:t>
          </a:r>
          <a:br>
            <a:rPr lang="en-US"/>
          </a:br>
          <a:r>
            <a:rPr lang="en-US"/>
            <a:t>If no samples were present in the biomass data, zeros were used. Where calculations were not possible dots were used as place holders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204&amp;amp;urlTail=burn/terrestrial/data/2011ARF_SoilCN_byDepth.csv" TargetMode="External"/><Relationship Id="rId1" Type="http://schemas.openxmlformats.org/officeDocument/2006/relationships/hyperlink" Target="http://ecosystems.mbl.edu/ARC/meta_template.php?FileName=./burn/terrestrial/xlsfiles/2011ARF_SoilCN_byDepth.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S345"/>
  <sheetViews>
    <sheetView tabSelected="1" zoomScale="96" zoomScaleNormal="96" workbookViewId="0">
      <selection activeCell="C39" sqref="C39"/>
    </sheetView>
  </sheetViews>
  <sheetFormatPr defaultColWidth="8.85546875" defaultRowHeight="12.75" x14ac:dyDescent="0.2"/>
  <cols>
    <col min="1" max="1" width="26.140625" style="74" customWidth="1"/>
    <col min="2" max="2" width="46" style="2" bestFit="1" customWidth="1"/>
    <col min="3" max="4" width="30.7109375" style="8" customWidth="1"/>
    <col min="5" max="9" width="30.7109375" style="5" customWidth="1"/>
    <col min="10" max="16384" width="8.85546875" style="5"/>
  </cols>
  <sheetData>
    <row r="1" spans="1:9" ht="18" x14ac:dyDescent="0.25">
      <c r="A1" s="1" t="s">
        <v>33</v>
      </c>
      <c r="C1" s="3"/>
      <c r="D1" s="4"/>
    </row>
    <row r="2" spans="1:9" x14ac:dyDescent="0.2">
      <c r="A2" s="6" t="s">
        <v>34</v>
      </c>
      <c r="B2" s="7" t="s">
        <v>1709</v>
      </c>
    </row>
    <row r="3" spans="1:9" x14ac:dyDescent="0.2">
      <c r="A3" s="6" t="s">
        <v>35</v>
      </c>
      <c r="B3" s="7">
        <v>2013</v>
      </c>
    </row>
    <row r="4" spans="1:9" x14ac:dyDescent="0.2">
      <c r="A4" s="6" t="s">
        <v>36</v>
      </c>
      <c r="B4" s="91" t="s">
        <v>1703</v>
      </c>
      <c r="C4" s="9"/>
    </row>
    <row r="5" spans="1:9" ht="22.5" customHeight="1" x14ac:dyDescent="0.2">
      <c r="A5" s="10" t="s">
        <v>37</v>
      </c>
      <c r="B5" s="92" t="s">
        <v>403</v>
      </c>
      <c r="C5" s="93"/>
      <c r="D5" s="5"/>
    </row>
    <row r="6" spans="1:9" ht="12.75" customHeight="1" x14ac:dyDescent="0.2">
      <c r="A6" s="10" t="s">
        <v>38</v>
      </c>
      <c r="B6" s="5"/>
      <c r="C6" s="5"/>
      <c r="D6" s="5"/>
      <c r="E6" s="11"/>
      <c r="F6" s="11"/>
    </row>
    <row r="7" spans="1:9" s="13" customFormat="1" x14ac:dyDescent="0.2">
      <c r="A7" s="12"/>
      <c r="B7" s="94"/>
      <c r="C7" s="95"/>
      <c r="D7" s="95"/>
    </row>
    <row r="8" spans="1:9" s="13" customFormat="1" x14ac:dyDescent="0.2">
      <c r="A8" s="12"/>
      <c r="B8" s="75"/>
      <c r="C8" s="76"/>
      <c r="D8" s="76"/>
    </row>
    <row r="9" spans="1:9" s="13" customFormat="1" x14ac:dyDescent="0.2">
      <c r="A9" s="12"/>
      <c r="B9" s="14"/>
    </row>
    <row r="10" spans="1:9" s="13" customFormat="1" x14ac:dyDescent="0.2">
      <c r="A10" s="12"/>
      <c r="B10" s="14"/>
    </row>
    <row r="11" spans="1:9" s="13" customFormat="1" x14ac:dyDescent="0.2">
      <c r="A11" s="12"/>
      <c r="B11" s="14"/>
    </row>
    <row r="12" spans="1:9" s="13" customFormat="1" ht="15" x14ac:dyDescent="0.2">
      <c r="A12" s="12"/>
      <c r="B12" s="15"/>
    </row>
    <row r="13" spans="1:9" s="13" customFormat="1" ht="15" x14ac:dyDescent="0.2">
      <c r="A13" s="12"/>
      <c r="B13" s="15"/>
    </row>
    <row r="14" spans="1:9" x14ac:dyDescent="0.2">
      <c r="A14" s="10" t="s">
        <v>39</v>
      </c>
      <c r="B14" s="16" t="s">
        <v>1707</v>
      </c>
    </row>
    <row r="15" spans="1:9" x14ac:dyDescent="0.2">
      <c r="A15" s="17"/>
    </row>
    <row r="16" spans="1:9" x14ac:dyDescent="0.2">
      <c r="A16" s="18" t="s">
        <v>40</v>
      </c>
      <c r="B16" s="19" t="s">
        <v>41</v>
      </c>
      <c r="C16" s="19" t="s">
        <v>42</v>
      </c>
      <c r="D16" s="19" t="s">
        <v>43</v>
      </c>
      <c r="E16" s="19" t="s">
        <v>44</v>
      </c>
      <c r="F16" s="19" t="s">
        <v>45</v>
      </c>
      <c r="G16" s="19" t="s">
        <v>46</v>
      </c>
      <c r="H16" s="19" t="s">
        <v>47</v>
      </c>
      <c r="I16" s="19" t="s">
        <v>48</v>
      </c>
    </row>
    <row r="17" spans="1:9" x14ac:dyDescent="0.2">
      <c r="A17" s="20" t="s">
        <v>49</v>
      </c>
      <c r="B17" s="21" t="s">
        <v>50</v>
      </c>
      <c r="C17" s="21" t="s">
        <v>50</v>
      </c>
      <c r="D17" s="21" t="s">
        <v>50</v>
      </c>
      <c r="E17" s="21" t="s">
        <v>51</v>
      </c>
      <c r="F17" s="21"/>
      <c r="G17" s="21"/>
      <c r="H17" s="21"/>
      <c r="I17" s="21"/>
    </row>
    <row r="18" spans="1:9" s="22" customFormat="1" x14ac:dyDescent="0.2">
      <c r="A18" s="20" t="s">
        <v>52</v>
      </c>
      <c r="B18" s="21" t="s">
        <v>54</v>
      </c>
      <c r="C18" s="21" t="s">
        <v>53</v>
      </c>
      <c r="D18" s="21" t="s">
        <v>55</v>
      </c>
      <c r="E18" s="21" t="s">
        <v>56</v>
      </c>
      <c r="F18" s="21"/>
      <c r="G18" s="21"/>
      <c r="H18" s="21"/>
      <c r="I18" s="21"/>
    </row>
    <row r="19" spans="1:9" s="22" customFormat="1" x14ac:dyDescent="0.2">
      <c r="A19" s="20" t="s">
        <v>57</v>
      </c>
      <c r="B19" s="21" t="s">
        <v>59</v>
      </c>
      <c r="C19" s="21" t="s">
        <v>58</v>
      </c>
      <c r="D19" s="21" t="s">
        <v>60</v>
      </c>
      <c r="E19" s="21" t="s">
        <v>61</v>
      </c>
      <c r="F19" s="21"/>
      <c r="G19" s="21"/>
      <c r="H19" s="21"/>
      <c r="I19" s="21"/>
    </row>
    <row r="20" spans="1:9" s="22" customFormat="1" x14ac:dyDescent="0.2">
      <c r="A20" s="20" t="s">
        <v>62</v>
      </c>
      <c r="B20" s="21" t="s">
        <v>64</v>
      </c>
      <c r="C20" s="21" t="s">
        <v>63</v>
      </c>
      <c r="D20" s="21" t="s">
        <v>65</v>
      </c>
      <c r="E20" s="21" t="s">
        <v>66</v>
      </c>
      <c r="F20" s="21"/>
      <c r="G20" s="21"/>
      <c r="H20" s="21"/>
      <c r="I20" s="21"/>
    </row>
    <row r="21" spans="1:9" s="22" customFormat="1" x14ac:dyDescent="0.2">
      <c r="A21" s="20" t="s">
        <v>67</v>
      </c>
      <c r="B21" s="21" t="s">
        <v>69</v>
      </c>
      <c r="C21" s="21" t="s">
        <v>68</v>
      </c>
      <c r="D21" s="21" t="s">
        <v>70</v>
      </c>
      <c r="E21" s="21" t="s">
        <v>71</v>
      </c>
      <c r="F21" s="21"/>
      <c r="G21" s="21"/>
      <c r="H21" s="21"/>
      <c r="I21" s="21"/>
    </row>
    <row r="22" spans="1:9" s="22" customFormat="1" x14ac:dyDescent="0.2">
      <c r="A22" s="20" t="s">
        <v>72</v>
      </c>
      <c r="B22" s="21" t="s">
        <v>74</v>
      </c>
      <c r="C22" s="21" t="s">
        <v>73</v>
      </c>
      <c r="D22" s="21" t="s">
        <v>75</v>
      </c>
      <c r="E22" s="21" t="s">
        <v>75</v>
      </c>
      <c r="F22" s="21"/>
      <c r="G22" s="21"/>
      <c r="H22" s="21"/>
      <c r="I22" s="21"/>
    </row>
    <row r="23" spans="1:9" s="22" customFormat="1" x14ac:dyDescent="0.2">
      <c r="A23" s="20" t="s">
        <v>76</v>
      </c>
      <c r="B23" s="21" t="s">
        <v>77</v>
      </c>
      <c r="C23" s="21"/>
      <c r="D23" s="21" t="s">
        <v>78</v>
      </c>
      <c r="E23" s="21" t="s">
        <v>79</v>
      </c>
      <c r="F23" s="21"/>
      <c r="G23" s="21"/>
      <c r="H23" s="21"/>
      <c r="I23" s="21"/>
    </row>
    <row r="24" spans="1:9" s="22" customFormat="1" x14ac:dyDescent="0.2">
      <c r="A24" s="20" t="s">
        <v>80</v>
      </c>
      <c r="B24" s="21" t="s">
        <v>82</v>
      </c>
      <c r="C24" s="21" t="s">
        <v>81</v>
      </c>
      <c r="D24" s="21" t="s">
        <v>83</v>
      </c>
      <c r="E24" s="21" t="s">
        <v>83</v>
      </c>
      <c r="F24" s="21"/>
      <c r="G24" s="21"/>
      <c r="H24" s="21"/>
      <c r="I24" s="21"/>
    </row>
    <row r="25" spans="1:9" s="22" customFormat="1" x14ac:dyDescent="0.2">
      <c r="A25" s="20" t="s">
        <v>84</v>
      </c>
      <c r="B25" s="21" t="s">
        <v>86</v>
      </c>
      <c r="C25" s="21" t="s">
        <v>85</v>
      </c>
      <c r="D25" s="21" t="s">
        <v>87</v>
      </c>
      <c r="E25" s="21" t="s">
        <v>87</v>
      </c>
      <c r="F25" s="21"/>
      <c r="G25" s="21"/>
      <c r="H25" s="21"/>
      <c r="I25" s="21"/>
    </row>
    <row r="26" spans="1:9" s="22" customFormat="1" x14ac:dyDescent="0.2">
      <c r="A26" s="20" t="s">
        <v>88</v>
      </c>
      <c r="B26" s="21" t="s">
        <v>90</v>
      </c>
      <c r="C26" s="21" t="s">
        <v>89</v>
      </c>
      <c r="D26" s="21" t="s">
        <v>91</v>
      </c>
      <c r="E26" s="21" t="s">
        <v>91</v>
      </c>
      <c r="F26" s="21"/>
      <c r="G26" s="21"/>
      <c r="H26" s="21"/>
      <c r="I26" s="21"/>
    </row>
    <row r="27" spans="1:9" s="22" customFormat="1" x14ac:dyDescent="0.2">
      <c r="A27" s="20" t="s">
        <v>92</v>
      </c>
      <c r="B27" s="21" t="s">
        <v>93</v>
      </c>
      <c r="C27" s="21" t="s">
        <v>93</v>
      </c>
      <c r="D27" s="21" t="s">
        <v>93</v>
      </c>
      <c r="E27" s="21" t="s">
        <v>93</v>
      </c>
      <c r="F27" s="21"/>
      <c r="G27" s="21"/>
      <c r="H27" s="21"/>
      <c r="I27" s="21"/>
    </row>
    <row r="28" spans="1:9" x14ac:dyDescent="0.2">
      <c r="A28" s="23"/>
      <c r="B28" s="24"/>
      <c r="C28" s="25"/>
    </row>
    <row r="29" spans="1:9" x14ac:dyDescent="0.2">
      <c r="A29" s="26"/>
    </row>
    <row r="30" spans="1:9" x14ac:dyDescent="0.2">
      <c r="A30" s="27" t="s">
        <v>94</v>
      </c>
      <c r="B30" s="28"/>
    </row>
    <row r="31" spans="1:9" hidden="1" x14ac:dyDescent="0.2">
      <c r="A31" s="29" t="s">
        <v>95</v>
      </c>
      <c r="B31" s="91" t="s">
        <v>1704</v>
      </c>
      <c r="C31" s="30"/>
    </row>
    <row r="32" spans="1:9" x14ac:dyDescent="0.2">
      <c r="A32" s="31" t="s">
        <v>96</v>
      </c>
      <c r="B32" s="16" t="s">
        <v>402</v>
      </c>
    </row>
    <row r="33" spans="1:17" x14ac:dyDescent="0.2">
      <c r="A33" s="32" t="s">
        <v>97</v>
      </c>
      <c r="B33" s="33">
        <v>40748</v>
      </c>
    </row>
    <row r="34" spans="1:17" x14ac:dyDescent="0.2">
      <c r="A34" s="32" t="s">
        <v>98</v>
      </c>
      <c r="B34" s="33">
        <v>40752</v>
      </c>
    </row>
    <row r="35" spans="1:17" x14ac:dyDescent="0.2">
      <c r="A35" s="34" t="s">
        <v>99</v>
      </c>
      <c r="B35" s="16">
        <v>154</v>
      </c>
    </row>
    <row r="36" spans="1:17" ht="76.5" x14ac:dyDescent="0.2">
      <c r="A36" s="34" t="s">
        <v>100</v>
      </c>
      <c r="B36" s="16" t="s">
        <v>1698</v>
      </c>
    </row>
    <row r="37" spans="1:17" x14ac:dyDescent="0.2">
      <c r="A37" s="34" t="s">
        <v>101</v>
      </c>
      <c r="B37" s="16">
        <v>1</v>
      </c>
    </row>
    <row r="38" spans="1:17" x14ac:dyDescent="0.2">
      <c r="A38" s="35" t="s">
        <v>102</v>
      </c>
      <c r="B38" s="16"/>
    </row>
    <row r="39" spans="1:17" x14ac:dyDescent="0.2">
      <c r="A39" s="35" t="s">
        <v>103</v>
      </c>
      <c r="B39" s="16"/>
    </row>
    <row r="40" spans="1:17" x14ac:dyDescent="0.2">
      <c r="A40" s="34" t="s">
        <v>104</v>
      </c>
      <c r="B40" s="16" t="s">
        <v>407</v>
      </c>
    </row>
    <row r="41" spans="1:17" ht="25.5" x14ac:dyDescent="0.2">
      <c r="A41" s="34"/>
      <c r="B41" s="16" t="s">
        <v>1702</v>
      </c>
    </row>
    <row r="42" spans="1:17" x14ac:dyDescent="0.2">
      <c r="A42" s="34"/>
      <c r="B42" s="16" t="s">
        <v>1706</v>
      </c>
    </row>
    <row r="43" spans="1:17" ht="25.5" x14ac:dyDescent="0.2">
      <c r="A43" s="34"/>
      <c r="B43" s="16" t="s">
        <v>1708</v>
      </c>
    </row>
    <row r="44" spans="1:17" x14ac:dyDescent="0.2">
      <c r="A44" s="36"/>
      <c r="I44" s="5" t="s">
        <v>105</v>
      </c>
    </row>
    <row r="45" spans="1:17" x14ac:dyDescent="0.2">
      <c r="A45" s="27" t="s">
        <v>106</v>
      </c>
    </row>
    <row r="46" spans="1:17" x14ac:dyDescent="0.2">
      <c r="A46" s="35" t="s">
        <v>430</v>
      </c>
      <c r="B46" s="79" t="s">
        <v>451</v>
      </c>
      <c r="C46" s="79" t="s">
        <v>449</v>
      </c>
      <c r="D46" s="79" t="s">
        <v>444</v>
      </c>
      <c r="E46" s="79" t="s">
        <v>429</v>
      </c>
      <c r="F46" s="79" t="s">
        <v>429</v>
      </c>
      <c r="G46" s="79" t="s">
        <v>429</v>
      </c>
      <c r="H46" s="79" t="s">
        <v>429</v>
      </c>
      <c r="I46" s="79" t="s">
        <v>429</v>
      </c>
      <c r="J46" s="8"/>
      <c r="K46" s="8"/>
      <c r="L46" s="8"/>
      <c r="M46" s="8"/>
      <c r="N46" s="8"/>
      <c r="O46" s="8"/>
      <c r="P46" s="8"/>
      <c r="Q46" s="8"/>
    </row>
    <row r="47" spans="1:17" ht="38.25" x14ac:dyDescent="0.2">
      <c r="A47" s="35" t="s">
        <v>107</v>
      </c>
      <c r="B47" s="37" t="str">
        <f>IF(ISNA(INDEX(Sites,MATCH(B46,Site_name,0),3)),"Enter Description", INDEX(Sites,MATCH(B46,Site_name,0),3))</f>
        <v>Anaktuvuk River Fire - Unburned flux tower (Station 2309) North Slope, Alaska</v>
      </c>
      <c r="C47" s="37" t="str">
        <f>IF(ISNA(INDEX(Sites,MATCH(C46,Site_name,0),3)),"Enter Description", INDEX(Sites,MATCH(C46,Site_name,0),3))</f>
        <v>Anaktuvuk River Fire - Moderate burn flux tower (Station 2308 ) North Slope, Alaska</v>
      </c>
      <c r="D47" s="37" t="str">
        <f>IF(ISNA(INDEX(Sites,MATCH(D46,Site_name,0),3)),"Enter Description", INDEX(Sites,MATCH(D46,Site_name,0),3))</f>
        <v>Anaktuvuk River Fire - Severe burn flux tower (Station 2304 ) North Slope, Alaska</v>
      </c>
      <c r="E47" s="37" t="str">
        <f>IF(ISNA(INDEX(Sites,MATCH(E$46,Site_name,0),3)),"Enter Description", INDEX(Sites,MATCH(E$46,Site_name,0),3))</f>
        <v>Enter Description</v>
      </c>
      <c r="F47" s="37" t="str">
        <f>IF(ISNA(INDEX(Sites,MATCH(F$46,Site_name,0),3)),"Enter Description", INDEX(Sites,MATCH(F$46,Site_name,0),3))</f>
        <v>Enter Description</v>
      </c>
      <c r="G47" s="37" t="str">
        <f>IF(ISNA(INDEX(Sites,MATCH(G$46,Site_name,0),3)),"Enter Description", INDEX(Sites,MATCH(G$46,Site_name,0),3))</f>
        <v>Enter Description</v>
      </c>
      <c r="H47" s="37" t="str">
        <f>IF(ISNA(INDEX(Sites,MATCH(H$46,Site_name,0),3)),"Enter Description", INDEX(Sites,MATCH(H$46,Site_name,0),3))</f>
        <v>Enter Description</v>
      </c>
      <c r="I47" s="37" t="str">
        <f>IF(ISNA(INDEX(Sites,MATCH(I$46,Site_name,0),3)),"Enter Description", INDEX(Sites,MATCH(I$46,Site_name,0),3))</f>
        <v>Enter Description</v>
      </c>
      <c r="J47" s="8"/>
      <c r="K47" s="8"/>
      <c r="L47" s="8"/>
      <c r="M47" s="8"/>
      <c r="N47" s="8"/>
      <c r="O47" s="8"/>
    </row>
    <row r="48" spans="1:17" x14ac:dyDescent="0.2">
      <c r="A48" s="38" t="s">
        <v>108</v>
      </c>
      <c r="C48" s="2"/>
      <c r="D48" s="2"/>
      <c r="E48" s="2"/>
      <c r="F48" s="2"/>
      <c r="G48" s="2"/>
      <c r="H48" s="2"/>
      <c r="I48" s="2"/>
    </row>
    <row r="49" spans="1:19" x14ac:dyDescent="0.2">
      <c r="A49" s="39" t="s">
        <v>109</v>
      </c>
      <c r="B49" s="16"/>
      <c r="C49" s="16"/>
      <c r="D49" s="16"/>
      <c r="E49" s="16"/>
      <c r="F49" s="16"/>
      <c r="G49" s="16"/>
      <c r="H49" s="16"/>
      <c r="I49" s="16"/>
      <c r="J49" s="8"/>
      <c r="K49" s="8"/>
      <c r="L49" s="8"/>
      <c r="M49" s="8"/>
      <c r="N49" s="8"/>
      <c r="O49" s="8"/>
      <c r="P49" s="8"/>
      <c r="Q49" s="8"/>
      <c r="R49" s="8"/>
      <c r="S49" s="8"/>
    </row>
    <row r="50" spans="1:19" x14ac:dyDescent="0.2">
      <c r="A50" s="39" t="s">
        <v>110</v>
      </c>
      <c r="B50" s="40"/>
      <c r="C50" s="40"/>
      <c r="D50" s="40"/>
      <c r="E50" s="40"/>
      <c r="F50" s="40"/>
      <c r="G50" s="40"/>
      <c r="H50" s="40"/>
      <c r="I50" s="40"/>
      <c r="J50" s="8"/>
      <c r="K50" s="8"/>
      <c r="L50" s="8"/>
      <c r="M50" s="8"/>
      <c r="N50" s="8"/>
      <c r="O50" s="8"/>
      <c r="P50" s="8"/>
      <c r="Q50" s="8"/>
      <c r="R50" s="8"/>
      <c r="S50" s="8"/>
    </row>
    <row r="51" spans="1:19" x14ac:dyDescent="0.2">
      <c r="A51" s="39" t="s">
        <v>111</v>
      </c>
      <c r="B51" s="16"/>
      <c r="C51" s="16"/>
      <c r="D51" s="16"/>
      <c r="E51" s="16"/>
      <c r="F51" s="16"/>
      <c r="G51" s="16"/>
      <c r="H51" s="16"/>
      <c r="I51" s="16"/>
      <c r="J51" s="8"/>
      <c r="K51" s="8"/>
      <c r="L51" s="8"/>
      <c r="M51" s="8"/>
      <c r="N51" s="8"/>
      <c r="O51" s="8"/>
      <c r="P51" s="8"/>
      <c r="Q51" s="8"/>
      <c r="R51" s="8"/>
      <c r="S51" s="8"/>
    </row>
    <row r="52" spans="1:19" x14ac:dyDescent="0.2">
      <c r="A52" s="39" t="s">
        <v>112</v>
      </c>
      <c r="B52" s="41"/>
      <c r="C52" s="41"/>
      <c r="D52" s="41"/>
      <c r="E52" s="41"/>
      <c r="F52" s="41"/>
      <c r="G52" s="41"/>
      <c r="H52" s="41"/>
      <c r="I52" s="41"/>
      <c r="J52" s="8"/>
      <c r="K52" s="8"/>
      <c r="L52" s="8"/>
      <c r="M52" s="8"/>
      <c r="N52" s="8"/>
      <c r="O52" s="8"/>
      <c r="P52" s="8"/>
      <c r="Q52" s="8"/>
      <c r="R52" s="8"/>
      <c r="S52" s="8"/>
    </row>
    <row r="53" spans="1:19" x14ac:dyDescent="0.2">
      <c r="A53" s="42" t="s">
        <v>113</v>
      </c>
      <c r="B53" s="43"/>
      <c r="C53" s="43"/>
      <c r="D53" s="43"/>
      <c r="E53" s="43"/>
      <c r="F53" s="43"/>
      <c r="G53" s="43"/>
      <c r="H53" s="43"/>
      <c r="I53" s="43"/>
    </row>
    <row r="54" spans="1:19" x14ac:dyDescent="0.2">
      <c r="A54" s="35" t="s">
        <v>114</v>
      </c>
      <c r="B54" s="37">
        <f>IF(ISNA(INDEX(Sites,MATCH(B46,Site_name,0),4)),"In Decimal Degrees", INDEX(Sites,MATCH(B46,Site_name,0),4))</f>
        <v>68.934444444444452</v>
      </c>
      <c r="C54" s="37">
        <f>IF(ISNA(INDEX(Sites,MATCH(C46,Site_name,0),4)),"In Decimal Degrees", INDEX(Sites,MATCH(C46,Site_name,0),4))</f>
        <v>68.952222222222218</v>
      </c>
      <c r="D54" s="37">
        <f>IF(ISNA(INDEX(Sites,MATCH(D46,Site_name,0),4)),"In Decimal Degrees", INDEX(Sites,MATCH(D46,Site_name,0),4))</f>
        <v>68.99666666666667</v>
      </c>
      <c r="E54" s="37" t="str">
        <f>IF(ISNA(INDEX(Sites,MATCH(E$46,Site_name,0),4)),"In Decimal Degrees", INDEX(Sites,MATCH(E$46,Site_name,0),4))</f>
        <v>In Decimal Degrees</v>
      </c>
      <c r="F54" s="37" t="str">
        <f>IF(ISNA(INDEX(Sites,MATCH(F$46,Site_name,0),4)),"In Decimal Degrees", INDEX(Sites,MATCH(F$46,Site_name,0),4))</f>
        <v>In Decimal Degrees</v>
      </c>
      <c r="G54" s="37" t="str">
        <f>IF(ISNA(INDEX(Sites,MATCH(G$46,Site_name,0),4)),"In Decimal Degrees", INDEX(Sites,MATCH(G$46,Site_name,0),4))</f>
        <v>In Decimal Degrees</v>
      </c>
      <c r="H54" s="37" t="str">
        <f>IF(ISNA(INDEX(Sites,MATCH(H$46,Site_name,0),4)),"In Decimal Degrees", INDEX(Sites,MATCH(H$46,Site_name,0),4))</f>
        <v>In Decimal Degrees</v>
      </c>
      <c r="I54" s="37" t="str">
        <f>IF(ISNA(INDEX(Sites,MATCH(I$46,Site_name,0),4)),"In Decimal Degrees", INDEX(Sites,MATCH(I$46,Site_name,0),4))</f>
        <v>In Decimal Degrees</v>
      </c>
      <c r="J54" s="8"/>
      <c r="K54" s="8"/>
      <c r="L54" s="8"/>
      <c r="M54" s="8"/>
      <c r="N54" s="8"/>
      <c r="O54" s="8"/>
      <c r="P54" s="8"/>
      <c r="Q54" s="8"/>
    </row>
    <row r="55" spans="1:19" x14ac:dyDescent="0.2">
      <c r="A55" s="35" t="s">
        <v>115</v>
      </c>
      <c r="B55" s="37">
        <v>-150.28</v>
      </c>
      <c r="C55" s="37">
        <v>-150.28</v>
      </c>
      <c r="D55" s="37">
        <v>-150.28</v>
      </c>
      <c r="E55" s="37" t="str">
        <f>IF(ISNA(INDEX(Sites,MATCH(E$46,Site_name,0),5)),"In Decimal Degrees", INDEX(Sites,MATCH(E$46,Site_name,0),5))</f>
        <v>In Decimal Degrees</v>
      </c>
      <c r="F55" s="37" t="str">
        <f>IF(ISNA(INDEX(Sites,MATCH(F$46,Site_name,0),5)),"In Decimal Degrees", INDEX(Sites,MATCH(F$46,Site_name,0),5))</f>
        <v>In Decimal Degrees</v>
      </c>
      <c r="G55" s="37" t="str">
        <f>IF(ISNA(INDEX(Sites,MATCH(G$46,Site_name,0),5)),"In Decimal Degrees", INDEX(Sites,MATCH(G$46,Site_name,0),5))</f>
        <v>In Decimal Degrees</v>
      </c>
      <c r="H55" s="37" t="str">
        <f>IF(ISNA(INDEX(Sites,MATCH(H$46,Site_name,0),5)),"In Decimal Degrees", INDEX(Sites,MATCH(H$46,Site_name,0),5))</f>
        <v>In Decimal Degrees</v>
      </c>
      <c r="I55" s="37" t="str">
        <f>IF(ISNA(INDEX(Sites,MATCH(I$46,Site_name,0),5)),"In Decimal Degrees", INDEX(Sites,MATCH(I$46,Site_name,0),5))</f>
        <v>In Decimal Degrees</v>
      </c>
      <c r="J55" s="8"/>
      <c r="K55" s="8"/>
      <c r="L55" s="8"/>
      <c r="M55" s="8"/>
      <c r="N55" s="8"/>
      <c r="O55" s="8"/>
      <c r="P55" s="8"/>
      <c r="Q55" s="8"/>
    </row>
    <row r="56" spans="1:19" x14ac:dyDescent="0.2">
      <c r="A56" s="35" t="s">
        <v>116</v>
      </c>
      <c r="B56" s="37" t="str">
        <f t="shared" ref="B56:I56" si="0">IF(ISNA(INDEX(Sites,MATCH(B$46,Site_name,0),6)),"In Meters", INDEX(Sites,MATCH(B$46,Site_name,0),6))</f>
        <v/>
      </c>
      <c r="C56" s="37" t="str">
        <f t="shared" si="0"/>
        <v/>
      </c>
      <c r="D56" s="37" t="str">
        <f t="shared" si="0"/>
        <v/>
      </c>
      <c r="E56" s="37" t="str">
        <f t="shared" si="0"/>
        <v>In Meters</v>
      </c>
      <c r="F56" s="37" t="str">
        <f t="shared" si="0"/>
        <v>In Meters</v>
      </c>
      <c r="G56" s="37" t="str">
        <f t="shared" si="0"/>
        <v>In Meters</v>
      </c>
      <c r="H56" s="37" t="str">
        <f t="shared" si="0"/>
        <v>In Meters</v>
      </c>
      <c r="I56" s="37" t="str">
        <f t="shared" si="0"/>
        <v>In Meters</v>
      </c>
      <c r="J56" s="8"/>
      <c r="K56" s="8"/>
      <c r="L56" s="8"/>
      <c r="M56" s="8"/>
      <c r="N56" s="8"/>
      <c r="O56" s="8"/>
      <c r="P56" s="8"/>
      <c r="Q56" s="8"/>
    </row>
    <row r="57" spans="1:19" x14ac:dyDescent="0.2">
      <c r="A57" s="35" t="s">
        <v>428</v>
      </c>
      <c r="B57" s="78" t="str">
        <f t="shared" ref="B57:I57" si="1">IF(ISNUMBER(B$54),HYPERLINK("http://maps.google.com/maps?q="&amp;B54&amp;","&amp;B55,"View on Google Map"),"")</f>
        <v>View on Google Map</v>
      </c>
      <c r="C57" s="78" t="str">
        <f t="shared" si="1"/>
        <v>View on Google Map</v>
      </c>
      <c r="D57" s="78" t="str">
        <f t="shared" si="1"/>
        <v>View on Google Map</v>
      </c>
      <c r="E57" s="78" t="str">
        <f t="shared" si="1"/>
        <v/>
      </c>
      <c r="F57" s="78" t="str">
        <f t="shared" si="1"/>
        <v/>
      </c>
      <c r="G57" s="78" t="str">
        <f t="shared" si="1"/>
        <v/>
      </c>
      <c r="H57" s="78" t="str">
        <f t="shared" si="1"/>
        <v/>
      </c>
      <c r="I57" s="78" t="str">
        <f t="shared" si="1"/>
        <v/>
      </c>
    </row>
    <row r="58" spans="1:19" x14ac:dyDescent="0.2">
      <c r="A58" s="44"/>
      <c r="B58" s="45"/>
      <c r="C58" s="45"/>
      <c r="D58" s="45"/>
    </row>
    <row r="59" spans="1:19" x14ac:dyDescent="0.2">
      <c r="A59" s="46" t="s">
        <v>117</v>
      </c>
      <c r="B59" s="45"/>
      <c r="C59" s="25"/>
    </row>
    <row r="60" spans="1:19" x14ac:dyDescent="0.2">
      <c r="A60" s="47" t="s">
        <v>118</v>
      </c>
      <c r="B60" s="16"/>
      <c r="C60" s="8" t="s">
        <v>119</v>
      </c>
    </row>
    <row r="61" spans="1:19" x14ac:dyDescent="0.2">
      <c r="A61" s="23"/>
    </row>
    <row r="62" spans="1:19" x14ac:dyDescent="0.2">
      <c r="A62" s="46" t="s">
        <v>120</v>
      </c>
    </row>
    <row r="63" spans="1:19" ht="38.25" x14ac:dyDescent="0.2">
      <c r="A63" s="48" t="s">
        <v>121</v>
      </c>
      <c r="B63" s="16" t="s">
        <v>404</v>
      </c>
    </row>
    <row r="64" spans="1:19" x14ac:dyDescent="0.2">
      <c r="A64" s="44"/>
      <c r="B64" s="45"/>
    </row>
    <row r="65" spans="1:2" s="13" customFormat="1" ht="15" x14ac:dyDescent="0.2">
      <c r="A65" s="12"/>
      <c r="B65" s="15"/>
    </row>
    <row r="66" spans="1:2" ht="15" x14ac:dyDescent="0.2">
      <c r="A66" s="49" t="s">
        <v>122</v>
      </c>
      <c r="B66" s="50"/>
    </row>
    <row r="67" spans="1:2" s="13" customFormat="1" x14ac:dyDescent="0.2">
      <c r="A67" s="51"/>
    </row>
    <row r="68" spans="1:2" s="13" customFormat="1" x14ac:dyDescent="0.2">
      <c r="A68" s="12"/>
      <c r="B68" s="52"/>
    </row>
    <row r="69" spans="1:2" s="13" customFormat="1" x14ac:dyDescent="0.2">
      <c r="A69" s="12"/>
    </row>
    <row r="70" spans="1:2" s="13" customFormat="1" x14ac:dyDescent="0.2">
      <c r="A70" s="12"/>
    </row>
    <row r="71" spans="1:2" s="13" customFormat="1" x14ac:dyDescent="0.2">
      <c r="A71" s="12"/>
    </row>
    <row r="72" spans="1:2" s="13" customFormat="1" x14ac:dyDescent="0.2">
      <c r="A72" s="12"/>
    </row>
    <row r="73" spans="1:2" s="13" customFormat="1" x14ac:dyDescent="0.2">
      <c r="A73" s="12"/>
    </row>
    <row r="74" spans="1:2" s="13" customFormat="1" x14ac:dyDescent="0.2">
      <c r="A74" s="12"/>
    </row>
    <row r="75" spans="1:2" s="13" customFormat="1" x14ac:dyDescent="0.2">
      <c r="A75" s="12"/>
    </row>
    <row r="76" spans="1:2" s="13" customFormat="1" x14ac:dyDescent="0.2">
      <c r="A76" s="12"/>
    </row>
    <row r="77" spans="1:2" s="13" customFormat="1" x14ac:dyDescent="0.2">
      <c r="A77" s="12"/>
    </row>
    <row r="78" spans="1:2" s="13" customFormat="1" x14ac:dyDescent="0.2">
      <c r="A78" s="12"/>
    </row>
    <row r="79" spans="1:2" s="13" customFormat="1" x14ac:dyDescent="0.2">
      <c r="A79" s="12"/>
    </row>
    <row r="80" spans="1:2" s="13" customFormat="1" x14ac:dyDescent="0.2">
      <c r="A80" s="12"/>
    </row>
    <row r="81" spans="1:10" s="13" customFormat="1" x14ac:dyDescent="0.2">
      <c r="A81" s="12"/>
    </row>
    <row r="82" spans="1:10" s="13" customFormat="1" x14ac:dyDescent="0.2">
      <c r="A82" s="12"/>
    </row>
    <row r="83" spans="1:10" s="13" customFormat="1" x14ac:dyDescent="0.2">
      <c r="A83" s="12"/>
    </row>
    <row r="84" spans="1:10" s="13" customFormat="1" x14ac:dyDescent="0.2">
      <c r="A84" s="12"/>
    </row>
    <row r="85" spans="1:10" s="13" customFormat="1" x14ac:dyDescent="0.2">
      <c r="A85" s="12"/>
    </row>
    <row r="86" spans="1:10" s="13" customFormat="1" x14ac:dyDescent="0.2">
      <c r="A86" s="12"/>
    </row>
    <row r="87" spans="1:10" s="13" customFormat="1" x14ac:dyDescent="0.2">
      <c r="A87" s="12"/>
    </row>
    <row r="88" spans="1:10" s="13" customFormat="1" x14ac:dyDescent="0.2">
      <c r="A88" s="12"/>
    </row>
    <row r="89" spans="1:10" s="13" customFormat="1" x14ac:dyDescent="0.2">
      <c r="A89" s="12"/>
    </row>
    <row r="90" spans="1:10" s="13" customFormat="1" x14ac:dyDescent="0.2">
      <c r="A90" s="12"/>
    </row>
    <row r="91" spans="1:10" s="13" customFormat="1" x14ac:dyDescent="0.2">
      <c r="A91" s="12"/>
      <c r="B91" s="14"/>
    </row>
    <row r="92" spans="1:10" s="13" customFormat="1" x14ac:dyDescent="0.2">
      <c r="A92" s="12"/>
      <c r="B92" s="14"/>
    </row>
    <row r="93" spans="1:10" s="13" customFormat="1" x14ac:dyDescent="0.2">
      <c r="A93" s="12"/>
      <c r="B93" s="14"/>
    </row>
    <row r="94" spans="1:10" s="54" customFormat="1" x14ac:dyDescent="0.2">
      <c r="A94" s="12"/>
      <c r="B94" s="14"/>
      <c r="C94" s="13"/>
      <c r="D94" s="13"/>
      <c r="E94" s="13"/>
      <c r="F94" s="13"/>
      <c r="G94" s="13"/>
      <c r="H94" s="13"/>
      <c r="I94" s="13"/>
      <c r="J94" s="53"/>
    </row>
    <row r="95" spans="1:10" s="13" customFormat="1" x14ac:dyDescent="0.2">
      <c r="A95" s="12"/>
      <c r="B95" s="14"/>
    </row>
    <row r="96" spans="1:10" s="13" customFormat="1" x14ac:dyDescent="0.2">
      <c r="A96" s="12"/>
      <c r="B96" s="14"/>
    </row>
    <row r="97" spans="1:3" s="13" customFormat="1" x14ac:dyDescent="0.2">
      <c r="A97" s="12"/>
      <c r="B97" s="14"/>
    </row>
    <row r="98" spans="1:3" s="13" customFormat="1" x14ac:dyDescent="0.2">
      <c r="A98" s="12"/>
      <c r="B98" s="14"/>
    </row>
    <row r="99" spans="1:3" s="13" customFormat="1" x14ac:dyDescent="0.2">
      <c r="A99" s="12"/>
      <c r="B99" s="14"/>
    </row>
    <row r="100" spans="1:3" s="13" customFormat="1" x14ac:dyDescent="0.2">
      <c r="A100" s="12"/>
      <c r="B100" s="14"/>
    </row>
    <row r="101" spans="1:3" s="13" customFormat="1" x14ac:dyDescent="0.2">
      <c r="A101" s="12"/>
      <c r="B101" s="14"/>
    </row>
    <row r="102" spans="1:3" s="13" customFormat="1" x14ac:dyDescent="0.2">
      <c r="A102" s="12"/>
      <c r="B102" s="14"/>
    </row>
    <row r="103" spans="1:3" s="13" customFormat="1" x14ac:dyDescent="0.2">
      <c r="A103" s="12"/>
      <c r="B103" s="14"/>
    </row>
    <row r="104" spans="1:3" s="13" customFormat="1" x14ac:dyDescent="0.2">
      <c r="A104" s="12"/>
      <c r="B104" s="14"/>
    </row>
    <row r="105" spans="1:3" s="13" customFormat="1" x14ac:dyDescent="0.2">
      <c r="A105" s="12"/>
      <c r="B105" s="14"/>
    </row>
    <row r="106" spans="1:3" s="13" customFormat="1" x14ac:dyDescent="0.2">
      <c r="A106" s="12"/>
      <c r="B106" s="14"/>
    </row>
    <row r="107" spans="1:3" s="13" customFormat="1" x14ac:dyDescent="0.2">
      <c r="A107" s="12"/>
      <c r="B107" s="55"/>
    </row>
    <row r="108" spans="1:3" s="13" customFormat="1" ht="13.5" thickBot="1" x14ac:dyDescent="0.25">
      <c r="A108" s="12"/>
      <c r="B108" s="14"/>
    </row>
    <row r="109" spans="1:3" s="13" customFormat="1" ht="13.5" thickBot="1" x14ac:dyDescent="0.25">
      <c r="A109" s="56" t="s">
        <v>123</v>
      </c>
      <c r="B109" s="57"/>
    </row>
    <row r="110" spans="1:3" s="13" customFormat="1" x14ac:dyDescent="0.2">
      <c r="A110" s="58" t="s">
        <v>124</v>
      </c>
      <c r="B110" s="59"/>
      <c r="C110" s="60"/>
    </row>
    <row r="111" spans="1:3" s="13" customFormat="1" x14ac:dyDescent="0.2">
      <c r="A111" s="61" t="s">
        <v>125</v>
      </c>
      <c r="B111" s="62"/>
      <c r="C111" s="63"/>
    </row>
    <row r="112" spans="1:3" s="13" customFormat="1" x14ac:dyDescent="0.2">
      <c r="A112" s="64" t="s">
        <v>126</v>
      </c>
      <c r="B112" s="2"/>
    </row>
    <row r="113" spans="1:14" s="13" customFormat="1" x14ac:dyDescent="0.2">
      <c r="A113" s="65" t="s">
        <v>127</v>
      </c>
      <c r="B113" s="2"/>
    </row>
    <row r="114" spans="1:14" s="13" customFormat="1" x14ac:dyDescent="0.2">
      <c r="A114" s="64"/>
      <c r="B114" s="2"/>
    </row>
    <row r="115" spans="1:14" s="13" customFormat="1" x14ac:dyDescent="0.2">
      <c r="A115" s="64"/>
      <c r="B115" s="2"/>
    </row>
    <row r="116" spans="1:14" s="13" customFormat="1" x14ac:dyDescent="0.2">
      <c r="A116" s="64"/>
      <c r="B116" s="2"/>
    </row>
    <row r="117" spans="1:14" x14ac:dyDescent="0.2">
      <c r="A117" s="12"/>
      <c r="C117" s="44"/>
      <c r="D117" s="45"/>
    </row>
    <row r="118" spans="1:14" x14ac:dyDescent="0.2">
      <c r="A118" s="12"/>
      <c r="C118" s="44"/>
      <c r="D118" s="45"/>
    </row>
    <row r="119" spans="1:14" x14ac:dyDescent="0.2">
      <c r="A119" s="12"/>
      <c r="C119" s="44"/>
      <c r="D119" s="45"/>
    </row>
    <row r="120" spans="1:14" x14ac:dyDescent="0.2">
      <c r="A120" s="49" t="s">
        <v>128</v>
      </c>
      <c r="K120" s="66" t="s">
        <v>129</v>
      </c>
    </row>
    <row r="121" spans="1:14" ht="28.15" customHeight="1" x14ac:dyDescent="0.2">
      <c r="A121" s="67" t="s">
        <v>130</v>
      </c>
      <c r="B121" s="67" t="s">
        <v>131</v>
      </c>
      <c r="C121" s="67" t="s">
        <v>132</v>
      </c>
      <c r="D121" s="68" t="s">
        <v>133</v>
      </c>
      <c r="E121" s="67" t="s">
        <v>134</v>
      </c>
      <c r="F121" s="67" t="s">
        <v>135</v>
      </c>
      <c r="G121" s="67" t="s">
        <v>136</v>
      </c>
      <c r="H121" s="69"/>
      <c r="I121" s="69"/>
      <c r="K121" s="70" t="s">
        <v>49</v>
      </c>
      <c r="L121" s="70" t="s">
        <v>137</v>
      </c>
      <c r="M121" s="70" t="s">
        <v>138</v>
      </c>
      <c r="N121" s="70" t="s">
        <v>139</v>
      </c>
    </row>
    <row r="122" spans="1:14" ht="15" x14ac:dyDescent="0.25">
      <c r="A122" s="89" t="s">
        <v>140</v>
      </c>
      <c r="B122" s="71" t="s">
        <v>377</v>
      </c>
      <c r="C122" s="71" t="s">
        <v>141</v>
      </c>
      <c r="D122" s="71"/>
      <c r="E122" s="71" t="s">
        <v>142</v>
      </c>
      <c r="F122" s="71"/>
      <c r="G122" s="71"/>
      <c r="H122" s="71"/>
      <c r="I122" s="71"/>
      <c r="L122" s="5" t="s">
        <v>143</v>
      </c>
      <c r="M122" s="72"/>
    </row>
    <row r="123" spans="1:14" ht="15" x14ac:dyDescent="0.25">
      <c r="A123" s="89" t="s">
        <v>144</v>
      </c>
      <c r="B123" s="71" t="s">
        <v>145</v>
      </c>
      <c r="C123" s="90" t="s">
        <v>146</v>
      </c>
      <c r="D123" s="71"/>
      <c r="E123" s="71"/>
      <c r="F123" s="71"/>
      <c r="G123" s="71"/>
      <c r="H123" s="71"/>
      <c r="I123" s="71"/>
      <c r="K123" s="5" t="s">
        <v>50</v>
      </c>
      <c r="L123" s="5" t="s">
        <v>141</v>
      </c>
      <c r="M123" s="5" t="s">
        <v>146</v>
      </c>
      <c r="N123" s="5" t="s">
        <v>147</v>
      </c>
    </row>
    <row r="124" spans="1:14" ht="15" x14ac:dyDescent="0.25">
      <c r="A124" s="89" t="s">
        <v>373</v>
      </c>
      <c r="B124" s="71" t="s">
        <v>148</v>
      </c>
      <c r="C124" s="90" t="s">
        <v>146</v>
      </c>
      <c r="D124" s="71"/>
      <c r="E124" s="71"/>
      <c r="F124" s="71"/>
      <c r="G124" s="71"/>
      <c r="H124" s="71"/>
      <c r="I124" s="71"/>
      <c r="K124" s="5" t="s">
        <v>149</v>
      </c>
      <c r="L124" s="5" t="s">
        <v>150</v>
      </c>
      <c r="M124" s="5" t="s">
        <v>151</v>
      </c>
      <c r="N124" s="5" t="s">
        <v>152</v>
      </c>
    </row>
    <row r="125" spans="1:14" ht="51.75" x14ac:dyDescent="0.25">
      <c r="A125" s="89" t="s">
        <v>0</v>
      </c>
      <c r="B125" s="71" t="s">
        <v>153</v>
      </c>
      <c r="C125" s="90" t="s">
        <v>151</v>
      </c>
      <c r="D125" s="71" t="s">
        <v>151</v>
      </c>
      <c r="E125" s="71"/>
      <c r="F125" s="71"/>
      <c r="G125" s="71" t="s">
        <v>1705</v>
      </c>
      <c r="H125" s="71"/>
      <c r="I125" s="71"/>
      <c r="K125" s="5" t="s">
        <v>51</v>
      </c>
      <c r="L125" s="5" t="s">
        <v>154</v>
      </c>
      <c r="M125" s="5" t="s">
        <v>141</v>
      </c>
      <c r="N125" s="5" t="s">
        <v>155</v>
      </c>
    </row>
    <row r="126" spans="1:14" ht="15" x14ac:dyDescent="0.25">
      <c r="A126" s="89" t="s">
        <v>156</v>
      </c>
      <c r="B126" s="71" t="s">
        <v>378</v>
      </c>
      <c r="C126" s="90" t="s">
        <v>151</v>
      </c>
      <c r="D126" s="71" t="s">
        <v>151</v>
      </c>
      <c r="E126" s="71"/>
      <c r="F126" s="71"/>
      <c r="G126" s="71" t="s">
        <v>1705</v>
      </c>
      <c r="H126" s="71"/>
      <c r="I126" s="71"/>
      <c r="K126" s="5" t="s">
        <v>157</v>
      </c>
      <c r="L126" s="5" t="s">
        <v>158</v>
      </c>
      <c r="N126" s="5" t="s">
        <v>159</v>
      </c>
    </row>
    <row r="127" spans="1:14" ht="15" x14ac:dyDescent="0.25">
      <c r="A127" s="89" t="s">
        <v>2</v>
      </c>
      <c r="B127" s="71" t="s">
        <v>379</v>
      </c>
      <c r="C127" s="90" t="s">
        <v>146</v>
      </c>
      <c r="D127" s="71"/>
      <c r="E127" s="71"/>
      <c r="F127" s="71"/>
      <c r="G127" s="71"/>
      <c r="H127" s="71"/>
      <c r="I127" s="71"/>
      <c r="K127" s="5" t="s">
        <v>427</v>
      </c>
      <c r="L127" s="5" t="s">
        <v>426</v>
      </c>
      <c r="N127" s="5" t="s">
        <v>425</v>
      </c>
    </row>
    <row r="128" spans="1:14" ht="26.25" x14ac:dyDescent="0.25">
      <c r="A128" s="89" t="s">
        <v>1</v>
      </c>
      <c r="B128" s="71" t="s">
        <v>400</v>
      </c>
      <c r="C128" s="90" t="s">
        <v>146</v>
      </c>
      <c r="D128" s="71"/>
      <c r="E128" s="71"/>
      <c r="F128" s="71"/>
      <c r="G128" s="71"/>
      <c r="H128" s="71"/>
      <c r="I128" s="71"/>
      <c r="N128" s="5" t="s">
        <v>161</v>
      </c>
    </row>
    <row r="129" spans="1:14" ht="26.25" x14ac:dyDescent="0.25">
      <c r="A129" s="89" t="s">
        <v>3</v>
      </c>
      <c r="B129" s="71" t="s">
        <v>380</v>
      </c>
      <c r="C129" s="90" t="s">
        <v>146</v>
      </c>
      <c r="D129" s="71"/>
      <c r="E129" s="71"/>
      <c r="F129" s="71"/>
      <c r="G129" s="71"/>
      <c r="H129" s="71"/>
      <c r="I129" s="71"/>
      <c r="N129" s="5" t="s">
        <v>163</v>
      </c>
    </row>
    <row r="130" spans="1:14" ht="15" x14ac:dyDescent="0.25">
      <c r="A130" s="89" t="s">
        <v>4</v>
      </c>
      <c r="B130" s="71" t="s">
        <v>381</v>
      </c>
      <c r="C130" s="90" t="s">
        <v>146</v>
      </c>
      <c r="D130" s="71"/>
      <c r="E130" s="71"/>
      <c r="F130" s="71"/>
      <c r="G130" s="71" t="s">
        <v>1705</v>
      </c>
      <c r="H130" s="71"/>
      <c r="I130" s="71"/>
      <c r="N130" s="5" t="s">
        <v>164</v>
      </c>
    </row>
    <row r="131" spans="1:14" ht="26.25" x14ac:dyDescent="0.25">
      <c r="A131" s="89" t="s">
        <v>5</v>
      </c>
      <c r="B131" s="71" t="s">
        <v>382</v>
      </c>
      <c r="C131" s="90" t="s">
        <v>151</v>
      </c>
      <c r="D131" s="71" t="s">
        <v>160</v>
      </c>
      <c r="E131" s="71"/>
      <c r="F131" s="71"/>
      <c r="G131" s="71" t="s">
        <v>1705</v>
      </c>
      <c r="H131" s="71"/>
      <c r="I131" s="71"/>
      <c r="N131" s="5" t="s">
        <v>165</v>
      </c>
    </row>
    <row r="132" spans="1:14" ht="15" x14ac:dyDescent="0.25">
      <c r="A132" s="89" t="s">
        <v>359</v>
      </c>
      <c r="B132" s="71" t="s">
        <v>385</v>
      </c>
      <c r="C132" s="90" t="s">
        <v>151</v>
      </c>
      <c r="D132" s="71" t="s">
        <v>343</v>
      </c>
      <c r="E132" s="71"/>
      <c r="F132" s="71"/>
      <c r="G132" s="71" t="s">
        <v>1705</v>
      </c>
      <c r="H132" s="71"/>
      <c r="I132" s="71"/>
      <c r="N132" s="5" t="s">
        <v>166</v>
      </c>
    </row>
    <row r="133" spans="1:14" ht="15" x14ac:dyDescent="0.25">
      <c r="A133" s="89" t="s">
        <v>360</v>
      </c>
      <c r="B133" s="71" t="s">
        <v>386</v>
      </c>
      <c r="C133" s="90" t="s">
        <v>151</v>
      </c>
      <c r="D133" s="71" t="s">
        <v>343</v>
      </c>
      <c r="E133" s="71"/>
      <c r="F133" s="71"/>
      <c r="G133" s="71" t="s">
        <v>1705</v>
      </c>
      <c r="H133" s="71"/>
      <c r="I133" s="71"/>
      <c r="N133" s="5" t="s">
        <v>167</v>
      </c>
    </row>
    <row r="134" spans="1:14" ht="26.25" x14ac:dyDescent="0.25">
      <c r="A134" s="89" t="s">
        <v>1699</v>
      </c>
      <c r="B134" s="71" t="s">
        <v>401</v>
      </c>
      <c r="C134" s="90" t="s">
        <v>151</v>
      </c>
      <c r="D134" s="71" t="s">
        <v>190</v>
      </c>
      <c r="E134" s="71"/>
      <c r="F134" s="71"/>
      <c r="G134" s="71" t="s">
        <v>1705</v>
      </c>
      <c r="H134" s="71"/>
      <c r="I134" s="71"/>
      <c r="N134" s="5" t="s">
        <v>168</v>
      </c>
    </row>
    <row r="135" spans="1:14" ht="27.75" x14ac:dyDescent="0.35">
      <c r="A135" s="89" t="s">
        <v>1700</v>
      </c>
      <c r="B135" s="71" t="s">
        <v>387</v>
      </c>
      <c r="C135" s="90" t="s">
        <v>151</v>
      </c>
      <c r="D135" s="71" t="s">
        <v>171</v>
      </c>
      <c r="E135" s="71"/>
      <c r="F135" s="71"/>
      <c r="G135" s="71" t="s">
        <v>1705</v>
      </c>
      <c r="H135" s="71"/>
      <c r="I135" s="71"/>
      <c r="N135" s="5" t="s">
        <v>169</v>
      </c>
    </row>
    <row r="136" spans="1:14" ht="27.75" x14ac:dyDescent="0.35">
      <c r="A136" s="89" t="s">
        <v>1701</v>
      </c>
      <c r="B136" s="71" t="s">
        <v>388</v>
      </c>
      <c r="C136" s="90" t="s">
        <v>151</v>
      </c>
      <c r="D136" s="71" t="s">
        <v>171</v>
      </c>
      <c r="E136" s="71"/>
      <c r="F136" s="71"/>
      <c r="G136" s="71" t="s">
        <v>1705</v>
      </c>
      <c r="H136" s="71"/>
      <c r="I136" s="71"/>
      <c r="N136" s="5" t="s">
        <v>170</v>
      </c>
    </row>
    <row r="137" spans="1:14" ht="39" x14ac:dyDescent="0.25">
      <c r="A137" s="89" t="s">
        <v>6</v>
      </c>
      <c r="B137" s="71" t="s">
        <v>389</v>
      </c>
      <c r="C137" s="90" t="s">
        <v>151</v>
      </c>
      <c r="D137" s="71" t="s">
        <v>171</v>
      </c>
      <c r="E137" s="71"/>
      <c r="F137" s="71"/>
      <c r="G137" s="71" t="s">
        <v>1705</v>
      </c>
      <c r="H137" s="71"/>
      <c r="I137" s="71"/>
      <c r="N137" s="5" t="s">
        <v>172</v>
      </c>
    </row>
    <row r="138" spans="1:14" ht="39" x14ac:dyDescent="0.25">
      <c r="A138" s="89" t="s">
        <v>7</v>
      </c>
      <c r="B138" s="71" t="s">
        <v>390</v>
      </c>
      <c r="C138" s="90" t="s">
        <v>151</v>
      </c>
      <c r="D138" s="71" t="s">
        <v>171</v>
      </c>
      <c r="E138" s="71"/>
      <c r="F138" s="71"/>
      <c r="G138" s="71" t="s">
        <v>1705</v>
      </c>
      <c r="H138" s="71"/>
      <c r="I138" s="71"/>
      <c r="N138" s="5" t="s">
        <v>160</v>
      </c>
    </row>
    <row r="139" spans="1:14" ht="39" x14ac:dyDescent="0.25">
      <c r="A139" s="89" t="s">
        <v>8</v>
      </c>
      <c r="B139" s="71" t="s">
        <v>391</v>
      </c>
      <c r="C139" s="90" t="s">
        <v>151</v>
      </c>
      <c r="D139" s="71" t="s">
        <v>171</v>
      </c>
      <c r="E139" s="71"/>
      <c r="F139" s="71"/>
      <c r="G139" s="71" t="s">
        <v>1705</v>
      </c>
      <c r="H139" s="71"/>
      <c r="I139" s="71"/>
      <c r="N139" s="5" t="s">
        <v>173</v>
      </c>
    </row>
    <row r="140" spans="1:14" ht="39" x14ac:dyDescent="0.25">
      <c r="A140" s="89" t="s">
        <v>9</v>
      </c>
      <c r="B140" s="71" t="s">
        <v>392</v>
      </c>
      <c r="C140" s="90" t="s">
        <v>151</v>
      </c>
      <c r="D140" s="71" t="s">
        <v>171</v>
      </c>
      <c r="E140" s="71"/>
      <c r="F140" s="71"/>
      <c r="G140" s="71" t="s">
        <v>1705</v>
      </c>
      <c r="H140" s="71"/>
      <c r="I140" s="71"/>
      <c r="N140" s="5" t="s">
        <v>174</v>
      </c>
    </row>
    <row r="141" spans="1:14" ht="17.25" x14ac:dyDescent="0.25">
      <c r="A141" s="89" t="s">
        <v>364</v>
      </c>
      <c r="B141" s="71" t="s">
        <v>393</v>
      </c>
      <c r="C141" s="90" t="s">
        <v>151</v>
      </c>
      <c r="D141" s="71" t="s">
        <v>162</v>
      </c>
      <c r="E141" s="71"/>
      <c r="F141" s="71"/>
      <c r="G141" s="71" t="s">
        <v>1705</v>
      </c>
      <c r="H141" s="71"/>
      <c r="I141" s="71"/>
      <c r="N141" s="5" t="s">
        <v>175</v>
      </c>
    </row>
    <row r="142" spans="1:14" ht="17.25" x14ac:dyDescent="0.25">
      <c r="A142" s="89" t="s">
        <v>365</v>
      </c>
      <c r="B142" s="71" t="s">
        <v>394</v>
      </c>
      <c r="C142" s="90" t="s">
        <v>151</v>
      </c>
      <c r="D142" s="71" t="s">
        <v>162</v>
      </c>
      <c r="E142" s="71"/>
      <c r="F142" s="71"/>
      <c r="G142" s="71" t="s">
        <v>1705</v>
      </c>
      <c r="H142" s="71"/>
      <c r="I142" s="71"/>
      <c r="N142" s="5" t="s">
        <v>176</v>
      </c>
    </row>
    <row r="143" spans="1:14" ht="17.25" x14ac:dyDescent="0.25">
      <c r="A143" s="89" t="s">
        <v>366</v>
      </c>
      <c r="B143" s="71" t="s">
        <v>395</v>
      </c>
      <c r="C143" s="90" t="s">
        <v>151</v>
      </c>
      <c r="D143" s="71" t="s">
        <v>162</v>
      </c>
      <c r="E143" s="71"/>
      <c r="F143" s="71"/>
      <c r="G143" s="71" t="s">
        <v>1705</v>
      </c>
      <c r="H143" s="71"/>
      <c r="I143" s="71"/>
      <c r="N143" s="5" t="s">
        <v>177</v>
      </c>
    </row>
    <row r="144" spans="1:14" ht="17.25" x14ac:dyDescent="0.25">
      <c r="A144" s="89" t="s">
        <v>367</v>
      </c>
      <c r="B144" s="71" t="s">
        <v>396</v>
      </c>
      <c r="C144" s="90" t="s">
        <v>151</v>
      </c>
      <c r="D144" s="71" t="s">
        <v>162</v>
      </c>
      <c r="E144" s="71"/>
      <c r="F144" s="71"/>
      <c r="G144" s="71" t="s">
        <v>1705</v>
      </c>
      <c r="H144" s="71"/>
      <c r="I144" s="71"/>
      <c r="N144" s="5" t="s">
        <v>178</v>
      </c>
    </row>
    <row r="145" spans="1:14" ht="17.25" x14ac:dyDescent="0.25">
      <c r="A145" s="89" t="s">
        <v>368</v>
      </c>
      <c r="B145" s="71" t="s">
        <v>397</v>
      </c>
      <c r="C145" s="90" t="s">
        <v>151</v>
      </c>
      <c r="D145" s="71" t="s">
        <v>162</v>
      </c>
      <c r="E145" s="71"/>
      <c r="F145" s="71"/>
      <c r="G145" s="71" t="s">
        <v>1705</v>
      </c>
      <c r="H145" s="71"/>
      <c r="I145" s="71"/>
      <c r="N145" s="5" t="s">
        <v>179</v>
      </c>
    </row>
    <row r="146" spans="1:14" ht="17.25" x14ac:dyDescent="0.25">
      <c r="A146" s="89" t="s">
        <v>369</v>
      </c>
      <c r="B146" s="71" t="s">
        <v>398</v>
      </c>
      <c r="C146" s="90" t="s">
        <v>151</v>
      </c>
      <c r="D146" s="71" t="s">
        <v>162</v>
      </c>
      <c r="E146" s="71"/>
      <c r="F146" s="71"/>
      <c r="G146" s="71" t="s">
        <v>1705</v>
      </c>
      <c r="H146" s="71"/>
      <c r="I146" s="71"/>
      <c r="N146" s="5" t="s">
        <v>180</v>
      </c>
    </row>
    <row r="147" spans="1:14" ht="17.25" x14ac:dyDescent="0.25">
      <c r="A147" s="89" t="s">
        <v>370</v>
      </c>
      <c r="B147" s="71" t="s">
        <v>399</v>
      </c>
      <c r="C147" s="90" t="s">
        <v>151</v>
      </c>
      <c r="D147" s="71" t="s">
        <v>162</v>
      </c>
      <c r="E147" s="71"/>
      <c r="F147" s="71"/>
      <c r="G147" s="71" t="s">
        <v>1705</v>
      </c>
      <c r="H147" s="71"/>
      <c r="I147" s="71"/>
      <c r="N147" s="5" t="s">
        <v>181</v>
      </c>
    </row>
    <row r="148" spans="1:14" ht="17.25" x14ac:dyDescent="0.25">
      <c r="A148" s="89" t="s">
        <v>371</v>
      </c>
      <c r="B148" s="71" t="s">
        <v>405</v>
      </c>
      <c r="C148" s="90" t="s">
        <v>151</v>
      </c>
      <c r="D148" s="71" t="s">
        <v>162</v>
      </c>
      <c r="E148" s="71"/>
      <c r="F148" s="71"/>
      <c r="G148" s="71" t="s">
        <v>1705</v>
      </c>
      <c r="H148" s="71"/>
      <c r="I148" s="71"/>
      <c r="N148" s="5" t="s">
        <v>182</v>
      </c>
    </row>
    <row r="149" spans="1:14" ht="17.25" x14ac:dyDescent="0.25">
      <c r="A149" s="89" t="s">
        <v>372</v>
      </c>
      <c r="B149" s="71" t="s">
        <v>406</v>
      </c>
      <c r="C149" s="90" t="s">
        <v>151</v>
      </c>
      <c r="D149" s="71" t="s">
        <v>162</v>
      </c>
      <c r="E149" s="71"/>
      <c r="F149" s="71"/>
      <c r="G149" s="71" t="s">
        <v>1705</v>
      </c>
      <c r="H149" s="71"/>
      <c r="I149" s="71"/>
      <c r="N149" s="5" t="s">
        <v>183</v>
      </c>
    </row>
    <row r="150" spans="1:14" x14ac:dyDescent="0.2">
      <c r="A150" s="77"/>
      <c r="B150" s="71"/>
      <c r="C150" s="71"/>
      <c r="D150" s="71"/>
      <c r="E150" s="71"/>
      <c r="F150" s="71"/>
      <c r="G150" s="71"/>
      <c r="H150" s="71"/>
      <c r="I150" s="71"/>
      <c r="N150" s="5" t="s">
        <v>184</v>
      </c>
    </row>
    <row r="151" spans="1:14" x14ac:dyDescent="0.2">
      <c r="A151" s="77"/>
      <c r="B151" s="71"/>
      <c r="C151" s="71"/>
      <c r="D151" s="71"/>
      <c r="E151" s="71"/>
      <c r="F151" s="71"/>
      <c r="G151" s="71"/>
      <c r="H151" s="71"/>
      <c r="I151" s="71"/>
      <c r="N151" s="5" t="s">
        <v>185</v>
      </c>
    </row>
    <row r="152" spans="1:14" x14ac:dyDescent="0.2">
      <c r="A152" s="77"/>
      <c r="B152" s="71"/>
      <c r="C152" s="71"/>
      <c r="D152" s="71"/>
      <c r="E152" s="71"/>
      <c r="F152" s="71"/>
      <c r="G152" s="71"/>
      <c r="H152" s="71"/>
      <c r="I152" s="71"/>
      <c r="N152" s="5" t="s">
        <v>186</v>
      </c>
    </row>
    <row r="153" spans="1:14" x14ac:dyDescent="0.2">
      <c r="A153" s="77"/>
      <c r="B153" s="71"/>
      <c r="C153" s="71"/>
      <c r="D153" s="71"/>
      <c r="E153" s="71"/>
      <c r="F153" s="71"/>
      <c r="G153" s="71"/>
      <c r="H153" s="71"/>
      <c r="I153" s="71"/>
      <c r="N153" s="5" t="s">
        <v>187</v>
      </c>
    </row>
    <row r="154" spans="1:14" x14ac:dyDescent="0.2">
      <c r="A154" s="77"/>
      <c r="B154" s="71"/>
      <c r="C154" s="71"/>
      <c r="D154" s="71"/>
      <c r="E154" s="71"/>
      <c r="F154" s="71"/>
      <c r="G154" s="71"/>
      <c r="H154" s="71"/>
      <c r="I154" s="71"/>
      <c r="N154" s="5" t="s">
        <v>188</v>
      </c>
    </row>
    <row r="155" spans="1:14" x14ac:dyDescent="0.2">
      <c r="A155" s="77"/>
      <c r="B155" s="71"/>
      <c r="C155" s="71"/>
      <c r="D155" s="71"/>
      <c r="E155" s="71"/>
      <c r="F155" s="71"/>
      <c r="G155" s="71"/>
      <c r="H155" s="71"/>
      <c r="I155" s="71"/>
      <c r="N155" s="5" t="s">
        <v>189</v>
      </c>
    </row>
    <row r="156" spans="1:14" x14ac:dyDescent="0.2">
      <c r="A156" s="77"/>
      <c r="B156" s="71"/>
      <c r="C156" s="71"/>
      <c r="D156" s="71"/>
      <c r="E156" s="71"/>
      <c r="F156" s="71"/>
      <c r="G156" s="71"/>
      <c r="H156" s="71"/>
      <c r="I156" s="71"/>
      <c r="N156" s="5" t="s">
        <v>424</v>
      </c>
    </row>
    <row r="157" spans="1:14" x14ac:dyDescent="0.2">
      <c r="A157" s="77"/>
      <c r="B157" s="71"/>
      <c r="C157" s="71"/>
      <c r="D157" s="71"/>
      <c r="E157" s="71"/>
      <c r="F157" s="71"/>
      <c r="G157" s="71"/>
      <c r="H157" s="71"/>
      <c r="I157" s="71"/>
      <c r="N157" s="5" t="s">
        <v>190</v>
      </c>
    </row>
    <row r="158" spans="1:14" x14ac:dyDescent="0.2">
      <c r="A158" s="77"/>
      <c r="B158" s="71"/>
      <c r="C158" s="71"/>
      <c r="D158" s="71"/>
      <c r="E158" s="71"/>
      <c r="F158" s="71"/>
      <c r="G158" s="71"/>
      <c r="H158" s="71"/>
      <c r="I158" s="71"/>
      <c r="N158" s="5" t="s">
        <v>191</v>
      </c>
    </row>
    <row r="159" spans="1:14" x14ac:dyDescent="0.2">
      <c r="A159" s="77"/>
      <c r="B159" s="71"/>
      <c r="C159" s="71"/>
      <c r="D159" s="71"/>
      <c r="E159" s="71"/>
      <c r="F159" s="71"/>
      <c r="G159" s="71"/>
      <c r="H159" s="71"/>
      <c r="I159" s="71"/>
      <c r="N159" s="5" t="s">
        <v>192</v>
      </c>
    </row>
    <row r="160" spans="1:14" x14ac:dyDescent="0.2">
      <c r="A160" s="77"/>
      <c r="B160" s="71"/>
      <c r="C160" s="71"/>
      <c r="D160" s="71"/>
      <c r="E160" s="71"/>
      <c r="F160" s="71"/>
      <c r="G160" s="71"/>
      <c r="H160" s="71"/>
      <c r="I160" s="71"/>
      <c r="N160" s="5" t="s">
        <v>193</v>
      </c>
    </row>
    <row r="161" spans="1:14" x14ac:dyDescent="0.2">
      <c r="A161" s="77"/>
      <c r="B161" s="71"/>
      <c r="C161" s="71"/>
      <c r="D161" s="71"/>
      <c r="E161" s="71"/>
      <c r="F161" s="71"/>
      <c r="G161" s="71"/>
      <c r="H161" s="71"/>
      <c r="I161" s="71"/>
      <c r="N161" s="5" t="s">
        <v>194</v>
      </c>
    </row>
    <row r="162" spans="1:14" x14ac:dyDescent="0.2">
      <c r="A162" s="77"/>
      <c r="B162" s="71"/>
      <c r="C162" s="71"/>
      <c r="D162" s="71"/>
      <c r="E162" s="71"/>
      <c r="F162" s="71"/>
      <c r="G162" s="71"/>
      <c r="H162" s="71"/>
      <c r="I162" s="71"/>
      <c r="N162" s="5" t="s">
        <v>195</v>
      </c>
    </row>
    <row r="163" spans="1:14" x14ac:dyDescent="0.2">
      <c r="A163" s="77"/>
      <c r="B163" s="71"/>
      <c r="C163" s="71"/>
      <c r="D163" s="71"/>
      <c r="E163" s="71"/>
      <c r="F163" s="71"/>
      <c r="G163" s="71"/>
      <c r="H163" s="71"/>
      <c r="I163" s="71"/>
      <c r="N163" s="5" t="s">
        <v>196</v>
      </c>
    </row>
    <row r="164" spans="1:14" x14ac:dyDescent="0.2">
      <c r="A164" s="77"/>
      <c r="B164" s="71"/>
      <c r="C164" s="71"/>
      <c r="D164" s="71"/>
      <c r="E164" s="71"/>
      <c r="F164" s="71"/>
      <c r="G164" s="71"/>
      <c r="H164" s="71"/>
      <c r="I164" s="71"/>
      <c r="N164" s="5" t="s">
        <v>197</v>
      </c>
    </row>
    <row r="165" spans="1:14" x14ac:dyDescent="0.2">
      <c r="A165" s="77"/>
      <c r="B165" s="71"/>
      <c r="C165" s="71"/>
      <c r="D165" s="71"/>
      <c r="E165" s="71"/>
      <c r="F165" s="71"/>
      <c r="G165" s="71"/>
      <c r="H165" s="71"/>
      <c r="I165" s="71"/>
      <c r="N165" s="5" t="s">
        <v>198</v>
      </c>
    </row>
    <row r="166" spans="1:14" x14ac:dyDescent="0.2">
      <c r="A166" s="77"/>
      <c r="B166" s="71"/>
      <c r="C166" s="71"/>
      <c r="D166" s="71"/>
      <c r="E166" s="71"/>
      <c r="F166" s="71"/>
      <c r="G166" s="71"/>
      <c r="H166" s="71"/>
      <c r="I166" s="71"/>
      <c r="N166" s="5" t="s">
        <v>162</v>
      </c>
    </row>
    <row r="167" spans="1:14" x14ac:dyDescent="0.2">
      <c r="A167" s="77"/>
      <c r="B167" s="71"/>
      <c r="C167" s="71"/>
      <c r="D167" s="71"/>
      <c r="E167" s="71"/>
      <c r="F167" s="71"/>
      <c r="G167" s="71"/>
      <c r="H167" s="71"/>
      <c r="I167" s="71"/>
      <c r="N167" s="5" t="s">
        <v>199</v>
      </c>
    </row>
    <row r="168" spans="1:14" x14ac:dyDescent="0.2">
      <c r="A168" s="77"/>
      <c r="B168" s="71"/>
      <c r="C168" s="71"/>
      <c r="D168" s="71"/>
      <c r="E168" s="71"/>
      <c r="F168" s="71"/>
      <c r="G168" s="71"/>
      <c r="H168" s="71"/>
      <c r="I168" s="71"/>
      <c r="N168" s="5" t="s">
        <v>200</v>
      </c>
    </row>
    <row r="169" spans="1:14" x14ac:dyDescent="0.2">
      <c r="A169" s="77"/>
      <c r="B169" s="71"/>
      <c r="C169" s="71"/>
      <c r="D169" s="71"/>
      <c r="E169" s="71"/>
      <c r="F169" s="71"/>
      <c r="G169" s="71"/>
      <c r="H169" s="71"/>
      <c r="I169" s="71"/>
      <c r="N169" s="5" t="s">
        <v>201</v>
      </c>
    </row>
    <row r="170" spans="1:14" x14ac:dyDescent="0.2">
      <c r="A170" s="77"/>
      <c r="B170" s="71"/>
      <c r="C170" s="71"/>
      <c r="D170" s="71"/>
      <c r="E170" s="71"/>
      <c r="F170" s="71"/>
      <c r="G170" s="71"/>
      <c r="H170" s="71"/>
      <c r="I170" s="71"/>
      <c r="N170" s="5" t="s">
        <v>202</v>
      </c>
    </row>
    <row r="171" spans="1:14" x14ac:dyDescent="0.2">
      <c r="A171" s="77"/>
      <c r="B171" s="71"/>
      <c r="C171" s="71"/>
      <c r="D171" s="71"/>
      <c r="E171" s="71"/>
      <c r="F171" s="71"/>
      <c r="G171" s="71"/>
      <c r="H171" s="71"/>
      <c r="I171" s="71"/>
      <c r="N171" s="5" t="s">
        <v>203</v>
      </c>
    </row>
    <row r="172" spans="1:14" x14ac:dyDescent="0.2">
      <c r="A172" s="77"/>
      <c r="B172" s="71"/>
      <c r="C172" s="71"/>
      <c r="D172" s="71"/>
      <c r="E172" s="71"/>
      <c r="F172" s="71"/>
      <c r="G172" s="71"/>
      <c r="H172" s="71"/>
      <c r="I172" s="71"/>
      <c r="N172" s="5" t="s">
        <v>204</v>
      </c>
    </row>
    <row r="173" spans="1:14" x14ac:dyDescent="0.2">
      <c r="A173" s="77"/>
      <c r="B173" s="71"/>
      <c r="C173" s="71"/>
      <c r="D173" s="71"/>
      <c r="E173" s="71"/>
      <c r="F173" s="71"/>
      <c r="G173" s="71"/>
      <c r="H173" s="71"/>
      <c r="I173" s="71"/>
      <c r="N173" s="5" t="s">
        <v>205</v>
      </c>
    </row>
    <row r="174" spans="1:14" x14ac:dyDescent="0.2">
      <c r="A174" s="77"/>
      <c r="B174" s="71"/>
      <c r="C174" s="71"/>
      <c r="D174" s="71"/>
      <c r="E174" s="71"/>
      <c r="F174" s="71"/>
      <c r="G174" s="71"/>
      <c r="H174" s="71"/>
      <c r="I174" s="71"/>
      <c r="N174" s="5" t="s">
        <v>206</v>
      </c>
    </row>
    <row r="175" spans="1:14" x14ac:dyDescent="0.2">
      <c r="A175" s="77"/>
      <c r="B175" s="71"/>
      <c r="C175" s="71"/>
      <c r="D175" s="71"/>
      <c r="E175" s="71"/>
      <c r="F175" s="71"/>
      <c r="G175" s="71"/>
      <c r="H175" s="71"/>
      <c r="I175" s="71"/>
      <c r="N175" s="5" t="s">
        <v>207</v>
      </c>
    </row>
    <row r="176" spans="1:14" x14ac:dyDescent="0.2">
      <c r="A176" s="77"/>
      <c r="B176" s="71"/>
      <c r="C176" s="71"/>
      <c r="D176" s="71"/>
      <c r="E176" s="71"/>
      <c r="F176" s="71"/>
      <c r="G176" s="71"/>
      <c r="H176" s="71"/>
      <c r="I176" s="71"/>
      <c r="N176" s="5" t="s">
        <v>208</v>
      </c>
    </row>
    <row r="177" spans="1:14" x14ac:dyDescent="0.2">
      <c r="A177" s="77"/>
      <c r="B177" s="71"/>
      <c r="C177" s="71"/>
      <c r="D177" s="71"/>
      <c r="E177" s="71"/>
      <c r="F177" s="71"/>
      <c r="G177" s="71"/>
      <c r="H177" s="71"/>
      <c r="I177" s="71"/>
      <c r="N177" s="5" t="s">
        <v>209</v>
      </c>
    </row>
    <row r="178" spans="1:14" x14ac:dyDescent="0.2">
      <c r="A178" s="77"/>
      <c r="B178" s="71"/>
      <c r="C178" s="71"/>
      <c r="D178" s="71"/>
      <c r="E178" s="71"/>
      <c r="F178" s="71"/>
      <c r="G178" s="71"/>
      <c r="H178" s="71"/>
      <c r="I178" s="71"/>
      <c r="N178" s="5" t="s">
        <v>210</v>
      </c>
    </row>
    <row r="179" spans="1:14" x14ac:dyDescent="0.2">
      <c r="A179" s="77"/>
      <c r="B179" s="71"/>
      <c r="C179" s="71"/>
      <c r="D179" s="71"/>
      <c r="E179" s="71"/>
      <c r="F179" s="71"/>
      <c r="G179" s="71"/>
      <c r="H179" s="71"/>
      <c r="I179" s="71"/>
      <c r="N179" s="5" t="s">
        <v>211</v>
      </c>
    </row>
    <row r="180" spans="1:14" x14ac:dyDescent="0.2">
      <c r="A180" s="77"/>
      <c r="B180" s="71"/>
      <c r="C180" s="71"/>
      <c r="D180" s="71"/>
      <c r="E180" s="71"/>
      <c r="F180" s="71"/>
      <c r="G180" s="71"/>
      <c r="H180" s="71"/>
      <c r="I180" s="71"/>
      <c r="N180" s="5" t="s">
        <v>212</v>
      </c>
    </row>
    <row r="181" spans="1:14" x14ac:dyDescent="0.2">
      <c r="A181" s="77"/>
      <c r="B181" s="71"/>
      <c r="C181" s="71"/>
      <c r="D181" s="71"/>
      <c r="E181" s="71"/>
      <c r="F181" s="71"/>
      <c r="G181" s="71"/>
      <c r="H181" s="71"/>
      <c r="I181" s="71"/>
      <c r="N181" s="5" t="s">
        <v>213</v>
      </c>
    </row>
    <row r="182" spans="1:14" x14ac:dyDescent="0.2">
      <c r="A182" s="77"/>
      <c r="B182" s="71"/>
      <c r="C182" s="71"/>
      <c r="D182" s="71"/>
      <c r="E182" s="71"/>
      <c r="F182" s="71"/>
      <c r="G182" s="71"/>
      <c r="H182" s="71"/>
      <c r="I182" s="71"/>
      <c r="N182" s="5" t="s">
        <v>214</v>
      </c>
    </row>
    <row r="183" spans="1:14" x14ac:dyDescent="0.2">
      <c r="A183" s="77"/>
      <c r="B183" s="71"/>
      <c r="C183" s="71"/>
      <c r="D183" s="71"/>
      <c r="E183" s="71"/>
      <c r="F183" s="71"/>
      <c r="G183" s="71"/>
      <c r="H183" s="71"/>
      <c r="I183" s="71"/>
      <c r="N183" s="5" t="s">
        <v>215</v>
      </c>
    </row>
    <row r="184" spans="1:14" x14ac:dyDescent="0.2">
      <c r="A184" s="77"/>
      <c r="B184" s="71"/>
      <c r="C184" s="71"/>
      <c r="D184" s="71"/>
      <c r="E184" s="71"/>
      <c r="F184" s="71"/>
      <c r="G184" s="71"/>
      <c r="H184" s="71"/>
      <c r="I184" s="71"/>
      <c r="N184" s="5" t="s">
        <v>216</v>
      </c>
    </row>
    <row r="185" spans="1:14" x14ac:dyDescent="0.2">
      <c r="A185" s="77"/>
      <c r="B185" s="71"/>
      <c r="C185" s="71"/>
      <c r="D185" s="71"/>
      <c r="E185" s="71"/>
      <c r="F185" s="71"/>
      <c r="G185" s="71"/>
      <c r="H185" s="71"/>
      <c r="I185" s="71"/>
      <c r="N185" s="5" t="s">
        <v>217</v>
      </c>
    </row>
    <row r="186" spans="1:14" x14ac:dyDescent="0.2">
      <c r="A186" s="77"/>
      <c r="B186" s="71"/>
      <c r="C186" s="71"/>
      <c r="D186" s="71"/>
      <c r="E186" s="71"/>
      <c r="F186" s="71"/>
      <c r="G186" s="71"/>
      <c r="H186" s="71"/>
      <c r="I186" s="71"/>
      <c r="N186" s="5" t="s">
        <v>218</v>
      </c>
    </row>
    <row r="187" spans="1:14" x14ac:dyDescent="0.2">
      <c r="A187" s="77"/>
      <c r="B187" s="71"/>
      <c r="C187" s="71"/>
      <c r="D187" s="71"/>
      <c r="E187" s="71"/>
      <c r="F187" s="71"/>
      <c r="G187" s="71"/>
      <c r="H187" s="71"/>
      <c r="I187" s="71"/>
      <c r="N187" s="5" t="s">
        <v>219</v>
      </c>
    </row>
    <row r="188" spans="1:14" x14ac:dyDescent="0.2">
      <c r="A188" s="77"/>
      <c r="B188" s="71"/>
      <c r="C188" s="71"/>
      <c r="D188" s="71"/>
      <c r="E188" s="71"/>
      <c r="F188" s="71"/>
      <c r="G188" s="71"/>
      <c r="H188" s="71"/>
      <c r="I188" s="71"/>
      <c r="N188" s="5" t="s">
        <v>220</v>
      </c>
    </row>
    <row r="189" spans="1:14" x14ac:dyDescent="0.2">
      <c r="A189" s="77"/>
      <c r="B189" s="71"/>
      <c r="C189" s="71"/>
      <c r="D189" s="71"/>
      <c r="E189" s="71"/>
      <c r="F189" s="71"/>
      <c r="G189" s="71"/>
      <c r="H189" s="71"/>
      <c r="I189" s="71"/>
      <c r="N189" s="5" t="s">
        <v>221</v>
      </c>
    </row>
    <row r="190" spans="1:14" x14ac:dyDescent="0.2">
      <c r="A190" s="77"/>
      <c r="B190" s="71"/>
      <c r="C190" s="71"/>
      <c r="D190" s="71"/>
      <c r="E190" s="71"/>
      <c r="F190" s="71"/>
      <c r="G190" s="71"/>
      <c r="H190" s="71"/>
      <c r="I190" s="71"/>
      <c r="N190" s="5" t="s">
        <v>222</v>
      </c>
    </row>
    <row r="191" spans="1:14" x14ac:dyDescent="0.2">
      <c r="A191" s="77"/>
      <c r="B191" s="71"/>
      <c r="C191" s="71"/>
      <c r="D191" s="71"/>
      <c r="E191" s="71"/>
      <c r="F191" s="71"/>
      <c r="G191" s="71"/>
      <c r="H191" s="71"/>
      <c r="I191" s="71"/>
      <c r="N191" s="5" t="s">
        <v>223</v>
      </c>
    </row>
    <row r="192" spans="1:14" x14ac:dyDescent="0.2">
      <c r="A192" s="77"/>
      <c r="B192" s="71"/>
      <c r="C192" s="71"/>
      <c r="D192" s="71"/>
      <c r="E192" s="71"/>
      <c r="F192" s="71"/>
      <c r="G192" s="71"/>
      <c r="H192" s="71"/>
      <c r="I192" s="71"/>
      <c r="N192" s="5" t="s">
        <v>224</v>
      </c>
    </row>
    <row r="193" spans="1:14" x14ac:dyDescent="0.2">
      <c r="A193" s="77"/>
      <c r="B193" s="71"/>
      <c r="C193" s="71"/>
      <c r="D193" s="71"/>
      <c r="E193" s="71"/>
      <c r="F193" s="71"/>
      <c r="G193" s="71"/>
      <c r="H193" s="71"/>
      <c r="I193" s="71"/>
      <c r="N193" s="5" t="s">
        <v>423</v>
      </c>
    </row>
    <row r="194" spans="1:14" x14ac:dyDescent="0.2">
      <c r="A194" s="77"/>
      <c r="B194" s="71"/>
      <c r="C194" s="71"/>
      <c r="D194" s="71"/>
      <c r="E194" s="71"/>
      <c r="F194" s="71"/>
      <c r="G194" s="71"/>
      <c r="H194" s="71"/>
      <c r="I194" s="71"/>
      <c r="N194" s="5" t="s">
        <v>225</v>
      </c>
    </row>
    <row r="195" spans="1:14" x14ac:dyDescent="0.2">
      <c r="A195" s="77"/>
      <c r="B195" s="71"/>
      <c r="C195" s="71"/>
      <c r="D195" s="71"/>
      <c r="E195" s="71"/>
      <c r="F195" s="71"/>
      <c r="G195" s="71"/>
      <c r="H195" s="71"/>
      <c r="I195" s="71"/>
      <c r="N195" s="5" t="s">
        <v>226</v>
      </c>
    </row>
    <row r="196" spans="1:14" x14ac:dyDescent="0.2">
      <c r="A196" s="77"/>
      <c r="B196" s="71"/>
      <c r="C196" s="71"/>
      <c r="D196" s="71"/>
      <c r="E196" s="71"/>
      <c r="F196" s="71"/>
      <c r="G196" s="71"/>
      <c r="H196" s="71"/>
      <c r="I196" s="71"/>
      <c r="N196" s="5" t="s">
        <v>227</v>
      </c>
    </row>
    <row r="197" spans="1:14" x14ac:dyDescent="0.2">
      <c r="A197" s="77"/>
      <c r="B197" s="71"/>
      <c r="C197" s="71"/>
      <c r="D197" s="71"/>
      <c r="E197" s="71"/>
      <c r="F197" s="71"/>
      <c r="G197" s="71"/>
      <c r="H197" s="71"/>
      <c r="I197" s="71"/>
      <c r="N197" s="5" t="s">
        <v>228</v>
      </c>
    </row>
    <row r="198" spans="1:14" x14ac:dyDescent="0.2">
      <c r="A198" s="77"/>
      <c r="B198" s="71"/>
      <c r="C198" s="71"/>
      <c r="D198" s="71"/>
      <c r="E198" s="71"/>
      <c r="F198" s="71"/>
      <c r="G198" s="71"/>
      <c r="H198" s="71"/>
      <c r="I198" s="71"/>
      <c r="N198" s="5" t="s">
        <v>229</v>
      </c>
    </row>
    <row r="199" spans="1:14" x14ac:dyDescent="0.2">
      <c r="A199" s="77"/>
      <c r="B199" s="71"/>
      <c r="C199" s="71"/>
      <c r="D199" s="71"/>
      <c r="E199" s="71"/>
      <c r="F199" s="71"/>
      <c r="G199" s="71"/>
      <c r="H199" s="71"/>
      <c r="I199" s="71"/>
      <c r="N199" s="5" t="s">
        <v>230</v>
      </c>
    </row>
    <row r="200" spans="1:14" x14ac:dyDescent="0.2">
      <c r="A200" s="77"/>
      <c r="B200" s="71"/>
      <c r="C200" s="71"/>
      <c r="D200" s="71"/>
      <c r="E200" s="71"/>
      <c r="F200" s="71"/>
      <c r="G200" s="71"/>
      <c r="H200" s="71"/>
      <c r="I200" s="71"/>
      <c r="N200" s="5" t="s">
        <v>231</v>
      </c>
    </row>
    <row r="201" spans="1:14" x14ac:dyDescent="0.2">
      <c r="A201" s="77"/>
      <c r="B201" s="71"/>
      <c r="C201" s="71"/>
      <c r="D201" s="71"/>
      <c r="E201" s="71"/>
      <c r="F201" s="71"/>
      <c r="G201" s="71"/>
      <c r="H201" s="71"/>
      <c r="I201" s="71"/>
      <c r="N201" s="5" t="s">
        <v>232</v>
      </c>
    </row>
    <row r="202" spans="1:14" x14ac:dyDescent="0.2">
      <c r="A202" s="77"/>
      <c r="B202" s="71"/>
      <c r="C202" s="71"/>
      <c r="D202" s="71"/>
      <c r="E202" s="71"/>
      <c r="F202" s="71"/>
      <c r="G202" s="71"/>
      <c r="H202" s="71"/>
      <c r="I202" s="71"/>
      <c r="N202" s="5" t="s">
        <v>233</v>
      </c>
    </row>
    <row r="203" spans="1:14" x14ac:dyDescent="0.2">
      <c r="A203" s="77"/>
      <c r="B203" s="71"/>
      <c r="C203" s="71"/>
      <c r="D203" s="71"/>
      <c r="E203" s="71"/>
      <c r="F203" s="71"/>
      <c r="G203" s="71"/>
      <c r="H203" s="71"/>
      <c r="I203" s="71"/>
      <c r="L203" s="73"/>
      <c r="M203" s="73"/>
      <c r="N203" s="5" t="s">
        <v>234</v>
      </c>
    </row>
    <row r="204" spans="1:14" x14ac:dyDescent="0.2">
      <c r="A204" s="77"/>
      <c r="B204" s="71"/>
      <c r="C204" s="71"/>
      <c r="D204" s="71"/>
      <c r="E204" s="71"/>
      <c r="F204" s="71"/>
      <c r="G204" s="71"/>
      <c r="H204" s="71"/>
      <c r="I204" s="71"/>
      <c r="N204" s="5" t="s">
        <v>235</v>
      </c>
    </row>
    <row r="205" spans="1:14" x14ac:dyDescent="0.2">
      <c r="A205" s="77"/>
      <c r="B205" s="71"/>
      <c r="C205" s="71"/>
      <c r="D205" s="71"/>
      <c r="E205" s="71"/>
      <c r="F205" s="71"/>
      <c r="G205" s="71"/>
      <c r="H205" s="71"/>
      <c r="I205" s="71"/>
      <c r="N205" s="5" t="s">
        <v>236</v>
      </c>
    </row>
    <row r="206" spans="1:14" x14ac:dyDescent="0.2">
      <c r="A206" s="77"/>
      <c r="B206" s="71"/>
      <c r="C206" s="71"/>
      <c r="D206" s="71"/>
      <c r="E206" s="71"/>
      <c r="F206" s="71"/>
      <c r="G206" s="71"/>
      <c r="H206" s="71"/>
      <c r="I206" s="71"/>
      <c r="N206" s="5" t="s">
        <v>237</v>
      </c>
    </row>
    <row r="207" spans="1:14" x14ac:dyDescent="0.2">
      <c r="A207" s="77"/>
      <c r="B207" s="71"/>
      <c r="C207" s="71"/>
      <c r="D207" s="71"/>
      <c r="E207" s="71"/>
      <c r="F207" s="71"/>
      <c r="G207" s="71"/>
      <c r="H207" s="71"/>
      <c r="I207" s="71"/>
      <c r="N207" s="5" t="s">
        <v>238</v>
      </c>
    </row>
    <row r="208" spans="1:14" x14ac:dyDescent="0.2">
      <c r="A208" s="77"/>
      <c r="B208" s="71"/>
      <c r="C208" s="71"/>
      <c r="D208" s="71"/>
      <c r="E208" s="71"/>
      <c r="F208" s="71"/>
      <c r="G208" s="71"/>
      <c r="H208" s="71"/>
      <c r="I208" s="71"/>
      <c r="N208" s="5" t="s">
        <v>239</v>
      </c>
    </row>
    <row r="209" spans="1:14" x14ac:dyDescent="0.2">
      <c r="A209" s="77"/>
      <c r="B209" s="71"/>
      <c r="C209" s="71"/>
      <c r="D209" s="71"/>
      <c r="E209" s="71"/>
      <c r="F209" s="71"/>
      <c r="G209" s="71"/>
      <c r="H209" s="71"/>
      <c r="I209" s="71"/>
      <c r="N209" s="5" t="s">
        <v>240</v>
      </c>
    </row>
    <row r="210" spans="1:14" x14ac:dyDescent="0.2">
      <c r="A210" s="77"/>
      <c r="B210" s="71"/>
      <c r="C210" s="71"/>
      <c r="D210" s="71"/>
      <c r="E210" s="71"/>
      <c r="F210" s="71"/>
      <c r="G210" s="71"/>
      <c r="H210" s="71"/>
      <c r="I210" s="71"/>
      <c r="N210" s="5" t="s">
        <v>241</v>
      </c>
    </row>
    <row r="211" spans="1:14" x14ac:dyDescent="0.2">
      <c r="A211" s="77"/>
      <c r="B211" s="71"/>
      <c r="C211" s="71"/>
      <c r="D211" s="71"/>
      <c r="E211" s="71"/>
      <c r="F211" s="71"/>
      <c r="G211" s="71"/>
      <c r="H211" s="71"/>
      <c r="I211" s="71"/>
      <c r="N211" s="5" t="s">
        <v>242</v>
      </c>
    </row>
    <row r="212" spans="1:14" x14ac:dyDescent="0.2">
      <c r="A212" s="77"/>
      <c r="B212" s="71"/>
      <c r="C212" s="71"/>
      <c r="D212" s="71"/>
      <c r="E212" s="71"/>
      <c r="F212" s="71"/>
      <c r="G212" s="71"/>
      <c r="H212" s="71"/>
      <c r="I212" s="71"/>
      <c r="N212" s="5" t="s">
        <v>422</v>
      </c>
    </row>
    <row r="213" spans="1:14" x14ac:dyDescent="0.2">
      <c r="A213" s="77"/>
      <c r="B213" s="71"/>
      <c r="C213" s="71"/>
      <c r="D213" s="71"/>
      <c r="E213" s="71"/>
      <c r="F213" s="71"/>
      <c r="G213" s="71"/>
      <c r="H213" s="71"/>
      <c r="I213" s="71"/>
      <c r="N213" s="5" t="s">
        <v>243</v>
      </c>
    </row>
    <row r="214" spans="1:14" x14ac:dyDescent="0.2">
      <c r="A214" s="77"/>
      <c r="B214" s="71"/>
      <c r="C214" s="71"/>
      <c r="D214" s="71"/>
      <c r="E214" s="71"/>
      <c r="F214" s="71"/>
      <c r="G214" s="71"/>
      <c r="H214" s="71"/>
      <c r="I214" s="71"/>
      <c r="N214" s="5" t="s">
        <v>244</v>
      </c>
    </row>
    <row r="215" spans="1:14" x14ac:dyDescent="0.2">
      <c r="A215" s="77"/>
      <c r="B215" s="71"/>
      <c r="C215" s="71"/>
      <c r="D215" s="71"/>
      <c r="E215" s="71"/>
      <c r="F215" s="71"/>
      <c r="G215" s="71"/>
      <c r="H215" s="71"/>
      <c r="I215" s="71"/>
      <c r="N215" s="5" t="s">
        <v>245</v>
      </c>
    </row>
    <row r="216" spans="1:14" x14ac:dyDescent="0.2">
      <c r="A216" s="77"/>
      <c r="B216" s="71"/>
      <c r="C216" s="71"/>
      <c r="D216" s="71"/>
      <c r="E216" s="71"/>
      <c r="F216" s="71"/>
      <c r="G216" s="71"/>
      <c r="H216" s="71"/>
      <c r="I216" s="71"/>
      <c r="N216" s="5" t="s">
        <v>246</v>
      </c>
    </row>
    <row r="217" spans="1:14" x14ac:dyDescent="0.2">
      <c r="A217" s="77"/>
      <c r="B217" s="71"/>
      <c r="C217" s="71"/>
      <c r="D217" s="71"/>
      <c r="E217" s="71"/>
      <c r="F217" s="71"/>
      <c r="G217" s="71"/>
      <c r="H217" s="71"/>
      <c r="I217" s="71"/>
      <c r="N217" s="5" t="s">
        <v>247</v>
      </c>
    </row>
    <row r="218" spans="1:14" x14ac:dyDescent="0.2">
      <c r="A218" s="77"/>
      <c r="B218" s="71"/>
      <c r="C218" s="71"/>
      <c r="D218" s="71"/>
      <c r="E218" s="71"/>
      <c r="F218" s="71"/>
      <c r="G218" s="71"/>
      <c r="H218" s="71"/>
      <c r="I218" s="71"/>
      <c r="N218" s="5" t="s">
        <v>248</v>
      </c>
    </row>
    <row r="219" spans="1:14" x14ac:dyDescent="0.2">
      <c r="A219" s="77"/>
      <c r="B219" s="71"/>
      <c r="C219" s="71"/>
      <c r="D219" s="71"/>
      <c r="E219" s="71"/>
      <c r="F219" s="71"/>
      <c r="G219" s="71"/>
      <c r="H219" s="71"/>
      <c r="I219" s="71"/>
      <c r="N219" s="5" t="s">
        <v>249</v>
      </c>
    </row>
    <row r="220" spans="1:14" x14ac:dyDescent="0.2">
      <c r="A220" s="77"/>
      <c r="B220" s="71"/>
      <c r="C220" s="71"/>
      <c r="D220" s="71"/>
      <c r="E220" s="71"/>
      <c r="F220" s="71"/>
      <c r="G220" s="71"/>
      <c r="H220" s="71"/>
      <c r="I220" s="71"/>
      <c r="N220" s="5" t="s">
        <v>421</v>
      </c>
    </row>
    <row r="221" spans="1:14" x14ac:dyDescent="0.2">
      <c r="A221" s="77"/>
      <c r="B221" s="71"/>
      <c r="C221" s="71"/>
      <c r="D221" s="71"/>
      <c r="E221" s="71"/>
      <c r="F221" s="71"/>
      <c r="G221" s="71"/>
      <c r="H221" s="71"/>
      <c r="I221" s="71"/>
      <c r="N221" s="5" t="s">
        <v>250</v>
      </c>
    </row>
    <row r="222" spans="1:14" x14ac:dyDescent="0.2">
      <c r="A222" s="77"/>
      <c r="B222" s="71"/>
      <c r="C222" s="71"/>
      <c r="D222" s="71"/>
      <c r="E222" s="71"/>
      <c r="F222" s="71"/>
      <c r="G222" s="71"/>
      <c r="H222" s="71"/>
      <c r="I222" s="71"/>
      <c r="N222" s="5" t="s">
        <v>251</v>
      </c>
    </row>
    <row r="223" spans="1:14" x14ac:dyDescent="0.2">
      <c r="A223" s="77"/>
      <c r="B223" s="71"/>
      <c r="C223" s="71"/>
      <c r="D223" s="71"/>
      <c r="E223" s="71"/>
      <c r="F223" s="71"/>
      <c r="G223" s="71"/>
      <c r="H223" s="71"/>
      <c r="I223" s="71"/>
      <c r="N223" s="5" t="s">
        <v>252</v>
      </c>
    </row>
    <row r="224" spans="1:14" x14ac:dyDescent="0.2">
      <c r="A224" s="77"/>
      <c r="B224" s="71"/>
      <c r="C224" s="71"/>
      <c r="D224" s="71"/>
      <c r="E224" s="71"/>
      <c r="F224" s="71"/>
      <c r="G224" s="71"/>
      <c r="H224" s="71"/>
      <c r="I224" s="71"/>
      <c r="N224" s="5" t="s">
        <v>420</v>
      </c>
    </row>
    <row r="225" spans="1:14" x14ac:dyDescent="0.2">
      <c r="A225" s="77"/>
      <c r="B225" s="71"/>
      <c r="C225" s="71"/>
      <c r="D225" s="71"/>
      <c r="E225" s="71"/>
      <c r="F225" s="71"/>
      <c r="G225" s="71"/>
      <c r="H225" s="71"/>
      <c r="I225" s="71"/>
      <c r="N225" s="5" t="s">
        <v>253</v>
      </c>
    </row>
    <row r="226" spans="1:14" x14ac:dyDescent="0.2">
      <c r="A226" s="77"/>
      <c r="B226" s="71"/>
      <c r="C226" s="71"/>
      <c r="D226" s="71"/>
      <c r="E226" s="71"/>
      <c r="F226" s="71"/>
      <c r="G226" s="71"/>
      <c r="H226" s="71"/>
      <c r="I226" s="71"/>
      <c r="N226" s="5" t="s">
        <v>254</v>
      </c>
    </row>
    <row r="227" spans="1:14" x14ac:dyDescent="0.2">
      <c r="A227" s="77"/>
      <c r="B227" s="71"/>
      <c r="C227" s="71"/>
      <c r="D227" s="71"/>
      <c r="E227" s="71"/>
      <c r="F227" s="71"/>
      <c r="G227" s="71"/>
      <c r="H227" s="71"/>
      <c r="I227" s="71"/>
      <c r="N227" s="5" t="s">
        <v>255</v>
      </c>
    </row>
    <row r="228" spans="1:14" x14ac:dyDescent="0.2">
      <c r="A228" s="77"/>
      <c r="B228" s="71"/>
      <c r="C228" s="71"/>
      <c r="D228" s="71"/>
      <c r="E228" s="71"/>
      <c r="F228" s="71"/>
      <c r="G228" s="71"/>
      <c r="H228" s="71"/>
      <c r="I228" s="71"/>
      <c r="N228" s="5" t="s">
        <v>256</v>
      </c>
    </row>
    <row r="229" spans="1:14" x14ac:dyDescent="0.2">
      <c r="A229" s="77"/>
      <c r="B229" s="71"/>
      <c r="C229" s="71"/>
      <c r="D229" s="71"/>
      <c r="E229" s="71"/>
      <c r="F229" s="71"/>
      <c r="G229" s="71"/>
      <c r="H229" s="71"/>
      <c r="I229" s="71"/>
      <c r="N229" s="5" t="s">
        <v>257</v>
      </c>
    </row>
    <row r="230" spans="1:14" x14ac:dyDescent="0.2">
      <c r="A230" s="77"/>
      <c r="B230" s="71"/>
      <c r="C230" s="71"/>
      <c r="D230" s="71"/>
      <c r="E230" s="71"/>
      <c r="F230" s="71"/>
      <c r="G230" s="71"/>
      <c r="H230" s="71"/>
      <c r="I230" s="71"/>
      <c r="N230" s="5" t="s">
        <v>258</v>
      </c>
    </row>
    <row r="231" spans="1:14" x14ac:dyDescent="0.2">
      <c r="A231" s="77"/>
      <c r="B231" s="71"/>
      <c r="C231" s="71"/>
      <c r="D231" s="71"/>
      <c r="E231" s="71"/>
      <c r="F231" s="71"/>
      <c r="G231" s="71"/>
      <c r="H231" s="71"/>
      <c r="I231" s="71"/>
      <c r="N231" s="5" t="s">
        <v>259</v>
      </c>
    </row>
    <row r="232" spans="1:14" x14ac:dyDescent="0.2">
      <c r="A232" s="77"/>
      <c r="B232" s="71"/>
      <c r="C232" s="71"/>
      <c r="D232" s="71"/>
      <c r="E232" s="71"/>
      <c r="F232" s="71"/>
      <c r="G232" s="71"/>
      <c r="H232" s="71"/>
      <c r="I232" s="71"/>
      <c r="N232" s="5" t="s">
        <v>260</v>
      </c>
    </row>
    <row r="233" spans="1:14" x14ac:dyDescent="0.2">
      <c r="A233" s="77"/>
      <c r="B233" s="71"/>
      <c r="C233" s="71"/>
      <c r="D233" s="71"/>
      <c r="E233" s="71"/>
      <c r="F233" s="71"/>
      <c r="G233" s="71"/>
      <c r="H233" s="71"/>
      <c r="I233" s="71"/>
      <c r="N233" s="5" t="s">
        <v>261</v>
      </c>
    </row>
    <row r="234" spans="1:14" x14ac:dyDescent="0.2">
      <c r="A234" s="77"/>
      <c r="B234" s="71"/>
      <c r="C234" s="71"/>
      <c r="D234" s="71"/>
      <c r="E234" s="71"/>
      <c r="F234" s="71"/>
      <c r="G234" s="71"/>
      <c r="H234" s="71"/>
      <c r="I234" s="71"/>
      <c r="N234" s="5" t="s">
        <v>262</v>
      </c>
    </row>
    <row r="235" spans="1:14" x14ac:dyDescent="0.2">
      <c r="A235" s="77"/>
      <c r="B235" s="71"/>
      <c r="C235" s="71"/>
      <c r="D235" s="71"/>
      <c r="E235" s="71"/>
      <c r="F235" s="71"/>
      <c r="G235" s="71"/>
      <c r="H235" s="71"/>
      <c r="I235" s="71"/>
      <c r="N235" s="5" t="s">
        <v>263</v>
      </c>
    </row>
    <row r="236" spans="1:14" x14ac:dyDescent="0.2">
      <c r="A236" s="77"/>
      <c r="B236" s="71"/>
      <c r="C236" s="71"/>
      <c r="D236" s="71"/>
      <c r="E236" s="71"/>
      <c r="F236" s="71"/>
      <c r="G236" s="71"/>
      <c r="H236" s="71"/>
      <c r="I236" s="71"/>
      <c r="N236" s="5" t="s">
        <v>264</v>
      </c>
    </row>
    <row r="237" spans="1:14" x14ac:dyDescent="0.2">
      <c r="A237" s="77"/>
      <c r="B237" s="71"/>
      <c r="C237" s="71"/>
      <c r="D237" s="71"/>
      <c r="E237" s="71"/>
      <c r="F237" s="71"/>
      <c r="G237" s="71"/>
      <c r="H237" s="71"/>
      <c r="I237" s="71"/>
      <c r="N237" s="5" t="s">
        <v>265</v>
      </c>
    </row>
    <row r="238" spans="1:14" x14ac:dyDescent="0.2">
      <c r="A238" s="77"/>
      <c r="B238" s="71"/>
      <c r="C238" s="71"/>
      <c r="D238" s="71"/>
      <c r="E238" s="71"/>
      <c r="F238" s="71"/>
      <c r="G238" s="71"/>
      <c r="H238" s="71"/>
      <c r="I238" s="71"/>
      <c r="N238" s="5" t="s">
        <v>266</v>
      </c>
    </row>
    <row r="239" spans="1:14" x14ac:dyDescent="0.2">
      <c r="A239" s="77"/>
      <c r="B239" s="71"/>
      <c r="C239" s="71"/>
      <c r="D239" s="71"/>
      <c r="E239" s="71"/>
      <c r="F239" s="71"/>
      <c r="G239" s="71"/>
      <c r="H239" s="71"/>
      <c r="I239" s="71"/>
      <c r="N239" s="5" t="s">
        <v>267</v>
      </c>
    </row>
    <row r="240" spans="1:14" x14ac:dyDescent="0.2">
      <c r="A240" s="77"/>
      <c r="B240" s="71"/>
      <c r="C240" s="71"/>
      <c r="D240" s="71"/>
      <c r="E240" s="71"/>
      <c r="F240" s="71"/>
      <c r="G240" s="71"/>
      <c r="H240" s="71"/>
      <c r="I240" s="71"/>
      <c r="N240" s="5" t="s">
        <v>268</v>
      </c>
    </row>
    <row r="241" spans="1:14" x14ac:dyDescent="0.2">
      <c r="A241" s="77"/>
      <c r="B241" s="71"/>
      <c r="C241" s="71"/>
      <c r="D241" s="71"/>
      <c r="E241" s="71"/>
      <c r="F241" s="71"/>
      <c r="G241" s="71"/>
      <c r="H241" s="71"/>
      <c r="I241" s="71"/>
      <c r="N241" s="5" t="s">
        <v>269</v>
      </c>
    </row>
    <row r="242" spans="1:14" x14ac:dyDescent="0.2">
      <c r="A242" s="77"/>
      <c r="B242" s="71"/>
      <c r="C242" s="71"/>
      <c r="D242" s="71"/>
      <c r="E242" s="71"/>
      <c r="F242" s="71"/>
      <c r="G242" s="71"/>
      <c r="H242" s="71"/>
      <c r="I242" s="71"/>
      <c r="N242" s="5" t="s">
        <v>270</v>
      </c>
    </row>
    <row r="243" spans="1:14" x14ac:dyDescent="0.2">
      <c r="A243" s="77"/>
      <c r="B243" s="71"/>
      <c r="C243" s="71"/>
      <c r="D243" s="71"/>
      <c r="E243" s="71"/>
      <c r="F243" s="71"/>
      <c r="G243" s="71"/>
      <c r="H243" s="71"/>
      <c r="I243" s="71"/>
      <c r="N243" s="5" t="s">
        <v>171</v>
      </c>
    </row>
    <row r="244" spans="1:14" x14ac:dyDescent="0.2">
      <c r="A244" s="77"/>
      <c r="B244" s="71"/>
      <c r="C244" s="71"/>
      <c r="D244" s="71"/>
      <c r="E244" s="71"/>
      <c r="F244" s="71"/>
      <c r="G244" s="71"/>
      <c r="H244" s="71"/>
      <c r="I244" s="71"/>
      <c r="N244" s="5" t="s">
        <v>271</v>
      </c>
    </row>
    <row r="245" spans="1:14" x14ac:dyDescent="0.2">
      <c r="A245" s="77"/>
      <c r="B245" s="71"/>
      <c r="C245" s="71"/>
      <c r="D245" s="71"/>
      <c r="E245" s="71"/>
      <c r="F245" s="71"/>
      <c r="G245" s="71"/>
      <c r="H245" s="71"/>
      <c r="I245" s="71"/>
      <c r="N245" s="5" t="s">
        <v>271</v>
      </c>
    </row>
    <row r="246" spans="1:14" x14ac:dyDescent="0.2">
      <c r="A246" s="77"/>
      <c r="B246" s="71"/>
      <c r="C246" s="71"/>
      <c r="D246" s="71"/>
      <c r="E246" s="71"/>
      <c r="F246" s="71"/>
      <c r="G246" s="71"/>
      <c r="H246" s="71"/>
      <c r="I246" s="71"/>
      <c r="N246" s="5" t="s">
        <v>272</v>
      </c>
    </row>
    <row r="247" spans="1:14" x14ac:dyDescent="0.2">
      <c r="A247" s="77"/>
      <c r="B247" s="71"/>
      <c r="C247" s="71"/>
      <c r="D247" s="71"/>
      <c r="E247" s="71"/>
      <c r="F247" s="71"/>
      <c r="G247" s="71"/>
      <c r="H247" s="71"/>
      <c r="I247" s="71"/>
      <c r="N247" s="5" t="s">
        <v>273</v>
      </c>
    </row>
    <row r="248" spans="1:14" x14ac:dyDescent="0.2">
      <c r="A248" s="77"/>
      <c r="B248" s="71"/>
      <c r="C248" s="71"/>
      <c r="D248" s="71"/>
      <c r="E248" s="71"/>
      <c r="F248" s="71"/>
      <c r="G248" s="71"/>
      <c r="H248" s="71"/>
      <c r="I248" s="71"/>
      <c r="N248" s="5" t="s">
        <v>274</v>
      </c>
    </row>
    <row r="249" spans="1:14" x14ac:dyDescent="0.2">
      <c r="A249" s="77"/>
      <c r="B249" s="71"/>
      <c r="C249" s="71"/>
      <c r="D249" s="71"/>
      <c r="E249" s="71"/>
      <c r="F249" s="71"/>
      <c r="G249" s="71"/>
      <c r="H249" s="71"/>
      <c r="I249" s="71"/>
      <c r="N249" s="5" t="s">
        <v>275</v>
      </c>
    </row>
    <row r="250" spans="1:14" x14ac:dyDescent="0.2">
      <c r="A250" s="77"/>
      <c r="B250" s="71"/>
      <c r="C250" s="71"/>
      <c r="D250" s="71"/>
      <c r="E250" s="71"/>
      <c r="F250" s="71"/>
      <c r="G250" s="71"/>
      <c r="H250" s="71"/>
      <c r="I250" s="71"/>
      <c r="N250" s="5" t="s">
        <v>276</v>
      </c>
    </row>
    <row r="251" spans="1:14" x14ac:dyDescent="0.2">
      <c r="A251" s="77"/>
      <c r="B251" s="71"/>
      <c r="C251" s="71"/>
      <c r="D251" s="71"/>
      <c r="E251" s="71"/>
      <c r="F251" s="71"/>
      <c r="G251" s="71"/>
      <c r="H251" s="71"/>
      <c r="I251" s="71"/>
      <c r="N251" s="5" t="s">
        <v>277</v>
      </c>
    </row>
    <row r="252" spans="1:14" x14ac:dyDescent="0.2">
      <c r="A252" s="77"/>
      <c r="B252" s="71"/>
      <c r="C252" s="71"/>
      <c r="D252" s="71"/>
      <c r="E252" s="71"/>
      <c r="F252" s="71"/>
      <c r="G252" s="71"/>
      <c r="H252" s="71"/>
      <c r="I252" s="71"/>
      <c r="N252" s="5" t="s">
        <v>278</v>
      </c>
    </row>
    <row r="253" spans="1:14" x14ac:dyDescent="0.2">
      <c r="A253" s="77"/>
      <c r="B253" s="71"/>
      <c r="C253" s="71"/>
      <c r="D253" s="71"/>
      <c r="E253" s="71"/>
      <c r="F253" s="71"/>
      <c r="G253" s="71"/>
      <c r="H253" s="71"/>
      <c r="I253" s="71"/>
      <c r="N253" s="5" t="s">
        <v>419</v>
      </c>
    </row>
    <row r="254" spans="1:14" x14ac:dyDescent="0.2">
      <c r="A254" s="77"/>
      <c r="B254" s="71"/>
      <c r="C254" s="71"/>
      <c r="D254" s="71"/>
      <c r="E254" s="71"/>
      <c r="F254" s="71"/>
      <c r="G254" s="71"/>
      <c r="H254" s="71"/>
      <c r="I254" s="71"/>
      <c r="N254" s="5" t="s">
        <v>279</v>
      </c>
    </row>
    <row r="255" spans="1:14" x14ac:dyDescent="0.2">
      <c r="A255" s="77"/>
      <c r="B255" s="71"/>
      <c r="C255" s="71"/>
      <c r="D255" s="71"/>
      <c r="E255" s="71"/>
      <c r="F255" s="71"/>
      <c r="G255" s="71"/>
      <c r="H255" s="71"/>
      <c r="I255" s="71"/>
      <c r="N255" s="5" t="s">
        <v>280</v>
      </c>
    </row>
    <row r="256" spans="1:14" x14ac:dyDescent="0.2">
      <c r="A256" s="77"/>
      <c r="B256" s="71"/>
      <c r="C256" s="71"/>
      <c r="D256" s="71"/>
      <c r="E256" s="71"/>
      <c r="F256" s="71"/>
      <c r="G256" s="71"/>
      <c r="H256" s="71"/>
      <c r="I256" s="71"/>
      <c r="N256" s="5" t="s">
        <v>281</v>
      </c>
    </row>
    <row r="257" spans="1:14" x14ac:dyDescent="0.2">
      <c r="A257" s="77"/>
      <c r="B257" s="71"/>
      <c r="C257" s="71"/>
      <c r="D257" s="71"/>
      <c r="E257" s="71"/>
      <c r="F257" s="71"/>
      <c r="G257" s="71"/>
      <c r="H257" s="71"/>
      <c r="I257" s="71"/>
      <c r="N257" s="5" t="s">
        <v>283</v>
      </c>
    </row>
    <row r="258" spans="1:14" x14ac:dyDescent="0.2">
      <c r="A258" s="77"/>
      <c r="B258" s="71"/>
      <c r="C258" s="71"/>
      <c r="D258" s="71"/>
      <c r="E258" s="71"/>
      <c r="F258" s="71"/>
      <c r="G258" s="71"/>
      <c r="H258" s="71"/>
      <c r="I258" s="71"/>
      <c r="N258" s="5" t="s">
        <v>282</v>
      </c>
    </row>
    <row r="259" spans="1:14" x14ac:dyDescent="0.2">
      <c r="A259" s="77"/>
      <c r="B259" s="71"/>
      <c r="C259" s="71"/>
      <c r="D259" s="71"/>
      <c r="E259" s="71"/>
      <c r="F259" s="71"/>
      <c r="G259" s="71"/>
      <c r="H259" s="71"/>
      <c r="I259" s="71"/>
      <c r="N259" s="5" t="s">
        <v>284</v>
      </c>
    </row>
    <row r="260" spans="1:14" x14ac:dyDescent="0.2">
      <c r="A260" s="77"/>
      <c r="B260" s="71"/>
      <c r="C260" s="71"/>
      <c r="D260" s="71"/>
      <c r="E260" s="71"/>
      <c r="F260" s="71"/>
      <c r="G260" s="71"/>
      <c r="H260" s="71"/>
      <c r="I260" s="71"/>
      <c r="N260" s="5" t="s">
        <v>285</v>
      </c>
    </row>
    <row r="261" spans="1:14" x14ac:dyDescent="0.2">
      <c r="A261" s="77"/>
      <c r="B261" s="71"/>
      <c r="C261" s="71"/>
      <c r="D261" s="71"/>
      <c r="E261" s="71"/>
      <c r="F261" s="71"/>
      <c r="G261" s="71"/>
      <c r="H261" s="71"/>
      <c r="I261" s="71"/>
      <c r="N261" s="5" t="s">
        <v>286</v>
      </c>
    </row>
    <row r="262" spans="1:14" x14ac:dyDescent="0.2">
      <c r="A262" s="77"/>
      <c r="B262" s="71"/>
      <c r="C262" s="71"/>
      <c r="D262" s="71"/>
      <c r="E262" s="71"/>
      <c r="F262" s="71"/>
      <c r="G262" s="71"/>
      <c r="H262" s="71"/>
      <c r="I262" s="71"/>
      <c r="N262" s="5" t="s">
        <v>287</v>
      </c>
    </row>
    <row r="263" spans="1:14" x14ac:dyDescent="0.2">
      <c r="A263" s="77"/>
      <c r="B263" s="71"/>
      <c r="C263" s="71"/>
      <c r="D263" s="71"/>
      <c r="E263" s="71"/>
      <c r="F263" s="71"/>
      <c r="G263" s="71"/>
      <c r="H263" s="71"/>
      <c r="I263" s="71"/>
      <c r="N263" s="5" t="s">
        <v>288</v>
      </c>
    </row>
    <row r="264" spans="1:14" x14ac:dyDescent="0.2">
      <c r="A264" s="77"/>
      <c r="B264" s="71"/>
      <c r="C264" s="71"/>
      <c r="D264" s="71"/>
      <c r="E264" s="71"/>
      <c r="F264" s="71"/>
      <c r="G264" s="71"/>
      <c r="H264" s="71"/>
      <c r="I264" s="71"/>
      <c r="N264" s="5" t="s">
        <v>289</v>
      </c>
    </row>
    <row r="265" spans="1:14" x14ac:dyDescent="0.2">
      <c r="A265" s="77"/>
      <c r="B265" s="71"/>
      <c r="C265" s="71"/>
      <c r="D265" s="71"/>
      <c r="E265" s="71"/>
      <c r="F265" s="71"/>
      <c r="G265" s="71"/>
      <c r="H265" s="71"/>
      <c r="I265" s="71"/>
      <c r="N265" s="5" t="s">
        <v>290</v>
      </c>
    </row>
    <row r="266" spans="1:14" x14ac:dyDescent="0.2">
      <c r="A266" s="77"/>
      <c r="B266" s="71"/>
      <c r="C266" s="71"/>
      <c r="D266" s="71"/>
      <c r="E266" s="71"/>
      <c r="F266" s="71"/>
      <c r="G266" s="71"/>
      <c r="H266" s="71"/>
      <c r="I266" s="71"/>
      <c r="N266" s="5" t="s">
        <v>291</v>
      </c>
    </row>
    <row r="267" spans="1:14" x14ac:dyDescent="0.2">
      <c r="A267" s="77"/>
      <c r="B267" s="71"/>
      <c r="C267" s="71"/>
      <c r="D267" s="71"/>
      <c r="E267" s="71"/>
      <c r="F267" s="71"/>
      <c r="G267" s="71"/>
      <c r="H267" s="71"/>
      <c r="I267" s="71"/>
      <c r="N267" s="5" t="s">
        <v>292</v>
      </c>
    </row>
    <row r="268" spans="1:14" x14ac:dyDescent="0.2">
      <c r="A268" s="77"/>
      <c r="B268" s="71"/>
      <c r="C268" s="71"/>
      <c r="D268" s="71"/>
      <c r="E268" s="71"/>
      <c r="F268" s="71"/>
      <c r="G268" s="71"/>
      <c r="H268" s="71"/>
      <c r="I268" s="71"/>
      <c r="N268" s="5" t="s">
        <v>293</v>
      </c>
    </row>
    <row r="269" spans="1:14" x14ac:dyDescent="0.2">
      <c r="A269" s="77"/>
      <c r="B269" s="71"/>
      <c r="C269" s="71"/>
      <c r="D269" s="71"/>
      <c r="E269" s="71"/>
      <c r="F269" s="71"/>
      <c r="G269" s="71"/>
      <c r="H269" s="71"/>
      <c r="I269" s="71"/>
      <c r="N269" s="5" t="s">
        <v>294</v>
      </c>
    </row>
    <row r="270" spans="1:14" x14ac:dyDescent="0.2">
      <c r="A270" s="77"/>
      <c r="B270" s="71"/>
      <c r="C270" s="71"/>
      <c r="D270" s="71"/>
      <c r="E270" s="71"/>
      <c r="F270" s="71"/>
      <c r="G270" s="71"/>
      <c r="H270" s="71"/>
      <c r="I270" s="71"/>
      <c r="N270" s="5" t="s">
        <v>295</v>
      </c>
    </row>
    <row r="271" spans="1:14" x14ac:dyDescent="0.2">
      <c r="A271" s="77"/>
      <c r="B271" s="71"/>
      <c r="C271" s="71"/>
      <c r="D271" s="71"/>
      <c r="E271" s="71"/>
      <c r="F271" s="71"/>
      <c r="G271" s="71"/>
      <c r="H271" s="71"/>
      <c r="I271" s="71"/>
      <c r="N271" s="5" t="s">
        <v>296</v>
      </c>
    </row>
    <row r="272" spans="1:14" x14ac:dyDescent="0.2">
      <c r="A272" s="77"/>
      <c r="B272" s="71"/>
      <c r="C272" s="71"/>
      <c r="D272" s="71"/>
      <c r="E272" s="71"/>
      <c r="F272" s="71"/>
      <c r="G272" s="71"/>
      <c r="H272" s="71"/>
      <c r="I272" s="71"/>
      <c r="N272" s="5" t="s">
        <v>297</v>
      </c>
    </row>
    <row r="273" spans="1:14" x14ac:dyDescent="0.2">
      <c r="A273" s="77"/>
      <c r="B273" s="71"/>
      <c r="C273" s="71"/>
      <c r="D273" s="71"/>
      <c r="E273" s="71"/>
      <c r="F273" s="71"/>
      <c r="G273" s="71"/>
      <c r="H273" s="71"/>
      <c r="I273" s="71"/>
      <c r="N273" s="5" t="s">
        <v>298</v>
      </c>
    </row>
    <row r="274" spans="1:14" x14ac:dyDescent="0.2">
      <c r="A274" s="77"/>
      <c r="B274" s="71"/>
      <c r="C274" s="71"/>
      <c r="D274" s="71"/>
      <c r="E274" s="71"/>
      <c r="F274" s="71"/>
      <c r="G274" s="71"/>
      <c r="H274" s="71"/>
      <c r="I274" s="71"/>
      <c r="N274" s="5" t="s">
        <v>299</v>
      </c>
    </row>
    <row r="275" spans="1:14" x14ac:dyDescent="0.2">
      <c r="A275" s="77"/>
      <c r="B275" s="71"/>
      <c r="C275" s="71"/>
      <c r="D275" s="71"/>
      <c r="E275" s="71"/>
      <c r="F275" s="71"/>
      <c r="G275" s="71"/>
      <c r="H275" s="71"/>
      <c r="I275" s="71"/>
      <c r="N275" s="5" t="s">
        <v>300</v>
      </c>
    </row>
    <row r="276" spans="1:14" x14ac:dyDescent="0.2">
      <c r="A276" s="77"/>
      <c r="B276" s="71"/>
      <c r="C276" s="71"/>
      <c r="D276" s="71"/>
      <c r="E276" s="71"/>
      <c r="F276" s="71"/>
      <c r="G276" s="71"/>
      <c r="H276" s="71"/>
      <c r="I276" s="71"/>
      <c r="N276" s="5" t="s">
        <v>301</v>
      </c>
    </row>
    <row r="277" spans="1:14" x14ac:dyDescent="0.2">
      <c r="A277" s="77"/>
      <c r="B277" s="71"/>
      <c r="C277" s="71"/>
      <c r="D277" s="71"/>
      <c r="E277" s="71"/>
      <c r="F277" s="71"/>
      <c r="G277" s="71"/>
      <c r="H277" s="71"/>
      <c r="I277" s="71"/>
      <c r="N277" s="5" t="s">
        <v>302</v>
      </c>
    </row>
    <row r="278" spans="1:14" x14ac:dyDescent="0.2">
      <c r="A278" s="77"/>
      <c r="B278" s="71"/>
      <c r="C278" s="71"/>
      <c r="D278" s="71"/>
      <c r="E278" s="71"/>
      <c r="F278" s="71"/>
      <c r="G278" s="71"/>
      <c r="H278" s="71"/>
      <c r="I278" s="71"/>
      <c r="N278" s="5" t="s">
        <v>303</v>
      </c>
    </row>
    <row r="279" spans="1:14" x14ac:dyDescent="0.2">
      <c r="A279" s="77"/>
      <c r="B279" s="71"/>
      <c r="C279" s="71"/>
      <c r="D279" s="71"/>
      <c r="E279" s="71"/>
      <c r="F279" s="71"/>
      <c r="G279" s="71"/>
      <c r="H279" s="71"/>
      <c r="I279" s="71"/>
      <c r="N279" s="5" t="s">
        <v>304</v>
      </c>
    </row>
    <row r="280" spans="1:14" x14ac:dyDescent="0.2">
      <c r="A280" s="77"/>
      <c r="B280" s="71"/>
      <c r="C280" s="71"/>
      <c r="D280" s="71"/>
      <c r="E280" s="71"/>
      <c r="F280" s="71"/>
      <c r="G280" s="71"/>
      <c r="H280" s="71"/>
      <c r="I280" s="71"/>
      <c r="N280" s="5" t="s">
        <v>305</v>
      </c>
    </row>
    <row r="281" spans="1:14" x14ac:dyDescent="0.2">
      <c r="A281" s="77"/>
      <c r="B281" s="71"/>
      <c r="C281" s="71"/>
      <c r="D281" s="71"/>
      <c r="E281" s="71"/>
      <c r="F281" s="71"/>
      <c r="G281" s="71"/>
      <c r="H281" s="71"/>
      <c r="I281" s="71"/>
      <c r="N281" s="5" t="s">
        <v>306</v>
      </c>
    </row>
    <row r="282" spans="1:14" x14ac:dyDescent="0.2">
      <c r="A282" s="77"/>
      <c r="B282" s="71"/>
      <c r="C282" s="71"/>
      <c r="D282" s="71"/>
      <c r="E282" s="71"/>
      <c r="F282" s="71"/>
      <c r="G282" s="71"/>
      <c r="H282" s="71"/>
      <c r="I282" s="71"/>
      <c r="N282" s="5" t="s">
        <v>307</v>
      </c>
    </row>
    <row r="283" spans="1:14" x14ac:dyDescent="0.2">
      <c r="A283" s="77"/>
      <c r="B283" s="71"/>
      <c r="C283" s="71"/>
      <c r="D283" s="71"/>
      <c r="E283" s="71"/>
      <c r="F283" s="71"/>
      <c r="G283" s="71"/>
      <c r="H283" s="71"/>
      <c r="I283" s="71"/>
      <c r="N283" s="5" t="s">
        <v>308</v>
      </c>
    </row>
    <row r="284" spans="1:14" x14ac:dyDescent="0.2">
      <c r="A284" s="77"/>
      <c r="B284" s="71"/>
      <c r="C284" s="71"/>
      <c r="D284" s="71"/>
      <c r="E284" s="71"/>
      <c r="F284" s="71"/>
      <c r="G284" s="71"/>
      <c r="H284" s="71"/>
      <c r="I284" s="71"/>
      <c r="N284" s="5" t="s">
        <v>418</v>
      </c>
    </row>
    <row r="285" spans="1:14" x14ac:dyDescent="0.2">
      <c r="A285" s="77"/>
      <c r="B285" s="71"/>
      <c r="C285" s="71"/>
      <c r="D285" s="71"/>
      <c r="E285" s="71"/>
      <c r="F285" s="71"/>
      <c r="G285" s="71"/>
      <c r="H285" s="71"/>
      <c r="I285" s="71"/>
      <c r="N285" s="5" t="s">
        <v>309</v>
      </c>
    </row>
    <row r="286" spans="1:14" x14ac:dyDescent="0.2">
      <c r="A286" s="77"/>
      <c r="B286" s="71"/>
      <c r="C286" s="71"/>
      <c r="D286" s="71"/>
      <c r="E286" s="71"/>
      <c r="F286" s="71"/>
      <c r="G286" s="71"/>
      <c r="H286" s="71"/>
      <c r="I286" s="71"/>
      <c r="N286" s="5" t="s">
        <v>417</v>
      </c>
    </row>
    <row r="287" spans="1:14" x14ac:dyDescent="0.2">
      <c r="A287" s="77"/>
      <c r="B287" s="71"/>
      <c r="C287" s="71"/>
      <c r="D287" s="71"/>
      <c r="E287" s="71"/>
      <c r="F287" s="71"/>
      <c r="G287" s="71"/>
      <c r="H287" s="71"/>
      <c r="I287" s="71"/>
      <c r="N287" s="5" t="s">
        <v>310</v>
      </c>
    </row>
    <row r="288" spans="1:14" x14ac:dyDescent="0.2">
      <c r="A288" s="77"/>
      <c r="B288" s="71"/>
      <c r="C288" s="71"/>
      <c r="D288" s="71"/>
      <c r="E288" s="71"/>
      <c r="F288" s="71"/>
      <c r="G288" s="71"/>
      <c r="H288" s="71"/>
      <c r="I288" s="71"/>
      <c r="N288" s="5" t="s">
        <v>311</v>
      </c>
    </row>
    <row r="289" spans="1:14" x14ac:dyDescent="0.2">
      <c r="A289" s="77"/>
      <c r="B289" s="71"/>
      <c r="C289" s="71"/>
      <c r="D289" s="71"/>
      <c r="E289" s="71"/>
      <c r="F289" s="71"/>
      <c r="G289" s="71"/>
      <c r="H289" s="71"/>
      <c r="I289" s="71"/>
      <c r="N289" s="5" t="s">
        <v>312</v>
      </c>
    </row>
    <row r="290" spans="1:14" x14ac:dyDescent="0.2">
      <c r="A290" s="77"/>
      <c r="B290" s="71"/>
      <c r="C290" s="71"/>
      <c r="D290" s="71"/>
      <c r="E290" s="71"/>
      <c r="F290" s="71"/>
      <c r="G290" s="71"/>
      <c r="H290" s="71"/>
      <c r="I290" s="71"/>
      <c r="N290" s="5" t="s">
        <v>313</v>
      </c>
    </row>
    <row r="291" spans="1:14" x14ac:dyDescent="0.2">
      <c r="A291" s="77"/>
      <c r="B291" s="71"/>
      <c r="C291" s="71"/>
      <c r="D291" s="71"/>
      <c r="E291" s="71"/>
      <c r="F291" s="71"/>
      <c r="G291" s="71"/>
      <c r="H291" s="71"/>
      <c r="I291" s="71"/>
      <c r="N291" s="5" t="s">
        <v>314</v>
      </c>
    </row>
    <row r="292" spans="1:14" x14ac:dyDescent="0.2">
      <c r="A292" s="77"/>
      <c r="B292" s="71"/>
      <c r="C292" s="71"/>
      <c r="D292" s="71"/>
      <c r="E292" s="71"/>
      <c r="F292" s="71"/>
      <c r="G292" s="71"/>
      <c r="H292" s="71"/>
      <c r="I292" s="71"/>
      <c r="N292" s="5" t="s">
        <v>315</v>
      </c>
    </row>
    <row r="293" spans="1:14" x14ac:dyDescent="0.2">
      <c r="A293" s="77"/>
      <c r="B293" s="71"/>
      <c r="C293" s="71"/>
      <c r="D293" s="71"/>
      <c r="E293" s="71"/>
      <c r="F293" s="71"/>
      <c r="G293" s="71"/>
      <c r="H293" s="71"/>
      <c r="I293" s="71"/>
      <c r="N293" s="5" t="s">
        <v>316</v>
      </c>
    </row>
    <row r="294" spans="1:14" x14ac:dyDescent="0.2">
      <c r="A294" s="77"/>
      <c r="B294" s="71"/>
      <c r="C294" s="71"/>
      <c r="D294" s="71"/>
      <c r="E294" s="71"/>
      <c r="F294" s="71"/>
      <c r="G294" s="71"/>
      <c r="H294" s="71"/>
      <c r="I294" s="71"/>
      <c r="N294" s="5" t="s">
        <v>317</v>
      </c>
    </row>
    <row r="295" spans="1:14" x14ac:dyDescent="0.2">
      <c r="A295" s="77"/>
      <c r="B295" s="71"/>
      <c r="C295" s="71"/>
      <c r="D295" s="71"/>
      <c r="E295" s="71"/>
      <c r="F295" s="71"/>
      <c r="G295" s="71"/>
      <c r="H295" s="71"/>
      <c r="I295" s="71"/>
      <c r="N295" s="5" t="s">
        <v>318</v>
      </c>
    </row>
    <row r="296" spans="1:14" x14ac:dyDescent="0.2">
      <c r="A296" s="77"/>
      <c r="B296" s="71"/>
      <c r="C296" s="71"/>
      <c r="D296" s="71"/>
      <c r="E296" s="71"/>
      <c r="F296" s="71"/>
      <c r="G296" s="71"/>
      <c r="H296" s="71"/>
      <c r="I296" s="71"/>
      <c r="N296" s="5" t="s">
        <v>319</v>
      </c>
    </row>
    <row r="297" spans="1:14" x14ac:dyDescent="0.2">
      <c r="A297" s="77"/>
      <c r="B297" s="71"/>
      <c r="C297" s="71"/>
      <c r="D297" s="71"/>
      <c r="E297" s="71"/>
      <c r="F297" s="71"/>
      <c r="G297" s="71"/>
      <c r="H297" s="71"/>
      <c r="I297" s="71"/>
      <c r="N297" s="5" t="s">
        <v>320</v>
      </c>
    </row>
    <row r="298" spans="1:14" x14ac:dyDescent="0.2">
      <c r="A298" s="77"/>
      <c r="B298" s="71"/>
      <c r="C298" s="71"/>
      <c r="D298" s="71"/>
      <c r="E298" s="71"/>
      <c r="F298" s="71"/>
      <c r="G298" s="71"/>
      <c r="H298" s="71"/>
      <c r="I298" s="71"/>
      <c r="N298" s="5" t="s">
        <v>321</v>
      </c>
    </row>
    <row r="299" spans="1:14" x14ac:dyDescent="0.2">
      <c r="A299" s="77"/>
      <c r="B299" s="71"/>
      <c r="C299" s="71"/>
      <c r="D299" s="71"/>
      <c r="E299" s="71"/>
      <c r="F299" s="71"/>
      <c r="G299" s="71"/>
      <c r="H299" s="71"/>
      <c r="I299" s="71"/>
      <c r="N299" s="5" t="s">
        <v>322</v>
      </c>
    </row>
    <row r="300" spans="1:14" x14ac:dyDescent="0.2">
      <c r="A300" s="77"/>
      <c r="B300" s="71"/>
      <c r="C300" s="71"/>
      <c r="D300" s="71"/>
      <c r="E300" s="71"/>
      <c r="F300" s="71"/>
      <c r="G300" s="71"/>
      <c r="H300" s="71"/>
      <c r="I300" s="71"/>
      <c r="N300" s="5" t="s">
        <v>323</v>
      </c>
    </row>
    <row r="301" spans="1:14" x14ac:dyDescent="0.2">
      <c r="A301" s="77"/>
      <c r="B301" s="71"/>
      <c r="C301" s="71"/>
      <c r="D301" s="71"/>
      <c r="E301" s="71"/>
      <c r="F301" s="71"/>
      <c r="G301" s="71"/>
      <c r="H301" s="71"/>
      <c r="I301" s="71"/>
      <c r="N301" s="5" t="s">
        <v>324</v>
      </c>
    </row>
    <row r="302" spans="1:14" x14ac:dyDescent="0.2">
      <c r="A302" s="77"/>
      <c r="B302" s="71"/>
      <c r="C302" s="71"/>
      <c r="D302" s="71"/>
      <c r="E302" s="71"/>
      <c r="F302" s="71"/>
      <c r="G302" s="71"/>
      <c r="H302" s="71"/>
      <c r="I302" s="71"/>
      <c r="N302" s="5" t="s">
        <v>325</v>
      </c>
    </row>
    <row r="303" spans="1:14" x14ac:dyDescent="0.2">
      <c r="A303" s="77"/>
      <c r="B303" s="71"/>
      <c r="C303" s="71"/>
      <c r="D303" s="71"/>
      <c r="E303" s="71"/>
      <c r="F303" s="71"/>
      <c r="G303" s="71"/>
      <c r="H303" s="71"/>
      <c r="I303" s="71"/>
      <c r="N303" s="5" t="s">
        <v>326</v>
      </c>
    </row>
    <row r="304" spans="1:14" x14ac:dyDescent="0.2">
      <c r="A304" s="77"/>
      <c r="B304" s="71"/>
      <c r="C304" s="71"/>
      <c r="D304" s="71"/>
      <c r="E304" s="71"/>
      <c r="F304" s="71"/>
      <c r="G304" s="71"/>
      <c r="H304" s="71"/>
      <c r="I304" s="71"/>
      <c r="N304" s="5" t="s">
        <v>327</v>
      </c>
    </row>
    <row r="305" spans="1:14" x14ac:dyDescent="0.2">
      <c r="A305" s="77"/>
      <c r="B305" s="71"/>
      <c r="C305" s="71"/>
      <c r="D305" s="71"/>
      <c r="E305" s="71"/>
      <c r="F305" s="71"/>
      <c r="G305" s="71"/>
      <c r="N305" s="5" t="s">
        <v>328</v>
      </c>
    </row>
    <row r="306" spans="1:14" x14ac:dyDescent="0.2">
      <c r="A306" s="77"/>
      <c r="B306" s="71"/>
      <c r="C306" s="71"/>
      <c r="D306" s="71"/>
      <c r="E306" s="71"/>
      <c r="F306" s="71"/>
      <c r="G306" s="71"/>
      <c r="N306" s="5" t="s">
        <v>329</v>
      </c>
    </row>
    <row r="307" spans="1:14" x14ac:dyDescent="0.2">
      <c r="A307" s="77"/>
      <c r="B307" s="71"/>
      <c r="C307" s="71"/>
      <c r="D307" s="71"/>
      <c r="E307" s="71"/>
      <c r="F307" s="71"/>
      <c r="G307" s="71"/>
      <c r="N307" s="5" t="s">
        <v>330</v>
      </c>
    </row>
    <row r="308" spans="1:14" x14ac:dyDescent="0.2">
      <c r="A308" s="77"/>
      <c r="B308" s="71"/>
      <c r="C308" s="71"/>
      <c r="D308" s="71"/>
      <c r="E308" s="71"/>
      <c r="F308" s="71"/>
      <c r="G308" s="71"/>
      <c r="N308" s="5" t="s">
        <v>416</v>
      </c>
    </row>
    <row r="309" spans="1:14" x14ac:dyDescent="0.2">
      <c r="A309" s="77"/>
      <c r="B309" s="71"/>
      <c r="C309" s="71"/>
      <c r="D309" s="71"/>
      <c r="E309" s="71"/>
      <c r="F309" s="71"/>
      <c r="G309" s="71"/>
      <c r="N309" s="5" t="s">
        <v>415</v>
      </c>
    </row>
    <row r="310" spans="1:14" x14ac:dyDescent="0.2">
      <c r="A310" s="77"/>
      <c r="B310" s="71"/>
      <c r="C310" s="71"/>
      <c r="D310" s="71"/>
      <c r="E310" s="71"/>
      <c r="F310" s="71"/>
      <c r="G310" s="71"/>
      <c r="N310" s="5" t="s">
        <v>414</v>
      </c>
    </row>
    <row r="311" spans="1:14" x14ac:dyDescent="0.2">
      <c r="A311" s="77"/>
      <c r="B311" s="71"/>
      <c r="C311" s="71"/>
      <c r="D311" s="71"/>
      <c r="E311" s="71"/>
      <c r="F311" s="71"/>
      <c r="G311" s="71"/>
      <c r="N311" s="5" t="s">
        <v>413</v>
      </c>
    </row>
    <row r="312" spans="1:14" x14ac:dyDescent="0.2">
      <c r="A312" s="77"/>
      <c r="B312" s="71"/>
      <c r="C312" s="71"/>
      <c r="D312" s="71"/>
      <c r="E312" s="71"/>
      <c r="F312" s="71"/>
      <c r="G312" s="71"/>
      <c r="N312" s="5" t="s">
        <v>412</v>
      </c>
    </row>
    <row r="313" spans="1:14" x14ac:dyDescent="0.2">
      <c r="A313" s="77"/>
      <c r="B313" s="71"/>
      <c r="C313" s="71"/>
      <c r="D313" s="71"/>
      <c r="E313" s="71"/>
      <c r="F313" s="71"/>
      <c r="G313" s="71"/>
      <c r="N313" s="5" t="s">
        <v>411</v>
      </c>
    </row>
    <row r="314" spans="1:14" x14ac:dyDescent="0.2">
      <c r="A314" s="77"/>
      <c r="B314" s="71"/>
      <c r="C314" s="71"/>
      <c r="D314" s="71"/>
      <c r="E314" s="71"/>
      <c r="F314" s="71"/>
      <c r="G314" s="71"/>
      <c r="N314" s="5" t="s">
        <v>151</v>
      </c>
    </row>
    <row r="315" spans="1:14" x14ac:dyDescent="0.2">
      <c r="A315" s="77"/>
      <c r="B315" s="71"/>
      <c r="C315" s="71"/>
      <c r="D315" s="71"/>
      <c r="E315" s="71"/>
      <c r="F315" s="71"/>
      <c r="G315" s="71"/>
      <c r="N315" s="5" t="s">
        <v>331</v>
      </c>
    </row>
    <row r="316" spans="1:14" x14ac:dyDescent="0.2">
      <c r="A316" s="77"/>
      <c r="B316" s="71"/>
      <c r="C316" s="71"/>
      <c r="D316" s="71"/>
      <c r="E316" s="71"/>
      <c r="F316" s="71"/>
      <c r="G316" s="71"/>
      <c r="N316" s="5" t="s">
        <v>332</v>
      </c>
    </row>
    <row r="317" spans="1:14" x14ac:dyDescent="0.2">
      <c r="A317" s="77"/>
      <c r="B317" s="71"/>
      <c r="C317" s="71"/>
      <c r="D317" s="71"/>
      <c r="E317" s="71"/>
      <c r="F317" s="71"/>
      <c r="G317" s="71"/>
      <c r="N317" s="5" t="s">
        <v>333</v>
      </c>
    </row>
    <row r="318" spans="1:14" x14ac:dyDescent="0.2">
      <c r="A318" s="77"/>
      <c r="B318" s="71"/>
      <c r="C318" s="71"/>
      <c r="D318" s="71"/>
      <c r="E318" s="71"/>
      <c r="F318" s="71"/>
      <c r="G318" s="71"/>
      <c r="N318" s="5" t="s">
        <v>334</v>
      </c>
    </row>
    <row r="319" spans="1:14" x14ac:dyDescent="0.2">
      <c r="A319" s="77"/>
      <c r="B319" s="71"/>
      <c r="C319" s="71"/>
      <c r="D319" s="71"/>
      <c r="E319" s="71"/>
      <c r="F319" s="71"/>
      <c r="G319" s="71"/>
      <c r="N319" s="5" t="s">
        <v>335</v>
      </c>
    </row>
    <row r="320" spans="1:14" x14ac:dyDescent="0.2">
      <c r="A320" s="77"/>
      <c r="B320" s="71"/>
      <c r="C320" s="71"/>
      <c r="D320" s="71"/>
      <c r="E320" s="71"/>
      <c r="F320" s="71"/>
      <c r="G320" s="71"/>
      <c r="N320" s="5" t="s">
        <v>336</v>
      </c>
    </row>
    <row r="321" spans="1:14" x14ac:dyDescent="0.2">
      <c r="A321" s="77"/>
      <c r="B321" s="71"/>
      <c r="C321" s="71"/>
      <c r="D321" s="71"/>
      <c r="E321" s="71"/>
      <c r="F321" s="71"/>
      <c r="G321" s="71"/>
      <c r="N321" s="5" t="s">
        <v>337</v>
      </c>
    </row>
    <row r="322" spans="1:14" x14ac:dyDescent="0.2">
      <c r="A322" s="77"/>
      <c r="B322" s="71"/>
      <c r="C322" s="71"/>
      <c r="D322" s="71"/>
      <c r="E322" s="71"/>
      <c r="F322" s="71"/>
      <c r="G322" s="71"/>
      <c r="N322" s="5" t="s">
        <v>338</v>
      </c>
    </row>
    <row r="323" spans="1:14" x14ac:dyDescent="0.2">
      <c r="A323" s="77"/>
      <c r="B323" s="71"/>
      <c r="C323" s="71"/>
      <c r="D323" s="71"/>
      <c r="E323" s="71"/>
      <c r="F323" s="71"/>
      <c r="G323" s="71"/>
      <c r="N323" s="5" t="s">
        <v>339</v>
      </c>
    </row>
    <row r="324" spans="1:14" x14ac:dyDescent="0.2">
      <c r="A324" s="77"/>
      <c r="B324" s="71"/>
      <c r="C324" s="71"/>
      <c r="D324" s="71"/>
      <c r="E324" s="71"/>
      <c r="F324" s="71"/>
      <c r="G324" s="71"/>
      <c r="N324" s="5" t="s">
        <v>340</v>
      </c>
    </row>
    <row r="325" spans="1:14" x14ac:dyDescent="0.2">
      <c r="A325" s="77"/>
      <c r="B325" s="71"/>
      <c r="C325" s="71"/>
      <c r="D325" s="71"/>
      <c r="E325" s="71"/>
      <c r="F325" s="71"/>
      <c r="G325" s="71"/>
      <c r="N325" s="5" t="s">
        <v>341</v>
      </c>
    </row>
    <row r="326" spans="1:14" x14ac:dyDescent="0.2">
      <c r="A326" s="77"/>
      <c r="B326" s="71"/>
      <c r="C326" s="71"/>
      <c r="D326" s="71"/>
      <c r="E326" s="71"/>
      <c r="F326" s="71"/>
      <c r="G326" s="71"/>
      <c r="N326" s="5" t="s">
        <v>342</v>
      </c>
    </row>
    <row r="327" spans="1:14" x14ac:dyDescent="0.2">
      <c r="A327" s="77"/>
      <c r="B327" s="71"/>
      <c r="C327" s="71"/>
      <c r="D327" s="71"/>
      <c r="E327" s="71"/>
      <c r="F327" s="71"/>
      <c r="G327" s="71"/>
      <c r="N327" s="5" t="s">
        <v>343</v>
      </c>
    </row>
    <row r="328" spans="1:14" x14ac:dyDescent="0.2">
      <c r="A328" s="77"/>
      <c r="B328" s="71"/>
      <c r="C328" s="71"/>
      <c r="D328" s="71"/>
      <c r="E328" s="71"/>
      <c r="F328" s="71"/>
      <c r="G328" s="71"/>
      <c r="N328" s="5" t="s">
        <v>344</v>
      </c>
    </row>
    <row r="329" spans="1:14" x14ac:dyDescent="0.2">
      <c r="A329" s="77"/>
      <c r="B329" s="71"/>
      <c r="C329" s="71"/>
      <c r="D329" s="71"/>
      <c r="E329" s="71"/>
      <c r="F329" s="71"/>
      <c r="G329" s="71"/>
      <c r="N329" s="5" t="s">
        <v>345</v>
      </c>
    </row>
    <row r="330" spans="1:14" x14ac:dyDescent="0.2">
      <c r="A330" s="77"/>
      <c r="B330" s="71"/>
      <c r="C330" s="71"/>
      <c r="D330" s="71"/>
      <c r="E330" s="71"/>
      <c r="F330" s="71"/>
      <c r="G330" s="71"/>
      <c r="N330" s="5" t="s">
        <v>410</v>
      </c>
    </row>
    <row r="331" spans="1:14" x14ac:dyDescent="0.2">
      <c r="A331" s="77"/>
      <c r="B331" s="71"/>
      <c r="C331" s="71"/>
      <c r="D331" s="71"/>
      <c r="E331" s="71"/>
      <c r="F331" s="71"/>
      <c r="G331" s="71"/>
      <c r="N331" s="5" t="s">
        <v>346</v>
      </c>
    </row>
    <row r="332" spans="1:14" x14ac:dyDescent="0.2">
      <c r="A332" s="77"/>
      <c r="B332" s="71"/>
      <c r="C332" s="71"/>
      <c r="D332" s="71"/>
      <c r="E332" s="71"/>
      <c r="F332" s="71"/>
      <c r="G332" s="71"/>
      <c r="N332" s="5" t="s">
        <v>347</v>
      </c>
    </row>
    <row r="333" spans="1:14" x14ac:dyDescent="0.2">
      <c r="A333" s="77"/>
      <c r="B333" s="71"/>
      <c r="C333" s="71"/>
      <c r="D333" s="71"/>
      <c r="E333" s="71"/>
      <c r="F333" s="71"/>
      <c r="G333" s="71"/>
      <c r="N333" s="5" t="s">
        <v>409</v>
      </c>
    </row>
    <row r="334" spans="1:14" x14ac:dyDescent="0.2">
      <c r="C334" s="71"/>
      <c r="N334" s="5" t="s">
        <v>348</v>
      </c>
    </row>
    <row r="335" spans="1:14" x14ac:dyDescent="0.2">
      <c r="N335" s="5" t="s">
        <v>349</v>
      </c>
    </row>
    <row r="336" spans="1:14" x14ac:dyDescent="0.2">
      <c r="N336" s="5" t="s">
        <v>408</v>
      </c>
    </row>
    <row r="337" spans="14:14" x14ac:dyDescent="0.2">
      <c r="N337" s="5" t="s">
        <v>350</v>
      </c>
    </row>
    <row r="338" spans="14:14" x14ac:dyDescent="0.2">
      <c r="N338" s="5" t="s">
        <v>351</v>
      </c>
    </row>
    <row r="339" spans="14:14" x14ac:dyDescent="0.2">
      <c r="N339" s="5" t="s">
        <v>352</v>
      </c>
    </row>
    <row r="340" spans="14:14" x14ac:dyDescent="0.2">
      <c r="N340" s="5" t="s">
        <v>353</v>
      </c>
    </row>
    <row r="341" spans="14:14" x14ac:dyDescent="0.2">
      <c r="N341" s="5" t="s">
        <v>354</v>
      </c>
    </row>
    <row r="342" spans="14:14" x14ac:dyDescent="0.2">
      <c r="N342" s="5" t="s">
        <v>355</v>
      </c>
    </row>
    <row r="343" spans="14:14" x14ac:dyDescent="0.2">
      <c r="N343" s="5" t="s">
        <v>356</v>
      </c>
    </row>
    <row r="344" spans="14:14" x14ac:dyDescent="0.2">
      <c r="N344" s="5" t="s">
        <v>357</v>
      </c>
    </row>
    <row r="345" spans="14:14" x14ac:dyDescent="0.2">
      <c r="N345" s="5" t="s">
        <v>358</v>
      </c>
    </row>
  </sheetData>
  <mergeCells count="2">
    <mergeCell ref="B5:C5"/>
    <mergeCell ref="B7:D7"/>
  </mergeCells>
  <conditionalFormatting sqref="B122:B333">
    <cfRule type="expression" dxfId="12" priority="10" stopIfTrue="1">
      <formula>A122&lt;&gt;""</formula>
    </cfRule>
  </conditionalFormatting>
  <conditionalFormatting sqref="C122:C334">
    <cfRule type="expression" dxfId="11" priority="9" stopIfTrue="1">
      <formula>A122&lt;&gt;""</formula>
    </cfRule>
  </conditionalFormatting>
  <conditionalFormatting sqref="D122:D333">
    <cfRule type="expression" dxfId="10" priority="11" stopIfTrue="1">
      <formula>OR(C122="date",C122="text")</formula>
    </cfRule>
    <cfRule type="expression" dxfId="9" priority="12" stopIfTrue="1">
      <formula>OR(C122="number")</formula>
    </cfRule>
  </conditionalFormatting>
  <conditionalFormatting sqref="E122:E333">
    <cfRule type="expression" dxfId="8" priority="7" stopIfTrue="1">
      <formula>OR(C122="number",C122="text")</formula>
    </cfRule>
    <cfRule type="expression" dxfId="7" priority="8" stopIfTrue="1">
      <formula>OR(C122="datetime")</formula>
    </cfRule>
  </conditionalFormatting>
  <conditionalFormatting sqref="F122:G333">
    <cfRule type="expression" dxfId="6" priority="5" stopIfTrue="1">
      <formula>OR($C122="number", $C122="text")</formula>
    </cfRule>
    <cfRule type="expression" dxfId="5" priority="6" stopIfTrue="1">
      <formula>OR($C122="date")</formula>
    </cfRule>
  </conditionalFormatting>
  <conditionalFormatting sqref="E47:I47">
    <cfRule type="expression" dxfId="4" priority="4" stopIfTrue="1">
      <formula>NOT(ISBLANK($B$49:$B$56))</formula>
    </cfRule>
  </conditionalFormatting>
  <conditionalFormatting sqref="B56:AO57 E54:AO55">
    <cfRule type="expression" dxfId="3" priority="3" stopIfTrue="1">
      <formula>NOT(ISBLANK($B$49:$B$56))</formula>
    </cfRule>
  </conditionalFormatting>
  <conditionalFormatting sqref="B47:D47">
    <cfRule type="expression" dxfId="2" priority="2" stopIfTrue="1">
      <formula>NOT(ISBLANK($B$49:$B$56))</formula>
    </cfRule>
  </conditionalFormatting>
  <conditionalFormatting sqref="B54:D55">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2:D33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WVL983162:WVL983373">
      <formula1>$N$122:$N$345</formula1>
    </dataValidation>
    <dataValidation type="list" errorStyle="information" allowBlank="1" showInputMessage="1" showErrorMessage="1" errorTitle="New Site" error="If a site is not in the list enter a new Name" prompt="Select a site name or enter a new one" sqref="WVJ983086:WVQ98308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B46:I4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list" allowBlank="1" showInputMessage="1" showErrorMessage="1" error="Please Select fromt he drop-down list." promptTitle="Data Type" prompt="Please select DateTime, Number or Text from the drop-down list." sqref="WVK983162:WVK98337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C122:C334">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B155"/>
  <sheetViews>
    <sheetView workbookViewId="0"/>
  </sheetViews>
  <sheetFormatPr defaultRowHeight="15" x14ac:dyDescent="0.25"/>
  <sheetData>
    <row r="1" spans="1:28" ht="48" x14ac:dyDescent="0.25">
      <c r="A1" s="89" t="s">
        <v>140</v>
      </c>
      <c r="B1" s="89" t="s">
        <v>144</v>
      </c>
      <c r="C1" s="89" t="s">
        <v>373</v>
      </c>
      <c r="D1" s="89" t="s">
        <v>0</v>
      </c>
      <c r="E1" s="89" t="s">
        <v>156</v>
      </c>
      <c r="F1" s="89" t="s">
        <v>2</v>
      </c>
      <c r="G1" s="89" t="s">
        <v>1</v>
      </c>
      <c r="H1" s="89" t="s">
        <v>3</v>
      </c>
      <c r="I1" s="89" t="s">
        <v>4</v>
      </c>
      <c r="J1" s="89" t="s">
        <v>5</v>
      </c>
      <c r="K1" s="89" t="s">
        <v>359</v>
      </c>
      <c r="L1" s="89" t="s">
        <v>360</v>
      </c>
      <c r="M1" s="89" t="s">
        <v>361</v>
      </c>
      <c r="N1" s="89" t="s">
        <v>362</v>
      </c>
      <c r="O1" s="89" t="s">
        <v>363</v>
      </c>
      <c r="P1" s="89" t="s">
        <v>6</v>
      </c>
      <c r="Q1" s="89" t="s">
        <v>7</v>
      </c>
      <c r="R1" s="89" t="s">
        <v>8</v>
      </c>
      <c r="S1" s="89" t="s">
        <v>9</v>
      </c>
      <c r="T1" s="89" t="s">
        <v>364</v>
      </c>
      <c r="U1" s="89" t="s">
        <v>365</v>
      </c>
      <c r="V1" s="89" t="s">
        <v>366</v>
      </c>
      <c r="W1" s="89" t="s">
        <v>367</v>
      </c>
      <c r="X1" s="89" t="s">
        <v>368</v>
      </c>
      <c r="Y1" s="89" t="s">
        <v>369</v>
      </c>
      <c r="Z1" s="89" t="s">
        <v>370</v>
      </c>
      <c r="AA1" s="89" t="s">
        <v>371</v>
      </c>
      <c r="AB1" s="89" t="s">
        <v>372</v>
      </c>
    </row>
    <row r="2" spans="1:28" x14ac:dyDescent="0.25">
      <c r="A2">
        <v>2011</v>
      </c>
      <c r="B2" t="s">
        <v>374</v>
      </c>
      <c r="C2" t="s">
        <v>375</v>
      </c>
      <c r="D2">
        <v>104</v>
      </c>
      <c r="E2">
        <v>2</v>
      </c>
      <c r="F2" t="s">
        <v>383</v>
      </c>
      <c r="G2">
        <v>1</v>
      </c>
      <c r="H2">
        <v>0</v>
      </c>
      <c r="I2" t="s">
        <v>10</v>
      </c>
      <c r="J2">
        <v>5.5</v>
      </c>
      <c r="K2">
        <v>47.179000000000002</v>
      </c>
      <c r="L2">
        <v>0.61699999999999999</v>
      </c>
      <c r="M2">
        <v>8.9174151344195499E-2</v>
      </c>
      <c r="N2">
        <v>16.514316686763451</v>
      </c>
      <c r="O2">
        <v>7.1620857993687732</v>
      </c>
      <c r="P2">
        <v>3325.0413413874539</v>
      </c>
      <c r="Q2">
        <v>128.64413538608716</v>
      </c>
      <c r="R2">
        <v>-1560.5524170043673</v>
      </c>
      <c r="S2">
        <v>-25.602651990307365</v>
      </c>
      <c r="T2">
        <v>30.261248258652738</v>
      </c>
      <c r="U2">
        <v>2313.9310074472901</v>
      </c>
      <c r="V2">
        <v>0</v>
      </c>
      <c r="W2">
        <v>8.099575965642794E-2</v>
      </c>
      <c r="X2">
        <v>3.5127010765716345E-2</v>
      </c>
      <c r="Y2">
        <v>0.72415394966927049</v>
      </c>
      <c r="Z2">
        <v>16.307925689142539</v>
      </c>
      <c r="AA2">
        <v>0</v>
      </c>
      <c r="AB2">
        <v>0</v>
      </c>
    </row>
    <row r="3" spans="1:28" x14ac:dyDescent="0.25">
      <c r="A3">
        <v>2011</v>
      </c>
      <c r="B3" t="s">
        <v>374</v>
      </c>
      <c r="C3" t="s">
        <v>375</v>
      </c>
      <c r="D3">
        <v>104</v>
      </c>
      <c r="E3">
        <v>2</v>
      </c>
      <c r="F3" t="s">
        <v>383</v>
      </c>
      <c r="G3">
        <v>1</v>
      </c>
      <c r="H3">
        <v>0</v>
      </c>
      <c r="I3" t="s">
        <v>11</v>
      </c>
      <c r="J3">
        <v>11</v>
      </c>
      <c r="K3">
        <v>45.92</v>
      </c>
      <c r="L3">
        <v>0.81699999999999995</v>
      </c>
      <c r="M3">
        <v>8.9409952283554972E-2</v>
      </c>
      <c r="N3">
        <v>19.02401559599128</v>
      </c>
      <c r="O3">
        <v>1.5624112875840308</v>
      </c>
      <c r="P3">
        <v>2150.9706500523321</v>
      </c>
      <c r="Q3">
        <v>154.0839797958937</v>
      </c>
      <c r="R3">
        <v>444.95379068022112</v>
      </c>
      <c r="S3">
        <v>53.28172170474005</v>
      </c>
      <c r="T3">
        <v>80.352724117230863</v>
      </c>
      <c r="U3">
        <v>4516.2755097469289</v>
      </c>
      <c r="V3">
        <v>118.57371794871797</v>
      </c>
      <c r="W3">
        <v>0.18710299593471047</v>
      </c>
      <c r="X3">
        <v>1.5366463053719347E-2</v>
      </c>
      <c r="Y3">
        <v>1.7178999999216513</v>
      </c>
      <c r="Z3">
        <v>21.155000150295688</v>
      </c>
      <c r="AA3">
        <v>0.52403078147271098</v>
      </c>
      <c r="AB3">
        <v>4.3761626912416025</v>
      </c>
    </row>
    <row r="4" spans="1:28" x14ac:dyDescent="0.25">
      <c r="A4">
        <v>2011</v>
      </c>
      <c r="B4" t="s">
        <v>374</v>
      </c>
      <c r="C4" t="s">
        <v>375</v>
      </c>
      <c r="D4">
        <v>104</v>
      </c>
      <c r="E4">
        <v>4</v>
      </c>
      <c r="F4" t="s">
        <v>383</v>
      </c>
      <c r="G4">
        <v>1</v>
      </c>
      <c r="H4">
        <v>0</v>
      </c>
      <c r="I4" t="s">
        <v>10</v>
      </c>
      <c r="J4">
        <v>5.25</v>
      </c>
      <c r="K4">
        <v>47.655000000000001</v>
      </c>
      <c r="L4">
        <v>0.53700000000000003</v>
      </c>
      <c r="M4">
        <v>9.2077647918842181E-2</v>
      </c>
      <c r="N4">
        <v>17.289306347973785</v>
      </c>
      <c r="O4">
        <v>0.17002316163331627</v>
      </c>
      <c r="P4">
        <v>3887.4133505200653</v>
      </c>
      <c r="Q4">
        <v>129.76626467345446</v>
      </c>
      <c r="R4">
        <v>-1172.3242055773449</v>
      </c>
      <c r="S4">
        <v>28.882313716037004</v>
      </c>
      <c r="T4">
        <v>25.958990889519587</v>
      </c>
      <c r="U4">
        <v>2303.679163575523</v>
      </c>
      <c r="V4">
        <v>27.242892626864521</v>
      </c>
      <c r="W4">
        <v>8.3577829790161012E-2</v>
      </c>
      <c r="X4">
        <v>8.2190497278334697E-4</v>
      </c>
      <c r="Y4">
        <v>0.71169978735608985</v>
      </c>
      <c r="Z4">
        <v>18.792053584720147</v>
      </c>
      <c r="AA4">
        <v>0.13961931445490711</v>
      </c>
      <c r="AB4">
        <v>0</v>
      </c>
    </row>
    <row r="5" spans="1:28" x14ac:dyDescent="0.25">
      <c r="A5">
        <v>2011</v>
      </c>
      <c r="B5" t="s">
        <v>374</v>
      </c>
      <c r="C5" t="s">
        <v>375</v>
      </c>
      <c r="D5">
        <v>104</v>
      </c>
      <c r="E5">
        <v>4</v>
      </c>
      <c r="F5" t="s">
        <v>383</v>
      </c>
      <c r="G5">
        <v>1</v>
      </c>
      <c r="H5">
        <v>0</v>
      </c>
      <c r="I5" t="s">
        <v>11</v>
      </c>
      <c r="J5">
        <v>10.5</v>
      </c>
      <c r="K5">
        <v>46.534999999999997</v>
      </c>
      <c r="L5">
        <v>0.92200000000000004</v>
      </c>
      <c r="M5">
        <v>8.7574773008289752E-2</v>
      </c>
      <c r="N5">
        <v>41.797068963651817</v>
      </c>
      <c r="O5">
        <v>0.23157797425442481</v>
      </c>
      <c r="P5">
        <v>1997.2727366182332</v>
      </c>
      <c r="Q5">
        <v>129.28827474239179</v>
      </c>
      <c r="R5">
        <v>618.81442048596705</v>
      </c>
      <c r="S5">
        <v>126.65874592823158</v>
      </c>
      <c r="T5">
        <v>84.781137749325325</v>
      </c>
      <c r="U5">
        <v>4279.0566650378023</v>
      </c>
      <c r="V5">
        <v>101.53448238101382</v>
      </c>
      <c r="W5">
        <v>0.38433872682488224</v>
      </c>
      <c r="X5">
        <v>2.1294407955503364E-3</v>
      </c>
      <c r="Y5">
        <v>1.3859951620973321</v>
      </c>
      <c r="Z5">
        <v>18.365624187223684</v>
      </c>
      <c r="AA5">
        <v>1.1646716470388501</v>
      </c>
      <c r="AB5">
        <v>5.6902159028730681</v>
      </c>
    </row>
    <row r="6" spans="1:28" x14ac:dyDescent="0.25">
      <c r="A6">
        <v>2011</v>
      </c>
      <c r="B6" t="s">
        <v>374</v>
      </c>
      <c r="C6" t="s">
        <v>375</v>
      </c>
      <c r="D6">
        <v>104</v>
      </c>
      <c r="E6">
        <v>4</v>
      </c>
      <c r="F6" t="s">
        <v>383</v>
      </c>
      <c r="G6">
        <v>1</v>
      </c>
      <c r="H6">
        <v>0</v>
      </c>
      <c r="I6" t="s">
        <v>12</v>
      </c>
      <c r="J6">
        <v>3.75</v>
      </c>
      <c r="K6">
        <v>39.93</v>
      </c>
      <c r="L6">
        <v>1.381</v>
      </c>
      <c r="M6">
        <v>0.13776033430515061</v>
      </c>
      <c r="N6">
        <v>16.949965552005978</v>
      </c>
      <c r="O6">
        <v>0.37124102547510596</v>
      </c>
      <c r="P6">
        <v>1490.1918776171938</v>
      </c>
      <c r="Q6">
        <v>63.352844643473794</v>
      </c>
      <c r="R6">
        <v>363.6325778740993</v>
      </c>
      <c r="S6">
        <v>30.82064056739938</v>
      </c>
      <c r="T6">
        <v>71.342633128279871</v>
      </c>
      <c r="U6">
        <v>2062.7888058017488</v>
      </c>
      <c r="V6">
        <v>0</v>
      </c>
      <c r="W6">
        <v>8.7563734533942394E-2</v>
      </c>
      <c r="X6">
        <v>1.9178357916464076E-3</v>
      </c>
      <c r="Y6">
        <v>0.41676315997310959</v>
      </c>
      <c r="Z6">
        <v>7.6983499214761766</v>
      </c>
      <c r="AA6">
        <v>0.15921981555239348</v>
      </c>
      <c r="AB6">
        <v>1.8785304559567362</v>
      </c>
    </row>
    <row r="7" spans="1:28" x14ac:dyDescent="0.25">
      <c r="A7">
        <v>2011</v>
      </c>
      <c r="B7" t="s">
        <v>374</v>
      </c>
      <c r="C7" t="s">
        <v>375</v>
      </c>
      <c r="D7">
        <v>104</v>
      </c>
      <c r="E7">
        <v>6</v>
      </c>
      <c r="F7" t="s">
        <v>383</v>
      </c>
      <c r="G7">
        <v>1</v>
      </c>
      <c r="H7">
        <v>0</v>
      </c>
      <c r="I7" t="s">
        <v>10</v>
      </c>
      <c r="J7">
        <v>5.25</v>
      </c>
      <c r="K7">
        <v>47.164999999999999</v>
      </c>
      <c r="L7">
        <v>0.61399999999999999</v>
      </c>
      <c r="M7">
        <v>7.7380752088990118E-2</v>
      </c>
      <c r="N7">
        <v>20.101234915358429</v>
      </c>
      <c r="O7">
        <v>0.44829407325195425</v>
      </c>
      <c r="P7">
        <v>2762.6693322548422</v>
      </c>
      <c r="Q7">
        <v>127.52200609871983</v>
      </c>
      <c r="R7">
        <v>-110.26725537667289</v>
      </c>
      <c r="S7">
        <v>22.942521484565702</v>
      </c>
      <c r="T7">
        <v>24.943685435885964</v>
      </c>
      <c r="U7">
        <v>1916.0731654455399</v>
      </c>
      <c r="V7">
        <v>29.511697327849053</v>
      </c>
      <c r="W7">
        <v>8.1661055472564914E-2</v>
      </c>
      <c r="X7">
        <v>1.821189958626835E-3</v>
      </c>
      <c r="Y7">
        <v>0.60153905427151722</v>
      </c>
      <c r="Z7">
        <v>11.223315111911061</v>
      </c>
      <c r="AA7">
        <v>9.3203752282909169E-2</v>
      </c>
      <c r="AB7">
        <v>0</v>
      </c>
    </row>
    <row r="8" spans="1:28" x14ac:dyDescent="0.25">
      <c r="A8">
        <v>2011</v>
      </c>
      <c r="B8" t="s">
        <v>374</v>
      </c>
      <c r="C8" t="s">
        <v>375</v>
      </c>
      <c r="D8">
        <v>104</v>
      </c>
      <c r="E8">
        <v>6</v>
      </c>
      <c r="F8" t="s">
        <v>383</v>
      </c>
      <c r="G8">
        <v>1</v>
      </c>
      <c r="H8">
        <v>0</v>
      </c>
      <c r="I8" t="s">
        <v>11</v>
      </c>
      <c r="J8">
        <v>9.75</v>
      </c>
      <c r="K8">
        <v>46.481999999999999</v>
      </c>
      <c r="L8">
        <v>0.92800000000000005</v>
      </c>
      <c r="M8">
        <v>6.242402429690546E-2</v>
      </c>
      <c r="N8">
        <v>21.139498569647053</v>
      </c>
      <c r="O8">
        <v>1.153149125946767</v>
      </c>
      <c r="P8">
        <v>1843.5748231841344</v>
      </c>
      <c r="Q8">
        <v>104.49256968888989</v>
      </c>
      <c r="R8">
        <v>580.5216153196684</v>
      </c>
      <c r="S8">
        <v>72.809664222648408</v>
      </c>
      <c r="T8">
        <v>56.481257183840057</v>
      </c>
      <c r="U8">
        <v>2829.0536599345405</v>
      </c>
      <c r="V8">
        <v>121.18838997767301</v>
      </c>
      <c r="W8">
        <v>0.12866222580276448</v>
      </c>
      <c r="X8">
        <v>7.0184603829654873E-3</v>
      </c>
      <c r="Y8">
        <v>0.77165824032350161</v>
      </c>
      <c r="Z8">
        <v>11.220627556671934</v>
      </c>
      <c r="AA8">
        <v>0.4431445442272029</v>
      </c>
      <c r="AB8">
        <v>3.5332533034103939</v>
      </c>
    </row>
    <row r="9" spans="1:28" x14ac:dyDescent="0.25">
      <c r="A9">
        <v>2011</v>
      </c>
      <c r="B9" t="s">
        <v>374</v>
      </c>
      <c r="C9" t="s">
        <v>375</v>
      </c>
      <c r="D9">
        <v>104</v>
      </c>
      <c r="E9">
        <v>6</v>
      </c>
      <c r="F9" t="s">
        <v>383</v>
      </c>
      <c r="G9">
        <v>1</v>
      </c>
      <c r="H9">
        <v>0</v>
      </c>
      <c r="I9" t="s">
        <v>12</v>
      </c>
      <c r="J9">
        <v>3.75</v>
      </c>
      <c r="K9">
        <v>42.3</v>
      </c>
      <c r="L9">
        <v>1.272</v>
      </c>
      <c r="M9">
        <v>7.2513426773080175E-2</v>
      </c>
      <c r="N9">
        <v>20.396741422103677</v>
      </c>
      <c r="O9">
        <v>0.81659898793788122</v>
      </c>
      <c r="P9">
        <v>1434.0455158466202</v>
      </c>
      <c r="Q9">
        <v>106.82078634500479</v>
      </c>
      <c r="R9">
        <v>655.16388057465883</v>
      </c>
      <c r="S9">
        <v>45.102455982494376</v>
      </c>
      <c r="T9">
        <v>34.58890457075924</v>
      </c>
      <c r="U9">
        <v>1150.2442321879842</v>
      </c>
      <c r="V9">
        <v>0</v>
      </c>
      <c r="W9">
        <v>5.5463910582043738E-2</v>
      </c>
      <c r="X9">
        <v>2.2205396593051848E-3</v>
      </c>
      <c r="Y9">
        <v>0.34815724780902441</v>
      </c>
      <c r="Z9">
        <v>3.8995332938477953</v>
      </c>
      <c r="AA9">
        <v>0.12264501146897543</v>
      </c>
      <c r="AB9">
        <v>1.7815566779406586</v>
      </c>
    </row>
    <row r="10" spans="1:28" x14ac:dyDescent="0.25">
      <c r="A10">
        <v>2011</v>
      </c>
      <c r="B10" t="s">
        <v>374</v>
      </c>
      <c r="C10" t="s">
        <v>375</v>
      </c>
      <c r="D10">
        <v>104</v>
      </c>
      <c r="E10">
        <v>8</v>
      </c>
      <c r="F10" t="s">
        <v>383</v>
      </c>
      <c r="G10">
        <v>0</v>
      </c>
      <c r="H10">
        <v>0</v>
      </c>
      <c r="I10" t="s">
        <v>10</v>
      </c>
      <c r="J10">
        <v>4.75</v>
      </c>
      <c r="K10">
        <v>32.802999999999997</v>
      </c>
      <c r="L10">
        <v>0.96799999999999997</v>
      </c>
      <c r="M10">
        <v>0.13027537473742393</v>
      </c>
      <c r="N10">
        <v>14.824308158701921</v>
      </c>
      <c r="O10">
        <v>1.0494813345640268</v>
      </c>
      <c r="P10">
        <v>3325.0413413874539</v>
      </c>
      <c r="Q10">
        <v>128.64413538608716</v>
      </c>
      <c r="R10">
        <v>-1668.5664533296524</v>
      </c>
      <c r="S10">
        <v>59.224713088716868</v>
      </c>
      <c r="T10">
        <v>59.90061730426752</v>
      </c>
      <c r="U10">
        <v>2029.8759808180655</v>
      </c>
      <c r="V10">
        <v>54.14628363804708</v>
      </c>
      <c r="W10">
        <v>9.173400927840232E-2</v>
      </c>
      <c r="X10">
        <v>6.4942747716623672E-3</v>
      </c>
      <c r="Y10">
        <v>0.91366117414641279</v>
      </c>
      <c r="Z10">
        <v>20.575622821417173</v>
      </c>
      <c r="AA10">
        <v>0.36648728033907774</v>
      </c>
      <c r="AB10">
        <v>0</v>
      </c>
    </row>
    <row r="11" spans="1:28" x14ac:dyDescent="0.25">
      <c r="A11">
        <v>2011</v>
      </c>
      <c r="B11" t="s">
        <v>374</v>
      </c>
      <c r="C11" t="s">
        <v>375</v>
      </c>
      <c r="D11">
        <v>104</v>
      </c>
      <c r="E11">
        <v>8</v>
      </c>
      <c r="F11" t="s">
        <v>383</v>
      </c>
      <c r="G11">
        <v>0</v>
      </c>
      <c r="H11">
        <v>0</v>
      </c>
      <c r="I11" t="s">
        <v>10</v>
      </c>
      <c r="J11">
        <v>5.75</v>
      </c>
      <c r="K11">
        <v>44.307000000000002</v>
      </c>
      <c r="L11">
        <v>0.61299999999999999</v>
      </c>
      <c r="M11">
        <v>8.1263514075392118E-2</v>
      </c>
      <c r="N11">
        <v>30.979147691143169</v>
      </c>
      <c r="O11">
        <v>1.5127048204125026</v>
      </c>
      <c r="P11">
        <v>3325.0413413874539</v>
      </c>
      <c r="Q11">
        <v>128.64413538608716</v>
      </c>
      <c r="R11">
        <v>-666.09149559199022</v>
      </c>
      <c r="S11">
        <v>34.487140761620822</v>
      </c>
      <c r="T11">
        <v>28.643357123723838</v>
      </c>
      <c r="U11">
        <v>2070.3119479295792</v>
      </c>
      <c r="V11">
        <v>0</v>
      </c>
      <c r="W11">
        <v>0.14475477825546468</v>
      </c>
      <c r="X11">
        <v>7.0683432942665325E-3</v>
      </c>
      <c r="Y11">
        <v>0.68991036960051189</v>
      </c>
      <c r="Z11">
        <v>15.536761271208254</v>
      </c>
      <c r="AA11">
        <v>0.1611464093003652</v>
      </c>
      <c r="AB11">
        <v>0</v>
      </c>
    </row>
    <row r="12" spans="1:28" x14ac:dyDescent="0.25">
      <c r="A12">
        <v>2011</v>
      </c>
      <c r="B12" t="s">
        <v>374</v>
      </c>
      <c r="C12" t="s">
        <v>375</v>
      </c>
      <c r="D12">
        <v>104</v>
      </c>
      <c r="E12">
        <v>8</v>
      </c>
      <c r="F12" t="s">
        <v>383</v>
      </c>
      <c r="G12">
        <v>0</v>
      </c>
      <c r="H12">
        <v>0</v>
      </c>
      <c r="I12" t="s">
        <v>11</v>
      </c>
      <c r="J12">
        <v>9.5</v>
      </c>
      <c r="K12">
        <v>15.942</v>
      </c>
      <c r="L12">
        <v>0.47</v>
      </c>
      <c r="M12">
        <v>8.4877102135434132E-2</v>
      </c>
      <c r="N12">
        <v>24.024421840618302</v>
      </c>
      <c r="O12">
        <v>2.3996577635689302</v>
      </c>
      <c r="P12">
        <v>1997.2727366182332</v>
      </c>
      <c r="Q12">
        <v>129.28827474239179</v>
      </c>
      <c r="R12">
        <v>614.37309252193722</v>
      </c>
      <c r="S12">
        <v>54.784329406600335</v>
      </c>
      <c r="T12">
        <v>37.897626103471332</v>
      </c>
      <c r="U12">
        <v>1285.4552241309364</v>
      </c>
      <c r="V12">
        <v>0</v>
      </c>
      <c r="W12">
        <v>0.19371671409953684</v>
      </c>
      <c r="X12">
        <v>1.9349219723410117E-2</v>
      </c>
      <c r="Y12">
        <v>1.2153672901664145</v>
      </c>
      <c r="Z12">
        <v>16.10465859553506</v>
      </c>
      <c r="AA12">
        <v>0.44174383663420203</v>
      </c>
      <c r="AB12">
        <v>4.953889733708464</v>
      </c>
    </row>
    <row r="13" spans="1:28" x14ac:dyDescent="0.25">
      <c r="A13">
        <v>2011</v>
      </c>
      <c r="B13" t="s">
        <v>374</v>
      </c>
      <c r="C13" t="s">
        <v>375</v>
      </c>
      <c r="D13">
        <v>104</v>
      </c>
      <c r="E13">
        <v>10</v>
      </c>
      <c r="F13" t="s">
        <v>383</v>
      </c>
      <c r="G13">
        <v>1</v>
      </c>
      <c r="H13">
        <v>0</v>
      </c>
      <c r="I13" t="s">
        <v>12</v>
      </c>
      <c r="J13">
        <v>3.25</v>
      </c>
      <c r="K13">
        <v>16.149000000000001</v>
      </c>
      <c r="L13">
        <v>0.47</v>
      </c>
      <c r="M13">
        <v>0.32616044114158088</v>
      </c>
      <c r="N13">
        <v>5.2326755189970209</v>
      </c>
      <c r="O13">
        <v>0.42621912482848218</v>
      </c>
      <c r="P13">
        <v>1080.150525985094</v>
      </c>
      <c r="Q13">
        <v>85.304415570218666</v>
      </c>
      <c r="R13">
        <v>220.70224108055095</v>
      </c>
      <c r="S13">
        <v>-20.173199816727745</v>
      </c>
      <c r="T13">
        <v>49.821007384376479</v>
      </c>
      <c r="U13">
        <v>1711.828613298502</v>
      </c>
      <c r="V13">
        <v>0</v>
      </c>
      <c r="W13">
        <v>5.5467482057871623E-2</v>
      </c>
      <c r="X13">
        <v>4.5180140777536792E-3</v>
      </c>
      <c r="Y13">
        <v>0.96423058508111137</v>
      </c>
      <c r="Z13">
        <v>11.44982709177479</v>
      </c>
      <c r="AA13">
        <v>0</v>
      </c>
      <c r="AB13">
        <v>2.339491060132461</v>
      </c>
    </row>
    <row r="14" spans="1:28" x14ac:dyDescent="0.25">
      <c r="A14">
        <v>2011</v>
      </c>
      <c r="B14" t="s">
        <v>374</v>
      </c>
      <c r="C14" t="s">
        <v>13</v>
      </c>
      <c r="D14">
        <v>108</v>
      </c>
      <c r="E14">
        <v>2</v>
      </c>
      <c r="F14" t="s">
        <v>383</v>
      </c>
      <c r="G14">
        <v>0</v>
      </c>
      <c r="H14">
        <v>0</v>
      </c>
      <c r="I14" t="s">
        <v>10</v>
      </c>
      <c r="J14">
        <v>5.5</v>
      </c>
      <c r="K14">
        <v>45.511000000000003</v>
      </c>
      <c r="L14">
        <v>1.179</v>
      </c>
      <c r="M14">
        <v>3.9932869413987888E-2</v>
      </c>
      <c r="N14">
        <v>28.746871221154183</v>
      </c>
      <c r="O14">
        <v>0.53231692281738108</v>
      </c>
      <c r="P14">
        <v>3958.4299371401917</v>
      </c>
      <c r="Q14">
        <v>273.63549926034068</v>
      </c>
      <c r="R14">
        <v>183.30055339539877</v>
      </c>
      <c r="S14">
        <v>92.910138619022973</v>
      </c>
      <c r="T14">
        <v>25.894469171500447</v>
      </c>
      <c r="U14">
        <v>999.56165094500159</v>
      </c>
      <c r="V14">
        <v>56.780826011595245</v>
      </c>
      <c r="W14">
        <v>6.3136977999429203E-2</v>
      </c>
      <c r="X14">
        <v>1.1691318191147293E-3</v>
      </c>
      <c r="Y14">
        <v>0.66529389606324496</v>
      </c>
      <c r="Z14">
        <v>8.6939306170331747</v>
      </c>
      <c r="AA14">
        <v>0.20405926379899267</v>
      </c>
      <c r="AB14">
        <v>0.40258443842375957</v>
      </c>
    </row>
    <row r="15" spans="1:28" x14ac:dyDescent="0.25">
      <c r="A15">
        <v>2011</v>
      </c>
      <c r="B15" t="s">
        <v>374</v>
      </c>
      <c r="C15" t="s">
        <v>13</v>
      </c>
      <c r="D15">
        <v>108</v>
      </c>
      <c r="E15">
        <v>2</v>
      </c>
      <c r="F15" t="s">
        <v>383</v>
      </c>
      <c r="G15">
        <v>0</v>
      </c>
      <c r="H15">
        <v>0</v>
      </c>
      <c r="I15" t="s">
        <v>11</v>
      </c>
      <c r="J15">
        <v>6.5</v>
      </c>
      <c r="K15">
        <v>44.194000000000003</v>
      </c>
      <c r="L15">
        <v>1.7609999999999999</v>
      </c>
      <c r="M15">
        <v>0.12109425721187658</v>
      </c>
      <c r="N15">
        <v>27.99519321504016</v>
      </c>
      <c r="O15">
        <v>1.4653090071074886</v>
      </c>
      <c r="P15">
        <v>2261.3808398147339</v>
      </c>
      <c r="Q15">
        <v>173.4533328167731</v>
      </c>
      <c r="R15">
        <v>-440.95359518518649</v>
      </c>
      <c r="S15">
        <v>-56.923049072330201</v>
      </c>
      <c r="T15">
        <v>138.61054151757455</v>
      </c>
      <c r="U15">
        <v>3478.5657420940879</v>
      </c>
      <c r="V15">
        <v>0</v>
      </c>
      <c r="W15">
        <v>0.22035371331208659</v>
      </c>
      <c r="X15">
        <v>1.1533632877100993E-2</v>
      </c>
      <c r="Y15">
        <v>1.5971605085833389</v>
      </c>
      <c r="Z15">
        <v>17.799615149584767</v>
      </c>
      <c r="AA15">
        <v>0</v>
      </c>
      <c r="AB15">
        <v>0</v>
      </c>
    </row>
    <row r="16" spans="1:28" x14ac:dyDescent="0.25">
      <c r="A16">
        <v>2011</v>
      </c>
      <c r="B16" t="s">
        <v>374</v>
      </c>
      <c r="C16" t="s">
        <v>13</v>
      </c>
      <c r="D16">
        <v>108</v>
      </c>
      <c r="E16">
        <v>4</v>
      </c>
      <c r="F16" t="s">
        <v>383</v>
      </c>
      <c r="G16">
        <v>0</v>
      </c>
      <c r="H16">
        <v>0</v>
      </c>
      <c r="I16" t="s">
        <v>10</v>
      </c>
      <c r="J16">
        <v>5.75</v>
      </c>
      <c r="K16">
        <v>45.457000000000001</v>
      </c>
      <c r="L16">
        <v>0.98299999999999998</v>
      </c>
      <c r="M16">
        <v>3.4956284653969286E-2</v>
      </c>
      <c r="N16">
        <v>49.959757586316783</v>
      </c>
      <c r="O16">
        <v>2.104803489431335</v>
      </c>
      <c r="P16">
        <v>5650.1624096634832</v>
      </c>
      <c r="Q16">
        <v>474.64093626192084</v>
      </c>
      <c r="R16">
        <v>-1254.1159999974752</v>
      </c>
      <c r="S16">
        <v>-207.11774216631869</v>
      </c>
      <c r="T16">
        <v>19.758165993539787</v>
      </c>
      <c r="U16">
        <v>913.67950312140204</v>
      </c>
      <c r="V16">
        <v>77.559480367829522</v>
      </c>
      <c r="W16">
        <v>0.10041843167725897</v>
      </c>
      <c r="X16">
        <v>4.2306263202407015E-3</v>
      </c>
      <c r="Y16">
        <v>1.0586708693903959</v>
      </c>
      <c r="Z16">
        <v>11.356749418167841</v>
      </c>
      <c r="AA16">
        <v>0</v>
      </c>
      <c r="AB16">
        <v>0</v>
      </c>
    </row>
    <row r="17" spans="1:28" x14ac:dyDescent="0.25">
      <c r="A17">
        <v>2011</v>
      </c>
      <c r="B17" t="s">
        <v>374</v>
      </c>
      <c r="C17" t="s">
        <v>13</v>
      </c>
      <c r="D17">
        <v>108</v>
      </c>
      <c r="E17">
        <v>4</v>
      </c>
      <c r="F17" t="s">
        <v>383</v>
      </c>
      <c r="G17">
        <v>0</v>
      </c>
      <c r="H17">
        <v>0</v>
      </c>
      <c r="I17" t="s">
        <v>11</v>
      </c>
      <c r="J17">
        <v>10</v>
      </c>
      <c r="K17">
        <v>44.978000000000002</v>
      </c>
      <c r="L17">
        <v>1.1359999999999999</v>
      </c>
      <c r="M17">
        <v>7.2453575611789306E-2</v>
      </c>
      <c r="N17">
        <v>24.976544065381447</v>
      </c>
      <c r="O17">
        <v>0.55702232832828535</v>
      </c>
      <c r="P17">
        <v>3134.2077194690546</v>
      </c>
      <c r="Q17">
        <v>182.24082968980542</v>
      </c>
      <c r="R17">
        <v>-673.75500918332637</v>
      </c>
      <c r="S17">
        <v>68.727702203931074</v>
      </c>
      <c r="T17">
        <v>82.307261894992635</v>
      </c>
      <c r="U17">
        <v>3258.8169238670598</v>
      </c>
      <c r="V17">
        <v>0</v>
      </c>
      <c r="W17">
        <v>0.18096399239623018</v>
      </c>
      <c r="X17">
        <v>4.0358259382988352E-3</v>
      </c>
      <c r="Y17">
        <v>1.5053997916830826</v>
      </c>
      <c r="Z17">
        <v>22.708455598560487</v>
      </c>
      <c r="AA17">
        <v>0.49795677682570588</v>
      </c>
      <c r="AB17">
        <v>0</v>
      </c>
    </row>
    <row r="18" spans="1:28" x14ac:dyDescent="0.25">
      <c r="A18">
        <v>2011</v>
      </c>
      <c r="B18" t="s">
        <v>374</v>
      </c>
      <c r="C18" t="s">
        <v>13</v>
      </c>
      <c r="D18">
        <v>108</v>
      </c>
      <c r="E18">
        <v>4</v>
      </c>
      <c r="F18" t="s">
        <v>383</v>
      </c>
      <c r="G18">
        <v>0</v>
      </c>
      <c r="H18">
        <v>0</v>
      </c>
      <c r="I18" t="s">
        <v>12</v>
      </c>
      <c r="J18">
        <v>14.75</v>
      </c>
      <c r="K18">
        <v>44.13</v>
      </c>
      <c r="L18">
        <v>2.4409999999999998</v>
      </c>
      <c r="M18">
        <v>0.11058754925341718</v>
      </c>
      <c r="N18">
        <v>15.387401537741047</v>
      </c>
      <c r="O18">
        <v>0.51137882592371153</v>
      </c>
      <c r="P18">
        <v>1668.6589948863361</v>
      </c>
      <c r="Q18">
        <v>96.070787995260147</v>
      </c>
      <c r="R18">
        <v>-55.560452684908341</v>
      </c>
      <c r="S18">
        <v>13.442110512187625</v>
      </c>
      <c r="T18">
        <v>398.1677063981972</v>
      </c>
      <c r="U18">
        <v>7198.3371091161189</v>
      </c>
      <c r="V18">
        <v>57.033992262787436</v>
      </c>
      <c r="W18">
        <v>0.25099411625196416</v>
      </c>
      <c r="X18">
        <v>8.341439337101483E-3</v>
      </c>
      <c r="Y18">
        <v>1.8264099229770292</v>
      </c>
      <c r="Z18">
        <v>27.218604045662175</v>
      </c>
      <c r="AA18">
        <v>0.21926318360462282</v>
      </c>
      <c r="AB18">
        <v>0</v>
      </c>
    </row>
    <row r="19" spans="1:28" x14ac:dyDescent="0.25">
      <c r="A19">
        <v>2011</v>
      </c>
      <c r="B19" t="s">
        <v>374</v>
      </c>
      <c r="C19" t="s">
        <v>13</v>
      </c>
      <c r="D19">
        <v>108</v>
      </c>
      <c r="E19">
        <v>6</v>
      </c>
      <c r="F19" t="s">
        <v>383</v>
      </c>
      <c r="G19">
        <v>0</v>
      </c>
      <c r="H19">
        <v>0</v>
      </c>
      <c r="I19" t="s">
        <v>10</v>
      </c>
      <c r="J19">
        <v>5.75</v>
      </c>
      <c r="K19">
        <v>45.222000000000001</v>
      </c>
      <c r="L19">
        <v>0.745</v>
      </c>
      <c r="M19">
        <v>4.0894545339489434E-2</v>
      </c>
      <c r="N19">
        <v>37.888100360340545</v>
      </c>
      <c r="O19">
        <v>0.38828702503696372</v>
      </c>
      <c r="P19">
        <v>4996.6919373600895</v>
      </c>
      <c r="Q19">
        <v>539.35666890440871</v>
      </c>
      <c r="R19">
        <v>-510.47135909968983</v>
      </c>
      <c r="S19">
        <v>-299.46656831354022</v>
      </c>
      <c r="T19">
        <v>17.518200859803787</v>
      </c>
      <c r="U19">
        <v>1063.366549371875</v>
      </c>
      <c r="V19">
        <v>45.23941893830704</v>
      </c>
      <c r="W19">
        <v>8.9091456685751663E-2</v>
      </c>
      <c r="X19">
        <v>9.1303222763130089E-4</v>
      </c>
      <c r="Y19">
        <v>1.3688424405920767</v>
      </c>
      <c r="Z19">
        <v>11.749403086340424</v>
      </c>
      <c r="AA19">
        <v>0</v>
      </c>
      <c r="AB19">
        <v>0</v>
      </c>
    </row>
    <row r="20" spans="1:28" x14ac:dyDescent="0.25">
      <c r="A20">
        <v>2011</v>
      </c>
      <c r="B20" t="s">
        <v>374</v>
      </c>
      <c r="C20" t="s">
        <v>13</v>
      </c>
      <c r="D20">
        <v>108</v>
      </c>
      <c r="E20">
        <v>6</v>
      </c>
      <c r="F20" t="s">
        <v>383</v>
      </c>
      <c r="G20">
        <v>0</v>
      </c>
      <c r="H20">
        <v>0</v>
      </c>
      <c r="I20" t="s">
        <v>11</v>
      </c>
      <c r="J20">
        <v>8.5</v>
      </c>
      <c r="K20">
        <v>43.576999999999998</v>
      </c>
      <c r="L20">
        <v>1.397</v>
      </c>
      <c r="M20">
        <v>7.2404157036082634E-2</v>
      </c>
      <c r="N20">
        <v>44.229381853654878</v>
      </c>
      <c r="O20">
        <v>0.69682253333694733</v>
      </c>
      <c r="P20">
        <v>3473.9303381890159</v>
      </c>
      <c r="Q20">
        <v>295.69962455954783</v>
      </c>
      <c r="R20">
        <v>541.36663091557421</v>
      </c>
      <c r="S20">
        <v>120.23943730065059</v>
      </c>
      <c r="T20">
        <v>85.976316272496319</v>
      </c>
      <c r="U20">
        <v>2681.882558487167</v>
      </c>
      <c r="V20">
        <v>157.7459687578735</v>
      </c>
      <c r="W20">
        <v>0.2722032442939758</v>
      </c>
      <c r="X20">
        <v>4.2884920910507872E-3</v>
      </c>
      <c r="Y20">
        <v>2.0963317108152419</v>
      </c>
      <c r="Z20">
        <v>21.379794807785178</v>
      </c>
      <c r="AA20">
        <v>0.73999598352095408</v>
      </c>
      <c r="AB20">
        <v>3.3317615375070289</v>
      </c>
    </row>
    <row r="21" spans="1:28" x14ac:dyDescent="0.25">
      <c r="A21">
        <v>2011</v>
      </c>
      <c r="B21" t="s">
        <v>374</v>
      </c>
      <c r="C21" t="s">
        <v>13</v>
      </c>
      <c r="D21">
        <v>108</v>
      </c>
      <c r="E21">
        <v>6</v>
      </c>
      <c r="F21" t="s">
        <v>383</v>
      </c>
      <c r="G21">
        <v>0</v>
      </c>
      <c r="H21">
        <v>0</v>
      </c>
      <c r="I21" t="s">
        <v>12</v>
      </c>
      <c r="J21">
        <v>4.75</v>
      </c>
      <c r="K21">
        <v>45.618000000000002</v>
      </c>
      <c r="L21">
        <v>2.6429999999999998</v>
      </c>
      <c r="M21">
        <v>0.19610704463478143</v>
      </c>
      <c r="N21">
        <v>127.88695903329929</v>
      </c>
      <c r="O21">
        <v>1.866646704042251</v>
      </c>
      <c r="P21">
        <v>1231.5703773227449</v>
      </c>
      <c r="Q21">
        <v>139.096684483941</v>
      </c>
      <c r="R21">
        <v>-0.32744216179594332</v>
      </c>
      <c r="S21">
        <v>-60.145051284425364</v>
      </c>
      <c r="T21">
        <v>246.19768651062046</v>
      </c>
      <c r="U21">
        <v>4249.3553020209938</v>
      </c>
      <c r="V21">
        <v>0</v>
      </c>
      <c r="W21">
        <v>1.1912778452091102</v>
      </c>
      <c r="X21">
        <v>1.7387972004081615E-2</v>
      </c>
      <c r="Y21">
        <v>2.5043632035637025</v>
      </c>
      <c r="Z21">
        <v>11.472182280434042</v>
      </c>
      <c r="AA21">
        <v>0</v>
      </c>
      <c r="AB21">
        <v>0</v>
      </c>
    </row>
    <row r="22" spans="1:28" x14ac:dyDescent="0.25">
      <c r="A22">
        <v>2011</v>
      </c>
      <c r="B22" t="s">
        <v>374</v>
      </c>
      <c r="C22" t="s">
        <v>13</v>
      </c>
      <c r="D22">
        <v>108</v>
      </c>
      <c r="E22">
        <v>8</v>
      </c>
      <c r="F22" t="s">
        <v>383</v>
      </c>
      <c r="G22">
        <v>0</v>
      </c>
      <c r="H22">
        <v>0</v>
      </c>
      <c r="I22" t="s">
        <v>10</v>
      </c>
      <c r="J22">
        <v>4.5</v>
      </c>
      <c r="K22">
        <v>45.881</v>
      </c>
      <c r="L22">
        <v>1.7509999999999999</v>
      </c>
      <c r="M22">
        <v>6.3879025654011851E-2</v>
      </c>
      <c r="N22">
        <v>51.058815871443812</v>
      </c>
      <c r="O22">
        <v>0.75089498098981944</v>
      </c>
      <c r="P22">
        <v>4711.3572745105876</v>
      </c>
      <c r="Q22">
        <v>846.98400483221099</v>
      </c>
      <c r="R22">
        <v>-1493.3294427024234</v>
      </c>
      <c r="S22">
        <v>-597.33064321946165</v>
      </c>
      <c r="T22">
        <v>50.333478264078629</v>
      </c>
      <c r="U22">
        <v>1318.8751092142729</v>
      </c>
      <c r="V22">
        <v>255.64117945641644</v>
      </c>
      <c r="W22">
        <v>0.14677143340119422</v>
      </c>
      <c r="X22">
        <v>2.1584897889352838E-3</v>
      </c>
      <c r="Y22">
        <v>2.5836330069847824</v>
      </c>
      <c r="Z22">
        <v>13.543061049165473</v>
      </c>
      <c r="AA22">
        <v>0</v>
      </c>
      <c r="AB22">
        <v>0</v>
      </c>
    </row>
    <row r="23" spans="1:28" x14ac:dyDescent="0.25">
      <c r="A23">
        <v>2011</v>
      </c>
      <c r="B23" t="s">
        <v>374</v>
      </c>
      <c r="C23" t="s">
        <v>13</v>
      </c>
      <c r="D23">
        <v>108</v>
      </c>
      <c r="E23">
        <v>8</v>
      </c>
      <c r="F23" t="s">
        <v>383</v>
      </c>
      <c r="G23">
        <v>0</v>
      </c>
      <c r="H23">
        <v>0</v>
      </c>
      <c r="I23" t="s">
        <v>11</v>
      </c>
      <c r="J23">
        <v>9.5</v>
      </c>
      <c r="K23">
        <v>43.616999999999997</v>
      </c>
      <c r="L23">
        <v>2.2599999999999998</v>
      </c>
      <c r="M23">
        <v>0.11819713605321557</v>
      </c>
      <c r="N23">
        <v>22.44507523605089</v>
      </c>
      <c r="O23">
        <v>4.0329762839927037</v>
      </c>
      <c r="P23">
        <v>1143.1166033423126</v>
      </c>
      <c r="Q23">
        <v>94.524135902569441</v>
      </c>
      <c r="R23">
        <v>891.45456446938351</v>
      </c>
      <c r="S23">
        <v>60.842704851116068</v>
      </c>
      <c r="T23">
        <v>253.76925110625382</v>
      </c>
      <c r="U23">
        <v>4897.6342590714476</v>
      </c>
      <c r="V23">
        <v>0</v>
      </c>
      <c r="W23">
        <v>0.25202964308301584</v>
      </c>
      <c r="X23">
        <v>4.5285193421155355E-2</v>
      </c>
      <c r="Y23">
        <v>1.3587006409050917</v>
      </c>
      <c r="Z23">
        <v>12.835745325544394</v>
      </c>
      <c r="AA23">
        <v>0.68318617899763556</v>
      </c>
      <c r="AB23">
        <v>10.009900761975537</v>
      </c>
    </row>
    <row r="24" spans="1:28" x14ac:dyDescent="0.25">
      <c r="A24">
        <v>2011</v>
      </c>
      <c r="B24" t="s">
        <v>374</v>
      </c>
      <c r="C24" t="s">
        <v>13</v>
      </c>
      <c r="D24">
        <v>108</v>
      </c>
      <c r="E24">
        <v>10</v>
      </c>
      <c r="F24" t="s">
        <v>383</v>
      </c>
      <c r="G24">
        <v>0</v>
      </c>
      <c r="H24">
        <v>0</v>
      </c>
      <c r="I24" t="s">
        <v>10</v>
      </c>
      <c r="J24">
        <v>5</v>
      </c>
      <c r="K24">
        <v>47.027999999999999</v>
      </c>
      <c r="L24">
        <v>1.0349999999999999</v>
      </c>
      <c r="M24">
        <v>5.7428207317619828E-2</v>
      </c>
      <c r="N24">
        <v>37.583877883989253</v>
      </c>
      <c r="O24">
        <v>0.35733722552913971</v>
      </c>
      <c r="P24">
        <v>5666.8181281260941</v>
      </c>
      <c r="Q24">
        <v>562.16623526316221</v>
      </c>
      <c r="R24">
        <v>-1716.4936245471099</v>
      </c>
      <c r="S24">
        <v>-201.62611518325872</v>
      </c>
      <c r="T24">
        <v>29.719097286868262</v>
      </c>
      <c r="U24">
        <v>1350.3668668665125</v>
      </c>
      <c r="V24">
        <v>166.29340458383066</v>
      </c>
      <c r="W24">
        <v>0.10791873654609209</v>
      </c>
      <c r="X24">
        <v>1.0260618134995253E-3</v>
      </c>
      <c r="Y24">
        <v>1.723154753642528</v>
      </c>
      <c r="Z24">
        <v>16.271760314663585</v>
      </c>
      <c r="AA24">
        <v>0</v>
      </c>
      <c r="AB24">
        <v>0</v>
      </c>
    </row>
    <row r="25" spans="1:28" x14ac:dyDescent="0.25">
      <c r="A25">
        <v>2011</v>
      </c>
      <c r="B25" t="s">
        <v>374</v>
      </c>
      <c r="C25" t="s">
        <v>13</v>
      </c>
      <c r="D25">
        <v>108</v>
      </c>
      <c r="E25">
        <v>10</v>
      </c>
      <c r="F25" t="s">
        <v>383</v>
      </c>
      <c r="G25">
        <v>0</v>
      </c>
      <c r="H25">
        <v>0</v>
      </c>
      <c r="I25" t="s">
        <v>11</v>
      </c>
      <c r="J25">
        <v>11.25</v>
      </c>
      <c r="K25">
        <v>44.232999999999997</v>
      </c>
      <c r="L25">
        <v>1.7370000000000001</v>
      </c>
      <c r="M25">
        <v>0.11563308507608201</v>
      </c>
      <c r="N25">
        <v>25.285816540043427</v>
      </c>
      <c r="O25">
        <v>0.60158966544719239</v>
      </c>
      <c r="P25">
        <v>2850.6597297630642</v>
      </c>
      <c r="Q25">
        <v>339.14517464488273</v>
      </c>
      <c r="R25">
        <v>-880.67066232035677</v>
      </c>
      <c r="S25">
        <v>-185.44206976819038</v>
      </c>
      <c r="T25">
        <v>225.96150237429876</v>
      </c>
      <c r="U25">
        <v>5754.1480336916275</v>
      </c>
      <c r="V25">
        <v>94.811674320322098</v>
      </c>
      <c r="W25">
        <v>0.32893615970921736</v>
      </c>
      <c r="X25">
        <v>7.825912758624029E-3</v>
      </c>
      <c r="Y25">
        <v>4.7486073911639632</v>
      </c>
      <c r="Z25">
        <v>37.083440143648502</v>
      </c>
      <c r="AA25">
        <v>0</v>
      </c>
      <c r="AB25">
        <v>0</v>
      </c>
    </row>
    <row r="26" spans="1:28" x14ac:dyDescent="0.25">
      <c r="A26">
        <v>2011</v>
      </c>
      <c r="B26" t="s">
        <v>374</v>
      </c>
      <c r="C26" t="s">
        <v>375</v>
      </c>
      <c r="D26">
        <v>103</v>
      </c>
      <c r="E26">
        <v>2</v>
      </c>
      <c r="F26" t="s">
        <v>383</v>
      </c>
      <c r="G26">
        <v>0</v>
      </c>
      <c r="H26">
        <v>0</v>
      </c>
      <c r="I26" t="s">
        <v>10</v>
      </c>
      <c r="J26">
        <v>5.25</v>
      </c>
      <c r="K26">
        <v>47.637</v>
      </c>
      <c r="L26">
        <v>1.093</v>
      </c>
      <c r="M26">
        <v>3.0797866695331085E-2</v>
      </c>
      <c r="N26">
        <v>35.846440005284542</v>
      </c>
      <c r="O26">
        <v>1.0231040748464166</v>
      </c>
      <c r="P26">
        <v>647.35042109914025</v>
      </c>
      <c r="Q26">
        <v>70.100239410284274</v>
      </c>
      <c r="R26">
        <v>1995.1324182670448</v>
      </c>
      <c r="S26">
        <v>193.451101654159</v>
      </c>
      <c r="T26">
        <v>17.672585856448361</v>
      </c>
      <c r="U26">
        <v>770.23693727688067</v>
      </c>
      <c r="V26">
        <v>152.31908962462293</v>
      </c>
      <c r="W26">
        <v>5.7959678741209171E-2</v>
      </c>
      <c r="X26">
        <v>1.6542447029099237E-3</v>
      </c>
      <c r="Y26">
        <v>0.17295815944922743</v>
      </c>
      <c r="Z26">
        <v>1.0466931286443326</v>
      </c>
      <c r="AA26">
        <v>0.31278876514251092</v>
      </c>
      <c r="AB26">
        <v>3.2259056685094043</v>
      </c>
    </row>
    <row r="27" spans="1:28" x14ac:dyDescent="0.25">
      <c r="A27">
        <v>2011</v>
      </c>
      <c r="B27" t="s">
        <v>374</v>
      </c>
      <c r="C27" t="s">
        <v>375</v>
      </c>
      <c r="D27">
        <v>103</v>
      </c>
      <c r="E27">
        <v>2</v>
      </c>
      <c r="F27" t="s">
        <v>383</v>
      </c>
      <c r="G27">
        <v>0</v>
      </c>
      <c r="H27">
        <v>0</v>
      </c>
      <c r="I27" t="s">
        <v>11</v>
      </c>
      <c r="J27">
        <v>10.75</v>
      </c>
      <c r="K27">
        <v>43.375</v>
      </c>
      <c r="L27">
        <v>1.423</v>
      </c>
      <c r="M27">
        <v>0.10332156613834338</v>
      </c>
      <c r="N27">
        <v>17.538853708985371</v>
      </c>
      <c r="O27">
        <v>0.12502090680652406</v>
      </c>
      <c r="P27">
        <v>2285.2682283181566</v>
      </c>
      <c r="Q27">
        <v>140.53697960945226</v>
      </c>
      <c r="R27">
        <v>-638.32933124483679</v>
      </c>
      <c r="S27">
        <v>7.2849784075335151</v>
      </c>
      <c r="T27">
        <v>158.05358276097732</v>
      </c>
      <c r="U27">
        <v>4817.6909010944428</v>
      </c>
      <c r="V27">
        <v>29.072955554881077</v>
      </c>
      <c r="W27">
        <v>0.19480524709949357</v>
      </c>
      <c r="X27">
        <v>1.3886157583132385E-3</v>
      </c>
      <c r="Y27">
        <v>1.7756364610524111</v>
      </c>
      <c r="Z27">
        <v>25.382630432573141</v>
      </c>
      <c r="AA27">
        <v>8.0914753172665568E-2</v>
      </c>
      <c r="AB27">
        <v>0</v>
      </c>
    </row>
    <row r="28" spans="1:28" x14ac:dyDescent="0.25">
      <c r="A28">
        <v>2011</v>
      </c>
      <c r="B28" t="s">
        <v>374</v>
      </c>
      <c r="C28" t="s">
        <v>375</v>
      </c>
      <c r="D28">
        <v>103</v>
      </c>
      <c r="E28">
        <v>2</v>
      </c>
      <c r="F28" t="s">
        <v>383</v>
      </c>
      <c r="G28">
        <v>0</v>
      </c>
      <c r="H28">
        <v>0</v>
      </c>
      <c r="I28" t="s">
        <v>12</v>
      </c>
      <c r="J28">
        <v>5.75</v>
      </c>
      <c r="K28">
        <v>36.107999999999997</v>
      </c>
      <c r="L28">
        <v>1.8919999999999999</v>
      </c>
      <c r="M28">
        <v>0.1581834319847551</v>
      </c>
      <c r="N28">
        <v>23.21707961833663</v>
      </c>
      <c r="O28">
        <v>0.46944286689253029</v>
      </c>
      <c r="P28">
        <v>-162.61970514643846</v>
      </c>
      <c r="Q28">
        <v>-80.026708718738035</v>
      </c>
      <c r="R28">
        <v>1425.2847590721067</v>
      </c>
      <c r="S28">
        <v>196.57110023448232</v>
      </c>
      <c r="T28">
        <v>172.08775565621508</v>
      </c>
      <c r="U28">
        <v>3284.2202332106835</v>
      </c>
      <c r="V28">
        <v>0</v>
      </c>
      <c r="W28">
        <v>0.21117204674477827</v>
      </c>
      <c r="X28">
        <v>4.269839818834823E-3</v>
      </c>
      <c r="Y28">
        <v>0</v>
      </c>
      <c r="Z28">
        <v>0</v>
      </c>
      <c r="AA28">
        <v>1.7879217476863085</v>
      </c>
      <c r="AB28">
        <v>12.96374499787146</v>
      </c>
    </row>
    <row r="29" spans="1:28" x14ac:dyDescent="0.25">
      <c r="A29">
        <v>2011</v>
      </c>
      <c r="B29" t="s">
        <v>374</v>
      </c>
      <c r="C29" t="s">
        <v>375</v>
      </c>
      <c r="D29">
        <v>103</v>
      </c>
      <c r="E29">
        <v>4</v>
      </c>
      <c r="F29" t="s">
        <v>383</v>
      </c>
      <c r="G29">
        <v>1</v>
      </c>
      <c r="H29">
        <v>0</v>
      </c>
      <c r="I29" t="s">
        <v>10</v>
      </c>
      <c r="J29">
        <v>4.5</v>
      </c>
      <c r="K29">
        <v>46.581000000000003</v>
      </c>
      <c r="L29">
        <v>0.53400000000000003</v>
      </c>
      <c r="M29">
        <v>0.10064494597732078</v>
      </c>
      <c r="N29">
        <v>19.376450972824657</v>
      </c>
      <c r="O29">
        <v>0.48748741767050158</v>
      </c>
      <c r="P29">
        <v>2995.1142752541255</v>
      </c>
      <c r="Q29">
        <v>199.09963221893338</v>
      </c>
      <c r="R29">
        <v>42.605497001783078</v>
      </c>
      <c r="S29">
        <v>-8.4815194490074362</v>
      </c>
      <c r="T29">
        <v>24.184980518350184</v>
      </c>
      <c r="U29">
        <v>2109.6640028563111</v>
      </c>
      <c r="V29">
        <v>19.3066124376804</v>
      </c>
      <c r="W29">
        <v>8.7756383762646398E-2</v>
      </c>
      <c r="X29">
        <v>2.2078415167232058E-3</v>
      </c>
      <c r="Y29">
        <v>0.9916909530744239</v>
      </c>
      <c r="Z29">
        <v>13.564940149298419</v>
      </c>
      <c r="AA29">
        <v>0</v>
      </c>
      <c r="AB29">
        <v>0.19296125748366122</v>
      </c>
    </row>
    <row r="30" spans="1:28" x14ac:dyDescent="0.25">
      <c r="A30">
        <v>2011</v>
      </c>
      <c r="B30" t="s">
        <v>374</v>
      </c>
      <c r="C30" t="s">
        <v>375</v>
      </c>
      <c r="D30">
        <v>103</v>
      </c>
      <c r="E30">
        <v>4</v>
      </c>
      <c r="F30" t="s">
        <v>383</v>
      </c>
      <c r="G30">
        <v>1</v>
      </c>
      <c r="H30">
        <v>0</v>
      </c>
      <c r="I30" t="s">
        <v>11</v>
      </c>
      <c r="J30">
        <v>6</v>
      </c>
      <c r="K30">
        <v>36.823999999999998</v>
      </c>
      <c r="L30">
        <v>0.59</v>
      </c>
      <c r="M30">
        <v>0.13823948418407858</v>
      </c>
      <c r="N30">
        <v>14.064162937309506</v>
      </c>
      <c r="O30">
        <v>0.5835916939604302</v>
      </c>
      <c r="P30">
        <v>1673.6909697961005</v>
      </c>
      <c r="Q30">
        <v>115.80285508564511</v>
      </c>
      <c r="R30">
        <v>-259.53552002191918</v>
      </c>
      <c r="S30">
        <v>0.82553018237231868</v>
      </c>
      <c r="T30">
        <v>48.936777401163816</v>
      </c>
      <c r="U30">
        <v>3054.3184593567053</v>
      </c>
      <c r="V30">
        <v>9.9108142909414898</v>
      </c>
      <c r="W30">
        <v>0.1166533577960701</v>
      </c>
      <c r="X30">
        <v>4.8405248848321517E-3</v>
      </c>
      <c r="Y30">
        <v>1.0820054999258932</v>
      </c>
      <c r="Z30">
        <v>13.882210580889792</v>
      </c>
      <c r="AA30">
        <v>6.847251995372259E-3</v>
      </c>
      <c r="AB30">
        <v>0</v>
      </c>
    </row>
    <row r="31" spans="1:28" x14ac:dyDescent="0.25">
      <c r="A31">
        <v>2011</v>
      </c>
      <c r="B31" t="s">
        <v>374</v>
      </c>
      <c r="C31" t="s">
        <v>375</v>
      </c>
      <c r="D31">
        <v>103</v>
      </c>
      <c r="E31">
        <v>6</v>
      </c>
      <c r="F31" t="s">
        <v>383</v>
      </c>
      <c r="G31">
        <v>1</v>
      </c>
      <c r="H31">
        <v>0</v>
      </c>
      <c r="I31" t="s">
        <v>10</v>
      </c>
      <c r="J31">
        <v>5.25</v>
      </c>
      <c r="K31">
        <v>46.848999999999997</v>
      </c>
      <c r="L31">
        <v>0.64300000000000002</v>
      </c>
      <c r="M31">
        <v>8.3331047573328931E-2</v>
      </c>
      <c r="N31">
        <v>49.694073533065968</v>
      </c>
      <c r="O31">
        <v>0.14711339877270097</v>
      </c>
      <c r="P31">
        <v>2231.8560616210361</v>
      </c>
      <c r="Q31">
        <v>170.85470279566212</v>
      </c>
      <c r="R31">
        <v>2808.2407286299913</v>
      </c>
      <c r="S31">
        <v>284.73738809152172</v>
      </c>
      <c r="T31">
        <v>28.130478384566512</v>
      </c>
      <c r="U31">
        <v>2049.5875300755156</v>
      </c>
      <c r="V31">
        <v>0</v>
      </c>
      <c r="W31">
        <v>0.21740560829906241</v>
      </c>
      <c r="X31">
        <v>6.4360346566960788E-4</v>
      </c>
      <c r="Y31">
        <v>0.86013603045445641</v>
      </c>
      <c r="Z31">
        <v>9.7641024415076689</v>
      </c>
      <c r="AA31">
        <v>1.2456919037304011</v>
      </c>
      <c r="AB31">
        <v>12.28571619212835</v>
      </c>
    </row>
    <row r="32" spans="1:28" x14ac:dyDescent="0.25">
      <c r="A32">
        <v>2011</v>
      </c>
      <c r="B32" t="s">
        <v>374</v>
      </c>
      <c r="C32" t="s">
        <v>375</v>
      </c>
      <c r="D32">
        <v>103</v>
      </c>
      <c r="E32">
        <v>6</v>
      </c>
      <c r="F32" t="s">
        <v>383</v>
      </c>
      <c r="G32">
        <v>1</v>
      </c>
      <c r="H32">
        <v>0</v>
      </c>
      <c r="I32" t="s">
        <v>11</v>
      </c>
      <c r="J32">
        <v>7.25</v>
      </c>
      <c r="K32">
        <v>45.639000000000003</v>
      </c>
      <c r="L32">
        <v>0.68</v>
      </c>
      <c r="M32">
        <v>7.538717952342476E-2</v>
      </c>
      <c r="N32">
        <v>18.696934483313715</v>
      </c>
      <c r="O32">
        <v>3.0309961175089968</v>
      </c>
      <c r="P32">
        <v>2210.1521796783586</v>
      </c>
      <c r="Q32">
        <v>119.3234317569147</v>
      </c>
      <c r="R32">
        <v>114.85325382739302</v>
      </c>
      <c r="S32">
        <v>52.081899577682776</v>
      </c>
      <c r="T32">
        <v>37.165879505048409</v>
      </c>
      <c r="U32">
        <v>2494.4317275454473</v>
      </c>
      <c r="V32">
        <v>43.228766266845724</v>
      </c>
      <c r="W32">
        <v>0.10218941384126795</v>
      </c>
      <c r="X32">
        <v>1.6566123012295427E-2</v>
      </c>
      <c r="Y32">
        <v>0.77092616726626317</v>
      </c>
      <c r="Z32">
        <v>12.079742587903821</v>
      </c>
      <c r="AA32">
        <v>0.28465729472032197</v>
      </c>
      <c r="AB32">
        <v>0.62773855772229836</v>
      </c>
    </row>
    <row r="33" spans="1:28" x14ac:dyDescent="0.25">
      <c r="A33">
        <v>2011</v>
      </c>
      <c r="B33" t="s">
        <v>374</v>
      </c>
      <c r="C33" t="s">
        <v>375</v>
      </c>
      <c r="D33">
        <v>103</v>
      </c>
      <c r="E33">
        <v>8</v>
      </c>
      <c r="F33" t="s">
        <v>383</v>
      </c>
      <c r="G33">
        <v>1</v>
      </c>
      <c r="H33">
        <v>0</v>
      </c>
      <c r="I33" t="s">
        <v>10</v>
      </c>
      <c r="J33">
        <v>6</v>
      </c>
      <c r="K33">
        <v>47.332999999999998</v>
      </c>
      <c r="L33">
        <v>0.84199999999999997</v>
      </c>
      <c r="M33">
        <v>6.3372732479239038E-2</v>
      </c>
      <c r="N33">
        <v>19.931634333041242</v>
      </c>
      <c r="O33">
        <v>0.10667807243872411</v>
      </c>
      <c r="P33">
        <v>3122.0222905324713</v>
      </c>
      <c r="Q33">
        <v>190.12486190126259</v>
      </c>
      <c r="R33">
        <v>951.29454928937639</v>
      </c>
      <c r="S33">
        <v>114.48854640566728</v>
      </c>
      <c r="T33">
        <v>32.015904448511563</v>
      </c>
      <c r="U33">
        <v>1799.7729278638931</v>
      </c>
      <c r="V33">
        <v>0</v>
      </c>
      <c r="W33">
        <v>7.5787327827710305E-2</v>
      </c>
      <c r="X33">
        <v>4.0562885676360879E-4</v>
      </c>
      <c r="Y33">
        <v>0.79911687733973269</v>
      </c>
      <c r="Z33">
        <v>11.871065004728125</v>
      </c>
      <c r="AA33">
        <v>0.43532712139819779</v>
      </c>
      <c r="AB33">
        <v>3.6171680988644357</v>
      </c>
    </row>
    <row r="34" spans="1:28" x14ac:dyDescent="0.25">
      <c r="A34">
        <v>2011</v>
      </c>
      <c r="B34" t="s">
        <v>374</v>
      </c>
      <c r="C34" t="s">
        <v>375</v>
      </c>
      <c r="D34">
        <v>103</v>
      </c>
      <c r="E34">
        <v>8</v>
      </c>
      <c r="F34" t="s">
        <v>383</v>
      </c>
      <c r="G34">
        <v>1</v>
      </c>
      <c r="H34">
        <v>0</v>
      </c>
      <c r="I34" t="s">
        <v>11</v>
      </c>
      <c r="J34">
        <v>9.25</v>
      </c>
      <c r="K34">
        <v>47.8</v>
      </c>
      <c r="L34">
        <v>0.76200000000000001</v>
      </c>
      <c r="M34">
        <v>7.3518861251766654E-2</v>
      </c>
      <c r="N34">
        <v>19.046272842121255</v>
      </c>
      <c r="O34">
        <v>2.5634475660126306</v>
      </c>
      <c r="P34">
        <v>2971.9615354800108</v>
      </c>
      <c r="Q34">
        <v>186.48465198579694</v>
      </c>
      <c r="R34">
        <v>-384.22590097415878</v>
      </c>
      <c r="S34">
        <v>-13.508339024198307</v>
      </c>
      <c r="T34">
        <v>51.819769353307727</v>
      </c>
      <c r="U34">
        <v>3250.6364502468628</v>
      </c>
      <c r="V34">
        <v>77.886167644015188</v>
      </c>
      <c r="W34">
        <v>0.12952407686599635</v>
      </c>
      <c r="X34">
        <v>1.7432711498697191E-2</v>
      </c>
      <c r="Y34">
        <v>1.4151446694455145</v>
      </c>
      <c r="Z34">
        <v>20.210808568960161</v>
      </c>
      <c r="AA34">
        <v>0</v>
      </c>
      <c r="AB34">
        <v>0</v>
      </c>
    </row>
    <row r="35" spans="1:28" x14ac:dyDescent="0.25">
      <c r="A35">
        <v>2011</v>
      </c>
      <c r="B35" t="s">
        <v>374</v>
      </c>
      <c r="C35" t="s">
        <v>375</v>
      </c>
      <c r="D35">
        <v>103</v>
      </c>
      <c r="E35">
        <v>8</v>
      </c>
      <c r="F35" t="s">
        <v>383</v>
      </c>
      <c r="G35">
        <v>1</v>
      </c>
      <c r="H35">
        <v>0</v>
      </c>
      <c r="I35" t="s">
        <v>12</v>
      </c>
      <c r="J35">
        <v>4</v>
      </c>
      <c r="K35">
        <v>45.631</v>
      </c>
      <c r="L35">
        <v>1.0109999999999999</v>
      </c>
      <c r="M35">
        <v>6.9048496990081504E-2</v>
      </c>
      <c r="N35">
        <v>19.782225179688389</v>
      </c>
      <c r="O35">
        <v>0.43421136782756603</v>
      </c>
      <c r="P35">
        <v>3270.0726324265779</v>
      </c>
      <c r="Q35">
        <v>179.80804632801903</v>
      </c>
      <c r="R35">
        <v>-741.93422896890024</v>
      </c>
      <c r="S35">
        <v>19.70948638011123</v>
      </c>
      <c r="T35">
        <v>27.923212182788959</v>
      </c>
      <c r="U35">
        <v>1260.3007864617634</v>
      </c>
      <c r="V35">
        <v>59.544064666525387</v>
      </c>
      <c r="W35">
        <v>5.463731663107313E-2</v>
      </c>
      <c r="X35">
        <v>1.1992656929800346E-3</v>
      </c>
      <c r="Y35">
        <v>0.55245559615095952</v>
      </c>
      <c r="Z35">
        <v>9.0317440126981783</v>
      </c>
      <c r="AA35">
        <v>5.4436416439726507E-2</v>
      </c>
      <c r="AB35">
        <v>0</v>
      </c>
    </row>
    <row r="36" spans="1:28" x14ac:dyDescent="0.25">
      <c r="A36">
        <v>2011</v>
      </c>
      <c r="B36" t="s">
        <v>374</v>
      </c>
      <c r="C36" t="s">
        <v>375</v>
      </c>
      <c r="D36">
        <v>103</v>
      </c>
      <c r="E36">
        <v>10</v>
      </c>
      <c r="F36" t="s">
        <v>383</v>
      </c>
      <c r="G36">
        <v>0</v>
      </c>
      <c r="H36">
        <v>0</v>
      </c>
      <c r="I36" t="s">
        <v>10</v>
      </c>
      <c r="J36">
        <v>4.75</v>
      </c>
      <c r="K36">
        <v>46.197000000000003</v>
      </c>
      <c r="L36">
        <v>1.0720000000000001</v>
      </c>
      <c r="M36">
        <v>7.57284057338036E-2</v>
      </c>
      <c r="N36">
        <v>25.829474658953814</v>
      </c>
      <c r="O36">
        <v>0.41157539753208527</v>
      </c>
      <c r="P36">
        <v>2162.9372595984078</v>
      </c>
      <c r="Q36">
        <v>224.09407765216821</v>
      </c>
      <c r="R36">
        <v>-1111.0747970527825</v>
      </c>
      <c r="S36">
        <v>-128.02398427412135</v>
      </c>
      <c r="T36">
        <v>38.560904199652796</v>
      </c>
      <c r="U36">
        <v>1661.7519508501496</v>
      </c>
      <c r="V36">
        <v>0</v>
      </c>
      <c r="W36">
        <v>9.2911184501051999E-2</v>
      </c>
      <c r="X36">
        <v>1.48047756298216E-3</v>
      </c>
      <c r="Y36">
        <v>0.90048030572586368</v>
      </c>
      <c r="Z36">
        <v>7.7803000426524012</v>
      </c>
      <c r="AA36">
        <v>0</v>
      </c>
      <c r="AB36">
        <v>0</v>
      </c>
    </row>
    <row r="37" spans="1:28" x14ac:dyDescent="0.25">
      <c r="A37">
        <v>2011</v>
      </c>
      <c r="B37" t="s">
        <v>374</v>
      </c>
      <c r="C37" t="s">
        <v>375</v>
      </c>
      <c r="D37">
        <v>103</v>
      </c>
      <c r="E37">
        <v>10</v>
      </c>
      <c r="F37" t="s">
        <v>383</v>
      </c>
      <c r="G37">
        <v>0</v>
      </c>
      <c r="H37">
        <v>0</v>
      </c>
      <c r="I37" t="s">
        <v>11</v>
      </c>
      <c r="J37">
        <v>7.5</v>
      </c>
      <c r="K37">
        <v>43.35</v>
      </c>
      <c r="L37">
        <v>1.41</v>
      </c>
      <c r="M37">
        <v>9.9776812352837155E-2</v>
      </c>
      <c r="N37">
        <v>22.319129216376961</v>
      </c>
      <c r="O37">
        <v>0.18549104009168838</v>
      </c>
      <c r="P37">
        <v>2285.2682283181566</v>
      </c>
      <c r="Q37">
        <v>140.53697960945226</v>
      </c>
      <c r="R37">
        <v>379.42774702701081</v>
      </c>
      <c r="S37">
        <v>70.097756972010671</v>
      </c>
      <c r="T37">
        <v>105.51397906312529</v>
      </c>
      <c r="U37">
        <v>3243.9936116216186</v>
      </c>
      <c r="V37">
        <v>23.969744942832012</v>
      </c>
      <c r="W37">
        <v>0.16701986757758772</v>
      </c>
      <c r="X37">
        <v>1.3880778525270738E-3</v>
      </c>
      <c r="Y37">
        <v>1.1963148616787123</v>
      </c>
      <c r="Z37">
        <v>17.1012584394601</v>
      </c>
      <c r="AA37">
        <v>0.52455980578133188</v>
      </c>
      <c r="AB37">
        <v>2.8393568337430368</v>
      </c>
    </row>
    <row r="38" spans="1:28" x14ac:dyDescent="0.25">
      <c r="A38">
        <v>2011</v>
      </c>
      <c r="B38" t="s">
        <v>374</v>
      </c>
      <c r="C38" t="s">
        <v>376</v>
      </c>
      <c r="D38">
        <v>101</v>
      </c>
      <c r="E38">
        <v>2</v>
      </c>
      <c r="F38" t="s">
        <v>383</v>
      </c>
      <c r="G38">
        <v>0</v>
      </c>
      <c r="H38">
        <v>0</v>
      </c>
      <c r="I38" t="s">
        <v>10</v>
      </c>
      <c r="J38">
        <v>5.5</v>
      </c>
      <c r="K38">
        <v>22.963000000000001</v>
      </c>
      <c r="L38">
        <v>1.1160000000000001</v>
      </c>
      <c r="M38">
        <v>0.16935803954924211</v>
      </c>
      <c r="N38">
        <v>4.7836231150822073</v>
      </c>
      <c r="O38">
        <v>-6.0079320080077464E-2</v>
      </c>
      <c r="P38">
        <v>504.05242038681644</v>
      </c>
      <c r="Q38">
        <v>40.176503265610876</v>
      </c>
      <c r="R38">
        <v>342.23407317645768</v>
      </c>
      <c r="S38">
        <v>35.593183886236716</v>
      </c>
      <c r="T38">
        <v>103.95196467532482</v>
      </c>
      <c r="U38">
        <v>2138.9327641930859</v>
      </c>
      <c r="V38">
        <v>0</v>
      </c>
      <c r="W38">
        <v>4.4557976799201864E-2</v>
      </c>
      <c r="X38">
        <v>0</v>
      </c>
      <c r="Y38">
        <v>0.4182301170219771</v>
      </c>
      <c r="Z38">
        <v>4.6950931360718924</v>
      </c>
      <c r="AA38">
        <v>0.33153955143587988</v>
      </c>
      <c r="AB38">
        <v>3.1878050435064211</v>
      </c>
    </row>
    <row r="39" spans="1:28" x14ac:dyDescent="0.25">
      <c r="A39">
        <v>2011</v>
      </c>
      <c r="B39" t="s">
        <v>374</v>
      </c>
      <c r="C39" t="s">
        <v>376</v>
      </c>
      <c r="D39">
        <v>101</v>
      </c>
      <c r="E39">
        <v>4</v>
      </c>
      <c r="F39" t="s">
        <v>383</v>
      </c>
      <c r="G39">
        <v>0</v>
      </c>
      <c r="H39">
        <v>0</v>
      </c>
      <c r="I39" t="s">
        <v>10</v>
      </c>
      <c r="J39">
        <v>4</v>
      </c>
      <c r="K39">
        <v>45.308999999999997</v>
      </c>
      <c r="L39">
        <v>1.4219999999999999</v>
      </c>
      <c r="M39">
        <v>8.5307834653447476E-2</v>
      </c>
      <c r="N39">
        <v>51.640875679097391</v>
      </c>
      <c r="O39">
        <v>1.8213835282598914</v>
      </c>
      <c r="P39">
        <v>1899.2931453488836</v>
      </c>
      <c r="Q39">
        <v>370.10476555746658</v>
      </c>
      <c r="R39">
        <v>340.15438290609063</v>
      </c>
      <c r="S39">
        <v>-9.9461710823690623</v>
      </c>
      <c r="T39">
        <v>48.52309635088092</v>
      </c>
      <c r="U39">
        <v>1546.0850721252207</v>
      </c>
      <c r="V39">
        <v>30.179815712848466</v>
      </c>
      <c r="W39">
        <v>0.17621485135166709</v>
      </c>
      <c r="X39">
        <v>6.2151313947723039E-3</v>
      </c>
      <c r="Y39">
        <v>1.4453434285316116</v>
      </c>
      <c r="Z39">
        <v>6.4809834240739495</v>
      </c>
      <c r="AA39">
        <v>0</v>
      </c>
      <c r="AB39">
        <v>1.1607133541439296</v>
      </c>
    </row>
    <row r="40" spans="1:28" x14ac:dyDescent="0.25">
      <c r="A40">
        <v>2011</v>
      </c>
      <c r="B40" t="s">
        <v>374</v>
      </c>
      <c r="C40" t="s">
        <v>376</v>
      </c>
      <c r="D40">
        <v>101</v>
      </c>
      <c r="E40">
        <v>4</v>
      </c>
      <c r="F40" t="s">
        <v>383</v>
      </c>
      <c r="G40">
        <v>0</v>
      </c>
      <c r="H40">
        <v>0</v>
      </c>
      <c r="I40" t="s">
        <v>11</v>
      </c>
      <c r="J40">
        <v>9.75</v>
      </c>
      <c r="K40">
        <v>38.945999999999998</v>
      </c>
      <c r="L40">
        <v>1.2729999999999999</v>
      </c>
      <c r="M40">
        <v>3.3999499697029444E-2</v>
      </c>
      <c r="N40">
        <v>24.865846790305834</v>
      </c>
      <c r="O40">
        <v>-2.0208317794570878E-2</v>
      </c>
      <c r="P40">
        <v>1178.4006589930625</v>
      </c>
      <c r="Q40">
        <v>173.37192033576213</v>
      </c>
      <c r="R40">
        <v>-235.37310831962589</v>
      </c>
      <c r="S40">
        <v>-21.358657028226077</v>
      </c>
      <c r="T40">
        <v>42.199329036460512</v>
      </c>
      <c r="U40">
        <v>1291.0409023204961</v>
      </c>
      <c r="V40">
        <v>0</v>
      </c>
      <c r="W40">
        <v>8.2429069165304916E-2</v>
      </c>
      <c r="X40">
        <v>0</v>
      </c>
      <c r="Y40">
        <v>0.65708153848816131</v>
      </c>
      <c r="Z40">
        <v>3.906340702720358</v>
      </c>
      <c r="AA40">
        <v>0</v>
      </c>
      <c r="AB40">
        <v>0</v>
      </c>
    </row>
    <row r="41" spans="1:28" x14ac:dyDescent="0.25">
      <c r="A41">
        <v>2011</v>
      </c>
      <c r="B41" t="s">
        <v>374</v>
      </c>
      <c r="C41" t="s">
        <v>376</v>
      </c>
      <c r="D41">
        <v>101</v>
      </c>
      <c r="E41">
        <v>6</v>
      </c>
      <c r="F41" t="s">
        <v>383</v>
      </c>
      <c r="G41">
        <v>0</v>
      </c>
      <c r="H41">
        <v>0</v>
      </c>
      <c r="I41" t="s">
        <v>10</v>
      </c>
      <c r="J41">
        <v>4.5</v>
      </c>
      <c r="K41">
        <v>46.13</v>
      </c>
      <c r="L41">
        <v>1.304</v>
      </c>
      <c r="M41">
        <v>7.4093088664790585E-2</v>
      </c>
      <c r="N41">
        <v>46.10506325700009</v>
      </c>
      <c r="O41">
        <v>5.160048126288121</v>
      </c>
      <c r="P41">
        <v>1798.0942295734428</v>
      </c>
      <c r="Q41">
        <v>314.2515798920947</v>
      </c>
      <c r="R41">
        <v>-2750.3576918908966</v>
      </c>
      <c r="S41">
        <v>-367.07793343419445</v>
      </c>
      <c r="T41">
        <v>43.477824428499119</v>
      </c>
      <c r="U41">
        <v>1538.0613810480556</v>
      </c>
      <c r="V41">
        <v>75.052162295330533</v>
      </c>
      <c r="W41">
        <v>0.1537229942908509</v>
      </c>
      <c r="X41">
        <v>1.7204575650104355E-2</v>
      </c>
      <c r="Y41">
        <v>1.2187017276807526</v>
      </c>
      <c r="Z41">
        <v>5.9951859830745047</v>
      </c>
      <c r="AA41">
        <v>0</v>
      </c>
      <c r="AB41">
        <v>0</v>
      </c>
    </row>
    <row r="42" spans="1:28" x14ac:dyDescent="0.25">
      <c r="A42">
        <v>2011</v>
      </c>
      <c r="B42" t="s">
        <v>374</v>
      </c>
      <c r="C42" t="s">
        <v>376</v>
      </c>
      <c r="D42">
        <v>101</v>
      </c>
      <c r="E42">
        <v>6</v>
      </c>
      <c r="F42" t="s">
        <v>383</v>
      </c>
      <c r="G42">
        <v>0</v>
      </c>
      <c r="H42">
        <v>0</v>
      </c>
      <c r="I42" t="s">
        <v>11</v>
      </c>
      <c r="J42">
        <v>10</v>
      </c>
      <c r="K42">
        <v>38.942999999999998</v>
      </c>
      <c r="L42">
        <v>1.522</v>
      </c>
      <c r="M42">
        <v>0.16643630970597084</v>
      </c>
      <c r="N42">
        <v>15.886409493850596</v>
      </c>
      <c r="O42">
        <v>-0.19008296331930746</v>
      </c>
      <c r="P42">
        <v>969.36524570205108</v>
      </c>
      <c r="Q42">
        <v>140.93474624030912</v>
      </c>
      <c r="R42">
        <v>-380.94779627001276</v>
      </c>
      <c r="S42">
        <v>-66.130336358758115</v>
      </c>
      <c r="T42">
        <v>253.31606337248766</v>
      </c>
      <c r="U42">
        <v>6481.5292088796232</v>
      </c>
      <c r="V42">
        <v>62.674547923684656</v>
      </c>
      <c r="W42">
        <v>0.26440753706343934</v>
      </c>
      <c r="X42">
        <v>0</v>
      </c>
      <c r="Y42">
        <v>2.6069097737266049</v>
      </c>
      <c r="Z42">
        <v>16.13375742518711</v>
      </c>
      <c r="AA42">
        <v>0</v>
      </c>
      <c r="AB42">
        <v>0</v>
      </c>
    </row>
    <row r="43" spans="1:28" x14ac:dyDescent="0.25">
      <c r="A43">
        <v>2011</v>
      </c>
      <c r="B43" t="s">
        <v>374</v>
      </c>
      <c r="C43" t="s">
        <v>376</v>
      </c>
      <c r="D43">
        <v>101</v>
      </c>
      <c r="E43">
        <v>6</v>
      </c>
      <c r="F43" t="s">
        <v>383</v>
      </c>
      <c r="G43">
        <v>0</v>
      </c>
      <c r="H43">
        <v>0</v>
      </c>
      <c r="I43" t="s">
        <v>12</v>
      </c>
      <c r="J43">
        <v>6</v>
      </c>
      <c r="K43">
        <v>38.283999999999999</v>
      </c>
      <c r="L43">
        <v>1.6279999999999999</v>
      </c>
      <c r="M43">
        <v>0.20605927767792054</v>
      </c>
      <c r="N43">
        <v>16.199694493716013</v>
      </c>
      <c r="O43">
        <v>1.417873627347942</v>
      </c>
      <c r="P43">
        <v>883.22676441216026</v>
      </c>
      <c r="Q43">
        <v>125.09317063785679</v>
      </c>
      <c r="R43">
        <v>-407.73801082640699</v>
      </c>
      <c r="S43">
        <v>-34.606125916054083</v>
      </c>
      <c r="T43">
        <v>201.27870243579278</v>
      </c>
      <c r="U43">
        <v>4733.2640319729062</v>
      </c>
      <c r="V43">
        <v>0</v>
      </c>
      <c r="W43">
        <v>0.2002858407586865</v>
      </c>
      <c r="X43">
        <v>1.7529960929393403E-2</v>
      </c>
      <c r="Y43">
        <v>1.7644123047327376</v>
      </c>
      <c r="Z43">
        <v>10.919824146034598</v>
      </c>
      <c r="AA43">
        <v>0</v>
      </c>
      <c r="AB43">
        <v>0</v>
      </c>
    </row>
    <row r="44" spans="1:28" x14ac:dyDescent="0.25">
      <c r="A44">
        <v>2011</v>
      </c>
      <c r="B44" t="s">
        <v>374</v>
      </c>
      <c r="C44" t="s">
        <v>376</v>
      </c>
      <c r="D44">
        <v>101</v>
      </c>
      <c r="E44">
        <v>8</v>
      </c>
      <c r="F44" t="s">
        <v>383</v>
      </c>
      <c r="G44">
        <v>1</v>
      </c>
      <c r="H44">
        <v>0</v>
      </c>
      <c r="I44" t="s">
        <v>10</v>
      </c>
      <c r="J44">
        <v>5.75</v>
      </c>
      <c r="K44">
        <v>46.186</v>
      </c>
      <c r="L44">
        <v>0.69</v>
      </c>
      <c r="M44">
        <v>3.3881582996353549E-2</v>
      </c>
      <c r="N44">
        <v>104.50233318683946</v>
      </c>
      <c r="O44">
        <v>-9.0934205070034205E-2</v>
      </c>
      <c r="P44">
        <v>6320.3737449418486</v>
      </c>
      <c r="Q44">
        <v>817.72952581456457</v>
      </c>
      <c r="R44">
        <v>9598.2839688539934</v>
      </c>
      <c r="S44">
        <v>1194.1816639789406</v>
      </c>
      <c r="T44">
        <v>13.442518053803269</v>
      </c>
      <c r="U44">
        <v>899.79150555501144</v>
      </c>
      <c r="V44">
        <v>0</v>
      </c>
      <c r="W44">
        <v>0.20359050732299339</v>
      </c>
      <c r="X44">
        <v>0</v>
      </c>
      <c r="Y44">
        <v>1.7965066709747197</v>
      </c>
      <c r="Z44">
        <v>12.313295387415215</v>
      </c>
      <c r="AA44">
        <v>2.3264939967474989</v>
      </c>
      <c r="AB44">
        <v>18.699290657514538</v>
      </c>
    </row>
    <row r="45" spans="1:28" x14ac:dyDescent="0.25">
      <c r="A45">
        <v>2011</v>
      </c>
      <c r="B45" t="s">
        <v>374</v>
      </c>
      <c r="C45" t="s">
        <v>376</v>
      </c>
      <c r="D45">
        <v>101</v>
      </c>
      <c r="E45">
        <v>8</v>
      </c>
      <c r="F45" t="s">
        <v>383</v>
      </c>
      <c r="G45">
        <v>1</v>
      </c>
      <c r="H45">
        <v>0</v>
      </c>
      <c r="I45" t="s">
        <v>11</v>
      </c>
      <c r="J45">
        <v>9.75</v>
      </c>
      <c r="K45">
        <v>24.131</v>
      </c>
      <c r="L45">
        <v>0.52300000000000002</v>
      </c>
      <c r="M45">
        <v>0.11546432209037463</v>
      </c>
      <c r="N45">
        <v>7.777678272526205</v>
      </c>
      <c r="O45">
        <v>7.8079249792567029E-2</v>
      </c>
      <c r="P45">
        <v>600.95563798298667</v>
      </c>
      <c r="Q45">
        <v>82.623323682686234</v>
      </c>
      <c r="R45">
        <v>-138.05662545663955</v>
      </c>
      <c r="S45">
        <v>-41.190249699378363</v>
      </c>
      <c r="T45">
        <v>58.878144441934296</v>
      </c>
      <c r="U45">
        <v>2716.6128174537598</v>
      </c>
      <c r="V45">
        <v>0</v>
      </c>
      <c r="W45">
        <v>8.7559324044491738E-2</v>
      </c>
      <c r="X45">
        <v>8.7899834554581828E-4</v>
      </c>
      <c r="Y45">
        <v>1.0185928130328463</v>
      </c>
      <c r="Z45">
        <v>6.765421196244179</v>
      </c>
      <c r="AA45">
        <v>0</v>
      </c>
      <c r="AB45">
        <v>0</v>
      </c>
    </row>
    <row r="46" spans="1:28" x14ac:dyDescent="0.25">
      <c r="A46">
        <v>2011</v>
      </c>
      <c r="B46" t="s">
        <v>374</v>
      </c>
      <c r="C46" t="s">
        <v>376</v>
      </c>
      <c r="D46">
        <v>101</v>
      </c>
      <c r="E46">
        <v>10</v>
      </c>
      <c r="F46" t="s">
        <v>383</v>
      </c>
      <c r="G46">
        <v>0</v>
      </c>
      <c r="H46">
        <v>0</v>
      </c>
      <c r="I46" t="s">
        <v>10</v>
      </c>
      <c r="J46">
        <v>5.75</v>
      </c>
      <c r="K46">
        <v>43.947000000000003</v>
      </c>
      <c r="L46">
        <v>1.1990000000000001</v>
      </c>
      <c r="M46">
        <v>0.1017637381157756</v>
      </c>
      <c r="N46">
        <v>40.203910741047146</v>
      </c>
      <c r="O46">
        <v>0.14288261319321607</v>
      </c>
      <c r="P46">
        <v>2268.4823198728072</v>
      </c>
      <c r="Q46">
        <v>337.58525857051325</v>
      </c>
      <c r="R46">
        <v>538.12818778339488</v>
      </c>
      <c r="S46">
        <v>126.80918809789358</v>
      </c>
      <c r="T46">
        <v>70.158465150468601</v>
      </c>
      <c r="U46">
        <v>2571.5213244100451</v>
      </c>
      <c r="V46">
        <v>99.708499799184068</v>
      </c>
      <c r="W46">
        <v>0.23524976402321154</v>
      </c>
      <c r="X46">
        <v>8.3606545774179606E-4</v>
      </c>
      <c r="Y46">
        <v>2.2114372555636295</v>
      </c>
      <c r="Z46">
        <v>13.273831341388698</v>
      </c>
      <c r="AA46">
        <v>0.74201317797541988</v>
      </c>
      <c r="AB46">
        <v>3.1488113185226134</v>
      </c>
    </row>
    <row r="47" spans="1:28" x14ac:dyDescent="0.25">
      <c r="A47">
        <v>2011</v>
      </c>
      <c r="B47" t="s">
        <v>374</v>
      </c>
      <c r="C47" t="s">
        <v>376</v>
      </c>
      <c r="D47">
        <v>114</v>
      </c>
      <c r="E47">
        <v>2</v>
      </c>
      <c r="F47" t="s">
        <v>383</v>
      </c>
      <c r="G47">
        <v>0</v>
      </c>
      <c r="H47">
        <v>0</v>
      </c>
      <c r="I47" t="s">
        <v>10</v>
      </c>
      <c r="J47">
        <v>5</v>
      </c>
      <c r="K47">
        <v>45.84</v>
      </c>
      <c r="L47">
        <v>2.0449999999999999</v>
      </c>
      <c r="M47">
        <v>0.15357719418384186</v>
      </c>
      <c r="N47">
        <v>28.99246621151379</v>
      </c>
      <c r="O47">
        <v>2.4988931257349668E-2</v>
      </c>
      <c r="P47">
        <v>1469.9144022078426</v>
      </c>
      <c r="Q47">
        <v>226.51031547038764</v>
      </c>
      <c r="R47">
        <v>167.24344884692437</v>
      </c>
      <c r="S47">
        <v>23.157640238910204</v>
      </c>
      <c r="T47">
        <v>157.03268105297829</v>
      </c>
      <c r="U47">
        <v>3519.9892906936557</v>
      </c>
      <c r="V47">
        <v>0</v>
      </c>
      <c r="W47">
        <v>0.22262908066170636</v>
      </c>
      <c r="X47">
        <v>1.9188649740783326E-4</v>
      </c>
      <c r="Y47">
        <v>1.9621619023410644</v>
      </c>
      <c r="Z47">
        <v>11.287266479074983</v>
      </c>
      <c r="AA47">
        <v>0.17782427059053313</v>
      </c>
      <c r="AB47">
        <v>1.2842389809769765</v>
      </c>
    </row>
    <row r="48" spans="1:28" x14ac:dyDescent="0.25">
      <c r="A48">
        <v>2011</v>
      </c>
      <c r="B48" t="s">
        <v>374</v>
      </c>
      <c r="C48" t="s">
        <v>376</v>
      </c>
      <c r="D48">
        <v>114</v>
      </c>
      <c r="E48">
        <v>2</v>
      </c>
      <c r="F48" t="s">
        <v>383</v>
      </c>
      <c r="G48">
        <v>0</v>
      </c>
      <c r="H48">
        <v>0</v>
      </c>
      <c r="I48" t="s">
        <v>11</v>
      </c>
      <c r="J48">
        <v>3.5</v>
      </c>
      <c r="K48">
        <v>43.287999999999997</v>
      </c>
      <c r="L48">
        <v>2.105</v>
      </c>
      <c r="M48">
        <v>0.13548927743991984</v>
      </c>
      <c r="N48">
        <v>20.795082983141089</v>
      </c>
      <c r="O48">
        <v>7.7048916093225852</v>
      </c>
      <c r="P48">
        <v>887.15360599634414</v>
      </c>
      <c r="Q48">
        <v>120.90976192428059</v>
      </c>
      <c r="R48">
        <v>-348.86170663675387</v>
      </c>
      <c r="S48">
        <v>-36.685881655599999</v>
      </c>
      <c r="T48">
        <v>99.821725153860939</v>
      </c>
      <c r="U48">
        <v>2052.7709446367371</v>
      </c>
      <c r="V48">
        <v>0</v>
      </c>
      <c r="W48">
        <v>9.8612876869113575E-2</v>
      </c>
      <c r="X48">
        <v>3.6537556891500643E-2</v>
      </c>
      <c r="Y48">
        <v>0.70851960350998699</v>
      </c>
      <c r="Z48">
        <v>4.2069930369132402</v>
      </c>
      <c r="AA48">
        <v>0</v>
      </c>
      <c r="AB48">
        <v>0</v>
      </c>
    </row>
    <row r="49" spans="1:28" x14ac:dyDescent="0.25">
      <c r="A49">
        <v>2011</v>
      </c>
      <c r="B49" t="s">
        <v>374</v>
      </c>
      <c r="C49" t="s">
        <v>376</v>
      </c>
      <c r="D49">
        <v>114</v>
      </c>
      <c r="E49">
        <v>4</v>
      </c>
      <c r="F49" t="s">
        <v>383</v>
      </c>
      <c r="G49">
        <v>0</v>
      </c>
      <c r="H49">
        <v>0</v>
      </c>
      <c r="I49" t="s">
        <v>10</v>
      </c>
      <c r="J49">
        <v>5.25</v>
      </c>
      <c r="K49">
        <v>43.655000000000001</v>
      </c>
      <c r="L49">
        <v>1.0509999999999999</v>
      </c>
      <c r="M49">
        <v>4.93292297720083E-2</v>
      </c>
      <c r="N49">
        <v>35.137192425745241</v>
      </c>
      <c r="O49">
        <v>6.4295619922587086</v>
      </c>
      <c r="P49">
        <v>2237.9265324931621</v>
      </c>
      <c r="Q49">
        <v>266.62206329525924</v>
      </c>
      <c r="R49">
        <v>1994.9979286602302</v>
      </c>
      <c r="S49">
        <v>45.75157715841101</v>
      </c>
      <c r="T49">
        <v>27.218635757449874</v>
      </c>
      <c r="U49">
        <v>1130.5704509909365</v>
      </c>
      <c r="V49">
        <v>11.883205128205129</v>
      </c>
      <c r="W49">
        <v>9.0997758532424963E-2</v>
      </c>
      <c r="X49">
        <v>1.6651180394598817E-2</v>
      </c>
      <c r="Y49">
        <v>0.79814264261240997</v>
      </c>
      <c r="Z49">
        <v>5.7957475870470221</v>
      </c>
      <c r="AA49">
        <v>0.11848672825914872</v>
      </c>
      <c r="AB49">
        <v>5.1666148389219586</v>
      </c>
    </row>
    <row r="50" spans="1:28" x14ac:dyDescent="0.25">
      <c r="A50">
        <v>2011</v>
      </c>
      <c r="B50" t="s">
        <v>374</v>
      </c>
      <c r="C50" t="s">
        <v>376</v>
      </c>
      <c r="D50">
        <v>114</v>
      </c>
      <c r="E50">
        <v>4</v>
      </c>
      <c r="F50" t="s">
        <v>383</v>
      </c>
      <c r="G50">
        <v>0</v>
      </c>
      <c r="H50">
        <v>0</v>
      </c>
      <c r="I50" t="s">
        <v>11</v>
      </c>
      <c r="J50">
        <v>9.5</v>
      </c>
      <c r="K50">
        <v>44.283999999999999</v>
      </c>
      <c r="L50">
        <v>1.224</v>
      </c>
      <c r="M50">
        <v>8.2379231878851739E-2</v>
      </c>
      <c r="N50">
        <v>31.841707364029979</v>
      </c>
      <c r="O50">
        <v>-0.11401580924999354</v>
      </c>
      <c r="P50">
        <v>1926.2590904797385</v>
      </c>
      <c r="Q50">
        <v>270.92390289013861</v>
      </c>
      <c r="R50">
        <v>2051.3517896426533</v>
      </c>
      <c r="S50">
        <v>13.919811755890237</v>
      </c>
      <c r="T50">
        <v>95.790570828728789</v>
      </c>
      <c r="U50">
        <v>3465.6778092969171</v>
      </c>
      <c r="V50">
        <v>45.411518324607329</v>
      </c>
      <c r="W50">
        <v>0.24919406246419684</v>
      </c>
      <c r="X50">
        <v>0</v>
      </c>
      <c r="Y50">
        <v>2.3685595583418042</v>
      </c>
      <c r="Z50">
        <v>15.07495570597076</v>
      </c>
      <c r="AA50">
        <v>0.10893682303310258</v>
      </c>
      <c r="AB50">
        <v>16.053934550686613</v>
      </c>
    </row>
    <row r="51" spans="1:28" x14ac:dyDescent="0.25">
      <c r="A51">
        <v>2011</v>
      </c>
      <c r="B51" t="s">
        <v>374</v>
      </c>
      <c r="C51" t="s">
        <v>376</v>
      </c>
      <c r="D51">
        <v>114</v>
      </c>
      <c r="E51">
        <v>4</v>
      </c>
      <c r="F51" t="s">
        <v>383</v>
      </c>
      <c r="G51">
        <v>0</v>
      </c>
      <c r="H51">
        <v>0</v>
      </c>
      <c r="I51" t="s">
        <v>12</v>
      </c>
      <c r="J51">
        <v>3.5</v>
      </c>
      <c r="K51">
        <v>44.237000000000002</v>
      </c>
      <c r="L51">
        <v>1.5609999999999999</v>
      </c>
      <c r="M51">
        <v>9.0740602471445456E-2</v>
      </c>
      <c r="N51">
        <v>33.934277500984535</v>
      </c>
      <c r="O51">
        <v>1.6237775794047029</v>
      </c>
      <c r="P51">
        <v>1506.8177430257447</v>
      </c>
      <c r="Q51">
        <v>215.59358800583752</v>
      </c>
      <c r="R51">
        <v>-291.62343714216172</v>
      </c>
      <c r="S51">
        <v>-30.311820190201615</v>
      </c>
      <c r="T51">
        <v>49.576128160274223</v>
      </c>
      <c r="U51">
        <v>1404.9322110352666</v>
      </c>
      <c r="V51">
        <v>0</v>
      </c>
      <c r="W51">
        <v>0.10777258747053937</v>
      </c>
      <c r="X51">
        <v>5.1569894542182835E-3</v>
      </c>
      <c r="Y51">
        <v>0.79763779918681799</v>
      </c>
      <c r="Z51">
        <v>4.7855342435886916</v>
      </c>
      <c r="AA51">
        <v>0</v>
      </c>
      <c r="AB51">
        <v>0</v>
      </c>
    </row>
    <row r="52" spans="1:28" x14ac:dyDescent="0.25">
      <c r="A52">
        <v>2011</v>
      </c>
      <c r="B52" t="s">
        <v>374</v>
      </c>
      <c r="C52" t="s">
        <v>376</v>
      </c>
      <c r="D52">
        <v>114</v>
      </c>
      <c r="E52">
        <v>6</v>
      </c>
      <c r="F52" t="s">
        <v>383</v>
      </c>
      <c r="G52">
        <v>0</v>
      </c>
      <c r="H52">
        <v>0</v>
      </c>
      <c r="I52" t="s">
        <v>10</v>
      </c>
      <c r="J52">
        <v>3</v>
      </c>
      <c r="K52">
        <v>24.51</v>
      </c>
      <c r="L52">
        <v>0.94399999999999995</v>
      </c>
      <c r="M52">
        <v>0.1606534784411818</v>
      </c>
      <c r="N52">
        <v>24.636751552841396</v>
      </c>
      <c r="O52">
        <v>-1.9103904085713105E-2</v>
      </c>
      <c r="P52">
        <v>802.05999036499065</v>
      </c>
      <c r="Q52">
        <v>41.086117987817431</v>
      </c>
      <c r="R52">
        <v>847.18575378195942</v>
      </c>
      <c r="S52">
        <v>31.791469504149234</v>
      </c>
      <c r="T52">
        <v>45.497065094542677</v>
      </c>
      <c r="U52">
        <v>1181.2850269780099</v>
      </c>
      <c r="V52">
        <v>17.042551236099623</v>
      </c>
      <c r="W52">
        <v>0.11873939503365472</v>
      </c>
      <c r="X52">
        <v>0</v>
      </c>
      <c r="Y52">
        <v>0.31666615488598981</v>
      </c>
      <c r="Z52">
        <v>3.8656118211190948</v>
      </c>
      <c r="AA52">
        <v>0.15322230481794982</v>
      </c>
      <c r="AB52">
        <v>4.0831001469265917</v>
      </c>
    </row>
    <row r="53" spans="1:28" x14ac:dyDescent="0.25">
      <c r="A53">
        <v>2011</v>
      </c>
      <c r="B53" t="s">
        <v>374</v>
      </c>
      <c r="C53" t="s">
        <v>376</v>
      </c>
      <c r="D53">
        <v>114</v>
      </c>
      <c r="E53">
        <v>8</v>
      </c>
      <c r="F53" t="s">
        <v>383</v>
      </c>
      <c r="G53">
        <v>1</v>
      </c>
      <c r="H53">
        <v>0</v>
      </c>
      <c r="I53" t="s">
        <v>10</v>
      </c>
      <c r="J53">
        <v>9</v>
      </c>
      <c r="K53">
        <v>46.731999999999999</v>
      </c>
      <c r="L53">
        <v>0.877</v>
      </c>
      <c r="M53">
        <v>8.6605033509933857E-2</v>
      </c>
      <c r="N53">
        <v>14.930461579352182</v>
      </c>
      <c r="O53">
        <v>0.7148797062284028</v>
      </c>
      <c r="P53">
        <v>1876.6159390319153</v>
      </c>
      <c r="Q53">
        <v>191.41845748527248</v>
      </c>
      <c r="R53">
        <v>1855.7323581712139</v>
      </c>
      <c r="S53">
        <v>217.0156157374586</v>
      </c>
      <c r="T53">
        <v>68.357352949390787</v>
      </c>
      <c r="U53">
        <v>3642.5037833876063</v>
      </c>
      <c r="V53">
        <v>53.228944326800573</v>
      </c>
      <c r="W53">
        <v>0.11637478128587182</v>
      </c>
      <c r="X53">
        <v>5.5720962822134248E-3</v>
      </c>
      <c r="Y53">
        <v>1.6139490508119538</v>
      </c>
      <c r="Z53">
        <v>14.627194765662153</v>
      </c>
      <c r="AA53">
        <v>1.6915180205809379</v>
      </c>
      <c r="AB53">
        <v>14.464418675839793</v>
      </c>
    </row>
    <row r="54" spans="1:28" x14ac:dyDescent="0.25">
      <c r="A54">
        <v>2011</v>
      </c>
      <c r="B54" t="s">
        <v>374</v>
      </c>
      <c r="C54" t="s">
        <v>376</v>
      </c>
      <c r="D54">
        <v>114</v>
      </c>
      <c r="E54">
        <v>10</v>
      </c>
      <c r="F54" t="s">
        <v>383</v>
      </c>
      <c r="G54">
        <v>1</v>
      </c>
      <c r="H54">
        <v>0</v>
      </c>
      <c r="I54" t="s">
        <v>10</v>
      </c>
      <c r="J54">
        <v>4.75</v>
      </c>
      <c r="K54">
        <v>46.265999999999998</v>
      </c>
      <c r="L54">
        <v>0.70599999999999996</v>
      </c>
      <c r="M54">
        <v>8.0115907319137092E-2</v>
      </c>
      <c r="N54">
        <v>23.304048583297416</v>
      </c>
      <c r="O54">
        <v>1.3188680849464409</v>
      </c>
      <c r="P54">
        <v>2499.7352499341</v>
      </c>
      <c r="Q54">
        <v>177.63723766125807</v>
      </c>
      <c r="R54">
        <v>4123.4965926726891</v>
      </c>
      <c r="S54">
        <v>222.94922342734355</v>
      </c>
      <c r="T54">
        <v>26.866869519472623</v>
      </c>
      <c r="U54">
        <v>1760.6552198129182</v>
      </c>
      <c r="V54">
        <v>0</v>
      </c>
      <c r="W54">
        <v>8.8683687331855873E-2</v>
      </c>
      <c r="X54">
        <v>5.0189598798375023E-3</v>
      </c>
      <c r="Y54">
        <v>0.76970214948429516</v>
      </c>
      <c r="Z54">
        <v>9.5127564862897671</v>
      </c>
      <c r="AA54">
        <v>0.84843451774648559</v>
      </c>
      <c r="AB54">
        <v>15.691989365343781</v>
      </c>
    </row>
    <row r="55" spans="1:28" x14ac:dyDescent="0.25">
      <c r="A55">
        <v>2011</v>
      </c>
      <c r="B55" t="s">
        <v>374</v>
      </c>
      <c r="C55" t="s">
        <v>376</v>
      </c>
      <c r="D55">
        <v>114</v>
      </c>
      <c r="E55">
        <v>10</v>
      </c>
      <c r="F55" t="s">
        <v>383</v>
      </c>
      <c r="G55">
        <v>1</v>
      </c>
      <c r="H55">
        <v>0</v>
      </c>
      <c r="I55" t="s">
        <v>11</v>
      </c>
      <c r="J55">
        <v>6</v>
      </c>
      <c r="K55">
        <v>45.351999999999997</v>
      </c>
      <c r="L55">
        <v>1.1719999999999999</v>
      </c>
      <c r="M55">
        <v>5.8628698072624087E-2</v>
      </c>
      <c r="N55">
        <v>25.796170083511935</v>
      </c>
      <c r="O55">
        <v>-2.6959944234727248E-2</v>
      </c>
      <c r="P55">
        <v>1553.8677011698669</v>
      </c>
      <c r="Q55">
        <v>303.28023810741723</v>
      </c>
      <c r="R55">
        <v>2473.4434251378343</v>
      </c>
      <c r="S55">
        <v>176.46032954041527</v>
      </c>
      <c r="T55">
        <v>41.227700484669263</v>
      </c>
      <c r="U55">
        <v>1595.3572289937886</v>
      </c>
      <c r="V55">
        <v>36.42571210017438</v>
      </c>
      <c r="W55">
        <v>9.0743752035376768E-2</v>
      </c>
      <c r="X55">
        <v>0</v>
      </c>
      <c r="Y55">
        <v>1.1575044451331398</v>
      </c>
      <c r="Z55">
        <v>5.4660744178014351</v>
      </c>
      <c r="AA55">
        <v>0.62073836294524543</v>
      </c>
      <c r="AB55">
        <v>8.7008860663273957</v>
      </c>
    </row>
    <row r="56" spans="1:28" x14ac:dyDescent="0.25">
      <c r="A56">
        <v>2011</v>
      </c>
      <c r="B56" t="s">
        <v>374</v>
      </c>
      <c r="C56" t="s">
        <v>376</v>
      </c>
      <c r="D56">
        <v>114</v>
      </c>
      <c r="E56">
        <v>10</v>
      </c>
      <c r="F56" t="s">
        <v>383</v>
      </c>
      <c r="G56">
        <v>1</v>
      </c>
      <c r="H56">
        <v>0</v>
      </c>
      <c r="I56" t="s">
        <v>12</v>
      </c>
      <c r="J56">
        <v>5.75</v>
      </c>
      <c r="K56">
        <v>42.241</v>
      </c>
      <c r="L56">
        <v>1.6539999999999999</v>
      </c>
      <c r="M56">
        <v>0.17100305234137292</v>
      </c>
      <c r="N56">
        <v>12.534413210139386</v>
      </c>
      <c r="O56">
        <v>0.15368526791526574</v>
      </c>
      <c r="P56">
        <v>902.3422717079734</v>
      </c>
      <c r="Q56">
        <v>125.90528039234363</v>
      </c>
      <c r="R56">
        <v>206.19455632885501</v>
      </c>
      <c r="S56">
        <v>-5.8652232422426209</v>
      </c>
      <c r="T56">
        <v>162.63245292926271</v>
      </c>
      <c r="U56">
        <v>4153.4204620223618</v>
      </c>
      <c r="V56">
        <v>2.0590208380464818</v>
      </c>
      <c r="W56">
        <v>0.12324681779890703</v>
      </c>
      <c r="X56">
        <v>1.511137370021196E-3</v>
      </c>
      <c r="Y56">
        <v>1.3627437222156908</v>
      </c>
      <c r="Z56">
        <v>8.8724387563259359</v>
      </c>
      <c r="AA56">
        <v>0</v>
      </c>
      <c r="AB56">
        <v>2.0274441642335383</v>
      </c>
    </row>
    <row r="57" spans="1:28" x14ac:dyDescent="0.25">
      <c r="A57">
        <v>2011</v>
      </c>
      <c r="B57" t="s">
        <v>374</v>
      </c>
      <c r="C57" t="s">
        <v>13</v>
      </c>
      <c r="D57">
        <v>109</v>
      </c>
      <c r="E57">
        <v>2</v>
      </c>
      <c r="F57" t="s">
        <v>383</v>
      </c>
      <c r="G57">
        <v>0</v>
      </c>
      <c r="H57">
        <v>0</v>
      </c>
      <c r="I57" t="s">
        <v>10</v>
      </c>
      <c r="J57">
        <v>3.75</v>
      </c>
      <c r="K57">
        <v>46.289000000000001</v>
      </c>
      <c r="L57">
        <v>0.67200000000000004</v>
      </c>
      <c r="M57">
        <v>3.9624167484083782E-2</v>
      </c>
      <c r="N57">
        <v>44.186376979943915</v>
      </c>
      <c r="O57">
        <v>-0.31975954007749552</v>
      </c>
      <c r="P57">
        <v>6566.0614493052981</v>
      </c>
      <c r="Q57">
        <v>260.42218581395014</v>
      </c>
      <c r="R57">
        <v>2900.2402923801928</v>
      </c>
      <c r="S57">
        <v>237.13488752314726</v>
      </c>
      <c r="T57">
        <v>9.9852902059891129</v>
      </c>
      <c r="U57">
        <v>687.81115825153279</v>
      </c>
      <c r="V57">
        <v>0</v>
      </c>
      <c r="W57">
        <v>6.5656815073806066E-2</v>
      </c>
      <c r="X57">
        <v>0</v>
      </c>
      <c r="Y57">
        <v>0.45214464388727416</v>
      </c>
      <c r="Z57">
        <v>9.756551946677213</v>
      </c>
      <c r="AA57">
        <v>0.35236021873262086</v>
      </c>
      <c r="AB57">
        <v>4.3094852658510332</v>
      </c>
    </row>
    <row r="58" spans="1:28" x14ac:dyDescent="0.25">
      <c r="A58">
        <v>2011</v>
      </c>
      <c r="B58" t="s">
        <v>374</v>
      </c>
      <c r="C58" t="s">
        <v>13</v>
      </c>
      <c r="D58">
        <v>109</v>
      </c>
      <c r="E58">
        <v>2</v>
      </c>
      <c r="F58" t="s">
        <v>383</v>
      </c>
      <c r="G58">
        <v>0</v>
      </c>
      <c r="H58">
        <v>0</v>
      </c>
      <c r="I58" t="s">
        <v>11</v>
      </c>
      <c r="J58">
        <v>10</v>
      </c>
      <c r="K58">
        <v>45.375</v>
      </c>
      <c r="L58">
        <v>0.65500000000000003</v>
      </c>
      <c r="M58">
        <v>8.0605626414338494E-2</v>
      </c>
      <c r="N58">
        <v>16.223368787138845</v>
      </c>
      <c r="O58">
        <v>1.3683306591215623</v>
      </c>
      <c r="P58">
        <v>2438.1231983940497</v>
      </c>
      <c r="Q58">
        <v>181.57118855321167</v>
      </c>
      <c r="R58">
        <v>220.84749351318942</v>
      </c>
      <c r="S58">
        <v>25.283045461507214</v>
      </c>
      <c r="T58">
        <v>52.796685301391719</v>
      </c>
      <c r="U58">
        <v>3657.4802985506089</v>
      </c>
      <c r="V58">
        <v>0</v>
      </c>
      <c r="W58">
        <v>0.13076948036381533</v>
      </c>
      <c r="X58">
        <v>1.1029514992043821E-2</v>
      </c>
      <c r="Y58">
        <v>1.6053649345686185</v>
      </c>
      <c r="Z58">
        <v>19.652644768188289</v>
      </c>
      <c r="AA58">
        <v>0.20379557170869869</v>
      </c>
      <c r="AB58">
        <v>1.7801550556667192</v>
      </c>
    </row>
    <row r="59" spans="1:28" x14ac:dyDescent="0.25">
      <c r="A59">
        <v>2011</v>
      </c>
      <c r="B59" t="s">
        <v>374</v>
      </c>
      <c r="C59" t="s">
        <v>13</v>
      </c>
      <c r="D59">
        <v>109</v>
      </c>
      <c r="E59">
        <v>2</v>
      </c>
      <c r="F59" t="s">
        <v>383</v>
      </c>
      <c r="G59">
        <v>0</v>
      </c>
      <c r="H59">
        <v>0</v>
      </c>
      <c r="I59" t="s">
        <v>12</v>
      </c>
      <c r="J59">
        <v>4.75</v>
      </c>
      <c r="K59">
        <v>40.787999999999997</v>
      </c>
      <c r="L59">
        <v>0.93899999999999995</v>
      </c>
      <c r="M59">
        <v>8.5070179450291716E-2</v>
      </c>
      <c r="N59">
        <v>12.935983250846476</v>
      </c>
      <c r="O59">
        <v>2.1586474700310418</v>
      </c>
      <c r="P59">
        <v>980.74570473973984</v>
      </c>
      <c r="Q59">
        <v>118.48509923305846</v>
      </c>
      <c r="R59">
        <v>-173.53644236602088</v>
      </c>
      <c r="S59">
        <v>-35.126578461250986</v>
      </c>
      <c r="T59">
        <v>37.943426789316355</v>
      </c>
      <c r="U59">
        <v>1648.1751777237866</v>
      </c>
      <c r="V59">
        <v>155.29372900952487</v>
      </c>
      <c r="W59">
        <v>5.22721547844852E-2</v>
      </c>
      <c r="X59">
        <v>8.7227350631592995E-3</v>
      </c>
      <c r="Y59">
        <v>0.53977345090988493</v>
      </c>
      <c r="Z59">
        <v>3.9630301221223432</v>
      </c>
      <c r="AA59">
        <v>0</v>
      </c>
      <c r="AB59">
        <v>0</v>
      </c>
    </row>
    <row r="60" spans="1:28" x14ac:dyDescent="0.25">
      <c r="A60">
        <v>2011</v>
      </c>
      <c r="B60" t="s">
        <v>374</v>
      </c>
      <c r="C60" t="s">
        <v>13</v>
      </c>
      <c r="D60">
        <v>109</v>
      </c>
      <c r="E60">
        <v>4</v>
      </c>
      <c r="F60" t="s">
        <v>383</v>
      </c>
      <c r="G60">
        <v>0</v>
      </c>
      <c r="H60">
        <v>0</v>
      </c>
      <c r="I60" t="s">
        <v>10</v>
      </c>
      <c r="J60">
        <v>5.25</v>
      </c>
      <c r="K60">
        <v>34.902999999999999</v>
      </c>
      <c r="L60">
        <v>0.58099999999999996</v>
      </c>
      <c r="M60">
        <v>6.4015114846668608E-2</v>
      </c>
      <c r="N60">
        <v>19.631593855598322</v>
      </c>
      <c r="O60">
        <v>3.4263918721131934</v>
      </c>
      <c r="P60">
        <v>1814.10298504303</v>
      </c>
      <c r="Q60">
        <v>165.24476436476004</v>
      </c>
      <c r="R60">
        <v>753.98664451613195</v>
      </c>
      <c r="S60">
        <v>38.507051659060465</v>
      </c>
      <c r="T60">
        <v>19.52621040610509</v>
      </c>
      <c r="U60">
        <v>1173.0177655839691</v>
      </c>
      <c r="V60">
        <v>0</v>
      </c>
      <c r="W60">
        <v>6.5977733602687216E-2</v>
      </c>
      <c r="X60">
        <v>1.151539563315844E-2</v>
      </c>
      <c r="Y60">
        <v>0.63284666408843804</v>
      </c>
      <c r="Z60">
        <v>6.0968255738887311</v>
      </c>
      <c r="AA60">
        <v>0.12941425005397122</v>
      </c>
      <c r="AB60">
        <v>2.5339934361816101</v>
      </c>
    </row>
    <row r="61" spans="1:28" x14ac:dyDescent="0.25">
      <c r="A61">
        <v>2011</v>
      </c>
      <c r="B61" t="s">
        <v>374</v>
      </c>
      <c r="C61" t="s">
        <v>13</v>
      </c>
      <c r="D61">
        <v>109</v>
      </c>
      <c r="E61">
        <v>6</v>
      </c>
      <c r="F61" t="s">
        <v>383</v>
      </c>
      <c r="G61">
        <v>1</v>
      </c>
      <c r="H61">
        <v>0</v>
      </c>
      <c r="I61" t="s">
        <v>10</v>
      </c>
      <c r="J61">
        <v>5</v>
      </c>
      <c r="K61">
        <v>46.600999999999999</v>
      </c>
      <c r="L61">
        <v>0.622</v>
      </c>
      <c r="M61">
        <v>6.7877111252480832E-2</v>
      </c>
      <c r="N61">
        <v>46.475315453823022</v>
      </c>
      <c r="O61">
        <v>1.1637265507895336</v>
      </c>
      <c r="P61">
        <v>2325.854433323967</v>
      </c>
      <c r="Q61">
        <v>447.68369008332445</v>
      </c>
      <c r="R61">
        <v>4218.3181688941258</v>
      </c>
      <c r="S61">
        <v>682.73135727536192</v>
      </c>
      <c r="T61">
        <v>21.10978159952154</v>
      </c>
      <c r="U61">
        <v>1581.5706307384298</v>
      </c>
      <c r="V61">
        <v>0</v>
      </c>
      <c r="W61">
        <v>0.15773050787766432</v>
      </c>
      <c r="X61">
        <v>3.9495198277703482E-3</v>
      </c>
      <c r="Y61">
        <v>1.681053809590783</v>
      </c>
      <c r="Z61">
        <v>7.8936140063903339</v>
      </c>
      <c r="AA61">
        <v>2.317091614666849</v>
      </c>
      <c r="AB61">
        <v>14.316362582419391</v>
      </c>
    </row>
    <row r="62" spans="1:28" x14ac:dyDescent="0.25">
      <c r="A62">
        <v>2011</v>
      </c>
      <c r="B62" t="s">
        <v>374</v>
      </c>
      <c r="C62" t="s">
        <v>13</v>
      </c>
      <c r="D62">
        <v>109</v>
      </c>
      <c r="E62">
        <v>6</v>
      </c>
      <c r="F62" t="s">
        <v>383</v>
      </c>
      <c r="G62">
        <v>1</v>
      </c>
      <c r="H62">
        <v>0</v>
      </c>
      <c r="I62" t="s">
        <v>11</v>
      </c>
      <c r="J62">
        <v>10.25</v>
      </c>
      <c r="K62">
        <v>45.966000000000001</v>
      </c>
      <c r="L62">
        <v>1.1259999999999999</v>
      </c>
      <c r="M62">
        <v>7.1144855803838655E-2</v>
      </c>
      <c r="N62">
        <v>32.980924619085542</v>
      </c>
      <c r="O62">
        <v>0.74615933812087198</v>
      </c>
      <c r="P62">
        <v>2171.6748074240563</v>
      </c>
      <c r="Q62">
        <v>240.63979697260706</v>
      </c>
      <c r="R62">
        <v>1719.6502279543893</v>
      </c>
      <c r="S62">
        <v>89.234828025072375</v>
      </c>
      <c r="T62">
        <v>82.111835326000374</v>
      </c>
      <c r="U62">
        <v>3352.0005529262285</v>
      </c>
      <c r="V62">
        <v>55.579694357122854</v>
      </c>
      <c r="W62">
        <v>0.24050837044596662</v>
      </c>
      <c r="X62">
        <v>5.4412533480229551E-3</v>
      </c>
      <c r="Y62">
        <v>2.0007786985628062</v>
      </c>
      <c r="Z62">
        <v>15.836607830268893</v>
      </c>
      <c r="AA62">
        <v>0.65073139468372176</v>
      </c>
      <c r="AB62">
        <v>12.540287418837464</v>
      </c>
    </row>
    <row r="63" spans="1:28" x14ac:dyDescent="0.25">
      <c r="A63">
        <v>2011</v>
      </c>
      <c r="B63" t="s">
        <v>374</v>
      </c>
      <c r="C63" t="s">
        <v>13</v>
      </c>
      <c r="D63">
        <v>109</v>
      </c>
      <c r="E63">
        <v>6</v>
      </c>
      <c r="F63" t="s">
        <v>383</v>
      </c>
      <c r="G63">
        <v>1</v>
      </c>
      <c r="H63">
        <v>0</v>
      </c>
      <c r="I63" t="s">
        <v>12</v>
      </c>
      <c r="J63">
        <v>4</v>
      </c>
      <c r="K63">
        <v>44.131999999999998</v>
      </c>
      <c r="L63">
        <v>1.6240000000000001</v>
      </c>
      <c r="M63">
        <v>0.15664443337156236</v>
      </c>
      <c r="N63">
        <v>23.56639520549583</v>
      </c>
      <c r="O63">
        <v>5.6135653168478195</v>
      </c>
      <c r="P63">
        <v>1830.0171385398255</v>
      </c>
      <c r="Q63">
        <v>169.94490474040714</v>
      </c>
      <c r="R63">
        <v>-651.19583325409553</v>
      </c>
      <c r="S63">
        <v>-18.608774707981354</v>
      </c>
      <c r="T63">
        <v>101.75622391816692</v>
      </c>
      <c r="U63">
        <v>2765.2128534215158</v>
      </c>
      <c r="V63">
        <v>0</v>
      </c>
      <c r="W63">
        <v>0.14766178494300794</v>
      </c>
      <c r="X63">
        <v>3.5173350330075265E-2</v>
      </c>
      <c r="Y63">
        <v>1.2476720675708921</v>
      </c>
      <c r="Z63">
        <v>11.466479909072758</v>
      </c>
      <c r="AA63">
        <v>0</v>
      </c>
      <c r="AB63">
        <v>0</v>
      </c>
    </row>
    <row r="64" spans="1:28" x14ac:dyDescent="0.25">
      <c r="A64">
        <v>2011</v>
      </c>
      <c r="B64" t="s">
        <v>374</v>
      </c>
      <c r="C64" t="s">
        <v>13</v>
      </c>
      <c r="D64">
        <v>109</v>
      </c>
      <c r="E64">
        <v>8</v>
      </c>
      <c r="F64" t="s">
        <v>383</v>
      </c>
      <c r="G64">
        <v>0</v>
      </c>
      <c r="H64">
        <v>0</v>
      </c>
      <c r="I64" t="s">
        <v>10</v>
      </c>
      <c r="J64">
        <v>4.25</v>
      </c>
      <c r="K64">
        <v>47.734000000000002</v>
      </c>
      <c r="L64">
        <v>0.91100000000000003</v>
      </c>
      <c r="M64">
        <v>3.9584042988906651E-2</v>
      </c>
      <c r="N64">
        <v>40.615495116803977</v>
      </c>
      <c r="O64">
        <v>0.33369938924823056</v>
      </c>
      <c r="P64">
        <v>4812.8627576761637</v>
      </c>
      <c r="Q64">
        <v>391.15559100863459</v>
      </c>
      <c r="R64">
        <v>269.14001612544416</v>
      </c>
      <c r="S64">
        <v>-29.559572081240617</v>
      </c>
      <c r="T64">
        <v>15.325951844229932</v>
      </c>
      <c r="U64">
        <v>803.03950091379988</v>
      </c>
      <c r="V64">
        <v>136.16626354922511</v>
      </c>
      <c r="W64">
        <v>6.8328333950570128E-2</v>
      </c>
      <c r="X64">
        <v>5.6138976619838873E-4</v>
      </c>
      <c r="Y64">
        <v>0.72693931223484021</v>
      </c>
      <c r="Z64">
        <v>8.0967840677313454</v>
      </c>
      <c r="AA64">
        <v>0</v>
      </c>
      <c r="AB64">
        <v>0.45278012365464598</v>
      </c>
    </row>
    <row r="65" spans="1:28" x14ac:dyDescent="0.25">
      <c r="A65">
        <v>2011</v>
      </c>
      <c r="B65" t="s">
        <v>374</v>
      </c>
      <c r="C65" t="s">
        <v>13</v>
      </c>
      <c r="D65">
        <v>109</v>
      </c>
      <c r="E65">
        <v>8</v>
      </c>
      <c r="F65" t="s">
        <v>383</v>
      </c>
      <c r="G65">
        <v>0</v>
      </c>
      <c r="H65">
        <v>0</v>
      </c>
      <c r="I65" t="s">
        <v>11</v>
      </c>
      <c r="J65">
        <v>8.75</v>
      </c>
      <c r="K65">
        <v>45.814999999999998</v>
      </c>
      <c r="L65">
        <v>1.0489999999999999</v>
      </c>
      <c r="M65">
        <v>8.3344596465011994E-2</v>
      </c>
      <c r="N65">
        <v>28.994722360057061</v>
      </c>
      <c r="O65">
        <v>0.39286627818695802</v>
      </c>
      <c r="P65">
        <v>2614.3776254384429</v>
      </c>
      <c r="Q65">
        <v>251.19394083274389</v>
      </c>
      <c r="R65">
        <v>1128.5479561326083</v>
      </c>
      <c r="S65">
        <v>107.56258251329865</v>
      </c>
      <c r="T65">
        <v>76.499921480322882</v>
      </c>
      <c r="U65">
        <v>3341.128601163959</v>
      </c>
      <c r="V65">
        <v>73.237404501342155</v>
      </c>
      <c r="W65">
        <v>0.21144842553747642</v>
      </c>
      <c r="X65">
        <v>2.865037124267777E-3</v>
      </c>
      <c r="Y65">
        <v>2.0461835055633437</v>
      </c>
      <c r="Z65">
        <v>19.065746717440788</v>
      </c>
      <c r="AA65">
        <v>0.78441650300172527</v>
      </c>
      <c r="AB65">
        <v>8.2301077245875511</v>
      </c>
    </row>
    <row r="66" spans="1:28" x14ac:dyDescent="0.25">
      <c r="A66">
        <v>2011</v>
      </c>
      <c r="B66" t="s">
        <v>374</v>
      </c>
      <c r="C66" t="s">
        <v>13</v>
      </c>
      <c r="D66">
        <v>109</v>
      </c>
      <c r="E66">
        <v>8</v>
      </c>
      <c r="F66" t="s">
        <v>383</v>
      </c>
      <c r="G66">
        <v>0</v>
      </c>
      <c r="H66">
        <v>0</v>
      </c>
      <c r="I66" t="s">
        <v>12</v>
      </c>
      <c r="J66">
        <v>3</v>
      </c>
      <c r="K66">
        <v>41.866999999999997</v>
      </c>
      <c r="L66">
        <v>1.319</v>
      </c>
      <c r="M66">
        <v>0.17764136735311215</v>
      </c>
      <c r="N66">
        <v>17.20972568471921</v>
      </c>
      <c r="O66">
        <v>0.25193741826650495</v>
      </c>
      <c r="P66">
        <v>1123.3651440934432</v>
      </c>
      <c r="Q66">
        <v>139.11294905912848</v>
      </c>
      <c r="R66">
        <v>-470.12126521951109</v>
      </c>
      <c r="S66">
        <v>-28.1228247601085</v>
      </c>
      <c r="T66">
        <v>70.29268906162649</v>
      </c>
      <c r="U66">
        <v>2231.193338091824</v>
      </c>
      <c r="V66">
        <v>0</v>
      </c>
      <c r="W66">
        <v>9.1714776072164841E-2</v>
      </c>
      <c r="X66">
        <v>1.3426352240482461E-3</v>
      </c>
      <c r="Y66">
        <v>0.83442384591783569</v>
      </c>
      <c r="Z66">
        <v>5.9866836070075538</v>
      </c>
      <c r="AA66">
        <v>0</v>
      </c>
      <c r="AB66">
        <v>0</v>
      </c>
    </row>
    <row r="67" spans="1:28" x14ac:dyDescent="0.25">
      <c r="A67">
        <v>2011</v>
      </c>
      <c r="B67" t="s">
        <v>374</v>
      </c>
      <c r="C67" t="s">
        <v>13</v>
      </c>
      <c r="D67">
        <v>109</v>
      </c>
      <c r="E67">
        <v>10</v>
      </c>
      <c r="F67" t="s">
        <v>383</v>
      </c>
      <c r="G67">
        <v>0</v>
      </c>
      <c r="H67">
        <v>0</v>
      </c>
      <c r="I67" t="s">
        <v>10</v>
      </c>
      <c r="J67">
        <v>5.75</v>
      </c>
      <c r="K67">
        <v>45.44</v>
      </c>
      <c r="L67">
        <v>0.51500000000000001</v>
      </c>
      <c r="M67">
        <v>6.0691801825518588E-2</v>
      </c>
      <c r="N67">
        <v>43.01002644406401</v>
      </c>
      <c r="O67">
        <v>1.8251876746212199</v>
      </c>
      <c r="P67">
        <v>3249.8583179865986</v>
      </c>
      <c r="Q67">
        <v>309.6391971462516</v>
      </c>
      <c r="R67">
        <v>3943.042173189458</v>
      </c>
      <c r="S67">
        <v>153.5398346010133</v>
      </c>
      <c r="T67">
        <v>17.97235981558169</v>
      </c>
      <c r="U67">
        <v>1585.7553980971495</v>
      </c>
      <c r="V67">
        <v>203.06411353587222</v>
      </c>
      <c r="W67">
        <v>0.15009547008357321</v>
      </c>
      <c r="X67">
        <v>6.3695008969431857E-3</v>
      </c>
      <c r="Y67">
        <v>1.237037216440763</v>
      </c>
      <c r="Z67">
        <v>11.34128602728471</v>
      </c>
      <c r="AA67">
        <v>0.53582002980083709</v>
      </c>
      <c r="AB67">
        <v>13.760344214480412</v>
      </c>
    </row>
    <row r="68" spans="1:28" x14ac:dyDescent="0.25">
      <c r="A68">
        <v>2011</v>
      </c>
      <c r="B68" t="s">
        <v>374</v>
      </c>
      <c r="C68" t="s">
        <v>13</v>
      </c>
      <c r="D68">
        <v>109</v>
      </c>
      <c r="E68">
        <v>10</v>
      </c>
      <c r="F68" t="s">
        <v>383</v>
      </c>
      <c r="G68">
        <v>0</v>
      </c>
      <c r="H68">
        <v>0</v>
      </c>
      <c r="I68" t="s">
        <v>11</v>
      </c>
      <c r="J68">
        <v>10</v>
      </c>
      <c r="K68">
        <v>45.393000000000001</v>
      </c>
      <c r="L68">
        <v>2.1800000000000002</v>
      </c>
      <c r="M68">
        <v>0.11518908547738158</v>
      </c>
      <c r="N68">
        <v>14.567332671843939</v>
      </c>
      <c r="O68">
        <v>1.0151493226399599</v>
      </c>
      <c r="P68">
        <v>2169.1273752200941</v>
      </c>
      <c r="Q68">
        <v>330.94831522733762</v>
      </c>
      <c r="R68">
        <v>754.89764885287741</v>
      </c>
      <c r="S68">
        <v>-10.388922376598202</v>
      </c>
      <c r="T68">
        <v>251.11220634069187</v>
      </c>
      <c r="U68">
        <v>5228.7781570747811</v>
      </c>
      <c r="V68">
        <v>0</v>
      </c>
      <c r="W68">
        <v>0.16779977283144848</v>
      </c>
      <c r="X68">
        <v>1.1693412209788036E-2</v>
      </c>
      <c r="Y68">
        <v>3.9916565621729583</v>
      </c>
      <c r="Z68">
        <v>24.985979863555578</v>
      </c>
      <c r="AA68">
        <v>0</v>
      </c>
      <c r="AB68">
        <v>8.6955969800388466</v>
      </c>
    </row>
    <row r="69" spans="1:28" x14ac:dyDescent="0.25">
      <c r="A69">
        <v>2011</v>
      </c>
      <c r="B69" t="s">
        <v>374</v>
      </c>
      <c r="C69" t="s">
        <v>13</v>
      </c>
      <c r="D69">
        <v>109</v>
      </c>
      <c r="E69">
        <v>10</v>
      </c>
      <c r="F69" t="s">
        <v>383</v>
      </c>
      <c r="G69">
        <v>0</v>
      </c>
      <c r="H69">
        <v>0</v>
      </c>
      <c r="I69" t="s">
        <v>12</v>
      </c>
      <c r="J69">
        <v>7.5</v>
      </c>
      <c r="K69">
        <v>45.405999999999999</v>
      </c>
      <c r="L69">
        <v>2.238</v>
      </c>
      <c r="M69">
        <v>0.20684407670594676</v>
      </c>
      <c r="N69">
        <v>23.517329238463429</v>
      </c>
      <c r="O69">
        <v>1.162010073844548</v>
      </c>
      <c r="P69">
        <v>1440.8562268376209</v>
      </c>
      <c r="Q69">
        <v>143.19901755993715</v>
      </c>
      <c r="R69">
        <v>-1309.5828822914198</v>
      </c>
      <c r="S69">
        <v>-148.19078986704304</v>
      </c>
      <c r="T69">
        <v>347.1877827509316</v>
      </c>
      <c r="U69">
        <v>7043.9716101826634</v>
      </c>
      <c r="V69">
        <v>0</v>
      </c>
      <c r="W69">
        <v>0.36483151896898008</v>
      </c>
      <c r="X69">
        <v>1.8026617563553841E-2</v>
      </c>
      <c r="Y69">
        <v>2.6043482794613233</v>
      </c>
      <c r="Z69">
        <v>22.352443192968138</v>
      </c>
      <c r="AA69">
        <v>0</v>
      </c>
      <c r="AB69">
        <v>0</v>
      </c>
    </row>
    <row r="70" spans="1:28" x14ac:dyDescent="0.25">
      <c r="A70">
        <v>2011</v>
      </c>
      <c r="B70" t="s">
        <v>374</v>
      </c>
      <c r="C70" t="s">
        <v>376</v>
      </c>
      <c r="D70">
        <v>101</v>
      </c>
      <c r="E70">
        <v>2</v>
      </c>
      <c r="F70" t="s">
        <v>384</v>
      </c>
      <c r="G70">
        <v>0</v>
      </c>
      <c r="H70">
        <v>0</v>
      </c>
      <c r="I70" t="s">
        <v>10</v>
      </c>
      <c r="J70">
        <v>5</v>
      </c>
      <c r="K70">
        <v>4.085</v>
      </c>
      <c r="L70">
        <v>0.193</v>
      </c>
      <c r="M70">
        <v>1.2295241140441588</v>
      </c>
      <c r="N70">
        <v>2.4167898074809204</v>
      </c>
      <c r="O70">
        <v>4.3965422111534515E-2</v>
      </c>
      <c r="P70">
        <v>78.67322867107076</v>
      </c>
      <c r="Q70">
        <v>8.6538608965187294</v>
      </c>
      <c r="R70">
        <v>-1.0840246808754159</v>
      </c>
      <c r="S70">
        <v>-1.4503498763279321</v>
      </c>
      <c r="T70">
        <v>118.64907700526133</v>
      </c>
      <c r="U70">
        <v>2511.3030029351939</v>
      </c>
      <c r="V70">
        <v>0</v>
      </c>
      <c r="W70">
        <v>0.1485750673436966</v>
      </c>
      <c r="X70">
        <v>2.7028273335130974E-3</v>
      </c>
      <c r="Y70">
        <v>0.53200653259267905</v>
      </c>
      <c r="Z70">
        <v>4.8365315890395895</v>
      </c>
      <c r="AA70">
        <v>0</v>
      </c>
      <c r="AB70">
        <v>0</v>
      </c>
    </row>
    <row r="71" spans="1:28" x14ac:dyDescent="0.25">
      <c r="A71">
        <v>2011</v>
      </c>
      <c r="B71" t="s">
        <v>374</v>
      </c>
      <c r="C71" t="s">
        <v>376</v>
      </c>
      <c r="D71">
        <v>101</v>
      </c>
      <c r="E71">
        <v>2</v>
      </c>
      <c r="F71" t="s">
        <v>384</v>
      </c>
      <c r="G71">
        <v>0</v>
      </c>
      <c r="H71">
        <v>0</v>
      </c>
      <c r="I71" t="s">
        <v>11</v>
      </c>
      <c r="J71">
        <v>10</v>
      </c>
      <c r="K71">
        <v>4.9950000000000001</v>
      </c>
      <c r="L71">
        <v>0.222</v>
      </c>
      <c r="M71">
        <v>0.57002347940056053</v>
      </c>
      <c r="N71">
        <v>1.7096323135422939</v>
      </c>
      <c r="O71">
        <v>-5.5396217941246209E-3</v>
      </c>
      <c r="P71">
        <v>67.415049175535998</v>
      </c>
      <c r="Q71">
        <v>9.5350053428178043</v>
      </c>
      <c r="R71">
        <v>-13.586608326173057</v>
      </c>
      <c r="S71">
        <v>-2.0835823561873728</v>
      </c>
      <c r="T71">
        <v>126.54521242692445</v>
      </c>
      <c r="U71">
        <v>2847.2672796058</v>
      </c>
      <c r="V71">
        <v>0</v>
      </c>
      <c r="W71">
        <v>9.7453055986100837E-2</v>
      </c>
      <c r="X71">
        <v>0</v>
      </c>
      <c r="Y71">
        <v>0.54351769216159396</v>
      </c>
      <c r="Z71">
        <v>3.842816089499892</v>
      </c>
      <c r="AA71">
        <v>0</v>
      </c>
      <c r="AB71">
        <v>0</v>
      </c>
    </row>
    <row r="72" spans="1:28" x14ac:dyDescent="0.25">
      <c r="A72">
        <v>2011</v>
      </c>
      <c r="B72" t="s">
        <v>374</v>
      </c>
      <c r="C72" t="s">
        <v>376</v>
      </c>
      <c r="D72">
        <v>101</v>
      </c>
      <c r="E72">
        <v>2</v>
      </c>
      <c r="F72" t="s">
        <v>384</v>
      </c>
      <c r="G72">
        <v>0</v>
      </c>
      <c r="H72">
        <v>1</v>
      </c>
      <c r="I72" t="s">
        <v>14</v>
      </c>
      <c r="J72">
        <v>16</v>
      </c>
      <c r="K72">
        <v>3.657</v>
      </c>
      <c r="L72">
        <v>0.16900000000000001</v>
      </c>
      <c r="M72">
        <v>0.59844806275102524</v>
      </c>
      <c r="N72">
        <v>1.3157402833647505</v>
      </c>
      <c r="O72">
        <v>0.19747766165589437</v>
      </c>
      <c r="P72">
        <v>57.036299483802281</v>
      </c>
      <c r="Q72">
        <v>7.1633596984161123</v>
      </c>
      <c r="R72">
        <v>25.149627073996797</v>
      </c>
      <c r="S72">
        <v>3.6259074618470812</v>
      </c>
      <c r="T72">
        <v>161.82035616787724</v>
      </c>
      <c r="U72">
        <v>3501.6393047687989</v>
      </c>
      <c r="V72">
        <v>0</v>
      </c>
      <c r="W72">
        <v>0.12598435578609921</v>
      </c>
      <c r="X72">
        <v>1.8908819848731582E-2</v>
      </c>
      <c r="Y72">
        <v>0.68590379748894248</v>
      </c>
      <c r="Z72">
        <v>5.461322069211004</v>
      </c>
      <c r="AA72">
        <v>0.34718676740109966</v>
      </c>
      <c r="AB72">
        <v>4.5152236804032357</v>
      </c>
    </row>
    <row r="73" spans="1:28" x14ac:dyDescent="0.25">
      <c r="A73">
        <v>2011</v>
      </c>
      <c r="B73" t="s">
        <v>374</v>
      </c>
      <c r="C73" t="s">
        <v>376</v>
      </c>
      <c r="D73">
        <v>101</v>
      </c>
      <c r="E73">
        <v>4</v>
      </c>
      <c r="F73" t="s">
        <v>384</v>
      </c>
      <c r="G73">
        <v>0</v>
      </c>
      <c r="H73">
        <v>0</v>
      </c>
      <c r="I73" t="s">
        <v>10</v>
      </c>
      <c r="J73">
        <v>5</v>
      </c>
      <c r="K73">
        <v>13.66</v>
      </c>
      <c r="L73">
        <v>0.60599999999999998</v>
      </c>
      <c r="M73">
        <v>0.76065972983773</v>
      </c>
      <c r="N73">
        <v>5.1717500075240279</v>
      </c>
      <c r="O73">
        <v>-7.6613135719642992E-3</v>
      </c>
      <c r="P73">
        <v>202.07071043291594</v>
      </c>
      <c r="Q73">
        <v>24.406384298388723</v>
      </c>
      <c r="R73">
        <v>97.136012852665004</v>
      </c>
      <c r="S73">
        <v>5.2086308669511148</v>
      </c>
      <c r="T73">
        <v>230.47989814083218</v>
      </c>
      <c r="U73">
        <v>5195.3059547916955</v>
      </c>
      <c r="V73">
        <v>0</v>
      </c>
      <c r="W73">
        <v>0.19669709817557526</v>
      </c>
      <c r="X73">
        <v>0</v>
      </c>
      <c r="Y73">
        <v>0.92824768433640903</v>
      </c>
      <c r="Z73">
        <v>7.685352600301</v>
      </c>
      <c r="AA73">
        <v>0.19809978740397483</v>
      </c>
      <c r="AB73">
        <v>3.6943726647011217</v>
      </c>
    </row>
    <row r="74" spans="1:28" x14ac:dyDescent="0.25">
      <c r="A74">
        <v>2011</v>
      </c>
      <c r="B74" t="s">
        <v>374</v>
      </c>
      <c r="C74" t="s">
        <v>376</v>
      </c>
      <c r="D74">
        <v>101</v>
      </c>
      <c r="E74">
        <v>4</v>
      </c>
      <c r="F74" t="s">
        <v>384</v>
      </c>
      <c r="G74">
        <v>0</v>
      </c>
      <c r="H74">
        <v>0</v>
      </c>
      <c r="I74" t="s">
        <v>11</v>
      </c>
      <c r="J74">
        <v>10</v>
      </c>
      <c r="K74">
        <v>20.905999999999999</v>
      </c>
      <c r="L74">
        <v>0.90600000000000003</v>
      </c>
      <c r="M74">
        <v>0.45855217882432381</v>
      </c>
      <c r="N74">
        <v>6.8374261479000866</v>
      </c>
      <c r="O74">
        <v>0.39323924561361651</v>
      </c>
      <c r="P74">
        <v>330.06346059036997</v>
      </c>
      <c r="Q74">
        <v>42.742637893853725</v>
      </c>
      <c r="R74">
        <v>43.006402018466076</v>
      </c>
      <c r="S74">
        <v>-1.7502423288910904</v>
      </c>
      <c r="T74">
        <v>415.44827401483735</v>
      </c>
      <c r="U74">
        <v>9586.4918505013138</v>
      </c>
      <c r="V74">
        <v>0</v>
      </c>
      <c r="W74">
        <v>0.31353166576699881</v>
      </c>
      <c r="X74">
        <v>1.8032071287535725E-2</v>
      </c>
      <c r="Y74">
        <v>1.9599729734925733</v>
      </c>
      <c r="Z74">
        <v>15.135131900401051</v>
      </c>
      <c r="AA74">
        <v>0</v>
      </c>
      <c r="AB74">
        <v>1.9720679348962418</v>
      </c>
    </row>
    <row r="75" spans="1:28" x14ac:dyDescent="0.25">
      <c r="A75">
        <v>2011</v>
      </c>
      <c r="B75" t="s">
        <v>374</v>
      </c>
      <c r="C75" t="s">
        <v>376</v>
      </c>
      <c r="D75">
        <v>101</v>
      </c>
      <c r="E75">
        <v>6</v>
      </c>
      <c r="F75" t="s">
        <v>384</v>
      </c>
      <c r="G75">
        <v>0</v>
      </c>
      <c r="H75">
        <v>0</v>
      </c>
      <c r="I75" t="s">
        <v>10</v>
      </c>
      <c r="J75">
        <v>5</v>
      </c>
      <c r="K75">
        <v>17.538</v>
      </c>
      <c r="L75">
        <v>0.755</v>
      </c>
      <c r="M75">
        <v>0.62478609142960861</v>
      </c>
      <c r="N75">
        <v>7.3848201928150727</v>
      </c>
      <c r="O75">
        <v>0.3710884171320043</v>
      </c>
      <c r="P75">
        <v>233.07281695099644</v>
      </c>
      <c r="Q75">
        <v>28.28786138683402</v>
      </c>
      <c r="R75">
        <v>-69.124751886582487</v>
      </c>
      <c r="S75">
        <v>-7.2745124971017958</v>
      </c>
      <c r="T75">
        <v>235.85674951467726</v>
      </c>
      <c r="U75">
        <v>5478.7492357462388</v>
      </c>
      <c r="V75">
        <v>0</v>
      </c>
      <c r="W75">
        <v>0.2306966472089689</v>
      </c>
      <c r="X75">
        <v>1.1592544085735259E-2</v>
      </c>
      <c r="Y75">
        <v>0.8836931175391286</v>
      </c>
      <c r="Z75">
        <v>7.2810327160650852</v>
      </c>
      <c r="AA75">
        <v>0</v>
      </c>
      <c r="AB75">
        <v>0</v>
      </c>
    </row>
    <row r="76" spans="1:28" x14ac:dyDescent="0.25">
      <c r="A76">
        <v>2011</v>
      </c>
      <c r="B76" t="s">
        <v>374</v>
      </c>
      <c r="C76" t="s">
        <v>376</v>
      </c>
      <c r="D76">
        <v>101</v>
      </c>
      <c r="E76">
        <v>6</v>
      </c>
      <c r="F76" t="s">
        <v>384</v>
      </c>
      <c r="G76">
        <v>0</v>
      </c>
      <c r="H76">
        <v>0</v>
      </c>
      <c r="I76" t="s">
        <v>11</v>
      </c>
      <c r="J76">
        <v>10</v>
      </c>
      <c r="K76">
        <v>25.870999999999999</v>
      </c>
      <c r="L76">
        <v>1.056</v>
      </c>
      <c r="M76">
        <v>0.39003718754764372</v>
      </c>
      <c r="N76">
        <v>19.995471328353943</v>
      </c>
      <c r="O76">
        <v>0.2681030079534914</v>
      </c>
      <c r="P76">
        <v>353.46880824836097</v>
      </c>
      <c r="Q76">
        <v>41.29549267963651</v>
      </c>
      <c r="R76">
        <v>56.498934530399083</v>
      </c>
      <c r="S76">
        <v>-3.798399823832959</v>
      </c>
      <c r="T76">
        <v>411.87927005031179</v>
      </c>
      <c r="U76">
        <v>10090.65207904509</v>
      </c>
      <c r="V76">
        <v>0</v>
      </c>
      <c r="W76">
        <v>0.77989774006007184</v>
      </c>
      <c r="X76">
        <v>1.0457014319524335E-2</v>
      </c>
      <c r="Y76">
        <v>1.6106777823159735</v>
      </c>
      <c r="Z76">
        <v>13.786597985500807</v>
      </c>
      <c r="AA76">
        <v>0</v>
      </c>
      <c r="AB76">
        <v>2.2036685523675312</v>
      </c>
    </row>
    <row r="77" spans="1:28" x14ac:dyDescent="0.25">
      <c r="A77">
        <v>2011</v>
      </c>
      <c r="B77" t="s">
        <v>374</v>
      </c>
      <c r="C77" t="s">
        <v>376</v>
      </c>
      <c r="D77">
        <v>101</v>
      </c>
      <c r="E77">
        <v>6</v>
      </c>
      <c r="F77" t="s">
        <v>384</v>
      </c>
      <c r="G77">
        <v>0</v>
      </c>
      <c r="H77">
        <v>1</v>
      </c>
      <c r="I77" t="s">
        <v>15</v>
      </c>
      <c r="J77">
        <v>10</v>
      </c>
      <c r="K77">
        <v>18.170999999999999</v>
      </c>
      <c r="L77">
        <v>0.84899999999999998</v>
      </c>
      <c r="M77">
        <v>0.36878713726769402</v>
      </c>
      <c r="N77">
        <v>61.20561117723117</v>
      </c>
      <c r="O77">
        <v>0.11131209911052009</v>
      </c>
      <c r="P77">
        <v>247.39671256448403</v>
      </c>
      <c r="Q77">
        <v>34.342290536534541</v>
      </c>
      <c r="R77">
        <v>-86.875632737182855</v>
      </c>
      <c r="S77">
        <v>-5.7061285276810878</v>
      </c>
      <c r="T77">
        <v>313.1002795402722</v>
      </c>
      <c r="U77">
        <v>6701.2310712912686</v>
      </c>
      <c r="V77">
        <v>0</v>
      </c>
      <c r="W77">
        <v>2.2571842130770658</v>
      </c>
      <c r="X77">
        <v>4.1050470374226532E-3</v>
      </c>
      <c r="Y77">
        <v>1.2664995014183995</v>
      </c>
      <c r="Z77">
        <v>9.1236725396094602</v>
      </c>
      <c r="AA77">
        <v>0</v>
      </c>
      <c r="AB77">
        <v>0</v>
      </c>
    </row>
    <row r="78" spans="1:28" x14ac:dyDescent="0.25">
      <c r="A78">
        <v>2011</v>
      </c>
      <c r="B78" t="s">
        <v>374</v>
      </c>
      <c r="C78" t="s">
        <v>376</v>
      </c>
      <c r="D78">
        <v>101</v>
      </c>
      <c r="E78">
        <v>8</v>
      </c>
      <c r="F78" t="s">
        <v>384</v>
      </c>
      <c r="G78">
        <v>1</v>
      </c>
      <c r="H78">
        <v>0</v>
      </c>
      <c r="I78" t="s">
        <v>10</v>
      </c>
      <c r="J78">
        <v>5</v>
      </c>
      <c r="K78">
        <v>4.0730000000000004</v>
      </c>
      <c r="L78">
        <v>0.17699999999999999</v>
      </c>
      <c r="M78">
        <v>1.1861677627681071</v>
      </c>
      <c r="N78">
        <v>3.6680041764005962</v>
      </c>
      <c r="O78">
        <v>0.16366494266349355</v>
      </c>
      <c r="P78">
        <v>188.79463267529198</v>
      </c>
      <c r="Q78">
        <v>12.658392343896814</v>
      </c>
      <c r="R78">
        <v>25.762249324879235</v>
      </c>
      <c r="S78">
        <v>2.3626741572256265</v>
      </c>
      <c r="T78">
        <v>104.97584700497747</v>
      </c>
      <c r="U78">
        <v>2415.6306488772507</v>
      </c>
      <c r="V78">
        <v>0</v>
      </c>
      <c r="W78">
        <v>0.21754341538725838</v>
      </c>
      <c r="X78">
        <v>9.7067039441363339E-3</v>
      </c>
      <c r="Y78">
        <v>0.7507488463400509</v>
      </c>
      <c r="Z78">
        <v>11.197105353153884</v>
      </c>
      <c r="AA78">
        <v>0.14012639596131723</v>
      </c>
      <c r="AB78">
        <v>1.5279174822783088</v>
      </c>
    </row>
    <row r="79" spans="1:28" x14ac:dyDescent="0.25">
      <c r="A79">
        <v>2011</v>
      </c>
      <c r="B79" t="s">
        <v>374</v>
      </c>
      <c r="C79" t="s">
        <v>376</v>
      </c>
      <c r="D79">
        <v>101</v>
      </c>
      <c r="E79">
        <v>8</v>
      </c>
      <c r="F79" t="s">
        <v>384</v>
      </c>
      <c r="G79">
        <v>1</v>
      </c>
      <c r="H79">
        <v>0</v>
      </c>
      <c r="I79" t="s">
        <v>11</v>
      </c>
      <c r="J79">
        <v>10</v>
      </c>
      <c r="K79">
        <v>2.331</v>
      </c>
      <c r="L79">
        <v>0.106</v>
      </c>
      <c r="M79">
        <v>1.1391691736215457</v>
      </c>
      <c r="N79">
        <v>8.4374140427997535</v>
      </c>
      <c r="O79">
        <v>3.4050068102817223E-2</v>
      </c>
      <c r="P79">
        <v>139.43047065618319</v>
      </c>
      <c r="Q79">
        <v>8.585447325832563</v>
      </c>
      <c r="R79">
        <v>-7.5553997129233323</v>
      </c>
      <c r="S79">
        <v>-4.1105074225601097</v>
      </c>
      <c r="T79">
        <v>120.75193240388383</v>
      </c>
      <c r="U79">
        <v>2655.4033437118228</v>
      </c>
      <c r="V79">
        <v>0</v>
      </c>
      <c r="W79">
        <v>0.96116419826390198</v>
      </c>
      <c r="X79">
        <v>3.8788787942443648E-3</v>
      </c>
      <c r="Y79">
        <v>0.97802769353399888</v>
      </c>
      <c r="Z79">
        <v>15.883489403506736</v>
      </c>
      <c r="AA79">
        <v>0</v>
      </c>
      <c r="AB79">
        <v>0</v>
      </c>
    </row>
    <row r="80" spans="1:28" x14ac:dyDescent="0.25">
      <c r="A80">
        <v>2011</v>
      </c>
      <c r="B80" t="s">
        <v>374</v>
      </c>
      <c r="C80" t="s">
        <v>376</v>
      </c>
      <c r="D80">
        <v>101</v>
      </c>
      <c r="E80">
        <v>8</v>
      </c>
      <c r="F80" t="s">
        <v>384</v>
      </c>
      <c r="G80">
        <v>1</v>
      </c>
      <c r="H80">
        <v>1</v>
      </c>
      <c r="I80" t="s">
        <v>16</v>
      </c>
      <c r="J80">
        <v>26</v>
      </c>
      <c r="K80">
        <v>7.5659999999999998</v>
      </c>
      <c r="L80">
        <v>0.372</v>
      </c>
      <c r="M80">
        <v>0.63931698065943399</v>
      </c>
      <c r="N80">
        <v>5.0726742471656472</v>
      </c>
      <c r="O80">
        <v>-3.6443250632482584E-2</v>
      </c>
      <c r="P80">
        <v>184.39326267667181</v>
      </c>
      <c r="Q80">
        <v>15.352495507843127</v>
      </c>
      <c r="R80">
        <v>-40.054643310479548</v>
      </c>
      <c r="S80">
        <v>-1.0211975861435434</v>
      </c>
      <c r="T80">
        <v>618.34738369380443</v>
      </c>
      <c r="U80">
        <v>12576.387916740121</v>
      </c>
      <c r="V80">
        <v>0</v>
      </c>
      <c r="W80">
        <v>0.84319216372737038</v>
      </c>
      <c r="X80">
        <v>0</v>
      </c>
      <c r="Y80">
        <v>2.5519288791520656</v>
      </c>
      <c r="Z80">
        <v>30.650293426581847</v>
      </c>
      <c r="AA80">
        <v>0</v>
      </c>
      <c r="AB80">
        <v>0</v>
      </c>
    </row>
    <row r="81" spans="1:28" x14ac:dyDescent="0.25">
      <c r="A81">
        <v>2011</v>
      </c>
      <c r="B81" t="s">
        <v>374</v>
      </c>
      <c r="C81" t="s">
        <v>376</v>
      </c>
      <c r="D81">
        <v>101</v>
      </c>
      <c r="E81">
        <v>10</v>
      </c>
      <c r="F81" t="s">
        <v>384</v>
      </c>
      <c r="G81">
        <v>0</v>
      </c>
      <c r="H81">
        <v>0</v>
      </c>
      <c r="I81" t="s">
        <v>10</v>
      </c>
      <c r="J81">
        <v>5</v>
      </c>
      <c r="K81">
        <v>5.5540000000000003</v>
      </c>
      <c r="L81">
        <v>0.22700000000000001</v>
      </c>
      <c r="M81">
        <v>1.0144227379433042</v>
      </c>
      <c r="N81">
        <v>3.6540693428922353</v>
      </c>
      <c r="O81">
        <v>0.40505948245762158</v>
      </c>
      <c r="P81">
        <v>95.247223252319841</v>
      </c>
      <c r="Q81">
        <v>13.115210437291644</v>
      </c>
      <c r="R81">
        <v>-8.9757164674213499</v>
      </c>
      <c r="S81">
        <v>-3.3549024841676438</v>
      </c>
      <c r="T81">
        <v>115.13698075656502</v>
      </c>
      <c r="U81">
        <v>2817.051943268556</v>
      </c>
      <c r="V81">
        <v>0</v>
      </c>
      <c r="W81">
        <v>0.18533855137257157</v>
      </c>
      <c r="X81">
        <v>2.0545077461227915E-2</v>
      </c>
      <c r="Y81">
        <v>0.66521838402499955</v>
      </c>
      <c r="Z81">
        <v>4.831047449655772</v>
      </c>
      <c r="AA81">
        <v>0</v>
      </c>
      <c r="AB81">
        <v>0</v>
      </c>
    </row>
    <row r="82" spans="1:28" x14ac:dyDescent="0.25">
      <c r="A82">
        <v>2011</v>
      </c>
      <c r="B82" t="s">
        <v>374</v>
      </c>
      <c r="C82" t="s">
        <v>376</v>
      </c>
      <c r="D82">
        <v>101</v>
      </c>
      <c r="E82">
        <v>10</v>
      </c>
      <c r="F82" t="s">
        <v>384</v>
      </c>
      <c r="G82">
        <v>0</v>
      </c>
      <c r="H82">
        <v>0</v>
      </c>
      <c r="I82" t="s">
        <v>11</v>
      </c>
      <c r="J82">
        <v>10</v>
      </c>
      <c r="K82">
        <v>6.5209999999999999</v>
      </c>
      <c r="L82">
        <v>0.27300000000000002</v>
      </c>
      <c r="M82">
        <v>0.63744991125463035</v>
      </c>
      <c r="N82">
        <v>3.0644073733654134</v>
      </c>
      <c r="O82">
        <v>0.6251593779737119</v>
      </c>
      <c r="P82">
        <v>98.343230647857951</v>
      </c>
      <c r="Q82">
        <v>13.858825997805102</v>
      </c>
      <c r="R82">
        <v>-19.100238631765009</v>
      </c>
      <c r="S82">
        <v>-1.4243034375011838</v>
      </c>
      <c r="T82">
        <v>174.02382577251407</v>
      </c>
      <c r="U82">
        <v>4156.8108712914445</v>
      </c>
      <c r="V82">
        <v>0</v>
      </c>
      <c r="W82">
        <v>0.19534062081998174</v>
      </c>
      <c r="X82">
        <v>3.9850779000934262E-2</v>
      </c>
      <c r="Y82">
        <v>0.88343074023942258</v>
      </c>
      <c r="Z82">
        <v>6.2688883648970695</v>
      </c>
      <c r="AA82">
        <v>0</v>
      </c>
      <c r="AB82">
        <v>0</v>
      </c>
    </row>
    <row r="83" spans="1:28" x14ac:dyDescent="0.25">
      <c r="A83">
        <v>2011</v>
      </c>
      <c r="B83" t="s">
        <v>374</v>
      </c>
      <c r="C83" t="s">
        <v>376</v>
      </c>
      <c r="D83">
        <v>101</v>
      </c>
      <c r="E83">
        <v>10</v>
      </c>
      <c r="F83" t="s">
        <v>384</v>
      </c>
      <c r="G83">
        <v>0</v>
      </c>
      <c r="H83">
        <v>1</v>
      </c>
      <c r="I83" t="s">
        <v>17</v>
      </c>
      <c r="J83">
        <v>21</v>
      </c>
      <c r="K83">
        <v>5.99</v>
      </c>
      <c r="L83">
        <v>0.21199999999999999</v>
      </c>
      <c r="M83">
        <v>0.54630250877557984</v>
      </c>
      <c r="N83">
        <v>3.3763622794533426</v>
      </c>
      <c r="O83">
        <v>0.45192821800581323</v>
      </c>
      <c r="P83">
        <v>69.75029777552804</v>
      </c>
      <c r="Q83">
        <v>7.7628645153111115</v>
      </c>
      <c r="R83">
        <v>-14.353375614309883</v>
      </c>
      <c r="S83">
        <v>-0.98541722529658848</v>
      </c>
      <c r="T83">
        <v>243.21387690688815</v>
      </c>
      <c r="U83">
        <v>6871.9392578880188</v>
      </c>
      <c r="V83">
        <v>0</v>
      </c>
      <c r="W83">
        <v>0.38734818859812531</v>
      </c>
      <c r="X83">
        <v>5.1846799049441117E-2</v>
      </c>
      <c r="Y83">
        <v>0.89058319559987109</v>
      </c>
      <c r="Z83">
        <v>8.0020001591490892</v>
      </c>
      <c r="AA83">
        <v>0</v>
      </c>
      <c r="AB83">
        <v>0</v>
      </c>
    </row>
    <row r="84" spans="1:28" x14ac:dyDescent="0.25">
      <c r="A84">
        <v>2011</v>
      </c>
      <c r="B84" t="s">
        <v>374</v>
      </c>
      <c r="C84" t="s">
        <v>375</v>
      </c>
      <c r="D84">
        <v>103</v>
      </c>
      <c r="E84">
        <v>2</v>
      </c>
      <c r="F84" t="s">
        <v>384</v>
      </c>
      <c r="G84">
        <v>0</v>
      </c>
      <c r="H84">
        <v>0</v>
      </c>
      <c r="I84" t="s">
        <v>10</v>
      </c>
      <c r="J84">
        <v>5</v>
      </c>
      <c r="K84">
        <v>8.7349999999999994</v>
      </c>
      <c r="L84">
        <v>0.46899999999999997</v>
      </c>
      <c r="M84">
        <v>0.49289267148744831</v>
      </c>
      <c r="N84">
        <v>6.7492226227933934</v>
      </c>
      <c r="O84">
        <v>0.14539442595089344</v>
      </c>
      <c r="P84">
        <v>197.68961694636261</v>
      </c>
      <c r="Q84">
        <v>29.507268032075938</v>
      </c>
      <c r="R84">
        <v>-134.51207456795925</v>
      </c>
      <c r="S84">
        <v>-22.994103259424158</v>
      </c>
      <c r="T84">
        <v>115.58333146380662</v>
      </c>
      <c r="U84">
        <v>2152.7087427214301</v>
      </c>
      <c r="V84">
        <v>0</v>
      </c>
      <c r="W84">
        <v>0.16633211845060794</v>
      </c>
      <c r="X84">
        <v>3.5831923513159922E-3</v>
      </c>
      <c r="Y84">
        <v>0.72719580843130438</v>
      </c>
      <c r="Z84">
        <v>4.8719881711011501</v>
      </c>
      <c r="AA84">
        <v>0</v>
      </c>
      <c r="AB84">
        <v>0</v>
      </c>
    </row>
    <row r="85" spans="1:28" x14ac:dyDescent="0.25">
      <c r="A85">
        <v>2011</v>
      </c>
      <c r="B85" t="s">
        <v>374</v>
      </c>
      <c r="C85" t="s">
        <v>375</v>
      </c>
      <c r="D85">
        <v>103</v>
      </c>
      <c r="E85">
        <v>2</v>
      </c>
      <c r="F85" t="s">
        <v>384</v>
      </c>
      <c r="G85">
        <v>0</v>
      </c>
      <c r="H85">
        <v>1</v>
      </c>
      <c r="I85" t="s">
        <v>18</v>
      </c>
      <c r="J85">
        <v>3</v>
      </c>
      <c r="K85">
        <v>8.3610000000000007</v>
      </c>
      <c r="L85">
        <v>0.45300000000000001</v>
      </c>
      <c r="M85">
        <v>0.37396283538439062</v>
      </c>
      <c r="N85">
        <v>5.5981471641639162</v>
      </c>
      <c r="O85">
        <v>0.17150790798768756</v>
      </c>
      <c r="P85">
        <v>100.49213172710442</v>
      </c>
      <c r="Q85">
        <v>8.5836745975902957</v>
      </c>
      <c r="R85">
        <v>-129.16160787314789</v>
      </c>
      <c r="S85">
        <v>-6.0562693546286557</v>
      </c>
      <c r="T85">
        <v>50.821549328738683</v>
      </c>
      <c r="U85">
        <v>938.01097999466708</v>
      </c>
      <c r="V85">
        <v>0</v>
      </c>
      <c r="W85">
        <v>6.2804969592294715E-2</v>
      </c>
      <c r="X85">
        <v>1.9241275068576245E-3</v>
      </c>
      <c r="Y85">
        <v>9.6299258715955044E-2</v>
      </c>
      <c r="Z85">
        <v>1.1274096754346894</v>
      </c>
      <c r="AA85">
        <v>0</v>
      </c>
      <c r="AB85">
        <v>0</v>
      </c>
    </row>
    <row r="86" spans="1:28" x14ac:dyDescent="0.25">
      <c r="A86">
        <v>2011</v>
      </c>
      <c r="B86" t="s">
        <v>374</v>
      </c>
      <c r="C86" t="s">
        <v>375</v>
      </c>
      <c r="D86">
        <v>103</v>
      </c>
      <c r="E86">
        <v>6</v>
      </c>
      <c r="F86" t="s">
        <v>384</v>
      </c>
      <c r="G86">
        <v>1</v>
      </c>
      <c r="H86">
        <v>0</v>
      </c>
      <c r="I86" t="s">
        <v>10</v>
      </c>
      <c r="J86">
        <v>5</v>
      </c>
      <c r="K86">
        <v>2.7690000000000001</v>
      </c>
      <c r="L86">
        <v>0.112</v>
      </c>
      <c r="M86">
        <v>1.4759135400267784</v>
      </c>
      <c r="N86">
        <v>2.2014951521428983</v>
      </c>
      <c r="O86">
        <v>0.20499847686614037</v>
      </c>
      <c r="P86">
        <v>117.86917677182481</v>
      </c>
      <c r="Q86">
        <v>6.1949597630947615</v>
      </c>
      <c r="R86">
        <v>-117.05326944388352</v>
      </c>
      <c r="S86">
        <v>-5.2060236658250325</v>
      </c>
      <c r="T86">
        <v>82.651158241499601</v>
      </c>
      <c r="U86">
        <v>2043.4022961670751</v>
      </c>
      <c r="V86">
        <v>0</v>
      </c>
      <c r="W86">
        <v>0.16246082516755081</v>
      </c>
      <c r="X86">
        <v>1.5128001384580142E-2</v>
      </c>
      <c r="Y86">
        <v>0.4571612497136322</v>
      </c>
      <c r="Z86">
        <v>8.6982356974673039</v>
      </c>
      <c r="AA86">
        <v>0</v>
      </c>
      <c r="AB86">
        <v>0</v>
      </c>
    </row>
    <row r="87" spans="1:28" x14ac:dyDescent="0.25">
      <c r="A87">
        <v>2011</v>
      </c>
      <c r="B87" t="s">
        <v>374</v>
      </c>
      <c r="C87" t="s">
        <v>375</v>
      </c>
      <c r="D87">
        <v>103</v>
      </c>
      <c r="E87">
        <v>6</v>
      </c>
      <c r="F87" t="s">
        <v>384</v>
      </c>
      <c r="G87">
        <v>1</v>
      </c>
      <c r="H87">
        <v>0</v>
      </c>
      <c r="I87" t="s">
        <v>11</v>
      </c>
      <c r="J87">
        <v>10</v>
      </c>
      <c r="K87">
        <v>3.4180000000000001</v>
      </c>
      <c r="L87">
        <v>0.14499999999999999</v>
      </c>
      <c r="M87">
        <v>0.99695831467117391</v>
      </c>
      <c r="N87">
        <v>2.7693522318634192</v>
      </c>
      <c r="O87">
        <v>7.4700766466055668E-2</v>
      </c>
      <c r="P87">
        <v>40.61798786157248</v>
      </c>
      <c r="Q87">
        <v>1.3828270888712004</v>
      </c>
      <c r="R87">
        <v>-56.473460934498625</v>
      </c>
      <c r="S87">
        <v>-1.4471120420749006</v>
      </c>
      <c r="T87">
        <v>144.55895562732022</v>
      </c>
      <c r="U87">
        <v>3407.6035195460731</v>
      </c>
      <c r="V87">
        <v>0</v>
      </c>
      <c r="W87">
        <v>0.27609287338094091</v>
      </c>
      <c r="X87">
        <v>7.4473550240643808E-3</v>
      </c>
      <c r="Y87">
        <v>0.13786209640026778</v>
      </c>
      <c r="Z87">
        <v>4.0494440723807497</v>
      </c>
      <c r="AA87">
        <v>0</v>
      </c>
      <c r="AB87">
        <v>0</v>
      </c>
    </row>
    <row r="88" spans="1:28" x14ac:dyDescent="0.25">
      <c r="A88">
        <v>2011</v>
      </c>
      <c r="B88" t="s">
        <v>374</v>
      </c>
      <c r="C88" t="s">
        <v>375</v>
      </c>
      <c r="D88">
        <v>103</v>
      </c>
      <c r="E88">
        <v>4</v>
      </c>
      <c r="F88" t="s">
        <v>384</v>
      </c>
      <c r="G88">
        <v>1</v>
      </c>
      <c r="H88">
        <v>0</v>
      </c>
      <c r="I88" t="s">
        <v>10</v>
      </c>
      <c r="J88">
        <v>5</v>
      </c>
      <c r="K88">
        <v>4.6760000000000002</v>
      </c>
      <c r="L88">
        <v>0.20699999999999999</v>
      </c>
      <c r="M88">
        <v>1.0324854126794407</v>
      </c>
      <c r="N88">
        <v>8.4436415132707729</v>
      </c>
      <c r="O88">
        <v>0.26737766159254267</v>
      </c>
      <c r="P88">
        <v>52.374154290228525</v>
      </c>
      <c r="Q88">
        <v>4.2163799340377537</v>
      </c>
      <c r="R88">
        <v>-111.48348465876991</v>
      </c>
      <c r="S88">
        <v>-9.612857219076318</v>
      </c>
      <c r="T88">
        <v>106.86224021232209</v>
      </c>
      <c r="U88">
        <v>2413.9508948445323</v>
      </c>
      <c r="V88">
        <v>0</v>
      </c>
      <c r="W88">
        <v>0.43589683461733159</v>
      </c>
      <c r="X88">
        <v>1.3803176763532012E-2</v>
      </c>
      <c r="Y88">
        <v>0.21766753881041417</v>
      </c>
      <c r="Z88">
        <v>2.7037775153041648</v>
      </c>
      <c r="AA88">
        <v>0</v>
      </c>
      <c r="AB88">
        <v>0</v>
      </c>
    </row>
    <row r="89" spans="1:28" x14ac:dyDescent="0.25">
      <c r="A89">
        <v>2011</v>
      </c>
      <c r="B89" t="s">
        <v>374</v>
      </c>
      <c r="C89" t="s">
        <v>375</v>
      </c>
      <c r="D89">
        <v>103</v>
      </c>
      <c r="E89">
        <v>4</v>
      </c>
      <c r="F89" t="s">
        <v>384</v>
      </c>
      <c r="G89">
        <v>1</v>
      </c>
      <c r="H89">
        <v>0</v>
      </c>
      <c r="I89" t="s">
        <v>11</v>
      </c>
      <c r="J89">
        <v>10</v>
      </c>
      <c r="K89">
        <v>5.2519999999999998</v>
      </c>
      <c r="L89">
        <v>0.25600000000000001</v>
      </c>
      <c r="M89">
        <v>0.82043144364685072</v>
      </c>
      <c r="N89">
        <v>4.7247586897227611</v>
      </c>
      <c r="O89">
        <v>0.23563696073616355</v>
      </c>
      <c r="P89">
        <v>11.41120208014277</v>
      </c>
      <c r="Q89">
        <v>-0.5302530439484725</v>
      </c>
      <c r="R89">
        <v>-31.494147560432303</v>
      </c>
      <c r="S89">
        <v>2.8451885863491491</v>
      </c>
      <c r="T89">
        <v>210.03044957359381</v>
      </c>
      <c r="U89">
        <v>4308.9059420332596</v>
      </c>
      <c r="V89">
        <v>0</v>
      </c>
      <c r="W89">
        <v>0.38763405926922473</v>
      </c>
      <c r="X89">
        <v>1.9332397187332696E-2</v>
      </c>
      <c r="Y89">
        <v>0</v>
      </c>
      <c r="Z89">
        <v>0.93621089963574788</v>
      </c>
      <c r="AA89">
        <v>0.23342821793459748</v>
      </c>
      <c r="AB89">
        <v>0</v>
      </c>
    </row>
    <row r="90" spans="1:28" x14ac:dyDescent="0.25">
      <c r="A90">
        <v>2011</v>
      </c>
      <c r="B90" t="s">
        <v>374</v>
      </c>
      <c r="C90" t="s">
        <v>375</v>
      </c>
      <c r="D90">
        <v>103</v>
      </c>
      <c r="E90">
        <v>4</v>
      </c>
      <c r="F90" t="s">
        <v>384</v>
      </c>
      <c r="G90">
        <v>1</v>
      </c>
      <c r="H90">
        <v>1</v>
      </c>
      <c r="I90" t="s">
        <v>19</v>
      </c>
      <c r="J90">
        <v>24</v>
      </c>
      <c r="K90">
        <v>5.851</v>
      </c>
      <c r="L90">
        <v>0.26200000000000001</v>
      </c>
      <c r="M90">
        <v>0.81287768403330329</v>
      </c>
      <c r="N90">
        <v>2.8998451495751194</v>
      </c>
      <c r="O90">
        <v>5.1963773830182067E-2</v>
      </c>
      <c r="P90">
        <v>93.369311133647329</v>
      </c>
      <c r="Q90">
        <v>4.6460944870232712</v>
      </c>
      <c r="R90">
        <v>-12.558177856729188</v>
      </c>
      <c r="S90">
        <v>-1.0484090347361121</v>
      </c>
      <c r="T90">
        <v>511.13748772014111</v>
      </c>
      <c r="U90">
        <v>11414.753590269258</v>
      </c>
      <c r="V90">
        <v>0</v>
      </c>
      <c r="W90">
        <v>0.56573265821803953</v>
      </c>
      <c r="X90">
        <v>1.0137646109930105E-2</v>
      </c>
      <c r="Y90">
        <v>0.90640956633873004</v>
      </c>
      <c r="Z90">
        <v>18.215479054584996</v>
      </c>
      <c r="AA90">
        <v>0</v>
      </c>
      <c r="AB90">
        <v>0</v>
      </c>
    </row>
    <row r="91" spans="1:28" x14ac:dyDescent="0.25">
      <c r="A91">
        <v>2011</v>
      </c>
      <c r="B91" t="s">
        <v>374</v>
      </c>
      <c r="C91" t="s">
        <v>375</v>
      </c>
      <c r="D91">
        <v>103</v>
      </c>
      <c r="E91">
        <v>6</v>
      </c>
      <c r="F91" t="s">
        <v>384</v>
      </c>
      <c r="G91">
        <v>1</v>
      </c>
      <c r="H91">
        <v>1</v>
      </c>
      <c r="I91" t="s">
        <v>20</v>
      </c>
      <c r="J91">
        <v>17</v>
      </c>
      <c r="K91">
        <v>4.9489999999999998</v>
      </c>
      <c r="L91">
        <v>0.22700000000000001</v>
      </c>
      <c r="M91">
        <v>0.73088052668343428</v>
      </c>
      <c r="N91">
        <v>2.5896137424021859</v>
      </c>
      <c r="O91">
        <v>-1.8682286094317879E-2</v>
      </c>
      <c r="P91">
        <v>104.87711470322499</v>
      </c>
      <c r="Q91">
        <v>8.0488264015655595</v>
      </c>
      <c r="R91">
        <v>-225.13263449577448</v>
      </c>
      <c r="S91">
        <v>-1.2784687512601227</v>
      </c>
      <c r="T91">
        <v>282.04679524713725</v>
      </c>
      <c r="U91">
        <v>6149.1171351457378</v>
      </c>
      <c r="V91">
        <v>0</v>
      </c>
      <c r="W91">
        <v>0.32175870351210678</v>
      </c>
      <c r="X91">
        <v>0</v>
      </c>
      <c r="Y91">
        <v>1.0000641815251603</v>
      </c>
      <c r="Z91">
        <v>13.030948941326447</v>
      </c>
      <c r="AA91">
        <v>0</v>
      </c>
      <c r="AB91">
        <v>0</v>
      </c>
    </row>
    <row r="92" spans="1:28" x14ac:dyDescent="0.25">
      <c r="A92">
        <v>2011</v>
      </c>
      <c r="B92" t="s">
        <v>374</v>
      </c>
      <c r="C92" t="s">
        <v>375</v>
      </c>
      <c r="D92">
        <v>103</v>
      </c>
      <c r="E92">
        <v>8</v>
      </c>
      <c r="F92" t="s">
        <v>384</v>
      </c>
      <c r="G92">
        <v>1</v>
      </c>
      <c r="H92">
        <v>0</v>
      </c>
      <c r="I92" t="s">
        <v>10</v>
      </c>
      <c r="J92">
        <v>5</v>
      </c>
      <c r="K92">
        <v>4.8250000000000002</v>
      </c>
      <c r="L92">
        <v>0.20699999999999999</v>
      </c>
      <c r="M92">
        <v>1.2273523562285065</v>
      </c>
      <c r="N92">
        <v>5.583937398871968</v>
      </c>
      <c r="O92">
        <v>0.15568598540777151</v>
      </c>
      <c r="P92">
        <v>208.40359744066004</v>
      </c>
      <c r="Q92">
        <v>12.598239805316776</v>
      </c>
      <c r="R92">
        <v>-183.05671038864216</v>
      </c>
      <c r="S92">
        <v>-13.024765711385079</v>
      </c>
      <c r="T92">
        <v>127.03096886965041</v>
      </c>
      <c r="U92">
        <v>2960.9875594012719</v>
      </c>
      <c r="V92">
        <v>0</v>
      </c>
      <c r="W92">
        <v>0.34267293617689931</v>
      </c>
      <c r="X92">
        <v>9.5540780510992608E-3</v>
      </c>
      <c r="Y92">
        <v>0.77312396546936524</v>
      </c>
      <c r="Z92">
        <v>12.789232318264563</v>
      </c>
      <c r="AA92">
        <v>0</v>
      </c>
      <c r="AB92">
        <v>0</v>
      </c>
    </row>
    <row r="93" spans="1:28" x14ac:dyDescent="0.25">
      <c r="A93">
        <v>2011</v>
      </c>
      <c r="B93" t="s">
        <v>374</v>
      </c>
      <c r="C93" t="s">
        <v>375</v>
      </c>
      <c r="D93">
        <v>103</v>
      </c>
      <c r="E93">
        <v>8</v>
      </c>
      <c r="F93" t="s">
        <v>384</v>
      </c>
      <c r="G93">
        <v>1</v>
      </c>
      <c r="H93">
        <v>0</v>
      </c>
      <c r="I93" t="s">
        <v>11</v>
      </c>
      <c r="J93">
        <v>10</v>
      </c>
      <c r="K93">
        <v>7.6239999999999997</v>
      </c>
      <c r="L93">
        <v>0.35599999999999998</v>
      </c>
      <c r="M93">
        <v>0.4413568633402159</v>
      </c>
      <c r="N93">
        <v>10.017488816882349</v>
      </c>
      <c r="O93">
        <v>0.22143306363325693</v>
      </c>
      <c r="P93">
        <v>123.84936698576182</v>
      </c>
      <c r="Q93">
        <v>10.919153857464547</v>
      </c>
      <c r="R93">
        <v>-123.50752461521661</v>
      </c>
      <c r="S93">
        <v>-12.928220667104036</v>
      </c>
      <c r="T93">
        <v>157.12304334911684</v>
      </c>
      <c r="U93">
        <v>3364.9047261058063</v>
      </c>
      <c r="V93">
        <v>0</v>
      </c>
      <c r="W93">
        <v>0.44212874427648841</v>
      </c>
      <c r="X93">
        <v>9.7731002404988707E-3</v>
      </c>
      <c r="Y93">
        <v>0.48192434968597714</v>
      </c>
      <c r="Z93">
        <v>5.466176813950713</v>
      </c>
      <c r="AA93">
        <v>0</v>
      </c>
      <c r="AB93">
        <v>0</v>
      </c>
    </row>
    <row r="94" spans="1:28" x14ac:dyDescent="0.25">
      <c r="A94">
        <v>2011</v>
      </c>
      <c r="B94" t="s">
        <v>374</v>
      </c>
      <c r="C94" t="s">
        <v>375</v>
      </c>
      <c r="D94">
        <v>103</v>
      </c>
      <c r="E94">
        <v>8</v>
      </c>
      <c r="F94" t="s">
        <v>384</v>
      </c>
      <c r="G94">
        <v>1</v>
      </c>
      <c r="H94">
        <v>1</v>
      </c>
      <c r="I94" t="s">
        <v>21</v>
      </c>
      <c r="J94">
        <v>22</v>
      </c>
      <c r="K94">
        <v>10.962</v>
      </c>
      <c r="L94">
        <v>0.52400000000000002</v>
      </c>
      <c r="M94">
        <v>0.61021672211042888</v>
      </c>
      <c r="N94">
        <v>6.0800380563169885</v>
      </c>
      <c r="O94">
        <v>4.1020399516794467E-2</v>
      </c>
      <c r="P94">
        <v>203.18452074632646</v>
      </c>
      <c r="Q94">
        <v>17.475272789458074</v>
      </c>
      <c r="R94">
        <v>-236.12405706151574</v>
      </c>
      <c r="S94">
        <v>-15.552577809311067</v>
      </c>
      <c r="T94">
        <v>703.45783724890236</v>
      </c>
      <c r="U94">
        <v>14716.230557103947</v>
      </c>
      <c r="V94">
        <v>0</v>
      </c>
      <c r="W94">
        <v>0.81623099646713149</v>
      </c>
      <c r="X94">
        <v>5.5068934212156792E-3</v>
      </c>
      <c r="Y94">
        <v>2.346014809505109</v>
      </c>
      <c r="Z94">
        <v>27.277050291348388</v>
      </c>
      <c r="AA94">
        <v>0</v>
      </c>
      <c r="AB94">
        <v>0</v>
      </c>
    </row>
    <row r="95" spans="1:28" x14ac:dyDescent="0.25">
      <c r="A95">
        <v>2011</v>
      </c>
      <c r="B95" t="s">
        <v>374</v>
      </c>
      <c r="C95" t="s">
        <v>375</v>
      </c>
      <c r="D95">
        <v>103</v>
      </c>
      <c r="E95">
        <v>10</v>
      </c>
      <c r="F95" t="s">
        <v>384</v>
      </c>
      <c r="G95">
        <v>0</v>
      </c>
      <c r="H95">
        <v>0</v>
      </c>
      <c r="I95" t="s">
        <v>10</v>
      </c>
      <c r="J95">
        <v>5</v>
      </c>
      <c r="K95">
        <v>8.6310000000000002</v>
      </c>
      <c r="L95">
        <v>0.41399999999999998</v>
      </c>
      <c r="M95">
        <v>0.61067095228592128</v>
      </c>
      <c r="N95">
        <v>3.3222964810174593</v>
      </c>
      <c r="O95">
        <v>0.10384318278505822</v>
      </c>
      <c r="P95">
        <v>236.7655458893332</v>
      </c>
      <c r="Q95">
        <v>59.228314207955613</v>
      </c>
      <c r="R95">
        <v>-210.60092478570849</v>
      </c>
      <c r="S95">
        <v>-54.84018783745411</v>
      </c>
      <c r="T95">
        <v>126.40888712318568</v>
      </c>
      <c r="U95">
        <v>2635.3504945898931</v>
      </c>
      <c r="V95">
        <v>0</v>
      </c>
      <c r="W95">
        <v>0.10144149779195485</v>
      </c>
      <c r="X95">
        <v>3.1707007659876243E-3</v>
      </c>
      <c r="Y95">
        <v>1.8084505519831009</v>
      </c>
      <c r="Z95">
        <v>7.2292920688367541</v>
      </c>
      <c r="AA95">
        <v>0</v>
      </c>
      <c r="AB95">
        <v>0</v>
      </c>
    </row>
    <row r="96" spans="1:28" x14ac:dyDescent="0.25">
      <c r="A96">
        <v>2011</v>
      </c>
      <c r="B96" t="s">
        <v>374</v>
      </c>
      <c r="C96" t="s">
        <v>375</v>
      </c>
      <c r="D96">
        <v>103</v>
      </c>
      <c r="E96">
        <v>10</v>
      </c>
      <c r="F96" t="s">
        <v>384</v>
      </c>
      <c r="G96">
        <v>0</v>
      </c>
      <c r="H96">
        <v>0</v>
      </c>
      <c r="I96" t="s">
        <v>11</v>
      </c>
      <c r="J96">
        <v>10</v>
      </c>
      <c r="K96">
        <v>5.0590000000000002</v>
      </c>
      <c r="L96">
        <v>0.219</v>
      </c>
      <c r="M96">
        <v>0.78229601104527957</v>
      </c>
      <c r="N96">
        <v>1.5055184634033858</v>
      </c>
      <c r="O96">
        <v>4.0105440080648418E-2</v>
      </c>
      <c r="P96">
        <v>170.62134897209765</v>
      </c>
      <c r="Q96">
        <v>25.08780267234685</v>
      </c>
      <c r="R96">
        <v>-153.13533212121183</v>
      </c>
      <c r="S96">
        <v>-11.6942860923567</v>
      </c>
      <c r="T96">
        <v>171.32282641891621</v>
      </c>
      <c r="U96">
        <v>3957.6355198780693</v>
      </c>
      <c r="V96">
        <v>0</v>
      </c>
      <c r="W96">
        <v>0.11777610884754876</v>
      </c>
      <c r="X96">
        <v>3.1374325796306728E-3</v>
      </c>
      <c r="Y96">
        <v>1.9626087956468043</v>
      </c>
      <c r="Z96">
        <v>13.347640070003662</v>
      </c>
      <c r="AA96">
        <v>0</v>
      </c>
      <c r="AB96">
        <v>0</v>
      </c>
    </row>
    <row r="97" spans="1:28" x14ac:dyDescent="0.25">
      <c r="A97">
        <v>2011</v>
      </c>
      <c r="B97" t="s">
        <v>374</v>
      </c>
      <c r="C97" t="s">
        <v>375</v>
      </c>
      <c r="D97">
        <v>103</v>
      </c>
      <c r="E97">
        <v>10</v>
      </c>
      <c r="F97" t="s">
        <v>384</v>
      </c>
      <c r="G97">
        <v>0</v>
      </c>
      <c r="H97">
        <v>1</v>
      </c>
      <c r="I97" t="s">
        <v>22</v>
      </c>
      <c r="J97">
        <v>15</v>
      </c>
      <c r="K97">
        <v>3.7490000000000001</v>
      </c>
      <c r="L97">
        <v>0.17100000000000001</v>
      </c>
      <c r="M97">
        <v>0.79330001688984164</v>
      </c>
      <c r="N97">
        <v>2.3061089701310507</v>
      </c>
      <c r="O97">
        <v>1.5295865560095163E-3</v>
      </c>
      <c r="P97">
        <v>54.63153285924669</v>
      </c>
      <c r="Q97">
        <v>2.35225154608603</v>
      </c>
      <c r="R97">
        <v>-37.139082508569174</v>
      </c>
      <c r="S97">
        <v>-0.20235449217573187</v>
      </c>
      <c r="T97">
        <v>203.4814543322444</v>
      </c>
      <c r="U97">
        <v>4461.1226449800251</v>
      </c>
      <c r="V97">
        <v>0</v>
      </c>
      <c r="W97">
        <v>0.27441544274321672</v>
      </c>
      <c r="X97">
        <v>1.820131561075236E-4</v>
      </c>
      <c r="Y97">
        <v>0.27990617868588052</v>
      </c>
      <c r="Z97">
        <v>6.5008793909937506</v>
      </c>
      <c r="AA97">
        <v>0</v>
      </c>
      <c r="AB97">
        <v>0</v>
      </c>
    </row>
    <row r="98" spans="1:28" x14ac:dyDescent="0.25">
      <c r="A98">
        <v>2011</v>
      </c>
      <c r="B98" t="s">
        <v>374</v>
      </c>
      <c r="C98" t="s">
        <v>375</v>
      </c>
      <c r="D98">
        <v>104</v>
      </c>
      <c r="E98">
        <v>2</v>
      </c>
      <c r="F98" t="s">
        <v>384</v>
      </c>
      <c r="G98">
        <v>1</v>
      </c>
      <c r="H98">
        <v>0</v>
      </c>
      <c r="I98" t="s">
        <v>10</v>
      </c>
      <c r="J98">
        <v>5</v>
      </c>
      <c r="K98">
        <v>9.5470000000000006</v>
      </c>
      <c r="L98">
        <v>0.66400000000000003</v>
      </c>
      <c r="M98">
        <v>0.40555601330078755</v>
      </c>
      <c r="N98">
        <v>3.8015382120495222</v>
      </c>
      <c r="O98">
        <v>7.4609625804871502E-2</v>
      </c>
      <c r="P98">
        <v>183.66359131082382</v>
      </c>
      <c r="Q98">
        <v>20.96885844248947</v>
      </c>
      <c r="R98">
        <v>-70.549640012337065</v>
      </c>
      <c r="S98">
        <v>39.803507049087571</v>
      </c>
      <c r="T98">
        <v>134.64459641586146</v>
      </c>
      <c r="U98">
        <v>1935.9216294913094</v>
      </c>
      <c r="V98">
        <v>0</v>
      </c>
      <c r="W98">
        <v>7.708683408447041E-2</v>
      </c>
      <c r="X98">
        <v>1.5129191197643626E-3</v>
      </c>
      <c r="Y98">
        <v>0.42520233167022958</v>
      </c>
      <c r="Z98">
        <v>3.724293694026144</v>
      </c>
      <c r="AA98">
        <v>0.8071275817108875</v>
      </c>
      <c r="AB98">
        <v>0</v>
      </c>
    </row>
    <row r="99" spans="1:28" x14ac:dyDescent="0.25">
      <c r="A99">
        <v>2011</v>
      </c>
      <c r="B99" t="s">
        <v>374</v>
      </c>
      <c r="C99" t="s">
        <v>375</v>
      </c>
      <c r="D99">
        <v>104</v>
      </c>
      <c r="E99">
        <v>2</v>
      </c>
      <c r="F99" t="s">
        <v>384</v>
      </c>
      <c r="G99">
        <v>1</v>
      </c>
      <c r="H99">
        <v>0</v>
      </c>
      <c r="I99" t="s">
        <v>11</v>
      </c>
      <c r="J99">
        <v>10</v>
      </c>
      <c r="K99">
        <v>4.5839999999999996</v>
      </c>
      <c r="L99">
        <v>0.247</v>
      </c>
      <c r="M99">
        <v>0.73648353441009284</v>
      </c>
      <c r="N99">
        <v>3.0924778108168511</v>
      </c>
      <c r="O99">
        <v>0.12007636861699911</v>
      </c>
      <c r="P99">
        <v>91.085376919380664</v>
      </c>
      <c r="Q99">
        <v>5.5591561465686876</v>
      </c>
      <c r="R99">
        <v>4.597878217976529</v>
      </c>
      <c r="S99">
        <v>7.0857298052051654</v>
      </c>
      <c r="T99">
        <v>181.91143299929294</v>
      </c>
      <c r="U99">
        <v>3376.0405217358657</v>
      </c>
      <c r="V99">
        <v>0</v>
      </c>
      <c r="W99">
        <v>0.2277558988195181</v>
      </c>
      <c r="X99">
        <v>8.8434268358176665E-3</v>
      </c>
      <c r="Y99">
        <v>0.40942269671624992</v>
      </c>
      <c r="Z99">
        <v>6.708288032666097</v>
      </c>
      <c r="AA99">
        <v>0.5218523330812439</v>
      </c>
      <c r="AB99">
        <v>0.33862616007625335</v>
      </c>
    </row>
    <row r="100" spans="1:28" x14ac:dyDescent="0.25">
      <c r="A100">
        <v>2011</v>
      </c>
      <c r="B100" t="s">
        <v>374</v>
      </c>
      <c r="C100" t="s">
        <v>375</v>
      </c>
      <c r="D100">
        <v>104</v>
      </c>
      <c r="E100">
        <v>2</v>
      </c>
      <c r="F100" t="s">
        <v>384</v>
      </c>
      <c r="G100">
        <v>1</v>
      </c>
      <c r="H100">
        <v>0</v>
      </c>
      <c r="I100" t="s">
        <v>23</v>
      </c>
      <c r="J100">
        <v>13</v>
      </c>
      <c r="K100">
        <v>3.4550000000000001</v>
      </c>
      <c r="L100">
        <v>0.187</v>
      </c>
      <c r="M100">
        <v>0.83745912414455481</v>
      </c>
      <c r="N100">
        <v>3.6686532255984101</v>
      </c>
      <c r="O100">
        <v>2.2907687406735811E-2</v>
      </c>
      <c r="P100">
        <v>232.45221934988984</v>
      </c>
      <c r="Q100">
        <v>16.968014871647263</v>
      </c>
      <c r="R100">
        <v>-116.38259612699839</v>
      </c>
      <c r="S100">
        <v>-9.163085819491652</v>
      </c>
      <c r="T100">
        <v>203.58631307954127</v>
      </c>
      <c r="U100">
        <v>3761.4476560952676</v>
      </c>
      <c r="V100">
        <v>0</v>
      </c>
      <c r="W100">
        <v>0.39940512522296623</v>
      </c>
      <c r="X100">
        <v>2.4939527381368887E-3</v>
      </c>
      <c r="Y100">
        <v>1.8473024534745945</v>
      </c>
      <c r="Z100">
        <v>25.307000162888166</v>
      </c>
      <c r="AA100">
        <v>0</v>
      </c>
      <c r="AB100">
        <v>0</v>
      </c>
    </row>
    <row r="101" spans="1:28" x14ac:dyDescent="0.25">
      <c r="A101">
        <v>2011</v>
      </c>
      <c r="B101" t="s">
        <v>374</v>
      </c>
      <c r="C101" t="s">
        <v>375</v>
      </c>
      <c r="D101">
        <v>104</v>
      </c>
      <c r="E101">
        <v>2</v>
      </c>
      <c r="F101" t="s">
        <v>384</v>
      </c>
      <c r="G101">
        <v>1</v>
      </c>
      <c r="H101">
        <v>1</v>
      </c>
      <c r="I101" t="s">
        <v>24</v>
      </c>
      <c r="J101">
        <v>6</v>
      </c>
      <c r="K101">
        <v>6.7370000000000001</v>
      </c>
      <c r="L101">
        <v>0.33700000000000002</v>
      </c>
      <c r="M101">
        <v>1.2565974136146478</v>
      </c>
      <c r="N101">
        <v>6.1949411923748894</v>
      </c>
      <c r="O101">
        <v>0.10364940006125919</v>
      </c>
      <c r="P101">
        <v>266.78627207777487</v>
      </c>
      <c r="Q101">
        <v>15.827317622608094</v>
      </c>
      <c r="R101">
        <v>-117.06090471653044</v>
      </c>
      <c r="S101">
        <v>-7.298947917773706</v>
      </c>
      <c r="T101">
        <v>254.08399703288183</v>
      </c>
      <c r="U101">
        <v>5079.4180653131298</v>
      </c>
      <c r="V101">
        <v>0</v>
      </c>
      <c r="W101">
        <v>0.46707282478998768</v>
      </c>
      <c r="X101">
        <v>7.814734082381293E-3</v>
      </c>
      <c r="Y101">
        <v>1.1933139833416122</v>
      </c>
      <c r="Z101">
        <v>20.114576368849541</v>
      </c>
      <c r="AA101">
        <v>0</v>
      </c>
      <c r="AB101">
        <v>0</v>
      </c>
    </row>
    <row r="102" spans="1:28" x14ac:dyDescent="0.25">
      <c r="A102">
        <v>2011</v>
      </c>
      <c r="B102" t="s">
        <v>374</v>
      </c>
      <c r="C102" t="s">
        <v>375</v>
      </c>
      <c r="D102">
        <v>104</v>
      </c>
      <c r="E102">
        <v>4</v>
      </c>
      <c r="F102" t="s">
        <v>384</v>
      </c>
      <c r="G102">
        <v>1</v>
      </c>
      <c r="H102">
        <v>0</v>
      </c>
      <c r="I102" t="s">
        <v>10</v>
      </c>
      <c r="J102">
        <v>5</v>
      </c>
      <c r="K102">
        <v>27.173999999999999</v>
      </c>
      <c r="L102">
        <v>1.105</v>
      </c>
      <c r="M102">
        <v>0.51812158937322284</v>
      </c>
      <c r="N102">
        <v>4.7010262166809866</v>
      </c>
      <c r="O102">
        <v>0.43424874823318449</v>
      </c>
      <c r="P102">
        <v>384.40319726100444</v>
      </c>
      <c r="Q102">
        <v>26.941099309307436</v>
      </c>
      <c r="R102">
        <v>241.57241222942292</v>
      </c>
      <c r="S102">
        <v>8.4551241445663337</v>
      </c>
      <c r="T102">
        <v>286.26217812870561</v>
      </c>
      <c r="U102">
        <v>7039.7180348139791</v>
      </c>
      <c r="V102">
        <v>0</v>
      </c>
      <c r="W102">
        <v>0.12178515875359708</v>
      </c>
      <c r="X102">
        <v>1.1249682580895502E-2</v>
      </c>
      <c r="Y102">
        <v>0.69793825968001011</v>
      </c>
      <c r="Z102">
        <v>9.9583797762510073</v>
      </c>
      <c r="AA102">
        <v>0.21903911800653098</v>
      </c>
      <c r="AB102">
        <v>6.2581941086515984</v>
      </c>
    </row>
    <row r="103" spans="1:28" x14ac:dyDescent="0.25">
      <c r="A103">
        <v>2011</v>
      </c>
      <c r="B103" t="s">
        <v>374</v>
      </c>
      <c r="C103" t="s">
        <v>375</v>
      </c>
      <c r="D103">
        <v>104</v>
      </c>
      <c r="E103">
        <v>4</v>
      </c>
      <c r="F103" t="s">
        <v>384</v>
      </c>
      <c r="G103">
        <v>1</v>
      </c>
      <c r="H103">
        <v>0</v>
      </c>
      <c r="I103" t="s">
        <v>11</v>
      </c>
      <c r="J103">
        <v>10</v>
      </c>
      <c r="K103">
        <v>7.1429999999999998</v>
      </c>
      <c r="L103">
        <v>0.35599999999999998</v>
      </c>
      <c r="M103">
        <v>0.59204381516612259</v>
      </c>
      <c r="N103">
        <v>3.8854272890875037</v>
      </c>
      <c r="O103">
        <v>0.34270226161252021</v>
      </c>
      <c r="P103">
        <v>266.623241888032</v>
      </c>
      <c r="Q103">
        <v>13.461121725125929</v>
      </c>
      <c r="R103">
        <v>-2.1058691677401384</v>
      </c>
      <c r="S103">
        <v>-3.1491842764018774</v>
      </c>
      <c r="T103">
        <v>210.76759819913963</v>
      </c>
      <c r="U103">
        <v>4228.9689717316132</v>
      </c>
      <c r="V103">
        <v>0</v>
      </c>
      <c r="W103">
        <v>0.23003431957819312</v>
      </c>
      <c r="X103">
        <v>2.0289475443113509E-2</v>
      </c>
      <c r="Y103">
        <v>0.79695738625591328</v>
      </c>
      <c r="Z103">
        <v>15.785264133935039</v>
      </c>
      <c r="AA103">
        <v>0</v>
      </c>
      <c r="AB103">
        <v>0</v>
      </c>
    </row>
    <row r="104" spans="1:28" x14ac:dyDescent="0.25">
      <c r="A104">
        <v>2011</v>
      </c>
      <c r="B104" t="s">
        <v>374</v>
      </c>
      <c r="C104" t="s">
        <v>375</v>
      </c>
      <c r="D104">
        <v>104</v>
      </c>
      <c r="E104">
        <v>4</v>
      </c>
      <c r="F104" t="s">
        <v>384</v>
      </c>
      <c r="G104">
        <v>1</v>
      </c>
      <c r="H104">
        <v>1</v>
      </c>
      <c r="I104" t="s">
        <v>20</v>
      </c>
      <c r="J104">
        <v>17</v>
      </c>
      <c r="K104">
        <v>5.8639999999999999</v>
      </c>
      <c r="L104">
        <v>0.29399999999999998</v>
      </c>
      <c r="M104">
        <v>0.53640772834064887</v>
      </c>
      <c r="N104">
        <v>2.5441890651001073</v>
      </c>
      <c r="O104">
        <v>0.10580407675774704</v>
      </c>
      <c r="P104">
        <v>149.20923606018593</v>
      </c>
      <c r="Q104">
        <v>7.789857445667149</v>
      </c>
      <c r="R104">
        <v>-155.52930700449744</v>
      </c>
      <c r="S104">
        <v>-3.6724038347959311</v>
      </c>
      <c r="T104">
        <v>268.09658262465626</v>
      </c>
      <c r="U104">
        <v>5347.34136228226</v>
      </c>
      <c r="V104">
        <v>0</v>
      </c>
      <c r="W104">
        <v>0.23200285506950952</v>
      </c>
      <c r="X104">
        <v>9.6482011586764664E-3</v>
      </c>
      <c r="Y104">
        <v>0.71035175520972693</v>
      </c>
      <c r="Z104">
        <v>13.606287851622954</v>
      </c>
      <c r="AA104">
        <v>0</v>
      </c>
      <c r="AB104">
        <v>0</v>
      </c>
    </row>
    <row r="105" spans="1:28" x14ac:dyDescent="0.25">
      <c r="A105">
        <v>2011</v>
      </c>
      <c r="B105" t="s">
        <v>374</v>
      </c>
      <c r="C105" t="s">
        <v>375</v>
      </c>
      <c r="D105">
        <v>104</v>
      </c>
      <c r="E105">
        <v>6</v>
      </c>
      <c r="F105" t="s">
        <v>384</v>
      </c>
      <c r="G105">
        <v>1</v>
      </c>
      <c r="H105">
        <v>0</v>
      </c>
      <c r="I105" t="s">
        <v>10</v>
      </c>
      <c r="J105">
        <v>5</v>
      </c>
      <c r="K105">
        <v>5.8650000000000002</v>
      </c>
      <c r="L105">
        <v>0.311</v>
      </c>
      <c r="M105">
        <v>1.0738275964506832</v>
      </c>
      <c r="N105">
        <v>3.5236711246004089</v>
      </c>
      <c r="O105">
        <v>5.7183409471724074E-2</v>
      </c>
      <c r="P105">
        <v>203.38203936408715</v>
      </c>
      <c r="Q105">
        <v>9.2616598836702817</v>
      </c>
      <c r="R105">
        <v>-11.021079050089043</v>
      </c>
      <c r="S105">
        <v>-2.9248955732086301E-3</v>
      </c>
      <c r="T105">
        <v>166.98019124808124</v>
      </c>
      <c r="U105">
        <v>3148.9994265916284</v>
      </c>
      <c r="V105">
        <v>0</v>
      </c>
      <c r="W105">
        <v>0.18919076472061666</v>
      </c>
      <c r="X105">
        <v>3.0702561574938348E-3</v>
      </c>
      <c r="Y105">
        <v>0.49727129860126867</v>
      </c>
      <c r="Z105">
        <v>10.919862324578794</v>
      </c>
      <c r="AA105">
        <v>0</v>
      </c>
      <c r="AB105">
        <v>0</v>
      </c>
    </row>
    <row r="106" spans="1:28" x14ac:dyDescent="0.25">
      <c r="A106">
        <v>2011</v>
      </c>
      <c r="B106" t="s">
        <v>374</v>
      </c>
      <c r="C106" t="s">
        <v>375</v>
      </c>
      <c r="D106">
        <v>104</v>
      </c>
      <c r="E106">
        <v>6</v>
      </c>
      <c r="F106" t="s">
        <v>384</v>
      </c>
      <c r="G106">
        <v>1</v>
      </c>
      <c r="H106">
        <v>0</v>
      </c>
      <c r="I106" t="s">
        <v>11</v>
      </c>
      <c r="J106">
        <v>10</v>
      </c>
      <c r="K106">
        <v>3.3159999999999998</v>
      </c>
      <c r="L106">
        <v>0.16</v>
      </c>
      <c r="M106">
        <v>0.68849668014962317</v>
      </c>
      <c r="N106">
        <v>4.3660073907554366</v>
      </c>
      <c r="O106">
        <v>0.1802830518277784</v>
      </c>
      <c r="P106">
        <v>81.381756453950103</v>
      </c>
      <c r="Q106">
        <v>1.7101426378505602</v>
      </c>
      <c r="R106">
        <v>-3.078971586886766</v>
      </c>
      <c r="S106">
        <v>0.96586303230474524</v>
      </c>
      <c r="T106">
        <v>110.1594688239397</v>
      </c>
      <c r="U106">
        <v>2283.0549913761502</v>
      </c>
      <c r="V106">
        <v>0</v>
      </c>
      <c r="W106">
        <v>0.30059815940438367</v>
      </c>
      <c r="X106">
        <v>1.2412428267066788E-2</v>
      </c>
      <c r="Y106">
        <v>0.11774275287424299</v>
      </c>
      <c r="Z106">
        <v>5.6031069143289818</v>
      </c>
      <c r="AA106">
        <v>6.6499349122106532E-2</v>
      </c>
      <c r="AB106">
        <v>0</v>
      </c>
    </row>
    <row r="107" spans="1:28" x14ac:dyDescent="0.25">
      <c r="A107">
        <v>2011</v>
      </c>
      <c r="B107" t="s">
        <v>374</v>
      </c>
      <c r="C107" t="s">
        <v>375</v>
      </c>
      <c r="D107">
        <v>104</v>
      </c>
      <c r="E107">
        <v>6</v>
      </c>
      <c r="F107" t="s">
        <v>384</v>
      </c>
      <c r="G107">
        <v>1</v>
      </c>
      <c r="H107">
        <v>1</v>
      </c>
      <c r="I107" t="s">
        <v>20</v>
      </c>
      <c r="J107">
        <v>17</v>
      </c>
      <c r="K107">
        <v>4.2830000000000004</v>
      </c>
      <c r="L107">
        <v>0.19700000000000001</v>
      </c>
      <c r="M107">
        <v>0.82776660852430395</v>
      </c>
      <c r="N107">
        <v>3.0007142735666239</v>
      </c>
      <c r="O107">
        <v>0.26144370702740155</v>
      </c>
      <c r="P107">
        <v>213.48645295228653</v>
      </c>
      <c r="Q107">
        <v>33.680416134961284</v>
      </c>
      <c r="R107">
        <v>-194.10168263694806</v>
      </c>
      <c r="S107">
        <v>-31.110621909889559</v>
      </c>
      <c r="T107">
        <v>277.21903719478939</v>
      </c>
      <c r="U107">
        <v>6027.0514533263095</v>
      </c>
      <c r="V107">
        <v>0</v>
      </c>
      <c r="W107">
        <v>0.4222614831547214</v>
      </c>
      <c r="X107">
        <v>3.6790443016635969E-2</v>
      </c>
      <c r="Y107">
        <v>4.7395190524131046</v>
      </c>
      <c r="Z107">
        <v>30.041882711453589</v>
      </c>
      <c r="AA107">
        <v>0</v>
      </c>
      <c r="AB107">
        <v>0</v>
      </c>
    </row>
    <row r="108" spans="1:28" x14ac:dyDescent="0.25">
      <c r="A108">
        <v>2011</v>
      </c>
      <c r="B108" t="s">
        <v>374</v>
      </c>
      <c r="C108" t="s">
        <v>375</v>
      </c>
      <c r="D108">
        <v>104</v>
      </c>
      <c r="E108">
        <v>8</v>
      </c>
      <c r="F108" t="s">
        <v>384</v>
      </c>
      <c r="G108">
        <v>0</v>
      </c>
      <c r="H108">
        <v>0</v>
      </c>
      <c r="I108" t="s">
        <v>10</v>
      </c>
      <c r="J108">
        <v>5</v>
      </c>
      <c r="K108">
        <v>2.1059999999999999</v>
      </c>
      <c r="L108">
        <v>0.111</v>
      </c>
      <c r="M108">
        <v>1.3634280401747421</v>
      </c>
      <c r="N108">
        <v>1.658957785953231</v>
      </c>
      <c r="O108">
        <v>8.1092587689514453E-2</v>
      </c>
      <c r="P108">
        <v>182.23937562808899</v>
      </c>
      <c r="Q108">
        <v>12.08697328416253</v>
      </c>
      <c r="R108">
        <v>-101.39975981320931</v>
      </c>
      <c r="S108">
        <v>7.3721287484852933</v>
      </c>
      <c r="T108">
        <v>75.670256229698197</v>
      </c>
      <c r="U108">
        <v>1435.6897263040032</v>
      </c>
      <c r="V108">
        <v>0</v>
      </c>
      <c r="W108">
        <v>0.11309347814174216</v>
      </c>
      <c r="X108">
        <v>5.5281953953106554E-3</v>
      </c>
      <c r="Y108">
        <v>0.82398591482350925</v>
      </c>
      <c r="Z108">
        <v>12.423513737763701</v>
      </c>
      <c r="AA108">
        <v>0.50256835257315891</v>
      </c>
      <c r="AB108">
        <v>0</v>
      </c>
    </row>
    <row r="109" spans="1:28" x14ac:dyDescent="0.25">
      <c r="A109">
        <v>2011</v>
      </c>
      <c r="B109" t="s">
        <v>374</v>
      </c>
      <c r="C109" t="s">
        <v>375</v>
      </c>
      <c r="D109">
        <v>104</v>
      </c>
      <c r="E109">
        <v>8</v>
      </c>
      <c r="F109" t="s">
        <v>384</v>
      </c>
      <c r="G109">
        <v>0</v>
      </c>
      <c r="H109">
        <v>0</v>
      </c>
      <c r="I109" t="s">
        <v>11</v>
      </c>
      <c r="J109">
        <v>10</v>
      </c>
      <c r="K109">
        <v>2.6320000000000001</v>
      </c>
      <c r="L109">
        <v>0.121</v>
      </c>
      <c r="M109">
        <v>1.1032474817712132</v>
      </c>
      <c r="N109">
        <v>2.2158642913684239</v>
      </c>
      <c r="O109">
        <v>0.11338183953709884</v>
      </c>
      <c r="P109">
        <v>191.55551417020845</v>
      </c>
      <c r="Q109">
        <v>18.261206846269442</v>
      </c>
      <c r="R109">
        <v>-188.77252777547315</v>
      </c>
      <c r="S109">
        <v>-14.540770647667006</v>
      </c>
      <c r="T109">
        <v>133.4929452943168</v>
      </c>
      <c r="U109">
        <v>2903.7473720218331</v>
      </c>
      <c r="V109">
        <v>0</v>
      </c>
      <c r="W109">
        <v>0.24446466993989677</v>
      </c>
      <c r="X109">
        <v>1.2508822894789207E-2</v>
      </c>
      <c r="Y109">
        <v>2.0146630467249995</v>
      </c>
      <c r="Z109">
        <v>21.133313862767245</v>
      </c>
      <c r="AA109">
        <v>0</v>
      </c>
      <c r="AB109">
        <v>0</v>
      </c>
    </row>
    <row r="110" spans="1:28" x14ac:dyDescent="0.25">
      <c r="A110">
        <v>2011</v>
      </c>
      <c r="B110" t="s">
        <v>374</v>
      </c>
      <c r="C110" t="s">
        <v>375</v>
      </c>
      <c r="D110">
        <v>104</v>
      </c>
      <c r="E110">
        <v>8</v>
      </c>
      <c r="F110" t="s">
        <v>384</v>
      </c>
      <c r="G110">
        <v>0</v>
      </c>
      <c r="H110">
        <v>1</v>
      </c>
      <c r="I110" t="s">
        <v>25</v>
      </c>
      <c r="J110">
        <v>31</v>
      </c>
      <c r="K110">
        <v>3.2370000000000001</v>
      </c>
      <c r="L110">
        <v>0.16800000000000001</v>
      </c>
      <c r="M110">
        <v>0.68815053218831146</v>
      </c>
      <c r="N110">
        <v>2.1124083534540801</v>
      </c>
      <c r="O110">
        <v>0.10912075082528104</v>
      </c>
      <c r="P110">
        <v>370.95300790247921</v>
      </c>
      <c r="Q110">
        <v>166.38124426645055</v>
      </c>
      <c r="R110">
        <v>-293.09477345486334</v>
      </c>
      <c r="S110">
        <v>-162.58457945362176</v>
      </c>
      <c r="T110">
        <v>358.38879716367268</v>
      </c>
      <c r="U110">
        <v>6905.3841453500499</v>
      </c>
      <c r="V110">
        <v>0</v>
      </c>
      <c r="W110">
        <v>0.45063302911482267</v>
      </c>
      <c r="X110">
        <v>2.3278365853493636E-2</v>
      </c>
      <c r="Y110">
        <v>35.49355595431453</v>
      </c>
      <c r="Z110">
        <v>79.13416803953325</v>
      </c>
      <c r="AA110">
        <v>0</v>
      </c>
      <c r="AB110">
        <v>0</v>
      </c>
    </row>
    <row r="111" spans="1:28" x14ac:dyDescent="0.25">
      <c r="A111">
        <v>2011</v>
      </c>
      <c r="B111" t="s">
        <v>374</v>
      </c>
      <c r="C111" t="s">
        <v>375</v>
      </c>
      <c r="D111">
        <v>104</v>
      </c>
      <c r="E111">
        <v>10</v>
      </c>
      <c r="F111" t="s">
        <v>384</v>
      </c>
      <c r="G111">
        <v>1</v>
      </c>
      <c r="H111">
        <v>0</v>
      </c>
      <c r="I111" t="s">
        <v>10</v>
      </c>
      <c r="J111">
        <v>5</v>
      </c>
      <c r="K111">
        <v>3.08</v>
      </c>
      <c r="L111">
        <v>0.161</v>
      </c>
      <c r="M111">
        <v>1.3914276278281752</v>
      </c>
      <c r="N111">
        <v>3.0164026975261766</v>
      </c>
      <c r="O111">
        <v>9.3835460527384479E-2</v>
      </c>
      <c r="P111">
        <v>216.07625909452099</v>
      </c>
      <c r="Q111">
        <v>32.615051305007448</v>
      </c>
      <c r="R111">
        <v>-161.01126448500384</v>
      </c>
      <c r="S111">
        <v>-28.203862194072801</v>
      </c>
      <c r="T111">
        <v>112.00992404016812</v>
      </c>
      <c r="U111">
        <v>2142.7985468553902</v>
      </c>
      <c r="V111">
        <v>0</v>
      </c>
      <c r="W111">
        <v>0.20985530249966786</v>
      </c>
      <c r="X111">
        <v>6.528262612389148E-3</v>
      </c>
      <c r="Y111">
        <v>2.2690741734410373</v>
      </c>
      <c r="Z111">
        <v>15.032723831093778</v>
      </c>
      <c r="AA111">
        <v>0</v>
      </c>
      <c r="AB111">
        <v>0</v>
      </c>
    </row>
    <row r="112" spans="1:28" x14ac:dyDescent="0.25">
      <c r="A112">
        <v>2011</v>
      </c>
      <c r="B112" t="s">
        <v>374</v>
      </c>
      <c r="C112" t="s">
        <v>375</v>
      </c>
      <c r="D112">
        <v>104</v>
      </c>
      <c r="E112">
        <v>10</v>
      </c>
      <c r="F112" t="s">
        <v>384</v>
      </c>
      <c r="G112">
        <v>1</v>
      </c>
      <c r="H112">
        <v>0</v>
      </c>
      <c r="I112" t="s">
        <v>11</v>
      </c>
      <c r="J112">
        <v>10</v>
      </c>
      <c r="K112">
        <v>4.4210000000000003</v>
      </c>
      <c r="L112">
        <v>0.247</v>
      </c>
      <c r="M112">
        <v>0.62695533356005129</v>
      </c>
      <c r="N112">
        <v>2.8471909858988176</v>
      </c>
      <c r="O112">
        <v>7.6767789765287212E-2</v>
      </c>
      <c r="P112">
        <v>206.08267413419625</v>
      </c>
      <c r="Q112">
        <v>10.76938043953777</v>
      </c>
      <c r="R112">
        <v>-156.9107174922795</v>
      </c>
      <c r="S112">
        <v>-0.85262222948190391</v>
      </c>
      <c r="T112">
        <v>154.85796738933266</v>
      </c>
      <c r="U112">
        <v>2771.7695296689867</v>
      </c>
      <c r="V112">
        <v>0</v>
      </c>
      <c r="W112">
        <v>0.17850615742733644</v>
      </c>
      <c r="X112">
        <v>4.8129975238963528E-3</v>
      </c>
      <c r="Y112">
        <v>0.67519205057054943</v>
      </c>
      <c r="Z112">
        <v>12.920463170275234</v>
      </c>
      <c r="AA112">
        <v>0</v>
      </c>
      <c r="AB112">
        <v>0</v>
      </c>
    </row>
    <row r="113" spans="1:28" x14ac:dyDescent="0.25">
      <c r="A113">
        <v>2011</v>
      </c>
      <c r="B113" t="s">
        <v>374</v>
      </c>
      <c r="C113" t="s">
        <v>375</v>
      </c>
      <c r="D113">
        <v>104</v>
      </c>
      <c r="E113">
        <v>10</v>
      </c>
      <c r="F113" t="s">
        <v>384</v>
      </c>
      <c r="G113">
        <v>1</v>
      </c>
      <c r="H113">
        <v>1</v>
      </c>
      <c r="I113" t="s">
        <v>19</v>
      </c>
      <c r="J113">
        <v>24</v>
      </c>
      <c r="K113">
        <v>2.8279999999999998</v>
      </c>
      <c r="L113">
        <v>0.153</v>
      </c>
      <c r="M113">
        <v>0.45949883427765631</v>
      </c>
      <c r="N113">
        <v>2.587485309759852</v>
      </c>
      <c r="O113">
        <v>9.410819696125966E-2</v>
      </c>
      <c r="P113">
        <v>43.877212298480003</v>
      </c>
      <c r="Q113">
        <v>2.4598020529107631</v>
      </c>
      <c r="R113">
        <v>-11.058608479453383</v>
      </c>
      <c r="S113">
        <v>1.1276275372270907</v>
      </c>
      <c r="T113">
        <v>168.72797194675539</v>
      </c>
      <c r="U113">
        <v>3118.7104880093093</v>
      </c>
      <c r="V113">
        <v>0</v>
      </c>
      <c r="W113">
        <v>0.28534715605085098</v>
      </c>
      <c r="X113">
        <v>1.0378225631921013E-2</v>
      </c>
      <c r="Y113">
        <v>0.27126628220790761</v>
      </c>
      <c r="Z113">
        <v>4.8387666966011533</v>
      </c>
      <c r="AA113">
        <v>0.12435444932525584</v>
      </c>
      <c r="AB113">
        <v>0</v>
      </c>
    </row>
    <row r="114" spans="1:28" x14ac:dyDescent="0.25">
      <c r="A114">
        <v>2011</v>
      </c>
      <c r="B114" t="s">
        <v>374</v>
      </c>
      <c r="C114" t="s">
        <v>13</v>
      </c>
      <c r="D114">
        <v>108</v>
      </c>
      <c r="E114">
        <v>2</v>
      </c>
      <c r="F114" t="s">
        <v>384</v>
      </c>
      <c r="G114">
        <v>0</v>
      </c>
      <c r="H114">
        <v>0</v>
      </c>
      <c r="I114" t="s">
        <v>10</v>
      </c>
      <c r="J114">
        <v>5</v>
      </c>
      <c r="K114">
        <v>41.554000000000002</v>
      </c>
      <c r="L114">
        <v>2.3940000000000001</v>
      </c>
      <c r="M114">
        <v>0.25963251914212637</v>
      </c>
      <c r="N114">
        <v>9.492361454458571</v>
      </c>
      <c r="O114">
        <v>0.32688399674530272</v>
      </c>
      <c r="P114">
        <v>900.56065215103024</v>
      </c>
      <c r="Q114">
        <v>103.92922903299879</v>
      </c>
      <c r="R114">
        <v>-115.133618205738</v>
      </c>
      <c r="S114">
        <v>-35.920386257034764</v>
      </c>
      <c r="T114">
        <v>310.78012541312529</v>
      </c>
      <c r="U114">
        <v>5394.3848502159608</v>
      </c>
      <c r="V114">
        <v>0</v>
      </c>
      <c r="W114">
        <v>0.12322628585143489</v>
      </c>
      <c r="X114">
        <v>4.2434857771114802E-3</v>
      </c>
      <c r="Y114">
        <v>1.3491703773168247</v>
      </c>
      <c r="Z114">
        <v>11.690741537912409</v>
      </c>
      <c r="AA114">
        <v>0</v>
      </c>
      <c r="AB114">
        <v>0</v>
      </c>
    </row>
    <row r="115" spans="1:28" x14ac:dyDescent="0.25">
      <c r="A115">
        <v>2011</v>
      </c>
      <c r="B115" t="s">
        <v>374</v>
      </c>
      <c r="C115" t="s">
        <v>13</v>
      </c>
      <c r="D115">
        <v>108</v>
      </c>
      <c r="E115">
        <v>2</v>
      </c>
      <c r="F115" t="s">
        <v>384</v>
      </c>
      <c r="G115">
        <v>0</v>
      </c>
      <c r="H115">
        <v>0</v>
      </c>
      <c r="I115" t="s">
        <v>11</v>
      </c>
      <c r="J115">
        <v>10</v>
      </c>
      <c r="K115">
        <v>3.5150000000000001</v>
      </c>
      <c r="L115">
        <v>0.17499999999999999</v>
      </c>
      <c r="M115">
        <v>0.80038632016205835</v>
      </c>
      <c r="N115">
        <v>2.7783389119414363</v>
      </c>
      <c r="O115">
        <v>7.1835197006575383E-2</v>
      </c>
      <c r="P115">
        <v>127.29979525175715</v>
      </c>
      <c r="Q115">
        <v>2.6740237742051236</v>
      </c>
      <c r="R115">
        <v>-106.96935870620769</v>
      </c>
      <c r="S115">
        <v>2.3473301126878185</v>
      </c>
      <c r="T115">
        <v>140.06760602836022</v>
      </c>
      <c r="U115">
        <v>2813.3579153696355</v>
      </c>
      <c r="V115">
        <v>0</v>
      </c>
      <c r="W115">
        <v>0.22237444578918636</v>
      </c>
      <c r="X115">
        <v>5.749590899020939E-3</v>
      </c>
      <c r="Y115">
        <v>0.21402520486618978</v>
      </c>
      <c r="Z115">
        <v>10.188901467893736</v>
      </c>
      <c r="AA115">
        <v>0.18787709110997927</v>
      </c>
      <c r="AB115">
        <v>0</v>
      </c>
    </row>
    <row r="116" spans="1:28" x14ac:dyDescent="0.25">
      <c r="A116">
        <v>2011</v>
      </c>
      <c r="B116" t="s">
        <v>374</v>
      </c>
      <c r="C116" t="s">
        <v>13</v>
      </c>
      <c r="D116">
        <v>108</v>
      </c>
      <c r="E116">
        <v>2</v>
      </c>
      <c r="F116" t="s">
        <v>384</v>
      </c>
      <c r="G116">
        <v>0</v>
      </c>
      <c r="H116">
        <v>1</v>
      </c>
      <c r="I116" t="s">
        <v>14</v>
      </c>
      <c r="J116">
        <v>16</v>
      </c>
      <c r="K116">
        <v>3.972</v>
      </c>
      <c r="L116">
        <v>0.187</v>
      </c>
      <c r="M116">
        <v>0.87428111154829979</v>
      </c>
      <c r="N116">
        <v>5.1954372237226201</v>
      </c>
      <c r="O116">
        <v>0.1553571356269639</v>
      </c>
      <c r="P116">
        <v>13.231724603895819</v>
      </c>
      <c r="Q116">
        <v>-3.2149900485898617</v>
      </c>
      <c r="R116">
        <v>-66.928843340024301</v>
      </c>
      <c r="S116">
        <v>0.10642194693421025</v>
      </c>
      <c r="T116">
        <v>261.58490857525129</v>
      </c>
      <c r="U116">
        <v>5556.231320111754</v>
      </c>
      <c r="V116">
        <v>0</v>
      </c>
      <c r="W116">
        <v>0.72676362094970004</v>
      </c>
      <c r="X116">
        <v>2.1732129475664316E-2</v>
      </c>
      <c r="Y116">
        <v>0</v>
      </c>
      <c r="Z116">
        <v>1.8509195031032035</v>
      </c>
      <c r="AA116">
        <v>1.4886831689404084E-2</v>
      </c>
      <c r="AB116">
        <v>0</v>
      </c>
    </row>
    <row r="117" spans="1:28" x14ac:dyDescent="0.25">
      <c r="A117">
        <v>2011</v>
      </c>
      <c r="B117" t="s">
        <v>374</v>
      </c>
      <c r="C117" t="s">
        <v>13</v>
      </c>
      <c r="D117">
        <v>108</v>
      </c>
      <c r="E117">
        <v>4</v>
      </c>
      <c r="F117" t="s">
        <v>384</v>
      </c>
      <c r="G117">
        <v>0</v>
      </c>
      <c r="H117">
        <v>0</v>
      </c>
      <c r="I117" t="s">
        <v>10</v>
      </c>
      <c r="J117">
        <v>5</v>
      </c>
      <c r="K117">
        <v>3.1960000000000002</v>
      </c>
      <c r="L117">
        <v>0.15</v>
      </c>
      <c r="M117">
        <v>0.92844920890296023</v>
      </c>
      <c r="N117">
        <v>20.661700858769009</v>
      </c>
      <c r="O117">
        <v>0.21993574721798945</v>
      </c>
      <c r="P117">
        <v>118.81164526927958</v>
      </c>
      <c r="Q117">
        <v>2.6397193666964789</v>
      </c>
      <c r="R117">
        <v>-99.825491877424341</v>
      </c>
      <c r="S117">
        <v>-10.439116032816086</v>
      </c>
      <c r="T117">
        <v>69.633690667722007</v>
      </c>
      <c r="U117">
        <v>1483.6618358269304</v>
      </c>
      <c r="V117">
        <v>0</v>
      </c>
      <c r="W117">
        <v>0.95916699084568502</v>
      </c>
      <c r="X117">
        <v>1.0209958525701186E-2</v>
      </c>
      <c r="Y117">
        <v>0.12254226788675847</v>
      </c>
      <c r="Z117">
        <v>5.5155289029360883</v>
      </c>
      <c r="AA117">
        <v>0</v>
      </c>
      <c r="AB117">
        <v>0</v>
      </c>
    </row>
    <row r="118" spans="1:28" x14ac:dyDescent="0.25">
      <c r="A118">
        <v>2011</v>
      </c>
      <c r="B118" t="s">
        <v>374</v>
      </c>
      <c r="C118" t="s">
        <v>13</v>
      </c>
      <c r="D118">
        <v>108</v>
      </c>
      <c r="E118">
        <v>4</v>
      </c>
      <c r="F118" t="s">
        <v>384</v>
      </c>
      <c r="G118">
        <v>0</v>
      </c>
      <c r="H118">
        <v>1</v>
      </c>
      <c r="I118" t="s">
        <v>11</v>
      </c>
      <c r="J118">
        <v>10</v>
      </c>
      <c r="K118">
        <v>7.5659999999999998</v>
      </c>
      <c r="L118">
        <v>0.38300000000000001</v>
      </c>
      <c r="M118">
        <v>0.58525845556801359</v>
      </c>
      <c r="N118">
        <v>101.53443063899479</v>
      </c>
      <c r="O118">
        <v>0.15401190218894487</v>
      </c>
      <c r="P118">
        <v>208.54743830328934</v>
      </c>
      <c r="Q118">
        <v>28.177458855529977</v>
      </c>
      <c r="R118">
        <v>-207.73086487699277</v>
      </c>
      <c r="S118">
        <v>-67.019441151015016</v>
      </c>
      <c r="T118">
        <v>224.15398848254921</v>
      </c>
      <c r="U118">
        <v>4428.0654748275911</v>
      </c>
      <c r="V118">
        <v>0</v>
      </c>
      <c r="W118">
        <v>5.942388406275569</v>
      </c>
      <c r="X118">
        <v>9.013676801419384E-3</v>
      </c>
      <c r="Y118">
        <v>1.6491096051618721</v>
      </c>
      <c r="Z118">
        <v>12.205415165404872</v>
      </c>
      <c r="AA118">
        <v>0</v>
      </c>
      <c r="AB118">
        <v>0</v>
      </c>
    </row>
    <row r="119" spans="1:28" x14ac:dyDescent="0.25">
      <c r="A119">
        <v>2011</v>
      </c>
      <c r="B119" t="s">
        <v>374</v>
      </c>
      <c r="C119" t="s">
        <v>13</v>
      </c>
      <c r="D119">
        <v>108</v>
      </c>
      <c r="E119">
        <v>6</v>
      </c>
      <c r="F119" t="s">
        <v>384</v>
      </c>
      <c r="G119">
        <v>0</v>
      </c>
      <c r="H119">
        <v>0</v>
      </c>
      <c r="I119" t="s">
        <v>10</v>
      </c>
      <c r="J119">
        <v>5</v>
      </c>
      <c r="K119">
        <v>4.2430000000000003</v>
      </c>
      <c r="L119">
        <v>0.187</v>
      </c>
      <c r="M119">
        <v>1.4571378269242565</v>
      </c>
      <c r="N119">
        <v>7.8505009367952985</v>
      </c>
      <c r="O119">
        <v>0.14942667315555302</v>
      </c>
      <c r="P119">
        <v>106.15228064942099</v>
      </c>
      <c r="Q119">
        <v>4.5604925772146787</v>
      </c>
      <c r="R119">
        <v>-109.61468535612593</v>
      </c>
      <c r="S119">
        <v>-2.2531077141284843</v>
      </c>
      <c r="T119">
        <v>136.24238681741798</v>
      </c>
      <c r="U119">
        <v>3091.3178998198105</v>
      </c>
      <c r="V119">
        <v>0</v>
      </c>
      <c r="W119">
        <v>0.57196309376543719</v>
      </c>
      <c r="X119">
        <v>1.0886762890320183E-2</v>
      </c>
      <c r="Y119">
        <v>0.33226331218333999</v>
      </c>
      <c r="Z119">
        <v>7.7339251774275555</v>
      </c>
      <c r="AA119">
        <v>0</v>
      </c>
      <c r="AB119">
        <v>0</v>
      </c>
    </row>
    <row r="120" spans="1:28" x14ac:dyDescent="0.25">
      <c r="A120">
        <v>2011</v>
      </c>
      <c r="B120" t="s">
        <v>374</v>
      </c>
      <c r="C120" t="s">
        <v>13</v>
      </c>
      <c r="D120">
        <v>108</v>
      </c>
      <c r="E120">
        <v>6</v>
      </c>
      <c r="F120" t="s">
        <v>384</v>
      </c>
      <c r="G120">
        <v>0</v>
      </c>
      <c r="H120">
        <v>0</v>
      </c>
      <c r="I120" t="s">
        <v>26</v>
      </c>
      <c r="J120">
        <v>8</v>
      </c>
      <c r="K120">
        <v>4.492</v>
      </c>
      <c r="L120">
        <v>0.20200000000000001</v>
      </c>
      <c r="M120">
        <v>0.35633276104268724</v>
      </c>
      <c r="N120">
        <v>5.4323535371929896</v>
      </c>
      <c r="O120">
        <v>0.12811921536568024</v>
      </c>
      <c r="P120">
        <v>12.99706506162901</v>
      </c>
      <c r="Q120">
        <v>-1.154800954744938</v>
      </c>
      <c r="R120">
        <v>-59.21047346997436</v>
      </c>
      <c r="S120">
        <v>0.14974406668935458</v>
      </c>
      <c r="T120">
        <v>57.583374184498254</v>
      </c>
      <c r="U120">
        <v>1280.5174100830009</v>
      </c>
      <c r="V120">
        <v>0</v>
      </c>
      <c r="W120">
        <v>0.1548580427894389</v>
      </c>
      <c r="X120">
        <v>3.6522459003100419E-3</v>
      </c>
      <c r="Y120">
        <v>0</v>
      </c>
      <c r="Z120">
        <v>0.37050240630893677</v>
      </c>
      <c r="AA120">
        <v>4.2686973386542411E-3</v>
      </c>
      <c r="AB120">
        <v>0</v>
      </c>
    </row>
    <row r="121" spans="1:28" x14ac:dyDescent="0.25">
      <c r="A121">
        <v>2011</v>
      </c>
      <c r="B121" t="s">
        <v>374</v>
      </c>
      <c r="C121" t="s">
        <v>13</v>
      </c>
      <c r="D121">
        <v>108</v>
      </c>
      <c r="E121">
        <v>6</v>
      </c>
      <c r="F121" t="s">
        <v>384</v>
      </c>
      <c r="G121">
        <v>0</v>
      </c>
      <c r="H121">
        <v>1</v>
      </c>
      <c r="I121" t="s">
        <v>27</v>
      </c>
      <c r="J121">
        <v>4</v>
      </c>
      <c r="K121">
        <v>4.2190000000000003</v>
      </c>
      <c r="L121">
        <v>0.18099999999999999</v>
      </c>
      <c r="M121">
        <v>1.6578644745357816</v>
      </c>
      <c r="N121">
        <v>15.585540550685579</v>
      </c>
      <c r="O121">
        <v>0.19536392817047457</v>
      </c>
      <c r="P121">
        <v>52.341013390621399</v>
      </c>
      <c r="Q121">
        <v>-2.1025564074030587</v>
      </c>
      <c r="R121">
        <v>-86.568593674377638</v>
      </c>
      <c r="S121">
        <v>-7.9758799383570365</v>
      </c>
      <c r="T121">
        <v>120.02938795639058</v>
      </c>
      <c r="U121">
        <v>2797.8120872265854</v>
      </c>
      <c r="V121">
        <v>0</v>
      </c>
      <c r="W121">
        <v>1.0335485598167384</v>
      </c>
      <c r="X121">
        <v>1.29554766447836E-2</v>
      </c>
      <c r="Y121">
        <v>0</v>
      </c>
      <c r="Z121">
        <v>3.4709722664605143</v>
      </c>
      <c r="AA121">
        <v>0</v>
      </c>
      <c r="AB121">
        <v>0</v>
      </c>
    </row>
    <row r="122" spans="1:28" x14ac:dyDescent="0.25">
      <c r="A122">
        <v>2011</v>
      </c>
      <c r="B122" t="s">
        <v>374</v>
      </c>
      <c r="C122" t="s">
        <v>13</v>
      </c>
      <c r="D122">
        <v>108</v>
      </c>
      <c r="E122">
        <v>8</v>
      </c>
      <c r="F122" t="s">
        <v>384</v>
      </c>
      <c r="G122">
        <v>0</v>
      </c>
      <c r="H122">
        <v>0</v>
      </c>
      <c r="I122" t="s">
        <v>10</v>
      </c>
      <c r="J122">
        <v>5</v>
      </c>
      <c r="K122">
        <v>4.8879999999999999</v>
      </c>
      <c r="L122">
        <v>0.23400000000000001</v>
      </c>
      <c r="M122">
        <v>1.2370888434840592</v>
      </c>
      <c r="N122">
        <v>6.7182628511635718</v>
      </c>
      <c r="O122">
        <v>0.10884231710648477</v>
      </c>
      <c r="P122">
        <v>176.93758401385452</v>
      </c>
      <c r="Q122">
        <v>13.061546361951041</v>
      </c>
      <c r="R122">
        <v>-121.27725702425462</v>
      </c>
      <c r="S122">
        <v>-10.65168774170893</v>
      </c>
      <c r="T122">
        <v>144.73939468763493</v>
      </c>
      <c r="U122">
        <v>3023.4451334750406</v>
      </c>
      <c r="V122">
        <v>0</v>
      </c>
      <c r="W122">
        <v>0.41555440103839308</v>
      </c>
      <c r="X122">
        <v>6.7323808095693244E-3</v>
      </c>
      <c r="Y122">
        <v>0.8079146641509718</v>
      </c>
      <c r="Z122">
        <v>10.944375558828144</v>
      </c>
      <c r="AA122">
        <v>0</v>
      </c>
      <c r="AB122">
        <v>0</v>
      </c>
    </row>
    <row r="123" spans="1:28" x14ac:dyDescent="0.25">
      <c r="A123">
        <v>2011</v>
      </c>
      <c r="B123" t="s">
        <v>374</v>
      </c>
      <c r="C123" t="s">
        <v>13</v>
      </c>
      <c r="D123">
        <v>108</v>
      </c>
      <c r="E123">
        <v>8</v>
      </c>
      <c r="F123" t="s">
        <v>384</v>
      </c>
      <c r="G123">
        <v>0</v>
      </c>
      <c r="H123">
        <v>0</v>
      </c>
      <c r="I123" t="s">
        <v>11</v>
      </c>
      <c r="J123">
        <v>10</v>
      </c>
      <c r="K123">
        <v>4.0279999999999996</v>
      </c>
      <c r="L123">
        <v>0.185</v>
      </c>
      <c r="M123">
        <v>0.87242152359379821</v>
      </c>
      <c r="N123">
        <v>9.4927729164082741</v>
      </c>
      <c r="O123">
        <v>0.12132160572239103</v>
      </c>
      <c r="P123">
        <v>65.684079122222371</v>
      </c>
      <c r="Q123">
        <v>7.2124409770376658</v>
      </c>
      <c r="R123">
        <v>-101.94486358745523</v>
      </c>
      <c r="S123">
        <v>-11.425058782115478</v>
      </c>
      <c r="T123">
        <v>161.39798186485268</v>
      </c>
      <c r="U123">
        <v>3514.1138970358193</v>
      </c>
      <c r="V123">
        <v>0</v>
      </c>
      <c r="W123">
        <v>0.82816994108628494</v>
      </c>
      <c r="X123">
        <v>1.0584358010917446E-2</v>
      </c>
      <c r="Y123">
        <v>0.62922887460175436</v>
      </c>
      <c r="Z123">
        <v>5.7304204383664832</v>
      </c>
      <c r="AA123">
        <v>0</v>
      </c>
      <c r="AB123">
        <v>0</v>
      </c>
    </row>
    <row r="124" spans="1:28" x14ac:dyDescent="0.25">
      <c r="A124">
        <v>2011</v>
      </c>
      <c r="B124" t="s">
        <v>374</v>
      </c>
      <c r="C124" t="s">
        <v>13</v>
      </c>
      <c r="D124">
        <v>108</v>
      </c>
      <c r="E124">
        <v>8</v>
      </c>
      <c r="F124" t="s">
        <v>384</v>
      </c>
      <c r="G124">
        <v>0</v>
      </c>
      <c r="H124">
        <v>1</v>
      </c>
      <c r="I124" t="s">
        <v>28</v>
      </c>
      <c r="J124">
        <v>9</v>
      </c>
      <c r="K124">
        <v>5.0380000000000003</v>
      </c>
      <c r="L124">
        <v>0.24199999999999999</v>
      </c>
      <c r="M124">
        <v>1.3799990992211559</v>
      </c>
      <c r="N124">
        <v>47.515205918316958</v>
      </c>
      <c r="O124">
        <v>6.1708701851745151E-2</v>
      </c>
      <c r="P124">
        <v>33.991830321029504</v>
      </c>
      <c r="Q124">
        <v>-39.383411425660704</v>
      </c>
      <c r="R124">
        <v>-36.690906625357684</v>
      </c>
      <c r="S124">
        <v>27.639947931524979</v>
      </c>
      <c r="T124">
        <v>300.56380381036774</v>
      </c>
      <c r="U124">
        <v>6257.1919156885651</v>
      </c>
      <c r="V124">
        <v>0</v>
      </c>
      <c r="W124">
        <v>5.9013847229926633</v>
      </c>
      <c r="X124">
        <v>7.6642157672563663E-3</v>
      </c>
      <c r="Y124">
        <v>0</v>
      </c>
      <c r="Z124">
        <v>4.2217825701509186</v>
      </c>
      <c r="AA124">
        <v>3.4328792923221716</v>
      </c>
      <c r="AB124">
        <v>0</v>
      </c>
    </row>
    <row r="125" spans="1:28" x14ac:dyDescent="0.25">
      <c r="A125">
        <v>2011</v>
      </c>
      <c r="B125" t="s">
        <v>374</v>
      </c>
      <c r="C125" t="s">
        <v>13</v>
      </c>
      <c r="D125">
        <v>108</v>
      </c>
      <c r="E125">
        <v>10</v>
      </c>
      <c r="F125" t="s">
        <v>384</v>
      </c>
      <c r="G125">
        <v>0</v>
      </c>
      <c r="H125">
        <v>0</v>
      </c>
      <c r="I125" t="s">
        <v>10</v>
      </c>
      <c r="J125">
        <v>5</v>
      </c>
      <c r="K125">
        <v>4.6340000000000003</v>
      </c>
      <c r="L125">
        <v>0.223</v>
      </c>
      <c r="M125">
        <v>0.97208349075815315</v>
      </c>
      <c r="N125">
        <v>4.5610118087350493</v>
      </c>
      <c r="O125">
        <v>0.16463747078658181</v>
      </c>
      <c r="P125">
        <v>241.81544113393974</v>
      </c>
      <c r="Q125">
        <v>34.846251057263302</v>
      </c>
      <c r="R125">
        <v>-258.21524484174449</v>
      </c>
      <c r="S125">
        <v>-33.437158949791289</v>
      </c>
      <c r="T125">
        <v>108.38730921953409</v>
      </c>
      <c r="U125">
        <v>2252.317448086641</v>
      </c>
      <c r="V125">
        <v>0</v>
      </c>
      <c r="W125">
        <v>0.22168421402121624</v>
      </c>
      <c r="X125">
        <v>8.0020683655906942E-3</v>
      </c>
      <c r="Y125">
        <v>1.693673268378975</v>
      </c>
      <c r="Z125">
        <v>11.753239906835143</v>
      </c>
      <c r="AA125">
        <v>0</v>
      </c>
      <c r="AB125">
        <v>0</v>
      </c>
    </row>
    <row r="126" spans="1:28" x14ac:dyDescent="0.25">
      <c r="A126">
        <v>2011</v>
      </c>
      <c r="B126" t="s">
        <v>374</v>
      </c>
      <c r="C126" t="s">
        <v>13</v>
      </c>
      <c r="D126">
        <v>108</v>
      </c>
      <c r="E126">
        <v>10</v>
      </c>
      <c r="F126" t="s">
        <v>384</v>
      </c>
      <c r="G126">
        <v>0</v>
      </c>
      <c r="H126">
        <v>1</v>
      </c>
      <c r="I126" t="s">
        <v>11</v>
      </c>
      <c r="J126">
        <v>10</v>
      </c>
      <c r="K126">
        <v>9.4339999999999993</v>
      </c>
      <c r="L126">
        <v>0.50900000000000001</v>
      </c>
      <c r="M126">
        <v>0.30223972043497477</v>
      </c>
      <c r="N126">
        <v>3.6878908958003507</v>
      </c>
      <c r="O126">
        <v>1.6604007833225041</v>
      </c>
      <c r="P126">
        <v>135.48279962267006</v>
      </c>
      <c r="Q126">
        <v>6.165371092637896</v>
      </c>
      <c r="R126">
        <v>-126.65525503099059</v>
      </c>
      <c r="S126">
        <v>-2.2001982943007654</v>
      </c>
      <c r="T126">
        <v>153.84001770140216</v>
      </c>
      <c r="U126">
        <v>2851.3295225835518</v>
      </c>
      <c r="V126">
        <v>0</v>
      </c>
      <c r="W126">
        <v>0.11146271133413868</v>
      </c>
      <c r="X126">
        <v>5.0183906856140666E-2</v>
      </c>
      <c r="Y126">
        <v>0.18634200354167524</v>
      </c>
      <c r="Z126">
        <v>4.09482834817035</v>
      </c>
      <c r="AA126">
        <v>0</v>
      </c>
      <c r="AB126">
        <v>0</v>
      </c>
    </row>
    <row r="127" spans="1:28" x14ac:dyDescent="0.25">
      <c r="A127">
        <v>2011</v>
      </c>
      <c r="B127" t="s">
        <v>374</v>
      </c>
      <c r="C127" t="s">
        <v>13</v>
      </c>
      <c r="D127">
        <v>109</v>
      </c>
      <c r="E127">
        <v>2</v>
      </c>
      <c r="F127" t="s">
        <v>384</v>
      </c>
      <c r="G127">
        <v>0</v>
      </c>
      <c r="H127">
        <v>0</v>
      </c>
      <c r="I127" t="s">
        <v>10</v>
      </c>
      <c r="J127">
        <v>5</v>
      </c>
      <c r="K127">
        <v>3.8010000000000002</v>
      </c>
      <c r="L127">
        <v>0.157</v>
      </c>
      <c r="M127">
        <v>1.5028942304503661</v>
      </c>
      <c r="N127">
        <v>1.8338822211171473</v>
      </c>
      <c r="O127">
        <v>-1.8256062862401837E-2</v>
      </c>
      <c r="P127">
        <v>78.500114713049882</v>
      </c>
      <c r="Q127">
        <v>5.1377425085073725</v>
      </c>
      <c r="R127">
        <v>-10.102669545658131</v>
      </c>
      <c r="S127">
        <v>-1.7098324473489157</v>
      </c>
      <c r="T127">
        <v>117.97719709035374</v>
      </c>
      <c r="U127">
        <v>2856.2504849709208</v>
      </c>
      <c r="V127">
        <v>0</v>
      </c>
      <c r="W127">
        <v>0.13780655047212315</v>
      </c>
      <c r="X127">
        <v>0</v>
      </c>
      <c r="Y127">
        <v>0.38607417867876609</v>
      </c>
      <c r="Z127">
        <v>5.8988684745967284</v>
      </c>
      <c r="AA127">
        <v>0</v>
      </c>
      <c r="AB127">
        <v>0</v>
      </c>
    </row>
    <row r="128" spans="1:28" x14ac:dyDescent="0.25">
      <c r="A128">
        <v>2011</v>
      </c>
      <c r="B128" t="s">
        <v>374</v>
      </c>
      <c r="C128" t="s">
        <v>13</v>
      </c>
      <c r="D128">
        <v>109</v>
      </c>
      <c r="E128">
        <v>2</v>
      </c>
      <c r="F128" t="s">
        <v>384</v>
      </c>
      <c r="G128">
        <v>0</v>
      </c>
      <c r="H128">
        <v>0</v>
      </c>
      <c r="I128" t="s">
        <v>11</v>
      </c>
      <c r="J128">
        <v>10</v>
      </c>
      <c r="K128">
        <v>3.0470000000000002</v>
      </c>
      <c r="L128">
        <v>0.13400000000000001</v>
      </c>
      <c r="M128">
        <v>1.0102848716393031</v>
      </c>
      <c r="N128">
        <v>2.2064270774151598</v>
      </c>
      <c r="O128">
        <v>0.12151269525269717</v>
      </c>
      <c r="P128">
        <v>45.55440759135503</v>
      </c>
      <c r="Q128">
        <v>4.4233899398846557</v>
      </c>
      <c r="R128">
        <v>-4.9946086021773084</v>
      </c>
      <c r="S128">
        <v>-2.7459154867228728</v>
      </c>
      <c r="T128">
        <v>135.37817279966663</v>
      </c>
      <c r="U128">
        <v>3078.3380038849568</v>
      </c>
      <c r="V128">
        <v>0</v>
      </c>
      <c r="W128">
        <v>0.22291198966878573</v>
      </c>
      <c r="X128">
        <v>1.2276243772591693E-2</v>
      </c>
      <c r="Y128">
        <v>0.44688839376269546</v>
      </c>
      <c r="Z128">
        <v>4.6022928826036615</v>
      </c>
      <c r="AA128">
        <v>0</v>
      </c>
      <c r="AB128">
        <v>0</v>
      </c>
    </row>
    <row r="129" spans="1:28" x14ac:dyDescent="0.25">
      <c r="A129">
        <v>2011</v>
      </c>
      <c r="B129" t="s">
        <v>374</v>
      </c>
      <c r="C129" t="s">
        <v>13</v>
      </c>
      <c r="D129">
        <v>109</v>
      </c>
      <c r="E129">
        <v>2</v>
      </c>
      <c r="F129" t="s">
        <v>384</v>
      </c>
      <c r="G129">
        <v>0</v>
      </c>
      <c r="H129">
        <v>1</v>
      </c>
      <c r="I129" t="s">
        <v>14</v>
      </c>
      <c r="J129">
        <v>16</v>
      </c>
      <c r="K129">
        <v>3.0270000000000001</v>
      </c>
      <c r="L129">
        <v>0.129</v>
      </c>
      <c r="M129">
        <v>1.4913982615722106</v>
      </c>
      <c r="N129">
        <v>2.2872193780854788</v>
      </c>
      <c r="O129">
        <v>0.10090673580621751</v>
      </c>
      <c r="P129">
        <v>48.339998557351215</v>
      </c>
      <c r="Q129">
        <v>4.6186314900357646</v>
      </c>
      <c r="R129">
        <v>-17.285066299493558</v>
      </c>
      <c r="S129">
        <v>-2.8561623912239256</v>
      </c>
      <c r="T129">
        <v>307.82460118850429</v>
      </c>
      <c r="U129">
        <v>7223.1400604465298</v>
      </c>
      <c r="V129">
        <v>0</v>
      </c>
      <c r="W129">
        <v>0.54578480068975299</v>
      </c>
      <c r="X129">
        <v>2.407874085797106E-2</v>
      </c>
      <c r="Y129">
        <v>1.1021150360131211</v>
      </c>
      <c r="Z129">
        <v>11.535070370053884</v>
      </c>
      <c r="AA129">
        <v>0</v>
      </c>
      <c r="AB129">
        <v>0</v>
      </c>
    </row>
    <row r="130" spans="1:28" x14ac:dyDescent="0.25">
      <c r="A130">
        <v>2011</v>
      </c>
      <c r="B130" t="s">
        <v>374</v>
      </c>
      <c r="C130" t="s">
        <v>13</v>
      </c>
      <c r="D130">
        <v>109</v>
      </c>
      <c r="E130">
        <v>4</v>
      </c>
      <c r="F130" t="s">
        <v>384</v>
      </c>
      <c r="G130">
        <v>0</v>
      </c>
      <c r="H130">
        <v>0</v>
      </c>
      <c r="I130" t="s">
        <v>10</v>
      </c>
      <c r="J130">
        <v>5</v>
      </c>
      <c r="K130">
        <v>3.302</v>
      </c>
      <c r="L130">
        <v>0.16600000000000001</v>
      </c>
      <c r="M130">
        <v>1.2346455545697304</v>
      </c>
      <c r="N130">
        <v>5.4749953888910463</v>
      </c>
      <c r="O130">
        <v>0.44233770747516649</v>
      </c>
      <c r="P130">
        <v>70.963178496605451</v>
      </c>
      <c r="Q130">
        <v>4.7163191991480433</v>
      </c>
      <c r="R130">
        <v>-26.164699809809484</v>
      </c>
      <c r="S130">
        <v>-2.0056766907179142</v>
      </c>
      <c r="T130">
        <v>102.47558102928761</v>
      </c>
      <c r="U130">
        <v>2038.3998105946246</v>
      </c>
      <c r="V130">
        <v>0</v>
      </c>
      <c r="W130">
        <v>0.33798393590920511</v>
      </c>
      <c r="X130">
        <v>2.7306514207639004E-2</v>
      </c>
      <c r="Y130">
        <v>0.29114912665800013</v>
      </c>
      <c r="Z130">
        <v>4.3807186434486098</v>
      </c>
      <c r="AA130">
        <v>0</v>
      </c>
      <c r="AB130">
        <v>0</v>
      </c>
    </row>
    <row r="131" spans="1:28" x14ac:dyDescent="0.25">
      <c r="A131">
        <v>2011</v>
      </c>
      <c r="B131" t="s">
        <v>374</v>
      </c>
      <c r="C131" t="s">
        <v>13</v>
      </c>
      <c r="D131">
        <v>109</v>
      </c>
      <c r="E131">
        <v>4</v>
      </c>
      <c r="F131" t="s">
        <v>384</v>
      </c>
      <c r="G131">
        <v>0</v>
      </c>
      <c r="H131">
        <v>0</v>
      </c>
      <c r="I131" t="s">
        <v>11</v>
      </c>
      <c r="J131">
        <v>10</v>
      </c>
      <c r="K131">
        <v>3.1379999999999999</v>
      </c>
      <c r="L131">
        <v>4.7E-2</v>
      </c>
      <c r="M131">
        <v>1.0287391569141235</v>
      </c>
      <c r="N131">
        <v>4.4384915124708808</v>
      </c>
      <c r="O131">
        <v>0.36664230710289297</v>
      </c>
      <c r="P131">
        <v>25.401615003933269</v>
      </c>
      <c r="Q131">
        <v>0.7290003602731554</v>
      </c>
      <c r="R131">
        <v>-136.67014132740428</v>
      </c>
      <c r="S131">
        <v>0.19892378273226807</v>
      </c>
      <c r="T131">
        <v>48.350740374963799</v>
      </c>
      <c r="U131">
        <v>3228.1834743965192</v>
      </c>
      <c r="V131">
        <v>0</v>
      </c>
      <c r="W131">
        <v>0.45660500165097867</v>
      </c>
      <c r="X131">
        <v>3.7717929789807932E-2</v>
      </c>
      <c r="Y131">
        <v>7.4995121601749828E-2</v>
      </c>
      <c r="Z131">
        <v>2.6131636003403464</v>
      </c>
      <c r="AA131">
        <v>2.0464068453816174E-2</v>
      </c>
      <c r="AB131">
        <v>0</v>
      </c>
    </row>
    <row r="132" spans="1:28" x14ac:dyDescent="0.25">
      <c r="A132">
        <v>2011</v>
      </c>
      <c r="B132" t="s">
        <v>374</v>
      </c>
      <c r="C132" t="s">
        <v>13</v>
      </c>
      <c r="D132">
        <v>109</v>
      </c>
      <c r="E132">
        <v>4</v>
      </c>
      <c r="F132" t="s">
        <v>384</v>
      </c>
      <c r="G132">
        <v>0</v>
      </c>
      <c r="H132">
        <v>1</v>
      </c>
      <c r="I132" t="s">
        <v>14</v>
      </c>
      <c r="J132">
        <v>16</v>
      </c>
      <c r="K132">
        <v>2.9670000000000001</v>
      </c>
      <c r="L132">
        <v>0.121</v>
      </c>
      <c r="M132">
        <v>1.1814754716825444</v>
      </c>
      <c r="N132">
        <v>1.9778738841997381</v>
      </c>
      <c r="O132">
        <v>0.38476721163181898</v>
      </c>
      <c r="P132">
        <v>28.243864175386459</v>
      </c>
      <c r="Q132">
        <v>2.6258792738163628</v>
      </c>
      <c r="R132">
        <v>19.708516268416698</v>
      </c>
      <c r="S132">
        <v>-0.90168835502423139</v>
      </c>
      <c r="T132">
        <v>228.73365131774057</v>
      </c>
      <c r="U132">
        <v>5608.7003591713747</v>
      </c>
      <c r="V132">
        <v>0</v>
      </c>
      <c r="W132">
        <v>0.37388951684215549</v>
      </c>
      <c r="X132">
        <v>7.2734883656108903E-2</v>
      </c>
      <c r="Y132">
        <v>0.49638591257817671</v>
      </c>
      <c r="Z132">
        <v>5.3391092398003899</v>
      </c>
      <c r="AA132">
        <v>0</v>
      </c>
      <c r="AB132">
        <v>6.9855385663172154</v>
      </c>
    </row>
    <row r="133" spans="1:28" x14ac:dyDescent="0.25">
      <c r="A133">
        <v>2011</v>
      </c>
      <c r="B133" t="s">
        <v>374</v>
      </c>
      <c r="C133" t="s">
        <v>13</v>
      </c>
      <c r="D133">
        <v>109</v>
      </c>
      <c r="E133">
        <v>6</v>
      </c>
      <c r="F133" t="s">
        <v>384</v>
      </c>
      <c r="G133">
        <v>1</v>
      </c>
      <c r="H133">
        <v>0</v>
      </c>
      <c r="I133" t="s">
        <v>10</v>
      </c>
      <c r="J133">
        <v>5</v>
      </c>
      <c r="K133">
        <v>5.0670000000000002</v>
      </c>
      <c r="L133">
        <v>0.19400000000000001</v>
      </c>
      <c r="M133">
        <v>1.3624489577958063</v>
      </c>
      <c r="N133">
        <v>3.0654228830618155</v>
      </c>
      <c r="O133">
        <v>0.11757024268795591</v>
      </c>
      <c r="P133">
        <v>51.789085758135023</v>
      </c>
      <c r="Q133">
        <v>4.6608384569845196</v>
      </c>
      <c r="R133">
        <v>25.861407153851609</v>
      </c>
      <c r="S133">
        <v>-2.6300811975456568</v>
      </c>
      <c r="T133">
        <v>132.1575489061932</v>
      </c>
      <c r="U133">
        <v>3451.7644345756748</v>
      </c>
      <c r="V133">
        <v>0</v>
      </c>
      <c r="W133">
        <v>0.20882411061154932</v>
      </c>
      <c r="X133">
        <v>8.0091727309002762E-3</v>
      </c>
      <c r="Y133">
        <v>0.31750772490865864</v>
      </c>
      <c r="Z133">
        <v>3.527999295818435</v>
      </c>
      <c r="AA133">
        <v>0</v>
      </c>
      <c r="AB133">
        <v>1.7617423611949068</v>
      </c>
    </row>
    <row r="134" spans="1:28" x14ac:dyDescent="0.25">
      <c r="A134">
        <v>2011</v>
      </c>
      <c r="B134" t="s">
        <v>374</v>
      </c>
      <c r="C134" t="s">
        <v>13</v>
      </c>
      <c r="D134">
        <v>109</v>
      </c>
      <c r="E134">
        <v>6</v>
      </c>
      <c r="F134" t="s">
        <v>384</v>
      </c>
      <c r="G134">
        <v>1</v>
      </c>
      <c r="H134">
        <v>0</v>
      </c>
      <c r="I134" t="s">
        <v>11</v>
      </c>
      <c r="J134">
        <v>10</v>
      </c>
      <c r="K134">
        <v>4.8220000000000001</v>
      </c>
      <c r="L134">
        <v>0.18099999999999999</v>
      </c>
      <c r="M134">
        <v>0.80768096552764757</v>
      </c>
      <c r="N134">
        <v>2.866778210456284</v>
      </c>
      <c r="O134">
        <v>6.3395005085820647E-2</v>
      </c>
      <c r="P134">
        <v>49.331015345041003</v>
      </c>
      <c r="Q134">
        <v>4.1777054777639702</v>
      </c>
      <c r="R134">
        <v>30.85706294095386</v>
      </c>
      <c r="S134">
        <v>-1.6826407350383441</v>
      </c>
      <c r="T134">
        <v>146.19025476050422</v>
      </c>
      <c r="U134">
        <v>3894.6376157743161</v>
      </c>
      <c r="V134">
        <v>0</v>
      </c>
      <c r="W134">
        <v>0.2315442192974953</v>
      </c>
      <c r="X134">
        <v>5.1202938917345757E-3</v>
      </c>
      <c r="Y134">
        <v>0.33742531939705456</v>
      </c>
      <c r="Z134">
        <v>3.9843722104341914</v>
      </c>
      <c r="AA134">
        <v>0</v>
      </c>
      <c r="AB134">
        <v>2.4922662389497008</v>
      </c>
    </row>
    <row r="135" spans="1:28" x14ac:dyDescent="0.25">
      <c r="A135">
        <v>2011</v>
      </c>
      <c r="B135" t="s">
        <v>374</v>
      </c>
      <c r="C135" t="s">
        <v>13</v>
      </c>
      <c r="D135">
        <v>109</v>
      </c>
      <c r="E135">
        <v>6</v>
      </c>
      <c r="F135" t="s">
        <v>384</v>
      </c>
      <c r="G135">
        <v>1</v>
      </c>
      <c r="H135">
        <v>1</v>
      </c>
      <c r="I135" t="s">
        <v>29</v>
      </c>
      <c r="J135">
        <v>4</v>
      </c>
      <c r="K135">
        <v>11.137</v>
      </c>
      <c r="L135">
        <v>0.46100000000000002</v>
      </c>
      <c r="M135">
        <v>1.5431423810880782</v>
      </c>
      <c r="N135">
        <v>3.7134922573458189</v>
      </c>
      <c r="O135">
        <v>1.3209693873316577</v>
      </c>
      <c r="P135">
        <v>79.013603056770322</v>
      </c>
      <c r="Q135">
        <v>10.534881676104618</v>
      </c>
      <c r="R135">
        <v>-37.802436767678429</v>
      </c>
      <c r="S135">
        <v>-4.5756645995118674</v>
      </c>
      <c r="T135">
        <v>284.55545507264162</v>
      </c>
      <c r="U135">
        <v>6874.3906792711714</v>
      </c>
      <c r="V135">
        <v>0</v>
      </c>
      <c r="W135">
        <v>0.22921789136611079</v>
      </c>
      <c r="X135">
        <v>8.1537753828457363E-2</v>
      </c>
      <c r="Y135">
        <v>0.65027289576580982</v>
      </c>
      <c r="Z135">
        <v>4.8771695823749113</v>
      </c>
      <c r="AA135">
        <v>0</v>
      </c>
      <c r="AB135">
        <v>0</v>
      </c>
    </row>
    <row r="136" spans="1:28" x14ac:dyDescent="0.25">
      <c r="A136">
        <v>2011</v>
      </c>
      <c r="B136" t="s">
        <v>374</v>
      </c>
      <c r="C136" t="s">
        <v>13</v>
      </c>
      <c r="D136">
        <v>109</v>
      </c>
      <c r="E136">
        <v>8</v>
      </c>
      <c r="F136" t="s">
        <v>384</v>
      </c>
      <c r="G136">
        <v>0</v>
      </c>
      <c r="H136">
        <v>0</v>
      </c>
      <c r="I136" t="s">
        <v>10</v>
      </c>
      <c r="J136">
        <v>5</v>
      </c>
      <c r="K136">
        <v>4.5179999999999998</v>
      </c>
      <c r="L136">
        <v>0.20100000000000001</v>
      </c>
      <c r="M136">
        <v>1.3551795856682949</v>
      </c>
      <c r="N136">
        <v>2.3345244856160621</v>
      </c>
      <c r="O136">
        <v>2.410725415614929E-2</v>
      </c>
      <c r="P136">
        <v>102.90365028850404</v>
      </c>
      <c r="Q136">
        <v>7.8985899687508718</v>
      </c>
      <c r="R136">
        <v>-30.496805185537056</v>
      </c>
      <c r="S136">
        <v>0.4987733047186822</v>
      </c>
      <c r="T136">
        <v>136.19554835966363</v>
      </c>
      <c r="U136">
        <v>3061.3506840246778</v>
      </c>
      <c r="V136">
        <v>0</v>
      </c>
      <c r="W136">
        <v>0.1581849962574832</v>
      </c>
      <c r="X136">
        <v>1.6334829349465339E-3</v>
      </c>
      <c r="Y136">
        <v>0.53520039406077791</v>
      </c>
      <c r="Z136">
        <v>6.9726463080865004</v>
      </c>
      <c r="AA136">
        <v>3.3796370021553494E-2</v>
      </c>
      <c r="AB136">
        <v>0</v>
      </c>
    </row>
    <row r="137" spans="1:28" x14ac:dyDescent="0.25">
      <c r="A137">
        <v>2011</v>
      </c>
      <c r="B137" t="s">
        <v>374</v>
      </c>
      <c r="C137" t="s">
        <v>13</v>
      </c>
      <c r="D137">
        <v>109</v>
      </c>
      <c r="E137">
        <v>8</v>
      </c>
      <c r="F137" t="s">
        <v>384</v>
      </c>
      <c r="G137">
        <v>0</v>
      </c>
      <c r="H137">
        <v>0</v>
      </c>
      <c r="I137" t="s">
        <v>11</v>
      </c>
      <c r="J137">
        <v>10</v>
      </c>
      <c r="K137">
        <v>3.0089999999999999</v>
      </c>
      <c r="L137">
        <v>0.123</v>
      </c>
      <c r="M137">
        <v>1.1044444573620682</v>
      </c>
      <c r="N137">
        <v>1.1685874135184084</v>
      </c>
      <c r="O137">
        <v>3.1613741044931865E-2</v>
      </c>
      <c r="P137">
        <v>80.237494294926634</v>
      </c>
      <c r="Q137">
        <v>7.4807979792215287</v>
      </c>
      <c r="R137">
        <v>-27.029456458783024</v>
      </c>
      <c r="S137">
        <v>-1.5149874095437745</v>
      </c>
      <c r="T137">
        <v>135.84666825553438</v>
      </c>
      <c r="U137">
        <v>3323.2733722024632</v>
      </c>
      <c r="V137">
        <v>0</v>
      </c>
      <c r="W137">
        <v>0.12906398918034814</v>
      </c>
      <c r="X137">
        <v>3.4915621073554719E-3</v>
      </c>
      <c r="Y137">
        <v>0.82621258647965756</v>
      </c>
      <c r="Z137">
        <v>8.8617855846652294</v>
      </c>
      <c r="AA137">
        <v>0</v>
      </c>
      <c r="AB137">
        <v>0</v>
      </c>
    </row>
    <row r="138" spans="1:28" x14ac:dyDescent="0.25">
      <c r="A138">
        <v>2011</v>
      </c>
      <c r="B138" t="s">
        <v>374</v>
      </c>
      <c r="C138" t="s">
        <v>13</v>
      </c>
      <c r="D138">
        <v>109</v>
      </c>
      <c r="E138">
        <v>8</v>
      </c>
      <c r="F138" t="s">
        <v>384</v>
      </c>
      <c r="G138">
        <v>0</v>
      </c>
      <c r="H138">
        <v>1</v>
      </c>
      <c r="I138" t="s">
        <v>15</v>
      </c>
      <c r="J138">
        <v>10</v>
      </c>
      <c r="K138">
        <v>2.2930000000000001</v>
      </c>
      <c r="L138">
        <v>0.10299999999999999</v>
      </c>
      <c r="M138">
        <v>1.1907368902478175</v>
      </c>
      <c r="N138">
        <v>1.1429183090854902</v>
      </c>
      <c r="O138">
        <v>8.4406667267359722E-2</v>
      </c>
      <c r="P138">
        <v>31.033069297037656</v>
      </c>
      <c r="Q138">
        <v>3.3753210161109246</v>
      </c>
      <c r="R138">
        <v>-9.1879690932652487</v>
      </c>
      <c r="S138">
        <v>-1.0285760398289709</v>
      </c>
      <c r="T138">
        <v>122.64589969552519</v>
      </c>
      <c r="U138">
        <v>2730.359689338246</v>
      </c>
      <c r="V138">
        <v>0</v>
      </c>
      <c r="W138">
        <v>0.13609149931677506</v>
      </c>
      <c r="X138">
        <v>1.0050613249811815E-2</v>
      </c>
      <c r="Y138">
        <v>0.4019119250312026</v>
      </c>
      <c r="Z138">
        <v>3.6952220429599638</v>
      </c>
      <c r="AA138">
        <v>0</v>
      </c>
      <c r="AB138">
        <v>0</v>
      </c>
    </row>
    <row r="139" spans="1:28" x14ac:dyDescent="0.25">
      <c r="A139">
        <v>2011</v>
      </c>
      <c r="B139" t="s">
        <v>374</v>
      </c>
      <c r="C139" t="s">
        <v>13</v>
      </c>
      <c r="D139">
        <v>109</v>
      </c>
      <c r="E139">
        <v>10</v>
      </c>
      <c r="F139" t="s">
        <v>384</v>
      </c>
      <c r="G139">
        <v>0</v>
      </c>
      <c r="H139">
        <v>0</v>
      </c>
      <c r="I139" t="s">
        <v>10</v>
      </c>
      <c r="J139">
        <v>5</v>
      </c>
      <c r="K139">
        <v>4.3609999999999998</v>
      </c>
      <c r="L139">
        <v>0.20599999999999999</v>
      </c>
      <c r="M139">
        <v>1.9468163371630653</v>
      </c>
      <c r="N139">
        <v>2.0536685933229841</v>
      </c>
      <c r="O139">
        <v>0.45190031501980948</v>
      </c>
      <c r="P139">
        <v>50.827524897114969</v>
      </c>
      <c r="Q139">
        <v>4.3568391551254795</v>
      </c>
      <c r="R139">
        <v>-29.640925476807109</v>
      </c>
      <c r="S139">
        <v>-1.3143781621988762</v>
      </c>
      <c r="T139">
        <v>200.52208272779569</v>
      </c>
      <c r="U139">
        <v>4245.0330231840635</v>
      </c>
      <c r="V139">
        <v>0</v>
      </c>
      <c r="W139">
        <v>0.19990577842999385</v>
      </c>
      <c r="X139">
        <v>4.3988345802485042E-2</v>
      </c>
      <c r="Y139">
        <v>0.42409828227950047</v>
      </c>
      <c r="Z139">
        <v>4.9475927923632934</v>
      </c>
      <c r="AA139">
        <v>0</v>
      </c>
      <c r="AB139">
        <v>0</v>
      </c>
    </row>
    <row r="140" spans="1:28" x14ac:dyDescent="0.25">
      <c r="A140">
        <v>2011</v>
      </c>
      <c r="B140" t="s">
        <v>374</v>
      </c>
      <c r="C140" t="s">
        <v>13</v>
      </c>
      <c r="D140">
        <v>109</v>
      </c>
      <c r="E140">
        <v>10</v>
      </c>
      <c r="F140" t="s">
        <v>384</v>
      </c>
      <c r="G140">
        <v>0</v>
      </c>
      <c r="H140">
        <v>1</v>
      </c>
      <c r="I140" t="s">
        <v>30</v>
      </c>
      <c r="J140">
        <v>4.5</v>
      </c>
      <c r="K140">
        <v>4.1390000000000002</v>
      </c>
      <c r="L140">
        <v>0.18</v>
      </c>
      <c r="M140">
        <v>0.46029282333363714</v>
      </c>
      <c r="N140">
        <v>4.830101589880595</v>
      </c>
      <c r="O140">
        <v>1.1310283214555097</v>
      </c>
      <c r="P140">
        <v>45.594280601890127</v>
      </c>
      <c r="Q140">
        <v>4.3346129520115291</v>
      </c>
      <c r="R140">
        <v>108.02683616116178</v>
      </c>
      <c r="S140">
        <v>12.123839712576832</v>
      </c>
      <c r="T140">
        <v>37.283718690024607</v>
      </c>
      <c r="U140">
        <v>857.31839810006591</v>
      </c>
      <c r="V140">
        <v>0</v>
      </c>
      <c r="W140">
        <v>0.10004674940074927</v>
      </c>
      <c r="X140">
        <v>2.3427189870887748E-2</v>
      </c>
      <c r="Y140">
        <v>8.9783605518297227E-2</v>
      </c>
      <c r="Z140">
        <v>0.94440240657495411</v>
      </c>
      <c r="AA140">
        <v>0.25112323849259077</v>
      </c>
      <c r="AB140">
        <v>4.9723977412421405</v>
      </c>
    </row>
    <row r="141" spans="1:28" x14ac:dyDescent="0.25">
      <c r="A141">
        <v>2011</v>
      </c>
      <c r="B141" t="s">
        <v>374</v>
      </c>
      <c r="C141" t="s">
        <v>376</v>
      </c>
      <c r="D141">
        <v>114</v>
      </c>
      <c r="E141">
        <v>2</v>
      </c>
      <c r="F141" t="s">
        <v>384</v>
      </c>
      <c r="G141">
        <v>0</v>
      </c>
      <c r="H141">
        <v>0</v>
      </c>
      <c r="I141" t="s">
        <v>10</v>
      </c>
      <c r="J141">
        <v>5</v>
      </c>
      <c r="K141">
        <v>6.5880000000000001</v>
      </c>
      <c r="L141">
        <v>0.307</v>
      </c>
      <c r="M141">
        <v>0.74259761052487339</v>
      </c>
      <c r="N141">
        <v>6.2793385952431509</v>
      </c>
      <c r="O141">
        <v>3.092156048830808</v>
      </c>
      <c r="P141">
        <v>115.9432828999072</v>
      </c>
      <c r="Q141">
        <v>14.851153416927701</v>
      </c>
      <c r="R141">
        <v>-28.998869856428897</v>
      </c>
      <c r="S141">
        <v>-1.5618510063032005</v>
      </c>
      <c r="T141">
        <v>113.98873321556806</v>
      </c>
      <c r="U141">
        <v>2446.1165290689328</v>
      </c>
      <c r="V141">
        <v>0</v>
      </c>
      <c r="W141">
        <v>0.23315109182520893</v>
      </c>
      <c r="X141">
        <v>0.11481138466158958</v>
      </c>
      <c r="Y141">
        <v>0.55142155204744081</v>
      </c>
      <c r="Z141">
        <v>4.304960241894026</v>
      </c>
      <c r="AA141">
        <v>0</v>
      </c>
      <c r="AB141">
        <v>0</v>
      </c>
    </row>
    <row r="142" spans="1:28" x14ac:dyDescent="0.25">
      <c r="A142">
        <v>2011</v>
      </c>
      <c r="B142" t="s">
        <v>374</v>
      </c>
      <c r="C142" t="s">
        <v>376</v>
      </c>
      <c r="D142">
        <v>114</v>
      </c>
      <c r="E142">
        <v>2</v>
      </c>
      <c r="F142" t="s">
        <v>384</v>
      </c>
      <c r="G142">
        <v>0</v>
      </c>
      <c r="H142">
        <v>0</v>
      </c>
      <c r="I142" t="s">
        <v>11</v>
      </c>
      <c r="J142">
        <v>10</v>
      </c>
      <c r="K142">
        <v>9.1210000000000004</v>
      </c>
      <c r="L142">
        <v>0.50700000000000001</v>
      </c>
      <c r="M142">
        <v>0.46655304432871608</v>
      </c>
      <c r="N142">
        <v>24.744511931544508</v>
      </c>
      <c r="O142">
        <v>6.7055941125087282</v>
      </c>
      <c r="P142">
        <v>200.25040973472821</v>
      </c>
      <c r="Q142">
        <v>31.821864558166624</v>
      </c>
      <c r="R142">
        <v>-106.21284568249035</v>
      </c>
      <c r="S142">
        <v>-21.862725798738666</v>
      </c>
      <c r="T142">
        <v>236.54239347465906</v>
      </c>
      <c r="U142">
        <v>4255.4303173222197</v>
      </c>
      <c r="V142">
        <v>0</v>
      </c>
      <c r="W142">
        <v>1.154462737209033</v>
      </c>
      <c r="X142">
        <v>0.31285153472236626</v>
      </c>
      <c r="Y142">
        <v>1.4846587785828713</v>
      </c>
      <c r="Z142">
        <v>9.3427438289810212</v>
      </c>
      <c r="AA142">
        <v>0</v>
      </c>
      <c r="AB142">
        <v>0</v>
      </c>
    </row>
    <row r="143" spans="1:28" x14ac:dyDescent="0.25">
      <c r="A143">
        <v>2011</v>
      </c>
      <c r="B143" t="s">
        <v>374</v>
      </c>
      <c r="C143" t="s">
        <v>376</v>
      </c>
      <c r="D143">
        <v>114</v>
      </c>
      <c r="E143">
        <v>2</v>
      </c>
      <c r="F143" t="s">
        <v>384</v>
      </c>
      <c r="G143">
        <v>0</v>
      </c>
      <c r="H143">
        <v>1</v>
      </c>
      <c r="I143" t="s">
        <v>22</v>
      </c>
      <c r="J143">
        <v>15</v>
      </c>
      <c r="K143">
        <v>7.36</v>
      </c>
      <c r="L143">
        <v>0.47399999999999998</v>
      </c>
      <c r="M143">
        <v>0.74516178349869233</v>
      </c>
      <c r="N143">
        <v>43.225670041608367</v>
      </c>
      <c r="O143">
        <v>4.7094724365317843E-2</v>
      </c>
      <c r="P143">
        <v>53.188194913713794</v>
      </c>
      <c r="Q143">
        <v>-2.0682433836137619</v>
      </c>
      <c r="R143">
        <v>5.2141118434054405</v>
      </c>
      <c r="S143">
        <v>-2.2709398721319687</v>
      </c>
      <c r="T143">
        <v>529.8100280675701</v>
      </c>
      <c r="U143">
        <v>8226.5860898255632</v>
      </c>
      <c r="V143">
        <v>0</v>
      </c>
      <c r="W143">
        <v>4.8315176071696326</v>
      </c>
      <c r="X143">
        <v>5.2639783202159344E-3</v>
      </c>
      <c r="Y143">
        <v>0</v>
      </c>
      <c r="Z143">
        <v>5.9450715274468573</v>
      </c>
      <c r="AA143">
        <v>0</v>
      </c>
      <c r="AB143">
        <v>1.1656070641780958</v>
      </c>
    </row>
    <row r="144" spans="1:28" x14ac:dyDescent="0.25">
      <c r="A144">
        <v>2011</v>
      </c>
      <c r="B144" t="s">
        <v>374</v>
      </c>
      <c r="C144" t="s">
        <v>376</v>
      </c>
      <c r="D144">
        <v>114</v>
      </c>
      <c r="E144">
        <v>4</v>
      </c>
      <c r="F144" t="s">
        <v>384</v>
      </c>
      <c r="G144">
        <v>0</v>
      </c>
      <c r="H144">
        <v>0</v>
      </c>
      <c r="I144" t="s">
        <v>10</v>
      </c>
      <c r="J144">
        <v>5</v>
      </c>
      <c r="K144">
        <v>6.5339999999999998</v>
      </c>
      <c r="L144">
        <v>0.27400000000000002</v>
      </c>
      <c r="M144">
        <v>1.5752661129710577</v>
      </c>
      <c r="N144">
        <v>11.216301243615909</v>
      </c>
      <c r="O144">
        <v>0.1844378192248676</v>
      </c>
      <c r="P144">
        <v>67.245098856767683</v>
      </c>
      <c r="Q144">
        <v>6.3941264754453293</v>
      </c>
      <c r="R144">
        <v>-20.409201588734177</v>
      </c>
      <c r="S144">
        <v>-2.2832486350947931</v>
      </c>
      <c r="T144">
        <v>215.81145747703493</v>
      </c>
      <c r="U144">
        <v>5146.3943910764456</v>
      </c>
      <c r="V144">
        <v>0</v>
      </c>
      <c r="W144">
        <v>0.88343296309716357</v>
      </c>
      <c r="X144">
        <v>1.4526932328760791E-2</v>
      </c>
      <c r="Y144">
        <v>0.50362253794100464</v>
      </c>
      <c r="Z144">
        <v>5.2964462746227463</v>
      </c>
      <c r="AA144">
        <v>0</v>
      </c>
      <c r="AB144">
        <v>0</v>
      </c>
    </row>
    <row r="145" spans="1:28" x14ac:dyDescent="0.25">
      <c r="A145">
        <v>2011</v>
      </c>
      <c r="B145" t="s">
        <v>374</v>
      </c>
      <c r="C145" t="s">
        <v>376</v>
      </c>
      <c r="D145">
        <v>114</v>
      </c>
      <c r="E145">
        <v>4</v>
      </c>
      <c r="F145" t="s">
        <v>384</v>
      </c>
      <c r="G145">
        <v>0</v>
      </c>
      <c r="H145">
        <v>0</v>
      </c>
      <c r="I145" t="s">
        <v>11</v>
      </c>
      <c r="J145">
        <v>10</v>
      </c>
      <c r="K145">
        <v>7.58</v>
      </c>
      <c r="L145">
        <v>0.35199999999999998</v>
      </c>
      <c r="M145">
        <v>1.137295226251648</v>
      </c>
      <c r="N145">
        <v>51.51546008265327</v>
      </c>
      <c r="O145">
        <v>0.83023151085529756</v>
      </c>
      <c r="P145">
        <v>58.551903736962785</v>
      </c>
      <c r="Q145">
        <v>-1.3620081105071904</v>
      </c>
      <c r="R145">
        <v>-18.145108203932118</v>
      </c>
      <c r="S145">
        <v>-8.8002687146106311</v>
      </c>
      <c r="T145">
        <v>400.32791964058015</v>
      </c>
      <c r="U145">
        <v>8620.697814987494</v>
      </c>
      <c r="V145">
        <v>0</v>
      </c>
      <c r="W145">
        <v>5.8588286830158891</v>
      </c>
      <c r="X145">
        <v>9.4421833397942342E-2</v>
      </c>
      <c r="Y145">
        <v>0</v>
      </c>
      <c r="Z145">
        <v>6.659080060799381</v>
      </c>
      <c r="AA145">
        <v>0</v>
      </c>
      <c r="AB145">
        <v>0</v>
      </c>
    </row>
    <row r="146" spans="1:28" x14ac:dyDescent="0.25">
      <c r="A146">
        <v>2011</v>
      </c>
      <c r="B146" t="s">
        <v>374</v>
      </c>
      <c r="C146" t="s">
        <v>376</v>
      </c>
      <c r="D146">
        <v>114</v>
      </c>
      <c r="E146">
        <v>4</v>
      </c>
      <c r="F146" t="s">
        <v>384</v>
      </c>
      <c r="G146">
        <v>0</v>
      </c>
      <c r="H146">
        <v>1</v>
      </c>
      <c r="I146" t="s">
        <v>31</v>
      </c>
      <c r="J146">
        <v>11</v>
      </c>
      <c r="K146">
        <v>4.1230000000000002</v>
      </c>
      <c r="L146">
        <v>0.19900000000000001</v>
      </c>
      <c r="M146">
        <v>0.90199719178831073</v>
      </c>
      <c r="N146">
        <v>173.30946084273617</v>
      </c>
      <c r="O146">
        <v>3.1256668263855321E-2</v>
      </c>
      <c r="P146">
        <v>77.939904742656338</v>
      </c>
      <c r="Q146">
        <v>12.087009091970629</v>
      </c>
      <c r="R146">
        <v>-2.3926430627609818</v>
      </c>
      <c r="S146">
        <v>-93.17118822211026</v>
      </c>
      <c r="T146">
        <v>197.44718528246122</v>
      </c>
      <c r="U146">
        <v>4090.8278639175255</v>
      </c>
      <c r="V146">
        <v>0</v>
      </c>
      <c r="W146">
        <v>17.195711168954361</v>
      </c>
      <c r="X146">
        <v>3.1012769698521947E-3</v>
      </c>
      <c r="Y146">
        <v>1.1992693083885018</v>
      </c>
      <c r="Z146">
        <v>7.7331732726736906</v>
      </c>
      <c r="AA146">
        <v>0</v>
      </c>
      <c r="AB146">
        <v>0</v>
      </c>
    </row>
    <row r="147" spans="1:28" x14ac:dyDescent="0.25">
      <c r="A147">
        <v>2011</v>
      </c>
      <c r="B147" t="s">
        <v>374</v>
      </c>
      <c r="C147" t="s">
        <v>376</v>
      </c>
      <c r="D147">
        <v>114</v>
      </c>
      <c r="E147">
        <v>6</v>
      </c>
      <c r="F147" t="s">
        <v>384</v>
      </c>
      <c r="G147">
        <v>0</v>
      </c>
      <c r="H147">
        <v>0</v>
      </c>
      <c r="I147" t="s">
        <v>10</v>
      </c>
      <c r="J147">
        <v>5</v>
      </c>
      <c r="K147">
        <v>5.44</v>
      </c>
      <c r="L147">
        <v>0.254</v>
      </c>
      <c r="M147">
        <v>0.85722081267411709</v>
      </c>
      <c r="N147">
        <v>4.4673000676706778</v>
      </c>
      <c r="O147">
        <v>0.48945322138636077</v>
      </c>
      <c r="P147">
        <v>109.26995894914153</v>
      </c>
      <c r="Q147">
        <v>16.689293997864716</v>
      </c>
      <c r="R147">
        <v>-22.636979912289391</v>
      </c>
      <c r="S147">
        <v>-3.2006109575879833</v>
      </c>
      <c r="T147">
        <v>108.86704320961287</v>
      </c>
      <c r="U147">
        <v>2331.6406104735984</v>
      </c>
      <c r="V147">
        <v>0</v>
      </c>
      <c r="W147">
        <v>0.19147312972338984</v>
      </c>
      <c r="X147">
        <v>2.0978474410139034E-2</v>
      </c>
      <c r="Y147">
        <v>0.71532050819034287</v>
      </c>
      <c r="Z147">
        <v>4.6834241505625256</v>
      </c>
      <c r="AA147">
        <v>0</v>
      </c>
      <c r="AB147">
        <v>0</v>
      </c>
    </row>
    <row r="148" spans="1:28" x14ac:dyDescent="0.25">
      <c r="A148">
        <v>2011</v>
      </c>
      <c r="B148" t="s">
        <v>374</v>
      </c>
      <c r="C148" t="s">
        <v>376</v>
      </c>
      <c r="D148">
        <v>114</v>
      </c>
      <c r="E148">
        <v>6</v>
      </c>
      <c r="F148" t="s">
        <v>384</v>
      </c>
      <c r="G148">
        <v>0</v>
      </c>
      <c r="H148">
        <v>0</v>
      </c>
      <c r="I148" t="s">
        <v>11</v>
      </c>
      <c r="J148">
        <v>10</v>
      </c>
      <c r="K148">
        <v>4.99</v>
      </c>
      <c r="L148">
        <v>0.22600000000000001</v>
      </c>
      <c r="M148">
        <v>0.64023251030482065</v>
      </c>
      <c r="N148">
        <v>4.2311365664516183</v>
      </c>
      <c r="O148">
        <v>0.71799430274150744</v>
      </c>
      <c r="P148">
        <v>74.254954379161632</v>
      </c>
      <c r="Q148">
        <v>12.310092496497873</v>
      </c>
      <c r="R148">
        <v>-17.277245774521482</v>
      </c>
      <c r="S148">
        <v>-2.4350650803944713</v>
      </c>
      <c r="T148">
        <v>144.69254732888948</v>
      </c>
      <c r="U148">
        <v>3194.760226421055</v>
      </c>
      <c r="V148">
        <v>0</v>
      </c>
      <c r="W148">
        <v>0.27089111853818398</v>
      </c>
      <c r="X148">
        <v>4.5968329482875478E-2</v>
      </c>
      <c r="Y148">
        <v>0.78813214211173699</v>
      </c>
      <c r="Z148">
        <v>4.7540435844740587</v>
      </c>
      <c r="AA148">
        <v>0</v>
      </c>
      <c r="AB148">
        <v>0</v>
      </c>
    </row>
    <row r="149" spans="1:28" x14ac:dyDescent="0.25">
      <c r="A149">
        <v>2011</v>
      </c>
      <c r="B149" t="s">
        <v>374</v>
      </c>
      <c r="C149" t="s">
        <v>376</v>
      </c>
      <c r="D149">
        <v>114</v>
      </c>
      <c r="E149">
        <v>6</v>
      </c>
      <c r="F149" t="s">
        <v>384</v>
      </c>
      <c r="G149">
        <v>0</v>
      </c>
      <c r="H149">
        <v>1</v>
      </c>
      <c r="I149" t="s">
        <v>32</v>
      </c>
      <c r="J149">
        <v>14</v>
      </c>
      <c r="K149">
        <v>9.9860000000000007</v>
      </c>
      <c r="L149">
        <v>0.48399999999999999</v>
      </c>
      <c r="M149">
        <v>0.69205464827304308</v>
      </c>
      <c r="N149">
        <v>18.137558066010421</v>
      </c>
      <c r="O149">
        <v>1.9350589580778113</v>
      </c>
      <c r="P149">
        <v>117.31469167053088</v>
      </c>
      <c r="Q149">
        <v>17.799933079813108</v>
      </c>
      <c r="R149">
        <v>-37.704921264907185</v>
      </c>
      <c r="S149">
        <v>-7.0473547824273837</v>
      </c>
      <c r="T149">
        <v>468.936229669814</v>
      </c>
      <c r="U149">
        <v>9675.2008047164509</v>
      </c>
      <c r="V149">
        <v>0</v>
      </c>
      <c r="W149">
        <v>1.757305391506663</v>
      </c>
      <c r="X149">
        <v>0.18748331652681971</v>
      </c>
      <c r="Y149">
        <v>1.724593699756727</v>
      </c>
      <c r="Z149">
        <v>11.366344875383364</v>
      </c>
      <c r="AA149">
        <v>0</v>
      </c>
      <c r="AB149">
        <v>0</v>
      </c>
    </row>
    <row r="150" spans="1:28" x14ac:dyDescent="0.25">
      <c r="A150">
        <v>2011</v>
      </c>
      <c r="B150" t="s">
        <v>374</v>
      </c>
      <c r="C150" t="s">
        <v>376</v>
      </c>
      <c r="D150">
        <v>114</v>
      </c>
      <c r="E150">
        <v>8</v>
      </c>
      <c r="F150" t="s">
        <v>384</v>
      </c>
      <c r="G150">
        <v>1</v>
      </c>
      <c r="H150">
        <v>0</v>
      </c>
      <c r="I150" t="s">
        <v>10</v>
      </c>
      <c r="J150">
        <v>5</v>
      </c>
      <c r="K150">
        <v>5.2370000000000001</v>
      </c>
      <c r="L150">
        <v>0.246</v>
      </c>
      <c r="M150">
        <v>1.1621171481975694</v>
      </c>
      <c r="N150">
        <v>3.0254889162288632</v>
      </c>
      <c r="O150">
        <v>9.2206424170520537E-3</v>
      </c>
      <c r="P150">
        <v>126.47261763590062</v>
      </c>
      <c r="Q150">
        <v>18.262463576298433</v>
      </c>
      <c r="R150">
        <v>-12.602823817187613</v>
      </c>
      <c r="S150">
        <v>-5.2707895496738502</v>
      </c>
      <c r="T150">
        <v>142.94040922830104</v>
      </c>
      <c r="U150">
        <v>3043.0037525553357</v>
      </c>
      <c r="V150">
        <v>0</v>
      </c>
      <c r="W150">
        <v>0.17579862756156206</v>
      </c>
      <c r="X150">
        <v>5.357733335127037E-4</v>
      </c>
      <c r="Y150">
        <v>1.061156104517496</v>
      </c>
      <c r="Z150">
        <v>7.3487998866057236</v>
      </c>
      <c r="AA150">
        <v>0</v>
      </c>
      <c r="AB150">
        <v>0</v>
      </c>
    </row>
    <row r="151" spans="1:28" x14ac:dyDescent="0.25">
      <c r="A151">
        <v>2011</v>
      </c>
      <c r="B151" t="s">
        <v>374</v>
      </c>
      <c r="C151" t="s">
        <v>376</v>
      </c>
      <c r="D151">
        <v>114</v>
      </c>
      <c r="E151">
        <v>8</v>
      </c>
      <c r="F151" t="s">
        <v>384</v>
      </c>
      <c r="G151">
        <v>1</v>
      </c>
      <c r="H151">
        <v>0</v>
      </c>
      <c r="I151" t="s">
        <v>11</v>
      </c>
      <c r="J151">
        <v>10</v>
      </c>
      <c r="K151">
        <v>5.0380000000000003</v>
      </c>
      <c r="L151">
        <v>0.22800000000000001</v>
      </c>
      <c r="M151">
        <v>0.80349268030268572</v>
      </c>
      <c r="N151">
        <v>1.800069842893407</v>
      </c>
      <c r="O151">
        <v>7.1852738081419051E-2</v>
      </c>
      <c r="P151">
        <v>96.723050731608978</v>
      </c>
      <c r="Q151">
        <v>16.663487203749067</v>
      </c>
      <c r="R151">
        <v>93.020673900340356</v>
      </c>
      <c r="S151">
        <v>71.210254819678525</v>
      </c>
      <c r="T151">
        <v>183.19633110901233</v>
      </c>
      <c r="U151">
        <v>4047.996123364931</v>
      </c>
      <c r="V151">
        <v>0</v>
      </c>
      <c r="W151">
        <v>0.14463429427984578</v>
      </c>
      <c r="X151">
        <v>5.7733149108126257E-3</v>
      </c>
      <c r="Y151">
        <v>1.3388989996529843</v>
      </c>
      <c r="Z151">
        <v>7.7716263279393152</v>
      </c>
      <c r="AA151">
        <v>5.7216918510100747</v>
      </c>
      <c r="AB151">
        <v>7.4741430595746561</v>
      </c>
    </row>
    <row r="152" spans="1:28" x14ac:dyDescent="0.25">
      <c r="A152">
        <v>2011</v>
      </c>
      <c r="B152" t="s">
        <v>374</v>
      </c>
      <c r="C152" t="s">
        <v>376</v>
      </c>
      <c r="D152">
        <v>114</v>
      </c>
      <c r="E152">
        <v>8</v>
      </c>
      <c r="F152" t="s">
        <v>384</v>
      </c>
      <c r="G152">
        <v>1</v>
      </c>
      <c r="H152">
        <v>1</v>
      </c>
      <c r="I152" t="s">
        <v>31</v>
      </c>
      <c r="J152">
        <v>11</v>
      </c>
      <c r="K152">
        <v>5.8579999999999997</v>
      </c>
      <c r="L152">
        <v>0.255</v>
      </c>
      <c r="M152">
        <v>1.069735720152567</v>
      </c>
      <c r="N152">
        <v>2.8146611585819166</v>
      </c>
      <c r="O152">
        <v>1.2003742537101492</v>
      </c>
      <c r="P152">
        <v>77.12979545995556</v>
      </c>
      <c r="Q152">
        <v>13.16165009021462</v>
      </c>
      <c r="R152">
        <v>-35.335139259997604</v>
      </c>
      <c r="S152">
        <v>-0.61907003247430836</v>
      </c>
      <c r="T152">
        <v>300.06086950279507</v>
      </c>
      <c r="U152">
        <v>6893.1630335191112</v>
      </c>
      <c r="V152">
        <v>0</v>
      </c>
      <c r="W152">
        <v>0.33120379396071942</v>
      </c>
      <c r="X152">
        <v>0.14124915384197492</v>
      </c>
      <c r="Y152">
        <v>1.5487435961417018</v>
      </c>
      <c r="Z152">
        <v>9.0759347020733312</v>
      </c>
      <c r="AA152">
        <v>0</v>
      </c>
      <c r="AB152">
        <v>0</v>
      </c>
    </row>
    <row r="153" spans="1:28" x14ac:dyDescent="0.25">
      <c r="A153">
        <v>2011</v>
      </c>
      <c r="B153" t="s">
        <v>374</v>
      </c>
      <c r="C153" t="s">
        <v>376</v>
      </c>
      <c r="D153">
        <v>114</v>
      </c>
      <c r="E153">
        <v>10</v>
      </c>
      <c r="F153" t="s">
        <v>384</v>
      </c>
      <c r="G153">
        <v>1</v>
      </c>
      <c r="H153">
        <v>0</v>
      </c>
      <c r="I153" t="s">
        <v>10</v>
      </c>
      <c r="J153">
        <v>5</v>
      </c>
      <c r="K153">
        <v>7.9089999999999998</v>
      </c>
      <c r="L153">
        <v>0.35299999999999998</v>
      </c>
      <c r="M153">
        <v>1.027280478495608</v>
      </c>
      <c r="N153">
        <v>8.8886534123084413</v>
      </c>
      <c r="O153">
        <v>0.60205796023721814</v>
      </c>
      <c r="P153">
        <v>140.71958303707063</v>
      </c>
      <c r="Q153">
        <v>16.039652436088318</v>
      </c>
      <c r="R153">
        <v>-16.897223202450959</v>
      </c>
      <c r="S153">
        <v>-5.3896767635081488</v>
      </c>
      <c r="T153">
        <v>181.3150044544748</v>
      </c>
      <c r="U153">
        <v>4062.3806522108812</v>
      </c>
      <c r="V153">
        <v>0</v>
      </c>
      <c r="W153">
        <v>0.45655700652889175</v>
      </c>
      <c r="X153">
        <v>3.0924119473728959E-2</v>
      </c>
      <c r="Y153">
        <v>0.82386109147240261</v>
      </c>
      <c r="Z153">
        <v>7.2279240298012182</v>
      </c>
      <c r="AA153">
        <v>0</v>
      </c>
      <c r="AB153">
        <v>0</v>
      </c>
    </row>
    <row r="154" spans="1:28" x14ac:dyDescent="0.25">
      <c r="A154">
        <v>2011</v>
      </c>
      <c r="B154" t="s">
        <v>374</v>
      </c>
      <c r="C154" t="s">
        <v>376</v>
      </c>
      <c r="D154">
        <v>114</v>
      </c>
      <c r="E154">
        <v>10</v>
      </c>
      <c r="F154" t="s">
        <v>384</v>
      </c>
      <c r="G154">
        <v>1</v>
      </c>
      <c r="H154">
        <v>0</v>
      </c>
      <c r="I154" t="s">
        <v>11</v>
      </c>
      <c r="J154">
        <v>10</v>
      </c>
      <c r="K154">
        <v>6.8659999999999997</v>
      </c>
      <c r="L154">
        <v>0.316</v>
      </c>
      <c r="M154">
        <v>0.82450073371407928</v>
      </c>
      <c r="N154">
        <v>8.5779686477996666</v>
      </c>
      <c r="O154">
        <v>-6.0485324383068089E-3</v>
      </c>
      <c r="P154">
        <v>96.853134887338683</v>
      </c>
      <c r="Q154">
        <v>12.168491689760748</v>
      </c>
      <c r="R154">
        <v>-19.082574881789157</v>
      </c>
      <c r="S154">
        <v>-5.2011734468533355</v>
      </c>
      <c r="T154">
        <v>260.54223185364907</v>
      </c>
      <c r="U154">
        <v>5661.0220376808684</v>
      </c>
      <c r="V154">
        <v>0</v>
      </c>
      <c r="W154">
        <v>0.70725414438871936</v>
      </c>
      <c r="X154">
        <v>0</v>
      </c>
      <c r="Y154">
        <v>1.0032930326401412</v>
      </c>
      <c r="Z154">
        <v>7.985548077711945</v>
      </c>
      <c r="AA154">
        <v>0</v>
      </c>
      <c r="AB154">
        <v>0</v>
      </c>
    </row>
    <row r="155" spans="1:28" x14ac:dyDescent="0.25">
      <c r="A155">
        <v>2011</v>
      </c>
      <c r="B155" t="s">
        <v>374</v>
      </c>
      <c r="C155" t="s">
        <v>376</v>
      </c>
      <c r="D155">
        <v>114</v>
      </c>
      <c r="E155">
        <v>10</v>
      </c>
      <c r="F155" t="s">
        <v>384</v>
      </c>
      <c r="G155">
        <v>1</v>
      </c>
      <c r="H155">
        <v>1</v>
      </c>
      <c r="I155" t="s">
        <v>14</v>
      </c>
      <c r="J155">
        <v>16</v>
      </c>
      <c r="K155">
        <v>9.99</v>
      </c>
      <c r="L155">
        <v>0.48299999999999998</v>
      </c>
      <c r="M155">
        <v>0.86985275688536046</v>
      </c>
      <c r="N155">
        <v>95.355223553757355</v>
      </c>
      <c r="O155">
        <v>-3.6385651438770962E-2</v>
      </c>
      <c r="P155">
        <v>73.508066591300178</v>
      </c>
      <c r="Q155">
        <v>39.842850592899708</v>
      </c>
      <c r="R155">
        <v>-9.1224684002024219</v>
      </c>
      <c r="S155">
        <v>-6.0804251185429052</v>
      </c>
      <c r="T155">
        <v>672.22221052100656</v>
      </c>
      <c r="U155">
        <v>13903.726466055601</v>
      </c>
      <c r="V155">
        <v>0</v>
      </c>
      <c r="W155">
        <v>13.271200654664911</v>
      </c>
      <c r="X155">
        <v>0</v>
      </c>
      <c r="Y155">
        <v>5.5451861488648522</v>
      </c>
      <c r="Z155">
        <v>10.230591100440821</v>
      </c>
      <c r="AA155">
        <v>0</v>
      </c>
      <c r="AB155">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637"/>
  <sheetViews>
    <sheetView zoomScale="96" zoomScaleNormal="96" workbookViewId="0">
      <selection activeCell="C6" sqref="C6"/>
    </sheetView>
  </sheetViews>
  <sheetFormatPr defaultRowHeight="12.75" x14ac:dyDescent="0.2"/>
  <cols>
    <col min="1" max="1" width="9.140625" style="80"/>
    <col min="2" max="2" width="26.5703125" style="80" customWidth="1"/>
    <col min="3" max="3" width="51.85546875" style="80" customWidth="1"/>
    <col min="4" max="4" width="11.7109375" style="80" customWidth="1"/>
    <col min="5" max="5" width="13.85546875" style="80" customWidth="1"/>
    <col min="6" max="257" width="9.140625" style="80"/>
    <col min="258" max="258" width="26.5703125" style="80" customWidth="1"/>
    <col min="259" max="259" width="51.85546875" style="80" customWidth="1"/>
    <col min="260" max="260" width="11.7109375" style="80" customWidth="1"/>
    <col min="261" max="261" width="13.85546875" style="80" customWidth="1"/>
    <col min="262" max="513" width="9.140625" style="80"/>
    <col min="514" max="514" width="26.5703125" style="80" customWidth="1"/>
    <col min="515" max="515" width="51.85546875" style="80" customWidth="1"/>
    <col min="516" max="516" width="11.7109375" style="80" customWidth="1"/>
    <col min="517" max="517" width="13.85546875" style="80" customWidth="1"/>
    <col min="518" max="769" width="9.140625" style="80"/>
    <col min="770" max="770" width="26.5703125" style="80" customWidth="1"/>
    <col min="771" max="771" width="51.85546875" style="80" customWidth="1"/>
    <col min="772" max="772" width="11.7109375" style="80" customWidth="1"/>
    <col min="773" max="773" width="13.85546875" style="80" customWidth="1"/>
    <col min="774" max="1025" width="9.140625" style="80"/>
    <col min="1026" max="1026" width="26.5703125" style="80" customWidth="1"/>
    <col min="1027" max="1027" width="51.85546875" style="80" customWidth="1"/>
    <col min="1028" max="1028" width="11.7109375" style="80" customWidth="1"/>
    <col min="1029" max="1029" width="13.85546875" style="80" customWidth="1"/>
    <col min="1030" max="1281" width="9.140625" style="80"/>
    <col min="1282" max="1282" width="26.5703125" style="80" customWidth="1"/>
    <col min="1283" max="1283" width="51.85546875" style="80" customWidth="1"/>
    <col min="1284" max="1284" width="11.7109375" style="80" customWidth="1"/>
    <col min="1285" max="1285" width="13.85546875" style="80" customWidth="1"/>
    <col min="1286" max="1537" width="9.140625" style="80"/>
    <col min="1538" max="1538" width="26.5703125" style="80" customWidth="1"/>
    <col min="1539" max="1539" width="51.85546875" style="80" customWidth="1"/>
    <col min="1540" max="1540" width="11.7109375" style="80" customWidth="1"/>
    <col min="1541" max="1541" width="13.85546875" style="80" customWidth="1"/>
    <col min="1542" max="1793" width="9.140625" style="80"/>
    <col min="1794" max="1794" width="26.5703125" style="80" customWidth="1"/>
    <col min="1795" max="1795" width="51.85546875" style="80" customWidth="1"/>
    <col min="1796" max="1796" width="11.7109375" style="80" customWidth="1"/>
    <col min="1797" max="1797" width="13.85546875" style="80" customWidth="1"/>
    <col min="1798" max="2049" width="9.140625" style="80"/>
    <col min="2050" max="2050" width="26.5703125" style="80" customWidth="1"/>
    <col min="2051" max="2051" width="51.85546875" style="80" customWidth="1"/>
    <col min="2052" max="2052" width="11.7109375" style="80" customWidth="1"/>
    <col min="2053" max="2053" width="13.85546875" style="80" customWidth="1"/>
    <col min="2054" max="2305" width="9.140625" style="80"/>
    <col min="2306" max="2306" width="26.5703125" style="80" customWidth="1"/>
    <col min="2307" max="2307" width="51.85546875" style="80" customWidth="1"/>
    <col min="2308" max="2308" width="11.7109375" style="80" customWidth="1"/>
    <col min="2309" max="2309" width="13.85546875" style="80" customWidth="1"/>
    <col min="2310" max="2561" width="9.140625" style="80"/>
    <col min="2562" max="2562" width="26.5703125" style="80" customWidth="1"/>
    <col min="2563" max="2563" width="51.85546875" style="80" customWidth="1"/>
    <col min="2564" max="2564" width="11.7109375" style="80" customWidth="1"/>
    <col min="2565" max="2565" width="13.85546875" style="80" customWidth="1"/>
    <col min="2566" max="2817" width="9.140625" style="80"/>
    <col min="2818" max="2818" width="26.5703125" style="80" customWidth="1"/>
    <col min="2819" max="2819" width="51.85546875" style="80" customWidth="1"/>
    <col min="2820" max="2820" width="11.7109375" style="80" customWidth="1"/>
    <col min="2821" max="2821" width="13.85546875" style="80" customWidth="1"/>
    <col min="2822" max="3073" width="9.140625" style="80"/>
    <col min="3074" max="3074" width="26.5703125" style="80" customWidth="1"/>
    <col min="3075" max="3075" width="51.85546875" style="80" customWidth="1"/>
    <col min="3076" max="3076" width="11.7109375" style="80" customWidth="1"/>
    <col min="3077" max="3077" width="13.85546875" style="80" customWidth="1"/>
    <col min="3078" max="3329" width="9.140625" style="80"/>
    <col min="3330" max="3330" width="26.5703125" style="80" customWidth="1"/>
    <col min="3331" max="3331" width="51.85546875" style="80" customWidth="1"/>
    <col min="3332" max="3332" width="11.7109375" style="80" customWidth="1"/>
    <col min="3333" max="3333" width="13.85546875" style="80" customWidth="1"/>
    <col min="3334" max="3585" width="9.140625" style="80"/>
    <col min="3586" max="3586" width="26.5703125" style="80" customWidth="1"/>
    <col min="3587" max="3587" width="51.85546875" style="80" customWidth="1"/>
    <col min="3588" max="3588" width="11.7109375" style="80" customWidth="1"/>
    <col min="3589" max="3589" width="13.85546875" style="80" customWidth="1"/>
    <col min="3590" max="3841" width="9.140625" style="80"/>
    <col min="3842" max="3842" width="26.5703125" style="80" customWidth="1"/>
    <col min="3843" max="3843" width="51.85546875" style="80" customWidth="1"/>
    <col min="3844" max="3844" width="11.7109375" style="80" customWidth="1"/>
    <col min="3845" max="3845" width="13.85546875" style="80" customWidth="1"/>
    <col min="3846" max="4097" width="9.140625" style="80"/>
    <col min="4098" max="4098" width="26.5703125" style="80" customWidth="1"/>
    <col min="4099" max="4099" width="51.85546875" style="80" customWidth="1"/>
    <col min="4100" max="4100" width="11.7109375" style="80" customWidth="1"/>
    <col min="4101" max="4101" width="13.85546875" style="80" customWidth="1"/>
    <col min="4102" max="4353" width="9.140625" style="80"/>
    <col min="4354" max="4354" width="26.5703125" style="80" customWidth="1"/>
    <col min="4355" max="4355" width="51.85546875" style="80" customWidth="1"/>
    <col min="4356" max="4356" width="11.7109375" style="80" customWidth="1"/>
    <col min="4357" max="4357" width="13.85546875" style="80" customWidth="1"/>
    <col min="4358" max="4609" width="9.140625" style="80"/>
    <col min="4610" max="4610" width="26.5703125" style="80" customWidth="1"/>
    <col min="4611" max="4611" width="51.85546875" style="80" customWidth="1"/>
    <col min="4612" max="4612" width="11.7109375" style="80" customWidth="1"/>
    <col min="4613" max="4613" width="13.85546875" style="80" customWidth="1"/>
    <col min="4614" max="4865" width="9.140625" style="80"/>
    <col min="4866" max="4866" width="26.5703125" style="80" customWidth="1"/>
    <col min="4867" max="4867" width="51.85546875" style="80" customWidth="1"/>
    <col min="4868" max="4868" width="11.7109375" style="80" customWidth="1"/>
    <col min="4869" max="4869" width="13.85546875" style="80" customWidth="1"/>
    <col min="4870" max="5121" width="9.140625" style="80"/>
    <col min="5122" max="5122" width="26.5703125" style="80" customWidth="1"/>
    <col min="5123" max="5123" width="51.85546875" style="80" customWidth="1"/>
    <col min="5124" max="5124" width="11.7109375" style="80" customWidth="1"/>
    <col min="5125" max="5125" width="13.85546875" style="80" customWidth="1"/>
    <col min="5126" max="5377" width="9.140625" style="80"/>
    <col min="5378" max="5378" width="26.5703125" style="80" customWidth="1"/>
    <col min="5379" max="5379" width="51.85546875" style="80" customWidth="1"/>
    <col min="5380" max="5380" width="11.7109375" style="80" customWidth="1"/>
    <col min="5381" max="5381" width="13.85546875" style="80" customWidth="1"/>
    <col min="5382" max="5633" width="9.140625" style="80"/>
    <col min="5634" max="5634" width="26.5703125" style="80" customWidth="1"/>
    <col min="5635" max="5635" width="51.85546875" style="80" customWidth="1"/>
    <col min="5636" max="5636" width="11.7109375" style="80" customWidth="1"/>
    <col min="5637" max="5637" width="13.85546875" style="80" customWidth="1"/>
    <col min="5638" max="5889" width="9.140625" style="80"/>
    <col min="5890" max="5890" width="26.5703125" style="80" customWidth="1"/>
    <col min="5891" max="5891" width="51.85546875" style="80" customWidth="1"/>
    <col min="5892" max="5892" width="11.7109375" style="80" customWidth="1"/>
    <col min="5893" max="5893" width="13.85546875" style="80" customWidth="1"/>
    <col min="5894" max="6145" width="9.140625" style="80"/>
    <col min="6146" max="6146" width="26.5703125" style="80" customWidth="1"/>
    <col min="6147" max="6147" width="51.85546875" style="80" customWidth="1"/>
    <col min="6148" max="6148" width="11.7109375" style="80" customWidth="1"/>
    <col min="6149" max="6149" width="13.85546875" style="80" customWidth="1"/>
    <col min="6150" max="6401" width="9.140625" style="80"/>
    <col min="6402" max="6402" width="26.5703125" style="80" customWidth="1"/>
    <col min="6403" max="6403" width="51.85546875" style="80" customWidth="1"/>
    <col min="6404" max="6404" width="11.7109375" style="80" customWidth="1"/>
    <col min="6405" max="6405" width="13.85546875" style="80" customWidth="1"/>
    <col min="6406" max="6657" width="9.140625" style="80"/>
    <col min="6658" max="6658" width="26.5703125" style="80" customWidth="1"/>
    <col min="6659" max="6659" width="51.85546875" style="80" customWidth="1"/>
    <col min="6660" max="6660" width="11.7109375" style="80" customWidth="1"/>
    <col min="6661" max="6661" width="13.85546875" style="80" customWidth="1"/>
    <col min="6662" max="6913" width="9.140625" style="80"/>
    <col min="6914" max="6914" width="26.5703125" style="80" customWidth="1"/>
    <col min="6915" max="6915" width="51.85546875" style="80" customWidth="1"/>
    <col min="6916" max="6916" width="11.7109375" style="80" customWidth="1"/>
    <col min="6917" max="6917" width="13.85546875" style="80" customWidth="1"/>
    <col min="6918" max="7169" width="9.140625" style="80"/>
    <col min="7170" max="7170" width="26.5703125" style="80" customWidth="1"/>
    <col min="7171" max="7171" width="51.85546875" style="80" customWidth="1"/>
    <col min="7172" max="7172" width="11.7109375" style="80" customWidth="1"/>
    <col min="7173" max="7173" width="13.85546875" style="80" customWidth="1"/>
    <col min="7174" max="7425" width="9.140625" style="80"/>
    <col min="7426" max="7426" width="26.5703125" style="80" customWidth="1"/>
    <col min="7427" max="7427" width="51.85546875" style="80" customWidth="1"/>
    <col min="7428" max="7428" width="11.7109375" style="80" customWidth="1"/>
    <col min="7429" max="7429" width="13.85546875" style="80" customWidth="1"/>
    <col min="7430" max="7681" width="9.140625" style="80"/>
    <col min="7682" max="7682" width="26.5703125" style="80" customWidth="1"/>
    <col min="7683" max="7683" width="51.85546875" style="80" customWidth="1"/>
    <col min="7684" max="7684" width="11.7109375" style="80" customWidth="1"/>
    <col min="7685" max="7685" width="13.85546875" style="80" customWidth="1"/>
    <col min="7686" max="7937" width="9.140625" style="80"/>
    <col min="7938" max="7938" width="26.5703125" style="80" customWidth="1"/>
    <col min="7939" max="7939" width="51.85546875" style="80" customWidth="1"/>
    <col min="7940" max="7940" width="11.7109375" style="80" customWidth="1"/>
    <col min="7941" max="7941" width="13.85546875" style="80" customWidth="1"/>
    <col min="7942" max="8193" width="9.140625" style="80"/>
    <col min="8194" max="8194" width="26.5703125" style="80" customWidth="1"/>
    <col min="8195" max="8195" width="51.85546875" style="80" customWidth="1"/>
    <col min="8196" max="8196" width="11.7109375" style="80" customWidth="1"/>
    <col min="8197" max="8197" width="13.85546875" style="80" customWidth="1"/>
    <col min="8198" max="8449" width="9.140625" style="80"/>
    <col min="8450" max="8450" width="26.5703125" style="80" customWidth="1"/>
    <col min="8451" max="8451" width="51.85546875" style="80" customWidth="1"/>
    <col min="8452" max="8452" width="11.7109375" style="80" customWidth="1"/>
    <col min="8453" max="8453" width="13.85546875" style="80" customWidth="1"/>
    <col min="8454" max="8705" width="9.140625" style="80"/>
    <col min="8706" max="8706" width="26.5703125" style="80" customWidth="1"/>
    <col min="8707" max="8707" width="51.85546875" style="80" customWidth="1"/>
    <col min="8708" max="8708" width="11.7109375" style="80" customWidth="1"/>
    <col min="8709" max="8709" width="13.85546875" style="80" customWidth="1"/>
    <col min="8710" max="8961" width="9.140625" style="80"/>
    <col min="8962" max="8962" width="26.5703125" style="80" customWidth="1"/>
    <col min="8963" max="8963" width="51.85546875" style="80" customWidth="1"/>
    <col min="8964" max="8964" width="11.7109375" style="80" customWidth="1"/>
    <col min="8965" max="8965" width="13.85546875" style="80" customWidth="1"/>
    <col min="8966" max="9217" width="9.140625" style="80"/>
    <col min="9218" max="9218" width="26.5703125" style="80" customWidth="1"/>
    <col min="9219" max="9219" width="51.85546875" style="80" customWidth="1"/>
    <col min="9220" max="9220" width="11.7109375" style="80" customWidth="1"/>
    <col min="9221" max="9221" width="13.85546875" style="80" customWidth="1"/>
    <col min="9222" max="9473" width="9.140625" style="80"/>
    <col min="9474" max="9474" width="26.5703125" style="80" customWidth="1"/>
    <col min="9475" max="9475" width="51.85546875" style="80" customWidth="1"/>
    <col min="9476" max="9476" width="11.7109375" style="80" customWidth="1"/>
    <col min="9477" max="9477" width="13.85546875" style="80" customWidth="1"/>
    <col min="9478" max="9729" width="9.140625" style="80"/>
    <col min="9730" max="9730" width="26.5703125" style="80" customWidth="1"/>
    <col min="9731" max="9731" width="51.85546875" style="80" customWidth="1"/>
    <col min="9732" max="9732" width="11.7109375" style="80" customWidth="1"/>
    <col min="9733" max="9733" width="13.85546875" style="80" customWidth="1"/>
    <col min="9734" max="9985" width="9.140625" style="80"/>
    <col min="9986" max="9986" width="26.5703125" style="80" customWidth="1"/>
    <col min="9987" max="9987" width="51.85546875" style="80" customWidth="1"/>
    <col min="9988" max="9988" width="11.7109375" style="80" customWidth="1"/>
    <col min="9989" max="9989" width="13.85546875" style="80" customWidth="1"/>
    <col min="9990" max="10241" width="9.140625" style="80"/>
    <col min="10242" max="10242" width="26.5703125" style="80" customWidth="1"/>
    <col min="10243" max="10243" width="51.85546875" style="80" customWidth="1"/>
    <col min="10244" max="10244" width="11.7109375" style="80" customWidth="1"/>
    <col min="10245" max="10245" width="13.85546875" style="80" customWidth="1"/>
    <col min="10246" max="10497" width="9.140625" style="80"/>
    <col min="10498" max="10498" width="26.5703125" style="80" customWidth="1"/>
    <col min="10499" max="10499" width="51.85546875" style="80" customWidth="1"/>
    <col min="10500" max="10500" width="11.7109375" style="80" customWidth="1"/>
    <col min="10501" max="10501" width="13.85546875" style="80" customWidth="1"/>
    <col min="10502" max="10753" width="9.140625" style="80"/>
    <col min="10754" max="10754" width="26.5703125" style="80" customWidth="1"/>
    <col min="10755" max="10755" width="51.85546875" style="80" customWidth="1"/>
    <col min="10756" max="10756" width="11.7109375" style="80" customWidth="1"/>
    <col min="10757" max="10757" width="13.85546875" style="80" customWidth="1"/>
    <col min="10758" max="11009" width="9.140625" style="80"/>
    <col min="11010" max="11010" width="26.5703125" style="80" customWidth="1"/>
    <col min="11011" max="11011" width="51.85546875" style="80" customWidth="1"/>
    <col min="11012" max="11012" width="11.7109375" style="80" customWidth="1"/>
    <col min="11013" max="11013" width="13.85546875" style="80" customWidth="1"/>
    <col min="11014" max="11265" width="9.140625" style="80"/>
    <col min="11266" max="11266" width="26.5703125" style="80" customWidth="1"/>
    <col min="11267" max="11267" width="51.85546875" style="80" customWidth="1"/>
    <col min="11268" max="11268" width="11.7109375" style="80" customWidth="1"/>
    <col min="11269" max="11269" width="13.85546875" style="80" customWidth="1"/>
    <col min="11270" max="11521" width="9.140625" style="80"/>
    <col min="11522" max="11522" width="26.5703125" style="80" customWidth="1"/>
    <col min="11523" max="11523" width="51.85546875" style="80" customWidth="1"/>
    <col min="11524" max="11524" width="11.7109375" style="80" customWidth="1"/>
    <col min="11525" max="11525" width="13.85546875" style="80" customWidth="1"/>
    <col min="11526" max="11777" width="9.140625" style="80"/>
    <col min="11778" max="11778" width="26.5703125" style="80" customWidth="1"/>
    <col min="11779" max="11779" width="51.85546875" style="80" customWidth="1"/>
    <col min="11780" max="11780" width="11.7109375" style="80" customWidth="1"/>
    <col min="11781" max="11781" width="13.85546875" style="80" customWidth="1"/>
    <col min="11782" max="12033" width="9.140625" style="80"/>
    <col min="12034" max="12034" width="26.5703125" style="80" customWidth="1"/>
    <col min="12035" max="12035" width="51.85546875" style="80" customWidth="1"/>
    <col min="12036" max="12036" width="11.7109375" style="80" customWidth="1"/>
    <col min="12037" max="12037" width="13.85546875" style="80" customWidth="1"/>
    <col min="12038" max="12289" width="9.140625" style="80"/>
    <col min="12290" max="12290" width="26.5703125" style="80" customWidth="1"/>
    <col min="12291" max="12291" width="51.85546875" style="80" customWidth="1"/>
    <col min="12292" max="12292" width="11.7109375" style="80" customWidth="1"/>
    <col min="12293" max="12293" width="13.85546875" style="80" customWidth="1"/>
    <col min="12294" max="12545" width="9.140625" style="80"/>
    <col min="12546" max="12546" width="26.5703125" style="80" customWidth="1"/>
    <col min="12547" max="12547" width="51.85546875" style="80" customWidth="1"/>
    <col min="12548" max="12548" width="11.7109375" style="80" customWidth="1"/>
    <col min="12549" max="12549" width="13.85546875" style="80" customWidth="1"/>
    <col min="12550" max="12801" width="9.140625" style="80"/>
    <col min="12802" max="12802" width="26.5703125" style="80" customWidth="1"/>
    <col min="12803" max="12803" width="51.85546875" style="80" customWidth="1"/>
    <col min="12804" max="12804" width="11.7109375" style="80" customWidth="1"/>
    <col min="12805" max="12805" width="13.85546875" style="80" customWidth="1"/>
    <col min="12806" max="13057" width="9.140625" style="80"/>
    <col min="13058" max="13058" width="26.5703125" style="80" customWidth="1"/>
    <col min="13059" max="13059" width="51.85546875" style="80" customWidth="1"/>
    <col min="13060" max="13060" width="11.7109375" style="80" customWidth="1"/>
    <col min="13061" max="13061" width="13.85546875" style="80" customWidth="1"/>
    <col min="13062" max="13313" width="9.140625" style="80"/>
    <col min="13314" max="13314" width="26.5703125" style="80" customWidth="1"/>
    <col min="13315" max="13315" width="51.85546875" style="80" customWidth="1"/>
    <col min="13316" max="13316" width="11.7109375" style="80" customWidth="1"/>
    <col min="13317" max="13317" width="13.85546875" style="80" customWidth="1"/>
    <col min="13318" max="13569" width="9.140625" style="80"/>
    <col min="13570" max="13570" width="26.5703125" style="80" customWidth="1"/>
    <col min="13571" max="13571" width="51.85546875" style="80" customWidth="1"/>
    <col min="13572" max="13572" width="11.7109375" style="80" customWidth="1"/>
    <col min="13573" max="13573" width="13.85546875" style="80" customWidth="1"/>
    <col min="13574" max="13825" width="9.140625" style="80"/>
    <col min="13826" max="13826" width="26.5703125" style="80" customWidth="1"/>
    <col min="13827" max="13827" width="51.85546875" style="80" customWidth="1"/>
    <col min="13828" max="13828" width="11.7109375" style="80" customWidth="1"/>
    <col min="13829" max="13829" width="13.85546875" style="80" customWidth="1"/>
    <col min="13830" max="14081" width="9.140625" style="80"/>
    <col min="14082" max="14082" width="26.5703125" style="80" customWidth="1"/>
    <col min="14083" max="14083" width="51.85546875" style="80" customWidth="1"/>
    <col min="14084" max="14084" width="11.7109375" style="80" customWidth="1"/>
    <col min="14085" max="14085" width="13.85546875" style="80" customWidth="1"/>
    <col min="14086" max="14337" width="9.140625" style="80"/>
    <col min="14338" max="14338" width="26.5703125" style="80" customWidth="1"/>
    <col min="14339" max="14339" width="51.85546875" style="80" customWidth="1"/>
    <col min="14340" max="14340" width="11.7109375" style="80" customWidth="1"/>
    <col min="14341" max="14341" width="13.85546875" style="80" customWidth="1"/>
    <col min="14342" max="14593" width="9.140625" style="80"/>
    <col min="14594" max="14594" width="26.5703125" style="80" customWidth="1"/>
    <col min="14595" max="14595" width="51.85546875" style="80" customWidth="1"/>
    <col min="14596" max="14596" width="11.7109375" style="80" customWidth="1"/>
    <col min="14597" max="14597" width="13.85546875" style="80" customWidth="1"/>
    <col min="14598" max="14849" width="9.140625" style="80"/>
    <col min="14850" max="14850" width="26.5703125" style="80" customWidth="1"/>
    <col min="14851" max="14851" width="51.85546875" style="80" customWidth="1"/>
    <col min="14852" max="14852" width="11.7109375" style="80" customWidth="1"/>
    <col min="14853" max="14853" width="13.85546875" style="80" customWidth="1"/>
    <col min="14854" max="15105" width="9.140625" style="80"/>
    <col min="15106" max="15106" width="26.5703125" style="80" customWidth="1"/>
    <col min="15107" max="15107" width="51.85546875" style="80" customWidth="1"/>
    <col min="15108" max="15108" width="11.7109375" style="80" customWidth="1"/>
    <col min="15109" max="15109" width="13.85546875" style="80" customWidth="1"/>
    <col min="15110" max="15361" width="9.140625" style="80"/>
    <col min="15362" max="15362" width="26.5703125" style="80" customWidth="1"/>
    <col min="15363" max="15363" width="51.85546875" style="80" customWidth="1"/>
    <col min="15364" max="15364" width="11.7109375" style="80" customWidth="1"/>
    <col min="15365" max="15365" width="13.85546875" style="80" customWidth="1"/>
    <col min="15366" max="15617" width="9.140625" style="80"/>
    <col min="15618" max="15618" width="26.5703125" style="80" customWidth="1"/>
    <col min="15619" max="15619" width="51.85546875" style="80" customWidth="1"/>
    <col min="15620" max="15620" width="11.7109375" style="80" customWidth="1"/>
    <col min="15621" max="15621" width="13.85546875" style="80" customWidth="1"/>
    <col min="15622" max="15873" width="9.140625" style="80"/>
    <col min="15874" max="15874" width="26.5703125" style="80" customWidth="1"/>
    <col min="15875" max="15875" width="51.85546875" style="80" customWidth="1"/>
    <col min="15876" max="15876" width="11.7109375" style="80" customWidth="1"/>
    <col min="15877" max="15877" width="13.85546875" style="80" customWidth="1"/>
    <col min="15878" max="16129" width="9.140625" style="80"/>
    <col min="16130" max="16130" width="26.5703125" style="80" customWidth="1"/>
    <col min="16131" max="16131" width="51.85546875" style="80" customWidth="1"/>
    <col min="16132" max="16132" width="11.7109375" style="80" customWidth="1"/>
    <col min="16133" max="16133" width="13.85546875" style="80" customWidth="1"/>
    <col min="16134" max="16384" width="9.140625" style="80"/>
  </cols>
  <sheetData>
    <row r="1" spans="1:14" x14ac:dyDescent="0.2">
      <c r="B1" s="5"/>
    </row>
    <row r="2" spans="1:14" ht="45" x14ac:dyDescent="0.2">
      <c r="A2" s="81" t="s">
        <v>431</v>
      </c>
      <c r="B2" s="82" t="s">
        <v>429</v>
      </c>
      <c r="C2" s="82" t="s">
        <v>432</v>
      </c>
      <c r="D2" s="83" t="s">
        <v>433</v>
      </c>
      <c r="E2" s="83" t="s">
        <v>434</v>
      </c>
      <c r="F2" s="84" t="s">
        <v>435</v>
      </c>
      <c r="G2" s="82" t="s">
        <v>436</v>
      </c>
      <c r="H2" s="82" t="s">
        <v>437</v>
      </c>
      <c r="I2" s="82" t="s">
        <v>438</v>
      </c>
      <c r="J2" s="82" t="s">
        <v>439</v>
      </c>
      <c r="K2" s="85" t="s">
        <v>440</v>
      </c>
      <c r="L2" s="82" t="s">
        <v>441</v>
      </c>
      <c r="M2" s="82" t="s">
        <v>442</v>
      </c>
      <c r="N2" s="82" t="s">
        <v>443</v>
      </c>
    </row>
    <row r="3" spans="1:14" x14ac:dyDescent="0.2">
      <c r="A3" s="80">
        <v>1169</v>
      </c>
      <c r="B3" s="5" t="s">
        <v>444</v>
      </c>
      <c r="C3" s="5" t="s">
        <v>445</v>
      </c>
      <c r="D3" s="80">
        <v>68.99666666666667</v>
      </c>
      <c r="E3" s="80">
        <v>-150.28100000000001</v>
      </c>
      <c r="F3" s="80" t="s">
        <v>446</v>
      </c>
      <c r="G3" s="80" t="s">
        <v>447</v>
      </c>
      <c r="H3" s="80" t="s">
        <v>446</v>
      </c>
      <c r="I3" s="80" t="s">
        <v>446</v>
      </c>
      <c r="J3" s="80" t="s">
        <v>448</v>
      </c>
      <c r="K3" s="80" t="s">
        <v>446</v>
      </c>
      <c r="L3" s="80" t="s">
        <v>446</v>
      </c>
      <c r="M3" s="86" t="str">
        <f t="shared" ref="M3:M66" si="0">HYPERLINK("http://maps.google.com/maps?q="&amp;D3&amp;","&amp;E3,"View on Google Map")</f>
        <v>View on Google Map</v>
      </c>
    </row>
    <row r="4" spans="1:14" x14ac:dyDescent="0.2">
      <c r="A4" s="80">
        <v>1170</v>
      </c>
      <c r="B4" s="5" t="s">
        <v>449</v>
      </c>
      <c r="C4" s="5" t="s">
        <v>450</v>
      </c>
      <c r="D4" s="80">
        <v>68.952222222222218</v>
      </c>
      <c r="E4" s="80">
        <v>-150.21249999999998</v>
      </c>
      <c r="F4" s="80" t="s">
        <v>446</v>
      </c>
      <c r="G4" s="80" t="s">
        <v>447</v>
      </c>
      <c r="H4" s="80" t="s">
        <v>446</v>
      </c>
      <c r="I4" s="80" t="s">
        <v>446</v>
      </c>
      <c r="J4" s="80" t="s">
        <v>448</v>
      </c>
      <c r="K4" s="80" t="s">
        <v>446</v>
      </c>
      <c r="L4" s="80" t="s">
        <v>446</v>
      </c>
      <c r="M4" s="86" t="str">
        <f t="shared" si="0"/>
        <v>View on Google Map</v>
      </c>
    </row>
    <row r="5" spans="1:14" x14ac:dyDescent="0.2">
      <c r="A5" s="80">
        <v>1171</v>
      </c>
      <c r="B5" s="5" t="s">
        <v>451</v>
      </c>
      <c r="C5" s="5" t="s">
        <v>452</v>
      </c>
      <c r="D5" s="80">
        <v>68.934444444444452</v>
      </c>
      <c r="E5" s="80">
        <v>-150.2727777777778</v>
      </c>
      <c r="F5" s="80" t="s">
        <v>446</v>
      </c>
      <c r="G5" s="80" t="s">
        <v>447</v>
      </c>
      <c r="H5" s="80" t="s">
        <v>446</v>
      </c>
      <c r="I5" s="80" t="s">
        <v>446</v>
      </c>
      <c r="J5" s="80" t="s">
        <v>453</v>
      </c>
      <c r="K5" s="80" t="s">
        <v>446</v>
      </c>
      <c r="L5" s="80" t="s">
        <v>454</v>
      </c>
      <c r="M5" s="86" t="str">
        <f t="shared" si="0"/>
        <v>View on Google Map</v>
      </c>
    </row>
    <row r="6" spans="1:14" x14ac:dyDescent="0.2">
      <c r="A6" s="80">
        <v>518</v>
      </c>
      <c r="B6" s="80" t="s">
        <v>455</v>
      </c>
      <c r="C6" s="80" t="s">
        <v>456</v>
      </c>
      <c r="D6" s="80">
        <v>68.900986000000003</v>
      </c>
      <c r="E6" s="80">
        <v>-151.308469</v>
      </c>
      <c r="F6" s="80">
        <v>350</v>
      </c>
      <c r="G6" s="80" t="s">
        <v>457</v>
      </c>
      <c r="H6" s="80" t="s">
        <v>446</v>
      </c>
      <c r="I6" s="80" t="s">
        <v>446</v>
      </c>
      <c r="J6" s="80" t="s">
        <v>458</v>
      </c>
      <c r="K6" s="80" t="s">
        <v>446</v>
      </c>
      <c r="L6" s="80" t="s">
        <v>459</v>
      </c>
      <c r="M6" s="86" t="str">
        <f t="shared" si="0"/>
        <v>View on Google Map</v>
      </c>
    </row>
    <row r="7" spans="1:14" x14ac:dyDescent="0.2">
      <c r="A7" s="80">
        <v>478</v>
      </c>
      <c r="B7" s="80" t="s">
        <v>460</v>
      </c>
      <c r="C7" s="80" t="s">
        <v>446</v>
      </c>
      <c r="D7" s="80">
        <v>68.510069999999999</v>
      </c>
      <c r="E7" s="80">
        <v>-149.62691000000001</v>
      </c>
      <c r="F7" s="80">
        <v>996</v>
      </c>
      <c r="G7" s="80" t="s">
        <v>457</v>
      </c>
      <c r="H7" s="80" t="s">
        <v>446</v>
      </c>
      <c r="I7" s="80" t="s">
        <v>446</v>
      </c>
      <c r="J7" s="80" t="s">
        <v>458</v>
      </c>
      <c r="K7" s="80" t="s">
        <v>446</v>
      </c>
      <c r="L7" s="80" t="s">
        <v>446</v>
      </c>
      <c r="M7" s="86" t="str">
        <f t="shared" si="0"/>
        <v>View on Google Map</v>
      </c>
    </row>
    <row r="8" spans="1:14" x14ac:dyDescent="0.2">
      <c r="A8" s="80">
        <v>479</v>
      </c>
      <c r="B8" s="80" t="s">
        <v>461</v>
      </c>
      <c r="C8" s="80" t="s">
        <v>446</v>
      </c>
      <c r="D8" s="80">
        <v>68.505080000000007</v>
      </c>
      <c r="E8" s="80">
        <v>-149.62766999999999</v>
      </c>
      <c r="F8" s="80">
        <v>986</v>
      </c>
      <c r="G8" s="80" t="s">
        <v>457</v>
      </c>
      <c r="H8" s="80" t="s">
        <v>446</v>
      </c>
      <c r="I8" s="80" t="s">
        <v>446</v>
      </c>
      <c r="J8" s="80" t="s">
        <v>458</v>
      </c>
      <c r="K8" s="80" t="s">
        <v>446</v>
      </c>
      <c r="L8" s="80" t="s">
        <v>446</v>
      </c>
      <c r="M8" s="86" t="str">
        <f t="shared" si="0"/>
        <v>View on Google Map</v>
      </c>
    </row>
    <row r="9" spans="1:14" x14ac:dyDescent="0.2">
      <c r="A9" s="80">
        <v>480</v>
      </c>
      <c r="B9" s="80" t="s">
        <v>462</v>
      </c>
      <c r="C9" s="80" t="s">
        <v>446</v>
      </c>
      <c r="D9" s="80">
        <v>68.502449999999996</v>
      </c>
      <c r="E9" s="80">
        <v>-149.63137</v>
      </c>
      <c r="F9" s="80">
        <v>982</v>
      </c>
      <c r="G9" s="80" t="s">
        <v>457</v>
      </c>
      <c r="H9" s="80" t="s">
        <v>446</v>
      </c>
      <c r="I9" s="80" t="s">
        <v>446</v>
      </c>
      <c r="J9" s="80" t="s">
        <v>458</v>
      </c>
      <c r="K9" s="80" t="s">
        <v>446</v>
      </c>
      <c r="L9" s="80" t="s">
        <v>446</v>
      </c>
      <c r="M9" s="86" t="str">
        <f t="shared" si="0"/>
        <v>View on Google Map</v>
      </c>
    </row>
    <row r="10" spans="1:14" x14ac:dyDescent="0.2">
      <c r="B10" s="80" t="s">
        <v>463</v>
      </c>
      <c r="C10" s="80" t="s">
        <v>464</v>
      </c>
      <c r="D10" s="80">
        <v>69.375833333333333</v>
      </c>
      <c r="E10" s="80">
        <v>-150.68138888888899</v>
      </c>
      <c r="G10" s="80" t="s">
        <v>465</v>
      </c>
      <c r="J10" s="80" t="s">
        <v>453</v>
      </c>
      <c r="L10" s="80" t="s">
        <v>454</v>
      </c>
      <c r="M10" s="86" t="str">
        <f t="shared" si="0"/>
        <v>View on Google Map</v>
      </c>
    </row>
    <row r="11" spans="1:14" x14ac:dyDescent="0.2">
      <c r="B11" s="80" t="s">
        <v>466</v>
      </c>
      <c r="C11" s="80" t="s">
        <v>464</v>
      </c>
      <c r="D11" s="80">
        <v>69.322777777777773</v>
      </c>
      <c r="E11" s="80">
        <v>-150.95055555555601</v>
      </c>
      <c r="G11" s="80" t="s">
        <v>465</v>
      </c>
      <c r="J11" s="80" t="s">
        <v>453</v>
      </c>
      <c r="L11" s="80" t="s">
        <v>454</v>
      </c>
      <c r="M11" s="86" t="str">
        <f t="shared" si="0"/>
        <v>View on Google Map</v>
      </c>
    </row>
    <row r="12" spans="1:14" x14ac:dyDescent="0.2">
      <c r="B12" s="80" t="s">
        <v>467</v>
      </c>
      <c r="C12" s="80" t="s">
        <v>464</v>
      </c>
      <c r="D12" s="80">
        <v>69.328055555555565</v>
      </c>
      <c r="E12" s="80">
        <v>-150.238055555556</v>
      </c>
      <c r="G12" s="80" t="s">
        <v>465</v>
      </c>
      <c r="J12" s="80" t="s">
        <v>453</v>
      </c>
      <c r="L12" s="80" t="s">
        <v>454</v>
      </c>
      <c r="M12" s="86" t="str">
        <f t="shared" si="0"/>
        <v>View on Google Map</v>
      </c>
    </row>
    <row r="13" spans="1:14" x14ac:dyDescent="0.2">
      <c r="B13" s="80" t="s">
        <v>468</v>
      </c>
      <c r="C13" s="80" t="s">
        <v>464</v>
      </c>
      <c r="D13" s="80">
        <v>69.30361111111111</v>
      </c>
      <c r="E13" s="80">
        <v>-149.56083333333299</v>
      </c>
      <c r="G13" s="80" t="s">
        <v>465</v>
      </c>
      <c r="J13" s="80" t="s">
        <v>453</v>
      </c>
      <c r="L13" s="80" t="s">
        <v>454</v>
      </c>
      <c r="M13" s="86" t="str">
        <f t="shared" si="0"/>
        <v>View on Google Map</v>
      </c>
    </row>
    <row r="14" spans="1:14" x14ac:dyDescent="0.2">
      <c r="A14" s="80">
        <v>7</v>
      </c>
      <c r="B14" s="80" t="s">
        <v>469</v>
      </c>
      <c r="C14" s="80" t="s">
        <v>470</v>
      </c>
      <c r="D14" s="80">
        <v>68.95</v>
      </c>
      <c r="E14" s="80">
        <v>-148.86666666666667</v>
      </c>
      <c r="F14" s="80">
        <v>360</v>
      </c>
      <c r="G14" s="80" t="s">
        <v>471</v>
      </c>
      <c r="H14" s="80" t="s">
        <v>446</v>
      </c>
      <c r="I14" s="80" t="s">
        <v>446</v>
      </c>
      <c r="J14" s="80" t="s">
        <v>472</v>
      </c>
      <c r="K14" s="80" t="s">
        <v>446</v>
      </c>
      <c r="L14" s="80" t="s">
        <v>473</v>
      </c>
      <c r="M14" s="86" t="str">
        <f t="shared" si="0"/>
        <v>View on Google Map</v>
      </c>
    </row>
    <row r="15" spans="1:14" x14ac:dyDescent="0.2">
      <c r="A15" s="80">
        <v>517</v>
      </c>
      <c r="B15" s="80" t="s">
        <v>474</v>
      </c>
      <c r="C15" s="80" t="s">
        <v>456</v>
      </c>
      <c r="D15" s="80">
        <v>68.467832999999999</v>
      </c>
      <c r="E15" s="80">
        <v>-151.47916699999999</v>
      </c>
      <c r="F15" s="80">
        <v>732</v>
      </c>
      <c r="G15" s="80" t="s">
        <v>457</v>
      </c>
      <c r="H15" s="80" t="s">
        <v>446</v>
      </c>
      <c r="I15" s="80" t="s">
        <v>446</v>
      </c>
      <c r="J15" s="80" t="s">
        <v>458</v>
      </c>
      <c r="K15" s="80" t="s">
        <v>446</v>
      </c>
      <c r="L15" s="80" t="s">
        <v>459</v>
      </c>
      <c r="M15" s="86" t="str">
        <f t="shared" si="0"/>
        <v>View on Google Map</v>
      </c>
    </row>
    <row r="16" spans="1:14" x14ac:dyDescent="0.2">
      <c r="A16" s="80">
        <v>516</v>
      </c>
      <c r="B16" s="80" t="s">
        <v>475</v>
      </c>
      <c r="C16" s="80" t="s">
        <v>456</v>
      </c>
      <c r="D16" s="80">
        <v>68.467500000000001</v>
      </c>
      <c r="E16" s="80">
        <v>-151.49433300000001</v>
      </c>
      <c r="F16" s="80">
        <v>769</v>
      </c>
      <c r="G16" s="80" t="s">
        <v>457</v>
      </c>
      <c r="H16" s="80" t="s">
        <v>446</v>
      </c>
      <c r="I16" s="80" t="s">
        <v>446</v>
      </c>
      <c r="J16" s="80" t="s">
        <v>458</v>
      </c>
      <c r="K16" s="80" t="s">
        <v>446</v>
      </c>
      <c r="L16" s="80" t="s">
        <v>459</v>
      </c>
      <c r="M16" s="86" t="str">
        <f t="shared" si="0"/>
        <v>View on Google Map</v>
      </c>
    </row>
    <row r="17" spans="1:13" x14ac:dyDescent="0.2">
      <c r="A17" s="80">
        <v>515</v>
      </c>
      <c r="B17" s="80" t="s">
        <v>476</v>
      </c>
      <c r="C17" s="80" t="s">
        <v>456</v>
      </c>
      <c r="D17" s="80">
        <v>68.463999999999999</v>
      </c>
      <c r="E17" s="80">
        <v>-151.51516699999999</v>
      </c>
      <c r="F17" s="80">
        <v>809</v>
      </c>
      <c r="G17" s="80" t="s">
        <v>457</v>
      </c>
      <c r="H17" s="80" t="s">
        <v>446</v>
      </c>
      <c r="I17" s="80" t="s">
        <v>446</v>
      </c>
      <c r="J17" s="80" t="s">
        <v>458</v>
      </c>
      <c r="K17" s="80" t="s">
        <v>446</v>
      </c>
      <c r="L17" s="80" t="s">
        <v>459</v>
      </c>
      <c r="M17" s="86" t="str">
        <f t="shared" si="0"/>
        <v>View on Google Map</v>
      </c>
    </row>
    <row r="18" spans="1:13" x14ac:dyDescent="0.2">
      <c r="A18" s="80">
        <v>1177</v>
      </c>
      <c r="B18" s="80" t="s">
        <v>477</v>
      </c>
      <c r="C18" s="80" t="s">
        <v>478</v>
      </c>
      <c r="D18" s="80">
        <v>68.99539</v>
      </c>
      <c r="E18" s="80">
        <v>-150.28278</v>
      </c>
      <c r="F18" s="80" t="s">
        <v>446</v>
      </c>
      <c r="G18" s="80" t="s">
        <v>447</v>
      </c>
      <c r="H18" s="80" t="s">
        <v>446</v>
      </c>
      <c r="I18" s="80" t="s">
        <v>446</v>
      </c>
      <c r="J18" s="80" t="s">
        <v>453</v>
      </c>
      <c r="K18" s="80" t="s">
        <v>446</v>
      </c>
      <c r="L18" s="80" t="s">
        <v>454</v>
      </c>
      <c r="M18" s="86" t="str">
        <f t="shared" si="0"/>
        <v>View on Google Map</v>
      </c>
    </row>
    <row r="19" spans="1:13" x14ac:dyDescent="0.2">
      <c r="A19" s="80">
        <v>1178</v>
      </c>
      <c r="B19" s="80" t="s">
        <v>479</v>
      </c>
      <c r="C19" s="80" t="s">
        <v>478</v>
      </c>
      <c r="D19" s="80">
        <v>68.996089999999995</v>
      </c>
      <c r="E19" s="80">
        <v>-150.29223999999999</v>
      </c>
      <c r="F19" s="80" t="s">
        <v>446</v>
      </c>
      <c r="G19" s="80" t="s">
        <v>447</v>
      </c>
      <c r="H19" s="80" t="s">
        <v>446</v>
      </c>
      <c r="I19" s="80" t="s">
        <v>446</v>
      </c>
      <c r="J19" s="80" t="s">
        <v>453</v>
      </c>
      <c r="K19" s="80" t="s">
        <v>446</v>
      </c>
      <c r="L19" s="80" t="s">
        <v>454</v>
      </c>
      <c r="M19" s="86" t="str">
        <f t="shared" si="0"/>
        <v>View on Google Map</v>
      </c>
    </row>
    <row r="20" spans="1:13" x14ac:dyDescent="0.2">
      <c r="A20" s="80">
        <v>1179</v>
      </c>
      <c r="B20" s="80" t="s">
        <v>480</v>
      </c>
      <c r="C20" s="80" t="s">
        <v>481</v>
      </c>
      <c r="D20" s="80">
        <v>68.953829999999996</v>
      </c>
      <c r="E20" s="80">
        <v>-150.20697000000001</v>
      </c>
      <c r="F20" s="80" t="s">
        <v>446</v>
      </c>
      <c r="G20" s="80" t="s">
        <v>447</v>
      </c>
      <c r="H20" s="80" t="s">
        <v>446</v>
      </c>
      <c r="I20" s="80" t="s">
        <v>446</v>
      </c>
      <c r="J20" s="80" t="s">
        <v>453</v>
      </c>
      <c r="K20" s="80" t="s">
        <v>446</v>
      </c>
      <c r="L20" s="80" t="s">
        <v>454</v>
      </c>
      <c r="M20" s="86" t="str">
        <f t="shared" si="0"/>
        <v>View on Google Map</v>
      </c>
    </row>
    <row r="21" spans="1:13" x14ac:dyDescent="0.2">
      <c r="A21" s="80">
        <v>1180</v>
      </c>
      <c r="B21" s="5" t="s">
        <v>482</v>
      </c>
      <c r="C21" s="80" t="s">
        <v>481</v>
      </c>
      <c r="D21" s="80">
        <v>68.951099999999997</v>
      </c>
      <c r="E21" s="80">
        <v>-150.20966000000001</v>
      </c>
      <c r="F21" s="80" t="s">
        <v>446</v>
      </c>
      <c r="G21" s="80" t="s">
        <v>447</v>
      </c>
      <c r="H21" s="80" t="s">
        <v>446</v>
      </c>
      <c r="I21" s="80" t="s">
        <v>446</v>
      </c>
      <c r="J21" s="80" t="s">
        <v>453</v>
      </c>
      <c r="K21" s="80" t="s">
        <v>446</v>
      </c>
      <c r="L21" s="80" t="s">
        <v>454</v>
      </c>
      <c r="M21" s="86" t="str">
        <f t="shared" si="0"/>
        <v>View on Google Map</v>
      </c>
    </row>
    <row r="22" spans="1:13" x14ac:dyDescent="0.2">
      <c r="A22" s="80">
        <v>1181</v>
      </c>
      <c r="B22" s="5" t="s">
        <v>483</v>
      </c>
      <c r="C22" s="80" t="s">
        <v>481</v>
      </c>
      <c r="D22" s="80">
        <v>68.950720000000004</v>
      </c>
      <c r="E22" s="80">
        <v>-150.19745</v>
      </c>
      <c r="F22" s="80" t="s">
        <v>446</v>
      </c>
      <c r="G22" s="80" t="s">
        <v>447</v>
      </c>
      <c r="H22" s="80" t="s">
        <v>446</v>
      </c>
      <c r="I22" s="80" t="s">
        <v>446</v>
      </c>
      <c r="J22" s="80" t="s">
        <v>453</v>
      </c>
      <c r="K22" s="80" t="s">
        <v>446</v>
      </c>
      <c r="L22" s="80" t="s">
        <v>454</v>
      </c>
      <c r="M22" s="86" t="str">
        <f t="shared" si="0"/>
        <v>View on Google Map</v>
      </c>
    </row>
    <row r="23" spans="1:13" x14ac:dyDescent="0.2">
      <c r="A23" s="80">
        <v>1182</v>
      </c>
      <c r="B23" s="5" t="s">
        <v>484</v>
      </c>
      <c r="C23" s="80" t="s">
        <v>481</v>
      </c>
      <c r="D23" s="80">
        <v>68.950149999999994</v>
      </c>
      <c r="E23" s="80">
        <v>-150.19701000000001</v>
      </c>
      <c r="F23" s="80" t="s">
        <v>446</v>
      </c>
      <c r="G23" s="80" t="s">
        <v>447</v>
      </c>
      <c r="H23" s="80" t="s">
        <v>446</v>
      </c>
      <c r="I23" s="80" t="s">
        <v>446</v>
      </c>
      <c r="J23" s="80" t="s">
        <v>453</v>
      </c>
      <c r="K23" s="80" t="s">
        <v>446</v>
      </c>
      <c r="L23" s="80" t="s">
        <v>454</v>
      </c>
      <c r="M23" s="86" t="str">
        <f t="shared" si="0"/>
        <v>View on Google Map</v>
      </c>
    </row>
    <row r="24" spans="1:13" x14ac:dyDescent="0.2">
      <c r="A24" s="80">
        <v>1183</v>
      </c>
      <c r="B24" s="5" t="s">
        <v>485</v>
      </c>
      <c r="C24" s="80" t="s">
        <v>481</v>
      </c>
      <c r="D24" s="80">
        <v>68.949629999999999</v>
      </c>
      <c r="E24" s="80">
        <v>-150.19672</v>
      </c>
      <c r="F24" s="80" t="s">
        <v>446</v>
      </c>
      <c r="G24" s="80" t="s">
        <v>447</v>
      </c>
      <c r="H24" s="80" t="s">
        <v>446</v>
      </c>
      <c r="I24" s="80" t="s">
        <v>446</v>
      </c>
      <c r="J24" s="80" t="s">
        <v>453</v>
      </c>
      <c r="K24" s="80" t="s">
        <v>446</v>
      </c>
      <c r="L24" s="80" t="s">
        <v>454</v>
      </c>
      <c r="M24" s="86" t="str">
        <f t="shared" si="0"/>
        <v>View on Google Map</v>
      </c>
    </row>
    <row r="25" spans="1:13" x14ac:dyDescent="0.2">
      <c r="A25" s="80">
        <v>1184</v>
      </c>
      <c r="B25" s="5" t="s">
        <v>486</v>
      </c>
      <c r="C25" s="80" t="s">
        <v>481</v>
      </c>
      <c r="D25" s="80">
        <v>68.952349999999996</v>
      </c>
      <c r="E25" s="80">
        <v>-150.20769999999999</v>
      </c>
      <c r="F25" s="80" t="s">
        <v>446</v>
      </c>
      <c r="G25" s="80" t="s">
        <v>447</v>
      </c>
      <c r="H25" s="80" t="s">
        <v>446</v>
      </c>
      <c r="I25" s="80" t="s">
        <v>446</v>
      </c>
      <c r="J25" s="80" t="s">
        <v>453</v>
      </c>
      <c r="K25" s="80" t="s">
        <v>446</v>
      </c>
      <c r="L25" s="80" t="s">
        <v>454</v>
      </c>
      <c r="M25" s="86" t="str">
        <f t="shared" si="0"/>
        <v>View on Google Map</v>
      </c>
    </row>
    <row r="26" spans="1:13" x14ac:dyDescent="0.2">
      <c r="A26" s="80">
        <v>1185</v>
      </c>
      <c r="B26" s="5" t="s">
        <v>487</v>
      </c>
      <c r="C26" s="80" t="s">
        <v>481</v>
      </c>
      <c r="D26" s="80">
        <v>68.933340000000001</v>
      </c>
      <c r="E26" s="80">
        <v>-150.27288999999999</v>
      </c>
      <c r="F26" s="80" t="s">
        <v>446</v>
      </c>
      <c r="G26" s="80" t="s">
        <v>447</v>
      </c>
      <c r="H26" s="80" t="s">
        <v>446</v>
      </c>
      <c r="I26" s="80" t="s">
        <v>446</v>
      </c>
      <c r="J26" s="80" t="s">
        <v>453</v>
      </c>
      <c r="K26" s="80" t="s">
        <v>446</v>
      </c>
      <c r="L26" s="80" t="s">
        <v>454</v>
      </c>
      <c r="M26" s="86" t="str">
        <f t="shared" si="0"/>
        <v>View on Google Map</v>
      </c>
    </row>
    <row r="27" spans="1:13" x14ac:dyDescent="0.2">
      <c r="A27" s="80">
        <v>1186</v>
      </c>
      <c r="B27" s="80" t="s">
        <v>488</v>
      </c>
      <c r="C27" s="80" t="s">
        <v>481</v>
      </c>
      <c r="D27" s="80">
        <v>68.935190000000006</v>
      </c>
      <c r="E27" s="80">
        <v>-150.26884000000001</v>
      </c>
      <c r="F27" s="80" t="s">
        <v>446</v>
      </c>
      <c r="G27" s="80" t="s">
        <v>447</v>
      </c>
      <c r="H27" s="80" t="s">
        <v>446</v>
      </c>
      <c r="I27" s="80" t="s">
        <v>446</v>
      </c>
      <c r="J27" s="80" t="s">
        <v>453</v>
      </c>
      <c r="K27" s="80" t="s">
        <v>446</v>
      </c>
      <c r="L27" s="80" t="s">
        <v>454</v>
      </c>
      <c r="M27" s="86" t="str">
        <f t="shared" si="0"/>
        <v>View on Google Map</v>
      </c>
    </row>
    <row r="28" spans="1:13" x14ac:dyDescent="0.2">
      <c r="A28" s="80">
        <v>1187</v>
      </c>
      <c r="B28" s="5" t="s">
        <v>489</v>
      </c>
      <c r="C28" s="80" t="s">
        <v>481</v>
      </c>
      <c r="D28" s="80">
        <v>68.997339999999994</v>
      </c>
      <c r="E28" s="80">
        <v>-150.30745999999999</v>
      </c>
      <c r="F28" s="80" t="s">
        <v>446</v>
      </c>
      <c r="G28" s="80" t="s">
        <v>447</v>
      </c>
      <c r="H28" s="80" t="s">
        <v>446</v>
      </c>
      <c r="I28" s="80" t="s">
        <v>446</v>
      </c>
      <c r="J28" s="80" t="s">
        <v>453</v>
      </c>
      <c r="K28" s="80" t="s">
        <v>446</v>
      </c>
      <c r="L28" s="80" t="s">
        <v>454</v>
      </c>
      <c r="M28" s="86" t="str">
        <f t="shared" si="0"/>
        <v>View on Google Map</v>
      </c>
    </row>
    <row r="29" spans="1:13" x14ac:dyDescent="0.2">
      <c r="A29" s="80">
        <v>1188</v>
      </c>
      <c r="B29" s="5" t="s">
        <v>490</v>
      </c>
      <c r="C29" s="80" t="s">
        <v>481</v>
      </c>
      <c r="D29" s="80">
        <v>68.950779999999995</v>
      </c>
      <c r="E29" s="80">
        <v>-150.19788</v>
      </c>
      <c r="F29" s="80" t="s">
        <v>446</v>
      </c>
      <c r="G29" s="80" t="s">
        <v>447</v>
      </c>
      <c r="H29" s="80" t="s">
        <v>446</v>
      </c>
      <c r="I29" s="80" t="s">
        <v>446</v>
      </c>
      <c r="J29" s="80" t="s">
        <v>453</v>
      </c>
      <c r="K29" s="80" t="s">
        <v>446</v>
      </c>
      <c r="L29" s="80" t="s">
        <v>454</v>
      </c>
      <c r="M29" s="86" t="str">
        <f t="shared" si="0"/>
        <v>View on Google Map</v>
      </c>
    </row>
    <row r="30" spans="1:13" x14ac:dyDescent="0.2">
      <c r="A30" s="80">
        <v>1189</v>
      </c>
      <c r="B30" s="5" t="s">
        <v>491</v>
      </c>
      <c r="C30" s="80" t="s">
        <v>481</v>
      </c>
      <c r="D30" s="80">
        <v>68.954440000000005</v>
      </c>
      <c r="E30" s="80">
        <v>-150.20644999999999</v>
      </c>
      <c r="F30" s="80" t="s">
        <v>446</v>
      </c>
      <c r="G30" s="80" t="s">
        <v>447</v>
      </c>
      <c r="H30" s="80" t="s">
        <v>446</v>
      </c>
      <c r="I30" s="80" t="s">
        <v>446</v>
      </c>
      <c r="J30" s="80" t="s">
        <v>453</v>
      </c>
      <c r="K30" s="80" t="s">
        <v>446</v>
      </c>
      <c r="L30" s="80" t="s">
        <v>454</v>
      </c>
      <c r="M30" s="86" t="str">
        <f t="shared" si="0"/>
        <v>View on Google Map</v>
      </c>
    </row>
    <row r="31" spans="1:13" x14ac:dyDescent="0.2">
      <c r="A31" s="80">
        <v>1190</v>
      </c>
      <c r="B31" s="5" t="s">
        <v>492</v>
      </c>
      <c r="C31" s="80" t="s">
        <v>481</v>
      </c>
      <c r="D31" s="80">
        <v>69.116330000000005</v>
      </c>
      <c r="E31" s="80">
        <v>-150.79077000000001</v>
      </c>
      <c r="F31" s="80" t="s">
        <v>446</v>
      </c>
      <c r="G31" s="80" t="s">
        <v>447</v>
      </c>
      <c r="H31" s="80" t="s">
        <v>446</v>
      </c>
      <c r="I31" s="80" t="s">
        <v>446</v>
      </c>
      <c r="J31" s="80" t="s">
        <v>453</v>
      </c>
      <c r="K31" s="80" t="s">
        <v>446</v>
      </c>
      <c r="L31" s="80" t="s">
        <v>454</v>
      </c>
      <c r="M31" s="86" t="str">
        <f t="shared" si="0"/>
        <v>View on Google Map</v>
      </c>
    </row>
    <row r="32" spans="1:13" x14ac:dyDescent="0.2">
      <c r="A32" s="80">
        <v>1191</v>
      </c>
      <c r="B32" s="5" t="s">
        <v>493</v>
      </c>
      <c r="C32" s="80" t="s">
        <v>481</v>
      </c>
      <c r="D32" s="80">
        <v>69.116150000000005</v>
      </c>
      <c r="E32" s="80">
        <v>-150.79553999999999</v>
      </c>
      <c r="F32" s="80" t="s">
        <v>446</v>
      </c>
      <c r="G32" s="80" t="s">
        <v>447</v>
      </c>
      <c r="H32" s="80" t="s">
        <v>446</v>
      </c>
      <c r="I32" s="80" t="s">
        <v>446</v>
      </c>
      <c r="J32" s="80" t="s">
        <v>453</v>
      </c>
      <c r="K32" s="80" t="s">
        <v>446</v>
      </c>
      <c r="L32" s="80" t="s">
        <v>454</v>
      </c>
      <c r="M32" s="86" t="str">
        <f t="shared" si="0"/>
        <v>View on Google Map</v>
      </c>
    </row>
    <row r="33" spans="1:14" x14ac:dyDescent="0.2">
      <c r="A33" s="80">
        <v>3</v>
      </c>
      <c r="B33" s="80" t="s">
        <v>494</v>
      </c>
      <c r="C33" s="80" t="s">
        <v>495</v>
      </c>
      <c r="D33" s="80">
        <v>68.266666666666666</v>
      </c>
      <c r="E33" s="80">
        <v>-149.44999999999999</v>
      </c>
      <c r="F33" s="80">
        <v>914</v>
      </c>
      <c r="G33" s="80" t="s">
        <v>471</v>
      </c>
      <c r="H33" s="80" t="s">
        <v>446</v>
      </c>
      <c r="I33" s="80" t="s">
        <v>446</v>
      </c>
      <c r="J33" s="80" t="s">
        <v>472</v>
      </c>
      <c r="K33" s="80" t="s">
        <v>446</v>
      </c>
      <c r="L33" s="80" t="s">
        <v>473</v>
      </c>
      <c r="M33" s="86" t="str">
        <f t="shared" si="0"/>
        <v>View on Google Map</v>
      </c>
    </row>
    <row r="34" spans="1:14" x14ac:dyDescent="0.2">
      <c r="A34" s="80">
        <v>2</v>
      </c>
      <c r="B34" s="80" t="s">
        <v>496</v>
      </c>
      <c r="C34" s="80" t="s">
        <v>497</v>
      </c>
      <c r="D34" s="80">
        <v>68.266666666666666</v>
      </c>
      <c r="E34" s="80">
        <v>-149.46666666666667</v>
      </c>
      <c r="F34" s="80">
        <v>914</v>
      </c>
      <c r="G34" s="80" t="s">
        <v>471</v>
      </c>
      <c r="H34" s="80" t="s">
        <v>446</v>
      </c>
      <c r="I34" s="80" t="s">
        <v>446</v>
      </c>
      <c r="J34" s="80" t="s">
        <v>472</v>
      </c>
      <c r="K34" s="80" t="s">
        <v>446</v>
      </c>
      <c r="L34" s="80" t="s">
        <v>473</v>
      </c>
      <c r="M34" s="86" t="str">
        <f t="shared" si="0"/>
        <v>View on Google Map</v>
      </c>
    </row>
    <row r="35" spans="1:14" x14ac:dyDescent="0.2">
      <c r="A35" s="80">
        <v>25</v>
      </c>
      <c r="B35" s="80" t="s">
        <v>498</v>
      </c>
      <c r="C35" s="80" t="s">
        <v>446</v>
      </c>
      <c r="D35" s="80" t="s">
        <v>446</v>
      </c>
      <c r="E35" s="80" t="s">
        <v>446</v>
      </c>
      <c r="F35" s="80">
        <v>1097</v>
      </c>
      <c r="G35" s="80" t="s">
        <v>471</v>
      </c>
      <c r="H35" s="80" t="s">
        <v>499</v>
      </c>
      <c r="I35" s="80" t="s">
        <v>446</v>
      </c>
      <c r="J35" s="80" t="s">
        <v>472</v>
      </c>
      <c r="K35" s="80" t="s">
        <v>446</v>
      </c>
      <c r="L35" s="80" t="s">
        <v>446</v>
      </c>
      <c r="M35" s="86" t="str">
        <f t="shared" si="0"/>
        <v>View on Google Map</v>
      </c>
    </row>
    <row r="36" spans="1:14" x14ac:dyDescent="0.2">
      <c r="A36" s="80">
        <v>26</v>
      </c>
      <c r="B36" s="80" t="s">
        <v>500</v>
      </c>
      <c r="C36" s="80" t="s">
        <v>446</v>
      </c>
      <c r="D36" s="80" t="s">
        <v>446</v>
      </c>
      <c r="E36" s="80" t="s">
        <v>446</v>
      </c>
      <c r="F36" s="80">
        <v>1280</v>
      </c>
      <c r="G36" s="80" t="s">
        <v>471</v>
      </c>
      <c r="H36" s="80" t="s">
        <v>501</v>
      </c>
      <c r="I36" s="80" t="s">
        <v>446</v>
      </c>
      <c r="J36" s="80" t="s">
        <v>472</v>
      </c>
      <c r="K36" s="80" t="s">
        <v>446</v>
      </c>
      <c r="L36" s="80" t="s">
        <v>446</v>
      </c>
      <c r="M36" s="86" t="str">
        <f t="shared" si="0"/>
        <v>View on Google Map</v>
      </c>
    </row>
    <row r="37" spans="1:14" x14ac:dyDescent="0.2">
      <c r="A37" s="80">
        <v>27</v>
      </c>
      <c r="B37" s="80" t="s">
        <v>502</v>
      </c>
      <c r="C37" s="80" t="s">
        <v>446</v>
      </c>
      <c r="D37" s="80" t="s">
        <v>446</v>
      </c>
      <c r="E37" s="80" t="s">
        <v>446</v>
      </c>
      <c r="F37" s="80">
        <v>1555</v>
      </c>
      <c r="G37" s="80" t="s">
        <v>471</v>
      </c>
      <c r="H37" s="80" t="s">
        <v>503</v>
      </c>
      <c r="I37" s="80" t="s">
        <v>446</v>
      </c>
      <c r="J37" s="80" t="s">
        <v>472</v>
      </c>
      <c r="K37" s="80" t="s">
        <v>446</v>
      </c>
      <c r="L37" s="80" t="s">
        <v>446</v>
      </c>
      <c r="M37" s="86" t="str">
        <f t="shared" si="0"/>
        <v>View on Google Map</v>
      </c>
    </row>
    <row r="38" spans="1:14" ht="12.75" customHeight="1" x14ac:dyDescent="0.2">
      <c r="A38" s="80">
        <v>138</v>
      </c>
      <c r="B38" s="80" t="s">
        <v>504</v>
      </c>
      <c r="C38" s="80" t="s">
        <v>446</v>
      </c>
      <c r="D38" s="80">
        <v>70.283333333333331</v>
      </c>
      <c r="E38" s="80">
        <v>-148.30000000000001</v>
      </c>
      <c r="F38" s="80">
        <v>6</v>
      </c>
      <c r="G38" s="80" t="s">
        <v>457</v>
      </c>
      <c r="H38" s="80" t="s">
        <v>505</v>
      </c>
      <c r="I38" s="80" t="s">
        <v>446</v>
      </c>
      <c r="J38" s="80" t="s">
        <v>472</v>
      </c>
      <c r="K38" s="80" t="s">
        <v>446</v>
      </c>
      <c r="L38" s="80" t="s">
        <v>473</v>
      </c>
      <c r="M38" s="86" t="str">
        <f t="shared" si="0"/>
        <v>View on Google Map</v>
      </c>
    </row>
    <row r="39" spans="1:14" ht="12.75" customHeight="1" x14ac:dyDescent="0.2">
      <c r="A39" s="80">
        <v>31</v>
      </c>
      <c r="B39" s="80" t="s">
        <v>506</v>
      </c>
      <c r="C39" s="80" t="s">
        <v>446</v>
      </c>
      <c r="D39" s="80">
        <v>68.957566666999995</v>
      </c>
      <c r="E39" s="80">
        <v>-150.236266667</v>
      </c>
      <c r="F39" s="80">
        <v>386.18</v>
      </c>
      <c r="G39" s="80" t="s">
        <v>471</v>
      </c>
      <c r="H39" s="80" t="s">
        <v>446</v>
      </c>
      <c r="I39" s="80" t="s">
        <v>446</v>
      </c>
      <c r="J39" s="80" t="s">
        <v>507</v>
      </c>
      <c r="K39" s="80" t="s">
        <v>446</v>
      </c>
      <c r="L39" s="80" t="s">
        <v>454</v>
      </c>
      <c r="M39" s="86" t="str">
        <f t="shared" si="0"/>
        <v>View on Google Map</v>
      </c>
    </row>
    <row r="40" spans="1:14" ht="12.75" customHeight="1" x14ac:dyDescent="0.2">
      <c r="A40" s="80">
        <v>131</v>
      </c>
      <c r="B40" s="80" t="s">
        <v>508</v>
      </c>
      <c r="C40" s="80" t="s">
        <v>446</v>
      </c>
      <c r="D40" s="80">
        <v>70.333333333333329</v>
      </c>
      <c r="E40" s="80">
        <v>-148.93333333333334</v>
      </c>
      <c r="F40" s="80">
        <v>3</v>
      </c>
      <c r="G40" s="80" t="s">
        <v>457</v>
      </c>
      <c r="H40" s="80" t="s">
        <v>509</v>
      </c>
      <c r="I40" s="80" t="s">
        <v>446</v>
      </c>
      <c r="J40" s="80" t="s">
        <v>472</v>
      </c>
      <c r="K40" s="80" t="s">
        <v>446</v>
      </c>
      <c r="L40" s="80" t="s">
        <v>473</v>
      </c>
      <c r="M40" s="86" t="str">
        <f t="shared" si="0"/>
        <v>View on Google Map</v>
      </c>
    </row>
    <row r="41" spans="1:14" s="87" customFormat="1" ht="12.75" customHeight="1" x14ac:dyDescent="0.2">
      <c r="A41" s="80">
        <v>132</v>
      </c>
      <c r="B41" s="80" t="s">
        <v>510</v>
      </c>
      <c r="C41" s="80" t="s">
        <v>446</v>
      </c>
      <c r="D41" s="80">
        <v>70.333333333333329</v>
      </c>
      <c r="E41" s="80">
        <v>-148.93333333333334</v>
      </c>
      <c r="F41" s="80">
        <v>3</v>
      </c>
      <c r="G41" s="80" t="s">
        <v>457</v>
      </c>
      <c r="H41" s="80" t="s">
        <v>511</v>
      </c>
      <c r="I41" s="80" t="s">
        <v>446</v>
      </c>
      <c r="J41" s="80" t="s">
        <v>472</v>
      </c>
      <c r="K41" s="80" t="s">
        <v>446</v>
      </c>
      <c r="L41" s="80" t="s">
        <v>473</v>
      </c>
      <c r="M41" s="86" t="str">
        <f t="shared" si="0"/>
        <v>View on Google Map</v>
      </c>
      <c r="N41" s="80"/>
    </row>
    <row r="42" spans="1:14" ht="12.75" customHeight="1" x14ac:dyDescent="0.2">
      <c r="A42" s="80">
        <v>141</v>
      </c>
      <c r="B42" s="80" t="s">
        <v>512</v>
      </c>
      <c r="C42" s="80" t="s">
        <v>513</v>
      </c>
      <c r="D42" s="80">
        <v>68.63333333333334</v>
      </c>
      <c r="E42" s="80">
        <v>-149.6</v>
      </c>
      <c r="F42" s="80">
        <v>720</v>
      </c>
      <c r="G42" s="80" t="s">
        <v>457</v>
      </c>
      <c r="H42" s="80" t="s">
        <v>514</v>
      </c>
      <c r="I42" s="80" t="s">
        <v>515</v>
      </c>
      <c r="J42" s="80" t="s">
        <v>472</v>
      </c>
      <c r="K42" s="80" t="s">
        <v>446</v>
      </c>
      <c r="L42" s="80" t="s">
        <v>473</v>
      </c>
      <c r="M42" s="86" t="str">
        <f t="shared" si="0"/>
        <v>View on Google Map</v>
      </c>
    </row>
    <row r="43" spans="1:14" ht="12.75" customHeight="1" x14ac:dyDescent="0.2">
      <c r="A43" s="80">
        <v>160</v>
      </c>
      <c r="B43" s="80" t="s">
        <v>516</v>
      </c>
      <c r="C43" s="80" t="s">
        <v>446</v>
      </c>
      <c r="D43" s="80">
        <v>68.599999999999994</v>
      </c>
      <c r="E43" s="80">
        <v>-149.18333333333334</v>
      </c>
      <c r="F43" s="80">
        <v>864</v>
      </c>
      <c r="G43" s="80" t="s">
        <v>457</v>
      </c>
      <c r="H43" s="80" t="s">
        <v>517</v>
      </c>
      <c r="I43" s="80" t="s">
        <v>518</v>
      </c>
      <c r="J43" s="80" t="s">
        <v>472</v>
      </c>
      <c r="K43" s="80">
        <v>246</v>
      </c>
      <c r="L43" s="80" t="s">
        <v>473</v>
      </c>
      <c r="M43" s="86" t="str">
        <f t="shared" si="0"/>
        <v>View on Google Map</v>
      </c>
    </row>
    <row r="44" spans="1:14" ht="12.75" customHeight="1" x14ac:dyDescent="0.2">
      <c r="A44" s="80">
        <v>481</v>
      </c>
      <c r="B44" s="80" t="s">
        <v>519</v>
      </c>
      <c r="C44" s="80" t="s">
        <v>446</v>
      </c>
      <c r="D44" s="80">
        <v>68.976716667000005</v>
      </c>
      <c r="E44" s="80">
        <v>-150.20383333300001</v>
      </c>
      <c r="F44" s="80">
        <v>362</v>
      </c>
      <c r="G44" s="80" t="s">
        <v>457</v>
      </c>
      <c r="H44" s="80" t="s">
        <v>446</v>
      </c>
      <c r="I44" s="80" t="s">
        <v>446</v>
      </c>
      <c r="J44" s="80" t="s">
        <v>507</v>
      </c>
      <c r="K44" s="80" t="s">
        <v>446</v>
      </c>
      <c r="L44" s="80" t="s">
        <v>454</v>
      </c>
      <c r="M44" s="86" t="str">
        <f t="shared" si="0"/>
        <v>View on Google Map</v>
      </c>
    </row>
    <row r="45" spans="1:14" x14ac:dyDescent="0.2">
      <c r="A45" s="80">
        <v>21</v>
      </c>
      <c r="B45" s="80" t="s">
        <v>520</v>
      </c>
      <c r="C45" s="80" t="s">
        <v>446</v>
      </c>
      <c r="D45" s="80" t="s">
        <v>446</v>
      </c>
      <c r="E45" s="80" t="s">
        <v>446</v>
      </c>
      <c r="F45" s="80" t="s">
        <v>446</v>
      </c>
      <c r="G45" s="80" t="s">
        <v>471</v>
      </c>
      <c r="H45" s="80" t="s">
        <v>446</v>
      </c>
      <c r="I45" s="80" t="s">
        <v>446</v>
      </c>
      <c r="J45" s="80" t="s">
        <v>472</v>
      </c>
      <c r="K45" s="80" t="s">
        <v>446</v>
      </c>
      <c r="L45" s="80" t="s">
        <v>446</v>
      </c>
      <c r="M45" s="86" t="str">
        <f t="shared" si="0"/>
        <v>View on Google Map</v>
      </c>
      <c r="N45" s="87"/>
    </row>
    <row r="46" spans="1:14" x14ac:dyDescent="0.2">
      <c r="A46" s="80">
        <v>470</v>
      </c>
      <c r="B46" s="80" t="s">
        <v>521</v>
      </c>
      <c r="C46" s="80" t="s">
        <v>446</v>
      </c>
      <c r="D46" s="80">
        <v>68.829459999999997</v>
      </c>
      <c r="E46" s="80">
        <v>-149.77891</v>
      </c>
      <c r="F46" s="80">
        <v>634</v>
      </c>
      <c r="G46" s="80" t="s">
        <v>457</v>
      </c>
      <c r="H46" s="80" t="s">
        <v>446</v>
      </c>
      <c r="I46" s="80" t="s">
        <v>446</v>
      </c>
      <c r="J46" s="80" t="s">
        <v>458</v>
      </c>
      <c r="K46" s="80" t="s">
        <v>446</v>
      </c>
      <c r="L46" s="80" t="s">
        <v>446</v>
      </c>
      <c r="M46" s="86" t="str">
        <f t="shared" si="0"/>
        <v>View on Google Map</v>
      </c>
    </row>
    <row r="47" spans="1:14" x14ac:dyDescent="0.2">
      <c r="A47" s="80">
        <v>471</v>
      </c>
      <c r="B47" s="80" t="s">
        <v>522</v>
      </c>
      <c r="C47" s="80" t="s">
        <v>446</v>
      </c>
      <c r="D47" s="80">
        <v>68.832939999999994</v>
      </c>
      <c r="E47" s="80">
        <v>-149.76775000000001</v>
      </c>
      <c r="F47" s="80">
        <v>624</v>
      </c>
      <c r="G47" s="80" t="s">
        <v>457</v>
      </c>
      <c r="H47" s="80" t="s">
        <v>446</v>
      </c>
      <c r="I47" s="80" t="s">
        <v>446</v>
      </c>
      <c r="J47" s="80" t="s">
        <v>458</v>
      </c>
      <c r="K47" s="80" t="s">
        <v>446</v>
      </c>
      <c r="L47" s="80" t="s">
        <v>446</v>
      </c>
      <c r="M47" s="86" t="str">
        <f t="shared" si="0"/>
        <v>View on Google Map</v>
      </c>
    </row>
    <row r="48" spans="1:14" x14ac:dyDescent="0.2">
      <c r="A48" s="80">
        <v>472</v>
      </c>
      <c r="B48" s="80" t="s">
        <v>523</v>
      </c>
      <c r="C48" s="80" t="s">
        <v>446</v>
      </c>
      <c r="D48" s="80">
        <v>68.828059999999994</v>
      </c>
      <c r="E48" s="80">
        <v>-149.76449</v>
      </c>
      <c r="F48" s="80">
        <v>624</v>
      </c>
      <c r="G48" s="80" t="s">
        <v>457</v>
      </c>
      <c r="H48" s="80" t="s">
        <v>446</v>
      </c>
      <c r="I48" s="80" t="s">
        <v>446</v>
      </c>
      <c r="J48" s="80" t="s">
        <v>458</v>
      </c>
      <c r="K48" s="80" t="s">
        <v>446</v>
      </c>
      <c r="L48" s="80" t="s">
        <v>446</v>
      </c>
      <c r="M48" s="86" t="str">
        <f t="shared" si="0"/>
        <v>View on Google Map</v>
      </c>
    </row>
    <row r="49" spans="1:13" x14ac:dyDescent="0.2">
      <c r="A49" s="80">
        <v>473</v>
      </c>
      <c r="B49" s="80" t="s">
        <v>524</v>
      </c>
      <c r="C49" s="80" t="s">
        <v>446</v>
      </c>
      <c r="D49" s="80">
        <v>68.826400000000007</v>
      </c>
      <c r="E49" s="80">
        <v>-149.7585</v>
      </c>
      <c r="F49" s="80">
        <v>592</v>
      </c>
      <c r="G49" s="80" t="s">
        <v>457</v>
      </c>
      <c r="H49" s="80" t="s">
        <v>446</v>
      </c>
      <c r="I49" s="80" t="s">
        <v>446</v>
      </c>
      <c r="J49" s="80" t="s">
        <v>458</v>
      </c>
      <c r="K49" s="80" t="s">
        <v>446</v>
      </c>
      <c r="L49" s="80" t="s">
        <v>446</v>
      </c>
      <c r="M49" s="86" t="str">
        <f t="shared" si="0"/>
        <v>View on Google Map</v>
      </c>
    </row>
    <row r="50" spans="1:13" x14ac:dyDescent="0.2">
      <c r="A50" s="80">
        <v>474</v>
      </c>
      <c r="B50" s="80" t="s">
        <v>525</v>
      </c>
      <c r="C50" s="80" t="s">
        <v>446</v>
      </c>
      <c r="D50" s="80">
        <v>68.827349999999996</v>
      </c>
      <c r="E50" s="80">
        <v>-149.74993000000001</v>
      </c>
      <c r="F50" s="80">
        <v>592</v>
      </c>
      <c r="G50" s="80" t="s">
        <v>457</v>
      </c>
      <c r="H50" s="80" t="s">
        <v>446</v>
      </c>
      <c r="I50" s="80" t="s">
        <v>446</v>
      </c>
      <c r="J50" s="80" t="s">
        <v>458</v>
      </c>
      <c r="K50" s="80" t="s">
        <v>446</v>
      </c>
      <c r="L50" s="80" t="s">
        <v>446</v>
      </c>
      <c r="M50" s="86" t="str">
        <f t="shared" si="0"/>
        <v>View on Google Map</v>
      </c>
    </row>
    <row r="51" spans="1:13" x14ac:dyDescent="0.2">
      <c r="A51" s="80">
        <v>475</v>
      </c>
      <c r="B51" s="80" t="s">
        <v>526</v>
      </c>
      <c r="C51" s="80" t="s">
        <v>446</v>
      </c>
      <c r="D51" s="80">
        <v>68.831180000000003</v>
      </c>
      <c r="E51" s="80">
        <v>-149.74606</v>
      </c>
      <c r="F51" s="80">
        <v>593</v>
      </c>
      <c r="G51" s="80" t="s">
        <v>457</v>
      </c>
      <c r="H51" s="80" t="s">
        <v>527</v>
      </c>
      <c r="I51" s="80" t="s">
        <v>446</v>
      </c>
      <c r="J51" s="80" t="s">
        <v>458</v>
      </c>
      <c r="K51" s="80" t="s">
        <v>446</v>
      </c>
      <c r="L51" s="80" t="s">
        <v>446</v>
      </c>
      <c r="M51" s="86" t="str">
        <f t="shared" si="0"/>
        <v>View on Google Map</v>
      </c>
    </row>
    <row r="52" spans="1:13" x14ac:dyDescent="0.2">
      <c r="A52" s="80">
        <v>476</v>
      </c>
      <c r="B52" s="80" t="s">
        <v>528</v>
      </c>
      <c r="C52" s="80" t="s">
        <v>446</v>
      </c>
      <c r="D52" s="80">
        <v>68.825339999999997</v>
      </c>
      <c r="E52" s="80">
        <v>-149.76837</v>
      </c>
      <c r="F52" s="80">
        <v>621</v>
      </c>
      <c r="G52" s="80" t="s">
        <v>457</v>
      </c>
      <c r="H52" s="80" t="s">
        <v>446</v>
      </c>
      <c r="I52" s="80" t="s">
        <v>446</v>
      </c>
      <c r="J52" s="80" t="s">
        <v>458</v>
      </c>
      <c r="K52" s="80" t="s">
        <v>446</v>
      </c>
      <c r="L52" s="80" t="s">
        <v>446</v>
      </c>
      <c r="M52" s="86" t="str">
        <f t="shared" si="0"/>
        <v>View on Google Map</v>
      </c>
    </row>
    <row r="53" spans="1:13" x14ac:dyDescent="0.2">
      <c r="A53" s="80">
        <v>477</v>
      </c>
      <c r="B53" s="80" t="s">
        <v>529</v>
      </c>
      <c r="C53" s="80" t="s">
        <v>446</v>
      </c>
      <c r="D53" s="80">
        <v>68.821740000000005</v>
      </c>
      <c r="E53" s="80">
        <v>-149.76378</v>
      </c>
      <c r="F53" s="80">
        <v>605</v>
      </c>
      <c r="G53" s="80" t="s">
        <v>457</v>
      </c>
      <c r="H53" s="80" t="s">
        <v>446</v>
      </c>
      <c r="I53" s="80" t="s">
        <v>446</v>
      </c>
      <c r="J53" s="80" t="s">
        <v>458</v>
      </c>
      <c r="K53" s="80" t="s">
        <v>446</v>
      </c>
      <c r="L53" s="80" t="s">
        <v>446</v>
      </c>
      <c r="M53" s="86" t="str">
        <f t="shared" si="0"/>
        <v>View on Google Map</v>
      </c>
    </row>
    <row r="54" spans="1:13" x14ac:dyDescent="0.2">
      <c r="A54" s="80">
        <v>1174</v>
      </c>
      <c r="B54" s="80" t="s">
        <v>530</v>
      </c>
      <c r="C54" s="80" t="s">
        <v>446</v>
      </c>
      <c r="D54" s="80">
        <v>68.933938330000004</v>
      </c>
      <c r="E54" s="80">
        <v>-150.27111830000001</v>
      </c>
      <c r="F54" s="80" t="s">
        <v>446</v>
      </c>
      <c r="G54" s="80" t="s">
        <v>447</v>
      </c>
      <c r="H54" s="80" t="s">
        <v>446</v>
      </c>
      <c r="I54" s="80" t="s">
        <v>446</v>
      </c>
      <c r="J54" s="80" t="s">
        <v>453</v>
      </c>
      <c r="K54" s="80" t="s">
        <v>446</v>
      </c>
      <c r="L54" s="80" t="s">
        <v>454</v>
      </c>
      <c r="M54" s="86" t="str">
        <f t="shared" si="0"/>
        <v>View on Google Map</v>
      </c>
    </row>
    <row r="55" spans="1:13" x14ac:dyDescent="0.2">
      <c r="A55" s="80">
        <v>242</v>
      </c>
      <c r="B55" s="80" t="s">
        <v>531</v>
      </c>
      <c r="C55" s="80" t="s">
        <v>446</v>
      </c>
      <c r="D55" s="80" t="s">
        <v>446</v>
      </c>
      <c r="E55" s="80" t="s">
        <v>446</v>
      </c>
      <c r="F55" s="80">
        <v>390.2439024390244</v>
      </c>
      <c r="G55" s="80" t="s">
        <v>457</v>
      </c>
      <c r="H55" s="80" t="s">
        <v>446</v>
      </c>
      <c r="I55" s="80" t="s">
        <v>446</v>
      </c>
      <c r="J55" s="80" t="s">
        <v>472</v>
      </c>
      <c r="K55" s="80" t="s">
        <v>446</v>
      </c>
      <c r="L55" s="80" t="s">
        <v>532</v>
      </c>
      <c r="M55" s="86" t="str">
        <f t="shared" si="0"/>
        <v>View on Google Map</v>
      </c>
    </row>
    <row r="56" spans="1:13" x14ac:dyDescent="0.2">
      <c r="A56" s="80">
        <v>192</v>
      </c>
      <c r="B56" s="80" t="s">
        <v>533</v>
      </c>
      <c r="C56" s="80" t="s">
        <v>446</v>
      </c>
      <c r="D56" s="80">
        <v>69.233333333333334</v>
      </c>
      <c r="E56" s="80">
        <v>-148.94999999999999</v>
      </c>
      <c r="F56" s="80">
        <v>325</v>
      </c>
      <c r="G56" s="80" t="s">
        <v>457</v>
      </c>
      <c r="H56" s="80" t="s">
        <v>534</v>
      </c>
      <c r="I56" s="80" t="s">
        <v>446</v>
      </c>
      <c r="J56" s="80" t="s">
        <v>472</v>
      </c>
      <c r="K56" s="80" t="s">
        <v>446</v>
      </c>
      <c r="L56" s="80" t="s">
        <v>535</v>
      </c>
      <c r="M56" s="86" t="str">
        <f t="shared" si="0"/>
        <v>View on Google Map</v>
      </c>
    </row>
    <row r="57" spans="1:13" x14ac:dyDescent="0.2">
      <c r="A57" s="80">
        <v>277</v>
      </c>
      <c r="B57" s="80" t="s">
        <v>533</v>
      </c>
      <c r="C57" s="80" t="s">
        <v>446</v>
      </c>
      <c r="D57" s="80">
        <v>70.374600000000001</v>
      </c>
      <c r="E57" s="80">
        <v>-149.06383333333332</v>
      </c>
      <c r="F57" s="80">
        <v>6</v>
      </c>
      <c r="G57" s="80" t="s">
        <v>457</v>
      </c>
      <c r="H57" s="80" t="s">
        <v>536</v>
      </c>
      <c r="I57" s="80" t="s">
        <v>446</v>
      </c>
      <c r="J57" s="80" t="s">
        <v>472</v>
      </c>
      <c r="K57" s="80" t="s">
        <v>446</v>
      </c>
      <c r="L57" s="80" t="s">
        <v>537</v>
      </c>
      <c r="M57" s="86" t="str">
        <f t="shared" si="0"/>
        <v>View on Google Map</v>
      </c>
    </row>
    <row r="58" spans="1:13" x14ac:dyDescent="0.2">
      <c r="A58" s="80">
        <v>193</v>
      </c>
      <c r="B58" s="80" t="s">
        <v>538</v>
      </c>
      <c r="C58" s="80" t="s">
        <v>446</v>
      </c>
      <c r="D58" s="80">
        <v>69.283333333333331</v>
      </c>
      <c r="E58" s="80">
        <v>-148.9</v>
      </c>
      <c r="F58" s="80">
        <v>346</v>
      </c>
      <c r="G58" s="80" t="s">
        <v>457</v>
      </c>
      <c r="H58" s="80" t="s">
        <v>539</v>
      </c>
      <c r="I58" s="80" t="s">
        <v>446</v>
      </c>
      <c r="J58" s="80" t="s">
        <v>472</v>
      </c>
      <c r="K58" s="80" t="s">
        <v>446</v>
      </c>
      <c r="L58" s="80" t="s">
        <v>535</v>
      </c>
      <c r="M58" s="86" t="str">
        <f t="shared" si="0"/>
        <v>View on Google Map</v>
      </c>
    </row>
    <row r="59" spans="1:13" x14ac:dyDescent="0.2">
      <c r="A59" s="80">
        <v>278</v>
      </c>
      <c r="B59" s="80" t="s">
        <v>538</v>
      </c>
      <c r="C59" s="80" t="s">
        <v>446</v>
      </c>
      <c r="D59" s="80">
        <v>70.374600000000001</v>
      </c>
      <c r="E59" s="80">
        <v>-149.06383333333332</v>
      </c>
      <c r="F59" s="80">
        <v>6</v>
      </c>
      <c r="G59" s="80" t="s">
        <v>457</v>
      </c>
      <c r="H59" s="80" t="s">
        <v>540</v>
      </c>
      <c r="I59" s="80" t="s">
        <v>446</v>
      </c>
      <c r="J59" s="80" t="s">
        <v>472</v>
      </c>
      <c r="K59" s="80" t="s">
        <v>446</v>
      </c>
      <c r="L59" s="80" t="s">
        <v>537</v>
      </c>
      <c r="M59" s="86" t="str">
        <f t="shared" si="0"/>
        <v>View on Google Map</v>
      </c>
    </row>
    <row r="60" spans="1:13" x14ac:dyDescent="0.2">
      <c r="A60" s="80">
        <v>194</v>
      </c>
      <c r="B60" s="80" t="s">
        <v>541</v>
      </c>
      <c r="C60" s="80" t="s">
        <v>446</v>
      </c>
      <c r="D60" s="80">
        <v>69.716666666666669</v>
      </c>
      <c r="E60" s="80">
        <v>-149.44999999999999</v>
      </c>
      <c r="F60" s="80">
        <v>91</v>
      </c>
      <c r="G60" s="80" t="s">
        <v>457</v>
      </c>
      <c r="H60" s="80" t="s">
        <v>542</v>
      </c>
      <c r="I60" s="80" t="s">
        <v>446</v>
      </c>
      <c r="J60" s="80" t="s">
        <v>472</v>
      </c>
      <c r="K60" s="80" t="s">
        <v>446</v>
      </c>
      <c r="L60" s="80" t="s">
        <v>535</v>
      </c>
      <c r="M60" s="86" t="str">
        <f t="shared" si="0"/>
        <v>View on Google Map</v>
      </c>
    </row>
    <row r="61" spans="1:13" x14ac:dyDescent="0.2">
      <c r="A61" s="80">
        <v>279</v>
      </c>
      <c r="B61" s="80" t="s">
        <v>541</v>
      </c>
      <c r="C61" s="80" t="s">
        <v>446</v>
      </c>
      <c r="D61" s="80">
        <v>70.367750000000001</v>
      </c>
      <c r="E61" s="80">
        <v>-148.8357</v>
      </c>
      <c r="F61" s="80">
        <v>6</v>
      </c>
      <c r="G61" s="80" t="s">
        <v>457</v>
      </c>
      <c r="H61" s="80" t="s">
        <v>543</v>
      </c>
      <c r="I61" s="80" t="s">
        <v>446</v>
      </c>
      <c r="J61" s="80" t="s">
        <v>472</v>
      </c>
      <c r="K61" s="80" t="s">
        <v>446</v>
      </c>
      <c r="L61" s="80" t="s">
        <v>537</v>
      </c>
      <c r="M61" s="86" t="str">
        <f t="shared" si="0"/>
        <v>View on Google Map</v>
      </c>
    </row>
    <row r="62" spans="1:13" x14ac:dyDescent="0.2">
      <c r="A62" s="80">
        <v>195</v>
      </c>
      <c r="B62" s="80" t="s">
        <v>544</v>
      </c>
      <c r="C62" s="80" t="s">
        <v>446</v>
      </c>
      <c r="D62" s="80">
        <v>69.716666666666669</v>
      </c>
      <c r="E62" s="80">
        <v>-149.44999999999999</v>
      </c>
      <c r="F62" s="80">
        <v>91</v>
      </c>
      <c r="G62" s="80" t="s">
        <v>457</v>
      </c>
      <c r="H62" s="80" t="s">
        <v>545</v>
      </c>
      <c r="I62" s="80" t="s">
        <v>446</v>
      </c>
      <c r="J62" s="80" t="s">
        <v>472</v>
      </c>
      <c r="K62" s="80" t="s">
        <v>446</v>
      </c>
      <c r="L62" s="80" t="s">
        <v>535</v>
      </c>
      <c r="M62" s="86" t="str">
        <f t="shared" si="0"/>
        <v>View on Google Map</v>
      </c>
    </row>
    <row r="63" spans="1:13" x14ac:dyDescent="0.2">
      <c r="A63" s="80">
        <v>280</v>
      </c>
      <c r="B63" s="80" t="s">
        <v>544</v>
      </c>
      <c r="C63" s="80" t="s">
        <v>446</v>
      </c>
      <c r="D63" s="80">
        <v>70.367750000000001</v>
      </c>
      <c r="E63" s="80">
        <v>-148.8357</v>
      </c>
      <c r="F63" s="80">
        <v>6</v>
      </c>
      <c r="G63" s="80" t="s">
        <v>457</v>
      </c>
      <c r="H63" s="80" t="s">
        <v>546</v>
      </c>
      <c r="I63" s="80" t="s">
        <v>446</v>
      </c>
      <c r="J63" s="80" t="s">
        <v>472</v>
      </c>
      <c r="K63" s="80" t="s">
        <v>446</v>
      </c>
      <c r="L63" s="80" t="s">
        <v>537</v>
      </c>
      <c r="M63" s="86" t="str">
        <f t="shared" si="0"/>
        <v>View on Google Map</v>
      </c>
    </row>
    <row r="64" spans="1:13" x14ac:dyDescent="0.2">
      <c r="A64" s="80">
        <v>196</v>
      </c>
      <c r="B64" s="80" t="s">
        <v>547</v>
      </c>
      <c r="C64" s="80" t="s">
        <v>446</v>
      </c>
      <c r="D64" s="80">
        <v>69.833333333333329</v>
      </c>
      <c r="E64" s="80">
        <v>-149.75</v>
      </c>
      <c r="F64" s="80">
        <v>80</v>
      </c>
      <c r="G64" s="80" t="s">
        <v>457</v>
      </c>
      <c r="H64" s="80" t="s">
        <v>548</v>
      </c>
      <c r="I64" s="80" t="s">
        <v>446</v>
      </c>
      <c r="J64" s="80" t="s">
        <v>472</v>
      </c>
      <c r="K64" s="80" t="s">
        <v>446</v>
      </c>
      <c r="L64" s="80" t="s">
        <v>535</v>
      </c>
      <c r="M64" s="86" t="str">
        <f t="shared" si="0"/>
        <v>View on Google Map</v>
      </c>
    </row>
    <row r="65" spans="1:13" x14ac:dyDescent="0.2">
      <c r="A65" s="80">
        <v>281</v>
      </c>
      <c r="B65" s="80" t="s">
        <v>547</v>
      </c>
      <c r="C65" s="80" t="s">
        <v>446</v>
      </c>
      <c r="D65" s="80">
        <v>70.26821666666666</v>
      </c>
      <c r="E65" s="80">
        <v>-149.20859999999999</v>
      </c>
      <c r="F65" s="80">
        <v>15</v>
      </c>
      <c r="G65" s="80" t="s">
        <v>457</v>
      </c>
      <c r="H65" s="80" t="s">
        <v>549</v>
      </c>
      <c r="I65" s="80" t="s">
        <v>446</v>
      </c>
      <c r="J65" s="80" t="s">
        <v>472</v>
      </c>
      <c r="K65" s="80" t="s">
        <v>446</v>
      </c>
      <c r="L65" s="80" t="s">
        <v>537</v>
      </c>
      <c r="M65" s="86" t="str">
        <f t="shared" si="0"/>
        <v>View on Google Map</v>
      </c>
    </row>
    <row r="66" spans="1:13" x14ac:dyDescent="0.2">
      <c r="A66" s="80">
        <v>197</v>
      </c>
      <c r="B66" s="80" t="s">
        <v>550</v>
      </c>
      <c r="C66" s="80" t="s">
        <v>446</v>
      </c>
      <c r="D66" s="80">
        <v>70.283333333333331</v>
      </c>
      <c r="E66" s="80">
        <v>-150.19999999999999</v>
      </c>
      <c r="F66" s="80">
        <v>12</v>
      </c>
      <c r="G66" s="80" t="s">
        <v>457</v>
      </c>
      <c r="H66" s="80" t="s">
        <v>551</v>
      </c>
      <c r="I66" s="80" t="s">
        <v>446</v>
      </c>
      <c r="J66" s="80" t="s">
        <v>472</v>
      </c>
      <c r="K66" s="80" t="s">
        <v>446</v>
      </c>
      <c r="L66" s="80" t="s">
        <v>535</v>
      </c>
      <c r="M66" s="86" t="str">
        <f t="shared" si="0"/>
        <v>View on Google Map</v>
      </c>
    </row>
    <row r="67" spans="1:13" x14ac:dyDescent="0.2">
      <c r="A67" s="80">
        <v>282</v>
      </c>
      <c r="B67" s="80" t="s">
        <v>550</v>
      </c>
      <c r="C67" s="80" t="s">
        <v>446</v>
      </c>
      <c r="D67" s="80">
        <v>70.26821666666666</v>
      </c>
      <c r="E67" s="80">
        <v>-149.20859999999999</v>
      </c>
      <c r="F67" s="80">
        <v>15</v>
      </c>
      <c r="G67" s="80" t="s">
        <v>457</v>
      </c>
      <c r="H67" s="80" t="s">
        <v>552</v>
      </c>
      <c r="I67" s="80" t="s">
        <v>446</v>
      </c>
      <c r="J67" s="80" t="s">
        <v>472</v>
      </c>
      <c r="K67" s="80" t="s">
        <v>446</v>
      </c>
      <c r="L67" s="80" t="s">
        <v>537</v>
      </c>
      <c r="M67" s="86" t="str">
        <f t="shared" ref="M67:M130" si="1">HYPERLINK("http://maps.google.com/maps?q="&amp;D67&amp;","&amp;E67,"View on Google Map")</f>
        <v>View on Google Map</v>
      </c>
    </row>
    <row r="68" spans="1:13" x14ac:dyDescent="0.2">
      <c r="A68" s="80">
        <v>198</v>
      </c>
      <c r="B68" s="80" t="s">
        <v>553</v>
      </c>
      <c r="C68" s="80" t="s">
        <v>446</v>
      </c>
      <c r="D68" s="80">
        <v>70.283333333333331</v>
      </c>
      <c r="E68" s="80">
        <v>-150.19999999999999</v>
      </c>
      <c r="F68" s="80">
        <v>12</v>
      </c>
      <c r="G68" s="80" t="s">
        <v>457</v>
      </c>
      <c r="H68" s="80" t="s">
        <v>554</v>
      </c>
      <c r="I68" s="80" t="s">
        <v>446</v>
      </c>
      <c r="J68" s="80" t="s">
        <v>472</v>
      </c>
      <c r="K68" s="80" t="s">
        <v>446</v>
      </c>
      <c r="L68" s="80" t="s">
        <v>535</v>
      </c>
      <c r="M68" s="86" t="str">
        <f t="shared" si="1"/>
        <v>View on Google Map</v>
      </c>
    </row>
    <row r="69" spans="1:13" x14ac:dyDescent="0.2">
      <c r="A69" s="80">
        <v>283</v>
      </c>
      <c r="B69" s="80" t="s">
        <v>553</v>
      </c>
      <c r="C69" s="80" t="s">
        <v>446</v>
      </c>
      <c r="D69" s="80">
        <v>70.184266666666673</v>
      </c>
      <c r="E69" s="80">
        <v>-149.15443333333334</v>
      </c>
      <c r="F69" s="80">
        <v>15</v>
      </c>
      <c r="G69" s="80" t="s">
        <v>457</v>
      </c>
      <c r="H69" s="80" t="s">
        <v>555</v>
      </c>
      <c r="I69" s="80" t="s">
        <v>446</v>
      </c>
      <c r="J69" s="80" t="s">
        <v>472</v>
      </c>
      <c r="K69" s="80" t="s">
        <v>446</v>
      </c>
      <c r="L69" s="80" t="s">
        <v>537</v>
      </c>
      <c r="M69" s="86" t="str">
        <f t="shared" si="1"/>
        <v>View on Google Map</v>
      </c>
    </row>
    <row r="70" spans="1:13" x14ac:dyDescent="0.2">
      <c r="A70" s="80">
        <v>199</v>
      </c>
      <c r="B70" s="80" t="s">
        <v>556</v>
      </c>
      <c r="C70" s="80" t="s">
        <v>446</v>
      </c>
      <c r="D70" s="80">
        <v>70.416666666666671</v>
      </c>
      <c r="E70" s="80">
        <v>-150.19999999999999</v>
      </c>
      <c r="F70" s="80">
        <v>4</v>
      </c>
      <c r="G70" s="80" t="s">
        <v>457</v>
      </c>
      <c r="H70" s="80" t="s">
        <v>557</v>
      </c>
      <c r="I70" s="80" t="s">
        <v>446</v>
      </c>
      <c r="J70" s="80" t="s">
        <v>472</v>
      </c>
      <c r="K70" s="80" t="s">
        <v>446</v>
      </c>
      <c r="L70" s="80" t="s">
        <v>535</v>
      </c>
      <c r="M70" s="86" t="str">
        <f t="shared" si="1"/>
        <v>View on Google Map</v>
      </c>
    </row>
    <row r="71" spans="1:13" x14ac:dyDescent="0.2">
      <c r="A71" s="80">
        <v>284</v>
      </c>
      <c r="B71" s="80" t="s">
        <v>556</v>
      </c>
      <c r="C71" s="80" t="s">
        <v>446</v>
      </c>
      <c r="D71" s="80">
        <v>70.184266666666673</v>
      </c>
      <c r="E71" s="80">
        <v>-149.15443333333334</v>
      </c>
      <c r="F71" s="80">
        <v>15</v>
      </c>
      <c r="G71" s="80" t="s">
        <v>457</v>
      </c>
      <c r="H71" s="80" t="s">
        <v>558</v>
      </c>
      <c r="I71" s="80" t="s">
        <v>446</v>
      </c>
      <c r="J71" s="80" t="s">
        <v>472</v>
      </c>
      <c r="K71" s="80" t="s">
        <v>446</v>
      </c>
      <c r="L71" s="80" t="s">
        <v>537</v>
      </c>
      <c r="M71" s="86" t="str">
        <f t="shared" si="1"/>
        <v>View on Google Map</v>
      </c>
    </row>
    <row r="72" spans="1:13" x14ac:dyDescent="0.2">
      <c r="A72" s="80">
        <v>200</v>
      </c>
      <c r="B72" s="80" t="s">
        <v>559</v>
      </c>
      <c r="C72" s="80" t="s">
        <v>446</v>
      </c>
      <c r="D72" s="80">
        <v>70.283333333333331</v>
      </c>
      <c r="E72" s="80">
        <v>-149.81666666666666</v>
      </c>
      <c r="F72" s="80">
        <v>28.963414634146343</v>
      </c>
      <c r="G72" s="80" t="s">
        <v>457</v>
      </c>
      <c r="H72" s="80" t="s">
        <v>560</v>
      </c>
      <c r="I72" s="80" t="s">
        <v>446</v>
      </c>
      <c r="J72" s="80" t="s">
        <v>472</v>
      </c>
      <c r="K72" s="80" t="s">
        <v>446</v>
      </c>
      <c r="L72" s="80" t="s">
        <v>535</v>
      </c>
      <c r="M72" s="86" t="str">
        <f t="shared" si="1"/>
        <v>View on Google Map</v>
      </c>
    </row>
    <row r="73" spans="1:13" x14ac:dyDescent="0.2">
      <c r="A73" s="80">
        <v>285</v>
      </c>
      <c r="B73" s="80" t="s">
        <v>559</v>
      </c>
      <c r="C73" s="80" t="s">
        <v>446</v>
      </c>
      <c r="D73" s="80">
        <v>70.126099999999994</v>
      </c>
      <c r="E73" s="80">
        <v>-149.33773333333335</v>
      </c>
      <c r="F73" s="80">
        <v>30</v>
      </c>
      <c r="G73" s="80" t="s">
        <v>457</v>
      </c>
      <c r="H73" s="80" t="s">
        <v>561</v>
      </c>
      <c r="I73" s="80" t="s">
        <v>446</v>
      </c>
      <c r="J73" s="80" t="s">
        <v>472</v>
      </c>
      <c r="K73" s="80" t="s">
        <v>446</v>
      </c>
      <c r="L73" s="80" t="s">
        <v>537</v>
      </c>
      <c r="M73" s="86" t="str">
        <f t="shared" si="1"/>
        <v>View on Google Map</v>
      </c>
    </row>
    <row r="74" spans="1:13" x14ac:dyDescent="0.2">
      <c r="A74" s="80">
        <v>201</v>
      </c>
      <c r="B74" s="80" t="s">
        <v>562</v>
      </c>
      <c r="C74" s="80" t="s">
        <v>446</v>
      </c>
      <c r="D74" s="80">
        <v>70.283333333333331</v>
      </c>
      <c r="E74" s="80">
        <v>-149.81666666666666</v>
      </c>
      <c r="F74" s="80">
        <v>28.963414634146343</v>
      </c>
      <c r="G74" s="80" t="s">
        <v>457</v>
      </c>
      <c r="H74" s="80" t="s">
        <v>563</v>
      </c>
      <c r="I74" s="80" t="s">
        <v>446</v>
      </c>
      <c r="J74" s="80" t="s">
        <v>472</v>
      </c>
      <c r="K74" s="80" t="s">
        <v>446</v>
      </c>
      <c r="L74" s="80" t="s">
        <v>535</v>
      </c>
      <c r="M74" s="86" t="str">
        <f t="shared" si="1"/>
        <v>View on Google Map</v>
      </c>
    </row>
    <row r="75" spans="1:13" x14ac:dyDescent="0.2">
      <c r="A75" s="80">
        <v>286</v>
      </c>
      <c r="B75" s="80" t="s">
        <v>562</v>
      </c>
      <c r="C75" s="80" t="s">
        <v>446</v>
      </c>
      <c r="D75" s="80">
        <v>70.126099999999994</v>
      </c>
      <c r="E75" s="80">
        <v>-149.33773333333335</v>
      </c>
      <c r="F75" s="80">
        <v>30</v>
      </c>
      <c r="G75" s="80" t="s">
        <v>457</v>
      </c>
      <c r="H75" s="80" t="s">
        <v>564</v>
      </c>
      <c r="I75" s="80" t="s">
        <v>446</v>
      </c>
      <c r="J75" s="80" t="s">
        <v>472</v>
      </c>
      <c r="K75" s="80" t="s">
        <v>446</v>
      </c>
      <c r="L75" s="80" t="s">
        <v>537</v>
      </c>
      <c r="M75" s="86" t="str">
        <f t="shared" si="1"/>
        <v>View on Google Map</v>
      </c>
    </row>
    <row r="76" spans="1:13" x14ac:dyDescent="0.2">
      <c r="A76" s="80">
        <v>202</v>
      </c>
      <c r="B76" s="80" t="s">
        <v>565</v>
      </c>
      <c r="C76" s="80" t="s">
        <v>446</v>
      </c>
      <c r="D76" s="80">
        <v>70.45</v>
      </c>
      <c r="E76" s="80">
        <v>-149.16666666666666</v>
      </c>
      <c r="F76" s="80">
        <v>4.8780487804878048</v>
      </c>
      <c r="G76" s="80" t="s">
        <v>457</v>
      </c>
      <c r="H76" s="80" t="s">
        <v>566</v>
      </c>
      <c r="I76" s="80" t="s">
        <v>446</v>
      </c>
      <c r="J76" s="80" t="s">
        <v>472</v>
      </c>
      <c r="K76" s="80" t="s">
        <v>446</v>
      </c>
      <c r="L76" s="80" t="s">
        <v>535</v>
      </c>
      <c r="M76" s="86" t="str">
        <f t="shared" si="1"/>
        <v>View on Google Map</v>
      </c>
    </row>
    <row r="77" spans="1:13" x14ac:dyDescent="0.2">
      <c r="A77" s="80">
        <v>287</v>
      </c>
      <c r="B77" s="80" t="s">
        <v>565</v>
      </c>
      <c r="C77" s="80" t="s">
        <v>446</v>
      </c>
      <c r="D77" s="80">
        <v>69.9221</v>
      </c>
      <c r="E77" s="80">
        <v>-149.34523333333334</v>
      </c>
      <c r="F77" s="80">
        <v>61</v>
      </c>
      <c r="G77" s="80" t="s">
        <v>457</v>
      </c>
      <c r="H77" s="80" t="s">
        <v>567</v>
      </c>
      <c r="I77" s="80" t="s">
        <v>446</v>
      </c>
      <c r="J77" s="80" t="s">
        <v>472</v>
      </c>
      <c r="K77" s="80" t="s">
        <v>446</v>
      </c>
      <c r="L77" s="80" t="s">
        <v>537</v>
      </c>
      <c r="M77" s="86" t="str">
        <f t="shared" si="1"/>
        <v>View on Google Map</v>
      </c>
    </row>
    <row r="78" spans="1:13" x14ac:dyDescent="0.2">
      <c r="A78" s="80">
        <v>203</v>
      </c>
      <c r="B78" s="80" t="s">
        <v>568</v>
      </c>
      <c r="C78" s="80" t="s">
        <v>446</v>
      </c>
      <c r="D78" s="80">
        <v>70.233333333333334</v>
      </c>
      <c r="E78" s="80">
        <v>-148.88333333333333</v>
      </c>
      <c r="F78" s="80">
        <v>17.682926829268293</v>
      </c>
      <c r="G78" s="80" t="s">
        <v>457</v>
      </c>
      <c r="H78" s="80" t="s">
        <v>569</v>
      </c>
      <c r="I78" s="80" t="s">
        <v>446</v>
      </c>
      <c r="J78" s="80" t="s">
        <v>472</v>
      </c>
      <c r="K78" s="80" t="s">
        <v>446</v>
      </c>
      <c r="L78" s="80" t="s">
        <v>535</v>
      </c>
      <c r="M78" s="86" t="str">
        <f t="shared" si="1"/>
        <v>View on Google Map</v>
      </c>
    </row>
    <row r="79" spans="1:13" x14ac:dyDescent="0.2">
      <c r="A79" s="80">
        <v>288</v>
      </c>
      <c r="B79" s="80" t="s">
        <v>568</v>
      </c>
      <c r="C79" s="80" t="s">
        <v>446</v>
      </c>
      <c r="D79" s="80">
        <v>69.9221</v>
      </c>
      <c r="E79" s="80">
        <v>-149.34523333333334</v>
      </c>
      <c r="F79" s="80">
        <v>61</v>
      </c>
      <c r="G79" s="80" t="s">
        <v>457</v>
      </c>
      <c r="H79" s="80" t="s">
        <v>570</v>
      </c>
      <c r="I79" s="80" t="s">
        <v>446</v>
      </c>
      <c r="J79" s="80" t="s">
        <v>472</v>
      </c>
      <c r="K79" s="80" t="s">
        <v>446</v>
      </c>
      <c r="L79" s="80" t="s">
        <v>537</v>
      </c>
      <c r="M79" s="86" t="str">
        <f t="shared" si="1"/>
        <v>View on Google Map</v>
      </c>
    </row>
    <row r="80" spans="1:13" x14ac:dyDescent="0.2">
      <c r="A80" s="80">
        <v>204</v>
      </c>
      <c r="B80" s="80" t="s">
        <v>571</v>
      </c>
      <c r="C80" s="80" t="s">
        <v>446</v>
      </c>
      <c r="D80" s="80">
        <v>70.233333333333334</v>
      </c>
      <c r="E80" s="80">
        <v>-148.88333333333333</v>
      </c>
      <c r="F80" s="80">
        <v>17.682926829268293</v>
      </c>
      <c r="G80" s="80" t="s">
        <v>457</v>
      </c>
      <c r="H80" s="80" t="s">
        <v>572</v>
      </c>
      <c r="I80" s="80" t="s">
        <v>446</v>
      </c>
      <c r="J80" s="80" t="s">
        <v>472</v>
      </c>
      <c r="K80" s="80" t="s">
        <v>446</v>
      </c>
      <c r="L80" s="80" t="s">
        <v>535</v>
      </c>
      <c r="M80" s="86" t="str">
        <f t="shared" si="1"/>
        <v>View on Google Map</v>
      </c>
    </row>
    <row r="81" spans="1:13" x14ac:dyDescent="0.2">
      <c r="A81" s="80">
        <v>289</v>
      </c>
      <c r="B81" s="80" t="s">
        <v>571</v>
      </c>
      <c r="C81" s="80" t="s">
        <v>446</v>
      </c>
      <c r="D81" s="80">
        <v>69.986533333333327</v>
      </c>
      <c r="E81" s="80">
        <v>-150.08543333333333</v>
      </c>
      <c r="F81" s="80">
        <v>125</v>
      </c>
      <c r="G81" s="80" t="s">
        <v>457</v>
      </c>
      <c r="H81" s="80" t="s">
        <v>573</v>
      </c>
      <c r="I81" s="80" t="s">
        <v>446</v>
      </c>
      <c r="J81" s="80" t="s">
        <v>472</v>
      </c>
      <c r="K81" s="80" t="s">
        <v>446</v>
      </c>
      <c r="L81" s="80" t="s">
        <v>537</v>
      </c>
      <c r="M81" s="86" t="str">
        <f t="shared" si="1"/>
        <v>View on Google Map</v>
      </c>
    </row>
    <row r="82" spans="1:13" x14ac:dyDescent="0.2">
      <c r="A82" s="80">
        <v>205</v>
      </c>
      <c r="B82" s="80" t="s">
        <v>574</v>
      </c>
      <c r="C82" s="80" t="s">
        <v>446</v>
      </c>
      <c r="D82" s="80">
        <v>70.13333333333334</v>
      </c>
      <c r="E82" s="80">
        <v>-148.6</v>
      </c>
      <c r="F82" s="80">
        <v>24.390243902439025</v>
      </c>
      <c r="G82" s="80" t="s">
        <v>457</v>
      </c>
      <c r="H82" s="80" t="s">
        <v>575</v>
      </c>
      <c r="I82" s="80" t="s">
        <v>446</v>
      </c>
      <c r="J82" s="80" t="s">
        <v>472</v>
      </c>
      <c r="K82" s="80" t="s">
        <v>446</v>
      </c>
      <c r="L82" s="80" t="s">
        <v>535</v>
      </c>
      <c r="M82" s="86" t="str">
        <f t="shared" si="1"/>
        <v>View on Google Map</v>
      </c>
    </row>
    <row r="83" spans="1:13" x14ac:dyDescent="0.2">
      <c r="A83" s="80">
        <v>290</v>
      </c>
      <c r="B83" s="80" t="s">
        <v>574</v>
      </c>
      <c r="C83" s="80" t="s">
        <v>446</v>
      </c>
      <c r="D83" s="80">
        <v>69.986533333333327</v>
      </c>
      <c r="E83" s="80">
        <v>-150.08543333333333</v>
      </c>
      <c r="F83" s="80">
        <v>125</v>
      </c>
      <c r="G83" s="80" t="s">
        <v>457</v>
      </c>
      <c r="H83" s="80" t="s">
        <v>576</v>
      </c>
      <c r="I83" s="80" t="s">
        <v>446</v>
      </c>
      <c r="J83" s="80" t="s">
        <v>472</v>
      </c>
      <c r="K83" s="80" t="s">
        <v>446</v>
      </c>
      <c r="L83" s="80" t="s">
        <v>537</v>
      </c>
      <c r="M83" s="86" t="str">
        <f t="shared" si="1"/>
        <v>View on Google Map</v>
      </c>
    </row>
    <row r="84" spans="1:13" x14ac:dyDescent="0.2">
      <c r="A84" s="80">
        <v>291</v>
      </c>
      <c r="B84" s="80" t="s">
        <v>577</v>
      </c>
      <c r="C84" s="80" t="s">
        <v>446</v>
      </c>
      <c r="D84" s="80">
        <v>69.639166666666668</v>
      </c>
      <c r="E84" s="80">
        <v>-149.73946666666666</v>
      </c>
      <c r="F84" s="80">
        <v>91</v>
      </c>
      <c r="G84" s="80" t="s">
        <v>457</v>
      </c>
      <c r="H84" s="80" t="s">
        <v>578</v>
      </c>
      <c r="I84" s="80" t="s">
        <v>446</v>
      </c>
      <c r="J84" s="80" t="s">
        <v>472</v>
      </c>
      <c r="K84" s="80" t="s">
        <v>446</v>
      </c>
      <c r="L84" s="80" t="s">
        <v>537</v>
      </c>
      <c r="M84" s="86" t="str">
        <f t="shared" si="1"/>
        <v>View on Google Map</v>
      </c>
    </row>
    <row r="85" spans="1:13" x14ac:dyDescent="0.2">
      <c r="A85" s="80">
        <v>206</v>
      </c>
      <c r="B85" s="80" t="s">
        <v>579</v>
      </c>
      <c r="C85" s="80" t="s">
        <v>446</v>
      </c>
      <c r="D85" s="80">
        <v>70.11666666666666</v>
      </c>
      <c r="E85" s="80">
        <v>-146.16666666666666</v>
      </c>
      <c r="F85" s="80">
        <v>3.0487804878048781</v>
      </c>
      <c r="G85" s="80" t="s">
        <v>457</v>
      </c>
      <c r="H85" s="80" t="s">
        <v>580</v>
      </c>
      <c r="I85" s="80" t="s">
        <v>446</v>
      </c>
      <c r="J85" s="80" t="s">
        <v>472</v>
      </c>
      <c r="K85" s="80" t="s">
        <v>446</v>
      </c>
      <c r="L85" s="80" t="s">
        <v>535</v>
      </c>
      <c r="M85" s="86" t="str">
        <f t="shared" si="1"/>
        <v>View on Google Map</v>
      </c>
    </row>
    <row r="86" spans="1:13" x14ac:dyDescent="0.2">
      <c r="A86" s="80">
        <v>292</v>
      </c>
      <c r="B86" s="80" t="s">
        <v>579</v>
      </c>
      <c r="C86" s="80" t="s">
        <v>446</v>
      </c>
      <c r="D86" s="80">
        <v>69.639166666666668</v>
      </c>
      <c r="E86" s="80">
        <v>-149.73946666666666</v>
      </c>
      <c r="F86" s="80">
        <v>91</v>
      </c>
      <c r="G86" s="80" t="s">
        <v>457</v>
      </c>
      <c r="H86" s="80" t="s">
        <v>581</v>
      </c>
      <c r="I86" s="80" t="s">
        <v>446</v>
      </c>
      <c r="J86" s="80" t="s">
        <v>472</v>
      </c>
      <c r="K86" s="80" t="s">
        <v>446</v>
      </c>
      <c r="L86" s="80" t="s">
        <v>537</v>
      </c>
      <c r="M86" s="86" t="str">
        <f t="shared" si="1"/>
        <v>View on Google Map</v>
      </c>
    </row>
    <row r="87" spans="1:13" x14ac:dyDescent="0.2">
      <c r="A87" s="80">
        <v>207</v>
      </c>
      <c r="B87" s="80" t="s">
        <v>582</v>
      </c>
      <c r="C87" s="80" t="s">
        <v>446</v>
      </c>
      <c r="D87" s="80">
        <v>70.099999999999994</v>
      </c>
      <c r="E87" s="80">
        <v>-146.26666666666668</v>
      </c>
      <c r="F87" s="80">
        <v>9.1463414634146343</v>
      </c>
      <c r="G87" s="80" t="s">
        <v>457</v>
      </c>
      <c r="H87" s="80" t="s">
        <v>583</v>
      </c>
      <c r="I87" s="80" t="s">
        <v>446</v>
      </c>
      <c r="J87" s="80" t="s">
        <v>472</v>
      </c>
      <c r="K87" s="80" t="s">
        <v>446</v>
      </c>
      <c r="L87" s="80" t="s">
        <v>535</v>
      </c>
      <c r="M87" s="86" t="str">
        <f t="shared" si="1"/>
        <v>View on Google Map</v>
      </c>
    </row>
    <row r="88" spans="1:13" x14ac:dyDescent="0.2">
      <c r="A88" s="80">
        <v>293</v>
      </c>
      <c r="B88" s="80" t="s">
        <v>582</v>
      </c>
      <c r="C88" s="80" t="s">
        <v>446</v>
      </c>
      <c r="D88" s="80">
        <v>68.820783333333338</v>
      </c>
      <c r="E88" s="80">
        <v>-149.7646</v>
      </c>
      <c r="F88" s="80">
        <v>579</v>
      </c>
      <c r="G88" s="80" t="s">
        <v>457</v>
      </c>
      <c r="H88" s="80" t="s">
        <v>584</v>
      </c>
      <c r="I88" s="80" t="s">
        <v>446</v>
      </c>
      <c r="J88" s="80" t="s">
        <v>472</v>
      </c>
      <c r="K88" s="80" t="s">
        <v>446</v>
      </c>
      <c r="L88" s="80" t="s">
        <v>537</v>
      </c>
      <c r="M88" s="86" t="str">
        <f t="shared" si="1"/>
        <v>View on Google Map</v>
      </c>
    </row>
    <row r="89" spans="1:13" x14ac:dyDescent="0.2">
      <c r="A89" s="80">
        <v>208</v>
      </c>
      <c r="B89" s="80" t="s">
        <v>585</v>
      </c>
      <c r="C89" s="80" t="s">
        <v>446</v>
      </c>
      <c r="D89" s="80">
        <v>70.05</v>
      </c>
      <c r="E89" s="80">
        <v>-146.98333333333332</v>
      </c>
      <c r="F89" s="80">
        <v>24.390243902439025</v>
      </c>
      <c r="G89" s="80" t="s">
        <v>457</v>
      </c>
      <c r="H89" s="80" t="s">
        <v>586</v>
      </c>
      <c r="I89" s="80" t="s">
        <v>446</v>
      </c>
      <c r="J89" s="80" t="s">
        <v>472</v>
      </c>
      <c r="K89" s="80" t="s">
        <v>446</v>
      </c>
      <c r="L89" s="80" t="s">
        <v>535</v>
      </c>
      <c r="M89" s="86" t="str">
        <f t="shared" si="1"/>
        <v>View on Google Map</v>
      </c>
    </row>
    <row r="90" spans="1:13" x14ac:dyDescent="0.2">
      <c r="A90" s="80">
        <v>294</v>
      </c>
      <c r="B90" s="80" t="s">
        <v>585</v>
      </c>
      <c r="C90" s="80" t="s">
        <v>446</v>
      </c>
      <c r="D90" s="80">
        <v>68.820616666666666</v>
      </c>
      <c r="E90" s="80">
        <v>-149.74383333333333</v>
      </c>
      <c r="F90" s="80">
        <v>579</v>
      </c>
      <c r="G90" s="80" t="s">
        <v>457</v>
      </c>
      <c r="H90" s="80" t="s">
        <v>587</v>
      </c>
      <c r="I90" s="80" t="s">
        <v>446</v>
      </c>
      <c r="J90" s="80" t="s">
        <v>472</v>
      </c>
      <c r="K90" s="80" t="s">
        <v>446</v>
      </c>
      <c r="L90" s="80" t="s">
        <v>537</v>
      </c>
      <c r="M90" s="86" t="str">
        <f t="shared" si="1"/>
        <v>View on Google Map</v>
      </c>
    </row>
    <row r="91" spans="1:13" x14ac:dyDescent="0.2">
      <c r="A91" s="80">
        <v>209</v>
      </c>
      <c r="B91" s="80" t="s">
        <v>588</v>
      </c>
      <c r="C91" s="80" t="s">
        <v>446</v>
      </c>
      <c r="D91" s="80">
        <v>70.05</v>
      </c>
      <c r="E91" s="80">
        <v>-146.98333333333332</v>
      </c>
      <c r="F91" s="80">
        <v>24.390243902439025</v>
      </c>
      <c r="G91" s="80" t="s">
        <v>457</v>
      </c>
      <c r="H91" s="80" t="s">
        <v>589</v>
      </c>
      <c r="I91" s="80" t="s">
        <v>446</v>
      </c>
      <c r="J91" s="80" t="s">
        <v>472</v>
      </c>
      <c r="K91" s="80" t="s">
        <v>446</v>
      </c>
      <c r="L91" s="80" t="s">
        <v>535</v>
      </c>
      <c r="M91" s="86" t="str">
        <f t="shared" si="1"/>
        <v>View on Google Map</v>
      </c>
    </row>
    <row r="92" spans="1:13" x14ac:dyDescent="0.2">
      <c r="A92" s="80">
        <v>295</v>
      </c>
      <c r="B92" s="80" t="s">
        <v>588</v>
      </c>
      <c r="C92" s="80" t="s">
        <v>446</v>
      </c>
      <c r="D92" s="80">
        <v>68.821529999999996</v>
      </c>
      <c r="E92" s="80">
        <v>-149.05867000000001</v>
      </c>
      <c r="F92" s="80">
        <v>518</v>
      </c>
      <c r="G92" s="80" t="s">
        <v>457</v>
      </c>
      <c r="H92" s="80" t="s">
        <v>590</v>
      </c>
      <c r="I92" s="80" t="s">
        <v>446</v>
      </c>
      <c r="J92" s="80" t="s">
        <v>472</v>
      </c>
      <c r="K92" s="80" t="s">
        <v>446</v>
      </c>
      <c r="L92" s="80" t="s">
        <v>537</v>
      </c>
      <c r="M92" s="86" t="str">
        <f t="shared" si="1"/>
        <v>View on Google Map</v>
      </c>
    </row>
    <row r="93" spans="1:13" x14ac:dyDescent="0.2">
      <c r="A93" s="80">
        <v>210</v>
      </c>
      <c r="B93" s="80" t="s">
        <v>591</v>
      </c>
      <c r="C93" s="80" t="s">
        <v>446</v>
      </c>
      <c r="D93" s="80">
        <v>70.150000000000006</v>
      </c>
      <c r="E93" s="80">
        <v>-147.36666666666667</v>
      </c>
      <c r="F93" s="80">
        <v>6.7073170731707323</v>
      </c>
      <c r="G93" s="80" t="s">
        <v>457</v>
      </c>
      <c r="H93" s="80" t="s">
        <v>592</v>
      </c>
      <c r="I93" s="80" t="s">
        <v>446</v>
      </c>
      <c r="J93" s="80" t="s">
        <v>472</v>
      </c>
      <c r="K93" s="80" t="s">
        <v>446</v>
      </c>
      <c r="L93" s="80" t="s">
        <v>535</v>
      </c>
      <c r="M93" s="86" t="str">
        <f t="shared" si="1"/>
        <v>View on Google Map</v>
      </c>
    </row>
    <row r="94" spans="1:13" x14ac:dyDescent="0.2">
      <c r="A94" s="80">
        <v>296</v>
      </c>
      <c r="B94" s="80" t="s">
        <v>591</v>
      </c>
      <c r="C94" s="80" t="s">
        <v>446</v>
      </c>
      <c r="D94" s="80">
        <v>68.817116666666664</v>
      </c>
      <c r="E94" s="80">
        <v>-149.05956666666665</v>
      </c>
      <c r="F94" s="80">
        <v>518</v>
      </c>
      <c r="G94" s="80" t="s">
        <v>457</v>
      </c>
      <c r="H94" s="80" t="s">
        <v>593</v>
      </c>
      <c r="I94" s="80" t="s">
        <v>446</v>
      </c>
      <c r="J94" s="80" t="s">
        <v>472</v>
      </c>
      <c r="K94" s="80" t="s">
        <v>446</v>
      </c>
      <c r="L94" s="80" t="s">
        <v>537</v>
      </c>
      <c r="M94" s="86" t="str">
        <f t="shared" si="1"/>
        <v>View on Google Map</v>
      </c>
    </row>
    <row r="95" spans="1:13" x14ac:dyDescent="0.2">
      <c r="A95" s="80">
        <v>211</v>
      </c>
      <c r="B95" s="80" t="s">
        <v>594</v>
      </c>
      <c r="C95" s="80" t="s">
        <v>446</v>
      </c>
      <c r="D95" s="80">
        <v>70.150000000000006</v>
      </c>
      <c r="E95" s="80">
        <v>-147.36666666666667</v>
      </c>
      <c r="F95" s="80">
        <v>6.7073170731707323</v>
      </c>
      <c r="G95" s="80" t="s">
        <v>457</v>
      </c>
      <c r="H95" s="80" t="s">
        <v>595</v>
      </c>
      <c r="I95" s="80" t="s">
        <v>446</v>
      </c>
      <c r="J95" s="80" t="s">
        <v>472</v>
      </c>
      <c r="K95" s="80" t="s">
        <v>446</v>
      </c>
      <c r="L95" s="80" t="s">
        <v>535</v>
      </c>
      <c r="M95" s="86" t="str">
        <f t="shared" si="1"/>
        <v>View on Google Map</v>
      </c>
    </row>
    <row r="96" spans="1:13" x14ac:dyDescent="0.2">
      <c r="A96" s="80">
        <v>297</v>
      </c>
      <c r="B96" s="80" t="s">
        <v>594</v>
      </c>
      <c r="C96" s="80" t="s">
        <v>446</v>
      </c>
      <c r="D96" s="80">
        <v>69.356183333333334</v>
      </c>
      <c r="E96" s="80">
        <v>-150.21899999999999</v>
      </c>
      <c r="F96" s="80">
        <v>168</v>
      </c>
      <c r="G96" s="80" t="s">
        <v>457</v>
      </c>
      <c r="H96" s="80" t="s">
        <v>596</v>
      </c>
      <c r="I96" s="80" t="s">
        <v>446</v>
      </c>
      <c r="J96" s="80" t="s">
        <v>472</v>
      </c>
      <c r="K96" s="80" t="s">
        <v>446</v>
      </c>
      <c r="L96" s="80" t="s">
        <v>537</v>
      </c>
      <c r="M96" s="86" t="str">
        <f t="shared" si="1"/>
        <v>View on Google Map</v>
      </c>
    </row>
    <row r="97" spans="1:13" x14ac:dyDescent="0.2">
      <c r="A97" s="80">
        <v>212</v>
      </c>
      <c r="B97" s="80" t="s">
        <v>597</v>
      </c>
      <c r="C97" s="80" t="s">
        <v>446</v>
      </c>
      <c r="D97" s="80">
        <v>70.033333333333331</v>
      </c>
      <c r="E97" s="80">
        <v>-147.65</v>
      </c>
      <c r="F97" s="80">
        <v>28.04878048780488</v>
      </c>
      <c r="G97" s="80" t="s">
        <v>457</v>
      </c>
      <c r="H97" s="80" t="s">
        <v>598</v>
      </c>
      <c r="I97" s="80" t="s">
        <v>446</v>
      </c>
      <c r="J97" s="80" t="s">
        <v>472</v>
      </c>
      <c r="K97" s="80" t="s">
        <v>446</v>
      </c>
      <c r="L97" s="80" t="s">
        <v>535</v>
      </c>
      <c r="M97" s="86" t="str">
        <f t="shared" si="1"/>
        <v>View on Google Map</v>
      </c>
    </row>
    <row r="98" spans="1:13" x14ac:dyDescent="0.2">
      <c r="A98" s="80">
        <v>298</v>
      </c>
      <c r="B98" s="80" t="s">
        <v>597</v>
      </c>
      <c r="C98" s="80" t="s">
        <v>446</v>
      </c>
      <c r="D98" s="80">
        <v>69.356183333333334</v>
      </c>
      <c r="E98" s="80">
        <v>-150.21899999999999</v>
      </c>
      <c r="F98" s="80">
        <v>168</v>
      </c>
      <c r="G98" s="80" t="s">
        <v>457</v>
      </c>
      <c r="H98" s="80" t="s">
        <v>599</v>
      </c>
      <c r="I98" s="80" t="s">
        <v>446</v>
      </c>
      <c r="J98" s="80" t="s">
        <v>472</v>
      </c>
      <c r="K98" s="80" t="s">
        <v>446</v>
      </c>
      <c r="L98" s="80" t="s">
        <v>537</v>
      </c>
      <c r="M98" s="86" t="str">
        <f t="shared" si="1"/>
        <v>View on Google Map</v>
      </c>
    </row>
    <row r="99" spans="1:13" x14ac:dyDescent="0.2">
      <c r="A99" s="80">
        <v>213</v>
      </c>
      <c r="B99" s="80" t="s">
        <v>600</v>
      </c>
      <c r="C99" s="80" t="s">
        <v>446</v>
      </c>
      <c r="D99" s="80">
        <v>70.033333333333331</v>
      </c>
      <c r="E99" s="80">
        <v>-147.65</v>
      </c>
      <c r="F99" s="80">
        <v>28.04878048780488</v>
      </c>
      <c r="G99" s="80" t="s">
        <v>457</v>
      </c>
      <c r="H99" s="80" t="s">
        <v>601</v>
      </c>
      <c r="I99" s="80" t="s">
        <v>446</v>
      </c>
      <c r="J99" s="80" t="s">
        <v>472</v>
      </c>
      <c r="K99" s="80" t="s">
        <v>446</v>
      </c>
      <c r="L99" s="80" t="s">
        <v>535</v>
      </c>
      <c r="M99" s="86" t="str">
        <f t="shared" si="1"/>
        <v>View on Google Map</v>
      </c>
    </row>
    <row r="100" spans="1:13" x14ac:dyDescent="0.2">
      <c r="A100" s="80">
        <v>299</v>
      </c>
      <c r="B100" s="80" t="s">
        <v>600</v>
      </c>
      <c r="C100" s="80" t="s">
        <v>446</v>
      </c>
      <c r="D100" s="80">
        <v>69.5458</v>
      </c>
      <c r="E100" s="80">
        <v>-150.37883333333335</v>
      </c>
      <c r="F100" s="80">
        <v>107</v>
      </c>
      <c r="G100" s="80" t="s">
        <v>457</v>
      </c>
      <c r="H100" s="80" t="s">
        <v>602</v>
      </c>
      <c r="I100" s="80" t="s">
        <v>446</v>
      </c>
      <c r="J100" s="80" t="s">
        <v>472</v>
      </c>
      <c r="K100" s="80" t="s">
        <v>446</v>
      </c>
      <c r="L100" s="80" t="s">
        <v>537</v>
      </c>
      <c r="M100" s="86" t="str">
        <f t="shared" si="1"/>
        <v>View on Google Map</v>
      </c>
    </row>
    <row r="101" spans="1:13" x14ac:dyDescent="0.2">
      <c r="A101" s="80">
        <v>214</v>
      </c>
      <c r="B101" s="80" t="s">
        <v>603</v>
      </c>
      <c r="C101" s="80" t="s">
        <v>446</v>
      </c>
      <c r="D101" s="80">
        <v>69.833333333333329</v>
      </c>
      <c r="E101" s="80">
        <v>-147.93333333333334</v>
      </c>
      <c r="F101" s="80">
        <v>92.987804878048792</v>
      </c>
      <c r="G101" s="80" t="s">
        <v>457</v>
      </c>
      <c r="H101" s="80" t="s">
        <v>604</v>
      </c>
      <c r="I101" s="80" t="s">
        <v>446</v>
      </c>
      <c r="J101" s="80" t="s">
        <v>472</v>
      </c>
      <c r="K101" s="80" t="s">
        <v>446</v>
      </c>
      <c r="L101" s="80" t="s">
        <v>535</v>
      </c>
      <c r="M101" s="86" t="str">
        <f t="shared" si="1"/>
        <v>View on Google Map</v>
      </c>
    </row>
    <row r="102" spans="1:13" x14ac:dyDescent="0.2">
      <c r="A102" s="80">
        <v>300</v>
      </c>
      <c r="B102" s="80" t="s">
        <v>603</v>
      </c>
      <c r="C102" s="80" t="s">
        <v>446</v>
      </c>
      <c r="D102" s="80">
        <v>69.5458</v>
      </c>
      <c r="E102" s="80">
        <v>-150.37883333333335</v>
      </c>
      <c r="F102" s="80">
        <v>107</v>
      </c>
      <c r="G102" s="80" t="s">
        <v>457</v>
      </c>
      <c r="H102" s="80" t="s">
        <v>605</v>
      </c>
      <c r="I102" s="80" t="s">
        <v>446</v>
      </c>
      <c r="J102" s="80" t="s">
        <v>472</v>
      </c>
      <c r="K102" s="80" t="s">
        <v>446</v>
      </c>
      <c r="L102" s="80" t="s">
        <v>537</v>
      </c>
      <c r="M102" s="86" t="str">
        <f t="shared" si="1"/>
        <v>View on Google Map</v>
      </c>
    </row>
    <row r="103" spans="1:13" x14ac:dyDescent="0.2">
      <c r="A103" s="80">
        <v>215</v>
      </c>
      <c r="B103" s="80" t="s">
        <v>606</v>
      </c>
      <c r="C103" s="80" t="s">
        <v>446</v>
      </c>
      <c r="D103" s="80">
        <v>69.833333333333329</v>
      </c>
      <c r="E103" s="80">
        <v>-147.93333333333334</v>
      </c>
      <c r="F103" s="80">
        <v>92.987804878048792</v>
      </c>
      <c r="G103" s="80" t="s">
        <v>457</v>
      </c>
      <c r="H103" s="80" t="s">
        <v>607</v>
      </c>
      <c r="I103" s="80" t="s">
        <v>446</v>
      </c>
      <c r="J103" s="80" t="s">
        <v>472</v>
      </c>
      <c r="K103" s="80" t="s">
        <v>446</v>
      </c>
      <c r="L103" s="80" t="s">
        <v>535</v>
      </c>
      <c r="M103" s="86" t="str">
        <f t="shared" si="1"/>
        <v>View on Google Map</v>
      </c>
    </row>
    <row r="104" spans="1:13" x14ac:dyDescent="0.2">
      <c r="A104" s="80">
        <v>301</v>
      </c>
      <c r="B104" s="80" t="s">
        <v>606</v>
      </c>
      <c r="C104" s="80" t="s">
        <v>446</v>
      </c>
      <c r="D104" s="80">
        <v>69.523700000000005</v>
      </c>
      <c r="E104" s="80">
        <v>-150.55269999999999</v>
      </c>
      <c r="F104" s="80">
        <v>107</v>
      </c>
      <c r="G104" s="80" t="s">
        <v>457</v>
      </c>
      <c r="H104" s="80" t="s">
        <v>608</v>
      </c>
      <c r="I104" s="80" t="s">
        <v>446</v>
      </c>
      <c r="J104" s="80" t="s">
        <v>472</v>
      </c>
      <c r="K104" s="80" t="s">
        <v>446</v>
      </c>
      <c r="L104" s="80" t="s">
        <v>537</v>
      </c>
      <c r="M104" s="86" t="str">
        <f t="shared" si="1"/>
        <v>View on Google Map</v>
      </c>
    </row>
    <row r="105" spans="1:13" x14ac:dyDescent="0.2">
      <c r="A105" s="80">
        <v>216</v>
      </c>
      <c r="B105" s="80" t="s">
        <v>609</v>
      </c>
      <c r="C105" s="80" t="s">
        <v>446</v>
      </c>
      <c r="D105" s="80">
        <v>69.88333333333334</v>
      </c>
      <c r="E105" s="80">
        <v>-148.63333333333333</v>
      </c>
      <c r="F105" s="80">
        <v>118.90243902439025</v>
      </c>
      <c r="G105" s="80" t="s">
        <v>457</v>
      </c>
      <c r="H105" s="80" t="s">
        <v>610</v>
      </c>
      <c r="I105" s="80" t="s">
        <v>446</v>
      </c>
      <c r="J105" s="80" t="s">
        <v>472</v>
      </c>
      <c r="K105" s="80" t="s">
        <v>446</v>
      </c>
      <c r="L105" s="80" t="s">
        <v>535</v>
      </c>
      <c r="M105" s="86" t="str">
        <f t="shared" si="1"/>
        <v>View on Google Map</v>
      </c>
    </row>
    <row r="106" spans="1:13" x14ac:dyDescent="0.2">
      <c r="A106" s="80">
        <v>302</v>
      </c>
      <c r="B106" s="80" t="s">
        <v>609</v>
      </c>
      <c r="C106" s="80" t="s">
        <v>446</v>
      </c>
      <c r="D106" s="80">
        <v>69.523700000000005</v>
      </c>
      <c r="E106" s="80">
        <v>-150.55269999999999</v>
      </c>
      <c r="F106" s="80">
        <v>107</v>
      </c>
      <c r="G106" s="80" t="s">
        <v>457</v>
      </c>
      <c r="H106" s="80" t="s">
        <v>611</v>
      </c>
      <c r="I106" s="80" t="s">
        <v>446</v>
      </c>
      <c r="J106" s="80" t="s">
        <v>472</v>
      </c>
      <c r="K106" s="80" t="s">
        <v>446</v>
      </c>
      <c r="L106" s="80" t="s">
        <v>537</v>
      </c>
      <c r="M106" s="86" t="str">
        <f t="shared" si="1"/>
        <v>View on Google Map</v>
      </c>
    </row>
    <row r="107" spans="1:13" x14ac:dyDescent="0.2">
      <c r="A107" s="80">
        <v>217</v>
      </c>
      <c r="B107" s="80" t="s">
        <v>612</v>
      </c>
      <c r="C107" s="80" t="s">
        <v>446</v>
      </c>
      <c r="D107" s="80">
        <v>69.7</v>
      </c>
      <c r="E107" s="80">
        <v>-148.48333333333332</v>
      </c>
      <c r="F107" s="80">
        <v>125</v>
      </c>
      <c r="G107" s="80" t="s">
        <v>457</v>
      </c>
      <c r="H107" s="80" t="s">
        <v>613</v>
      </c>
      <c r="I107" s="80" t="s">
        <v>446</v>
      </c>
      <c r="J107" s="80" t="s">
        <v>472</v>
      </c>
      <c r="K107" s="80" t="s">
        <v>446</v>
      </c>
      <c r="L107" s="80" t="s">
        <v>535</v>
      </c>
      <c r="M107" s="86" t="str">
        <f t="shared" si="1"/>
        <v>View on Google Map</v>
      </c>
    </row>
    <row r="108" spans="1:13" x14ac:dyDescent="0.2">
      <c r="A108" s="80">
        <v>303</v>
      </c>
      <c r="B108" s="80" t="s">
        <v>612</v>
      </c>
      <c r="C108" s="80" t="s">
        <v>446</v>
      </c>
      <c r="D108" s="80">
        <v>69.610399999999998</v>
      </c>
      <c r="E108" s="80">
        <v>-148.82113333333334</v>
      </c>
      <c r="F108" s="80">
        <v>107</v>
      </c>
      <c r="G108" s="80" t="s">
        <v>457</v>
      </c>
      <c r="H108" s="80" t="s">
        <v>614</v>
      </c>
      <c r="I108" s="80" t="s">
        <v>446</v>
      </c>
      <c r="J108" s="80" t="s">
        <v>472</v>
      </c>
      <c r="K108" s="80" t="s">
        <v>446</v>
      </c>
      <c r="L108" s="80" t="s">
        <v>537</v>
      </c>
      <c r="M108" s="86" t="str">
        <f t="shared" si="1"/>
        <v>View on Google Map</v>
      </c>
    </row>
    <row r="109" spans="1:13" x14ac:dyDescent="0.2">
      <c r="A109" s="80">
        <v>218</v>
      </c>
      <c r="B109" s="80" t="s">
        <v>615</v>
      </c>
      <c r="C109" s="80" t="s">
        <v>446</v>
      </c>
      <c r="D109" s="80">
        <v>69.7</v>
      </c>
      <c r="E109" s="80">
        <v>-148.48333333333332</v>
      </c>
      <c r="F109" s="80">
        <v>125</v>
      </c>
      <c r="G109" s="80" t="s">
        <v>457</v>
      </c>
      <c r="H109" s="80" t="s">
        <v>616</v>
      </c>
      <c r="I109" s="80" t="s">
        <v>446</v>
      </c>
      <c r="J109" s="80" t="s">
        <v>472</v>
      </c>
      <c r="K109" s="80" t="s">
        <v>446</v>
      </c>
      <c r="L109" s="80" t="s">
        <v>535</v>
      </c>
      <c r="M109" s="86" t="str">
        <f t="shared" si="1"/>
        <v>View on Google Map</v>
      </c>
    </row>
    <row r="110" spans="1:13" x14ac:dyDescent="0.2">
      <c r="A110" s="80">
        <v>304</v>
      </c>
      <c r="B110" s="80" t="s">
        <v>615</v>
      </c>
      <c r="C110" s="80" t="s">
        <v>446</v>
      </c>
      <c r="D110" s="80">
        <v>69.610399999999998</v>
      </c>
      <c r="E110" s="80">
        <v>-148.82113333333334</v>
      </c>
      <c r="F110" s="80">
        <v>107</v>
      </c>
      <c r="G110" s="80" t="s">
        <v>457</v>
      </c>
      <c r="H110" s="80" t="s">
        <v>617</v>
      </c>
      <c r="I110" s="80" t="s">
        <v>446</v>
      </c>
      <c r="J110" s="80" t="s">
        <v>472</v>
      </c>
      <c r="K110" s="80" t="s">
        <v>446</v>
      </c>
      <c r="L110" s="80" t="s">
        <v>537</v>
      </c>
      <c r="M110" s="86" t="str">
        <f t="shared" si="1"/>
        <v>View on Google Map</v>
      </c>
    </row>
    <row r="111" spans="1:13" x14ac:dyDescent="0.2">
      <c r="A111" s="80">
        <v>232</v>
      </c>
      <c r="B111" s="80" t="s">
        <v>618</v>
      </c>
      <c r="C111" s="80" t="s">
        <v>446</v>
      </c>
      <c r="D111" s="80">
        <v>69.266666666666666</v>
      </c>
      <c r="E111" s="80">
        <v>-148.46666666666667</v>
      </c>
      <c r="F111" s="80">
        <v>338.71951219512198</v>
      </c>
      <c r="G111" s="80" t="s">
        <v>457</v>
      </c>
      <c r="H111" s="80" t="s">
        <v>619</v>
      </c>
      <c r="I111" s="80" t="s">
        <v>446</v>
      </c>
      <c r="J111" s="80" t="s">
        <v>472</v>
      </c>
      <c r="K111" s="80" t="s">
        <v>446</v>
      </c>
      <c r="L111" s="80" t="s">
        <v>535</v>
      </c>
      <c r="M111" s="86" t="str">
        <f t="shared" si="1"/>
        <v>View on Google Map</v>
      </c>
    </row>
    <row r="112" spans="1:13" x14ac:dyDescent="0.2">
      <c r="A112" s="80">
        <v>239</v>
      </c>
      <c r="B112" s="80" t="s">
        <v>620</v>
      </c>
      <c r="C112" s="80" t="s">
        <v>621</v>
      </c>
      <c r="D112" s="80" t="s">
        <v>446</v>
      </c>
      <c r="E112" s="80" t="s">
        <v>446</v>
      </c>
      <c r="F112" s="80" t="s">
        <v>446</v>
      </c>
      <c r="G112" s="80" t="s">
        <v>457</v>
      </c>
      <c r="H112" s="80" t="s">
        <v>446</v>
      </c>
      <c r="I112" s="80" t="s">
        <v>446</v>
      </c>
      <c r="J112" s="80" t="s">
        <v>472</v>
      </c>
      <c r="K112" s="80" t="s">
        <v>446</v>
      </c>
      <c r="L112" s="80" t="s">
        <v>622</v>
      </c>
      <c r="M112" s="86" t="str">
        <f t="shared" si="1"/>
        <v>View on Google Map</v>
      </c>
    </row>
    <row r="113" spans="1:13" x14ac:dyDescent="0.2">
      <c r="A113" s="80">
        <v>144</v>
      </c>
      <c r="B113" s="80" t="s">
        <v>623</v>
      </c>
      <c r="C113" s="80" t="s">
        <v>624</v>
      </c>
      <c r="D113" s="80">
        <v>68.63333333333334</v>
      </c>
      <c r="E113" s="80">
        <v>-149.6</v>
      </c>
      <c r="F113" s="80">
        <v>719</v>
      </c>
      <c r="G113" s="80" t="s">
        <v>457</v>
      </c>
      <c r="H113" s="80" t="s">
        <v>446</v>
      </c>
      <c r="I113" s="80" t="s">
        <v>446</v>
      </c>
      <c r="J113" s="80" t="s">
        <v>472</v>
      </c>
      <c r="K113" s="80" t="s">
        <v>446</v>
      </c>
      <c r="L113" s="80" t="s">
        <v>473</v>
      </c>
      <c r="M113" s="86" t="str">
        <f t="shared" si="1"/>
        <v>View on Google Map</v>
      </c>
    </row>
    <row r="114" spans="1:13" x14ac:dyDescent="0.2">
      <c r="A114" s="80">
        <v>401</v>
      </c>
      <c r="B114" s="80" t="s">
        <v>625</v>
      </c>
      <c r="C114" s="80" t="s">
        <v>446</v>
      </c>
      <c r="D114" s="80" t="s">
        <v>446</v>
      </c>
      <c r="E114" s="80" t="s">
        <v>446</v>
      </c>
      <c r="F114" s="80" t="s">
        <v>446</v>
      </c>
      <c r="G114" s="80" t="s">
        <v>457</v>
      </c>
      <c r="H114" s="80" t="s">
        <v>446</v>
      </c>
      <c r="I114" s="80" t="s">
        <v>446</v>
      </c>
      <c r="J114" s="80" t="s">
        <v>472</v>
      </c>
      <c r="K114" s="80" t="s">
        <v>446</v>
      </c>
      <c r="L114" s="80" t="s">
        <v>626</v>
      </c>
      <c r="M114" s="86" t="str">
        <f t="shared" si="1"/>
        <v>View on Google Map</v>
      </c>
    </row>
    <row r="115" spans="1:13" x14ac:dyDescent="0.2">
      <c r="A115" s="80">
        <v>403</v>
      </c>
      <c r="B115" s="80" t="s">
        <v>627</v>
      </c>
      <c r="C115" s="80" t="s">
        <v>446</v>
      </c>
      <c r="D115" s="80" t="s">
        <v>446</v>
      </c>
      <c r="E115" s="80" t="s">
        <v>446</v>
      </c>
      <c r="F115" s="80" t="s">
        <v>446</v>
      </c>
      <c r="G115" s="80" t="s">
        <v>457</v>
      </c>
      <c r="H115" s="80" t="s">
        <v>446</v>
      </c>
      <c r="I115" s="80" t="s">
        <v>446</v>
      </c>
      <c r="J115" s="80" t="s">
        <v>472</v>
      </c>
      <c r="K115" s="80" t="s">
        <v>446</v>
      </c>
      <c r="L115" s="80" t="s">
        <v>628</v>
      </c>
      <c r="M115" s="86" t="str">
        <f t="shared" si="1"/>
        <v>View on Google Map</v>
      </c>
    </row>
    <row r="116" spans="1:13" x14ac:dyDescent="0.2">
      <c r="A116" s="80">
        <v>403</v>
      </c>
      <c r="B116" s="80" t="s">
        <v>627</v>
      </c>
      <c r="C116" s="80" t="s">
        <v>446</v>
      </c>
      <c r="D116" s="80" t="s">
        <v>446</v>
      </c>
      <c r="E116" s="80" t="s">
        <v>446</v>
      </c>
      <c r="F116" s="80" t="s">
        <v>446</v>
      </c>
      <c r="G116" s="80" t="s">
        <v>457</v>
      </c>
      <c r="H116" s="80" t="s">
        <v>446</v>
      </c>
      <c r="I116" s="80" t="s">
        <v>446</v>
      </c>
      <c r="J116" s="80" t="s">
        <v>472</v>
      </c>
      <c r="K116" s="80" t="s">
        <v>446</v>
      </c>
      <c r="L116" s="80" t="s">
        <v>628</v>
      </c>
      <c r="M116" s="86" t="str">
        <f t="shared" si="1"/>
        <v>View on Google Map</v>
      </c>
    </row>
    <row r="117" spans="1:13" x14ac:dyDescent="0.2">
      <c r="A117" s="80">
        <v>1209</v>
      </c>
      <c r="B117" s="80" t="s">
        <v>629</v>
      </c>
      <c r="C117" s="80" t="s">
        <v>630</v>
      </c>
      <c r="D117" s="80">
        <v>68.934420000000003</v>
      </c>
      <c r="E117" s="80">
        <v>-150.21242000000001</v>
      </c>
      <c r="F117" s="80" t="s">
        <v>446</v>
      </c>
      <c r="G117" s="80" t="s">
        <v>447</v>
      </c>
      <c r="H117" s="80" t="s">
        <v>446</v>
      </c>
      <c r="I117" s="80" t="s">
        <v>446</v>
      </c>
      <c r="J117" s="80" t="s">
        <v>453</v>
      </c>
      <c r="K117" s="80" t="s">
        <v>446</v>
      </c>
      <c r="L117" s="80" t="s">
        <v>454</v>
      </c>
      <c r="M117" s="86" t="str">
        <f t="shared" si="1"/>
        <v>View on Google Map</v>
      </c>
    </row>
    <row r="118" spans="1:13" x14ac:dyDescent="0.2">
      <c r="A118" s="80">
        <v>482</v>
      </c>
      <c r="B118" s="80" t="s">
        <v>631</v>
      </c>
      <c r="C118" s="80" t="s">
        <v>446</v>
      </c>
      <c r="D118" s="80">
        <v>68.951483332999999</v>
      </c>
      <c r="E118" s="80">
        <v>-150.194333333</v>
      </c>
      <c r="F118" s="80">
        <v>399</v>
      </c>
      <c r="G118" s="80" t="s">
        <v>457</v>
      </c>
      <c r="H118" s="80" t="s">
        <v>446</v>
      </c>
      <c r="I118" s="80" t="s">
        <v>446</v>
      </c>
      <c r="J118" s="80" t="s">
        <v>507</v>
      </c>
      <c r="K118" s="80" t="s">
        <v>446</v>
      </c>
      <c r="L118" s="80" t="s">
        <v>454</v>
      </c>
      <c r="M118" s="86" t="str">
        <f t="shared" si="1"/>
        <v>View on Google Map</v>
      </c>
    </row>
    <row r="119" spans="1:13" x14ac:dyDescent="0.2">
      <c r="A119" s="80">
        <v>483</v>
      </c>
      <c r="B119" s="80" t="s">
        <v>632</v>
      </c>
      <c r="C119" s="80" t="s">
        <v>446</v>
      </c>
      <c r="D119" s="80">
        <v>68.950783333000004</v>
      </c>
      <c r="E119" s="80">
        <v>-150.19835</v>
      </c>
      <c r="F119" s="80">
        <v>399</v>
      </c>
      <c r="G119" s="80" t="s">
        <v>471</v>
      </c>
      <c r="H119" s="80" t="s">
        <v>633</v>
      </c>
      <c r="I119" s="80" t="s">
        <v>446</v>
      </c>
      <c r="J119" s="80" t="s">
        <v>507</v>
      </c>
      <c r="K119" s="80" t="s">
        <v>446</v>
      </c>
      <c r="L119" s="80" t="s">
        <v>454</v>
      </c>
      <c r="M119" s="86" t="str">
        <f t="shared" si="1"/>
        <v>View on Google Map</v>
      </c>
    </row>
    <row r="120" spans="1:13" x14ac:dyDescent="0.2">
      <c r="A120" s="80">
        <v>484</v>
      </c>
      <c r="B120" s="80" t="s">
        <v>634</v>
      </c>
      <c r="C120" s="80" t="s">
        <v>446</v>
      </c>
      <c r="D120" s="80">
        <v>68.957549999999998</v>
      </c>
      <c r="E120" s="80">
        <v>-150.200916667</v>
      </c>
      <c r="F120" s="80">
        <v>399</v>
      </c>
      <c r="G120" s="80" t="s">
        <v>457</v>
      </c>
      <c r="H120" s="80" t="s">
        <v>635</v>
      </c>
      <c r="I120" s="80" t="s">
        <v>636</v>
      </c>
      <c r="J120" s="80" t="s">
        <v>507</v>
      </c>
      <c r="K120" s="80" t="s">
        <v>446</v>
      </c>
      <c r="L120" s="80" t="s">
        <v>454</v>
      </c>
      <c r="M120" s="86" t="str">
        <f t="shared" si="1"/>
        <v>View on Google Map</v>
      </c>
    </row>
    <row r="121" spans="1:13" x14ac:dyDescent="0.2">
      <c r="A121" s="80">
        <v>485</v>
      </c>
      <c r="B121" s="80" t="s">
        <v>637</v>
      </c>
      <c r="C121" s="80" t="s">
        <v>446</v>
      </c>
      <c r="D121" s="80">
        <v>68.95675</v>
      </c>
      <c r="E121" s="80">
        <v>-150.19700833300001</v>
      </c>
      <c r="F121" s="80">
        <v>399</v>
      </c>
      <c r="G121" s="80" t="s">
        <v>457</v>
      </c>
      <c r="H121" s="80" t="s">
        <v>638</v>
      </c>
      <c r="I121" s="80" t="s">
        <v>446</v>
      </c>
      <c r="J121" s="80" t="s">
        <v>507</v>
      </c>
      <c r="K121" s="80" t="s">
        <v>446</v>
      </c>
      <c r="L121" s="80" t="s">
        <v>454</v>
      </c>
      <c r="M121" s="86" t="str">
        <f t="shared" si="1"/>
        <v>View on Google Map</v>
      </c>
    </row>
    <row r="122" spans="1:13" x14ac:dyDescent="0.2">
      <c r="A122" s="80">
        <v>514</v>
      </c>
      <c r="B122" s="80" t="s">
        <v>639</v>
      </c>
      <c r="C122" s="80" t="s">
        <v>456</v>
      </c>
      <c r="D122" s="80">
        <v>68.418130000000005</v>
      </c>
      <c r="E122" s="80">
        <v>-151.58454</v>
      </c>
      <c r="F122" s="80">
        <v>876</v>
      </c>
      <c r="G122" s="80" t="s">
        <v>457</v>
      </c>
      <c r="H122" s="80" t="s">
        <v>446</v>
      </c>
      <c r="I122" s="80" t="s">
        <v>446</v>
      </c>
      <c r="J122" s="80" t="s">
        <v>458</v>
      </c>
      <c r="K122" s="80" t="s">
        <v>446</v>
      </c>
      <c r="L122" s="80" t="s">
        <v>459</v>
      </c>
      <c r="M122" s="86" t="str">
        <f t="shared" si="1"/>
        <v>View on Google Map</v>
      </c>
    </row>
    <row r="123" spans="1:13" x14ac:dyDescent="0.2">
      <c r="A123" s="80">
        <v>400</v>
      </c>
      <c r="B123" s="80" t="s">
        <v>640</v>
      </c>
      <c r="C123" s="80" t="s">
        <v>446</v>
      </c>
      <c r="D123" s="80" t="s">
        <v>446</v>
      </c>
      <c r="E123" s="80" t="s">
        <v>446</v>
      </c>
      <c r="F123" s="80" t="s">
        <v>446</v>
      </c>
      <c r="G123" s="80" t="s">
        <v>457</v>
      </c>
      <c r="H123" s="80" t="s">
        <v>446</v>
      </c>
      <c r="I123" s="80" t="s">
        <v>446</v>
      </c>
      <c r="J123" s="80" t="s">
        <v>472</v>
      </c>
      <c r="K123" s="80" t="s">
        <v>446</v>
      </c>
      <c r="L123" s="80" t="s">
        <v>626</v>
      </c>
      <c r="M123" s="86" t="str">
        <f t="shared" si="1"/>
        <v>View on Google Map</v>
      </c>
    </row>
    <row r="124" spans="1:13" x14ac:dyDescent="0.2">
      <c r="A124" s="80">
        <v>137</v>
      </c>
      <c r="B124" s="80" t="s">
        <v>641</v>
      </c>
      <c r="C124" s="80" t="s">
        <v>446</v>
      </c>
      <c r="D124" s="80">
        <v>70.3</v>
      </c>
      <c r="E124" s="80">
        <v>-148.28333333333333</v>
      </c>
      <c r="F124" s="80">
        <v>6</v>
      </c>
      <c r="G124" s="80" t="s">
        <v>457</v>
      </c>
      <c r="H124" s="80" t="s">
        <v>642</v>
      </c>
      <c r="I124" s="80" t="s">
        <v>446</v>
      </c>
      <c r="J124" s="80" t="s">
        <v>472</v>
      </c>
      <c r="K124" s="80" t="s">
        <v>446</v>
      </c>
      <c r="L124" s="80" t="s">
        <v>473</v>
      </c>
      <c r="M124" s="86" t="str">
        <f t="shared" si="1"/>
        <v>View on Google Map</v>
      </c>
    </row>
    <row r="125" spans="1:13" x14ac:dyDescent="0.2">
      <c r="A125" s="80">
        <v>146</v>
      </c>
      <c r="B125" s="80" t="s">
        <v>643</v>
      </c>
      <c r="C125" s="80" t="s">
        <v>446</v>
      </c>
      <c r="D125" s="80">
        <v>68.626195602799996</v>
      </c>
      <c r="E125" s="80">
        <v>-149.55534770599999</v>
      </c>
      <c r="F125" s="80">
        <v>762</v>
      </c>
      <c r="G125" s="80" t="s">
        <v>457</v>
      </c>
      <c r="H125" s="80" t="s">
        <v>644</v>
      </c>
      <c r="I125" s="80" t="s">
        <v>645</v>
      </c>
      <c r="J125" s="80" t="s">
        <v>472</v>
      </c>
      <c r="K125" s="80" t="s">
        <v>446</v>
      </c>
      <c r="L125" s="80" t="s">
        <v>446</v>
      </c>
      <c r="M125" s="86" t="str">
        <f t="shared" si="1"/>
        <v>View on Google Map</v>
      </c>
    </row>
    <row r="126" spans="1:13" x14ac:dyDescent="0.2">
      <c r="A126" s="80">
        <v>18</v>
      </c>
      <c r="B126" s="80" t="s">
        <v>646</v>
      </c>
      <c r="C126" s="80" t="s">
        <v>446</v>
      </c>
      <c r="D126" s="80" t="s">
        <v>446</v>
      </c>
      <c r="E126" s="80" t="s">
        <v>446</v>
      </c>
      <c r="F126" s="80">
        <v>762</v>
      </c>
      <c r="G126" s="80" t="s">
        <v>471</v>
      </c>
      <c r="H126" s="80" t="s">
        <v>647</v>
      </c>
      <c r="I126" s="80" t="s">
        <v>648</v>
      </c>
      <c r="J126" s="80" t="s">
        <v>472</v>
      </c>
      <c r="K126" s="80" t="s">
        <v>446</v>
      </c>
      <c r="L126" s="80" t="s">
        <v>446</v>
      </c>
      <c r="M126" s="86" t="str">
        <f t="shared" si="1"/>
        <v>View on Google Map</v>
      </c>
    </row>
    <row r="127" spans="1:13" x14ac:dyDescent="0.2">
      <c r="A127" s="80">
        <v>310</v>
      </c>
      <c r="B127" s="80" t="s">
        <v>649</v>
      </c>
      <c r="C127" s="80" t="s">
        <v>446</v>
      </c>
      <c r="D127" s="80">
        <v>68.622894947099994</v>
      </c>
      <c r="E127" s="80">
        <v>-149.54328383999999</v>
      </c>
      <c r="F127" s="80" t="s">
        <v>446</v>
      </c>
      <c r="G127" s="80" t="s">
        <v>457</v>
      </c>
      <c r="H127" s="80" t="s">
        <v>650</v>
      </c>
      <c r="I127" s="80" t="s">
        <v>651</v>
      </c>
      <c r="J127" s="80" t="s">
        <v>472</v>
      </c>
      <c r="K127" s="80" t="s">
        <v>446</v>
      </c>
      <c r="L127" s="80" t="s">
        <v>446</v>
      </c>
      <c r="M127" s="86" t="str">
        <f t="shared" si="1"/>
        <v>View on Google Map</v>
      </c>
    </row>
    <row r="128" spans="1:13" x14ac:dyDescent="0.2">
      <c r="A128" s="80">
        <v>311</v>
      </c>
      <c r="B128" s="80" t="s">
        <v>652</v>
      </c>
      <c r="C128" s="80" t="s">
        <v>446</v>
      </c>
      <c r="D128" s="80">
        <v>68.623910828999996</v>
      </c>
      <c r="E128" s="80">
        <v>-149.53118563999999</v>
      </c>
      <c r="F128" s="80" t="s">
        <v>446</v>
      </c>
      <c r="G128" s="80" t="s">
        <v>457</v>
      </c>
      <c r="H128" s="80" t="s">
        <v>653</v>
      </c>
      <c r="I128" s="80" t="s">
        <v>654</v>
      </c>
      <c r="J128" s="80" t="s">
        <v>472</v>
      </c>
      <c r="K128" s="80" t="s">
        <v>446</v>
      </c>
      <c r="L128" s="80" t="s">
        <v>446</v>
      </c>
      <c r="M128" s="86" t="str">
        <f t="shared" si="1"/>
        <v>View on Google Map</v>
      </c>
    </row>
    <row r="129" spans="1:13" x14ac:dyDescent="0.2">
      <c r="A129" s="80">
        <v>312</v>
      </c>
      <c r="B129" s="80" t="s">
        <v>655</v>
      </c>
      <c r="C129" s="80" t="s">
        <v>446</v>
      </c>
      <c r="D129" s="80">
        <v>68.6277698106</v>
      </c>
      <c r="E129" s="80">
        <v>-149.497737003</v>
      </c>
      <c r="F129" s="80" t="s">
        <v>446</v>
      </c>
      <c r="G129" s="80" t="s">
        <v>457</v>
      </c>
      <c r="H129" s="80" t="s">
        <v>656</v>
      </c>
      <c r="I129" s="80" t="s">
        <v>657</v>
      </c>
      <c r="J129" s="80" t="s">
        <v>472</v>
      </c>
      <c r="K129" s="80" t="s">
        <v>446</v>
      </c>
      <c r="L129" s="80" t="s">
        <v>446</v>
      </c>
      <c r="M129" s="86" t="str">
        <f t="shared" si="1"/>
        <v>View on Google Map</v>
      </c>
    </row>
    <row r="130" spans="1:13" x14ac:dyDescent="0.2">
      <c r="A130" s="80">
        <v>145</v>
      </c>
      <c r="B130" s="80" t="s">
        <v>658</v>
      </c>
      <c r="C130" s="80" t="s">
        <v>446</v>
      </c>
      <c r="D130" s="80">
        <v>68.642611000000002</v>
      </c>
      <c r="E130" s="80">
        <v>-149.458079</v>
      </c>
      <c r="F130" s="80">
        <v>800</v>
      </c>
      <c r="G130" s="80" t="s">
        <v>457</v>
      </c>
      <c r="H130" s="80" t="s">
        <v>659</v>
      </c>
      <c r="I130" s="80" t="s">
        <v>660</v>
      </c>
      <c r="J130" s="80" t="s">
        <v>472</v>
      </c>
      <c r="K130" s="80" t="s">
        <v>446</v>
      </c>
      <c r="L130" s="80" t="s">
        <v>446</v>
      </c>
      <c r="M130" s="86" t="str">
        <f t="shared" si="1"/>
        <v>View on Google Map</v>
      </c>
    </row>
    <row r="131" spans="1:13" x14ac:dyDescent="0.2">
      <c r="A131" s="80">
        <v>399</v>
      </c>
      <c r="B131" s="80" t="s">
        <v>661</v>
      </c>
      <c r="C131" s="80" t="s">
        <v>446</v>
      </c>
      <c r="D131" s="80">
        <v>68.643427058300006</v>
      </c>
      <c r="E131" s="80">
        <v>-149.44056459199999</v>
      </c>
      <c r="F131" s="80">
        <v>792</v>
      </c>
      <c r="G131" s="80" t="s">
        <v>457</v>
      </c>
      <c r="H131" s="80" t="s">
        <v>662</v>
      </c>
      <c r="I131" s="80" t="s">
        <v>663</v>
      </c>
      <c r="J131" s="80" t="s">
        <v>472</v>
      </c>
      <c r="K131" s="80" t="s">
        <v>446</v>
      </c>
      <c r="L131" s="80" t="s">
        <v>446</v>
      </c>
      <c r="M131" s="86" t="str">
        <f t="shared" ref="M131:M194" si="2">HYPERLINK("http://maps.google.com/maps?q="&amp;D131&amp;","&amp;E131,"View on Google Map")</f>
        <v>View on Google Map</v>
      </c>
    </row>
    <row r="132" spans="1:13" x14ac:dyDescent="0.2">
      <c r="A132" s="80">
        <v>1605</v>
      </c>
      <c r="B132" s="80" t="s">
        <v>664</v>
      </c>
      <c r="C132" s="80" t="s">
        <v>446</v>
      </c>
      <c r="D132" s="80" t="s">
        <v>446</v>
      </c>
      <c r="E132" s="80" t="s">
        <v>446</v>
      </c>
      <c r="F132" s="80" t="s">
        <v>446</v>
      </c>
      <c r="G132" s="80" t="s">
        <v>471</v>
      </c>
      <c r="H132" s="80" t="s">
        <v>665</v>
      </c>
      <c r="I132" s="80" t="s">
        <v>666</v>
      </c>
      <c r="J132" s="80" t="s">
        <v>472</v>
      </c>
      <c r="K132" s="80" t="s">
        <v>446</v>
      </c>
      <c r="L132" s="80" t="s">
        <v>446</v>
      </c>
      <c r="M132" s="86" t="str">
        <f t="shared" si="2"/>
        <v>View on Google Map</v>
      </c>
    </row>
    <row r="133" spans="1:13" x14ac:dyDescent="0.2">
      <c r="A133" s="80">
        <v>1606</v>
      </c>
      <c r="B133" s="80" t="s">
        <v>667</v>
      </c>
      <c r="C133" s="80" t="s">
        <v>446</v>
      </c>
      <c r="D133" s="80" t="s">
        <v>446</v>
      </c>
      <c r="E133" s="80" t="s">
        <v>446</v>
      </c>
      <c r="F133" s="80" t="s">
        <v>446</v>
      </c>
      <c r="G133" s="80" t="s">
        <v>471</v>
      </c>
      <c r="H133" s="80" t="s">
        <v>668</v>
      </c>
      <c r="I133" s="80" t="s">
        <v>669</v>
      </c>
      <c r="J133" s="80" t="s">
        <v>472</v>
      </c>
      <c r="K133" s="80" t="s">
        <v>446</v>
      </c>
      <c r="L133" s="80" t="s">
        <v>446</v>
      </c>
      <c r="M133" s="86" t="str">
        <f t="shared" si="2"/>
        <v>View on Google Map</v>
      </c>
    </row>
    <row r="134" spans="1:13" x14ac:dyDescent="0.2">
      <c r="A134" s="80">
        <v>1604</v>
      </c>
      <c r="B134" s="80" t="s">
        <v>670</v>
      </c>
      <c r="C134" s="80" t="s">
        <v>446</v>
      </c>
      <c r="D134" s="80" t="s">
        <v>446</v>
      </c>
      <c r="E134" s="80" t="s">
        <v>446</v>
      </c>
      <c r="F134" s="80" t="s">
        <v>446</v>
      </c>
      <c r="G134" s="80" t="s">
        <v>471</v>
      </c>
      <c r="H134" s="80" t="s">
        <v>671</v>
      </c>
      <c r="I134" s="80" t="s">
        <v>672</v>
      </c>
      <c r="J134" s="80" t="s">
        <v>472</v>
      </c>
      <c r="K134" s="80" t="s">
        <v>446</v>
      </c>
      <c r="L134" s="80" t="s">
        <v>446</v>
      </c>
      <c r="M134" s="86" t="str">
        <f t="shared" si="2"/>
        <v>View on Google Map</v>
      </c>
    </row>
    <row r="135" spans="1:13" x14ac:dyDescent="0.2">
      <c r="A135" s="80">
        <v>24</v>
      </c>
      <c r="B135" s="80" t="s">
        <v>673</v>
      </c>
      <c r="C135" s="80" t="s">
        <v>446</v>
      </c>
      <c r="D135" s="80" t="s">
        <v>446</v>
      </c>
      <c r="E135" s="80" t="s">
        <v>446</v>
      </c>
      <c r="F135" s="80" t="s">
        <v>446</v>
      </c>
      <c r="G135" s="80" t="s">
        <v>471</v>
      </c>
      <c r="H135" s="80" t="s">
        <v>446</v>
      </c>
      <c r="I135" s="80" t="s">
        <v>446</v>
      </c>
      <c r="J135" s="80" t="s">
        <v>472</v>
      </c>
      <c r="K135" s="80" t="s">
        <v>446</v>
      </c>
      <c r="L135" s="80" t="s">
        <v>446</v>
      </c>
      <c r="M135" s="86" t="str">
        <f t="shared" si="2"/>
        <v>View on Google Map</v>
      </c>
    </row>
    <row r="136" spans="1:13" x14ac:dyDescent="0.2">
      <c r="A136" s="80">
        <v>143</v>
      </c>
      <c r="B136" s="80" t="s">
        <v>674</v>
      </c>
      <c r="C136" s="80" t="s">
        <v>675</v>
      </c>
      <c r="D136" s="80">
        <v>68.650000000000006</v>
      </c>
      <c r="E136" s="80">
        <v>-148.5</v>
      </c>
      <c r="F136" s="80">
        <v>525</v>
      </c>
      <c r="G136" s="80" t="s">
        <v>457</v>
      </c>
      <c r="H136" s="80" t="s">
        <v>446</v>
      </c>
      <c r="I136" s="80" t="s">
        <v>446</v>
      </c>
      <c r="J136" s="80" t="s">
        <v>472</v>
      </c>
      <c r="K136" s="80" t="s">
        <v>446</v>
      </c>
      <c r="L136" s="80" t="s">
        <v>473</v>
      </c>
      <c r="M136" s="86" t="str">
        <f t="shared" si="2"/>
        <v>View on Google Map</v>
      </c>
    </row>
    <row r="137" spans="1:13" x14ac:dyDescent="0.2">
      <c r="A137" s="80">
        <v>464</v>
      </c>
      <c r="B137" s="80" t="s">
        <v>676</v>
      </c>
      <c r="C137" s="80" t="s">
        <v>446</v>
      </c>
      <c r="D137" s="80">
        <v>68.793719999999993</v>
      </c>
      <c r="E137" s="80">
        <v>-149.47560999999999</v>
      </c>
      <c r="F137" s="80">
        <v>702</v>
      </c>
      <c r="G137" s="80" t="s">
        <v>457</v>
      </c>
      <c r="H137" s="80" t="s">
        <v>446</v>
      </c>
      <c r="I137" s="80" t="s">
        <v>446</v>
      </c>
      <c r="J137" s="80" t="s">
        <v>458</v>
      </c>
      <c r="K137" s="80" t="s">
        <v>446</v>
      </c>
      <c r="L137" s="80" t="s">
        <v>446</v>
      </c>
      <c r="M137" s="86" t="str">
        <f t="shared" si="2"/>
        <v>View on Google Map</v>
      </c>
    </row>
    <row r="138" spans="1:13" x14ac:dyDescent="0.2">
      <c r="A138" s="80">
        <v>465</v>
      </c>
      <c r="B138" s="80" t="s">
        <v>677</v>
      </c>
      <c r="C138" s="80" t="s">
        <v>446</v>
      </c>
      <c r="D138" s="80">
        <v>68.796220000000005</v>
      </c>
      <c r="E138" s="80">
        <v>-149.48222000000001</v>
      </c>
      <c r="F138" s="80">
        <v>698</v>
      </c>
      <c r="G138" s="80" t="s">
        <v>457</v>
      </c>
      <c r="H138" s="80" t="s">
        <v>446</v>
      </c>
      <c r="I138" s="80" t="s">
        <v>446</v>
      </c>
      <c r="J138" s="80" t="s">
        <v>458</v>
      </c>
      <c r="K138" s="80" t="s">
        <v>446</v>
      </c>
      <c r="L138" s="80" t="s">
        <v>446</v>
      </c>
      <c r="M138" s="86" t="str">
        <f t="shared" si="2"/>
        <v>View on Google Map</v>
      </c>
    </row>
    <row r="139" spans="1:13" x14ac:dyDescent="0.2">
      <c r="A139" s="80">
        <v>466</v>
      </c>
      <c r="B139" s="80" t="s">
        <v>678</v>
      </c>
      <c r="C139" s="80" t="s">
        <v>446</v>
      </c>
      <c r="D139" s="80">
        <v>68.798249999999996</v>
      </c>
      <c r="E139" s="80">
        <v>-149.47832</v>
      </c>
      <c r="F139" s="80">
        <v>697</v>
      </c>
      <c r="G139" s="80" t="s">
        <v>457</v>
      </c>
      <c r="H139" s="80" t="s">
        <v>446</v>
      </c>
      <c r="I139" s="80" t="s">
        <v>446</v>
      </c>
      <c r="J139" s="80" t="s">
        <v>458</v>
      </c>
      <c r="K139" s="80" t="s">
        <v>446</v>
      </c>
      <c r="L139" s="80" t="s">
        <v>446</v>
      </c>
      <c r="M139" s="86" t="str">
        <f t="shared" si="2"/>
        <v>View on Google Map</v>
      </c>
    </row>
    <row r="140" spans="1:13" x14ac:dyDescent="0.2">
      <c r="A140" s="80">
        <v>467</v>
      </c>
      <c r="B140" s="80" t="s">
        <v>679</v>
      </c>
      <c r="C140" s="80" t="s">
        <v>446</v>
      </c>
      <c r="D140" s="80">
        <v>68.794659999999993</v>
      </c>
      <c r="E140" s="80">
        <v>-149.46985000000001</v>
      </c>
      <c r="F140" s="80">
        <v>702</v>
      </c>
      <c r="G140" s="80" t="s">
        <v>457</v>
      </c>
      <c r="H140" s="80" t="s">
        <v>446</v>
      </c>
      <c r="I140" s="80" t="s">
        <v>446</v>
      </c>
      <c r="J140" s="80" t="s">
        <v>458</v>
      </c>
      <c r="K140" s="80" t="s">
        <v>446</v>
      </c>
      <c r="L140" s="80" t="s">
        <v>446</v>
      </c>
      <c r="M140" s="86" t="str">
        <f t="shared" si="2"/>
        <v>View on Google Map</v>
      </c>
    </row>
    <row r="141" spans="1:13" x14ac:dyDescent="0.2">
      <c r="A141" s="80">
        <v>468</v>
      </c>
      <c r="B141" s="80" t="s">
        <v>680</v>
      </c>
      <c r="C141" s="80" t="s">
        <v>446</v>
      </c>
      <c r="D141" s="80">
        <v>68.797669999999997</v>
      </c>
      <c r="E141" s="80">
        <v>-149.46574000000001</v>
      </c>
      <c r="F141" s="80">
        <v>692</v>
      </c>
      <c r="G141" s="80" t="s">
        <v>457</v>
      </c>
      <c r="H141" s="80" t="s">
        <v>446</v>
      </c>
      <c r="I141" s="80" t="s">
        <v>446</v>
      </c>
      <c r="J141" s="80" t="s">
        <v>458</v>
      </c>
      <c r="K141" s="80" t="s">
        <v>446</v>
      </c>
      <c r="L141" s="80" t="s">
        <v>446</v>
      </c>
      <c r="M141" s="86" t="str">
        <f t="shared" si="2"/>
        <v>View on Google Map</v>
      </c>
    </row>
    <row r="142" spans="1:13" x14ac:dyDescent="0.2">
      <c r="A142" s="80">
        <v>469</v>
      </c>
      <c r="B142" s="80" t="s">
        <v>681</v>
      </c>
      <c r="C142" s="80" t="s">
        <v>446</v>
      </c>
      <c r="D142" s="80">
        <v>68.802390000000003</v>
      </c>
      <c r="E142" s="80">
        <v>-149.46473</v>
      </c>
      <c r="F142" s="80">
        <v>683</v>
      </c>
      <c r="G142" s="80" t="s">
        <v>457</v>
      </c>
      <c r="H142" s="80" t="s">
        <v>446</v>
      </c>
      <c r="I142" s="80" t="s">
        <v>446</v>
      </c>
      <c r="J142" s="80" t="s">
        <v>458</v>
      </c>
      <c r="K142" s="80" t="s">
        <v>446</v>
      </c>
      <c r="L142" s="80" t="s">
        <v>446</v>
      </c>
      <c r="M142" s="86" t="str">
        <f t="shared" si="2"/>
        <v>View on Google Map</v>
      </c>
    </row>
    <row r="143" spans="1:13" x14ac:dyDescent="0.2">
      <c r="A143" s="80">
        <v>406</v>
      </c>
      <c r="B143" s="80" t="s">
        <v>682</v>
      </c>
      <c r="C143" s="80" t="s">
        <v>446</v>
      </c>
      <c r="D143" s="80" t="s">
        <v>446</v>
      </c>
      <c r="E143" s="80" t="s">
        <v>446</v>
      </c>
      <c r="F143" s="80" t="s">
        <v>446</v>
      </c>
      <c r="G143" s="80" t="s">
        <v>457</v>
      </c>
      <c r="H143" s="80" t="s">
        <v>446</v>
      </c>
      <c r="I143" s="80" t="s">
        <v>446</v>
      </c>
      <c r="J143" s="80" t="s">
        <v>472</v>
      </c>
      <c r="K143" s="80" t="s">
        <v>446</v>
      </c>
      <c r="L143" s="80" t="s">
        <v>628</v>
      </c>
      <c r="M143" s="86" t="str">
        <f t="shared" si="2"/>
        <v>View on Google Map</v>
      </c>
    </row>
    <row r="144" spans="1:13" x14ac:dyDescent="0.2">
      <c r="A144" s="80">
        <v>407</v>
      </c>
      <c r="B144" s="80" t="s">
        <v>683</v>
      </c>
      <c r="C144" s="80" t="s">
        <v>446</v>
      </c>
      <c r="D144" s="80" t="s">
        <v>446</v>
      </c>
      <c r="E144" s="80" t="s">
        <v>446</v>
      </c>
      <c r="F144" s="80" t="s">
        <v>446</v>
      </c>
      <c r="G144" s="80" t="s">
        <v>457</v>
      </c>
      <c r="H144" s="80" t="s">
        <v>446</v>
      </c>
      <c r="I144" s="80" t="s">
        <v>446</v>
      </c>
      <c r="J144" s="80" t="s">
        <v>472</v>
      </c>
      <c r="K144" s="80" t="s">
        <v>446</v>
      </c>
      <c r="L144" s="80" t="s">
        <v>628</v>
      </c>
      <c r="M144" s="86" t="str">
        <f t="shared" si="2"/>
        <v>View on Google Map</v>
      </c>
    </row>
    <row r="145" spans="1:13" x14ac:dyDescent="0.2">
      <c r="A145" s="80">
        <v>164</v>
      </c>
      <c r="B145" s="80" t="s">
        <v>684</v>
      </c>
      <c r="C145" s="80" t="s">
        <v>446</v>
      </c>
      <c r="D145" s="80">
        <v>68.683333333333337</v>
      </c>
      <c r="E145" s="80">
        <v>-149.07666666666699</v>
      </c>
      <c r="F145" s="80">
        <v>770</v>
      </c>
      <c r="G145" s="80" t="s">
        <v>457</v>
      </c>
      <c r="H145" s="80" t="s">
        <v>685</v>
      </c>
      <c r="I145" s="80" t="s">
        <v>686</v>
      </c>
      <c r="J145" s="80" t="s">
        <v>472</v>
      </c>
      <c r="K145" s="80">
        <v>274</v>
      </c>
      <c r="L145" s="80" t="s">
        <v>446</v>
      </c>
      <c r="M145" s="86" t="str">
        <f t="shared" si="2"/>
        <v>View on Google Map</v>
      </c>
    </row>
    <row r="146" spans="1:13" x14ac:dyDescent="0.2">
      <c r="A146" s="80">
        <v>165</v>
      </c>
      <c r="B146" s="80" t="s">
        <v>687</v>
      </c>
      <c r="C146" s="80" t="s">
        <v>446</v>
      </c>
      <c r="D146" s="80">
        <v>68.683333333333337</v>
      </c>
      <c r="E146" s="80">
        <v>-149.1</v>
      </c>
      <c r="F146" s="80">
        <v>785</v>
      </c>
      <c r="G146" s="80" t="s">
        <v>457</v>
      </c>
      <c r="H146" s="80" t="s">
        <v>688</v>
      </c>
      <c r="I146" s="80" t="s">
        <v>689</v>
      </c>
      <c r="J146" s="80" t="s">
        <v>472</v>
      </c>
      <c r="K146" s="80">
        <v>275</v>
      </c>
      <c r="L146" s="80" t="s">
        <v>446</v>
      </c>
      <c r="M146" s="86" t="str">
        <f t="shared" si="2"/>
        <v>View on Google Map</v>
      </c>
    </row>
    <row r="147" spans="1:13" x14ac:dyDescent="0.2">
      <c r="A147" s="80">
        <v>166</v>
      </c>
      <c r="B147" s="80" t="s">
        <v>690</v>
      </c>
      <c r="C147" s="80" t="s">
        <v>446</v>
      </c>
      <c r="D147" s="80">
        <v>68.666666666666671</v>
      </c>
      <c r="E147" s="80">
        <v>-149.1</v>
      </c>
      <c r="F147" s="80">
        <v>792</v>
      </c>
      <c r="G147" s="80" t="s">
        <v>457</v>
      </c>
      <c r="H147" s="80" t="s">
        <v>691</v>
      </c>
      <c r="I147" s="80" t="s">
        <v>692</v>
      </c>
      <c r="J147" s="80" t="s">
        <v>472</v>
      </c>
      <c r="K147" s="80">
        <v>276</v>
      </c>
      <c r="L147" s="80" t="s">
        <v>446</v>
      </c>
      <c r="M147" s="86" t="str">
        <f t="shared" si="2"/>
        <v>View on Google Map</v>
      </c>
    </row>
    <row r="148" spans="1:13" x14ac:dyDescent="0.2">
      <c r="A148" s="80">
        <v>167</v>
      </c>
      <c r="B148" s="80" t="s">
        <v>693</v>
      </c>
      <c r="C148" s="80" t="s">
        <v>446</v>
      </c>
      <c r="D148" s="80">
        <v>68.680000000000007</v>
      </c>
      <c r="E148" s="80">
        <v>-149.071666666667</v>
      </c>
      <c r="F148" s="80">
        <v>754</v>
      </c>
      <c r="G148" s="80" t="s">
        <v>457</v>
      </c>
      <c r="H148" s="80" t="s">
        <v>694</v>
      </c>
      <c r="I148" s="80" t="s">
        <v>695</v>
      </c>
      <c r="J148" s="80" t="s">
        <v>472</v>
      </c>
      <c r="K148" s="80" t="s">
        <v>446</v>
      </c>
      <c r="L148" s="80" t="s">
        <v>446</v>
      </c>
      <c r="M148" s="86" t="str">
        <f t="shared" si="2"/>
        <v>View on Google Map</v>
      </c>
    </row>
    <row r="149" spans="1:13" x14ac:dyDescent="0.2">
      <c r="A149" s="80">
        <v>168</v>
      </c>
      <c r="B149" s="80" t="s">
        <v>696</v>
      </c>
      <c r="C149" s="80" t="s">
        <v>446</v>
      </c>
      <c r="D149" s="80">
        <v>68.674999999999997</v>
      </c>
      <c r="E149" s="80">
        <v>-149.06</v>
      </c>
      <c r="F149" s="80" t="s">
        <v>446</v>
      </c>
      <c r="G149" s="80" t="s">
        <v>457</v>
      </c>
      <c r="H149" s="80" t="s">
        <v>697</v>
      </c>
      <c r="I149" s="80" t="s">
        <v>698</v>
      </c>
      <c r="J149" s="80" t="s">
        <v>472</v>
      </c>
      <c r="K149" s="80" t="s">
        <v>446</v>
      </c>
      <c r="L149" s="80" t="s">
        <v>446</v>
      </c>
      <c r="M149" s="86" t="str">
        <f t="shared" si="2"/>
        <v>View on Google Map</v>
      </c>
    </row>
    <row r="150" spans="1:13" x14ac:dyDescent="0.2">
      <c r="A150" s="80">
        <v>124</v>
      </c>
      <c r="B150" s="80" t="s">
        <v>699</v>
      </c>
      <c r="C150" s="80" t="s">
        <v>446</v>
      </c>
      <c r="D150" s="80">
        <v>68.466666666666669</v>
      </c>
      <c r="E150" s="80">
        <v>-149.5</v>
      </c>
      <c r="F150" s="80">
        <v>802</v>
      </c>
      <c r="G150" s="80" t="s">
        <v>457</v>
      </c>
      <c r="H150" s="80" t="s">
        <v>700</v>
      </c>
      <c r="I150" s="80" t="s">
        <v>446</v>
      </c>
      <c r="J150" s="80" t="s">
        <v>472</v>
      </c>
      <c r="K150" s="80" t="s">
        <v>446</v>
      </c>
      <c r="L150" s="80" t="s">
        <v>473</v>
      </c>
      <c r="M150" s="86" t="str">
        <f t="shared" si="2"/>
        <v>View on Google Map</v>
      </c>
    </row>
    <row r="151" spans="1:13" x14ac:dyDescent="0.2">
      <c r="A151" s="80">
        <v>432</v>
      </c>
      <c r="B151" s="80" t="s">
        <v>701</v>
      </c>
      <c r="C151" s="80" t="s">
        <v>446</v>
      </c>
      <c r="D151" s="80" t="s">
        <v>446</v>
      </c>
      <c r="E151" s="80" t="s">
        <v>446</v>
      </c>
      <c r="F151" s="80">
        <v>800</v>
      </c>
      <c r="G151" s="80" t="s">
        <v>457</v>
      </c>
      <c r="H151" s="80" t="s">
        <v>702</v>
      </c>
      <c r="I151" s="80" t="s">
        <v>446</v>
      </c>
      <c r="J151" s="80" t="s">
        <v>472</v>
      </c>
      <c r="K151" s="80" t="s">
        <v>446</v>
      </c>
      <c r="L151" s="80" t="s">
        <v>703</v>
      </c>
      <c r="M151" s="86" t="str">
        <f t="shared" si="2"/>
        <v>View on Google Map</v>
      </c>
    </row>
    <row r="152" spans="1:13" x14ac:dyDescent="0.2">
      <c r="A152" s="80">
        <v>433</v>
      </c>
      <c r="B152" s="80" t="s">
        <v>704</v>
      </c>
      <c r="C152" s="80" t="s">
        <v>446</v>
      </c>
      <c r="D152" s="80" t="s">
        <v>446</v>
      </c>
      <c r="E152" s="80" t="s">
        <v>446</v>
      </c>
      <c r="F152" s="80">
        <v>800</v>
      </c>
      <c r="G152" s="80" t="s">
        <v>457</v>
      </c>
      <c r="H152" s="80" t="s">
        <v>705</v>
      </c>
      <c r="I152" s="80" t="s">
        <v>446</v>
      </c>
      <c r="J152" s="80" t="s">
        <v>472</v>
      </c>
      <c r="K152" s="80" t="s">
        <v>446</v>
      </c>
      <c r="L152" s="80" t="s">
        <v>703</v>
      </c>
      <c r="M152" s="86" t="str">
        <f t="shared" si="2"/>
        <v>View on Google Map</v>
      </c>
    </row>
    <row r="153" spans="1:13" x14ac:dyDescent="0.2">
      <c r="A153" s="80">
        <v>434</v>
      </c>
      <c r="B153" s="80" t="s">
        <v>706</v>
      </c>
      <c r="C153" s="80" t="s">
        <v>446</v>
      </c>
      <c r="D153" s="80" t="s">
        <v>446</v>
      </c>
      <c r="E153" s="80" t="s">
        <v>446</v>
      </c>
      <c r="F153" s="80">
        <v>801</v>
      </c>
      <c r="G153" s="80" t="s">
        <v>457</v>
      </c>
      <c r="H153" s="80" t="s">
        <v>707</v>
      </c>
      <c r="I153" s="80" t="s">
        <v>446</v>
      </c>
      <c r="J153" s="80" t="s">
        <v>472</v>
      </c>
      <c r="K153" s="80" t="s">
        <v>446</v>
      </c>
      <c r="L153" s="80" t="s">
        <v>703</v>
      </c>
      <c r="M153" s="86" t="str">
        <f t="shared" si="2"/>
        <v>View on Google Map</v>
      </c>
    </row>
    <row r="154" spans="1:13" x14ac:dyDescent="0.2">
      <c r="A154" s="80">
        <v>435</v>
      </c>
      <c r="B154" s="80" t="s">
        <v>708</v>
      </c>
      <c r="C154" s="80" t="s">
        <v>446</v>
      </c>
      <c r="D154" s="80" t="s">
        <v>446</v>
      </c>
      <c r="E154" s="80" t="s">
        <v>446</v>
      </c>
      <c r="F154" s="80">
        <v>802</v>
      </c>
      <c r="G154" s="80" t="s">
        <v>457</v>
      </c>
      <c r="H154" s="80" t="s">
        <v>709</v>
      </c>
      <c r="I154" s="80" t="s">
        <v>446</v>
      </c>
      <c r="J154" s="80" t="s">
        <v>472</v>
      </c>
      <c r="K154" s="80" t="s">
        <v>446</v>
      </c>
      <c r="L154" s="80" t="s">
        <v>703</v>
      </c>
      <c r="M154" s="86" t="str">
        <f t="shared" si="2"/>
        <v>View on Google Map</v>
      </c>
    </row>
    <row r="155" spans="1:13" x14ac:dyDescent="0.2">
      <c r="A155" s="80">
        <v>436</v>
      </c>
      <c r="B155" s="80" t="s">
        <v>710</v>
      </c>
      <c r="C155" s="80" t="s">
        <v>446</v>
      </c>
      <c r="D155" s="80" t="s">
        <v>446</v>
      </c>
      <c r="E155" s="80" t="s">
        <v>446</v>
      </c>
      <c r="F155" s="80">
        <v>803</v>
      </c>
      <c r="G155" s="80" t="s">
        <v>457</v>
      </c>
      <c r="H155" s="80" t="s">
        <v>711</v>
      </c>
      <c r="I155" s="80" t="s">
        <v>446</v>
      </c>
      <c r="J155" s="80" t="s">
        <v>472</v>
      </c>
      <c r="K155" s="80" t="s">
        <v>446</v>
      </c>
      <c r="L155" s="80" t="s">
        <v>703</v>
      </c>
      <c r="M155" s="86" t="str">
        <f t="shared" si="2"/>
        <v>View on Google Map</v>
      </c>
    </row>
    <row r="156" spans="1:13" x14ac:dyDescent="0.2">
      <c r="A156" s="80">
        <v>437</v>
      </c>
      <c r="B156" s="80" t="s">
        <v>712</v>
      </c>
      <c r="C156" s="80" t="s">
        <v>446</v>
      </c>
      <c r="D156" s="80" t="s">
        <v>446</v>
      </c>
      <c r="E156" s="80" t="s">
        <v>446</v>
      </c>
      <c r="F156" s="80">
        <v>804</v>
      </c>
      <c r="G156" s="80" t="s">
        <v>457</v>
      </c>
      <c r="H156" s="80" t="s">
        <v>713</v>
      </c>
      <c r="I156" s="80" t="s">
        <v>446</v>
      </c>
      <c r="J156" s="80" t="s">
        <v>472</v>
      </c>
      <c r="K156" s="80" t="s">
        <v>446</v>
      </c>
      <c r="L156" s="80" t="s">
        <v>703</v>
      </c>
      <c r="M156" s="86" t="str">
        <f t="shared" si="2"/>
        <v>View on Google Map</v>
      </c>
    </row>
    <row r="157" spans="1:13" x14ac:dyDescent="0.2">
      <c r="A157" s="80">
        <v>438</v>
      </c>
      <c r="B157" s="80" t="s">
        <v>714</v>
      </c>
      <c r="C157" s="80" t="s">
        <v>446</v>
      </c>
      <c r="D157" s="80" t="s">
        <v>446</v>
      </c>
      <c r="E157" s="80" t="s">
        <v>446</v>
      </c>
      <c r="F157" s="80">
        <v>805</v>
      </c>
      <c r="G157" s="80" t="s">
        <v>457</v>
      </c>
      <c r="H157" s="80" t="s">
        <v>715</v>
      </c>
      <c r="I157" s="80" t="s">
        <v>446</v>
      </c>
      <c r="J157" s="80" t="s">
        <v>472</v>
      </c>
      <c r="K157" s="80" t="s">
        <v>446</v>
      </c>
      <c r="L157" s="80" t="s">
        <v>703</v>
      </c>
      <c r="M157" s="86" t="str">
        <f t="shared" si="2"/>
        <v>View on Google Map</v>
      </c>
    </row>
    <row r="158" spans="1:13" x14ac:dyDescent="0.2">
      <c r="A158" s="80">
        <v>439</v>
      </c>
      <c r="B158" s="80" t="s">
        <v>716</v>
      </c>
      <c r="C158" s="80" t="s">
        <v>446</v>
      </c>
      <c r="D158" s="80" t="s">
        <v>446</v>
      </c>
      <c r="E158" s="80" t="s">
        <v>446</v>
      </c>
      <c r="F158" s="80">
        <v>807</v>
      </c>
      <c r="G158" s="80" t="s">
        <v>457</v>
      </c>
      <c r="H158" s="80" t="s">
        <v>717</v>
      </c>
      <c r="I158" s="80" t="s">
        <v>446</v>
      </c>
      <c r="J158" s="80" t="s">
        <v>472</v>
      </c>
      <c r="K158" s="80" t="s">
        <v>446</v>
      </c>
      <c r="L158" s="80" t="s">
        <v>703</v>
      </c>
      <c r="M158" s="86" t="str">
        <f t="shared" si="2"/>
        <v>View on Google Map</v>
      </c>
    </row>
    <row r="159" spans="1:13" x14ac:dyDescent="0.2">
      <c r="A159" s="80">
        <v>440</v>
      </c>
      <c r="B159" s="80" t="s">
        <v>718</v>
      </c>
      <c r="C159" s="80" t="s">
        <v>446</v>
      </c>
      <c r="D159" s="80" t="s">
        <v>446</v>
      </c>
      <c r="E159" s="80" t="s">
        <v>446</v>
      </c>
      <c r="F159" s="80">
        <v>805</v>
      </c>
      <c r="G159" s="80" t="s">
        <v>457</v>
      </c>
      <c r="H159" s="80" t="s">
        <v>719</v>
      </c>
      <c r="I159" s="80" t="s">
        <v>446</v>
      </c>
      <c r="J159" s="80" t="s">
        <v>472</v>
      </c>
      <c r="K159" s="80" t="s">
        <v>446</v>
      </c>
      <c r="L159" s="80" t="s">
        <v>703</v>
      </c>
      <c r="M159" s="86" t="str">
        <f t="shared" si="2"/>
        <v>View on Google Map</v>
      </c>
    </row>
    <row r="160" spans="1:13" x14ac:dyDescent="0.2">
      <c r="A160" s="80">
        <v>441</v>
      </c>
      <c r="B160" s="80" t="s">
        <v>720</v>
      </c>
      <c r="C160" s="80" t="s">
        <v>446</v>
      </c>
      <c r="D160" s="80" t="s">
        <v>446</v>
      </c>
      <c r="E160" s="80" t="s">
        <v>446</v>
      </c>
      <c r="F160" s="80">
        <v>805</v>
      </c>
      <c r="G160" s="80" t="s">
        <v>457</v>
      </c>
      <c r="H160" s="80" t="s">
        <v>721</v>
      </c>
      <c r="I160" s="80" t="s">
        <v>446</v>
      </c>
      <c r="J160" s="80" t="s">
        <v>472</v>
      </c>
      <c r="K160" s="80" t="s">
        <v>446</v>
      </c>
      <c r="L160" s="80" t="s">
        <v>703</v>
      </c>
      <c r="M160" s="86" t="str">
        <f t="shared" si="2"/>
        <v>View on Google Map</v>
      </c>
    </row>
    <row r="161" spans="1:14" x14ac:dyDescent="0.2">
      <c r="A161" s="80">
        <v>442</v>
      </c>
      <c r="B161" s="80" t="s">
        <v>722</v>
      </c>
      <c r="C161" s="80" t="s">
        <v>446</v>
      </c>
      <c r="D161" s="80" t="s">
        <v>446</v>
      </c>
      <c r="E161" s="80" t="s">
        <v>446</v>
      </c>
      <c r="F161" s="80">
        <v>805</v>
      </c>
      <c r="G161" s="80" t="s">
        <v>457</v>
      </c>
      <c r="H161" s="80" t="s">
        <v>723</v>
      </c>
      <c r="I161" s="80" t="s">
        <v>446</v>
      </c>
      <c r="J161" s="80" t="s">
        <v>472</v>
      </c>
      <c r="K161" s="80" t="s">
        <v>446</v>
      </c>
      <c r="L161" s="80" t="s">
        <v>703</v>
      </c>
      <c r="M161" s="86" t="str">
        <f t="shared" si="2"/>
        <v>View on Google Map</v>
      </c>
    </row>
    <row r="162" spans="1:14" x14ac:dyDescent="0.2">
      <c r="A162" s="80">
        <v>443</v>
      </c>
      <c r="B162" s="80" t="s">
        <v>724</v>
      </c>
      <c r="C162" s="80" t="s">
        <v>446</v>
      </c>
      <c r="D162" s="80" t="s">
        <v>446</v>
      </c>
      <c r="E162" s="80" t="s">
        <v>446</v>
      </c>
      <c r="F162" s="80">
        <v>812</v>
      </c>
      <c r="G162" s="80" t="s">
        <v>457</v>
      </c>
      <c r="H162" s="80" t="s">
        <v>725</v>
      </c>
      <c r="I162" s="80" t="s">
        <v>446</v>
      </c>
      <c r="J162" s="80" t="s">
        <v>472</v>
      </c>
      <c r="K162" s="80" t="s">
        <v>446</v>
      </c>
      <c r="L162" s="80" t="s">
        <v>703</v>
      </c>
      <c r="M162" s="86" t="str">
        <f t="shared" si="2"/>
        <v>View on Google Map</v>
      </c>
    </row>
    <row r="163" spans="1:14" x14ac:dyDescent="0.2">
      <c r="A163" s="80">
        <v>28</v>
      </c>
      <c r="B163" s="80" t="s">
        <v>726</v>
      </c>
      <c r="C163" s="80" t="s">
        <v>446</v>
      </c>
      <c r="D163" s="80" t="s">
        <v>446</v>
      </c>
      <c r="E163" s="80" t="s">
        <v>446</v>
      </c>
      <c r="F163" s="80">
        <v>1189</v>
      </c>
      <c r="G163" s="80" t="s">
        <v>471</v>
      </c>
      <c r="H163" s="80" t="s">
        <v>727</v>
      </c>
      <c r="I163" s="80" t="s">
        <v>446</v>
      </c>
      <c r="J163" s="80" t="s">
        <v>472</v>
      </c>
      <c r="K163" s="80" t="s">
        <v>446</v>
      </c>
      <c r="L163" s="80" t="s">
        <v>446</v>
      </c>
      <c r="M163" s="86" t="str">
        <f t="shared" si="2"/>
        <v>View on Google Map</v>
      </c>
    </row>
    <row r="164" spans="1:14" x14ac:dyDescent="0.2">
      <c r="A164" s="80">
        <v>29</v>
      </c>
      <c r="B164" s="80" t="s">
        <v>728</v>
      </c>
      <c r="C164" s="80" t="s">
        <v>446</v>
      </c>
      <c r="D164" s="80" t="s">
        <v>446</v>
      </c>
      <c r="E164" s="80" t="s">
        <v>446</v>
      </c>
      <c r="F164" s="80">
        <v>1372</v>
      </c>
      <c r="G164" s="80" t="s">
        <v>471</v>
      </c>
      <c r="H164" s="80" t="s">
        <v>729</v>
      </c>
      <c r="I164" s="80" t="s">
        <v>446</v>
      </c>
      <c r="J164" s="80" t="s">
        <v>472</v>
      </c>
      <c r="K164" s="80" t="s">
        <v>446</v>
      </c>
      <c r="L164" s="80" t="s">
        <v>446</v>
      </c>
      <c r="M164" s="86" t="str">
        <f t="shared" si="2"/>
        <v>View on Google Map</v>
      </c>
    </row>
    <row r="165" spans="1:14" x14ac:dyDescent="0.2">
      <c r="A165" s="80">
        <v>30</v>
      </c>
      <c r="B165" s="80" t="s">
        <v>730</v>
      </c>
      <c r="C165" s="80" t="s">
        <v>446</v>
      </c>
      <c r="D165" s="80" t="s">
        <v>446</v>
      </c>
      <c r="E165" s="80" t="s">
        <v>446</v>
      </c>
      <c r="F165" s="80">
        <v>1463</v>
      </c>
      <c r="G165" s="80" t="s">
        <v>471</v>
      </c>
      <c r="H165" s="80" t="s">
        <v>731</v>
      </c>
      <c r="I165" s="80" t="s">
        <v>446</v>
      </c>
      <c r="J165" s="80" t="s">
        <v>472</v>
      </c>
      <c r="K165" s="80" t="s">
        <v>446</v>
      </c>
      <c r="L165" s="80" t="s">
        <v>446</v>
      </c>
      <c r="M165" s="86" t="str">
        <f t="shared" si="2"/>
        <v>View on Google Map</v>
      </c>
    </row>
    <row r="166" spans="1:14" x14ac:dyDescent="0.2">
      <c r="A166" s="80">
        <v>142</v>
      </c>
      <c r="B166" s="80" t="s">
        <v>732</v>
      </c>
      <c r="C166" s="80" t="s">
        <v>733</v>
      </c>
      <c r="D166" s="80">
        <v>68.53698</v>
      </c>
      <c r="E166" s="80">
        <v>-149.23740000000001</v>
      </c>
      <c r="F166" s="80">
        <v>883</v>
      </c>
      <c r="G166" s="80" t="s">
        <v>457</v>
      </c>
      <c r="H166" s="80" t="s">
        <v>734</v>
      </c>
      <c r="I166" s="80" t="s">
        <v>735</v>
      </c>
      <c r="J166" s="80" t="s">
        <v>472</v>
      </c>
      <c r="K166" s="80" t="s">
        <v>446</v>
      </c>
      <c r="L166" s="80" t="s">
        <v>473</v>
      </c>
      <c r="M166" s="86" t="str">
        <f t="shared" si="2"/>
        <v>View on Google Map</v>
      </c>
    </row>
    <row r="167" spans="1:14" x14ac:dyDescent="0.2">
      <c r="A167" s="80">
        <v>416</v>
      </c>
      <c r="B167" s="80" t="s">
        <v>736</v>
      </c>
      <c r="C167" s="80" t="s">
        <v>737</v>
      </c>
      <c r="D167" s="80">
        <v>68.496079978500006</v>
      </c>
      <c r="E167" s="80">
        <v>-149.60215567200001</v>
      </c>
      <c r="F167" s="80">
        <v>938</v>
      </c>
      <c r="G167" s="80" t="s">
        <v>457</v>
      </c>
      <c r="H167" s="80" t="s">
        <v>738</v>
      </c>
      <c r="I167" s="80" t="s">
        <v>446</v>
      </c>
      <c r="J167" s="80" t="s">
        <v>739</v>
      </c>
      <c r="K167" s="80" t="s">
        <v>446</v>
      </c>
      <c r="L167" s="80" t="s">
        <v>740</v>
      </c>
      <c r="M167" s="86" t="str">
        <f t="shared" si="2"/>
        <v>View on Google Map</v>
      </c>
      <c r="N167" s="80">
        <f>VALUE(MID(B167,5,3))</f>
        <v>100</v>
      </c>
    </row>
    <row r="168" spans="1:14" x14ac:dyDescent="0.2">
      <c r="A168" s="80">
        <v>417</v>
      </c>
      <c r="B168" s="80" t="s">
        <v>741</v>
      </c>
      <c r="C168" s="80" t="s">
        <v>742</v>
      </c>
      <c r="D168" s="80">
        <v>68.491641939700003</v>
      </c>
      <c r="E168" s="80">
        <v>-149.60743984699999</v>
      </c>
      <c r="F168" s="80">
        <v>937</v>
      </c>
      <c r="G168" s="80" t="s">
        <v>457</v>
      </c>
      <c r="H168" s="80" t="s">
        <v>743</v>
      </c>
      <c r="I168" s="80" t="s">
        <v>446</v>
      </c>
      <c r="J168" s="80" t="s">
        <v>739</v>
      </c>
      <c r="K168" s="80" t="s">
        <v>446</v>
      </c>
      <c r="L168" s="80" t="s">
        <v>740</v>
      </c>
      <c r="M168" s="86" t="str">
        <f t="shared" si="2"/>
        <v>View on Google Map</v>
      </c>
      <c r="N168" s="80">
        <f>VALUE(MID(B168,5,3))</f>
        <v>101</v>
      </c>
    </row>
    <row r="169" spans="1:14" x14ac:dyDescent="0.2">
      <c r="A169" s="80">
        <v>418</v>
      </c>
      <c r="B169" s="80" t="s">
        <v>744</v>
      </c>
      <c r="C169" s="80" t="s">
        <v>745</v>
      </c>
      <c r="D169" s="80">
        <v>68.485971524799993</v>
      </c>
      <c r="E169" s="80">
        <v>-149.611957343</v>
      </c>
      <c r="F169" s="80">
        <v>936</v>
      </c>
      <c r="G169" s="80" t="s">
        <v>457</v>
      </c>
      <c r="H169" s="80" t="s">
        <v>446</v>
      </c>
      <c r="I169" s="80" t="s">
        <v>446</v>
      </c>
      <c r="J169" s="80" t="s">
        <v>739</v>
      </c>
      <c r="K169" s="80" t="s">
        <v>446</v>
      </c>
      <c r="L169" s="80" t="s">
        <v>740</v>
      </c>
      <c r="M169" s="86" t="str">
        <f t="shared" si="2"/>
        <v>View on Google Map</v>
      </c>
      <c r="N169" s="80">
        <f>VALUE(MID(B169,5,3))</f>
        <v>102</v>
      </c>
    </row>
    <row r="170" spans="1:14" x14ac:dyDescent="0.2">
      <c r="A170" s="80">
        <v>419</v>
      </c>
      <c r="B170" s="80" t="s">
        <v>746</v>
      </c>
      <c r="C170" s="80" t="s">
        <v>747</v>
      </c>
      <c r="D170" s="80">
        <v>68.486418246300005</v>
      </c>
      <c r="E170" s="80">
        <v>-149.623539768</v>
      </c>
      <c r="F170" s="80">
        <v>934</v>
      </c>
      <c r="G170" s="80" t="s">
        <v>457</v>
      </c>
      <c r="H170" s="80" t="s">
        <v>748</v>
      </c>
      <c r="I170" s="80" t="s">
        <v>446</v>
      </c>
      <c r="J170" s="80" t="s">
        <v>739</v>
      </c>
      <c r="K170" s="80" t="s">
        <v>446</v>
      </c>
      <c r="L170" s="80" t="s">
        <v>740</v>
      </c>
      <c r="M170" s="86" t="str">
        <f t="shared" si="2"/>
        <v>View on Google Map</v>
      </c>
      <c r="N170" s="80">
        <f>VALUE(MID(B170,5,3))</f>
        <v>103</v>
      </c>
    </row>
    <row r="171" spans="1:14" x14ac:dyDescent="0.2">
      <c r="A171" s="80">
        <v>420</v>
      </c>
      <c r="B171" s="80" t="s">
        <v>749</v>
      </c>
      <c r="C171" s="80" t="s">
        <v>750</v>
      </c>
      <c r="D171" s="80">
        <v>68.480358182399996</v>
      </c>
      <c r="E171" s="80">
        <v>-149.621808276</v>
      </c>
      <c r="F171" s="80" t="s">
        <v>446</v>
      </c>
      <c r="G171" s="80" t="s">
        <v>457</v>
      </c>
      <c r="H171" s="80" t="s">
        <v>749</v>
      </c>
      <c r="I171" s="80" t="s">
        <v>446</v>
      </c>
      <c r="J171" s="80" t="s">
        <v>739</v>
      </c>
      <c r="K171" s="80" t="s">
        <v>446</v>
      </c>
      <c r="L171" s="80" t="s">
        <v>740</v>
      </c>
      <c r="M171" s="86" t="str">
        <f t="shared" si="2"/>
        <v>View on Google Map</v>
      </c>
      <c r="N171" s="80">
        <f t="shared" ref="N171:N198" si="3">VALUE(MID(H171,5,3))</f>
        <v>104</v>
      </c>
    </row>
    <row r="172" spans="1:14" x14ac:dyDescent="0.2">
      <c r="A172" s="80">
        <v>421</v>
      </c>
      <c r="B172" s="80" t="s">
        <v>751</v>
      </c>
      <c r="C172" s="80" t="s">
        <v>752</v>
      </c>
      <c r="D172" s="80">
        <v>68.487163894299997</v>
      </c>
      <c r="E172" s="80">
        <v>-149.57470926400001</v>
      </c>
      <c r="F172" s="80" t="s">
        <v>446</v>
      </c>
      <c r="G172" s="80" t="s">
        <v>457</v>
      </c>
      <c r="H172" s="80" t="s">
        <v>751</v>
      </c>
      <c r="I172" s="80" t="s">
        <v>446</v>
      </c>
      <c r="J172" s="80" t="s">
        <v>739</v>
      </c>
      <c r="K172" s="80" t="s">
        <v>446</v>
      </c>
      <c r="L172" s="80" t="s">
        <v>740</v>
      </c>
      <c r="M172" s="86" t="str">
        <f t="shared" si="2"/>
        <v>View on Google Map</v>
      </c>
      <c r="N172" s="80">
        <f t="shared" si="3"/>
        <v>105</v>
      </c>
    </row>
    <row r="173" spans="1:14" x14ac:dyDescent="0.2">
      <c r="A173" s="80">
        <v>422</v>
      </c>
      <c r="B173" s="80" t="s">
        <v>753</v>
      </c>
      <c r="C173" s="80" t="s">
        <v>754</v>
      </c>
      <c r="D173" s="80">
        <v>68.482007853900001</v>
      </c>
      <c r="E173" s="80">
        <v>-149.57357543099999</v>
      </c>
      <c r="F173" s="80" t="s">
        <v>446</v>
      </c>
      <c r="G173" s="80" t="s">
        <v>457</v>
      </c>
      <c r="H173" s="80" t="s">
        <v>753</v>
      </c>
      <c r="I173" s="80" t="s">
        <v>446</v>
      </c>
      <c r="J173" s="80" t="s">
        <v>739</v>
      </c>
      <c r="K173" s="80" t="s">
        <v>446</v>
      </c>
      <c r="L173" s="80" t="s">
        <v>740</v>
      </c>
      <c r="M173" s="86" t="str">
        <f t="shared" si="2"/>
        <v>View on Google Map</v>
      </c>
      <c r="N173" s="80">
        <f t="shared" si="3"/>
        <v>106</v>
      </c>
    </row>
    <row r="174" spans="1:14" x14ac:dyDescent="0.2">
      <c r="A174" s="80">
        <v>423</v>
      </c>
      <c r="B174" s="80" t="s">
        <v>755</v>
      </c>
      <c r="C174" s="80" t="s">
        <v>756</v>
      </c>
      <c r="D174" s="80">
        <v>68.480117783099999</v>
      </c>
      <c r="E174" s="80">
        <v>-149.553733964</v>
      </c>
      <c r="F174" s="80" t="s">
        <v>446</v>
      </c>
      <c r="G174" s="80" t="s">
        <v>457</v>
      </c>
      <c r="H174" s="80" t="s">
        <v>755</v>
      </c>
      <c r="I174" s="80" t="s">
        <v>446</v>
      </c>
      <c r="J174" s="80" t="s">
        <v>739</v>
      </c>
      <c r="K174" s="80" t="s">
        <v>446</v>
      </c>
      <c r="L174" s="80" t="s">
        <v>740</v>
      </c>
      <c r="M174" s="86" t="str">
        <f t="shared" si="2"/>
        <v>View on Google Map</v>
      </c>
      <c r="N174" s="80">
        <f t="shared" si="3"/>
        <v>107</v>
      </c>
    </row>
    <row r="175" spans="1:14" x14ac:dyDescent="0.2">
      <c r="A175" s="80">
        <v>424</v>
      </c>
      <c r="B175" s="80" t="s">
        <v>757</v>
      </c>
      <c r="C175" s="80" t="s">
        <v>758</v>
      </c>
      <c r="D175" s="80">
        <v>68.553470657600002</v>
      </c>
      <c r="E175" s="80">
        <v>-149.16702515599999</v>
      </c>
      <c r="F175" s="80" t="s">
        <v>446</v>
      </c>
      <c r="G175" s="80" t="s">
        <v>457</v>
      </c>
      <c r="H175" s="80" t="s">
        <v>757</v>
      </c>
      <c r="I175" s="80" t="s">
        <v>446</v>
      </c>
      <c r="J175" s="80" t="s">
        <v>739</v>
      </c>
      <c r="K175" s="80" t="s">
        <v>446</v>
      </c>
      <c r="L175" s="80" t="s">
        <v>740</v>
      </c>
      <c r="M175" s="86" t="str">
        <f t="shared" si="2"/>
        <v>View on Google Map</v>
      </c>
      <c r="N175" s="80">
        <f t="shared" si="3"/>
        <v>108</v>
      </c>
    </row>
    <row r="176" spans="1:14" x14ac:dyDescent="0.2">
      <c r="A176" s="80">
        <v>425</v>
      </c>
      <c r="B176" s="80" t="s">
        <v>759</v>
      </c>
      <c r="C176" s="80" t="s">
        <v>760</v>
      </c>
      <c r="D176" s="80">
        <v>68.557082457700005</v>
      </c>
      <c r="E176" s="80">
        <v>-149.154445686</v>
      </c>
      <c r="F176" s="80" t="s">
        <v>446</v>
      </c>
      <c r="G176" s="80" t="s">
        <v>457</v>
      </c>
      <c r="H176" s="80" t="s">
        <v>759</v>
      </c>
      <c r="I176" s="80" t="s">
        <v>446</v>
      </c>
      <c r="J176" s="80" t="s">
        <v>739</v>
      </c>
      <c r="K176" s="80" t="s">
        <v>446</v>
      </c>
      <c r="L176" s="80" t="s">
        <v>740</v>
      </c>
      <c r="M176" s="86" t="str">
        <f t="shared" si="2"/>
        <v>View on Google Map</v>
      </c>
      <c r="N176" s="80">
        <f t="shared" si="3"/>
        <v>109</v>
      </c>
    </row>
    <row r="177" spans="1:14" x14ac:dyDescent="0.2">
      <c r="A177" s="80">
        <v>426</v>
      </c>
      <c r="B177" s="80" t="s">
        <v>761</v>
      </c>
      <c r="C177" s="80" t="s">
        <v>762</v>
      </c>
      <c r="D177" s="80">
        <v>68.732874005799999</v>
      </c>
      <c r="E177" s="80">
        <v>-149.401461627</v>
      </c>
      <c r="F177" s="80" t="s">
        <v>446</v>
      </c>
      <c r="G177" s="80" t="s">
        <v>457</v>
      </c>
      <c r="H177" s="80" t="s">
        <v>761</v>
      </c>
      <c r="I177" s="80" t="s">
        <v>446</v>
      </c>
      <c r="J177" s="80" t="s">
        <v>739</v>
      </c>
      <c r="K177" s="80" t="s">
        <v>446</v>
      </c>
      <c r="L177" s="80" t="s">
        <v>740</v>
      </c>
      <c r="M177" s="86" t="str">
        <f t="shared" si="2"/>
        <v>View on Google Map</v>
      </c>
      <c r="N177" s="80">
        <f t="shared" si="3"/>
        <v>110</v>
      </c>
    </row>
    <row r="178" spans="1:14" x14ac:dyDescent="0.2">
      <c r="A178" s="80">
        <v>427</v>
      </c>
      <c r="B178" s="80" t="s">
        <v>763</v>
      </c>
      <c r="C178" s="80" t="s">
        <v>764</v>
      </c>
      <c r="D178" s="80">
        <v>68.728437910899999</v>
      </c>
      <c r="E178" s="80">
        <v>-149.39298449200001</v>
      </c>
      <c r="F178" s="80" t="s">
        <v>446</v>
      </c>
      <c r="G178" s="80" t="s">
        <v>457</v>
      </c>
      <c r="H178" s="80" t="s">
        <v>763</v>
      </c>
      <c r="I178" s="80" t="s">
        <v>446</v>
      </c>
      <c r="J178" s="80" t="s">
        <v>739</v>
      </c>
      <c r="K178" s="80" t="s">
        <v>446</v>
      </c>
      <c r="L178" s="80" t="s">
        <v>740</v>
      </c>
      <c r="M178" s="86" t="str">
        <f t="shared" si="2"/>
        <v>View on Google Map</v>
      </c>
      <c r="N178" s="80">
        <f t="shared" si="3"/>
        <v>111</v>
      </c>
    </row>
    <row r="179" spans="1:14" x14ac:dyDescent="0.2">
      <c r="A179" s="80">
        <v>428</v>
      </c>
      <c r="B179" s="80" t="s">
        <v>765</v>
      </c>
      <c r="C179" s="80" t="s">
        <v>766</v>
      </c>
      <c r="D179" s="80">
        <v>68.671908805499996</v>
      </c>
      <c r="E179" s="80">
        <v>-149.24817348299999</v>
      </c>
      <c r="F179" s="80" t="s">
        <v>446</v>
      </c>
      <c r="G179" s="80" t="s">
        <v>457</v>
      </c>
      <c r="H179" s="80" t="s">
        <v>765</v>
      </c>
      <c r="I179" s="80" t="s">
        <v>446</v>
      </c>
      <c r="J179" s="80" t="s">
        <v>739</v>
      </c>
      <c r="K179" s="80" t="s">
        <v>446</v>
      </c>
      <c r="L179" s="80" t="s">
        <v>740</v>
      </c>
      <c r="M179" s="86" t="str">
        <f t="shared" si="2"/>
        <v>View on Google Map</v>
      </c>
      <c r="N179" s="80">
        <f t="shared" si="3"/>
        <v>112</v>
      </c>
    </row>
    <row r="180" spans="1:14" x14ac:dyDescent="0.2">
      <c r="A180" s="80">
        <v>429</v>
      </c>
      <c r="B180" s="80" t="s">
        <v>767</v>
      </c>
      <c r="C180" s="80" t="s">
        <v>768</v>
      </c>
      <c r="D180" s="80">
        <v>68.679427639400004</v>
      </c>
      <c r="E180" s="80">
        <v>-149.23947084900001</v>
      </c>
      <c r="F180" s="80" t="s">
        <v>446</v>
      </c>
      <c r="G180" s="80" t="s">
        <v>457</v>
      </c>
      <c r="H180" s="80" t="s">
        <v>767</v>
      </c>
      <c r="I180" s="80" t="s">
        <v>446</v>
      </c>
      <c r="J180" s="80" t="s">
        <v>739</v>
      </c>
      <c r="K180" s="80" t="s">
        <v>446</v>
      </c>
      <c r="L180" s="80" t="s">
        <v>740</v>
      </c>
      <c r="M180" s="86" t="str">
        <f t="shared" si="2"/>
        <v>View on Google Map</v>
      </c>
      <c r="N180" s="80">
        <f t="shared" si="3"/>
        <v>113</v>
      </c>
    </row>
    <row r="181" spans="1:14" x14ac:dyDescent="0.2">
      <c r="A181" s="80">
        <v>430</v>
      </c>
      <c r="B181" s="80" t="s">
        <v>769</v>
      </c>
      <c r="C181" s="80" t="s">
        <v>770</v>
      </c>
      <c r="D181" s="80">
        <v>68.679424428600001</v>
      </c>
      <c r="E181" s="80">
        <v>-149.22969695099999</v>
      </c>
      <c r="F181" s="80" t="s">
        <v>446</v>
      </c>
      <c r="G181" s="80" t="s">
        <v>457</v>
      </c>
      <c r="H181" s="80" t="s">
        <v>769</v>
      </c>
      <c r="I181" s="80" t="s">
        <v>446</v>
      </c>
      <c r="J181" s="80" t="s">
        <v>739</v>
      </c>
      <c r="K181" s="80" t="s">
        <v>446</v>
      </c>
      <c r="L181" s="80" t="s">
        <v>740</v>
      </c>
      <c r="M181" s="86" t="str">
        <f t="shared" si="2"/>
        <v>View on Google Map</v>
      </c>
      <c r="N181" s="80">
        <f t="shared" si="3"/>
        <v>114</v>
      </c>
    </row>
    <row r="182" spans="1:14" x14ac:dyDescent="0.2">
      <c r="A182" s="80">
        <v>398</v>
      </c>
      <c r="B182" s="80" t="s">
        <v>771</v>
      </c>
      <c r="C182" s="80" t="s">
        <v>772</v>
      </c>
      <c r="D182" s="80">
        <v>68.569791782099998</v>
      </c>
      <c r="E182" s="80">
        <v>-149.43938491</v>
      </c>
      <c r="F182" s="80" t="s">
        <v>446</v>
      </c>
      <c r="G182" s="80" t="s">
        <v>457</v>
      </c>
      <c r="H182" s="80" t="s">
        <v>771</v>
      </c>
      <c r="I182" s="80" t="s">
        <v>446</v>
      </c>
      <c r="J182" s="80" t="s">
        <v>739</v>
      </c>
      <c r="K182" s="80" t="s">
        <v>446</v>
      </c>
      <c r="L182" s="80" t="s">
        <v>740</v>
      </c>
      <c r="M182" s="86" t="str">
        <f t="shared" si="2"/>
        <v>View on Google Map</v>
      </c>
      <c r="N182" s="80">
        <f t="shared" si="3"/>
        <v>82</v>
      </c>
    </row>
    <row r="183" spans="1:14" x14ac:dyDescent="0.2">
      <c r="A183" s="80">
        <v>389</v>
      </c>
      <c r="B183" s="80" t="s">
        <v>773</v>
      </c>
      <c r="C183" s="80" t="s">
        <v>774</v>
      </c>
      <c r="D183" s="80">
        <v>68.568883214500005</v>
      </c>
      <c r="E183" s="80">
        <v>-149.432996798</v>
      </c>
      <c r="F183" s="80" t="s">
        <v>446</v>
      </c>
      <c r="G183" s="80" t="s">
        <v>457</v>
      </c>
      <c r="H183" s="80" t="s">
        <v>773</v>
      </c>
      <c r="I183" s="80" t="s">
        <v>446</v>
      </c>
      <c r="J183" s="80" t="s">
        <v>739</v>
      </c>
      <c r="K183" s="80" t="s">
        <v>446</v>
      </c>
      <c r="L183" s="80" t="s">
        <v>740</v>
      </c>
      <c r="M183" s="86" t="str">
        <f t="shared" si="2"/>
        <v>View on Google Map</v>
      </c>
      <c r="N183" s="80">
        <f t="shared" si="3"/>
        <v>83</v>
      </c>
    </row>
    <row r="184" spans="1:14" x14ac:dyDescent="0.2">
      <c r="A184" s="80">
        <v>390</v>
      </c>
      <c r="B184" s="80" t="s">
        <v>775</v>
      </c>
      <c r="C184" s="80" t="s">
        <v>776</v>
      </c>
      <c r="D184" s="80">
        <v>68.571446755099998</v>
      </c>
      <c r="E184" s="80">
        <v>-149.43614776499999</v>
      </c>
      <c r="F184" s="80" t="s">
        <v>446</v>
      </c>
      <c r="G184" s="80" t="s">
        <v>457</v>
      </c>
      <c r="H184" s="80" t="s">
        <v>775</v>
      </c>
      <c r="I184" s="80" t="s">
        <v>446</v>
      </c>
      <c r="J184" s="80" t="s">
        <v>739</v>
      </c>
      <c r="K184" s="80" t="s">
        <v>446</v>
      </c>
      <c r="L184" s="80" t="s">
        <v>740</v>
      </c>
      <c r="M184" s="86" t="str">
        <f t="shared" si="2"/>
        <v>View on Google Map</v>
      </c>
      <c r="N184" s="80">
        <f t="shared" si="3"/>
        <v>84</v>
      </c>
    </row>
    <row r="185" spans="1:14" x14ac:dyDescent="0.2">
      <c r="A185" s="80">
        <v>391</v>
      </c>
      <c r="B185" s="80" t="s">
        <v>777</v>
      </c>
      <c r="C185" s="80" t="s">
        <v>778</v>
      </c>
      <c r="D185" s="80">
        <v>68.600419015400007</v>
      </c>
      <c r="E185" s="80">
        <v>-149.438677388</v>
      </c>
      <c r="F185" s="80" t="s">
        <v>446</v>
      </c>
      <c r="G185" s="80" t="s">
        <v>457</v>
      </c>
      <c r="H185" s="80" t="s">
        <v>777</v>
      </c>
      <c r="I185" s="80" t="s">
        <v>446</v>
      </c>
      <c r="J185" s="80" t="s">
        <v>739</v>
      </c>
      <c r="K185" s="80" t="s">
        <v>446</v>
      </c>
      <c r="L185" s="80" t="s">
        <v>740</v>
      </c>
      <c r="M185" s="86" t="str">
        <f t="shared" si="2"/>
        <v>View on Google Map</v>
      </c>
      <c r="N185" s="80">
        <f t="shared" si="3"/>
        <v>85</v>
      </c>
    </row>
    <row r="186" spans="1:14" x14ac:dyDescent="0.2">
      <c r="A186" s="80">
        <v>392</v>
      </c>
      <c r="B186" s="80" t="s">
        <v>779</v>
      </c>
      <c r="C186" s="80" t="s">
        <v>780</v>
      </c>
      <c r="D186" s="80">
        <v>68.632424610200005</v>
      </c>
      <c r="E186" s="80">
        <v>-149.41874062799999</v>
      </c>
      <c r="F186" s="80" t="s">
        <v>446</v>
      </c>
      <c r="G186" s="80" t="s">
        <v>457</v>
      </c>
      <c r="H186" s="80" t="s">
        <v>779</v>
      </c>
      <c r="I186" s="80" t="s">
        <v>446</v>
      </c>
      <c r="J186" s="80" t="s">
        <v>739</v>
      </c>
      <c r="K186" s="80" t="s">
        <v>446</v>
      </c>
      <c r="L186" s="80" t="s">
        <v>740</v>
      </c>
      <c r="M186" s="86" t="str">
        <f t="shared" si="2"/>
        <v>View on Google Map</v>
      </c>
      <c r="N186" s="80">
        <f t="shared" si="3"/>
        <v>86</v>
      </c>
    </row>
    <row r="187" spans="1:14" x14ac:dyDescent="0.2">
      <c r="A187" s="80">
        <v>393</v>
      </c>
      <c r="B187" s="80" t="s">
        <v>781</v>
      </c>
      <c r="C187" s="80" t="s">
        <v>782</v>
      </c>
      <c r="D187" s="80">
        <v>68.505704965899994</v>
      </c>
      <c r="E187" s="80">
        <v>-149.516276081</v>
      </c>
      <c r="F187" s="80" t="s">
        <v>446</v>
      </c>
      <c r="G187" s="80" t="s">
        <v>457</v>
      </c>
      <c r="H187" s="80" t="s">
        <v>781</v>
      </c>
      <c r="I187" s="80" t="s">
        <v>446</v>
      </c>
      <c r="J187" s="80" t="s">
        <v>739</v>
      </c>
      <c r="K187" s="80" t="s">
        <v>446</v>
      </c>
      <c r="L187" s="80" t="s">
        <v>740</v>
      </c>
      <c r="M187" s="86" t="str">
        <f t="shared" si="2"/>
        <v>View on Google Map</v>
      </c>
      <c r="N187" s="80">
        <f t="shared" si="3"/>
        <v>87</v>
      </c>
    </row>
    <row r="188" spans="1:14" x14ac:dyDescent="0.2">
      <c r="A188" s="80">
        <v>394</v>
      </c>
      <c r="B188" s="80" t="s">
        <v>783</v>
      </c>
      <c r="C188" s="80" t="s">
        <v>784</v>
      </c>
      <c r="D188" s="80">
        <v>68.509234808599999</v>
      </c>
      <c r="E188" s="80">
        <v>-149.58917678500001</v>
      </c>
      <c r="F188" s="80" t="s">
        <v>446</v>
      </c>
      <c r="G188" s="80" t="s">
        <v>457</v>
      </c>
      <c r="H188" s="80" t="s">
        <v>783</v>
      </c>
      <c r="I188" s="80" t="s">
        <v>446</v>
      </c>
      <c r="J188" s="80" t="s">
        <v>739</v>
      </c>
      <c r="K188" s="80" t="s">
        <v>446</v>
      </c>
      <c r="L188" s="80" t="s">
        <v>740</v>
      </c>
      <c r="M188" s="86" t="str">
        <f t="shared" si="2"/>
        <v>View on Google Map</v>
      </c>
      <c r="N188" s="80">
        <f t="shared" si="3"/>
        <v>88</v>
      </c>
    </row>
    <row r="189" spans="1:14" x14ac:dyDescent="0.2">
      <c r="A189" s="80">
        <v>395</v>
      </c>
      <c r="B189" s="80" t="s">
        <v>785</v>
      </c>
      <c r="C189" s="80" t="s">
        <v>786</v>
      </c>
      <c r="D189" s="80">
        <v>68.525650531300002</v>
      </c>
      <c r="E189" s="80">
        <v>-149.54161982299999</v>
      </c>
      <c r="F189" s="80" t="s">
        <v>446</v>
      </c>
      <c r="G189" s="80" t="s">
        <v>457</v>
      </c>
      <c r="H189" s="80" t="s">
        <v>785</v>
      </c>
      <c r="I189" s="80" t="s">
        <v>446</v>
      </c>
      <c r="J189" s="80" t="s">
        <v>739</v>
      </c>
      <c r="K189" s="80" t="s">
        <v>446</v>
      </c>
      <c r="L189" s="80" t="s">
        <v>740</v>
      </c>
      <c r="M189" s="86" t="str">
        <f t="shared" si="2"/>
        <v>View on Google Map</v>
      </c>
      <c r="N189" s="80">
        <f t="shared" si="3"/>
        <v>89</v>
      </c>
    </row>
    <row r="190" spans="1:14" x14ac:dyDescent="0.2">
      <c r="A190" s="80">
        <v>396</v>
      </c>
      <c r="B190" s="80" t="s">
        <v>787</v>
      </c>
      <c r="C190" s="80" t="s">
        <v>788</v>
      </c>
      <c r="D190" s="80">
        <v>68.531020060399996</v>
      </c>
      <c r="E190" s="80">
        <v>-149.54062336999999</v>
      </c>
      <c r="F190" s="80" t="s">
        <v>446</v>
      </c>
      <c r="G190" s="80" t="s">
        <v>457</v>
      </c>
      <c r="H190" s="80" t="s">
        <v>787</v>
      </c>
      <c r="I190" s="80" t="s">
        <v>446</v>
      </c>
      <c r="J190" s="80" t="s">
        <v>739</v>
      </c>
      <c r="K190" s="80" t="s">
        <v>446</v>
      </c>
      <c r="L190" s="80" t="s">
        <v>740</v>
      </c>
      <c r="M190" s="86" t="str">
        <f t="shared" si="2"/>
        <v>View on Google Map</v>
      </c>
      <c r="N190" s="80">
        <f t="shared" si="3"/>
        <v>90</v>
      </c>
    </row>
    <row r="191" spans="1:14" x14ac:dyDescent="0.2">
      <c r="A191" s="80">
        <v>397</v>
      </c>
      <c r="B191" s="80" t="s">
        <v>789</v>
      </c>
      <c r="C191" s="80" t="s">
        <v>790</v>
      </c>
      <c r="D191" s="80">
        <v>68.623892844400004</v>
      </c>
      <c r="E191" s="80">
        <v>-149.46955988600001</v>
      </c>
      <c r="F191" s="80" t="s">
        <v>446</v>
      </c>
      <c r="G191" s="80" t="s">
        <v>457</v>
      </c>
      <c r="H191" s="80" t="s">
        <v>789</v>
      </c>
      <c r="I191" s="80" t="s">
        <v>446</v>
      </c>
      <c r="J191" s="80" t="s">
        <v>739</v>
      </c>
      <c r="K191" s="80" t="s">
        <v>446</v>
      </c>
      <c r="L191" s="80" t="s">
        <v>740</v>
      </c>
      <c r="M191" s="86" t="str">
        <f t="shared" si="2"/>
        <v>View on Google Map</v>
      </c>
      <c r="N191" s="80">
        <f t="shared" si="3"/>
        <v>91</v>
      </c>
    </row>
    <row r="192" spans="1:14" x14ac:dyDescent="0.2">
      <c r="A192" s="80">
        <v>408</v>
      </c>
      <c r="B192" s="80" t="s">
        <v>791</v>
      </c>
      <c r="C192" s="80" t="s">
        <v>792</v>
      </c>
      <c r="D192" s="80">
        <v>68.606945965400001</v>
      </c>
      <c r="E192" s="80">
        <v>-149.195806014</v>
      </c>
      <c r="F192" s="80" t="s">
        <v>446</v>
      </c>
      <c r="G192" s="80" t="s">
        <v>457</v>
      </c>
      <c r="H192" s="80" t="s">
        <v>791</v>
      </c>
      <c r="I192" s="80" t="s">
        <v>446</v>
      </c>
      <c r="J192" s="80" t="s">
        <v>739</v>
      </c>
      <c r="K192" s="80" t="s">
        <v>446</v>
      </c>
      <c r="L192" s="80" t="s">
        <v>740</v>
      </c>
      <c r="M192" s="86" t="str">
        <f t="shared" si="2"/>
        <v>View on Google Map</v>
      </c>
      <c r="N192" s="80">
        <f t="shared" si="3"/>
        <v>92</v>
      </c>
    </row>
    <row r="193" spans="1:14" x14ac:dyDescent="0.2">
      <c r="A193" s="80">
        <v>409</v>
      </c>
      <c r="B193" s="80" t="s">
        <v>793</v>
      </c>
      <c r="C193" s="80" t="s">
        <v>794</v>
      </c>
      <c r="D193" s="80">
        <v>68.613688053999994</v>
      </c>
      <c r="E193" s="80">
        <v>-149.20287565500001</v>
      </c>
      <c r="F193" s="80" t="s">
        <v>446</v>
      </c>
      <c r="G193" s="80" t="s">
        <v>457</v>
      </c>
      <c r="H193" s="80" t="s">
        <v>793</v>
      </c>
      <c r="I193" s="80" t="s">
        <v>446</v>
      </c>
      <c r="J193" s="80" t="s">
        <v>739</v>
      </c>
      <c r="K193" s="80" t="s">
        <v>446</v>
      </c>
      <c r="L193" s="80" t="s">
        <v>740</v>
      </c>
      <c r="M193" s="86" t="str">
        <f t="shared" si="2"/>
        <v>View on Google Map</v>
      </c>
      <c r="N193" s="80">
        <f t="shared" si="3"/>
        <v>93</v>
      </c>
    </row>
    <row r="194" spans="1:14" x14ac:dyDescent="0.2">
      <c r="A194" s="80">
        <v>410</v>
      </c>
      <c r="B194" s="80" t="s">
        <v>795</v>
      </c>
      <c r="C194" s="80" t="s">
        <v>796</v>
      </c>
      <c r="D194" s="80">
        <v>68.617322837200007</v>
      </c>
      <c r="E194" s="80">
        <v>-149.21640989900001</v>
      </c>
      <c r="F194" s="80" t="s">
        <v>446</v>
      </c>
      <c r="G194" s="80" t="s">
        <v>457</v>
      </c>
      <c r="H194" s="80" t="s">
        <v>795</v>
      </c>
      <c r="I194" s="80" t="s">
        <v>446</v>
      </c>
      <c r="J194" s="80" t="s">
        <v>739</v>
      </c>
      <c r="K194" s="80" t="s">
        <v>446</v>
      </c>
      <c r="L194" s="80" t="s">
        <v>740</v>
      </c>
      <c r="M194" s="86" t="str">
        <f t="shared" si="2"/>
        <v>View on Google Map</v>
      </c>
      <c r="N194" s="80">
        <f t="shared" si="3"/>
        <v>94</v>
      </c>
    </row>
    <row r="195" spans="1:14" x14ac:dyDescent="0.2">
      <c r="A195" s="80">
        <v>411</v>
      </c>
      <c r="B195" s="80" t="s">
        <v>797</v>
      </c>
      <c r="C195" s="80" t="s">
        <v>798</v>
      </c>
      <c r="D195" s="80">
        <v>68.613551663999999</v>
      </c>
      <c r="E195" s="80">
        <v>-149.21844056</v>
      </c>
      <c r="F195" s="80" t="s">
        <v>446</v>
      </c>
      <c r="G195" s="80" t="s">
        <v>457</v>
      </c>
      <c r="H195" s="80" t="s">
        <v>797</v>
      </c>
      <c r="I195" s="80" t="s">
        <v>446</v>
      </c>
      <c r="J195" s="80" t="s">
        <v>739</v>
      </c>
      <c r="K195" s="80" t="s">
        <v>446</v>
      </c>
      <c r="L195" s="80" t="s">
        <v>740</v>
      </c>
      <c r="M195" s="86" t="str">
        <f t="shared" ref="M195:M258" si="4">HYPERLINK("http://maps.google.com/maps?q="&amp;D195&amp;","&amp;E195,"View on Google Map")</f>
        <v>View on Google Map</v>
      </c>
      <c r="N195" s="80">
        <f t="shared" si="3"/>
        <v>95</v>
      </c>
    </row>
    <row r="196" spans="1:14" x14ac:dyDescent="0.2">
      <c r="A196" s="80">
        <v>412</v>
      </c>
      <c r="B196" s="80" t="s">
        <v>799</v>
      </c>
      <c r="C196" s="80" t="s">
        <v>800</v>
      </c>
      <c r="D196" s="80">
        <v>68.609572079800003</v>
      </c>
      <c r="E196" s="80">
        <v>-149.20865205600001</v>
      </c>
      <c r="F196" s="80" t="s">
        <v>446</v>
      </c>
      <c r="G196" s="80" t="s">
        <v>457</v>
      </c>
      <c r="H196" s="80" t="s">
        <v>799</v>
      </c>
      <c r="I196" s="80" t="s">
        <v>446</v>
      </c>
      <c r="J196" s="80" t="s">
        <v>739</v>
      </c>
      <c r="K196" s="80" t="s">
        <v>446</v>
      </c>
      <c r="L196" s="80" t="s">
        <v>740</v>
      </c>
      <c r="M196" s="86" t="str">
        <f t="shared" si="4"/>
        <v>View on Google Map</v>
      </c>
      <c r="N196" s="80">
        <f t="shared" si="3"/>
        <v>96</v>
      </c>
    </row>
    <row r="197" spans="1:14" x14ac:dyDescent="0.2">
      <c r="A197" s="80">
        <v>413</v>
      </c>
      <c r="B197" s="80" t="s">
        <v>801</v>
      </c>
      <c r="C197" s="80" t="s">
        <v>802</v>
      </c>
      <c r="D197" s="80">
        <v>68.607097540200002</v>
      </c>
      <c r="E197" s="80">
        <v>-149.21482030499999</v>
      </c>
      <c r="F197" s="80" t="s">
        <v>446</v>
      </c>
      <c r="G197" s="80" t="s">
        <v>457</v>
      </c>
      <c r="H197" s="80" t="s">
        <v>801</v>
      </c>
      <c r="I197" s="80" t="s">
        <v>446</v>
      </c>
      <c r="J197" s="80" t="s">
        <v>739</v>
      </c>
      <c r="K197" s="80" t="s">
        <v>446</v>
      </c>
      <c r="L197" s="80" t="s">
        <v>740</v>
      </c>
      <c r="M197" s="86" t="str">
        <f t="shared" si="4"/>
        <v>View on Google Map</v>
      </c>
      <c r="N197" s="80">
        <f t="shared" si="3"/>
        <v>97</v>
      </c>
    </row>
    <row r="198" spans="1:14" x14ac:dyDescent="0.2">
      <c r="A198" s="80">
        <v>414</v>
      </c>
      <c r="B198" s="80" t="s">
        <v>803</v>
      </c>
      <c r="C198" s="80" t="s">
        <v>804</v>
      </c>
      <c r="D198" s="80">
        <v>68.605198711400007</v>
      </c>
      <c r="E198" s="80">
        <v>-149.27215046800001</v>
      </c>
      <c r="F198" s="80" t="s">
        <v>446</v>
      </c>
      <c r="G198" s="80" t="s">
        <v>457</v>
      </c>
      <c r="H198" s="80" t="s">
        <v>803</v>
      </c>
      <c r="I198" s="80" t="s">
        <v>446</v>
      </c>
      <c r="J198" s="80" t="s">
        <v>739</v>
      </c>
      <c r="K198" s="80" t="s">
        <v>446</v>
      </c>
      <c r="L198" s="80" t="s">
        <v>740</v>
      </c>
      <c r="M198" s="86" t="str">
        <f t="shared" si="4"/>
        <v>View on Google Map</v>
      </c>
      <c r="N198" s="80">
        <f t="shared" si="3"/>
        <v>98</v>
      </c>
    </row>
    <row r="199" spans="1:14" x14ac:dyDescent="0.2">
      <c r="A199" s="80">
        <v>415</v>
      </c>
      <c r="B199" s="80" t="s">
        <v>805</v>
      </c>
      <c r="C199" s="80" t="s">
        <v>806</v>
      </c>
      <c r="D199" s="80">
        <v>68.498375922400001</v>
      </c>
      <c r="E199" s="80">
        <v>-149.59842284699999</v>
      </c>
      <c r="F199" s="80">
        <v>947</v>
      </c>
      <c r="G199" s="80" t="s">
        <v>457</v>
      </c>
      <c r="H199" s="80" t="s">
        <v>807</v>
      </c>
      <c r="I199" s="80" t="s">
        <v>446</v>
      </c>
      <c r="J199" s="80" t="s">
        <v>739</v>
      </c>
      <c r="K199" s="80" t="s">
        <v>446</v>
      </c>
      <c r="L199" s="80" t="s">
        <v>740</v>
      </c>
      <c r="M199" s="86" t="str">
        <f t="shared" si="4"/>
        <v>View on Google Map</v>
      </c>
      <c r="N199" s="80">
        <f>VALUE(MID(B199,5,3))</f>
        <v>99</v>
      </c>
    </row>
    <row r="200" spans="1:14" x14ac:dyDescent="0.2">
      <c r="A200" s="80">
        <v>402</v>
      </c>
      <c r="B200" s="80" t="s">
        <v>808</v>
      </c>
      <c r="C200" s="80" t="s">
        <v>446</v>
      </c>
      <c r="D200" s="80" t="s">
        <v>446</v>
      </c>
      <c r="E200" s="80" t="s">
        <v>446</v>
      </c>
      <c r="F200" s="80" t="s">
        <v>446</v>
      </c>
      <c r="G200" s="80" t="s">
        <v>457</v>
      </c>
      <c r="H200" s="80" t="s">
        <v>446</v>
      </c>
      <c r="I200" s="80" t="s">
        <v>446</v>
      </c>
      <c r="J200" s="80" t="s">
        <v>472</v>
      </c>
      <c r="K200" s="80" t="s">
        <v>446</v>
      </c>
      <c r="L200" s="80" t="s">
        <v>626</v>
      </c>
      <c r="M200" s="86" t="str">
        <f t="shared" si="4"/>
        <v>View on Google Map</v>
      </c>
    </row>
    <row r="201" spans="1:14" x14ac:dyDescent="0.2">
      <c r="A201" s="80">
        <v>8</v>
      </c>
      <c r="B201" s="80" t="s">
        <v>809</v>
      </c>
      <c r="C201" s="80" t="s">
        <v>470</v>
      </c>
      <c r="D201" s="80">
        <v>69.150000000000006</v>
      </c>
      <c r="E201" s="80">
        <v>-148.83333333333334</v>
      </c>
      <c r="F201" s="80">
        <v>290</v>
      </c>
      <c r="G201" s="80" t="s">
        <v>471</v>
      </c>
      <c r="H201" s="80" t="s">
        <v>446</v>
      </c>
      <c r="I201" s="80" t="s">
        <v>446</v>
      </c>
      <c r="J201" s="80" t="s">
        <v>472</v>
      </c>
      <c r="K201" s="80" t="s">
        <v>446</v>
      </c>
      <c r="L201" s="80" t="s">
        <v>473</v>
      </c>
      <c r="M201" s="86" t="str">
        <f t="shared" si="4"/>
        <v>View on Google Map</v>
      </c>
    </row>
    <row r="202" spans="1:14" x14ac:dyDescent="0.2">
      <c r="A202" s="80">
        <v>219</v>
      </c>
      <c r="B202" s="80" t="s">
        <v>810</v>
      </c>
      <c r="C202" s="80" t="s">
        <v>446</v>
      </c>
      <c r="D202" s="80">
        <v>69.8</v>
      </c>
      <c r="E202" s="80">
        <v>-151.83333333333334</v>
      </c>
      <c r="F202" s="80">
        <v>60.365853658536601</v>
      </c>
      <c r="G202" s="80" t="s">
        <v>457</v>
      </c>
      <c r="H202" s="80" t="s">
        <v>811</v>
      </c>
      <c r="I202" s="80" t="s">
        <v>446</v>
      </c>
      <c r="J202" s="80" t="s">
        <v>472</v>
      </c>
      <c r="K202" s="80" t="s">
        <v>446</v>
      </c>
      <c r="L202" s="80" t="s">
        <v>812</v>
      </c>
      <c r="M202" s="86" t="str">
        <f t="shared" si="4"/>
        <v>View on Google Map</v>
      </c>
    </row>
    <row r="203" spans="1:14" x14ac:dyDescent="0.2">
      <c r="A203" s="80">
        <v>220</v>
      </c>
      <c r="B203" s="80" t="s">
        <v>813</v>
      </c>
      <c r="C203" s="80" t="s">
        <v>446</v>
      </c>
      <c r="D203" s="80">
        <v>69.75</v>
      </c>
      <c r="E203" s="80">
        <v>-151.5</v>
      </c>
      <c r="F203" s="80">
        <v>60.365853658536587</v>
      </c>
      <c r="G203" s="80" t="s">
        <v>457</v>
      </c>
      <c r="H203" s="80" t="s">
        <v>814</v>
      </c>
      <c r="I203" s="80" t="s">
        <v>446</v>
      </c>
      <c r="J203" s="80" t="s">
        <v>472</v>
      </c>
      <c r="K203" s="80" t="s">
        <v>446</v>
      </c>
      <c r="L203" s="80" t="s">
        <v>812</v>
      </c>
      <c r="M203" s="86" t="str">
        <f t="shared" si="4"/>
        <v>View on Google Map</v>
      </c>
    </row>
    <row r="204" spans="1:14" x14ac:dyDescent="0.2">
      <c r="A204" s="80">
        <v>221</v>
      </c>
      <c r="B204" s="80" t="s">
        <v>815</v>
      </c>
      <c r="C204" s="80" t="s">
        <v>446</v>
      </c>
      <c r="D204" s="80">
        <v>69.75</v>
      </c>
      <c r="E204" s="80">
        <v>-151.5</v>
      </c>
      <c r="F204" s="80">
        <v>30.487804878048781</v>
      </c>
      <c r="G204" s="80" t="s">
        <v>457</v>
      </c>
      <c r="H204" s="80" t="s">
        <v>816</v>
      </c>
      <c r="I204" s="80" t="s">
        <v>446</v>
      </c>
      <c r="J204" s="80" t="s">
        <v>472</v>
      </c>
      <c r="K204" s="80" t="s">
        <v>446</v>
      </c>
      <c r="L204" s="80" t="s">
        <v>812</v>
      </c>
      <c r="M204" s="86" t="str">
        <f t="shared" si="4"/>
        <v>View on Google Map</v>
      </c>
    </row>
    <row r="205" spans="1:14" x14ac:dyDescent="0.2">
      <c r="A205" s="80">
        <v>222</v>
      </c>
      <c r="B205" s="80" t="s">
        <v>817</v>
      </c>
      <c r="C205" s="80" t="s">
        <v>446</v>
      </c>
      <c r="D205" s="80">
        <v>69.7</v>
      </c>
      <c r="E205" s="80">
        <v>-151.16666666666666</v>
      </c>
      <c r="F205" s="80">
        <v>42.682926829268297</v>
      </c>
      <c r="G205" s="80" t="s">
        <v>457</v>
      </c>
      <c r="H205" s="80" t="s">
        <v>818</v>
      </c>
      <c r="I205" s="80" t="s">
        <v>446</v>
      </c>
      <c r="J205" s="80" t="s">
        <v>472</v>
      </c>
      <c r="K205" s="80" t="s">
        <v>446</v>
      </c>
      <c r="L205" s="80" t="s">
        <v>812</v>
      </c>
      <c r="M205" s="86" t="str">
        <f t="shared" si="4"/>
        <v>View on Google Map</v>
      </c>
    </row>
    <row r="206" spans="1:14" x14ac:dyDescent="0.2">
      <c r="A206" s="80">
        <v>223</v>
      </c>
      <c r="B206" s="80" t="s">
        <v>819</v>
      </c>
      <c r="C206" s="80" t="s">
        <v>446</v>
      </c>
      <c r="D206" s="80">
        <v>69.7</v>
      </c>
      <c r="E206" s="80">
        <v>-151.16666666666666</v>
      </c>
      <c r="F206" s="80">
        <v>42.682926829268297</v>
      </c>
      <c r="G206" s="80" t="s">
        <v>457</v>
      </c>
      <c r="H206" s="80" t="s">
        <v>820</v>
      </c>
      <c r="I206" s="80" t="s">
        <v>446</v>
      </c>
      <c r="J206" s="80" t="s">
        <v>472</v>
      </c>
      <c r="K206" s="80" t="s">
        <v>446</v>
      </c>
      <c r="L206" s="80" t="s">
        <v>812</v>
      </c>
      <c r="M206" s="86" t="str">
        <f t="shared" si="4"/>
        <v>View on Google Map</v>
      </c>
    </row>
    <row r="207" spans="1:14" x14ac:dyDescent="0.2">
      <c r="A207" s="80">
        <v>224</v>
      </c>
      <c r="B207" s="80" t="s">
        <v>821</v>
      </c>
      <c r="C207" s="80" t="s">
        <v>446</v>
      </c>
      <c r="D207" s="80">
        <v>69.516666666666666</v>
      </c>
      <c r="E207" s="80">
        <v>-150.86666666666667</v>
      </c>
      <c r="F207" s="80">
        <v>60.975609756097562</v>
      </c>
      <c r="G207" s="80" t="s">
        <v>457</v>
      </c>
      <c r="H207" s="80" t="s">
        <v>822</v>
      </c>
      <c r="I207" s="80" t="s">
        <v>446</v>
      </c>
      <c r="J207" s="80" t="s">
        <v>472</v>
      </c>
      <c r="K207" s="80" t="s">
        <v>446</v>
      </c>
      <c r="L207" s="80" t="s">
        <v>812</v>
      </c>
      <c r="M207" s="86" t="str">
        <f t="shared" si="4"/>
        <v>View on Google Map</v>
      </c>
    </row>
    <row r="208" spans="1:14" x14ac:dyDescent="0.2">
      <c r="A208" s="80">
        <v>225</v>
      </c>
      <c r="B208" s="80" t="s">
        <v>823</v>
      </c>
      <c r="C208" s="80" t="s">
        <v>446</v>
      </c>
      <c r="D208" s="80">
        <v>69.516666666666666</v>
      </c>
      <c r="E208" s="80">
        <v>-150.86666666666667</v>
      </c>
      <c r="F208" s="80">
        <v>60.975609756097562</v>
      </c>
      <c r="G208" s="80" t="s">
        <v>457</v>
      </c>
      <c r="H208" s="80" t="s">
        <v>824</v>
      </c>
      <c r="I208" s="80" t="s">
        <v>446</v>
      </c>
      <c r="J208" s="80" t="s">
        <v>472</v>
      </c>
      <c r="K208" s="80" t="s">
        <v>446</v>
      </c>
      <c r="L208" s="80" t="s">
        <v>812</v>
      </c>
      <c r="M208" s="86" t="str">
        <f t="shared" si="4"/>
        <v>View on Google Map</v>
      </c>
    </row>
    <row r="209" spans="1:13" x14ac:dyDescent="0.2">
      <c r="A209" s="80">
        <v>226</v>
      </c>
      <c r="B209" s="80" t="s">
        <v>825</v>
      </c>
      <c r="C209" s="80" t="s">
        <v>446</v>
      </c>
      <c r="D209" s="80">
        <v>69.25</v>
      </c>
      <c r="E209" s="80">
        <v>-150.43333333333334</v>
      </c>
      <c r="F209" s="80">
        <v>182.92682926829269</v>
      </c>
      <c r="G209" s="80" t="s">
        <v>457</v>
      </c>
      <c r="H209" s="80" t="s">
        <v>826</v>
      </c>
      <c r="I209" s="80" t="s">
        <v>446</v>
      </c>
      <c r="J209" s="80" t="s">
        <v>472</v>
      </c>
      <c r="K209" s="80" t="s">
        <v>446</v>
      </c>
      <c r="L209" s="80" t="s">
        <v>812</v>
      </c>
      <c r="M209" s="86" t="str">
        <f t="shared" si="4"/>
        <v>View on Google Map</v>
      </c>
    </row>
    <row r="210" spans="1:13" x14ac:dyDescent="0.2">
      <c r="A210" s="80">
        <v>227</v>
      </c>
      <c r="B210" s="80" t="s">
        <v>827</v>
      </c>
      <c r="C210" s="80" t="s">
        <v>446</v>
      </c>
      <c r="D210" s="80">
        <v>69.25</v>
      </c>
      <c r="E210" s="80">
        <v>-150.43333333333334</v>
      </c>
      <c r="F210" s="80">
        <v>182.92682926829269</v>
      </c>
      <c r="G210" s="80" t="s">
        <v>457</v>
      </c>
      <c r="H210" s="80" t="s">
        <v>828</v>
      </c>
      <c r="I210" s="80" t="s">
        <v>446</v>
      </c>
      <c r="J210" s="80" t="s">
        <v>472</v>
      </c>
      <c r="K210" s="80" t="s">
        <v>446</v>
      </c>
      <c r="L210" s="80" t="s">
        <v>812</v>
      </c>
      <c r="M210" s="86" t="str">
        <f t="shared" si="4"/>
        <v>View on Google Map</v>
      </c>
    </row>
    <row r="211" spans="1:13" x14ac:dyDescent="0.2">
      <c r="A211" s="80">
        <v>228</v>
      </c>
      <c r="B211" s="80" t="s">
        <v>829</v>
      </c>
      <c r="C211" s="80" t="s">
        <v>446</v>
      </c>
      <c r="D211" s="80">
        <v>69.25</v>
      </c>
      <c r="E211" s="80">
        <v>-151.16666666666666</v>
      </c>
      <c r="F211" s="80">
        <v>182.92682926829269</v>
      </c>
      <c r="G211" s="80" t="s">
        <v>457</v>
      </c>
      <c r="H211" s="80" t="s">
        <v>830</v>
      </c>
      <c r="I211" s="80" t="s">
        <v>446</v>
      </c>
      <c r="J211" s="80" t="s">
        <v>472</v>
      </c>
      <c r="K211" s="80" t="s">
        <v>446</v>
      </c>
      <c r="L211" s="80" t="s">
        <v>812</v>
      </c>
      <c r="M211" s="86" t="str">
        <f t="shared" si="4"/>
        <v>View on Google Map</v>
      </c>
    </row>
    <row r="212" spans="1:13" x14ac:dyDescent="0.2">
      <c r="A212" s="80">
        <v>229</v>
      </c>
      <c r="B212" s="80" t="s">
        <v>831</v>
      </c>
      <c r="C212" s="80" t="s">
        <v>446</v>
      </c>
      <c r="D212" s="80">
        <v>69.233333333333334</v>
      </c>
      <c r="E212" s="80">
        <v>-151.63333333333333</v>
      </c>
      <c r="F212" s="80">
        <v>178.35365853658539</v>
      </c>
      <c r="G212" s="80" t="s">
        <v>457</v>
      </c>
      <c r="H212" s="80" t="s">
        <v>832</v>
      </c>
      <c r="I212" s="80" t="s">
        <v>446</v>
      </c>
      <c r="J212" s="80" t="s">
        <v>472</v>
      </c>
      <c r="K212" s="80" t="s">
        <v>446</v>
      </c>
      <c r="L212" s="80" t="s">
        <v>812</v>
      </c>
      <c r="M212" s="86" t="str">
        <f t="shared" si="4"/>
        <v>View on Google Map</v>
      </c>
    </row>
    <row r="213" spans="1:13" x14ac:dyDescent="0.2">
      <c r="A213" s="80">
        <v>230</v>
      </c>
      <c r="B213" s="80" t="s">
        <v>833</v>
      </c>
      <c r="C213" s="80" t="s">
        <v>446</v>
      </c>
      <c r="D213" s="80">
        <v>68.900000000000006</v>
      </c>
      <c r="E213" s="80">
        <v>-151.28333333333333</v>
      </c>
      <c r="F213" s="80">
        <v>335.36585365853659</v>
      </c>
      <c r="G213" s="80" t="s">
        <v>457</v>
      </c>
      <c r="H213" s="80" t="s">
        <v>834</v>
      </c>
      <c r="I213" s="80" t="s">
        <v>446</v>
      </c>
      <c r="J213" s="80" t="s">
        <v>472</v>
      </c>
      <c r="K213" s="80" t="s">
        <v>446</v>
      </c>
      <c r="L213" s="80" t="s">
        <v>812</v>
      </c>
      <c r="M213" s="86" t="str">
        <f t="shared" si="4"/>
        <v>View on Google Map</v>
      </c>
    </row>
    <row r="214" spans="1:13" x14ac:dyDescent="0.2">
      <c r="A214" s="80">
        <v>231</v>
      </c>
      <c r="B214" s="80" t="s">
        <v>835</v>
      </c>
      <c r="C214" s="80" t="s">
        <v>446</v>
      </c>
      <c r="D214" s="80">
        <v>68.8</v>
      </c>
      <c r="E214" s="80">
        <v>-150.80000000000001</v>
      </c>
      <c r="F214" s="80">
        <v>411.58536585365857</v>
      </c>
      <c r="G214" s="80" t="s">
        <v>457</v>
      </c>
      <c r="H214" s="80" t="s">
        <v>836</v>
      </c>
      <c r="I214" s="80" t="s">
        <v>446</v>
      </c>
      <c r="J214" s="80" t="s">
        <v>472</v>
      </c>
      <c r="K214" s="80" t="s">
        <v>446</v>
      </c>
      <c r="L214" s="80" t="s">
        <v>812</v>
      </c>
      <c r="M214" s="86" t="str">
        <f t="shared" si="4"/>
        <v>View on Google Map</v>
      </c>
    </row>
    <row r="215" spans="1:13" x14ac:dyDescent="0.2">
      <c r="A215" s="80">
        <v>237</v>
      </c>
      <c r="B215" s="80" t="s">
        <v>837</v>
      </c>
      <c r="C215" s="80" t="s">
        <v>446</v>
      </c>
      <c r="D215" s="80">
        <v>68.783333333333331</v>
      </c>
      <c r="E215" s="80" t="s">
        <v>446</v>
      </c>
      <c r="F215" s="80">
        <v>681.40243902439033</v>
      </c>
      <c r="G215" s="80" t="s">
        <v>457</v>
      </c>
      <c r="H215" s="80" t="s">
        <v>838</v>
      </c>
      <c r="I215" s="80" t="s">
        <v>839</v>
      </c>
      <c r="J215" s="80" t="s">
        <v>472</v>
      </c>
      <c r="K215" s="80" t="s">
        <v>446</v>
      </c>
      <c r="L215" s="80" t="s">
        <v>812</v>
      </c>
      <c r="M215" s="86" t="str">
        <f t="shared" si="4"/>
        <v>View on Google Map</v>
      </c>
    </row>
    <row r="216" spans="1:13" x14ac:dyDescent="0.2">
      <c r="A216" s="80">
        <v>238</v>
      </c>
      <c r="B216" s="80" t="s">
        <v>840</v>
      </c>
      <c r="C216" s="80" t="s">
        <v>446</v>
      </c>
      <c r="D216" s="80">
        <v>68.783333333333331</v>
      </c>
      <c r="E216" s="80" t="s">
        <v>446</v>
      </c>
      <c r="F216" s="80">
        <v>681.40243902439033</v>
      </c>
      <c r="G216" s="80" t="s">
        <v>457</v>
      </c>
      <c r="H216" s="80" t="s">
        <v>841</v>
      </c>
      <c r="I216" s="80" t="s">
        <v>839</v>
      </c>
      <c r="J216" s="80" t="s">
        <v>472</v>
      </c>
      <c r="K216" s="80" t="s">
        <v>446</v>
      </c>
      <c r="L216" s="80" t="s">
        <v>812</v>
      </c>
      <c r="M216" s="86" t="str">
        <f t="shared" si="4"/>
        <v>View on Google Map</v>
      </c>
    </row>
    <row r="217" spans="1:13" x14ac:dyDescent="0.2">
      <c r="A217" s="80">
        <v>10</v>
      </c>
      <c r="B217" s="80" t="s">
        <v>842</v>
      </c>
      <c r="C217" s="80" t="s">
        <v>843</v>
      </c>
      <c r="D217" s="80">
        <v>68.644702925000004</v>
      </c>
      <c r="E217" s="80">
        <v>-149.41200613611099</v>
      </c>
      <c r="F217" s="80">
        <v>751.33799999999997</v>
      </c>
      <c r="G217" s="80" t="s">
        <v>471</v>
      </c>
      <c r="H217" s="80" t="s">
        <v>446</v>
      </c>
      <c r="I217" s="80" t="s">
        <v>446</v>
      </c>
      <c r="J217" s="80" t="s">
        <v>472</v>
      </c>
      <c r="K217" s="80" t="s">
        <v>446</v>
      </c>
      <c r="L217" s="80" t="s">
        <v>446</v>
      </c>
      <c r="M217" s="86" t="str">
        <f t="shared" si="4"/>
        <v>View on Google Map</v>
      </c>
    </row>
    <row r="218" spans="1:13" x14ac:dyDescent="0.2">
      <c r="A218" s="80">
        <v>486</v>
      </c>
      <c r="B218" s="80" t="s">
        <v>844</v>
      </c>
      <c r="C218" s="80" t="s">
        <v>446</v>
      </c>
      <c r="D218" s="80">
        <v>68.958333332999999</v>
      </c>
      <c r="E218" s="80">
        <v>-150.302016667</v>
      </c>
      <c r="F218" s="80">
        <v>382</v>
      </c>
      <c r="G218" s="80" t="s">
        <v>457</v>
      </c>
      <c r="H218" s="80" t="s">
        <v>446</v>
      </c>
      <c r="I218" s="80" t="s">
        <v>446</v>
      </c>
      <c r="J218" s="80" t="s">
        <v>507</v>
      </c>
      <c r="K218" s="80" t="s">
        <v>446</v>
      </c>
      <c r="L218" s="80" t="s">
        <v>454</v>
      </c>
      <c r="M218" s="86" t="str">
        <f t="shared" si="4"/>
        <v>View on Google Map</v>
      </c>
    </row>
    <row r="219" spans="1:13" x14ac:dyDescent="0.2">
      <c r="A219" s="80">
        <v>388</v>
      </c>
      <c r="B219" s="80" t="s">
        <v>845</v>
      </c>
      <c r="C219" s="80" t="s">
        <v>446</v>
      </c>
      <c r="D219" s="80">
        <v>68.556340000000006</v>
      </c>
      <c r="E219" s="80">
        <v>-149.56628000000001</v>
      </c>
      <c r="F219" s="80">
        <v>801</v>
      </c>
      <c r="G219" s="80" t="s">
        <v>457</v>
      </c>
      <c r="H219" s="80" t="s">
        <v>446</v>
      </c>
      <c r="I219" s="80" t="s">
        <v>446</v>
      </c>
      <c r="J219" s="80" t="s">
        <v>472</v>
      </c>
      <c r="K219" s="80" t="s">
        <v>446</v>
      </c>
      <c r="L219" s="80" t="s">
        <v>846</v>
      </c>
      <c r="M219" s="86" t="str">
        <f t="shared" si="4"/>
        <v>View on Google Map</v>
      </c>
    </row>
    <row r="220" spans="1:13" x14ac:dyDescent="0.2">
      <c r="A220" s="80">
        <v>450</v>
      </c>
      <c r="B220" s="80" t="s">
        <v>847</v>
      </c>
      <c r="C220" s="80" t="s">
        <v>446</v>
      </c>
      <c r="D220" s="80">
        <v>68.553610000000006</v>
      </c>
      <c r="E220" s="80">
        <v>-149.53397000000001</v>
      </c>
      <c r="F220" s="80">
        <v>820</v>
      </c>
      <c r="G220" s="80" t="s">
        <v>457</v>
      </c>
      <c r="H220" s="80" t="s">
        <v>848</v>
      </c>
      <c r="I220" s="80" t="s">
        <v>446</v>
      </c>
      <c r="J220" s="80" t="s">
        <v>458</v>
      </c>
      <c r="K220" s="80" t="s">
        <v>446</v>
      </c>
      <c r="L220" s="80" t="s">
        <v>446</v>
      </c>
      <c r="M220" s="86" t="str">
        <f t="shared" si="4"/>
        <v>View on Google Map</v>
      </c>
    </row>
    <row r="221" spans="1:13" x14ac:dyDescent="0.2">
      <c r="A221" s="80">
        <v>451</v>
      </c>
      <c r="B221" s="80" t="s">
        <v>849</v>
      </c>
      <c r="C221" s="80" t="s">
        <v>446</v>
      </c>
      <c r="D221" s="80">
        <v>68.545929999999998</v>
      </c>
      <c r="E221" s="80">
        <v>-149.54213999999999</v>
      </c>
      <c r="F221" s="80">
        <v>852</v>
      </c>
      <c r="G221" s="80" t="s">
        <v>457</v>
      </c>
      <c r="H221" s="80" t="s">
        <v>850</v>
      </c>
      <c r="I221" s="80" t="s">
        <v>446</v>
      </c>
      <c r="J221" s="80" t="s">
        <v>458</v>
      </c>
      <c r="K221" s="80" t="s">
        <v>446</v>
      </c>
      <c r="L221" s="80" t="s">
        <v>446</v>
      </c>
      <c r="M221" s="86" t="str">
        <f t="shared" si="4"/>
        <v>View on Google Map</v>
      </c>
    </row>
    <row r="222" spans="1:13" x14ac:dyDescent="0.2">
      <c r="A222" s="80">
        <v>531</v>
      </c>
      <c r="B222" s="80" t="s">
        <v>851</v>
      </c>
      <c r="C222" s="80" t="s">
        <v>852</v>
      </c>
      <c r="D222" s="80">
        <v>68.556769000000003</v>
      </c>
      <c r="E222" s="80">
        <v>-149.555385</v>
      </c>
      <c r="F222" s="80">
        <v>805</v>
      </c>
      <c r="G222" s="80" t="s">
        <v>471</v>
      </c>
      <c r="H222" s="80" t="s">
        <v>446</v>
      </c>
      <c r="I222" s="80" t="s">
        <v>446</v>
      </c>
      <c r="J222" s="80" t="s">
        <v>458</v>
      </c>
      <c r="K222" s="80" t="s">
        <v>446</v>
      </c>
      <c r="L222" s="80" t="s">
        <v>853</v>
      </c>
      <c r="M222" s="86" t="str">
        <f t="shared" si="4"/>
        <v>View on Google Map</v>
      </c>
    </row>
    <row r="223" spans="1:13" x14ac:dyDescent="0.2">
      <c r="A223" s="80">
        <v>532</v>
      </c>
      <c r="B223" s="80" t="s">
        <v>854</v>
      </c>
      <c r="C223" s="80" t="s">
        <v>852</v>
      </c>
      <c r="D223" s="80">
        <v>68.556635999999997</v>
      </c>
      <c r="E223" s="80">
        <v>-149.574457</v>
      </c>
      <c r="F223" s="80">
        <v>803</v>
      </c>
      <c r="G223" s="80" t="s">
        <v>471</v>
      </c>
      <c r="H223" s="80" t="s">
        <v>446</v>
      </c>
      <c r="I223" s="80" t="s">
        <v>446</v>
      </c>
      <c r="J223" s="80" t="s">
        <v>458</v>
      </c>
      <c r="K223" s="80" t="s">
        <v>446</v>
      </c>
      <c r="L223" s="80" t="s">
        <v>853</v>
      </c>
      <c r="M223" s="86" t="str">
        <f t="shared" si="4"/>
        <v>View on Google Map</v>
      </c>
    </row>
    <row r="224" spans="1:13" x14ac:dyDescent="0.2">
      <c r="A224" s="80">
        <v>120</v>
      </c>
      <c r="B224" s="80" t="s">
        <v>855</v>
      </c>
      <c r="C224" s="80" t="s">
        <v>446</v>
      </c>
      <c r="D224" s="80">
        <v>68.610781000000003</v>
      </c>
      <c r="E224" s="80">
        <v>-149.600742</v>
      </c>
      <c r="F224" s="80">
        <v>736</v>
      </c>
      <c r="G224" s="80" t="s">
        <v>457</v>
      </c>
      <c r="H224" s="80" t="s">
        <v>856</v>
      </c>
      <c r="I224" s="80" t="s">
        <v>446</v>
      </c>
      <c r="J224" s="80" t="s">
        <v>472</v>
      </c>
      <c r="K224" s="80">
        <v>313</v>
      </c>
      <c r="L224" s="80" t="s">
        <v>846</v>
      </c>
      <c r="M224" s="86" t="str">
        <f t="shared" si="4"/>
        <v>View on Google Map</v>
      </c>
    </row>
    <row r="225" spans="1:13" x14ac:dyDescent="0.2">
      <c r="A225" s="80">
        <v>191</v>
      </c>
      <c r="B225" s="80" t="s">
        <v>857</v>
      </c>
      <c r="C225" s="80" t="s">
        <v>858</v>
      </c>
      <c r="D225" s="80">
        <v>68.610349999999997</v>
      </c>
      <c r="E225" s="80">
        <v>-149.59976599999999</v>
      </c>
      <c r="F225" s="80">
        <v>736</v>
      </c>
      <c r="G225" s="80" t="s">
        <v>471</v>
      </c>
      <c r="H225" s="80" t="s">
        <v>859</v>
      </c>
      <c r="I225" s="80" t="s">
        <v>860</v>
      </c>
      <c r="J225" s="80" t="s">
        <v>472</v>
      </c>
      <c r="K225" s="80" t="s">
        <v>446</v>
      </c>
      <c r="L225" s="80" t="s">
        <v>861</v>
      </c>
      <c r="M225" s="86" t="str">
        <f t="shared" si="4"/>
        <v>View on Google Map</v>
      </c>
    </row>
    <row r="226" spans="1:13" x14ac:dyDescent="0.2">
      <c r="A226" s="80">
        <v>243</v>
      </c>
      <c r="B226" s="80" t="s">
        <v>862</v>
      </c>
      <c r="C226" s="80" t="s">
        <v>446</v>
      </c>
      <c r="D226" s="80">
        <v>68.611682999999999</v>
      </c>
      <c r="E226" s="80">
        <v>-149.599254</v>
      </c>
      <c r="F226" s="80">
        <v>736</v>
      </c>
      <c r="G226" s="80" t="s">
        <v>471</v>
      </c>
      <c r="H226" s="80" t="s">
        <v>863</v>
      </c>
      <c r="I226" s="80" t="s">
        <v>864</v>
      </c>
      <c r="J226" s="80" t="s">
        <v>472</v>
      </c>
      <c r="K226" s="80" t="s">
        <v>446</v>
      </c>
      <c r="L226" s="80" t="s">
        <v>861</v>
      </c>
      <c r="M226" s="86" t="str">
        <f t="shared" si="4"/>
        <v>View on Google Map</v>
      </c>
    </row>
    <row r="227" spans="1:13" x14ac:dyDescent="0.2">
      <c r="A227" s="80">
        <v>111</v>
      </c>
      <c r="B227" s="80" t="s">
        <v>865</v>
      </c>
      <c r="C227" s="80" t="s">
        <v>446</v>
      </c>
      <c r="D227" s="80">
        <v>68.568713078900004</v>
      </c>
      <c r="E227" s="80">
        <v>-149.58807625</v>
      </c>
      <c r="F227" s="80">
        <v>785</v>
      </c>
      <c r="G227" s="80" t="s">
        <v>457</v>
      </c>
      <c r="H227" s="80" t="s">
        <v>866</v>
      </c>
      <c r="I227" s="80" t="s">
        <v>867</v>
      </c>
      <c r="J227" s="80" t="s">
        <v>472</v>
      </c>
      <c r="K227" s="80" t="s">
        <v>446</v>
      </c>
      <c r="L227" s="80" t="s">
        <v>846</v>
      </c>
      <c r="M227" s="86" t="str">
        <f t="shared" si="4"/>
        <v>View on Google Map</v>
      </c>
    </row>
    <row r="228" spans="1:13" x14ac:dyDescent="0.2">
      <c r="A228" s="80">
        <v>175</v>
      </c>
      <c r="B228" s="80" t="s">
        <v>868</v>
      </c>
      <c r="C228" s="80" t="s">
        <v>446</v>
      </c>
      <c r="D228" s="80">
        <v>68.573999999999998</v>
      </c>
      <c r="E228" s="80">
        <v>-149.58356599999999</v>
      </c>
      <c r="F228" s="80">
        <v>774</v>
      </c>
      <c r="G228" s="80" t="s">
        <v>471</v>
      </c>
      <c r="H228" s="80" t="s">
        <v>869</v>
      </c>
      <c r="I228" s="80" t="s">
        <v>870</v>
      </c>
      <c r="J228" s="80" t="s">
        <v>472</v>
      </c>
      <c r="K228" s="80" t="s">
        <v>446</v>
      </c>
      <c r="L228" s="80" t="s">
        <v>861</v>
      </c>
      <c r="M228" s="86" t="str">
        <f t="shared" si="4"/>
        <v>View on Google Map</v>
      </c>
    </row>
    <row r="229" spans="1:13" x14ac:dyDescent="0.2">
      <c r="A229" s="80">
        <v>174</v>
      </c>
      <c r="B229" s="80" t="s">
        <v>871</v>
      </c>
      <c r="C229" s="80" t="s">
        <v>446</v>
      </c>
      <c r="D229" s="80">
        <v>68.572295999999994</v>
      </c>
      <c r="E229" s="80">
        <v>-149.58101400000001</v>
      </c>
      <c r="F229" s="80">
        <v>785</v>
      </c>
      <c r="G229" s="80" t="s">
        <v>471</v>
      </c>
      <c r="H229" s="80" t="s">
        <v>872</v>
      </c>
      <c r="I229" s="80" t="s">
        <v>873</v>
      </c>
      <c r="J229" s="80" t="s">
        <v>472</v>
      </c>
      <c r="K229" s="80" t="s">
        <v>446</v>
      </c>
      <c r="L229" s="80" t="s">
        <v>861</v>
      </c>
      <c r="M229" s="86" t="str">
        <f t="shared" si="4"/>
        <v>View on Google Map</v>
      </c>
    </row>
    <row r="230" spans="1:13" x14ac:dyDescent="0.2">
      <c r="A230" s="80">
        <v>112</v>
      </c>
      <c r="B230" s="80" t="s">
        <v>874</v>
      </c>
      <c r="C230" s="80" t="s">
        <v>446</v>
      </c>
      <c r="D230" s="80">
        <v>68.571319563299994</v>
      </c>
      <c r="E230" s="80">
        <v>-149.56588161799999</v>
      </c>
      <c r="F230" s="80">
        <v>785</v>
      </c>
      <c r="G230" s="80" t="s">
        <v>457</v>
      </c>
      <c r="H230" s="80" t="s">
        <v>875</v>
      </c>
      <c r="I230" s="80" t="s">
        <v>876</v>
      </c>
      <c r="J230" s="80" t="s">
        <v>472</v>
      </c>
      <c r="K230" s="80" t="s">
        <v>446</v>
      </c>
      <c r="L230" s="80" t="s">
        <v>846</v>
      </c>
      <c r="M230" s="86" t="str">
        <f t="shared" si="4"/>
        <v>View on Google Map</v>
      </c>
    </row>
    <row r="231" spans="1:13" x14ac:dyDescent="0.2">
      <c r="A231" s="80">
        <v>176</v>
      </c>
      <c r="B231" s="80" t="s">
        <v>877</v>
      </c>
      <c r="C231" s="80" t="s">
        <v>446</v>
      </c>
      <c r="D231" s="80">
        <v>68.574783330000002</v>
      </c>
      <c r="E231" s="80">
        <v>-149.58205000000001</v>
      </c>
      <c r="F231" s="80">
        <v>774</v>
      </c>
      <c r="G231" s="80" t="s">
        <v>471</v>
      </c>
      <c r="H231" s="80" t="s">
        <v>878</v>
      </c>
      <c r="I231" s="80" t="s">
        <v>879</v>
      </c>
      <c r="J231" s="80" t="s">
        <v>472</v>
      </c>
      <c r="K231" s="80" t="s">
        <v>446</v>
      </c>
      <c r="L231" s="80" t="s">
        <v>861</v>
      </c>
      <c r="M231" s="86" t="str">
        <f t="shared" si="4"/>
        <v>View on Google Map</v>
      </c>
    </row>
    <row r="232" spans="1:13" x14ac:dyDescent="0.2">
      <c r="A232" s="80">
        <v>173</v>
      </c>
      <c r="B232" s="80" t="s">
        <v>880</v>
      </c>
      <c r="C232" s="80" t="s">
        <v>446</v>
      </c>
      <c r="D232" s="80">
        <v>68.572546000000003</v>
      </c>
      <c r="E232" s="80">
        <v>-149.570268</v>
      </c>
      <c r="F232" s="80">
        <v>785</v>
      </c>
      <c r="G232" s="80" t="s">
        <v>471</v>
      </c>
      <c r="H232" s="80" t="s">
        <v>881</v>
      </c>
      <c r="I232" s="80" t="s">
        <v>882</v>
      </c>
      <c r="J232" s="80" t="s">
        <v>472</v>
      </c>
      <c r="K232" s="80" t="s">
        <v>446</v>
      </c>
      <c r="L232" s="80" t="s">
        <v>861</v>
      </c>
      <c r="M232" s="86" t="str">
        <f t="shared" si="4"/>
        <v>View on Google Map</v>
      </c>
    </row>
    <row r="233" spans="1:13" x14ac:dyDescent="0.2">
      <c r="A233" s="80">
        <v>113</v>
      </c>
      <c r="B233" s="80" t="s">
        <v>883</v>
      </c>
      <c r="C233" s="80" t="s">
        <v>446</v>
      </c>
      <c r="D233" s="80">
        <v>68.575536630100004</v>
      </c>
      <c r="E233" s="80">
        <v>-149.583644456</v>
      </c>
      <c r="F233" s="80">
        <v>774</v>
      </c>
      <c r="G233" s="80" t="s">
        <v>457</v>
      </c>
      <c r="H233" s="80" t="s">
        <v>884</v>
      </c>
      <c r="I233" s="80" t="s">
        <v>885</v>
      </c>
      <c r="J233" s="80" t="s">
        <v>472</v>
      </c>
      <c r="K233" s="80" t="s">
        <v>446</v>
      </c>
      <c r="L233" s="80" t="s">
        <v>846</v>
      </c>
      <c r="M233" s="86" t="str">
        <f t="shared" si="4"/>
        <v>View on Google Map</v>
      </c>
    </row>
    <row r="234" spans="1:13" x14ac:dyDescent="0.2">
      <c r="A234" s="80">
        <v>177</v>
      </c>
      <c r="B234" s="80" t="s">
        <v>886</v>
      </c>
      <c r="C234" s="80" t="s">
        <v>446</v>
      </c>
      <c r="D234" s="80">
        <v>68.577539999999999</v>
      </c>
      <c r="E234" s="80">
        <v>-149.58200299999999</v>
      </c>
      <c r="F234" s="80">
        <v>774</v>
      </c>
      <c r="G234" s="80" t="s">
        <v>471</v>
      </c>
      <c r="H234" s="80" t="s">
        <v>887</v>
      </c>
      <c r="I234" s="80" t="s">
        <v>888</v>
      </c>
      <c r="J234" s="80" t="s">
        <v>472</v>
      </c>
      <c r="K234" s="80" t="s">
        <v>446</v>
      </c>
      <c r="L234" s="80" t="s">
        <v>861</v>
      </c>
      <c r="M234" s="86" t="str">
        <f t="shared" si="4"/>
        <v>View on Google Map</v>
      </c>
    </row>
    <row r="235" spans="1:13" x14ac:dyDescent="0.2">
      <c r="A235" s="80">
        <v>114</v>
      </c>
      <c r="B235" s="80" t="s">
        <v>889</v>
      </c>
      <c r="C235" s="80" t="s">
        <v>446</v>
      </c>
      <c r="D235" s="80">
        <v>68.579567150000003</v>
      </c>
      <c r="E235" s="80">
        <v>-149.58405938000001</v>
      </c>
      <c r="F235" s="80">
        <v>770</v>
      </c>
      <c r="G235" s="80" t="s">
        <v>457</v>
      </c>
      <c r="H235" s="80" t="s">
        <v>890</v>
      </c>
      <c r="I235" s="80" t="s">
        <v>891</v>
      </c>
      <c r="J235" s="80" t="s">
        <v>472</v>
      </c>
      <c r="K235" s="80" t="s">
        <v>446</v>
      </c>
      <c r="L235" s="80" t="s">
        <v>846</v>
      </c>
      <c r="M235" s="86" t="str">
        <f t="shared" si="4"/>
        <v>View on Google Map</v>
      </c>
    </row>
    <row r="236" spans="1:13" x14ac:dyDescent="0.2">
      <c r="A236" s="80">
        <v>179</v>
      </c>
      <c r="B236" s="80" t="s">
        <v>892</v>
      </c>
      <c r="C236" s="80" t="s">
        <v>446</v>
      </c>
      <c r="D236" s="80">
        <v>68.584233330000004</v>
      </c>
      <c r="E236" s="80">
        <v>-149.58359999999999</v>
      </c>
      <c r="F236" s="80">
        <v>770</v>
      </c>
      <c r="G236" s="80" t="s">
        <v>471</v>
      </c>
      <c r="H236" s="80" t="s">
        <v>893</v>
      </c>
      <c r="I236" s="80" t="s">
        <v>894</v>
      </c>
      <c r="J236" s="80" t="s">
        <v>472</v>
      </c>
      <c r="K236" s="80" t="s">
        <v>446</v>
      </c>
      <c r="L236" s="80" t="s">
        <v>861</v>
      </c>
      <c r="M236" s="86" t="str">
        <f t="shared" si="4"/>
        <v>View on Google Map</v>
      </c>
    </row>
    <row r="237" spans="1:13" x14ac:dyDescent="0.2">
      <c r="A237" s="80">
        <v>178</v>
      </c>
      <c r="B237" s="80" t="s">
        <v>895</v>
      </c>
      <c r="C237" s="80" t="s">
        <v>446</v>
      </c>
      <c r="D237" s="80">
        <v>68.581429999999997</v>
      </c>
      <c r="E237" s="80">
        <v>-149.58609999999999</v>
      </c>
      <c r="F237" s="80">
        <v>770</v>
      </c>
      <c r="G237" s="80" t="s">
        <v>471</v>
      </c>
      <c r="H237" s="80" t="s">
        <v>896</v>
      </c>
      <c r="I237" s="80" t="s">
        <v>897</v>
      </c>
      <c r="J237" s="80" t="s">
        <v>472</v>
      </c>
      <c r="K237" s="80" t="s">
        <v>446</v>
      </c>
      <c r="L237" s="80" t="s">
        <v>861</v>
      </c>
      <c r="M237" s="86" t="str">
        <f t="shared" si="4"/>
        <v>View on Google Map</v>
      </c>
    </row>
    <row r="238" spans="1:13" x14ac:dyDescent="0.2">
      <c r="A238" s="80">
        <v>115</v>
      </c>
      <c r="B238" s="80" t="s">
        <v>898</v>
      </c>
      <c r="C238" s="80" t="s">
        <v>446</v>
      </c>
      <c r="D238" s="80">
        <v>68.587387439099999</v>
      </c>
      <c r="E238" s="80">
        <v>-149.589625877</v>
      </c>
      <c r="F238" s="80">
        <v>767</v>
      </c>
      <c r="G238" s="80" t="s">
        <v>457</v>
      </c>
      <c r="H238" s="80" t="s">
        <v>899</v>
      </c>
      <c r="I238" s="80" t="s">
        <v>900</v>
      </c>
      <c r="J238" s="80" t="s">
        <v>472</v>
      </c>
      <c r="K238" s="80" t="s">
        <v>446</v>
      </c>
      <c r="L238" s="80" t="s">
        <v>846</v>
      </c>
      <c r="M238" s="86" t="str">
        <f t="shared" si="4"/>
        <v>View on Google Map</v>
      </c>
    </row>
    <row r="239" spans="1:13" x14ac:dyDescent="0.2">
      <c r="A239" s="80">
        <v>181</v>
      </c>
      <c r="B239" s="80" t="s">
        <v>901</v>
      </c>
      <c r="C239" s="80" t="s">
        <v>446</v>
      </c>
      <c r="D239" s="80">
        <v>68.594916670000003</v>
      </c>
      <c r="E239" s="80">
        <v>-149.58631600000001</v>
      </c>
      <c r="F239" s="80">
        <v>754</v>
      </c>
      <c r="G239" s="80" t="s">
        <v>471</v>
      </c>
      <c r="H239" s="80" t="s">
        <v>902</v>
      </c>
      <c r="I239" s="80" t="s">
        <v>903</v>
      </c>
      <c r="J239" s="80" t="s">
        <v>472</v>
      </c>
      <c r="K239" s="80" t="s">
        <v>446</v>
      </c>
      <c r="L239" s="80" t="s">
        <v>861</v>
      </c>
      <c r="M239" s="86" t="str">
        <f t="shared" si="4"/>
        <v>View on Google Map</v>
      </c>
    </row>
    <row r="240" spans="1:13" x14ac:dyDescent="0.2">
      <c r="A240" s="80">
        <v>180</v>
      </c>
      <c r="B240" s="80" t="s">
        <v>904</v>
      </c>
      <c r="C240" s="80" t="s">
        <v>446</v>
      </c>
      <c r="D240" s="80">
        <v>68.589087000000006</v>
      </c>
      <c r="E240" s="80">
        <v>-149.58921900000001</v>
      </c>
      <c r="F240" s="80">
        <v>767</v>
      </c>
      <c r="G240" s="80" t="s">
        <v>471</v>
      </c>
      <c r="H240" s="80" t="s">
        <v>905</v>
      </c>
      <c r="I240" s="80" t="s">
        <v>906</v>
      </c>
      <c r="J240" s="80" t="s">
        <v>472</v>
      </c>
      <c r="K240" s="80" t="s">
        <v>446</v>
      </c>
      <c r="L240" s="80" t="s">
        <v>861</v>
      </c>
      <c r="M240" s="86" t="str">
        <f t="shared" si="4"/>
        <v>View on Google Map</v>
      </c>
    </row>
    <row r="241" spans="1:13" x14ac:dyDescent="0.2">
      <c r="A241" s="80">
        <v>116</v>
      </c>
      <c r="B241" s="80" t="s">
        <v>907</v>
      </c>
      <c r="C241" s="80" t="s">
        <v>446</v>
      </c>
      <c r="D241" s="80">
        <v>68.596592403900004</v>
      </c>
      <c r="E241" s="80">
        <v>-149.59264335</v>
      </c>
      <c r="F241" s="80">
        <v>754</v>
      </c>
      <c r="G241" s="80" t="s">
        <v>457</v>
      </c>
      <c r="H241" s="80" t="s">
        <v>908</v>
      </c>
      <c r="I241" s="80" t="s">
        <v>909</v>
      </c>
      <c r="J241" s="80" t="s">
        <v>472</v>
      </c>
      <c r="K241" s="80" t="s">
        <v>446</v>
      </c>
      <c r="L241" s="80" t="s">
        <v>846</v>
      </c>
      <c r="M241" s="86" t="str">
        <f t="shared" si="4"/>
        <v>View on Google Map</v>
      </c>
    </row>
    <row r="242" spans="1:13" x14ac:dyDescent="0.2">
      <c r="A242" s="80">
        <v>431</v>
      </c>
      <c r="B242" s="80" t="s">
        <v>910</v>
      </c>
      <c r="C242" s="80" t="s">
        <v>446</v>
      </c>
      <c r="D242" s="80">
        <v>68.582061999999993</v>
      </c>
      <c r="E242" s="80">
        <v>-149.62293199999999</v>
      </c>
      <c r="F242" s="80">
        <v>806</v>
      </c>
      <c r="G242" s="80" t="s">
        <v>457</v>
      </c>
      <c r="H242" s="80" t="s">
        <v>911</v>
      </c>
      <c r="I242" s="80" t="s">
        <v>912</v>
      </c>
      <c r="J242" s="80" t="s">
        <v>472</v>
      </c>
      <c r="K242" s="80" t="s">
        <v>446</v>
      </c>
      <c r="L242" s="80" t="s">
        <v>846</v>
      </c>
      <c r="M242" s="86" t="str">
        <f t="shared" si="4"/>
        <v>View on Google Map</v>
      </c>
    </row>
    <row r="243" spans="1:13" x14ac:dyDescent="0.2">
      <c r="A243" s="80">
        <v>444</v>
      </c>
      <c r="B243" s="80" t="s">
        <v>913</v>
      </c>
      <c r="C243" s="80" t="s">
        <v>446</v>
      </c>
      <c r="D243" s="80">
        <v>68.578643</v>
      </c>
      <c r="E243" s="80">
        <v>-149.62110200000001</v>
      </c>
      <c r="F243" s="80">
        <v>808</v>
      </c>
      <c r="G243" s="80" t="s">
        <v>471</v>
      </c>
      <c r="H243" s="80" t="s">
        <v>914</v>
      </c>
      <c r="I243" s="80" t="s">
        <v>915</v>
      </c>
      <c r="J243" s="80" t="s">
        <v>472</v>
      </c>
      <c r="K243" s="80" t="s">
        <v>446</v>
      </c>
      <c r="L243" s="80" t="s">
        <v>861</v>
      </c>
      <c r="M243" s="86" t="str">
        <f t="shared" si="4"/>
        <v>View on Google Map</v>
      </c>
    </row>
    <row r="244" spans="1:13" x14ac:dyDescent="0.2">
      <c r="A244" s="80">
        <v>535</v>
      </c>
      <c r="B244" s="80" t="s">
        <v>916</v>
      </c>
      <c r="C244" s="80" t="s">
        <v>917</v>
      </c>
      <c r="D244" s="80">
        <v>68.585839000000007</v>
      </c>
      <c r="E244" s="80">
        <v>-149.62222299999999</v>
      </c>
      <c r="F244" s="80">
        <v>805</v>
      </c>
      <c r="G244" s="80" t="s">
        <v>471</v>
      </c>
      <c r="H244" s="80" t="s">
        <v>446</v>
      </c>
      <c r="I244" s="80" t="s">
        <v>446</v>
      </c>
      <c r="J244" s="80" t="s">
        <v>458</v>
      </c>
      <c r="K244" s="80" t="s">
        <v>446</v>
      </c>
      <c r="L244" s="80" t="s">
        <v>918</v>
      </c>
      <c r="M244" s="86" t="str">
        <f t="shared" si="4"/>
        <v>View on Google Map</v>
      </c>
    </row>
    <row r="245" spans="1:13" x14ac:dyDescent="0.2">
      <c r="A245" s="80">
        <v>536</v>
      </c>
      <c r="B245" s="80" t="s">
        <v>919</v>
      </c>
      <c r="C245" s="80" t="s">
        <v>917</v>
      </c>
      <c r="D245" s="80">
        <v>68.591329999999999</v>
      </c>
      <c r="E245" s="80">
        <v>-149.61154199999999</v>
      </c>
      <c r="F245" s="80">
        <v>775</v>
      </c>
      <c r="G245" s="80" t="s">
        <v>471</v>
      </c>
      <c r="H245" s="80" t="s">
        <v>446</v>
      </c>
      <c r="I245" s="80" t="s">
        <v>446</v>
      </c>
      <c r="J245" s="80" t="s">
        <v>458</v>
      </c>
      <c r="K245" s="80" t="s">
        <v>446</v>
      </c>
      <c r="L245" s="80" t="s">
        <v>918</v>
      </c>
      <c r="M245" s="86" t="str">
        <f t="shared" si="4"/>
        <v>View on Google Map</v>
      </c>
    </row>
    <row r="246" spans="1:13" x14ac:dyDescent="0.2">
      <c r="A246" s="80">
        <v>445</v>
      </c>
      <c r="B246" s="80" t="s">
        <v>920</v>
      </c>
      <c r="C246" s="80" t="s">
        <v>446</v>
      </c>
      <c r="D246" s="80">
        <v>68.583569999999995</v>
      </c>
      <c r="E246" s="80">
        <v>-149.62384</v>
      </c>
      <c r="F246" s="80">
        <v>808</v>
      </c>
      <c r="G246" s="80" t="s">
        <v>471</v>
      </c>
      <c r="H246" s="80" t="s">
        <v>921</v>
      </c>
      <c r="I246" s="80" t="s">
        <v>922</v>
      </c>
      <c r="J246" s="80" t="s">
        <v>472</v>
      </c>
      <c r="K246" s="80" t="s">
        <v>446</v>
      </c>
      <c r="L246" s="80" t="s">
        <v>861</v>
      </c>
      <c r="M246" s="86" t="str">
        <f t="shared" si="4"/>
        <v>View on Google Map</v>
      </c>
    </row>
    <row r="247" spans="1:13" x14ac:dyDescent="0.2">
      <c r="A247" s="80">
        <v>182</v>
      </c>
      <c r="B247" s="80" t="s">
        <v>923</v>
      </c>
      <c r="C247" s="80" t="s">
        <v>446</v>
      </c>
      <c r="D247" s="80">
        <v>68.596883329999997</v>
      </c>
      <c r="E247" s="80">
        <v>-149.60124999999999</v>
      </c>
      <c r="F247" s="80">
        <v>754</v>
      </c>
      <c r="G247" s="80" t="s">
        <v>471</v>
      </c>
      <c r="H247" s="80" t="s">
        <v>924</v>
      </c>
      <c r="I247" s="80" t="s">
        <v>925</v>
      </c>
      <c r="J247" s="80" t="s">
        <v>472</v>
      </c>
      <c r="K247" s="80" t="s">
        <v>446</v>
      </c>
      <c r="L247" s="80" t="s">
        <v>861</v>
      </c>
      <c r="M247" s="86" t="str">
        <f t="shared" si="4"/>
        <v>View on Google Map</v>
      </c>
    </row>
    <row r="248" spans="1:13" x14ac:dyDescent="0.2">
      <c r="A248" s="80">
        <v>183</v>
      </c>
      <c r="B248" s="80" t="s">
        <v>926</v>
      </c>
      <c r="C248" s="80" t="s">
        <v>446</v>
      </c>
      <c r="D248" s="80">
        <v>68.598684000000006</v>
      </c>
      <c r="E248" s="80">
        <v>-149.599853</v>
      </c>
      <c r="F248" s="80">
        <v>754</v>
      </c>
      <c r="G248" s="80" t="s">
        <v>471</v>
      </c>
      <c r="H248" s="80" t="s">
        <v>927</v>
      </c>
      <c r="I248" s="80" t="s">
        <v>928</v>
      </c>
      <c r="J248" s="80" t="s">
        <v>472</v>
      </c>
      <c r="K248" s="80" t="s">
        <v>446</v>
      </c>
      <c r="L248" s="80" t="s">
        <v>861</v>
      </c>
      <c r="M248" s="86" t="str">
        <f t="shared" si="4"/>
        <v>View on Google Map</v>
      </c>
    </row>
    <row r="249" spans="1:13" x14ac:dyDescent="0.2">
      <c r="A249" s="80">
        <v>117</v>
      </c>
      <c r="B249" s="80" t="s">
        <v>929</v>
      </c>
      <c r="C249" s="80" t="s">
        <v>446</v>
      </c>
      <c r="D249" s="80">
        <v>68.600874798199996</v>
      </c>
      <c r="E249" s="80">
        <v>-149.596582063</v>
      </c>
      <c r="F249" s="80">
        <v>742</v>
      </c>
      <c r="G249" s="80" t="s">
        <v>457</v>
      </c>
      <c r="H249" s="80" t="s">
        <v>930</v>
      </c>
      <c r="I249" s="80" t="s">
        <v>931</v>
      </c>
      <c r="J249" s="80" t="s">
        <v>472</v>
      </c>
      <c r="K249" s="80" t="s">
        <v>446</v>
      </c>
      <c r="L249" s="80" t="s">
        <v>846</v>
      </c>
      <c r="M249" s="86" t="str">
        <f t="shared" si="4"/>
        <v>View on Google Map</v>
      </c>
    </row>
    <row r="250" spans="1:13" x14ac:dyDescent="0.2">
      <c r="A250" s="80">
        <v>187</v>
      </c>
      <c r="B250" s="80" t="s">
        <v>932</v>
      </c>
      <c r="C250" s="80" t="s">
        <v>446</v>
      </c>
      <c r="D250" s="80">
        <v>68.618183329999994</v>
      </c>
      <c r="E250" s="80">
        <v>-149.596766</v>
      </c>
      <c r="F250" s="80">
        <v>728</v>
      </c>
      <c r="G250" s="80" t="s">
        <v>471</v>
      </c>
      <c r="H250" s="80" t="s">
        <v>933</v>
      </c>
      <c r="I250" s="80" t="s">
        <v>934</v>
      </c>
      <c r="J250" s="80" t="s">
        <v>472</v>
      </c>
      <c r="K250" s="80" t="s">
        <v>446</v>
      </c>
      <c r="L250" s="80" t="s">
        <v>861</v>
      </c>
      <c r="M250" s="86" t="str">
        <f t="shared" si="4"/>
        <v>View on Google Map</v>
      </c>
    </row>
    <row r="251" spans="1:13" x14ac:dyDescent="0.2">
      <c r="A251" s="80">
        <v>184</v>
      </c>
      <c r="B251" s="80" t="s">
        <v>935</v>
      </c>
      <c r="C251" s="80" t="s">
        <v>446</v>
      </c>
      <c r="D251" s="80">
        <v>68.601830000000007</v>
      </c>
      <c r="E251" s="80">
        <v>-149.59671299999999</v>
      </c>
      <c r="F251" s="80">
        <v>742</v>
      </c>
      <c r="G251" s="80" t="s">
        <v>471</v>
      </c>
      <c r="H251" s="80" t="s">
        <v>936</v>
      </c>
      <c r="I251" s="80" t="s">
        <v>937</v>
      </c>
      <c r="J251" s="80" t="s">
        <v>472</v>
      </c>
      <c r="K251" s="80" t="s">
        <v>446</v>
      </c>
      <c r="L251" s="80" t="s">
        <v>861</v>
      </c>
      <c r="M251" s="86" t="str">
        <f t="shared" si="4"/>
        <v>View on Google Map</v>
      </c>
    </row>
    <row r="252" spans="1:13" x14ac:dyDescent="0.2">
      <c r="A252" s="80">
        <v>118</v>
      </c>
      <c r="B252" s="80" t="s">
        <v>938</v>
      </c>
      <c r="C252" s="80" t="s">
        <v>446</v>
      </c>
      <c r="D252" s="80">
        <v>68.6101575207</v>
      </c>
      <c r="E252" s="80">
        <v>-149.582211513</v>
      </c>
      <c r="F252" s="80">
        <v>744</v>
      </c>
      <c r="G252" s="80" t="s">
        <v>457</v>
      </c>
      <c r="H252" s="80" t="s">
        <v>939</v>
      </c>
      <c r="I252" s="80" t="s">
        <v>940</v>
      </c>
      <c r="J252" s="80" t="s">
        <v>472</v>
      </c>
      <c r="K252" s="80" t="s">
        <v>446</v>
      </c>
      <c r="L252" s="80" t="s">
        <v>846</v>
      </c>
      <c r="M252" s="86" t="str">
        <f t="shared" si="4"/>
        <v>View on Google Map</v>
      </c>
    </row>
    <row r="253" spans="1:13" x14ac:dyDescent="0.2">
      <c r="A253" s="80">
        <v>172</v>
      </c>
      <c r="B253" s="80" t="s">
        <v>941</v>
      </c>
      <c r="C253" s="80" t="s">
        <v>446</v>
      </c>
      <c r="D253" s="80">
        <v>68.573666666666668</v>
      </c>
      <c r="E253" s="80">
        <v>-149.53716666666699</v>
      </c>
      <c r="F253" s="80">
        <v>808</v>
      </c>
      <c r="G253" s="80" t="s">
        <v>471</v>
      </c>
      <c r="H253" s="80" t="s">
        <v>942</v>
      </c>
      <c r="I253" s="80" t="s">
        <v>943</v>
      </c>
      <c r="J253" s="80" t="s">
        <v>472</v>
      </c>
      <c r="K253" s="80" t="s">
        <v>446</v>
      </c>
      <c r="L253" s="80" t="s">
        <v>861</v>
      </c>
      <c r="M253" s="86" t="str">
        <f t="shared" si="4"/>
        <v>View on Google Map</v>
      </c>
    </row>
    <row r="254" spans="1:13" x14ac:dyDescent="0.2">
      <c r="A254" s="80">
        <v>533</v>
      </c>
      <c r="B254" s="80" t="s">
        <v>944</v>
      </c>
      <c r="C254" s="80" t="s">
        <v>917</v>
      </c>
      <c r="D254" s="80">
        <v>68.599999999999994</v>
      </c>
      <c r="E254" s="80">
        <v>-149.57599999999999</v>
      </c>
      <c r="F254" s="80">
        <v>762</v>
      </c>
      <c r="G254" s="80" t="s">
        <v>471</v>
      </c>
      <c r="H254" s="80" t="s">
        <v>446</v>
      </c>
      <c r="I254" s="80" t="s">
        <v>446</v>
      </c>
      <c r="J254" s="80" t="s">
        <v>458</v>
      </c>
      <c r="K254" s="80" t="s">
        <v>446</v>
      </c>
      <c r="L254" s="80" t="s">
        <v>918</v>
      </c>
      <c r="M254" s="86" t="str">
        <f t="shared" si="4"/>
        <v>View on Google Map</v>
      </c>
    </row>
    <row r="255" spans="1:13" x14ac:dyDescent="0.2">
      <c r="A255" s="80">
        <v>534</v>
      </c>
      <c r="B255" s="80" t="s">
        <v>945</v>
      </c>
      <c r="C255" s="80" t="s">
        <v>917</v>
      </c>
      <c r="D255" s="80">
        <v>68.601493000000005</v>
      </c>
      <c r="E255" s="80">
        <v>-149.579071</v>
      </c>
      <c r="F255" s="80">
        <v>760</v>
      </c>
      <c r="G255" s="80" t="s">
        <v>471</v>
      </c>
      <c r="H255" s="80" t="s">
        <v>446</v>
      </c>
      <c r="I255" s="80" t="s">
        <v>446</v>
      </c>
      <c r="J255" s="80" t="s">
        <v>458</v>
      </c>
      <c r="K255" s="80" t="s">
        <v>446</v>
      </c>
      <c r="L255" s="80" t="s">
        <v>918</v>
      </c>
      <c r="M255" s="86" t="str">
        <f t="shared" si="4"/>
        <v>View on Google Map</v>
      </c>
    </row>
    <row r="256" spans="1:13" x14ac:dyDescent="0.2">
      <c r="A256" s="80">
        <v>185</v>
      </c>
      <c r="B256" s="80" t="s">
        <v>946</v>
      </c>
      <c r="C256" s="80" t="s">
        <v>446</v>
      </c>
      <c r="D256" s="80">
        <v>68.60853333</v>
      </c>
      <c r="E256" s="80">
        <v>-149.58763300000001</v>
      </c>
      <c r="F256" s="80">
        <v>744</v>
      </c>
      <c r="G256" s="80" t="s">
        <v>471</v>
      </c>
      <c r="H256" s="80" t="s">
        <v>947</v>
      </c>
      <c r="I256" s="80" t="s">
        <v>948</v>
      </c>
      <c r="J256" s="80" t="s">
        <v>472</v>
      </c>
      <c r="K256" s="80" t="s">
        <v>446</v>
      </c>
      <c r="L256" s="80" t="s">
        <v>861</v>
      </c>
      <c r="M256" s="86" t="str">
        <f t="shared" si="4"/>
        <v>View on Google Map</v>
      </c>
    </row>
    <row r="257" spans="1:13" x14ac:dyDescent="0.2">
      <c r="A257" s="80">
        <v>547</v>
      </c>
      <c r="B257" s="80" t="s">
        <v>949</v>
      </c>
      <c r="C257" s="80" t="s">
        <v>950</v>
      </c>
      <c r="D257" s="80">
        <v>68.611012000000002</v>
      </c>
      <c r="E257" s="80">
        <v>-149.57365200000001</v>
      </c>
      <c r="F257" s="80">
        <v>744</v>
      </c>
      <c r="G257" s="80" t="s">
        <v>471</v>
      </c>
      <c r="H257" s="80" t="s">
        <v>446</v>
      </c>
      <c r="I257" s="80" t="s">
        <v>446</v>
      </c>
      <c r="J257" s="80" t="s">
        <v>951</v>
      </c>
      <c r="K257" s="80" t="s">
        <v>446</v>
      </c>
      <c r="L257" s="80" t="s">
        <v>952</v>
      </c>
      <c r="M257" s="86" t="str">
        <f t="shared" si="4"/>
        <v>View on Google Map</v>
      </c>
    </row>
    <row r="258" spans="1:13" x14ac:dyDescent="0.2">
      <c r="A258" s="80">
        <v>548</v>
      </c>
      <c r="B258" s="80" t="s">
        <v>953</v>
      </c>
      <c r="C258" s="80" t="s">
        <v>950</v>
      </c>
      <c r="D258" s="80">
        <v>68.612117999999995</v>
      </c>
      <c r="E258" s="80">
        <v>-149.576359</v>
      </c>
      <c r="F258" s="80">
        <v>744</v>
      </c>
      <c r="G258" s="80" t="s">
        <v>471</v>
      </c>
      <c r="H258" s="80" t="s">
        <v>446</v>
      </c>
      <c r="I258" s="80" t="s">
        <v>446</v>
      </c>
      <c r="J258" s="80" t="s">
        <v>951</v>
      </c>
      <c r="K258" s="80" t="s">
        <v>446</v>
      </c>
      <c r="L258" s="80" t="s">
        <v>952</v>
      </c>
      <c r="M258" s="86" t="str">
        <f t="shared" si="4"/>
        <v>View on Google Map</v>
      </c>
    </row>
    <row r="259" spans="1:13" x14ac:dyDescent="0.2">
      <c r="A259" s="80">
        <v>546</v>
      </c>
      <c r="B259" s="80" t="s">
        <v>954</v>
      </c>
      <c r="C259" s="80" t="s">
        <v>950</v>
      </c>
      <c r="D259" s="80">
        <v>68.608949999999993</v>
      </c>
      <c r="E259" s="80">
        <v>-149.57907399999999</v>
      </c>
      <c r="F259" s="80">
        <v>744</v>
      </c>
      <c r="G259" s="80" t="s">
        <v>471</v>
      </c>
      <c r="H259" s="80" t="s">
        <v>446</v>
      </c>
      <c r="I259" s="80" t="s">
        <v>446</v>
      </c>
      <c r="J259" s="80" t="s">
        <v>951</v>
      </c>
      <c r="K259" s="80" t="s">
        <v>446</v>
      </c>
      <c r="L259" s="80" t="s">
        <v>952</v>
      </c>
      <c r="M259" s="86" t="str">
        <f t="shared" ref="M259:M322" si="5">HYPERLINK("http://maps.google.com/maps?q="&amp;D259&amp;","&amp;E259,"View on Google Map")</f>
        <v>View on Google Map</v>
      </c>
    </row>
    <row r="260" spans="1:13" x14ac:dyDescent="0.2">
      <c r="A260" s="80">
        <v>545</v>
      </c>
      <c r="B260" s="80" t="s">
        <v>955</v>
      </c>
      <c r="C260" s="80" t="s">
        <v>950</v>
      </c>
      <c r="D260" s="80">
        <v>68.609307999999999</v>
      </c>
      <c r="E260" s="80">
        <v>-149.57375200000001</v>
      </c>
      <c r="F260" s="80">
        <v>744</v>
      </c>
      <c r="G260" s="80" t="s">
        <v>471</v>
      </c>
      <c r="H260" s="80" t="s">
        <v>446</v>
      </c>
      <c r="I260" s="80" t="s">
        <v>446</v>
      </c>
      <c r="J260" s="80" t="s">
        <v>951</v>
      </c>
      <c r="K260" s="80" t="s">
        <v>446</v>
      </c>
      <c r="L260" s="80" t="s">
        <v>952</v>
      </c>
      <c r="M260" s="86" t="str">
        <f t="shared" si="5"/>
        <v>View on Google Map</v>
      </c>
    </row>
    <row r="261" spans="1:13" x14ac:dyDescent="0.2">
      <c r="A261" s="80">
        <v>549</v>
      </c>
      <c r="B261" s="80" t="s">
        <v>956</v>
      </c>
      <c r="C261" s="80" t="s">
        <v>446</v>
      </c>
      <c r="D261" s="80" t="s">
        <v>446</v>
      </c>
      <c r="E261" s="80" t="s">
        <v>446</v>
      </c>
      <c r="F261" s="80" t="s">
        <v>446</v>
      </c>
      <c r="G261" s="80" t="s">
        <v>471</v>
      </c>
      <c r="H261" s="80" t="s">
        <v>446</v>
      </c>
      <c r="I261" s="80" t="s">
        <v>446</v>
      </c>
      <c r="J261" s="80" t="s">
        <v>458</v>
      </c>
      <c r="K261" s="80" t="s">
        <v>446</v>
      </c>
      <c r="L261" s="80" t="s">
        <v>957</v>
      </c>
      <c r="M261" s="86" t="str">
        <f t="shared" si="5"/>
        <v>View on Google Map</v>
      </c>
    </row>
    <row r="262" spans="1:13" x14ac:dyDescent="0.2">
      <c r="A262" s="80">
        <v>188</v>
      </c>
      <c r="B262" s="80" t="s">
        <v>958</v>
      </c>
      <c r="C262" s="80" t="s">
        <v>446</v>
      </c>
      <c r="D262" s="80">
        <v>68.61838333</v>
      </c>
      <c r="E262" s="80">
        <v>-149.59649999999999</v>
      </c>
      <c r="F262" s="80">
        <v>728</v>
      </c>
      <c r="G262" s="80" t="s">
        <v>471</v>
      </c>
      <c r="H262" s="80" t="s">
        <v>959</v>
      </c>
      <c r="I262" s="80" t="s">
        <v>960</v>
      </c>
      <c r="J262" s="80" t="s">
        <v>472</v>
      </c>
      <c r="K262" s="80" t="s">
        <v>446</v>
      </c>
      <c r="L262" s="80" t="s">
        <v>861</v>
      </c>
      <c r="M262" s="86" t="str">
        <f t="shared" si="5"/>
        <v>View on Google Map</v>
      </c>
    </row>
    <row r="263" spans="1:13" x14ac:dyDescent="0.2">
      <c r="A263" s="80">
        <v>541</v>
      </c>
      <c r="B263" s="80" t="s">
        <v>961</v>
      </c>
      <c r="C263" s="80" t="s">
        <v>950</v>
      </c>
      <c r="D263" s="80">
        <v>68.609846000000005</v>
      </c>
      <c r="E263" s="80">
        <v>-149.58295100000001</v>
      </c>
      <c r="F263" s="80">
        <v>744</v>
      </c>
      <c r="G263" s="80" t="s">
        <v>457</v>
      </c>
      <c r="H263" s="80" t="s">
        <v>446</v>
      </c>
      <c r="I263" s="80" t="s">
        <v>446</v>
      </c>
      <c r="J263" s="80" t="s">
        <v>951</v>
      </c>
      <c r="K263" s="80" t="s">
        <v>446</v>
      </c>
      <c r="L263" s="80" t="s">
        <v>952</v>
      </c>
      <c r="M263" s="86" t="str">
        <f t="shared" si="5"/>
        <v>View on Google Map</v>
      </c>
    </row>
    <row r="264" spans="1:13" x14ac:dyDescent="0.2">
      <c r="A264" s="80">
        <v>539</v>
      </c>
      <c r="B264" s="80" t="s">
        <v>962</v>
      </c>
      <c r="C264" s="80" t="s">
        <v>950</v>
      </c>
      <c r="D264" s="80">
        <v>68.610575999999995</v>
      </c>
      <c r="E264" s="80">
        <v>-149.576018</v>
      </c>
      <c r="F264" s="80">
        <v>744</v>
      </c>
      <c r="G264" s="80" t="s">
        <v>457</v>
      </c>
      <c r="H264" s="80" t="s">
        <v>446</v>
      </c>
      <c r="I264" s="80" t="s">
        <v>446</v>
      </c>
      <c r="J264" s="80" t="s">
        <v>951</v>
      </c>
      <c r="K264" s="80" t="s">
        <v>446</v>
      </c>
      <c r="L264" s="80" t="s">
        <v>952</v>
      </c>
      <c r="M264" s="86" t="str">
        <f t="shared" si="5"/>
        <v>View on Google Map</v>
      </c>
    </row>
    <row r="265" spans="1:13" x14ac:dyDescent="0.2">
      <c r="A265" s="80">
        <v>538</v>
      </c>
      <c r="B265" s="80" t="s">
        <v>963</v>
      </c>
      <c r="C265" s="80" t="s">
        <v>950</v>
      </c>
      <c r="D265" s="80">
        <v>68.610889</v>
      </c>
      <c r="E265" s="80">
        <v>-149.576108</v>
      </c>
      <c r="F265" s="80">
        <v>744</v>
      </c>
      <c r="G265" s="80" t="s">
        <v>471</v>
      </c>
      <c r="H265" s="80" t="s">
        <v>446</v>
      </c>
      <c r="I265" s="80" t="s">
        <v>446</v>
      </c>
      <c r="J265" s="80" t="s">
        <v>951</v>
      </c>
      <c r="K265" s="80" t="s">
        <v>446</v>
      </c>
      <c r="L265" s="80" t="s">
        <v>952</v>
      </c>
      <c r="M265" s="86" t="str">
        <f t="shared" si="5"/>
        <v>View on Google Map</v>
      </c>
    </row>
    <row r="266" spans="1:13" x14ac:dyDescent="0.2">
      <c r="A266" s="80">
        <v>544</v>
      </c>
      <c r="B266" s="80" t="s">
        <v>964</v>
      </c>
      <c r="C266" s="80" t="s">
        <v>950</v>
      </c>
      <c r="D266" s="80">
        <v>68.610529</v>
      </c>
      <c r="E266" s="80">
        <v>-149.58864199999999</v>
      </c>
      <c r="F266" s="80">
        <v>744</v>
      </c>
      <c r="G266" s="80" t="s">
        <v>457</v>
      </c>
      <c r="H266" s="80" t="s">
        <v>446</v>
      </c>
      <c r="I266" s="80" t="s">
        <v>446</v>
      </c>
      <c r="J266" s="80" t="s">
        <v>951</v>
      </c>
      <c r="K266" s="80" t="s">
        <v>446</v>
      </c>
      <c r="L266" s="80" t="s">
        <v>952</v>
      </c>
      <c r="M266" s="86" t="str">
        <f t="shared" si="5"/>
        <v>View on Google Map</v>
      </c>
    </row>
    <row r="267" spans="1:13" x14ac:dyDescent="0.2">
      <c r="A267" s="80">
        <v>540</v>
      </c>
      <c r="B267" s="80" t="s">
        <v>965</v>
      </c>
      <c r="C267" s="80" t="s">
        <v>950</v>
      </c>
      <c r="D267" s="80">
        <v>68.609842</v>
      </c>
      <c r="E267" s="80">
        <v>-149.575346</v>
      </c>
      <c r="F267" s="80">
        <v>744</v>
      </c>
      <c r="G267" s="80" t="s">
        <v>457</v>
      </c>
      <c r="H267" s="80" t="s">
        <v>446</v>
      </c>
      <c r="I267" s="80" t="s">
        <v>446</v>
      </c>
      <c r="J267" s="80" t="s">
        <v>951</v>
      </c>
      <c r="K267" s="80" t="s">
        <v>446</v>
      </c>
      <c r="L267" s="80" t="s">
        <v>952</v>
      </c>
      <c r="M267" s="86" t="str">
        <f t="shared" si="5"/>
        <v>View on Google Map</v>
      </c>
    </row>
    <row r="268" spans="1:13" x14ac:dyDescent="0.2">
      <c r="A268" s="80">
        <v>542</v>
      </c>
      <c r="B268" s="80" t="s">
        <v>966</v>
      </c>
      <c r="C268" s="80" t="s">
        <v>950</v>
      </c>
      <c r="D268" s="80">
        <v>68.609202999999994</v>
      </c>
      <c r="E268" s="80">
        <v>-149.588257</v>
      </c>
      <c r="F268" s="80">
        <v>744</v>
      </c>
      <c r="G268" s="80" t="s">
        <v>457</v>
      </c>
      <c r="H268" s="80" t="s">
        <v>446</v>
      </c>
      <c r="I268" s="80" t="s">
        <v>446</v>
      </c>
      <c r="J268" s="80" t="s">
        <v>951</v>
      </c>
      <c r="K268" s="80" t="s">
        <v>446</v>
      </c>
      <c r="L268" s="80" t="s">
        <v>952</v>
      </c>
      <c r="M268" s="86" t="str">
        <f t="shared" si="5"/>
        <v>View on Google Map</v>
      </c>
    </row>
    <row r="269" spans="1:13" x14ac:dyDescent="0.2">
      <c r="A269" s="80">
        <v>543</v>
      </c>
      <c r="B269" s="80" t="s">
        <v>967</v>
      </c>
      <c r="C269" s="80" t="s">
        <v>950</v>
      </c>
      <c r="D269" s="80">
        <v>68.610028</v>
      </c>
      <c r="E269" s="80">
        <v>-149.588391</v>
      </c>
      <c r="F269" s="80">
        <v>744</v>
      </c>
      <c r="G269" s="80" t="s">
        <v>457</v>
      </c>
      <c r="H269" s="80" t="s">
        <v>446</v>
      </c>
      <c r="I269" s="80" t="s">
        <v>446</v>
      </c>
      <c r="J269" s="80" t="s">
        <v>951</v>
      </c>
      <c r="K269" s="80" t="s">
        <v>446</v>
      </c>
      <c r="L269" s="80" t="s">
        <v>952</v>
      </c>
      <c r="M269" s="86" t="str">
        <f t="shared" si="5"/>
        <v>View on Google Map</v>
      </c>
    </row>
    <row r="270" spans="1:13" x14ac:dyDescent="0.2">
      <c r="A270" s="80">
        <v>537</v>
      </c>
      <c r="B270" s="80" t="s">
        <v>968</v>
      </c>
      <c r="C270" s="80" t="s">
        <v>950</v>
      </c>
      <c r="D270" s="80">
        <v>68.611514</v>
      </c>
      <c r="E270" s="80">
        <v>-149.577617</v>
      </c>
      <c r="F270" s="80">
        <v>744</v>
      </c>
      <c r="G270" s="80" t="s">
        <v>471</v>
      </c>
      <c r="H270" s="80" t="s">
        <v>446</v>
      </c>
      <c r="I270" s="80" t="s">
        <v>446</v>
      </c>
      <c r="J270" s="80" t="s">
        <v>951</v>
      </c>
      <c r="K270" s="80" t="s">
        <v>446</v>
      </c>
      <c r="L270" s="80" t="s">
        <v>952</v>
      </c>
      <c r="M270" s="86" t="str">
        <f t="shared" si="5"/>
        <v>View on Google Map</v>
      </c>
    </row>
    <row r="271" spans="1:13" x14ac:dyDescent="0.2">
      <c r="A271" s="80">
        <v>15</v>
      </c>
      <c r="B271" s="80" t="s">
        <v>969</v>
      </c>
      <c r="C271" s="80" t="s">
        <v>446</v>
      </c>
      <c r="D271" s="80" t="s">
        <v>446</v>
      </c>
      <c r="E271" s="80" t="s">
        <v>446</v>
      </c>
      <c r="F271" s="80">
        <v>744</v>
      </c>
      <c r="G271" s="80" t="s">
        <v>471</v>
      </c>
      <c r="H271" s="80" t="s">
        <v>970</v>
      </c>
      <c r="I271" s="80" t="s">
        <v>971</v>
      </c>
      <c r="J271" s="80" t="s">
        <v>472</v>
      </c>
      <c r="K271" s="80">
        <v>186</v>
      </c>
      <c r="L271" s="80" t="s">
        <v>446</v>
      </c>
      <c r="M271" s="86" t="str">
        <f t="shared" si="5"/>
        <v>View on Google Map</v>
      </c>
    </row>
    <row r="272" spans="1:13" x14ac:dyDescent="0.2">
      <c r="A272" s="80">
        <v>305</v>
      </c>
      <c r="B272" s="80" t="s">
        <v>972</v>
      </c>
      <c r="C272" s="80" t="s">
        <v>973</v>
      </c>
      <c r="D272" s="80" t="s">
        <v>446</v>
      </c>
      <c r="E272" s="80" t="s">
        <v>446</v>
      </c>
      <c r="F272" s="80" t="s">
        <v>446</v>
      </c>
      <c r="G272" s="80" t="s">
        <v>471</v>
      </c>
      <c r="H272" s="80" t="s">
        <v>974</v>
      </c>
      <c r="I272" s="80" t="s">
        <v>975</v>
      </c>
      <c r="J272" s="80" t="s">
        <v>472</v>
      </c>
      <c r="K272" s="80" t="s">
        <v>446</v>
      </c>
      <c r="L272" s="80" t="s">
        <v>861</v>
      </c>
      <c r="M272" s="86" t="str">
        <f t="shared" si="5"/>
        <v>View on Google Map</v>
      </c>
    </row>
    <row r="273" spans="1:13" x14ac:dyDescent="0.2">
      <c r="A273" s="80">
        <v>119</v>
      </c>
      <c r="B273" s="80" t="s">
        <v>976</v>
      </c>
      <c r="C273" s="80" t="s">
        <v>446</v>
      </c>
      <c r="D273" s="80">
        <v>68.618964513199998</v>
      </c>
      <c r="E273" s="80">
        <v>-149.59549733099999</v>
      </c>
      <c r="F273" s="80">
        <v>728</v>
      </c>
      <c r="G273" s="80" t="s">
        <v>457</v>
      </c>
      <c r="H273" s="80" t="s">
        <v>977</v>
      </c>
      <c r="I273" s="80" t="s">
        <v>978</v>
      </c>
      <c r="J273" s="80" t="s">
        <v>472</v>
      </c>
      <c r="K273" s="80" t="s">
        <v>446</v>
      </c>
      <c r="L273" s="80" t="s">
        <v>846</v>
      </c>
      <c r="M273" s="86" t="str">
        <f t="shared" si="5"/>
        <v>View on Google Map</v>
      </c>
    </row>
    <row r="274" spans="1:13" x14ac:dyDescent="0.2">
      <c r="A274" s="80">
        <v>244</v>
      </c>
      <c r="B274" s="80" t="s">
        <v>979</v>
      </c>
      <c r="C274" s="80" t="s">
        <v>446</v>
      </c>
      <c r="D274" s="80">
        <v>68.619383330000005</v>
      </c>
      <c r="E274" s="80">
        <v>-149.59528299999999</v>
      </c>
      <c r="F274" s="80">
        <v>728</v>
      </c>
      <c r="G274" s="80" t="s">
        <v>471</v>
      </c>
      <c r="H274" s="80" t="s">
        <v>980</v>
      </c>
      <c r="I274" s="80" t="s">
        <v>981</v>
      </c>
      <c r="J274" s="80" t="s">
        <v>472</v>
      </c>
      <c r="K274" s="80" t="s">
        <v>446</v>
      </c>
      <c r="L274" s="80" t="s">
        <v>861</v>
      </c>
      <c r="M274" s="86" t="str">
        <f t="shared" si="5"/>
        <v>View on Google Map</v>
      </c>
    </row>
    <row r="275" spans="1:13" x14ac:dyDescent="0.2">
      <c r="B275" s="80" t="s">
        <v>982</v>
      </c>
      <c r="C275" s="80" t="s">
        <v>843</v>
      </c>
      <c r="D275" s="80">
        <v>68.544377999999995</v>
      </c>
      <c r="E275" s="80">
        <v>-149.521467</v>
      </c>
      <c r="G275" s="80" t="s">
        <v>983</v>
      </c>
      <c r="J275" s="5" t="s">
        <v>472</v>
      </c>
      <c r="M275" s="86" t="str">
        <f t="shared" si="5"/>
        <v>View on Google Map</v>
      </c>
    </row>
    <row r="276" spans="1:13" x14ac:dyDescent="0.2">
      <c r="B276" s="80" t="s">
        <v>984</v>
      </c>
      <c r="C276" s="80" t="s">
        <v>843</v>
      </c>
      <c r="D276" s="80">
        <v>68.548204999999996</v>
      </c>
      <c r="E276" s="80">
        <v>-149.52195</v>
      </c>
      <c r="G276" s="80" t="s">
        <v>983</v>
      </c>
      <c r="J276" s="5" t="s">
        <v>472</v>
      </c>
      <c r="M276" s="86" t="str">
        <f t="shared" si="5"/>
        <v>View on Google Map</v>
      </c>
    </row>
    <row r="277" spans="1:13" x14ac:dyDescent="0.2">
      <c r="B277" s="80" t="s">
        <v>985</v>
      </c>
      <c r="C277" s="80" t="s">
        <v>843</v>
      </c>
      <c r="D277" s="80">
        <v>68.548062999999999</v>
      </c>
      <c r="E277" s="80">
        <v>-149.521309</v>
      </c>
      <c r="G277" s="80" t="s">
        <v>983</v>
      </c>
      <c r="J277" s="5" t="s">
        <v>472</v>
      </c>
      <c r="M277" s="86" t="str">
        <f t="shared" si="5"/>
        <v>View on Google Map</v>
      </c>
    </row>
    <row r="278" spans="1:13" x14ac:dyDescent="0.2">
      <c r="B278" s="80" t="s">
        <v>986</v>
      </c>
      <c r="C278" s="80" t="s">
        <v>843</v>
      </c>
      <c r="D278" s="80">
        <v>68.544113999999993</v>
      </c>
      <c r="E278" s="80">
        <v>-149.52220800000001</v>
      </c>
      <c r="G278" s="80" t="s">
        <v>983</v>
      </c>
      <c r="J278" s="5" t="s">
        <v>472</v>
      </c>
      <c r="M278" s="86" t="str">
        <f t="shared" si="5"/>
        <v>View on Google Map</v>
      </c>
    </row>
    <row r="279" spans="1:13" x14ac:dyDescent="0.2">
      <c r="B279" s="80" t="s">
        <v>987</v>
      </c>
      <c r="C279" s="80" t="s">
        <v>843</v>
      </c>
      <c r="D279" s="80">
        <v>68.547873999999993</v>
      </c>
      <c r="E279" s="80">
        <v>-149.52158900000001</v>
      </c>
      <c r="G279" s="80" t="s">
        <v>983</v>
      </c>
      <c r="J279" s="5" t="s">
        <v>472</v>
      </c>
      <c r="M279" s="86" t="str">
        <f t="shared" si="5"/>
        <v>View on Google Map</v>
      </c>
    </row>
    <row r="280" spans="1:13" x14ac:dyDescent="0.2">
      <c r="B280" s="80" t="s">
        <v>988</v>
      </c>
      <c r="C280" s="80" t="s">
        <v>843</v>
      </c>
      <c r="D280" s="80">
        <v>68.616620304999998</v>
      </c>
      <c r="E280" s="80">
        <v>-149.31797396100001</v>
      </c>
      <c r="F280" s="80">
        <v>880.55700000000002</v>
      </c>
      <c r="G280" s="80" t="s">
        <v>983</v>
      </c>
      <c r="J280" s="5" t="s">
        <v>472</v>
      </c>
      <c r="M280" s="86" t="str">
        <f t="shared" si="5"/>
        <v>View on Google Map</v>
      </c>
    </row>
    <row r="281" spans="1:13" x14ac:dyDescent="0.2">
      <c r="B281" s="80" t="s">
        <v>989</v>
      </c>
      <c r="C281" s="80" t="s">
        <v>843</v>
      </c>
      <c r="D281" s="80">
        <v>68.618287679000005</v>
      </c>
      <c r="E281" s="80">
        <v>-149.318578011</v>
      </c>
      <c r="F281" s="80">
        <v>877.59500000000003</v>
      </c>
      <c r="G281" s="80" t="s">
        <v>983</v>
      </c>
      <c r="J281" s="5" t="s">
        <v>472</v>
      </c>
      <c r="M281" s="86" t="str">
        <f t="shared" si="5"/>
        <v>View on Google Map</v>
      </c>
    </row>
    <row r="282" spans="1:13" x14ac:dyDescent="0.2">
      <c r="B282" s="80" t="s">
        <v>990</v>
      </c>
      <c r="C282" s="80" t="s">
        <v>843</v>
      </c>
      <c r="D282" s="80">
        <v>68.619548409999993</v>
      </c>
      <c r="E282" s="80">
        <v>-149.31832187699999</v>
      </c>
      <c r="F282" s="80">
        <v>875.59299999999996</v>
      </c>
      <c r="G282" s="80" t="s">
        <v>983</v>
      </c>
      <c r="J282" s="5" t="s">
        <v>472</v>
      </c>
      <c r="M282" s="86" t="str">
        <f t="shared" si="5"/>
        <v>View on Google Map</v>
      </c>
    </row>
    <row r="283" spans="1:13" x14ac:dyDescent="0.2">
      <c r="B283" s="80" t="s">
        <v>991</v>
      </c>
      <c r="C283" s="80" t="s">
        <v>843</v>
      </c>
      <c r="D283" s="80">
        <v>68.621317497999996</v>
      </c>
      <c r="E283" s="80">
        <v>-149.31921364300001</v>
      </c>
      <c r="F283" s="80">
        <v>874.15200000000004</v>
      </c>
      <c r="G283" s="80" t="s">
        <v>983</v>
      </c>
      <c r="J283" s="5" t="s">
        <v>472</v>
      </c>
      <c r="M283" s="86" t="str">
        <f t="shared" si="5"/>
        <v>View on Google Map</v>
      </c>
    </row>
    <row r="284" spans="1:13" x14ac:dyDescent="0.2">
      <c r="A284" s="80">
        <v>11</v>
      </c>
      <c r="B284" s="80" t="s">
        <v>992</v>
      </c>
      <c r="C284" s="80" t="s">
        <v>446</v>
      </c>
      <c r="D284" s="80" t="s">
        <v>446</v>
      </c>
      <c r="E284" s="80" t="s">
        <v>446</v>
      </c>
      <c r="F284" s="80">
        <v>884</v>
      </c>
      <c r="G284" s="80" t="s">
        <v>471</v>
      </c>
      <c r="H284" s="80" t="s">
        <v>993</v>
      </c>
      <c r="I284" s="80" t="s">
        <v>994</v>
      </c>
      <c r="J284" s="80" t="s">
        <v>472</v>
      </c>
      <c r="K284" s="80" t="s">
        <v>446</v>
      </c>
      <c r="L284" s="80" t="s">
        <v>446</v>
      </c>
      <c r="M284" s="86" t="str">
        <f t="shared" si="5"/>
        <v>View on Google Map</v>
      </c>
    </row>
    <row r="285" spans="1:13" x14ac:dyDescent="0.2">
      <c r="B285" s="80" t="s">
        <v>995</v>
      </c>
      <c r="C285" s="80" t="s">
        <v>843</v>
      </c>
      <c r="D285" s="80">
        <v>68.625256622999999</v>
      </c>
      <c r="E285" s="80">
        <v>-149.32463380199999</v>
      </c>
      <c r="F285" s="80">
        <v>862.80799999999999</v>
      </c>
      <c r="G285" s="80" t="s">
        <v>983</v>
      </c>
      <c r="J285" s="5" t="s">
        <v>472</v>
      </c>
      <c r="M285" s="86" t="str">
        <f t="shared" si="5"/>
        <v>View on Google Map</v>
      </c>
    </row>
    <row r="286" spans="1:13" x14ac:dyDescent="0.2">
      <c r="B286" s="80" t="s">
        <v>996</v>
      </c>
      <c r="C286" s="80" t="s">
        <v>843</v>
      </c>
      <c r="D286" s="80">
        <v>68.641922837999999</v>
      </c>
      <c r="E286" s="80">
        <v>-149.342972559</v>
      </c>
      <c r="F286" s="80">
        <v>834.62599999999998</v>
      </c>
      <c r="G286" s="80" t="s">
        <v>983</v>
      </c>
      <c r="J286" s="5" t="s">
        <v>472</v>
      </c>
      <c r="M286" s="86" t="str">
        <f t="shared" si="5"/>
        <v>View on Google Map</v>
      </c>
    </row>
    <row r="287" spans="1:13" x14ac:dyDescent="0.2">
      <c r="A287" s="80">
        <v>1141</v>
      </c>
      <c r="B287" s="80" t="s">
        <v>997</v>
      </c>
      <c r="C287" s="80" t="s">
        <v>446</v>
      </c>
      <c r="D287" s="80" t="s">
        <v>446</v>
      </c>
      <c r="E287" s="80" t="s">
        <v>446</v>
      </c>
      <c r="F287" s="80" t="s">
        <v>446</v>
      </c>
      <c r="G287" s="80" t="s">
        <v>447</v>
      </c>
      <c r="H287" s="80" t="s">
        <v>998</v>
      </c>
      <c r="I287" s="80" t="s">
        <v>446</v>
      </c>
      <c r="J287" s="80" t="s">
        <v>472</v>
      </c>
      <c r="K287" s="80" t="s">
        <v>446</v>
      </c>
      <c r="L287" s="80" t="s">
        <v>446</v>
      </c>
      <c r="M287" s="86" t="str">
        <f t="shared" si="5"/>
        <v>View on Google Map</v>
      </c>
    </row>
    <row r="288" spans="1:13" x14ac:dyDescent="0.2">
      <c r="A288" s="80">
        <v>1142</v>
      </c>
      <c r="B288" s="80" t="s">
        <v>999</v>
      </c>
      <c r="C288" s="80" t="s">
        <v>446</v>
      </c>
      <c r="D288" s="80" t="s">
        <v>446</v>
      </c>
      <c r="E288" s="80" t="s">
        <v>446</v>
      </c>
      <c r="F288" s="80" t="s">
        <v>446</v>
      </c>
      <c r="G288" s="80" t="s">
        <v>471</v>
      </c>
      <c r="H288" s="80" t="s">
        <v>1000</v>
      </c>
      <c r="I288" s="80" t="s">
        <v>446</v>
      </c>
      <c r="J288" s="80" t="s">
        <v>1001</v>
      </c>
      <c r="K288" s="80" t="s">
        <v>446</v>
      </c>
      <c r="L288" s="80" t="s">
        <v>446</v>
      </c>
      <c r="M288" s="86" t="str">
        <f t="shared" si="5"/>
        <v>View on Google Map</v>
      </c>
    </row>
    <row r="289" spans="1:13" x14ac:dyDescent="0.2">
      <c r="A289" s="80">
        <v>1143</v>
      </c>
      <c r="B289" s="80" t="s">
        <v>1002</v>
      </c>
      <c r="C289" s="80" t="s">
        <v>446</v>
      </c>
      <c r="D289" s="80" t="s">
        <v>446</v>
      </c>
      <c r="E289" s="80" t="s">
        <v>446</v>
      </c>
      <c r="F289" s="80" t="s">
        <v>446</v>
      </c>
      <c r="G289" s="80" t="s">
        <v>471</v>
      </c>
      <c r="H289" s="80" t="s">
        <v>446</v>
      </c>
      <c r="I289" s="80" t="s">
        <v>446</v>
      </c>
      <c r="J289" s="80" t="s">
        <v>1001</v>
      </c>
      <c r="K289" s="80" t="s">
        <v>446</v>
      </c>
      <c r="L289" s="80" t="s">
        <v>446</v>
      </c>
      <c r="M289" s="86" t="str">
        <f t="shared" si="5"/>
        <v>View on Google Map</v>
      </c>
    </row>
    <row r="290" spans="1:13" x14ac:dyDescent="0.2">
      <c r="A290" s="80">
        <v>1140</v>
      </c>
      <c r="B290" s="80" t="s">
        <v>1003</v>
      </c>
      <c r="C290" s="80" t="s">
        <v>446</v>
      </c>
      <c r="D290" s="80" t="s">
        <v>446</v>
      </c>
      <c r="E290" s="80" t="s">
        <v>446</v>
      </c>
      <c r="F290" s="80" t="s">
        <v>446</v>
      </c>
      <c r="G290" s="80" t="s">
        <v>447</v>
      </c>
      <c r="H290" s="80" t="s">
        <v>1004</v>
      </c>
      <c r="I290" s="80" t="s">
        <v>1005</v>
      </c>
      <c r="J290" s="80" t="s">
        <v>472</v>
      </c>
      <c r="K290" s="80" t="s">
        <v>446</v>
      </c>
      <c r="L290" s="80" t="s">
        <v>446</v>
      </c>
      <c r="M290" s="86" t="str">
        <f t="shared" si="5"/>
        <v>View on Google Map</v>
      </c>
    </row>
    <row r="291" spans="1:13" x14ac:dyDescent="0.2">
      <c r="A291" s="80">
        <v>1173</v>
      </c>
      <c r="B291" s="80" t="s">
        <v>1006</v>
      </c>
      <c r="C291" s="80" t="s">
        <v>446</v>
      </c>
      <c r="D291" s="80" t="s">
        <v>446</v>
      </c>
      <c r="E291" s="80" t="s">
        <v>446</v>
      </c>
      <c r="F291" s="80" t="s">
        <v>446</v>
      </c>
      <c r="G291" s="80" t="s">
        <v>447</v>
      </c>
      <c r="H291" s="80" t="s">
        <v>1007</v>
      </c>
      <c r="I291" s="80" t="s">
        <v>446</v>
      </c>
      <c r="J291" s="80" t="s">
        <v>453</v>
      </c>
      <c r="K291" s="80" t="s">
        <v>446</v>
      </c>
      <c r="L291" s="80" t="s">
        <v>454</v>
      </c>
      <c r="M291" s="86" t="str">
        <f t="shared" si="5"/>
        <v>View on Google Map</v>
      </c>
    </row>
    <row r="292" spans="1:13" x14ac:dyDescent="0.2">
      <c r="A292" s="80">
        <v>1144</v>
      </c>
      <c r="B292" s="80" t="s">
        <v>1008</v>
      </c>
      <c r="C292" s="80" t="s">
        <v>446</v>
      </c>
      <c r="D292" s="80" t="s">
        <v>446</v>
      </c>
      <c r="E292" s="80" t="s">
        <v>446</v>
      </c>
      <c r="F292" s="80" t="s">
        <v>446</v>
      </c>
      <c r="G292" s="80" t="s">
        <v>471</v>
      </c>
      <c r="H292" s="80" t="s">
        <v>1008</v>
      </c>
      <c r="I292" s="80" t="s">
        <v>446</v>
      </c>
      <c r="J292" s="80" t="s">
        <v>1001</v>
      </c>
      <c r="K292" s="80" t="s">
        <v>446</v>
      </c>
      <c r="L292" s="80" t="s">
        <v>446</v>
      </c>
      <c r="M292" s="86" t="str">
        <f t="shared" si="5"/>
        <v>View on Google Map</v>
      </c>
    </row>
    <row r="293" spans="1:13" x14ac:dyDescent="0.2">
      <c r="A293" s="80">
        <v>1145</v>
      </c>
      <c r="B293" s="80" t="s">
        <v>1009</v>
      </c>
      <c r="C293" s="80" t="s">
        <v>446</v>
      </c>
      <c r="D293" s="80" t="s">
        <v>446</v>
      </c>
      <c r="E293" s="80" t="s">
        <v>446</v>
      </c>
      <c r="F293" s="80" t="s">
        <v>446</v>
      </c>
      <c r="G293" s="80" t="s">
        <v>471</v>
      </c>
      <c r="H293" s="80" t="s">
        <v>1009</v>
      </c>
      <c r="I293" s="80" t="s">
        <v>446</v>
      </c>
      <c r="J293" s="80" t="s">
        <v>1001</v>
      </c>
      <c r="K293" s="80" t="s">
        <v>446</v>
      </c>
      <c r="L293" s="80" t="s">
        <v>446</v>
      </c>
      <c r="M293" s="86" t="str">
        <f t="shared" si="5"/>
        <v>View on Google Map</v>
      </c>
    </row>
    <row r="294" spans="1:13" x14ac:dyDescent="0.2">
      <c r="A294" s="80">
        <v>1146</v>
      </c>
      <c r="B294" s="80" t="s">
        <v>1010</v>
      </c>
      <c r="C294" s="80" t="s">
        <v>446</v>
      </c>
      <c r="D294" s="80" t="s">
        <v>446</v>
      </c>
      <c r="E294" s="80" t="s">
        <v>446</v>
      </c>
      <c r="F294" s="80" t="s">
        <v>446</v>
      </c>
      <c r="G294" s="80" t="s">
        <v>447</v>
      </c>
      <c r="H294" s="80" t="s">
        <v>1010</v>
      </c>
      <c r="I294" s="80" t="s">
        <v>446</v>
      </c>
      <c r="J294" s="80" t="s">
        <v>1001</v>
      </c>
      <c r="K294" s="80" t="s">
        <v>446</v>
      </c>
      <c r="L294" s="80" t="s">
        <v>446</v>
      </c>
      <c r="M294" s="86" t="str">
        <f t="shared" si="5"/>
        <v>View on Google Map</v>
      </c>
    </row>
    <row r="295" spans="1:13" x14ac:dyDescent="0.2">
      <c r="A295" s="80">
        <v>1147</v>
      </c>
      <c r="B295" s="80" t="s">
        <v>1011</v>
      </c>
      <c r="C295" s="80" t="s">
        <v>446</v>
      </c>
      <c r="D295" s="80" t="s">
        <v>446</v>
      </c>
      <c r="E295" s="80" t="s">
        <v>446</v>
      </c>
      <c r="F295" s="80" t="s">
        <v>446</v>
      </c>
      <c r="G295" s="80" t="s">
        <v>447</v>
      </c>
      <c r="H295" s="80" t="s">
        <v>1011</v>
      </c>
      <c r="I295" s="80" t="s">
        <v>446</v>
      </c>
      <c r="J295" s="80" t="s">
        <v>1001</v>
      </c>
      <c r="K295" s="80" t="s">
        <v>446</v>
      </c>
      <c r="L295" s="80" t="s">
        <v>446</v>
      </c>
      <c r="M295" s="86" t="str">
        <f t="shared" si="5"/>
        <v>View on Google Map</v>
      </c>
    </row>
    <row r="296" spans="1:13" x14ac:dyDescent="0.2">
      <c r="A296" s="80">
        <v>1148</v>
      </c>
      <c r="B296" s="80" t="s">
        <v>1012</v>
      </c>
      <c r="C296" s="80" t="s">
        <v>446</v>
      </c>
      <c r="D296" s="80" t="s">
        <v>446</v>
      </c>
      <c r="E296" s="80" t="s">
        <v>446</v>
      </c>
      <c r="F296" s="80" t="s">
        <v>446</v>
      </c>
      <c r="G296" s="80" t="s">
        <v>447</v>
      </c>
      <c r="H296" s="80" t="s">
        <v>1012</v>
      </c>
      <c r="I296" s="80" t="s">
        <v>1013</v>
      </c>
      <c r="J296" s="80" t="s">
        <v>1001</v>
      </c>
      <c r="K296" s="80" t="s">
        <v>446</v>
      </c>
      <c r="L296" s="80" t="s">
        <v>446</v>
      </c>
      <c r="M296" s="86" t="str">
        <f t="shared" si="5"/>
        <v>View on Google Map</v>
      </c>
    </row>
    <row r="297" spans="1:13" x14ac:dyDescent="0.2">
      <c r="A297" s="80">
        <v>1149</v>
      </c>
      <c r="B297" s="80" t="s">
        <v>1014</v>
      </c>
      <c r="C297" s="80" t="s">
        <v>446</v>
      </c>
      <c r="D297" s="80" t="s">
        <v>446</v>
      </c>
      <c r="E297" s="80" t="s">
        <v>446</v>
      </c>
      <c r="F297" s="80" t="s">
        <v>446</v>
      </c>
      <c r="G297" s="80" t="s">
        <v>447</v>
      </c>
      <c r="H297" s="80" t="s">
        <v>1014</v>
      </c>
      <c r="I297" s="80" t="s">
        <v>1015</v>
      </c>
      <c r="J297" s="80" t="s">
        <v>1001</v>
      </c>
      <c r="K297" s="80" t="s">
        <v>446</v>
      </c>
      <c r="L297" s="80" t="s">
        <v>446</v>
      </c>
      <c r="M297" s="86" t="str">
        <f t="shared" si="5"/>
        <v>View on Google Map</v>
      </c>
    </row>
    <row r="298" spans="1:13" x14ac:dyDescent="0.2">
      <c r="A298" s="80">
        <v>1150</v>
      </c>
      <c r="B298" s="80" t="s">
        <v>1016</v>
      </c>
      <c r="C298" s="80" t="s">
        <v>446</v>
      </c>
      <c r="D298" s="80" t="s">
        <v>446</v>
      </c>
      <c r="E298" s="80" t="s">
        <v>446</v>
      </c>
      <c r="F298" s="80" t="s">
        <v>446</v>
      </c>
      <c r="G298" s="80" t="s">
        <v>447</v>
      </c>
      <c r="H298" s="80" t="s">
        <v>1016</v>
      </c>
      <c r="I298" s="80" t="s">
        <v>1017</v>
      </c>
      <c r="J298" s="80" t="s">
        <v>1001</v>
      </c>
      <c r="K298" s="80" t="s">
        <v>446</v>
      </c>
      <c r="L298" s="80" t="s">
        <v>446</v>
      </c>
      <c r="M298" s="86" t="str">
        <f t="shared" si="5"/>
        <v>View on Google Map</v>
      </c>
    </row>
    <row r="299" spans="1:13" x14ac:dyDescent="0.2">
      <c r="A299" s="80">
        <v>1151</v>
      </c>
      <c r="B299" s="80" t="s">
        <v>1018</v>
      </c>
      <c r="C299" s="80" t="s">
        <v>446</v>
      </c>
      <c r="D299" s="80" t="s">
        <v>446</v>
      </c>
      <c r="E299" s="80" t="s">
        <v>446</v>
      </c>
      <c r="F299" s="80" t="s">
        <v>446</v>
      </c>
      <c r="G299" s="80" t="s">
        <v>447</v>
      </c>
      <c r="H299" s="80" t="s">
        <v>1018</v>
      </c>
      <c r="I299" s="80" t="s">
        <v>1019</v>
      </c>
      <c r="J299" s="80" t="s">
        <v>1001</v>
      </c>
      <c r="K299" s="80" t="s">
        <v>446</v>
      </c>
      <c r="L299" s="80" t="s">
        <v>446</v>
      </c>
      <c r="M299" s="86" t="str">
        <f t="shared" si="5"/>
        <v>View on Google Map</v>
      </c>
    </row>
    <row r="300" spans="1:13" x14ac:dyDescent="0.2">
      <c r="A300" s="80">
        <v>1152</v>
      </c>
      <c r="B300" s="80" t="s">
        <v>1020</v>
      </c>
      <c r="C300" s="80" t="s">
        <v>446</v>
      </c>
      <c r="D300" s="80" t="s">
        <v>446</v>
      </c>
      <c r="E300" s="80" t="s">
        <v>446</v>
      </c>
      <c r="F300" s="80" t="s">
        <v>446</v>
      </c>
      <c r="G300" s="80" t="s">
        <v>447</v>
      </c>
      <c r="H300" s="80" t="s">
        <v>1020</v>
      </c>
      <c r="I300" s="80" t="s">
        <v>1021</v>
      </c>
      <c r="J300" s="80" t="s">
        <v>1001</v>
      </c>
      <c r="K300" s="80" t="s">
        <v>446</v>
      </c>
      <c r="L300" s="80" t="s">
        <v>446</v>
      </c>
      <c r="M300" s="86" t="str">
        <f t="shared" si="5"/>
        <v>View on Google Map</v>
      </c>
    </row>
    <row r="301" spans="1:13" x14ac:dyDescent="0.2">
      <c r="A301" s="80">
        <v>1153</v>
      </c>
      <c r="B301" s="80" t="s">
        <v>1022</v>
      </c>
      <c r="C301" s="80" t="s">
        <v>446</v>
      </c>
      <c r="D301" s="80" t="s">
        <v>446</v>
      </c>
      <c r="E301" s="80" t="s">
        <v>446</v>
      </c>
      <c r="F301" s="80" t="s">
        <v>446</v>
      </c>
      <c r="G301" s="80" t="s">
        <v>447</v>
      </c>
      <c r="H301" s="80" t="s">
        <v>1022</v>
      </c>
      <c r="I301" s="80" t="s">
        <v>1023</v>
      </c>
      <c r="J301" s="80" t="s">
        <v>1001</v>
      </c>
      <c r="K301" s="80" t="s">
        <v>446</v>
      </c>
      <c r="L301" s="80" t="s">
        <v>446</v>
      </c>
      <c r="M301" s="86" t="str">
        <f t="shared" si="5"/>
        <v>View on Google Map</v>
      </c>
    </row>
    <row r="302" spans="1:13" x14ac:dyDescent="0.2">
      <c r="A302" s="80">
        <v>1154</v>
      </c>
      <c r="B302" s="80" t="s">
        <v>1024</v>
      </c>
      <c r="C302" s="80" t="s">
        <v>446</v>
      </c>
      <c r="D302" s="80" t="s">
        <v>446</v>
      </c>
      <c r="E302" s="80" t="s">
        <v>446</v>
      </c>
      <c r="F302" s="80" t="s">
        <v>446</v>
      </c>
      <c r="G302" s="80" t="s">
        <v>447</v>
      </c>
      <c r="H302" s="80" t="s">
        <v>1024</v>
      </c>
      <c r="I302" s="80" t="s">
        <v>1025</v>
      </c>
      <c r="J302" s="80" t="s">
        <v>1001</v>
      </c>
      <c r="K302" s="80" t="s">
        <v>446</v>
      </c>
      <c r="L302" s="80" t="s">
        <v>446</v>
      </c>
      <c r="M302" s="86" t="str">
        <f t="shared" si="5"/>
        <v>View on Google Map</v>
      </c>
    </row>
    <row r="303" spans="1:13" x14ac:dyDescent="0.2">
      <c r="A303" s="80">
        <v>1155</v>
      </c>
      <c r="B303" s="80" t="s">
        <v>1026</v>
      </c>
      <c r="C303" s="80" t="s">
        <v>446</v>
      </c>
      <c r="D303" s="80" t="s">
        <v>446</v>
      </c>
      <c r="E303" s="80" t="s">
        <v>446</v>
      </c>
      <c r="F303" s="80" t="s">
        <v>446</v>
      </c>
      <c r="G303" s="80" t="s">
        <v>447</v>
      </c>
      <c r="H303" s="80" t="s">
        <v>1026</v>
      </c>
      <c r="I303" s="80" t="s">
        <v>1027</v>
      </c>
      <c r="J303" s="80" t="s">
        <v>1001</v>
      </c>
      <c r="K303" s="80" t="s">
        <v>446</v>
      </c>
      <c r="L303" s="80" t="s">
        <v>446</v>
      </c>
      <c r="M303" s="86" t="str">
        <f t="shared" si="5"/>
        <v>View on Google Map</v>
      </c>
    </row>
    <row r="304" spans="1:13" x14ac:dyDescent="0.2">
      <c r="A304" s="80">
        <v>1156</v>
      </c>
      <c r="B304" s="80" t="s">
        <v>1028</v>
      </c>
      <c r="C304" s="80" t="s">
        <v>446</v>
      </c>
      <c r="D304" s="80" t="s">
        <v>446</v>
      </c>
      <c r="E304" s="80" t="s">
        <v>446</v>
      </c>
      <c r="F304" s="80" t="s">
        <v>446</v>
      </c>
      <c r="G304" s="80" t="s">
        <v>447</v>
      </c>
      <c r="H304" s="80" t="s">
        <v>1028</v>
      </c>
      <c r="I304" s="80" t="s">
        <v>1029</v>
      </c>
      <c r="J304" s="80" t="s">
        <v>1001</v>
      </c>
      <c r="K304" s="80" t="s">
        <v>446</v>
      </c>
      <c r="L304" s="80" t="s">
        <v>446</v>
      </c>
      <c r="M304" s="86" t="str">
        <f t="shared" si="5"/>
        <v>View on Google Map</v>
      </c>
    </row>
    <row r="305" spans="1:13" x14ac:dyDescent="0.2">
      <c r="A305" s="80">
        <v>1157</v>
      </c>
      <c r="B305" s="80" t="s">
        <v>1030</v>
      </c>
      <c r="C305" s="80" t="s">
        <v>446</v>
      </c>
      <c r="D305" s="80" t="s">
        <v>446</v>
      </c>
      <c r="E305" s="80" t="s">
        <v>446</v>
      </c>
      <c r="F305" s="80" t="s">
        <v>446</v>
      </c>
      <c r="G305" s="80" t="s">
        <v>447</v>
      </c>
      <c r="H305" s="80" t="s">
        <v>1030</v>
      </c>
      <c r="I305" s="80" t="s">
        <v>1031</v>
      </c>
      <c r="J305" s="80" t="s">
        <v>1001</v>
      </c>
      <c r="K305" s="80" t="s">
        <v>446</v>
      </c>
      <c r="L305" s="80" t="s">
        <v>446</v>
      </c>
      <c r="M305" s="86" t="str">
        <f t="shared" si="5"/>
        <v>View on Google Map</v>
      </c>
    </row>
    <row r="306" spans="1:13" x14ac:dyDescent="0.2">
      <c r="A306" s="80">
        <v>1158</v>
      </c>
      <c r="B306" s="80" t="s">
        <v>1032</v>
      </c>
      <c r="C306" s="80" t="s">
        <v>446</v>
      </c>
      <c r="D306" s="80" t="s">
        <v>446</v>
      </c>
      <c r="E306" s="80" t="s">
        <v>446</v>
      </c>
      <c r="F306" s="80" t="s">
        <v>446</v>
      </c>
      <c r="G306" s="80" t="s">
        <v>447</v>
      </c>
      <c r="H306" s="80" t="s">
        <v>1032</v>
      </c>
      <c r="I306" s="80" t="s">
        <v>1033</v>
      </c>
      <c r="J306" s="80" t="s">
        <v>1001</v>
      </c>
      <c r="K306" s="80" t="s">
        <v>446</v>
      </c>
      <c r="L306" s="80" t="s">
        <v>446</v>
      </c>
      <c r="M306" s="86" t="str">
        <f t="shared" si="5"/>
        <v>View on Google Map</v>
      </c>
    </row>
    <row r="307" spans="1:13" x14ac:dyDescent="0.2">
      <c r="A307" s="80">
        <v>1159</v>
      </c>
      <c r="B307" s="80" t="s">
        <v>1034</v>
      </c>
      <c r="C307" s="80" t="s">
        <v>446</v>
      </c>
      <c r="D307" s="80" t="s">
        <v>446</v>
      </c>
      <c r="E307" s="80" t="s">
        <v>446</v>
      </c>
      <c r="F307" s="80" t="s">
        <v>446</v>
      </c>
      <c r="G307" s="80" t="s">
        <v>447</v>
      </c>
      <c r="H307" s="80" t="s">
        <v>1034</v>
      </c>
      <c r="I307" s="80" t="s">
        <v>1035</v>
      </c>
      <c r="J307" s="80" t="s">
        <v>1001</v>
      </c>
      <c r="K307" s="80" t="s">
        <v>446</v>
      </c>
      <c r="L307" s="80" t="s">
        <v>446</v>
      </c>
      <c r="M307" s="86" t="str">
        <f t="shared" si="5"/>
        <v>View on Google Map</v>
      </c>
    </row>
    <row r="308" spans="1:13" x14ac:dyDescent="0.2">
      <c r="A308" s="80">
        <v>1160</v>
      </c>
      <c r="B308" s="80" t="s">
        <v>1036</v>
      </c>
      <c r="C308" s="80" t="s">
        <v>446</v>
      </c>
      <c r="D308" s="80" t="s">
        <v>446</v>
      </c>
      <c r="E308" s="80" t="s">
        <v>446</v>
      </c>
      <c r="F308" s="80" t="s">
        <v>446</v>
      </c>
      <c r="G308" s="80" t="s">
        <v>447</v>
      </c>
      <c r="H308" s="80" t="s">
        <v>1036</v>
      </c>
      <c r="I308" s="80" t="s">
        <v>1037</v>
      </c>
      <c r="J308" s="80" t="s">
        <v>1001</v>
      </c>
      <c r="K308" s="80" t="s">
        <v>446</v>
      </c>
      <c r="L308" s="80" t="s">
        <v>446</v>
      </c>
      <c r="M308" s="86" t="str">
        <f t="shared" si="5"/>
        <v>View on Google Map</v>
      </c>
    </row>
    <row r="309" spans="1:13" x14ac:dyDescent="0.2">
      <c r="A309" s="80">
        <v>1161</v>
      </c>
      <c r="B309" s="80" t="s">
        <v>1038</v>
      </c>
      <c r="C309" s="80" t="s">
        <v>446</v>
      </c>
      <c r="D309" s="80" t="s">
        <v>446</v>
      </c>
      <c r="E309" s="80" t="s">
        <v>446</v>
      </c>
      <c r="F309" s="80" t="s">
        <v>446</v>
      </c>
      <c r="G309" s="80" t="s">
        <v>447</v>
      </c>
      <c r="H309" s="80" t="s">
        <v>1038</v>
      </c>
      <c r="I309" s="80" t="s">
        <v>1039</v>
      </c>
      <c r="J309" s="80" t="s">
        <v>1001</v>
      </c>
      <c r="K309" s="80" t="s">
        <v>446</v>
      </c>
      <c r="L309" s="80" t="s">
        <v>446</v>
      </c>
      <c r="M309" s="86" t="str">
        <f t="shared" si="5"/>
        <v>View on Google Map</v>
      </c>
    </row>
    <row r="310" spans="1:13" x14ac:dyDescent="0.2">
      <c r="A310" s="80">
        <v>1162</v>
      </c>
      <c r="B310" s="80" t="s">
        <v>1040</v>
      </c>
      <c r="C310" s="80" t="s">
        <v>446</v>
      </c>
      <c r="D310" s="80" t="s">
        <v>446</v>
      </c>
      <c r="E310" s="80" t="s">
        <v>446</v>
      </c>
      <c r="F310" s="80" t="s">
        <v>446</v>
      </c>
      <c r="G310" s="80" t="s">
        <v>447</v>
      </c>
      <c r="H310" s="80" t="s">
        <v>1040</v>
      </c>
      <c r="I310" s="80" t="s">
        <v>1041</v>
      </c>
      <c r="J310" s="80" t="s">
        <v>1001</v>
      </c>
      <c r="K310" s="80" t="s">
        <v>446</v>
      </c>
      <c r="L310" s="80" t="s">
        <v>446</v>
      </c>
      <c r="M310" s="86" t="str">
        <f t="shared" si="5"/>
        <v>View on Google Map</v>
      </c>
    </row>
    <row r="311" spans="1:13" x14ac:dyDescent="0.2">
      <c r="A311" s="80">
        <v>1163</v>
      </c>
      <c r="B311" s="80" t="s">
        <v>1042</v>
      </c>
      <c r="C311" s="80" t="s">
        <v>446</v>
      </c>
      <c r="D311" s="80" t="s">
        <v>446</v>
      </c>
      <c r="E311" s="80" t="s">
        <v>446</v>
      </c>
      <c r="F311" s="80" t="s">
        <v>446</v>
      </c>
      <c r="G311" s="80" t="s">
        <v>447</v>
      </c>
      <c r="H311" s="80" t="s">
        <v>1042</v>
      </c>
      <c r="I311" s="80" t="s">
        <v>1043</v>
      </c>
      <c r="J311" s="80" t="s">
        <v>1001</v>
      </c>
      <c r="K311" s="80" t="s">
        <v>446</v>
      </c>
      <c r="L311" s="80" t="s">
        <v>446</v>
      </c>
      <c r="M311" s="86" t="str">
        <f t="shared" si="5"/>
        <v>View on Google Map</v>
      </c>
    </row>
    <row r="312" spans="1:13" x14ac:dyDescent="0.2">
      <c r="A312" s="80">
        <v>1164</v>
      </c>
      <c r="B312" s="80" t="s">
        <v>1044</v>
      </c>
      <c r="C312" s="80" t="s">
        <v>446</v>
      </c>
      <c r="D312" s="80" t="s">
        <v>446</v>
      </c>
      <c r="E312" s="80" t="s">
        <v>446</v>
      </c>
      <c r="F312" s="80" t="s">
        <v>446</v>
      </c>
      <c r="G312" s="80" t="s">
        <v>447</v>
      </c>
      <c r="H312" s="80" t="s">
        <v>1044</v>
      </c>
      <c r="I312" s="80" t="s">
        <v>1045</v>
      </c>
      <c r="J312" s="80" t="s">
        <v>1001</v>
      </c>
      <c r="K312" s="80" t="s">
        <v>446</v>
      </c>
      <c r="L312" s="80" t="s">
        <v>446</v>
      </c>
      <c r="M312" s="86" t="str">
        <f t="shared" si="5"/>
        <v>View on Google Map</v>
      </c>
    </row>
    <row r="313" spans="1:13" x14ac:dyDescent="0.2">
      <c r="A313" s="80">
        <v>1165</v>
      </c>
      <c r="B313" s="80" t="s">
        <v>1046</v>
      </c>
      <c r="C313" s="80" t="s">
        <v>446</v>
      </c>
      <c r="D313" s="80" t="s">
        <v>446</v>
      </c>
      <c r="E313" s="80" t="s">
        <v>446</v>
      </c>
      <c r="F313" s="80" t="s">
        <v>446</v>
      </c>
      <c r="G313" s="80" t="s">
        <v>447</v>
      </c>
      <c r="H313" s="80" t="s">
        <v>1046</v>
      </c>
      <c r="I313" s="80" t="s">
        <v>446</v>
      </c>
      <c r="J313" s="80" t="s">
        <v>1001</v>
      </c>
      <c r="K313" s="80" t="s">
        <v>446</v>
      </c>
      <c r="L313" s="80" t="s">
        <v>446</v>
      </c>
      <c r="M313" s="86" t="str">
        <f t="shared" si="5"/>
        <v>View on Google Map</v>
      </c>
    </row>
    <row r="314" spans="1:13" x14ac:dyDescent="0.2">
      <c r="A314" s="80">
        <v>1166</v>
      </c>
      <c r="B314" s="80" t="s">
        <v>1047</v>
      </c>
      <c r="C314" s="80" t="s">
        <v>446</v>
      </c>
      <c r="D314" s="80" t="s">
        <v>446</v>
      </c>
      <c r="E314" s="80" t="s">
        <v>446</v>
      </c>
      <c r="F314" s="80" t="s">
        <v>446</v>
      </c>
      <c r="G314" s="80" t="s">
        <v>447</v>
      </c>
      <c r="H314" s="80" t="s">
        <v>1047</v>
      </c>
      <c r="I314" s="80" t="s">
        <v>446</v>
      </c>
      <c r="J314" s="80" t="s">
        <v>1001</v>
      </c>
      <c r="K314" s="80" t="s">
        <v>446</v>
      </c>
      <c r="L314" s="80" t="s">
        <v>446</v>
      </c>
      <c r="M314" s="86" t="str">
        <f t="shared" si="5"/>
        <v>View on Google Map</v>
      </c>
    </row>
    <row r="315" spans="1:13" x14ac:dyDescent="0.2">
      <c r="A315" s="80">
        <v>1167</v>
      </c>
      <c r="B315" s="80" t="s">
        <v>1048</v>
      </c>
      <c r="C315" s="80" t="s">
        <v>1049</v>
      </c>
      <c r="D315" s="80" t="s">
        <v>446</v>
      </c>
      <c r="E315" s="80" t="s">
        <v>446</v>
      </c>
      <c r="F315" s="80" t="s">
        <v>446</v>
      </c>
      <c r="G315" s="80" t="s">
        <v>447</v>
      </c>
      <c r="H315" s="80" t="s">
        <v>1048</v>
      </c>
      <c r="I315" s="80" t="s">
        <v>446</v>
      </c>
      <c r="J315" s="80" t="s">
        <v>448</v>
      </c>
      <c r="K315" s="80" t="s">
        <v>446</v>
      </c>
      <c r="L315" s="80" t="s">
        <v>446</v>
      </c>
      <c r="M315" s="86" t="str">
        <f t="shared" si="5"/>
        <v>View on Google Map</v>
      </c>
    </row>
    <row r="316" spans="1:13" x14ac:dyDescent="0.2">
      <c r="A316" s="80">
        <v>1168</v>
      </c>
      <c r="B316" s="80" t="s">
        <v>1050</v>
      </c>
      <c r="C316" s="80" t="s">
        <v>1049</v>
      </c>
      <c r="D316" s="80" t="s">
        <v>446</v>
      </c>
      <c r="E316" s="80" t="s">
        <v>446</v>
      </c>
      <c r="F316" s="80" t="s">
        <v>446</v>
      </c>
      <c r="G316" s="80" t="s">
        <v>447</v>
      </c>
      <c r="H316" s="80" t="s">
        <v>1050</v>
      </c>
      <c r="I316" s="80" t="s">
        <v>446</v>
      </c>
      <c r="J316" s="80" t="s">
        <v>448</v>
      </c>
      <c r="K316" s="80" t="s">
        <v>446</v>
      </c>
      <c r="L316" s="80" t="s">
        <v>446</v>
      </c>
      <c r="M316" s="86" t="str">
        <f t="shared" si="5"/>
        <v>View on Google Map</v>
      </c>
    </row>
    <row r="317" spans="1:13" x14ac:dyDescent="0.2">
      <c r="A317" s="80">
        <v>125</v>
      </c>
      <c r="B317" s="80" t="s">
        <v>1051</v>
      </c>
      <c r="C317" s="80" t="s">
        <v>446</v>
      </c>
      <c r="D317" s="80">
        <v>68.52364</v>
      </c>
      <c r="E317" s="80">
        <v>-149.48141000000001</v>
      </c>
      <c r="F317" s="80">
        <v>881</v>
      </c>
      <c r="G317" s="80" t="s">
        <v>457</v>
      </c>
      <c r="H317" s="80" t="s">
        <v>1052</v>
      </c>
      <c r="I317" s="80" t="s">
        <v>446</v>
      </c>
      <c r="J317" s="80" t="s">
        <v>472</v>
      </c>
      <c r="K317" s="80" t="s">
        <v>446</v>
      </c>
      <c r="L317" s="80" t="s">
        <v>473</v>
      </c>
      <c r="M317" s="86" t="str">
        <f t="shared" si="5"/>
        <v>View on Google Map</v>
      </c>
    </row>
    <row r="318" spans="1:13" x14ac:dyDescent="0.2">
      <c r="A318" s="80">
        <v>110</v>
      </c>
      <c r="B318" s="80" t="s">
        <v>1053</v>
      </c>
      <c r="C318" s="80" t="s">
        <v>446</v>
      </c>
      <c r="D318" s="80">
        <v>68.687380000000005</v>
      </c>
      <c r="E318" s="80">
        <v>-149.67458999999999</v>
      </c>
      <c r="F318" s="80">
        <v>747</v>
      </c>
      <c r="G318" s="80" t="s">
        <v>457</v>
      </c>
      <c r="H318" s="80" t="s">
        <v>1054</v>
      </c>
      <c r="I318" s="80" t="s">
        <v>446</v>
      </c>
      <c r="J318" s="80" t="s">
        <v>472</v>
      </c>
      <c r="K318" s="80" t="s">
        <v>446</v>
      </c>
      <c r="L318" s="80" t="s">
        <v>446</v>
      </c>
      <c r="M318" s="86" t="str">
        <f t="shared" si="5"/>
        <v>View on Google Map</v>
      </c>
    </row>
    <row r="319" spans="1:13" x14ac:dyDescent="0.2">
      <c r="A319" s="80">
        <v>159</v>
      </c>
      <c r="B319" s="80" t="s">
        <v>1055</v>
      </c>
      <c r="C319" s="80" t="s">
        <v>446</v>
      </c>
      <c r="D319" s="80">
        <v>68.38333333333334</v>
      </c>
      <c r="E319" s="80">
        <v>-149.91666666666666</v>
      </c>
      <c r="F319" s="80">
        <v>681</v>
      </c>
      <c r="G319" s="80" t="s">
        <v>457</v>
      </c>
      <c r="H319" s="80" t="s">
        <v>1056</v>
      </c>
      <c r="I319" s="80" t="s">
        <v>446</v>
      </c>
      <c r="J319" s="80" t="s">
        <v>472</v>
      </c>
      <c r="K319" s="80" t="s">
        <v>446</v>
      </c>
      <c r="L319" s="80" t="s">
        <v>473</v>
      </c>
      <c r="M319" s="86" t="str">
        <f t="shared" si="5"/>
        <v>View on Google Map</v>
      </c>
    </row>
    <row r="320" spans="1:13" x14ac:dyDescent="0.2">
      <c r="B320" s="80" t="s">
        <v>1057</v>
      </c>
      <c r="C320" s="80" t="s">
        <v>1058</v>
      </c>
      <c r="D320" s="80">
        <v>68.590049999999991</v>
      </c>
      <c r="E320" s="80">
        <v>-149.72444166666699</v>
      </c>
      <c r="G320" s="80" t="s">
        <v>983</v>
      </c>
      <c r="J320" s="5" t="s">
        <v>472</v>
      </c>
      <c r="M320" s="86" t="str">
        <f t="shared" si="5"/>
        <v>View on Google Map</v>
      </c>
    </row>
    <row r="321" spans="1:13" x14ac:dyDescent="0.2">
      <c r="B321" s="80" t="s">
        <v>1059</v>
      </c>
      <c r="C321" s="80" t="s">
        <v>1058</v>
      </c>
      <c r="D321" s="80">
        <v>68.590219444444443</v>
      </c>
      <c r="E321" s="80">
        <v>-149.725272222222</v>
      </c>
      <c r="G321" s="80" t="s">
        <v>983</v>
      </c>
      <c r="J321" s="5" t="s">
        <v>472</v>
      </c>
      <c r="M321" s="86" t="str">
        <f t="shared" si="5"/>
        <v>View on Google Map</v>
      </c>
    </row>
    <row r="322" spans="1:13" x14ac:dyDescent="0.2">
      <c r="A322" s="80">
        <v>32</v>
      </c>
      <c r="B322" s="80" t="s">
        <v>1060</v>
      </c>
      <c r="C322" s="80" t="s">
        <v>446</v>
      </c>
      <c r="D322" s="80">
        <v>68.933499999999995</v>
      </c>
      <c r="E322" s="80">
        <v>-150.30600000000001</v>
      </c>
      <c r="F322" s="80" t="s">
        <v>446</v>
      </c>
      <c r="G322" s="80" t="s">
        <v>471</v>
      </c>
      <c r="H322" s="80" t="s">
        <v>1061</v>
      </c>
      <c r="I322" s="80" t="s">
        <v>446</v>
      </c>
      <c r="J322" s="80" t="s">
        <v>507</v>
      </c>
      <c r="K322" s="80" t="s">
        <v>446</v>
      </c>
      <c r="L322" s="80" t="s">
        <v>454</v>
      </c>
      <c r="M322" s="86" t="str">
        <f t="shared" si="5"/>
        <v>View on Google Map</v>
      </c>
    </row>
    <row r="323" spans="1:13" x14ac:dyDescent="0.2">
      <c r="A323" s="80">
        <v>33</v>
      </c>
      <c r="B323" s="80" t="s">
        <v>1062</v>
      </c>
      <c r="C323" s="80" t="s">
        <v>446</v>
      </c>
      <c r="D323" s="80">
        <v>68.908000000000001</v>
      </c>
      <c r="E323" s="80">
        <v>-150.114</v>
      </c>
      <c r="F323" s="80" t="s">
        <v>446</v>
      </c>
      <c r="G323" s="80" t="s">
        <v>471</v>
      </c>
      <c r="H323" s="80" t="s">
        <v>1063</v>
      </c>
      <c r="I323" s="80" t="s">
        <v>446</v>
      </c>
      <c r="J323" s="80" t="s">
        <v>507</v>
      </c>
      <c r="K323" s="80" t="s">
        <v>446</v>
      </c>
      <c r="L323" s="80" t="s">
        <v>454</v>
      </c>
      <c r="M323" s="86" t="str">
        <f t="shared" ref="M323:M386" si="6">HYPERLINK("http://maps.google.com/maps?q="&amp;D323&amp;","&amp;E323,"View on Google Map")</f>
        <v>View on Google Map</v>
      </c>
    </row>
    <row r="324" spans="1:13" x14ac:dyDescent="0.2">
      <c r="A324" s="80">
        <v>1</v>
      </c>
      <c r="B324" s="80" t="s">
        <v>1064</v>
      </c>
      <c r="C324" s="80" t="s">
        <v>1065</v>
      </c>
      <c r="D324" s="80">
        <v>68.639103747222222</v>
      </c>
      <c r="E324" s="80">
        <v>-149.39432556944399</v>
      </c>
      <c r="F324" s="80">
        <v>750.56600000000003</v>
      </c>
      <c r="G324" s="80" t="s">
        <v>983</v>
      </c>
      <c r="J324" s="5" t="s">
        <v>472</v>
      </c>
      <c r="M324" s="86" t="str">
        <f t="shared" si="6"/>
        <v>View on Google Map</v>
      </c>
    </row>
    <row r="325" spans="1:13" x14ac:dyDescent="0.2">
      <c r="A325" s="80">
        <v>1</v>
      </c>
      <c r="B325" s="80" t="s">
        <v>1066</v>
      </c>
      <c r="C325" s="80" t="s">
        <v>1058</v>
      </c>
      <c r="D325" s="80">
        <v>68.638060455555561</v>
      </c>
      <c r="E325" s="80">
        <v>-149.391843363889</v>
      </c>
      <c r="F325" s="80">
        <v>750.601</v>
      </c>
      <c r="G325" s="80" t="s">
        <v>983</v>
      </c>
      <c r="J325" s="5" t="s">
        <v>472</v>
      </c>
      <c r="M325" s="86" t="str">
        <f t="shared" si="6"/>
        <v>View on Google Map</v>
      </c>
    </row>
    <row r="326" spans="1:13" x14ac:dyDescent="0.2">
      <c r="A326" s="80">
        <v>1</v>
      </c>
      <c r="B326" s="80" t="s">
        <v>1067</v>
      </c>
      <c r="C326" s="80" t="s">
        <v>1068</v>
      </c>
      <c r="D326" s="80">
        <v>68.640747866666672</v>
      </c>
      <c r="E326" s="80">
        <v>-149.40056111111099</v>
      </c>
      <c r="F326" s="80">
        <v>747.74400000000003</v>
      </c>
      <c r="G326" s="80" t="s">
        <v>983</v>
      </c>
      <c r="J326" s="5" t="s">
        <v>472</v>
      </c>
      <c r="M326" s="86" t="str">
        <f t="shared" si="6"/>
        <v>View on Google Map</v>
      </c>
    </row>
    <row r="327" spans="1:13" x14ac:dyDescent="0.2">
      <c r="A327" s="80">
        <v>1</v>
      </c>
      <c r="B327" s="80" t="s">
        <v>1069</v>
      </c>
      <c r="C327" s="80" t="s">
        <v>1058</v>
      </c>
      <c r="D327" s="80">
        <v>68.638399647222229</v>
      </c>
      <c r="E327" s="80">
        <v>-149.38922950555599</v>
      </c>
      <c r="F327" s="80">
        <v>752.79899999999998</v>
      </c>
      <c r="G327" s="80" t="s">
        <v>983</v>
      </c>
      <c r="J327" s="5" t="s">
        <v>472</v>
      </c>
      <c r="M327" s="86" t="str">
        <f t="shared" si="6"/>
        <v>View on Google Map</v>
      </c>
    </row>
    <row r="328" spans="1:13" x14ac:dyDescent="0.2">
      <c r="A328" s="80">
        <v>1</v>
      </c>
      <c r="B328" s="80" t="s">
        <v>1070</v>
      </c>
      <c r="C328" s="80" t="s">
        <v>1058</v>
      </c>
      <c r="D328" s="80">
        <v>68.637445127777781</v>
      </c>
      <c r="E328" s="80">
        <v>-149.386685694444</v>
      </c>
      <c r="F328" s="80">
        <v>753.32</v>
      </c>
      <c r="G328" s="80" t="s">
        <v>983</v>
      </c>
      <c r="J328" s="5" t="s">
        <v>472</v>
      </c>
      <c r="M328" s="86" t="str">
        <f t="shared" si="6"/>
        <v>View on Google Map</v>
      </c>
    </row>
    <row r="329" spans="1:13" x14ac:dyDescent="0.2">
      <c r="A329" s="80">
        <v>1</v>
      </c>
      <c r="B329" s="80" t="s">
        <v>1071</v>
      </c>
      <c r="C329" s="80" t="s">
        <v>843</v>
      </c>
      <c r="D329" s="80">
        <v>68.642054250000001</v>
      </c>
      <c r="E329" s="80">
        <v>-149.40350056666699</v>
      </c>
      <c r="F329" s="80">
        <v>746.26800000000003</v>
      </c>
      <c r="G329" s="80" t="s">
        <v>983</v>
      </c>
      <c r="J329" s="5" t="s">
        <v>472</v>
      </c>
      <c r="M329" s="86" t="str">
        <f t="shared" si="6"/>
        <v>View on Google Map</v>
      </c>
    </row>
    <row r="330" spans="1:13" x14ac:dyDescent="0.2">
      <c r="A330" s="80">
        <v>1</v>
      </c>
      <c r="B330" s="80" t="s">
        <v>1072</v>
      </c>
      <c r="C330" s="80" t="s">
        <v>1073</v>
      </c>
      <c r="D330" s="80">
        <v>68.641460652777781</v>
      </c>
      <c r="E330" s="80">
        <v>-149.40187098888899</v>
      </c>
      <c r="F330" s="80">
        <v>747.17499999999995</v>
      </c>
      <c r="G330" s="80" t="s">
        <v>983</v>
      </c>
      <c r="J330" s="5" t="s">
        <v>472</v>
      </c>
      <c r="M330" s="86" t="str">
        <f t="shared" si="6"/>
        <v>View on Google Map</v>
      </c>
    </row>
    <row r="331" spans="1:13" x14ac:dyDescent="0.2">
      <c r="A331" s="80">
        <v>1</v>
      </c>
      <c r="B331" s="80" t="s">
        <v>1074</v>
      </c>
      <c r="C331" s="80" t="s">
        <v>843</v>
      </c>
      <c r="D331" s="80">
        <v>68.643159841666673</v>
      </c>
      <c r="E331" s="80">
        <v>-149.40326701388901</v>
      </c>
      <c r="F331" s="80">
        <v>746.55200000000002</v>
      </c>
      <c r="G331" s="80" t="s">
        <v>983</v>
      </c>
      <c r="J331" s="5" t="s">
        <v>472</v>
      </c>
      <c r="M331" s="86" t="str">
        <f t="shared" si="6"/>
        <v>View on Google Map</v>
      </c>
    </row>
    <row r="332" spans="1:13" x14ac:dyDescent="0.2">
      <c r="A332" s="80">
        <v>1</v>
      </c>
      <c r="B332" s="80" t="s">
        <v>1075</v>
      </c>
      <c r="C332" s="80" t="s">
        <v>1068</v>
      </c>
      <c r="D332" s="80">
        <v>68.636731430555557</v>
      </c>
      <c r="E332" s="80">
        <v>-149.38318683611101</v>
      </c>
      <c r="F332" s="80">
        <v>755.19299999999998</v>
      </c>
      <c r="G332" s="80" t="s">
        <v>983</v>
      </c>
      <c r="J332" s="5" t="s">
        <v>472</v>
      </c>
      <c r="M332" s="86" t="str">
        <f t="shared" si="6"/>
        <v>View on Google Map</v>
      </c>
    </row>
    <row r="333" spans="1:13" x14ac:dyDescent="0.2">
      <c r="A333" s="80">
        <v>1</v>
      </c>
      <c r="B333" s="80" t="s">
        <v>1076</v>
      </c>
      <c r="C333" s="80" t="s">
        <v>1068</v>
      </c>
      <c r="D333" s="80">
        <v>68.643629936111111</v>
      </c>
      <c r="E333" s="80">
        <v>-149.40249773333301</v>
      </c>
      <c r="F333" s="80">
        <v>745.85199999999998</v>
      </c>
      <c r="G333" s="80" t="s">
        <v>983</v>
      </c>
      <c r="J333" s="5" t="s">
        <v>472</v>
      </c>
      <c r="M333" s="86" t="str">
        <f t="shared" si="6"/>
        <v>View on Google Map</v>
      </c>
    </row>
    <row r="334" spans="1:13" x14ac:dyDescent="0.2">
      <c r="A334" s="80">
        <v>1</v>
      </c>
      <c r="B334" s="80" t="s">
        <v>1077</v>
      </c>
      <c r="C334" s="80" t="s">
        <v>1058</v>
      </c>
      <c r="D334" s="80">
        <v>68.644659113888892</v>
      </c>
      <c r="E334" s="80">
        <v>-149.405160461111</v>
      </c>
      <c r="F334" s="80">
        <v>744.06100000000004</v>
      </c>
      <c r="G334" s="80" t="s">
        <v>983</v>
      </c>
      <c r="J334" s="5" t="s">
        <v>472</v>
      </c>
      <c r="M334" s="86" t="str">
        <f t="shared" si="6"/>
        <v>View on Google Map</v>
      </c>
    </row>
    <row r="335" spans="1:13" x14ac:dyDescent="0.2">
      <c r="A335" s="80">
        <v>1</v>
      </c>
      <c r="B335" s="80" t="s">
        <v>1078</v>
      </c>
      <c r="C335" s="80" t="s">
        <v>843</v>
      </c>
      <c r="D335" s="80">
        <v>68.646338200000002</v>
      </c>
      <c r="E335" s="80">
        <v>-149.41002641666699</v>
      </c>
      <c r="F335" s="80">
        <v>741.68899999999996</v>
      </c>
      <c r="G335" s="80" t="s">
        <v>983</v>
      </c>
      <c r="J335" s="5" t="s">
        <v>472</v>
      </c>
      <c r="M335" s="86" t="str">
        <f t="shared" si="6"/>
        <v>View on Google Map</v>
      </c>
    </row>
    <row r="336" spans="1:13" x14ac:dyDescent="0.2">
      <c r="A336" s="80">
        <v>1</v>
      </c>
      <c r="B336" s="80" t="s">
        <v>1079</v>
      </c>
      <c r="C336" s="80" t="s">
        <v>1080</v>
      </c>
      <c r="D336" s="80">
        <v>68.646228841666669</v>
      </c>
      <c r="E336" s="80">
        <v>-149.40909021388899</v>
      </c>
      <c r="F336" s="80">
        <v>742.04</v>
      </c>
      <c r="G336" s="80" t="s">
        <v>983</v>
      </c>
      <c r="J336" s="5" t="s">
        <v>472</v>
      </c>
      <c r="M336" s="86" t="str">
        <f t="shared" si="6"/>
        <v>View on Google Map</v>
      </c>
    </row>
    <row r="337" spans="1:13" x14ac:dyDescent="0.2">
      <c r="A337" s="80">
        <v>1</v>
      </c>
      <c r="B337" s="80" t="s">
        <v>1081</v>
      </c>
      <c r="C337" s="80" t="s">
        <v>1058</v>
      </c>
      <c r="D337" s="80">
        <v>68.647812641666675</v>
      </c>
      <c r="E337" s="80">
        <v>-149.41565431111101</v>
      </c>
      <c r="F337" s="80">
        <v>738.87300000000005</v>
      </c>
      <c r="G337" s="80" t="s">
        <v>983</v>
      </c>
      <c r="J337" s="5" t="s">
        <v>472</v>
      </c>
      <c r="M337" s="86" t="str">
        <f t="shared" si="6"/>
        <v>View on Google Map</v>
      </c>
    </row>
    <row r="338" spans="1:13" x14ac:dyDescent="0.2">
      <c r="A338" s="80">
        <v>1</v>
      </c>
      <c r="B338" s="80" t="s">
        <v>1082</v>
      </c>
      <c r="C338" s="80" t="s">
        <v>843</v>
      </c>
      <c r="D338" s="80">
        <v>68.649547222222225</v>
      </c>
      <c r="E338" s="80">
        <v>-149.41615246388901</v>
      </c>
      <c r="F338" s="80">
        <v>737.07399999999996</v>
      </c>
      <c r="G338" s="80" t="s">
        <v>983</v>
      </c>
      <c r="J338" s="5" t="s">
        <v>472</v>
      </c>
      <c r="M338" s="86" t="str">
        <f t="shared" si="6"/>
        <v>View on Google Map</v>
      </c>
    </row>
    <row r="339" spans="1:13" x14ac:dyDescent="0.2">
      <c r="A339" s="80">
        <v>1</v>
      </c>
      <c r="B339" s="80" t="s">
        <v>1083</v>
      </c>
      <c r="C339" s="80" t="s">
        <v>1068</v>
      </c>
      <c r="D339" s="80">
        <v>68.65164966388889</v>
      </c>
      <c r="E339" s="80">
        <v>-149.41647778611099</v>
      </c>
      <c r="F339" s="80">
        <v>735.41800000000001</v>
      </c>
      <c r="G339" s="80" t="s">
        <v>983</v>
      </c>
      <c r="J339" s="5" t="s">
        <v>472</v>
      </c>
      <c r="M339" s="86" t="str">
        <f t="shared" si="6"/>
        <v>View on Google Map</v>
      </c>
    </row>
    <row r="340" spans="1:13" x14ac:dyDescent="0.2">
      <c r="A340" s="80">
        <v>1</v>
      </c>
      <c r="B340" s="80" t="s">
        <v>1084</v>
      </c>
      <c r="C340" s="80" t="s">
        <v>843</v>
      </c>
      <c r="D340" s="80">
        <v>68.652284541666674</v>
      </c>
      <c r="E340" s="80">
        <v>-149.41517665000001</v>
      </c>
      <c r="F340" s="80">
        <v>734.78499999999997</v>
      </c>
      <c r="G340" s="80" t="s">
        <v>983</v>
      </c>
      <c r="J340" s="5" t="s">
        <v>472</v>
      </c>
      <c r="M340" s="86" t="str">
        <f t="shared" si="6"/>
        <v>View on Google Map</v>
      </c>
    </row>
    <row r="341" spans="1:13" x14ac:dyDescent="0.2">
      <c r="A341" s="80">
        <v>1</v>
      </c>
      <c r="B341" s="80" t="s">
        <v>1085</v>
      </c>
      <c r="C341" s="80" t="s">
        <v>1058</v>
      </c>
      <c r="D341" s="80">
        <v>68.653667241666668</v>
      </c>
      <c r="E341" s="80">
        <v>-149.420855111111</v>
      </c>
      <c r="F341" s="80">
        <v>732.173</v>
      </c>
      <c r="G341" s="80" t="s">
        <v>983</v>
      </c>
      <c r="J341" s="5" t="s">
        <v>472</v>
      </c>
      <c r="M341" s="86" t="str">
        <f t="shared" si="6"/>
        <v>View on Google Map</v>
      </c>
    </row>
    <row r="342" spans="1:13" x14ac:dyDescent="0.2">
      <c r="A342" s="80">
        <v>1</v>
      </c>
      <c r="B342" s="80" t="s">
        <v>1086</v>
      </c>
      <c r="C342" s="80" t="s">
        <v>843</v>
      </c>
      <c r="D342" s="80">
        <v>68.658785577777778</v>
      </c>
      <c r="E342" s="80">
        <v>-149.42446433055599</v>
      </c>
      <c r="F342" s="80">
        <v>726.91899999999998</v>
      </c>
      <c r="G342" s="80" t="s">
        <v>983</v>
      </c>
      <c r="J342" s="5" t="s">
        <v>472</v>
      </c>
      <c r="M342" s="86" t="str">
        <f t="shared" si="6"/>
        <v>View on Google Map</v>
      </c>
    </row>
    <row r="343" spans="1:13" x14ac:dyDescent="0.2">
      <c r="A343" s="80">
        <v>1</v>
      </c>
      <c r="B343" s="80" t="s">
        <v>1087</v>
      </c>
      <c r="C343" s="80" t="s">
        <v>1088</v>
      </c>
      <c r="D343" s="80">
        <v>68.638340663999998</v>
      </c>
      <c r="E343" s="80">
        <v>-149.39350505600001</v>
      </c>
      <c r="G343" s="80" t="s">
        <v>983</v>
      </c>
      <c r="J343" s="5" t="s">
        <v>472</v>
      </c>
      <c r="M343" s="86" t="str">
        <f t="shared" si="6"/>
        <v>View on Google Map</v>
      </c>
    </row>
    <row r="344" spans="1:13" x14ac:dyDescent="0.2">
      <c r="A344" s="80">
        <v>1</v>
      </c>
      <c r="B344" s="5" t="s">
        <v>1089</v>
      </c>
      <c r="C344" s="5" t="s">
        <v>1089</v>
      </c>
      <c r="D344" s="80">
        <v>68.647525999999999</v>
      </c>
      <c r="E344" s="80">
        <v>-149.411416</v>
      </c>
      <c r="F344" s="80">
        <v>731</v>
      </c>
      <c r="G344" s="80" t="s">
        <v>471</v>
      </c>
      <c r="H344" s="80" t="s">
        <v>1090</v>
      </c>
      <c r="I344" s="80" t="s">
        <v>446</v>
      </c>
      <c r="J344" s="80" t="s">
        <v>472</v>
      </c>
      <c r="K344" s="80" t="s">
        <v>446</v>
      </c>
      <c r="L344" s="80" t="s">
        <v>446</v>
      </c>
      <c r="M344" s="86" t="str">
        <f t="shared" si="6"/>
        <v>View on Google Map</v>
      </c>
    </row>
    <row r="345" spans="1:13" x14ac:dyDescent="0.2">
      <c r="A345" s="80">
        <v>19</v>
      </c>
      <c r="B345" s="80" t="s">
        <v>1091</v>
      </c>
      <c r="C345" s="80" t="s">
        <v>446</v>
      </c>
      <c r="D345" s="80">
        <v>68.967611000000005</v>
      </c>
      <c r="E345" s="80">
        <v>-149.705342</v>
      </c>
      <c r="F345" s="80">
        <v>411</v>
      </c>
      <c r="G345" s="80" t="s">
        <v>471</v>
      </c>
      <c r="H345" s="80" t="s">
        <v>1092</v>
      </c>
      <c r="I345" s="80" t="s">
        <v>446</v>
      </c>
      <c r="J345" s="80" t="s">
        <v>472</v>
      </c>
      <c r="K345" s="80" t="s">
        <v>446</v>
      </c>
      <c r="L345" s="80" t="s">
        <v>446</v>
      </c>
      <c r="M345" s="86" t="str">
        <f t="shared" si="6"/>
        <v>View on Google Map</v>
      </c>
    </row>
    <row r="346" spans="1:13" x14ac:dyDescent="0.2">
      <c r="A346" s="80">
        <v>16</v>
      </c>
      <c r="B346" s="80" t="s">
        <v>1093</v>
      </c>
      <c r="C346" s="80" t="s">
        <v>446</v>
      </c>
      <c r="D346" s="80" t="s">
        <v>446</v>
      </c>
      <c r="E346" s="80" t="s">
        <v>446</v>
      </c>
      <c r="F346" s="80" t="s">
        <v>446</v>
      </c>
      <c r="G346" s="80" t="s">
        <v>471</v>
      </c>
      <c r="H346" s="80" t="s">
        <v>446</v>
      </c>
      <c r="I346" s="80" t="s">
        <v>446</v>
      </c>
      <c r="J346" s="80" t="s">
        <v>472</v>
      </c>
      <c r="K346" s="80" t="s">
        <v>446</v>
      </c>
      <c r="L346" s="80" t="s">
        <v>446</v>
      </c>
      <c r="M346" s="86" t="str">
        <f t="shared" si="6"/>
        <v>View on Google Map</v>
      </c>
    </row>
    <row r="347" spans="1:13" x14ac:dyDescent="0.2">
      <c r="A347" s="80">
        <v>1198</v>
      </c>
      <c r="B347" s="80" t="s">
        <v>1094</v>
      </c>
      <c r="C347" s="80" t="s">
        <v>630</v>
      </c>
      <c r="D347" s="80">
        <v>69.297460909999998</v>
      </c>
      <c r="E347" s="80">
        <v>-150.32340117999999</v>
      </c>
      <c r="F347" s="80" t="s">
        <v>446</v>
      </c>
      <c r="G347" s="80" t="s">
        <v>447</v>
      </c>
      <c r="H347" s="80" t="s">
        <v>446</v>
      </c>
      <c r="I347" s="80" t="s">
        <v>446</v>
      </c>
      <c r="J347" s="80" t="s">
        <v>453</v>
      </c>
      <c r="K347" s="80" t="s">
        <v>446</v>
      </c>
      <c r="L347" s="80" t="s">
        <v>454</v>
      </c>
      <c r="M347" s="86" t="str">
        <f t="shared" si="6"/>
        <v>View on Google Map</v>
      </c>
    </row>
    <row r="348" spans="1:13" x14ac:dyDescent="0.2">
      <c r="A348" s="80">
        <v>135</v>
      </c>
      <c r="B348" s="80" t="s">
        <v>1095</v>
      </c>
      <c r="C348" s="80" t="s">
        <v>446</v>
      </c>
      <c r="D348" s="80">
        <v>70.333333333333329</v>
      </c>
      <c r="E348" s="80">
        <v>-148.80000000000001</v>
      </c>
      <c r="F348" s="80">
        <v>4</v>
      </c>
      <c r="G348" s="80" t="s">
        <v>457</v>
      </c>
      <c r="H348" s="80" t="s">
        <v>1096</v>
      </c>
      <c r="I348" s="80" t="s">
        <v>446</v>
      </c>
      <c r="J348" s="80" t="s">
        <v>472</v>
      </c>
      <c r="K348" s="80" t="s">
        <v>446</v>
      </c>
      <c r="L348" s="80" t="s">
        <v>473</v>
      </c>
      <c r="M348" s="86" t="str">
        <f t="shared" si="6"/>
        <v>View on Google Map</v>
      </c>
    </row>
    <row r="349" spans="1:13" x14ac:dyDescent="0.2">
      <c r="A349" s="80">
        <v>126</v>
      </c>
      <c r="B349" s="80" t="s">
        <v>1097</v>
      </c>
      <c r="C349" s="80" t="s">
        <v>446</v>
      </c>
      <c r="D349" s="80">
        <v>68.733333333333334</v>
      </c>
      <c r="E349" s="80">
        <v>-148.93333333333334</v>
      </c>
      <c r="F349" s="80">
        <v>556</v>
      </c>
      <c r="G349" s="80" t="s">
        <v>457</v>
      </c>
      <c r="H349" s="80" t="s">
        <v>1098</v>
      </c>
      <c r="I349" s="80" t="s">
        <v>446</v>
      </c>
      <c r="J349" s="80" t="s">
        <v>472</v>
      </c>
      <c r="K349" s="80" t="s">
        <v>446</v>
      </c>
      <c r="L349" s="80" t="s">
        <v>473</v>
      </c>
      <c r="M349" s="86" t="str">
        <f t="shared" si="6"/>
        <v>View on Google Map</v>
      </c>
    </row>
    <row r="350" spans="1:13" x14ac:dyDescent="0.2">
      <c r="A350" s="80">
        <v>134</v>
      </c>
      <c r="B350" s="80" t="s">
        <v>1099</v>
      </c>
      <c r="C350" s="80" t="s">
        <v>446</v>
      </c>
      <c r="D350" s="80">
        <v>70.349999999999994</v>
      </c>
      <c r="E350" s="80">
        <v>-148.58333333333334</v>
      </c>
      <c r="F350" s="80">
        <v>2</v>
      </c>
      <c r="G350" s="80" t="s">
        <v>457</v>
      </c>
      <c r="H350" s="80" t="s">
        <v>1100</v>
      </c>
      <c r="I350" s="80" t="s">
        <v>446</v>
      </c>
      <c r="J350" s="80" t="s">
        <v>472</v>
      </c>
      <c r="K350" s="80" t="s">
        <v>446</v>
      </c>
      <c r="L350" s="80" t="s">
        <v>473</v>
      </c>
      <c r="M350" s="86" t="str">
        <f t="shared" si="6"/>
        <v>View on Google Map</v>
      </c>
    </row>
    <row r="351" spans="1:13" x14ac:dyDescent="0.2">
      <c r="A351" s="80">
        <v>128</v>
      </c>
      <c r="B351" s="80" t="s">
        <v>1101</v>
      </c>
      <c r="C351" s="80" t="s">
        <v>446</v>
      </c>
      <c r="D351" s="80">
        <v>69.033333333333331</v>
      </c>
      <c r="E351" s="80">
        <v>-148.85</v>
      </c>
      <c r="F351" s="80">
        <v>319</v>
      </c>
      <c r="G351" s="80" t="s">
        <v>457</v>
      </c>
      <c r="H351" s="80" t="s">
        <v>1102</v>
      </c>
      <c r="I351" s="80" t="s">
        <v>446</v>
      </c>
      <c r="J351" s="80" t="s">
        <v>472</v>
      </c>
      <c r="K351" s="80" t="s">
        <v>446</v>
      </c>
      <c r="L351" s="80" t="s">
        <v>473</v>
      </c>
      <c r="M351" s="86" t="str">
        <f t="shared" si="6"/>
        <v>View on Google Map</v>
      </c>
    </row>
    <row r="352" spans="1:13" x14ac:dyDescent="0.2">
      <c r="A352" s="80">
        <v>139</v>
      </c>
      <c r="B352" s="80" t="s">
        <v>1103</v>
      </c>
      <c r="C352" s="80" t="s">
        <v>446</v>
      </c>
      <c r="D352" s="80">
        <v>70.216666666666669</v>
      </c>
      <c r="E352" s="80">
        <v>-142.46666666666701</v>
      </c>
      <c r="F352" s="80">
        <v>15</v>
      </c>
      <c r="G352" s="80" t="s">
        <v>457</v>
      </c>
      <c r="H352" s="80" t="s">
        <v>1104</v>
      </c>
      <c r="I352" s="80" t="s">
        <v>1105</v>
      </c>
      <c r="J352" s="80" t="s">
        <v>472</v>
      </c>
      <c r="K352" s="80" t="s">
        <v>446</v>
      </c>
      <c r="L352" s="80" t="s">
        <v>473</v>
      </c>
      <c r="M352" s="86" t="str">
        <f t="shared" si="6"/>
        <v>View on Google Map</v>
      </c>
    </row>
    <row r="353" spans="1:14" x14ac:dyDescent="0.2">
      <c r="A353" s="80">
        <v>127</v>
      </c>
      <c r="B353" s="80" t="s">
        <v>1106</v>
      </c>
      <c r="C353" s="80" t="s">
        <v>446</v>
      </c>
      <c r="D353" s="80">
        <v>68.733333333333334</v>
      </c>
      <c r="E353" s="80">
        <v>-148.96666666666667</v>
      </c>
      <c r="F353" s="80">
        <v>597</v>
      </c>
      <c r="G353" s="80" t="s">
        <v>457</v>
      </c>
      <c r="H353" s="80" t="s">
        <v>1107</v>
      </c>
      <c r="I353" s="80" t="s">
        <v>446</v>
      </c>
      <c r="J353" s="80" t="s">
        <v>472</v>
      </c>
      <c r="K353" s="80" t="s">
        <v>446</v>
      </c>
      <c r="L353" s="80" t="s">
        <v>473</v>
      </c>
      <c r="M353" s="86" t="str">
        <f t="shared" si="6"/>
        <v>View on Google Map</v>
      </c>
    </row>
    <row r="354" spans="1:14" x14ac:dyDescent="0.2">
      <c r="A354" s="80">
        <v>133</v>
      </c>
      <c r="B354" s="80" t="s">
        <v>1108</v>
      </c>
      <c r="C354" s="80" t="s">
        <v>446</v>
      </c>
      <c r="D354" s="80">
        <v>70.36666666666666</v>
      </c>
      <c r="E354" s="80">
        <v>-148.5</v>
      </c>
      <c r="F354" s="80">
        <v>2</v>
      </c>
      <c r="G354" s="80" t="s">
        <v>457</v>
      </c>
      <c r="H354" s="80" t="s">
        <v>1109</v>
      </c>
      <c r="I354" s="80" t="s">
        <v>446</v>
      </c>
      <c r="J354" s="80" t="s">
        <v>472</v>
      </c>
      <c r="K354" s="80" t="s">
        <v>446</v>
      </c>
      <c r="L354" s="80" t="s">
        <v>473</v>
      </c>
      <c r="M354" s="86" t="str">
        <f t="shared" si="6"/>
        <v>View on Google Map</v>
      </c>
    </row>
    <row r="355" spans="1:14" x14ac:dyDescent="0.2">
      <c r="A355" s="80">
        <v>140</v>
      </c>
      <c r="B355" s="80" t="s">
        <v>1110</v>
      </c>
      <c r="C355" s="80" t="s">
        <v>446</v>
      </c>
      <c r="D355" s="80">
        <v>69.583333333333329</v>
      </c>
      <c r="E355" s="80">
        <v>-148.63333333333301</v>
      </c>
      <c r="F355" s="80">
        <v>145</v>
      </c>
      <c r="G355" s="80" t="s">
        <v>457</v>
      </c>
      <c r="H355" s="80" t="s">
        <v>1111</v>
      </c>
      <c r="I355" s="80" t="s">
        <v>1112</v>
      </c>
      <c r="J355" s="80" t="s">
        <v>472</v>
      </c>
      <c r="K355" s="80" t="s">
        <v>446</v>
      </c>
      <c r="L355" s="80" t="s">
        <v>473</v>
      </c>
      <c r="M355" s="86" t="str">
        <f t="shared" si="6"/>
        <v>View on Google Map</v>
      </c>
    </row>
    <row r="356" spans="1:14" x14ac:dyDescent="0.2">
      <c r="A356" s="80">
        <v>247</v>
      </c>
      <c r="B356" s="80" t="s">
        <v>1113</v>
      </c>
      <c r="C356" s="80" t="s">
        <v>1114</v>
      </c>
      <c r="D356" s="80">
        <v>68.687318124800001</v>
      </c>
      <c r="E356" s="80">
        <v>-150.043661294</v>
      </c>
      <c r="F356" s="80">
        <v>670</v>
      </c>
      <c r="G356" s="80" t="s">
        <v>457</v>
      </c>
      <c r="H356" s="80" t="s">
        <v>1115</v>
      </c>
      <c r="I356" s="80" t="s">
        <v>446</v>
      </c>
      <c r="J356" s="80" t="s">
        <v>739</v>
      </c>
      <c r="K356" s="80" t="s">
        <v>446</v>
      </c>
      <c r="L356" s="80" t="s">
        <v>740</v>
      </c>
      <c r="M356" s="86" t="str">
        <f t="shared" si="6"/>
        <v>View on Google Map</v>
      </c>
      <c r="N356" s="80">
        <f t="shared" ref="N356:N419" si="7">VALUE(MID(H356,5,3))</f>
        <v>1</v>
      </c>
    </row>
    <row r="357" spans="1:14" x14ac:dyDescent="0.2">
      <c r="A357" s="80">
        <v>248</v>
      </c>
      <c r="B357" s="80" t="s">
        <v>1116</v>
      </c>
      <c r="C357" s="80" t="s">
        <v>1117</v>
      </c>
      <c r="D357" s="80">
        <v>68.691799913400004</v>
      </c>
      <c r="E357" s="80">
        <v>-150.04995633499999</v>
      </c>
      <c r="F357" s="80">
        <v>670</v>
      </c>
      <c r="G357" s="80" t="s">
        <v>457</v>
      </c>
      <c r="H357" s="80" t="s">
        <v>1118</v>
      </c>
      <c r="I357" s="80" t="s">
        <v>446</v>
      </c>
      <c r="J357" s="80" t="s">
        <v>739</v>
      </c>
      <c r="K357" s="80" t="s">
        <v>446</v>
      </c>
      <c r="L357" s="80" t="s">
        <v>740</v>
      </c>
      <c r="M357" s="86" t="str">
        <f t="shared" si="6"/>
        <v>View on Google Map</v>
      </c>
      <c r="N357" s="80">
        <f t="shared" si="7"/>
        <v>2</v>
      </c>
    </row>
    <row r="358" spans="1:14" x14ac:dyDescent="0.2">
      <c r="A358" s="80">
        <v>249</v>
      </c>
      <c r="B358" s="80" t="s">
        <v>1119</v>
      </c>
      <c r="C358" s="80" t="s">
        <v>1120</v>
      </c>
      <c r="D358" s="80">
        <v>68.692272706200001</v>
      </c>
      <c r="E358" s="80">
        <v>-150.05393183499999</v>
      </c>
      <c r="F358" s="80">
        <v>670</v>
      </c>
      <c r="G358" s="80" t="s">
        <v>457</v>
      </c>
      <c r="H358" s="80" t="s">
        <v>1121</v>
      </c>
      <c r="I358" s="80" t="s">
        <v>446</v>
      </c>
      <c r="J358" s="80" t="s">
        <v>739</v>
      </c>
      <c r="K358" s="80" t="s">
        <v>446</v>
      </c>
      <c r="L358" s="80" t="s">
        <v>740</v>
      </c>
      <c r="M358" s="86" t="str">
        <f t="shared" si="6"/>
        <v>View on Google Map</v>
      </c>
      <c r="N358" s="80">
        <f t="shared" si="7"/>
        <v>3</v>
      </c>
    </row>
    <row r="359" spans="1:14" x14ac:dyDescent="0.2">
      <c r="A359" s="80">
        <v>250</v>
      </c>
      <c r="B359" s="80" t="s">
        <v>1122</v>
      </c>
      <c r="C359" s="80" t="s">
        <v>1123</v>
      </c>
      <c r="D359" s="80">
        <v>68.694180615799993</v>
      </c>
      <c r="E359" s="80">
        <v>-150.05828837300001</v>
      </c>
      <c r="F359" s="80">
        <v>670</v>
      </c>
      <c r="G359" s="80" t="s">
        <v>457</v>
      </c>
      <c r="H359" s="80" t="s">
        <v>1124</v>
      </c>
      <c r="I359" s="80" t="s">
        <v>446</v>
      </c>
      <c r="J359" s="80" t="s">
        <v>739</v>
      </c>
      <c r="K359" s="80" t="s">
        <v>446</v>
      </c>
      <c r="L359" s="80" t="s">
        <v>740</v>
      </c>
      <c r="M359" s="86" t="str">
        <f t="shared" si="6"/>
        <v>View on Google Map</v>
      </c>
      <c r="N359" s="80">
        <f t="shared" si="7"/>
        <v>4</v>
      </c>
    </row>
    <row r="360" spans="1:14" x14ac:dyDescent="0.2">
      <c r="A360" s="80">
        <v>251</v>
      </c>
      <c r="B360" s="80" t="s">
        <v>1125</v>
      </c>
      <c r="C360" s="80" t="s">
        <v>1126</v>
      </c>
      <c r="D360" s="80">
        <v>68.7077131315</v>
      </c>
      <c r="E360" s="80">
        <v>-150.04654580600001</v>
      </c>
      <c r="F360" s="80">
        <v>580</v>
      </c>
      <c r="G360" s="80" t="s">
        <v>457</v>
      </c>
      <c r="H360" s="80" t="s">
        <v>1127</v>
      </c>
      <c r="I360" s="80" t="s">
        <v>446</v>
      </c>
      <c r="J360" s="80" t="s">
        <v>739</v>
      </c>
      <c r="K360" s="80" t="s">
        <v>446</v>
      </c>
      <c r="L360" s="80" t="s">
        <v>740</v>
      </c>
      <c r="M360" s="86" t="str">
        <f t="shared" si="6"/>
        <v>View on Google Map</v>
      </c>
      <c r="N360" s="80">
        <f t="shared" si="7"/>
        <v>5</v>
      </c>
    </row>
    <row r="361" spans="1:14" x14ac:dyDescent="0.2">
      <c r="A361" s="80">
        <v>252</v>
      </c>
      <c r="B361" s="80" t="s">
        <v>1128</v>
      </c>
      <c r="C361" s="80" t="s">
        <v>1129</v>
      </c>
      <c r="D361" s="80">
        <v>68.713583961699996</v>
      </c>
      <c r="E361" s="80">
        <v>-150.03096474</v>
      </c>
      <c r="F361" s="80">
        <v>550</v>
      </c>
      <c r="G361" s="80" t="s">
        <v>457</v>
      </c>
      <c r="H361" s="80" t="s">
        <v>1130</v>
      </c>
      <c r="I361" s="80" t="s">
        <v>446</v>
      </c>
      <c r="J361" s="80" t="s">
        <v>739</v>
      </c>
      <c r="K361" s="80" t="s">
        <v>446</v>
      </c>
      <c r="L361" s="80" t="s">
        <v>740</v>
      </c>
      <c r="M361" s="86" t="str">
        <f t="shared" si="6"/>
        <v>View on Google Map</v>
      </c>
      <c r="N361" s="80">
        <f t="shared" si="7"/>
        <v>6</v>
      </c>
    </row>
    <row r="362" spans="1:14" x14ac:dyDescent="0.2">
      <c r="A362" s="80">
        <v>253</v>
      </c>
      <c r="B362" s="80" t="s">
        <v>1131</v>
      </c>
      <c r="C362" s="80" t="s">
        <v>1132</v>
      </c>
      <c r="D362" s="80">
        <v>68.717696468200003</v>
      </c>
      <c r="E362" s="80">
        <v>-150.03558023400001</v>
      </c>
      <c r="F362" s="80">
        <v>550</v>
      </c>
      <c r="G362" s="80" t="s">
        <v>457</v>
      </c>
      <c r="H362" s="80" t="s">
        <v>1133</v>
      </c>
      <c r="I362" s="80" t="s">
        <v>446</v>
      </c>
      <c r="J362" s="80" t="s">
        <v>739</v>
      </c>
      <c r="K362" s="80" t="s">
        <v>446</v>
      </c>
      <c r="L362" s="80" t="s">
        <v>740</v>
      </c>
      <c r="M362" s="86" t="str">
        <f t="shared" si="6"/>
        <v>View on Google Map</v>
      </c>
      <c r="N362" s="80">
        <f t="shared" si="7"/>
        <v>7</v>
      </c>
    </row>
    <row r="363" spans="1:14" x14ac:dyDescent="0.2">
      <c r="A363" s="80">
        <v>254</v>
      </c>
      <c r="B363" s="80" t="s">
        <v>1134</v>
      </c>
      <c r="C363" s="80" t="s">
        <v>1135</v>
      </c>
      <c r="D363" s="80">
        <v>68.724625849299997</v>
      </c>
      <c r="E363" s="80">
        <v>-150.02664640699999</v>
      </c>
      <c r="F363" s="80">
        <v>520</v>
      </c>
      <c r="G363" s="80" t="s">
        <v>457</v>
      </c>
      <c r="H363" s="80" t="s">
        <v>1136</v>
      </c>
      <c r="I363" s="80" t="s">
        <v>446</v>
      </c>
      <c r="J363" s="80" t="s">
        <v>739</v>
      </c>
      <c r="K363" s="80" t="s">
        <v>446</v>
      </c>
      <c r="L363" s="80" t="s">
        <v>740</v>
      </c>
      <c r="M363" s="86" t="str">
        <f t="shared" si="6"/>
        <v>View on Google Map</v>
      </c>
      <c r="N363" s="80">
        <f t="shared" si="7"/>
        <v>8</v>
      </c>
    </row>
    <row r="364" spans="1:14" x14ac:dyDescent="0.2">
      <c r="A364" s="80">
        <v>255</v>
      </c>
      <c r="B364" s="80" t="s">
        <v>1137</v>
      </c>
      <c r="C364" s="80" t="s">
        <v>1138</v>
      </c>
      <c r="D364" s="80">
        <v>68.728073916699998</v>
      </c>
      <c r="E364" s="80">
        <v>-150.03359923599999</v>
      </c>
      <c r="F364" s="80">
        <v>520</v>
      </c>
      <c r="G364" s="80" t="s">
        <v>457</v>
      </c>
      <c r="H364" s="80" t="s">
        <v>1139</v>
      </c>
      <c r="I364" s="80" t="s">
        <v>446</v>
      </c>
      <c r="J364" s="80" t="s">
        <v>739</v>
      </c>
      <c r="K364" s="80" t="s">
        <v>446</v>
      </c>
      <c r="L364" s="80" t="s">
        <v>740</v>
      </c>
      <c r="M364" s="86" t="str">
        <f t="shared" si="6"/>
        <v>View on Google Map</v>
      </c>
      <c r="N364" s="80">
        <f t="shared" si="7"/>
        <v>9</v>
      </c>
    </row>
    <row r="365" spans="1:14" x14ac:dyDescent="0.2">
      <c r="A365" s="80">
        <v>256</v>
      </c>
      <c r="B365" s="80" t="s">
        <v>1140</v>
      </c>
      <c r="C365" s="80" t="s">
        <v>1141</v>
      </c>
      <c r="D365" s="80">
        <v>68.701700654700005</v>
      </c>
      <c r="E365" s="80">
        <v>-149.74902999599999</v>
      </c>
      <c r="F365" s="80">
        <v>760</v>
      </c>
      <c r="G365" s="80" t="s">
        <v>457</v>
      </c>
      <c r="H365" s="80" t="s">
        <v>1142</v>
      </c>
      <c r="I365" s="80" t="s">
        <v>446</v>
      </c>
      <c r="J365" s="80" t="s">
        <v>739</v>
      </c>
      <c r="K365" s="80" t="s">
        <v>446</v>
      </c>
      <c r="L365" s="80" t="s">
        <v>740</v>
      </c>
      <c r="M365" s="86" t="str">
        <f t="shared" si="6"/>
        <v>View on Google Map</v>
      </c>
      <c r="N365" s="80">
        <f t="shared" si="7"/>
        <v>10</v>
      </c>
    </row>
    <row r="366" spans="1:14" x14ac:dyDescent="0.2">
      <c r="A366" s="80">
        <v>257</v>
      </c>
      <c r="B366" s="80" t="s">
        <v>1143</v>
      </c>
      <c r="C366" s="80" t="s">
        <v>1144</v>
      </c>
      <c r="D366" s="80">
        <v>68.701945515000006</v>
      </c>
      <c r="E366" s="80">
        <v>-149.745520981</v>
      </c>
      <c r="F366" s="80">
        <v>760</v>
      </c>
      <c r="G366" s="80" t="s">
        <v>457</v>
      </c>
      <c r="H366" s="80" t="s">
        <v>1145</v>
      </c>
      <c r="I366" s="80" t="s">
        <v>446</v>
      </c>
      <c r="J366" s="80" t="s">
        <v>739</v>
      </c>
      <c r="K366" s="80" t="s">
        <v>446</v>
      </c>
      <c r="L366" s="80" t="s">
        <v>740</v>
      </c>
      <c r="M366" s="86" t="str">
        <f t="shared" si="6"/>
        <v>View on Google Map</v>
      </c>
      <c r="N366" s="80">
        <f t="shared" si="7"/>
        <v>11</v>
      </c>
    </row>
    <row r="367" spans="1:14" x14ac:dyDescent="0.2">
      <c r="A367" s="80">
        <v>258</v>
      </c>
      <c r="B367" s="80" t="s">
        <v>1146</v>
      </c>
      <c r="C367" s="80" t="s">
        <v>1147</v>
      </c>
      <c r="D367" s="80">
        <v>68.704802601699996</v>
      </c>
      <c r="E367" s="80">
        <v>-149.73409678600001</v>
      </c>
      <c r="F367" s="80">
        <v>730</v>
      </c>
      <c r="G367" s="80" t="s">
        <v>457</v>
      </c>
      <c r="H367" s="80" t="s">
        <v>1148</v>
      </c>
      <c r="I367" s="80" t="s">
        <v>446</v>
      </c>
      <c r="J367" s="80" t="s">
        <v>739</v>
      </c>
      <c r="K367" s="80" t="s">
        <v>446</v>
      </c>
      <c r="L367" s="80" t="s">
        <v>740</v>
      </c>
      <c r="M367" s="86" t="str">
        <f t="shared" si="6"/>
        <v>View on Google Map</v>
      </c>
      <c r="N367" s="80">
        <f t="shared" si="7"/>
        <v>12</v>
      </c>
    </row>
    <row r="368" spans="1:14" x14ac:dyDescent="0.2">
      <c r="A368" s="80">
        <v>259</v>
      </c>
      <c r="B368" s="80" t="s">
        <v>1149</v>
      </c>
      <c r="C368" s="80" t="s">
        <v>1150</v>
      </c>
      <c r="D368" s="80">
        <v>68.703579720799993</v>
      </c>
      <c r="E368" s="80">
        <v>-149.717697128</v>
      </c>
      <c r="F368" s="80">
        <v>690</v>
      </c>
      <c r="G368" s="80" t="s">
        <v>457</v>
      </c>
      <c r="H368" s="80" t="s">
        <v>1151</v>
      </c>
      <c r="I368" s="80" t="s">
        <v>446</v>
      </c>
      <c r="J368" s="80" t="s">
        <v>739</v>
      </c>
      <c r="K368" s="80" t="s">
        <v>446</v>
      </c>
      <c r="L368" s="80" t="s">
        <v>740</v>
      </c>
      <c r="M368" s="86" t="str">
        <f t="shared" si="6"/>
        <v>View on Google Map</v>
      </c>
      <c r="N368" s="80">
        <f t="shared" si="7"/>
        <v>13</v>
      </c>
    </row>
    <row r="369" spans="1:14" x14ac:dyDescent="0.2">
      <c r="A369" s="80">
        <v>260</v>
      </c>
      <c r="B369" s="80" t="s">
        <v>1152</v>
      </c>
      <c r="C369" s="80" t="s">
        <v>1153</v>
      </c>
      <c r="D369" s="80">
        <v>68.702004088500004</v>
      </c>
      <c r="E369" s="80">
        <v>-149.71011160800001</v>
      </c>
      <c r="F369" s="80">
        <v>650</v>
      </c>
      <c r="G369" s="80" t="s">
        <v>457</v>
      </c>
      <c r="H369" s="80" t="s">
        <v>1154</v>
      </c>
      <c r="I369" s="80" t="s">
        <v>446</v>
      </c>
      <c r="J369" s="80" t="s">
        <v>739</v>
      </c>
      <c r="K369" s="80" t="s">
        <v>446</v>
      </c>
      <c r="L369" s="80" t="s">
        <v>740</v>
      </c>
      <c r="M369" s="86" t="str">
        <f t="shared" si="6"/>
        <v>View on Google Map</v>
      </c>
      <c r="N369" s="80">
        <f t="shared" si="7"/>
        <v>14</v>
      </c>
    </row>
    <row r="370" spans="1:14" x14ac:dyDescent="0.2">
      <c r="A370" s="80">
        <v>261</v>
      </c>
      <c r="B370" s="80" t="s">
        <v>1155</v>
      </c>
      <c r="C370" s="80" t="s">
        <v>1156</v>
      </c>
      <c r="D370" s="80">
        <v>68.707978848899998</v>
      </c>
      <c r="E370" s="80">
        <v>-149.715105897</v>
      </c>
      <c r="F370" s="80">
        <v>650</v>
      </c>
      <c r="G370" s="80" t="s">
        <v>457</v>
      </c>
      <c r="H370" s="80" t="s">
        <v>1157</v>
      </c>
      <c r="I370" s="80" t="s">
        <v>446</v>
      </c>
      <c r="J370" s="80" t="s">
        <v>739</v>
      </c>
      <c r="K370" s="80" t="s">
        <v>446</v>
      </c>
      <c r="L370" s="80" t="s">
        <v>740</v>
      </c>
      <c r="M370" s="86" t="str">
        <f t="shared" si="6"/>
        <v>View on Google Map</v>
      </c>
      <c r="N370" s="80">
        <f t="shared" si="7"/>
        <v>15</v>
      </c>
    </row>
    <row r="371" spans="1:14" x14ac:dyDescent="0.2">
      <c r="A371" s="80">
        <v>262</v>
      </c>
      <c r="B371" s="80" t="s">
        <v>1158</v>
      </c>
      <c r="C371" s="80" t="s">
        <v>1159</v>
      </c>
      <c r="D371" s="80">
        <v>68.707847844300005</v>
      </c>
      <c r="E371" s="80">
        <v>-149.69962200099999</v>
      </c>
      <c r="F371" s="80">
        <v>650</v>
      </c>
      <c r="G371" s="80" t="s">
        <v>457</v>
      </c>
      <c r="H371" s="80" t="s">
        <v>1160</v>
      </c>
      <c r="I371" s="80" t="s">
        <v>446</v>
      </c>
      <c r="J371" s="80" t="s">
        <v>739</v>
      </c>
      <c r="K371" s="80" t="s">
        <v>446</v>
      </c>
      <c r="L371" s="80" t="s">
        <v>740</v>
      </c>
      <c r="M371" s="86" t="str">
        <f t="shared" si="6"/>
        <v>View on Google Map</v>
      </c>
      <c r="N371" s="80">
        <f t="shared" si="7"/>
        <v>16</v>
      </c>
    </row>
    <row r="372" spans="1:14" x14ac:dyDescent="0.2">
      <c r="A372" s="80">
        <v>263</v>
      </c>
      <c r="B372" s="80" t="s">
        <v>1161</v>
      </c>
      <c r="C372" s="80" t="s">
        <v>1162</v>
      </c>
      <c r="D372" s="80">
        <v>68.7041606871</v>
      </c>
      <c r="E372" s="80">
        <v>-149.68743035400001</v>
      </c>
      <c r="F372" s="80">
        <v>650</v>
      </c>
      <c r="G372" s="80" t="s">
        <v>457</v>
      </c>
      <c r="H372" s="80" t="s">
        <v>1163</v>
      </c>
      <c r="I372" s="80" t="s">
        <v>446</v>
      </c>
      <c r="J372" s="80" t="s">
        <v>739</v>
      </c>
      <c r="K372" s="80" t="s">
        <v>446</v>
      </c>
      <c r="L372" s="80" t="s">
        <v>740</v>
      </c>
      <c r="M372" s="86" t="str">
        <f t="shared" si="6"/>
        <v>View on Google Map</v>
      </c>
      <c r="N372" s="80">
        <f t="shared" si="7"/>
        <v>17</v>
      </c>
    </row>
    <row r="373" spans="1:14" x14ac:dyDescent="0.2">
      <c r="A373" s="80">
        <v>264</v>
      </c>
      <c r="B373" s="80" t="s">
        <v>1164</v>
      </c>
      <c r="C373" s="80" t="s">
        <v>1165</v>
      </c>
      <c r="D373" s="80">
        <v>68.699385523999993</v>
      </c>
      <c r="E373" s="80">
        <v>-149.69396666399999</v>
      </c>
      <c r="F373" s="80">
        <v>650</v>
      </c>
      <c r="G373" s="80" t="s">
        <v>457</v>
      </c>
      <c r="H373" s="80" t="s">
        <v>1166</v>
      </c>
      <c r="I373" s="80" t="s">
        <v>446</v>
      </c>
      <c r="J373" s="80" t="s">
        <v>739</v>
      </c>
      <c r="K373" s="80" t="s">
        <v>446</v>
      </c>
      <c r="L373" s="80" t="s">
        <v>740</v>
      </c>
      <c r="M373" s="86" t="str">
        <f t="shared" si="6"/>
        <v>View on Google Map</v>
      </c>
      <c r="N373" s="80">
        <f t="shared" si="7"/>
        <v>18</v>
      </c>
    </row>
    <row r="374" spans="1:14" x14ac:dyDescent="0.2">
      <c r="A374" s="80">
        <v>265</v>
      </c>
      <c r="B374" s="80" t="s">
        <v>1167</v>
      </c>
      <c r="C374" s="80" t="s">
        <v>1168</v>
      </c>
      <c r="D374" s="80">
        <v>68.7022801743</v>
      </c>
      <c r="E374" s="80">
        <v>-149.70382138400001</v>
      </c>
      <c r="F374" s="80">
        <v>650</v>
      </c>
      <c r="G374" s="80" t="s">
        <v>457</v>
      </c>
      <c r="H374" s="80" t="s">
        <v>1169</v>
      </c>
      <c r="I374" s="80" t="s">
        <v>446</v>
      </c>
      <c r="J374" s="80" t="s">
        <v>739</v>
      </c>
      <c r="K374" s="80" t="s">
        <v>446</v>
      </c>
      <c r="L374" s="80" t="s">
        <v>740</v>
      </c>
      <c r="M374" s="86" t="str">
        <f t="shared" si="6"/>
        <v>View on Google Map</v>
      </c>
      <c r="N374" s="80">
        <f t="shared" si="7"/>
        <v>19</v>
      </c>
    </row>
    <row r="375" spans="1:14" x14ac:dyDescent="0.2">
      <c r="A375" s="80">
        <v>266</v>
      </c>
      <c r="B375" s="80" t="s">
        <v>1170</v>
      </c>
      <c r="C375" s="80" t="s">
        <v>1171</v>
      </c>
      <c r="D375" s="80">
        <v>68.691324054399999</v>
      </c>
      <c r="E375" s="80">
        <v>-149.78520674699999</v>
      </c>
      <c r="F375" s="80">
        <v>650</v>
      </c>
      <c r="G375" s="80" t="s">
        <v>457</v>
      </c>
      <c r="H375" s="80" t="s">
        <v>1172</v>
      </c>
      <c r="I375" s="80" t="s">
        <v>446</v>
      </c>
      <c r="J375" s="80" t="s">
        <v>739</v>
      </c>
      <c r="K375" s="80" t="s">
        <v>446</v>
      </c>
      <c r="L375" s="80" t="s">
        <v>740</v>
      </c>
      <c r="M375" s="86" t="str">
        <f t="shared" si="6"/>
        <v>View on Google Map</v>
      </c>
      <c r="N375" s="80">
        <f t="shared" si="7"/>
        <v>20</v>
      </c>
    </row>
    <row r="376" spans="1:14" x14ac:dyDescent="0.2">
      <c r="A376" s="80">
        <v>267</v>
      </c>
      <c r="B376" s="80" t="s">
        <v>1173</v>
      </c>
      <c r="C376" s="80" t="s">
        <v>1174</v>
      </c>
      <c r="D376" s="80">
        <v>68.682528721799997</v>
      </c>
      <c r="E376" s="80">
        <v>-149.77156908800001</v>
      </c>
      <c r="F376" s="80">
        <v>630</v>
      </c>
      <c r="G376" s="80" t="s">
        <v>457</v>
      </c>
      <c r="H376" s="80" t="s">
        <v>1175</v>
      </c>
      <c r="I376" s="80" t="s">
        <v>446</v>
      </c>
      <c r="J376" s="80" t="s">
        <v>739</v>
      </c>
      <c r="K376" s="80" t="s">
        <v>446</v>
      </c>
      <c r="L376" s="80" t="s">
        <v>740</v>
      </c>
      <c r="M376" s="86" t="str">
        <f t="shared" si="6"/>
        <v>View on Google Map</v>
      </c>
      <c r="N376" s="80">
        <f t="shared" si="7"/>
        <v>21</v>
      </c>
    </row>
    <row r="377" spans="1:14" x14ac:dyDescent="0.2">
      <c r="A377" s="80">
        <v>268</v>
      </c>
      <c r="B377" s="80" t="s">
        <v>1176</v>
      </c>
      <c r="C377" s="80" t="s">
        <v>1177</v>
      </c>
      <c r="D377" s="80">
        <v>68.6833666064</v>
      </c>
      <c r="E377" s="80">
        <v>-149.78602037900001</v>
      </c>
      <c r="F377" s="80">
        <v>620</v>
      </c>
      <c r="G377" s="80" t="s">
        <v>457</v>
      </c>
      <c r="H377" s="80" t="s">
        <v>1178</v>
      </c>
      <c r="I377" s="80" t="s">
        <v>446</v>
      </c>
      <c r="J377" s="80" t="s">
        <v>739</v>
      </c>
      <c r="K377" s="80" t="s">
        <v>446</v>
      </c>
      <c r="L377" s="80" t="s">
        <v>740</v>
      </c>
      <c r="M377" s="86" t="str">
        <f t="shared" si="6"/>
        <v>View on Google Map</v>
      </c>
      <c r="N377" s="80">
        <f t="shared" si="7"/>
        <v>22</v>
      </c>
    </row>
    <row r="378" spans="1:14" x14ac:dyDescent="0.2">
      <c r="A378" s="80">
        <v>269</v>
      </c>
      <c r="B378" s="80" t="s">
        <v>1179</v>
      </c>
      <c r="C378" s="80" t="s">
        <v>1180</v>
      </c>
      <c r="D378" s="80">
        <v>68.685049484000004</v>
      </c>
      <c r="E378" s="80">
        <v>-149.801322572</v>
      </c>
      <c r="F378" s="80">
        <v>590</v>
      </c>
      <c r="G378" s="80" t="s">
        <v>457</v>
      </c>
      <c r="H378" s="80" t="s">
        <v>1181</v>
      </c>
      <c r="I378" s="80" t="s">
        <v>446</v>
      </c>
      <c r="J378" s="80" t="s">
        <v>739</v>
      </c>
      <c r="K378" s="80" t="s">
        <v>446</v>
      </c>
      <c r="L378" s="80" t="s">
        <v>740</v>
      </c>
      <c r="M378" s="86" t="str">
        <f t="shared" si="6"/>
        <v>View on Google Map</v>
      </c>
      <c r="N378" s="80">
        <f t="shared" si="7"/>
        <v>23</v>
      </c>
    </row>
    <row r="379" spans="1:14" x14ac:dyDescent="0.2">
      <c r="A379" s="80">
        <v>270</v>
      </c>
      <c r="B379" s="80" t="s">
        <v>1182</v>
      </c>
      <c r="C379" s="80" t="s">
        <v>1183</v>
      </c>
      <c r="D379" s="80">
        <v>68.6853960145</v>
      </c>
      <c r="E379" s="80">
        <v>-149.80798693200001</v>
      </c>
      <c r="F379" s="80">
        <v>590</v>
      </c>
      <c r="G379" s="80" t="s">
        <v>457</v>
      </c>
      <c r="H379" s="80" t="s">
        <v>1184</v>
      </c>
      <c r="I379" s="80" t="s">
        <v>446</v>
      </c>
      <c r="J379" s="80" t="s">
        <v>739</v>
      </c>
      <c r="K379" s="80" t="s">
        <v>446</v>
      </c>
      <c r="L379" s="80" t="s">
        <v>740</v>
      </c>
      <c r="M379" s="86" t="str">
        <f t="shared" si="6"/>
        <v>View on Google Map</v>
      </c>
      <c r="N379" s="80">
        <f t="shared" si="7"/>
        <v>24</v>
      </c>
    </row>
    <row r="380" spans="1:14" x14ac:dyDescent="0.2">
      <c r="A380" s="80">
        <v>271</v>
      </c>
      <c r="B380" s="80" t="s">
        <v>1185</v>
      </c>
      <c r="C380" s="80" t="s">
        <v>1186</v>
      </c>
      <c r="D380" s="80">
        <v>68.682885549900007</v>
      </c>
      <c r="E380" s="80">
        <v>-149.809163652</v>
      </c>
      <c r="F380" s="80">
        <v>590</v>
      </c>
      <c r="G380" s="80" t="s">
        <v>457</v>
      </c>
      <c r="H380" s="80" t="s">
        <v>1187</v>
      </c>
      <c r="I380" s="80" t="s">
        <v>446</v>
      </c>
      <c r="J380" s="80" t="s">
        <v>739</v>
      </c>
      <c r="K380" s="80" t="s">
        <v>446</v>
      </c>
      <c r="L380" s="80" t="s">
        <v>740</v>
      </c>
      <c r="M380" s="86" t="str">
        <f t="shared" si="6"/>
        <v>View on Google Map</v>
      </c>
      <c r="N380" s="80">
        <f t="shared" si="7"/>
        <v>25</v>
      </c>
    </row>
    <row r="381" spans="1:14" x14ac:dyDescent="0.2">
      <c r="A381" s="80">
        <v>272</v>
      </c>
      <c r="B381" s="80" t="s">
        <v>1188</v>
      </c>
      <c r="C381" s="80" t="s">
        <v>1189</v>
      </c>
      <c r="D381" s="80">
        <v>68.682270906200003</v>
      </c>
      <c r="E381" s="80">
        <v>-149.81202356599999</v>
      </c>
      <c r="F381" s="80" t="s">
        <v>446</v>
      </c>
      <c r="G381" s="80" t="s">
        <v>457</v>
      </c>
      <c r="H381" s="80" t="s">
        <v>1190</v>
      </c>
      <c r="I381" s="80" t="s">
        <v>446</v>
      </c>
      <c r="J381" s="80" t="s">
        <v>739</v>
      </c>
      <c r="K381" s="80" t="s">
        <v>446</v>
      </c>
      <c r="L381" s="80" t="s">
        <v>740</v>
      </c>
      <c r="M381" s="86" t="str">
        <f t="shared" si="6"/>
        <v>View on Google Map</v>
      </c>
      <c r="N381" s="80">
        <f t="shared" si="7"/>
        <v>26</v>
      </c>
    </row>
    <row r="382" spans="1:14" x14ac:dyDescent="0.2">
      <c r="A382" s="80">
        <v>315</v>
      </c>
      <c r="B382" s="80" t="s">
        <v>1191</v>
      </c>
      <c r="C382" s="80" t="s">
        <v>1192</v>
      </c>
      <c r="D382" s="80">
        <v>68.568206306199997</v>
      </c>
      <c r="E382" s="80">
        <v>-149.167395043</v>
      </c>
      <c r="F382" s="80" t="s">
        <v>446</v>
      </c>
      <c r="G382" s="80" t="s">
        <v>457</v>
      </c>
      <c r="H382" s="80" t="s">
        <v>1193</v>
      </c>
      <c r="I382" s="80" t="s">
        <v>446</v>
      </c>
      <c r="J382" s="80" t="s">
        <v>739</v>
      </c>
      <c r="K382" s="80" t="s">
        <v>446</v>
      </c>
      <c r="L382" s="80" t="s">
        <v>740</v>
      </c>
      <c r="M382" s="86" t="str">
        <f t="shared" si="6"/>
        <v>View on Google Map</v>
      </c>
      <c r="N382" s="80">
        <f t="shared" si="7"/>
        <v>27</v>
      </c>
    </row>
    <row r="383" spans="1:14" x14ac:dyDescent="0.2">
      <c r="A383" s="80">
        <v>316</v>
      </c>
      <c r="B383" s="80" t="s">
        <v>1194</v>
      </c>
      <c r="C383" s="80" t="s">
        <v>1195</v>
      </c>
      <c r="D383" s="80">
        <v>68.563566134699997</v>
      </c>
      <c r="E383" s="80">
        <v>-149.17548626199999</v>
      </c>
      <c r="F383" s="80" t="s">
        <v>446</v>
      </c>
      <c r="G383" s="80" t="s">
        <v>457</v>
      </c>
      <c r="H383" s="80" t="s">
        <v>1196</v>
      </c>
      <c r="I383" s="80" t="s">
        <v>446</v>
      </c>
      <c r="J383" s="80" t="s">
        <v>739</v>
      </c>
      <c r="K383" s="80" t="s">
        <v>446</v>
      </c>
      <c r="L383" s="80" t="s">
        <v>740</v>
      </c>
      <c r="M383" s="86" t="str">
        <f t="shared" si="6"/>
        <v>View on Google Map</v>
      </c>
      <c r="N383" s="80">
        <f t="shared" si="7"/>
        <v>28</v>
      </c>
    </row>
    <row r="384" spans="1:14" x14ac:dyDescent="0.2">
      <c r="A384" s="80">
        <v>317</v>
      </c>
      <c r="B384" s="80" t="s">
        <v>1197</v>
      </c>
      <c r="C384" s="80" t="s">
        <v>1198</v>
      </c>
      <c r="D384" s="80">
        <v>68.567753827800004</v>
      </c>
      <c r="E384" s="80">
        <v>-149.18255546</v>
      </c>
      <c r="F384" s="80" t="s">
        <v>446</v>
      </c>
      <c r="G384" s="80" t="s">
        <v>457</v>
      </c>
      <c r="H384" s="80" t="s">
        <v>1199</v>
      </c>
      <c r="I384" s="80" t="s">
        <v>446</v>
      </c>
      <c r="J384" s="80" t="s">
        <v>739</v>
      </c>
      <c r="K384" s="80" t="s">
        <v>446</v>
      </c>
      <c r="L384" s="80" t="s">
        <v>740</v>
      </c>
      <c r="M384" s="86" t="str">
        <f t="shared" si="6"/>
        <v>View on Google Map</v>
      </c>
      <c r="N384" s="80">
        <f t="shared" si="7"/>
        <v>29</v>
      </c>
    </row>
    <row r="385" spans="1:14" x14ac:dyDescent="0.2">
      <c r="A385" s="80">
        <v>318</v>
      </c>
      <c r="B385" s="80" t="s">
        <v>1200</v>
      </c>
      <c r="C385" s="80" t="s">
        <v>1201</v>
      </c>
      <c r="D385" s="80">
        <v>68.575143231300004</v>
      </c>
      <c r="E385" s="80">
        <v>-149.187493434</v>
      </c>
      <c r="F385" s="80">
        <v>899</v>
      </c>
      <c r="G385" s="80" t="s">
        <v>457</v>
      </c>
      <c r="H385" s="80" t="s">
        <v>1202</v>
      </c>
      <c r="I385" s="80" t="s">
        <v>446</v>
      </c>
      <c r="J385" s="80" t="s">
        <v>739</v>
      </c>
      <c r="K385" s="80" t="s">
        <v>446</v>
      </c>
      <c r="L385" s="80" t="s">
        <v>740</v>
      </c>
      <c r="M385" s="86" t="str">
        <f t="shared" si="6"/>
        <v>View on Google Map</v>
      </c>
      <c r="N385" s="80">
        <f t="shared" si="7"/>
        <v>30</v>
      </c>
    </row>
    <row r="386" spans="1:14" x14ac:dyDescent="0.2">
      <c r="A386" s="80">
        <v>319</v>
      </c>
      <c r="B386" s="80" t="s">
        <v>1203</v>
      </c>
      <c r="C386" s="80" t="s">
        <v>1204</v>
      </c>
      <c r="D386" s="80">
        <v>68.575979722100001</v>
      </c>
      <c r="E386" s="80">
        <v>-149.19939190100001</v>
      </c>
      <c r="F386" s="80" t="s">
        <v>446</v>
      </c>
      <c r="G386" s="80" t="s">
        <v>457</v>
      </c>
      <c r="H386" s="80" t="s">
        <v>1205</v>
      </c>
      <c r="I386" s="80" t="s">
        <v>446</v>
      </c>
      <c r="J386" s="80" t="s">
        <v>739</v>
      </c>
      <c r="K386" s="80" t="s">
        <v>446</v>
      </c>
      <c r="L386" s="80" t="s">
        <v>740</v>
      </c>
      <c r="M386" s="86" t="str">
        <f t="shared" si="6"/>
        <v>View on Google Map</v>
      </c>
      <c r="N386" s="80">
        <f t="shared" si="7"/>
        <v>31</v>
      </c>
    </row>
    <row r="387" spans="1:14" x14ac:dyDescent="0.2">
      <c r="A387" s="80">
        <v>320</v>
      </c>
      <c r="B387" s="80" t="s">
        <v>1206</v>
      </c>
      <c r="C387" s="80" t="s">
        <v>1207</v>
      </c>
      <c r="D387" s="80">
        <v>68.576887217199996</v>
      </c>
      <c r="E387" s="80">
        <v>-149.17782305899999</v>
      </c>
      <c r="F387" s="80">
        <v>891</v>
      </c>
      <c r="G387" s="80" t="s">
        <v>457</v>
      </c>
      <c r="H387" s="80" t="s">
        <v>1208</v>
      </c>
      <c r="I387" s="80" t="s">
        <v>446</v>
      </c>
      <c r="J387" s="80" t="s">
        <v>739</v>
      </c>
      <c r="K387" s="80" t="s">
        <v>446</v>
      </c>
      <c r="L387" s="80" t="s">
        <v>740</v>
      </c>
      <c r="M387" s="86" t="str">
        <f t="shared" ref="M387:M450" si="8">HYPERLINK("http://maps.google.com/maps?q="&amp;D387&amp;","&amp;E387,"View on Google Map")</f>
        <v>View on Google Map</v>
      </c>
      <c r="N387" s="80">
        <f t="shared" si="7"/>
        <v>32</v>
      </c>
    </row>
    <row r="388" spans="1:14" x14ac:dyDescent="0.2">
      <c r="A388" s="80">
        <v>321</v>
      </c>
      <c r="B388" s="80" t="s">
        <v>1209</v>
      </c>
      <c r="C388" s="80" t="s">
        <v>1210</v>
      </c>
      <c r="D388" s="80">
        <v>68.581215404199995</v>
      </c>
      <c r="E388" s="80">
        <v>-149.17874205800001</v>
      </c>
      <c r="F388" s="80">
        <v>891</v>
      </c>
      <c r="G388" s="80" t="s">
        <v>457</v>
      </c>
      <c r="H388" s="80" t="s">
        <v>1211</v>
      </c>
      <c r="I388" s="80" t="s">
        <v>446</v>
      </c>
      <c r="J388" s="80" t="s">
        <v>739</v>
      </c>
      <c r="K388" s="80" t="s">
        <v>446</v>
      </c>
      <c r="L388" s="80" t="s">
        <v>740</v>
      </c>
      <c r="M388" s="86" t="str">
        <f t="shared" si="8"/>
        <v>View on Google Map</v>
      </c>
      <c r="N388" s="80">
        <f t="shared" si="7"/>
        <v>33</v>
      </c>
    </row>
    <row r="389" spans="1:14" x14ac:dyDescent="0.2">
      <c r="A389" s="80">
        <v>322</v>
      </c>
      <c r="B389" s="80" t="s">
        <v>1212</v>
      </c>
      <c r="C389" s="80" t="s">
        <v>1213</v>
      </c>
      <c r="D389" s="80">
        <v>68.587382761699999</v>
      </c>
      <c r="E389" s="80">
        <v>-149.144248847</v>
      </c>
      <c r="F389" s="80" t="s">
        <v>446</v>
      </c>
      <c r="G389" s="80" t="s">
        <v>457</v>
      </c>
      <c r="H389" s="80" t="s">
        <v>1214</v>
      </c>
      <c r="I389" s="80" t="s">
        <v>446</v>
      </c>
      <c r="J389" s="80" t="s">
        <v>739</v>
      </c>
      <c r="K389" s="80" t="s">
        <v>446</v>
      </c>
      <c r="L389" s="80" t="s">
        <v>740</v>
      </c>
      <c r="M389" s="86" t="str">
        <f t="shared" si="8"/>
        <v>View on Google Map</v>
      </c>
      <c r="N389" s="80">
        <f t="shared" si="7"/>
        <v>34</v>
      </c>
    </row>
    <row r="390" spans="1:14" x14ac:dyDescent="0.2">
      <c r="A390" s="80">
        <v>323</v>
      </c>
      <c r="B390" s="80" t="s">
        <v>1215</v>
      </c>
      <c r="C390" s="80" t="s">
        <v>1216</v>
      </c>
      <c r="D390" s="80">
        <v>68.548407480700007</v>
      </c>
      <c r="E390" s="80">
        <v>-150.03700547700001</v>
      </c>
      <c r="F390" s="80" t="s">
        <v>446</v>
      </c>
      <c r="G390" s="80" t="s">
        <v>457</v>
      </c>
      <c r="H390" s="80" t="s">
        <v>1217</v>
      </c>
      <c r="I390" s="80" t="s">
        <v>446</v>
      </c>
      <c r="J390" s="80" t="s">
        <v>739</v>
      </c>
      <c r="K390" s="80" t="s">
        <v>446</v>
      </c>
      <c r="L390" s="80" t="s">
        <v>740</v>
      </c>
      <c r="M390" s="86" t="str">
        <f t="shared" si="8"/>
        <v>View on Google Map</v>
      </c>
      <c r="N390" s="80">
        <f t="shared" si="7"/>
        <v>35</v>
      </c>
    </row>
    <row r="391" spans="1:14" x14ac:dyDescent="0.2">
      <c r="A391" s="80">
        <v>324</v>
      </c>
      <c r="B391" s="80" t="s">
        <v>1218</v>
      </c>
      <c r="C391" s="80" t="s">
        <v>1219</v>
      </c>
      <c r="D391" s="80">
        <v>68.550052273099993</v>
      </c>
      <c r="E391" s="80">
        <v>-150.02948327199999</v>
      </c>
      <c r="F391" s="80" t="s">
        <v>446</v>
      </c>
      <c r="G391" s="80" t="s">
        <v>457</v>
      </c>
      <c r="H391" s="80" t="s">
        <v>1220</v>
      </c>
      <c r="I391" s="80" t="s">
        <v>446</v>
      </c>
      <c r="J391" s="80" t="s">
        <v>739</v>
      </c>
      <c r="K391" s="80" t="s">
        <v>446</v>
      </c>
      <c r="L391" s="80" t="s">
        <v>740</v>
      </c>
      <c r="M391" s="86" t="str">
        <f t="shared" si="8"/>
        <v>View on Google Map</v>
      </c>
      <c r="N391" s="80">
        <f t="shared" si="7"/>
        <v>36</v>
      </c>
    </row>
    <row r="392" spans="1:14" x14ac:dyDescent="0.2">
      <c r="A392" s="80">
        <v>325</v>
      </c>
      <c r="B392" s="80" t="s">
        <v>1221</v>
      </c>
      <c r="C392" s="80" t="s">
        <v>1222</v>
      </c>
      <c r="D392" s="80">
        <v>68.5460242857</v>
      </c>
      <c r="E392" s="80">
        <v>-150.02463014</v>
      </c>
      <c r="F392" s="80" t="s">
        <v>446</v>
      </c>
      <c r="G392" s="80" t="s">
        <v>457</v>
      </c>
      <c r="H392" s="80" t="s">
        <v>1223</v>
      </c>
      <c r="I392" s="80" t="s">
        <v>446</v>
      </c>
      <c r="J392" s="80" t="s">
        <v>739</v>
      </c>
      <c r="K392" s="80" t="s">
        <v>446</v>
      </c>
      <c r="L392" s="80" t="s">
        <v>740</v>
      </c>
      <c r="M392" s="86" t="str">
        <f t="shared" si="8"/>
        <v>View on Google Map</v>
      </c>
      <c r="N392" s="80">
        <f t="shared" si="7"/>
        <v>37</v>
      </c>
    </row>
    <row r="393" spans="1:14" x14ac:dyDescent="0.2">
      <c r="A393" s="80">
        <v>326</v>
      </c>
      <c r="B393" s="80" t="s">
        <v>1224</v>
      </c>
      <c r="C393" s="80" t="s">
        <v>1225</v>
      </c>
      <c r="D393" s="80">
        <v>68.550135830100004</v>
      </c>
      <c r="E393" s="80">
        <v>-150.01499602000001</v>
      </c>
      <c r="F393" s="80" t="s">
        <v>446</v>
      </c>
      <c r="G393" s="80" t="s">
        <v>457</v>
      </c>
      <c r="H393" s="80" t="s">
        <v>1226</v>
      </c>
      <c r="I393" s="80" t="s">
        <v>446</v>
      </c>
      <c r="J393" s="80" t="s">
        <v>739</v>
      </c>
      <c r="K393" s="80" t="s">
        <v>446</v>
      </c>
      <c r="L393" s="80" t="s">
        <v>740</v>
      </c>
      <c r="M393" s="86" t="str">
        <f t="shared" si="8"/>
        <v>View on Google Map</v>
      </c>
      <c r="N393" s="80">
        <f t="shared" si="7"/>
        <v>38</v>
      </c>
    </row>
    <row r="394" spans="1:14" x14ac:dyDescent="0.2">
      <c r="A394" s="80">
        <v>327</v>
      </c>
      <c r="B394" s="80" t="s">
        <v>1227</v>
      </c>
      <c r="C394" s="80" t="s">
        <v>1228</v>
      </c>
      <c r="D394" s="80">
        <v>68.556356553000001</v>
      </c>
      <c r="E394" s="80">
        <v>-150.01283142599999</v>
      </c>
      <c r="F394" s="80" t="s">
        <v>446</v>
      </c>
      <c r="G394" s="80" t="s">
        <v>457</v>
      </c>
      <c r="H394" s="80" t="s">
        <v>1229</v>
      </c>
      <c r="I394" s="80" t="s">
        <v>446</v>
      </c>
      <c r="J394" s="80" t="s">
        <v>739</v>
      </c>
      <c r="K394" s="80" t="s">
        <v>446</v>
      </c>
      <c r="L394" s="80" t="s">
        <v>740</v>
      </c>
      <c r="M394" s="86" t="str">
        <f t="shared" si="8"/>
        <v>View on Google Map</v>
      </c>
      <c r="N394" s="80">
        <f t="shared" si="7"/>
        <v>39</v>
      </c>
    </row>
    <row r="395" spans="1:14" x14ac:dyDescent="0.2">
      <c r="A395" s="80">
        <v>328</v>
      </c>
      <c r="B395" s="80" t="s">
        <v>1230</v>
      </c>
      <c r="C395" s="80" t="s">
        <v>1231</v>
      </c>
      <c r="D395" s="80">
        <v>68.565564884200001</v>
      </c>
      <c r="E395" s="80">
        <v>-150.00164362699999</v>
      </c>
      <c r="F395" s="80" t="s">
        <v>446</v>
      </c>
      <c r="G395" s="80" t="s">
        <v>457</v>
      </c>
      <c r="H395" s="80" t="s">
        <v>1232</v>
      </c>
      <c r="I395" s="80" t="s">
        <v>446</v>
      </c>
      <c r="J395" s="80" t="s">
        <v>739</v>
      </c>
      <c r="K395" s="80" t="s">
        <v>446</v>
      </c>
      <c r="L395" s="80" t="s">
        <v>740</v>
      </c>
      <c r="M395" s="86" t="str">
        <f t="shared" si="8"/>
        <v>View on Google Map</v>
      </c>
      <c r="N395" s="80">
        <f t="shared" si="7"/>
        <v>40</v>
      </c>
    </row>
    <row r="396" spans="1:14" x14ac:dyDescent="0.2">
      <c r="A396" s="80">
        <v>329</v>
      </c>
      <c r="B396" s="80" t="s">
        <v>1233</v>
      </c>
      <c r="C396" s="80" t="s">
        <v>1234</v>
      </c>
      <c r="D396" s="80">
        <v>68.567838099200003</v>
      </c>
      <c r="E396" s="80">
        <v>-149.99849875500001</v>
      </c>
      <c r="F396" s="80" t="s">
        <v>446</v>
      </c>
      <c r="G396" s="80" t="s">
        <v>457</v>
      </c>
      <c r="H396" s="80" t="s">
        <v>1235</v>
      </c>
      <c r="I396" s="80" t="s">
        <v>446</v>
      </c>
      <c r="J396" s="80" t="s">
        <v>739</v>
      </c>
      <c r="K396" s="80" t="s">
        <v>446</v>
      </c>
      <c r="L396" s="80" t="s">
        <v>740</v>
      </c>
      <c r="M396" s="86" t="str">
        <f t="shared" si="8"/>
        <v>View on Google Map</v>
      </c>
      <c r="N396" s="80">
        <f t="shared" si="7"/>
        <v>41</v>
      </c>
    </row>
    <row r="397" spans="1:14" x14ac:dyDescent="0.2">
      <c r="A397" s="80">
        <v>330</v>
      </c>
      <c r="B397" s="80" t="s">
        <v>1236</v>
      </c>
      <c r="C397" s="80" t="s">
        <v>1237</v>
      </c>
      <c r="D397" s="80">
        <v>68.5855663241</v>
      </c>
      <c r="E397" s="80">
        <v>-149.98167511</v>
      </c>
      <c r="F397" s="80" t="s">
        <v>446</v>
      </c>
      <c r="G397" s="80" t="s">
        <v>457</v>
      </c>
      <c r="H397" s="80" t="s">
        <v>1238</v>
      </c>
      <c r="I397" s="80" t="s">
        <v>446</v>
      </c>
      <c r="J397" s="80" t="s">
        <v>739</v>
      </c>
      <c r="K397" s="80" t="s">
        <v>446</v>
      </c>
      <c r="L397" s="80" t="s">
        <v>740</v>
      </c>
      <c r="M397" s="86" t="str">
        <f t="shared" si="8"/>
        <v>View on Google Map</v>
      </c>
      <c r="N397" s="80">
        <f t="shared" si="7"/>
        <v>42</v>
      </c>
    </row>
    <row r="398" spans="1:14" x14ac:dyDescent="0.2">
      <c r="A398" s="80">
        <v>331</v>
      </c>
      <c r="B398" s="80" t="s">
        <v>1239</v>
      </c>
      <c r="C398" s="80" t="s">
        <v>1240</v>
      </c>
      <c r="D398" s="80">
        <v>68.534049837699996</v>
      </c>
      <c r="E398" s="80">
        <v>-149.157309078</v>
      </c>
      <c r="F398" s="80">
        <v>926</v>
      </c>
      <c r="G398" s="80" t="s">
        <v>457</v>
      </c>
      <c r="H398" s="80" t="s">
        <v>1241</v>
      </c>
      <c r="I398" s="80" t="s">
        <v>446</v>
      </c>
      <c r="J398" s="80" t="s">
        <v>739</v>
      </c>
      <c r="K398" s="80" t="s">
        <v>446</v>
      </c>
      <c r="L398" s="80" t="s">
        <v>740</v>
      </c>
      <c r="M398" s="86" t="str">
        <f t="shared" si="8"/>
        <v>View on Google Map</v>
      </c>
      <c r="N398" s="80">
        <f t="shared" si="7"/>
        <v>43</v>
      </c>
    </row>
    <row r="399" spans="1:14" x14ac:dyDescent="0.2">
      <c r="A399" s="80">
        <v>332</v>
      </c>
      <c r="B399" s="80" t="s">
        <v>1242</v>
      </c>
      <c r="C399" s="80" t="s">
        <v>1243</v>
      </c>
      <c r="D399" s="80">
        <v>68.533584622000006</v>
      </c>
      <c r="E399" s="80">
        <v>-149.16705049699999</v>
      </c>
      <c r="F399" s="80" t="s">
        <v>446</v>
      </c>
      <c r="G399" s="80" t="s">
        <v>457</v>
      </c>
      <c r="H399" s="80" t="s">
        <v>1244</v>
      </c>
      <c r="I399" s="80" t="s">
        <v>446</v>
      </c>
      <c r="J399" s="80" t="s">
        <v>739</v>
      </c>
      <c r="K399" s="80" t="s">
        <v>446</v>
      </c>
      <c r="L399" s="80" t="s">
        <v>740</v>
      </c>
      <c r="M399" s="86" t="str">
        <f t="shared" si="8"/>
        <v>View on Google Map</v>
      </c>
      <c r="N399" s="80">
        <f t="shared" si="7"/>
        <v>44</v>
      </c>
    </row>
    <row r="400" spans="1:14" x14ac:dyDescent="0.2">
      <c r="A400" s="80">
        <v>333</v>
      </c>
      <c r="B400" s="80" t="s">
        <v>1245</v>
      </c>
      <c r="C400" s="80" t="s">
        <v>1246</v>
      </c>
      <c r="D400" s="80">
        <v>68.533269411600003</v>
      </c>
      <c r="E400" s="80">
        <v>-149.19565723900001</v>
      </c>
      <c r="F400" s="80">
        <v>899</v>
      </c>
      <c r="G400" s="80" t="s">
        <v>457</v>
      </c>
      <c r="H400" s="80" t="s">
        <v>1247</v>
      </c>
      <c r="I400" s="80" t="s">
        <v>446</v>
      </c>
      <c r="J400" s="80" t="s">
        <v>739</v>
      </c>
      <c r="K400" s="80" t="s">
        <v>446</v>
      </c>
      <c r="L400" s="80" t="s">
        <v>740</v>
      </c>
      <c r="M400" s="86" t="str">
        <f t="shared" si="8"/>
        <v>View on Google Map</v>
      </c>
      <c r="N400" s="80">
        <f t="shared" si="7"/>
        <v>45</v>
      </c>
    </row>
    <row r="401" spans="1:14" x14ac:dyDescent="0.2">
      <c r="A401" s="80">
        <v>335</v>
      </c>
      <c r="B401" s="80" t="s">
        <v>1248</v>
      </c>
      <c r="C401" s="80" t="s">
        <v>1249</v>
      </c>
      <c r="D401" s="80">
        <v>68.516771954500001</v>
      </c>
      <c r="E401" s="80">
        <v>-150.05742084799999</v>
      </c>
      <c r="F401" s="80" t="s">
        <v>446</v>
      </c>
      <c r="G401" s="80" t="s">
        <v>457</v>
      </c>
      <c r="H401" s="80" t="s">
        <v>1250</v>
      </c>
      <c r="I401" s="80" t="s">
        <v>446</v>
      </c>
      <c r="J401" s="80" t="s">
        <v>739</v>
      </c>
      <c r="K401" s="80" t="s">
        <v>446</v>
      </c>
      <c r="L401" s="80" t="s">
        <v>740</v>
      </c>
      <c r="M401" s="86" t="str">
        <f t="shared" si="8"/>
        <v>View on Google Map</v>
      </c>
      <c r="N401" s="80">
        <f t="shared" si="7"/>
        <v>47</v>
      </c>
    </row>
    <row r="402" spans="1:14" x14ac:dyDescent="0.2">
      <c r="A402" s="80">
        <v>336</v>
      </c>
      <c r="B402" s="80" t="s">
        <v>1251</v>
      </c>
      <c r="C402" s="80" t="s">
        <v>1252</v>
      </c>
      <c r="D402" s="80">
        <v>68.531484729400006</v>
      </c>
      <c r="E402" s="80">
        <v>-150.04821666999999</v>
      </c>
      <c r="F402" s="80" t="s">
        <v>446</v>
      </c>
      <c r="G402" s="80" t="s">
        <v>457</v>
      </c>
      <c r="H402" s="80" t="s">
        <v>1253</v>
      </c>
      <c r="I402" s="80" t="s">
        <v>446</v>
      </c>
      <c r="J402" s="80" t="s">
        <v>739</v>
      </c>
      <c r="K402" s="80" t="s">
        <v>446</v>
      </c>
      <c r="L402" s="80" t="s">
        <v>740</v>
      </c>
      <c r="M402" s="86" t="str">
        <f t="shared" si="8"/>
        <v>View on Google Map</v>
      </c>
      <c r="N402" s="80">
        <f t="shared" si="7"/>
        <v>48</v>
      </c>
    </row>
    <row r="403" spans="1:14" x14ac:dyDescent="0.2">
      <c r="A403" s="80">
        <v>337</v>
      </c>
      <c r="B403" s="80" t="s">
        <v>1254</v>
      </c>
      <c r="C403" s="80" t="s">
        <v>1255</v>
      </c>
      <c r="D403" s="80">
        <v>68.525496449800002</v>
      </c>
      <c r="E403" s="80">
        <v>-150.03164010200001</v>
      </c>
      <c r="F403" s="80" t="s">
        <v>446</v>
      </c>
      <c r="G403" s="80" t="s">
        <v>457</v>
      </c>
      <c r="H403" s="80" t="s">
        <v>1256</v>
      </c>
      <c r="I403" s="80" t="s">
        <v>446</v>
      </c>
      <c r="J403" s="80" t="s">
        <v>739</v>
      </c>
      <c r="K403" s="80" t="s">
        <v>446</v>
      </c>
      <c r="L403" s="80" t="s">
        <v>740</v>
      </c>
      <c r="M403" s="86" t="str">
        <f t="shared" si="8"/>
        <v>View on Google Map</v>
      </c>
      <c r="N403" s="80">
        <f t="shared" si="7"/>
        <v>49</v>
      </c>
    </row>
    <row r="404" spans="1:14" x14ac:dyDescent="0.2">
      <c r="A404" s="80">
        <v>338</v>
      </c>
      <c r="B404" s="80" t="s">
        <v>1257</v>
      </c>
      <c r="C404" s="80" t="s">
        <v>1258</v>
      </c>
      <c r="D404" s="80">
        <v>68.522395926599998</v>
      </c>
      <c r="E404" s="80">
        <v>-150.02260567299999</v>
      </c>
      <c r="F404" s="80" t="s">
        <v>446</v>
      </c>
      <c r="G404" s="80" t="s">
        <v>457</v>
      </c>
      <c r="H404" s="80" t="s">
        <v>1259</v>
      </c>
      <c r="I404" s="80" t="s">
        <v>446</v>
      </c>
      <c r="J404" s="80" t="s">
        <v>739</v>
      </c>
      <c r="K404" s="80" t="s">
        <v>446</v>
      </c>
      <c r="L404" s="80" t="s">
        <v>740</v>
      </c>
      <c r="M404" s="86" t="str">
        <f t="shared" si="8"/>
        <v>View on Google Map</v>
      </c>
      <c r="N404" s="80">
        <f t="shared" si="7"/>
        <v>50</v>
      </c>
    </row>
    <row r="405" spans="1:14" x14ac:dyDescent="0.2">
      <c r="A405" s="80">
        <v>339</v>
      </c>
      <c r="B405" s="80" t="s">
        <v>1260</v>
      </c>
      <c r="C405" s="80" t="s">
        <v>1261</v>
      </c>
      <c r="D405" s="80">
        <v>68.574095052399997</v>
      </c>
      <c r="E405" s="80">
        <v>-149.97662969199999</v>
      </c>
      <c r="F405" s="80" t="s">
        <v>446</v>
      </c>
      <c r="G405" s="80" t="s">
        <v>457</v>
      </c>
      <c r="H405" s="80" t="s">
        <v>1262</v>
      </c>
      <c r="I405" s="80" t="s">
        <v>446</v>
      </c>
      <c r="J405" s="80" t="s">
        <v>739</v>
      </c>
      <c r="K405" s="80" t="s">
        <v>446</v>
      </c>
      <c r="L405" s="80" t="s">
        <v>740</v>
      </c>
      <c r="M405" s="86" t="str">
        <f t="shared" si="8"/>
        <v>View on Google Map</v>
      </c>
      <c r="N405" s="80">
        <f t="shared" si="7"/>
        <v>51</v>
      </c>
    </row>
    <row r="406" spans="1:14" x14ac:dyDescent="0.2">
      <c r="A406" s="80">
        <v>340</v>
      </c>
      <c r="B406" s="80" t="s">
        <v>1263</v>
      </c>
      <c r="C406" s="80" t="s">
        <v>1264</v>
      </c>
      <c r="D406" s="80">
        <v>68.571671305899997</v>
      </c>
      <c r="E406" s="80">
        <v>-149.972667672</v>
      </c>
      <c r="F406" s="80" t="s">
        <v>446</v>
      </c>
      <c r="G406" s="80" t="s">
        <v>457</v>
      </c>
      <c r="H406" s="80" t="s">
        <v>1265</v>
      </c>
      <c r="I406" s="80" t="s">
        <v>446</v>
      </c>
      <c r="J406" s="80" t="s">
        <v>739</v>
      </c>
      <c r="K406" s="80" t="s">
        <v>446</v>
      </c>
      <c r="L406" s="80" t="s">
        <v>740</v>
      </c>
      <c r="M406" s="86" t="str">
        <f t="shared" si="8"/>
        <v>View on Google Map</v>
      </c>
      <c r="N406" s="80">
        <f t="shared" si="7"/>
        <v>52</v>
      </c>
    </row>
    <row r="407" spans="1:14" x14ac:dyDescent="0.2">
      <c r="A407" s="80">
        <v>341</v>
      </c>
      <c r="B407" s="80" t="s">
        <v>1266</v>
      </c>
      <c r="C407" s="80" t="s">
        <v>1267</v>
      </c>
      <c r="D407" s="80">
        <v>68.562791718200003</v>
      </c>
      <c r="E407" s="80">
        <v>-149.977791473</v>
      </c>
      <c r="F407" s="80" t="s">
        <v>446</v>
      </c>
      <c r="G407" s="80" t="s">
        <v>457</v>
      </c>
      <c r="H407" s="80" t="s">
        <v>1268</v>
      </c>
      <c r="I407" s="80" t="s">
        <v>446</v>
      </c>
      <c r="J407" s="80" t="s">
        <v>739</v>
      </c>
      <c r="K407" s="80" t="s">
        <v>446</v>
      </c>
      <c r="L407" s="80" t="s">
        <v>740</v>
      </c>
      <c r="M407" s="86" t="str">
        <f t="shared" si="8"/>
        <v>View on Google Map</v>
      </c>
      <c r="N407" s="80">
        <f t="shared" si="7"/>
        <v>53</v>
      </c>
    </row>
    <row r="408" spans="1:14" x14ac:dyDescent="0.2">
      <c r="A408" s="80">
        <v>342</v>
      </c>
      <c r="B408" s="80" t="s">
        <v>1269</v>
      </c>
      <c r="C408" s="80" t="s">
        <v>1270</v>
      </c>
      <c r="D408" s="80">
        <v>68.556077412199997</v>
      </c>
      <c r="E408" s="80">
        <v>-149.93361884199999</v>
      </c>
      <c r="F408" s="80" t="s">
        <v>446</v>
      </c>
      <c r="G408" s="80" t="s">
        <v>457</v>
      </c>
      <c r="H408" s="80" t="s">
        <v>1271</v>
      </c>
      <c r="I408" s="80" t="s">
        <v>446</v>
      </c>
      <c r="J408" s="80" t="s">
        <v>739</v>
      </c>
      <c r="K408" s="80" t="s">
        <v>446</v>
      </c>
      <c r="L408" s="80" t="s">
        <v>740</v>
      </c>
      <c r="M408" s="86" t="str">
        <f t="shared" si="8"/>
        <v>View on Google Map</v>
      </c>
      <c r="N408" s="80">
        <f t="shared" si="7"/>
        <v>54</v>
      </c>
    </row>
    <row r="409" spans="1:14" x14ac:dyDescent="0.2">
      <c r="A409" s="80">
        <v>343</v>
      </c>
      <c r="B409" s="80" t="s">
        <v>1272</v>
      </c>
      <c r="C409" s="80" t="s">
        <v>1273</v>
      </c>
      <c r="D409" s="80">
        <v>68.567959712100006</v>
      </c>
      <c r="E409" s="80">
        <v>-149.89938475599999</v>
      </c>
      <c r="F409" s="80" t="s">
        <v>446</v>
      </c>
      <c r="G409" s="80" t="s">
        <v>457</v>
      </c>
      <c r="H409" s="80" t="s">
        <v>1274</v>
      </c>
      <c r="I409" s="80" t="s">
        <v>446</v>
      </c>
      <c r="J409" s="80" t="s">
        <v>739</v>
      </c>
      <c r="K409" s="80" t="s">
        <v>446</v>
      </c>
      <c r="L409" s="80" t="s">
        <v>740</v>
      </c>
      <c r="M409" s="86" t="str">
        <f t="shared" si="8"/>
        <v>View on Google Map</v>
      </c>
      <c r="N409" s="80">
        <f t="shared" si="7"/>
        <v>55</v>
      </c>
    </row>
    <row r="410" spans="1:14" x14ac:dyDescent="0.2">
      <c r="A410" s="80">
        <v>344</v>
      </c>
      <c r="B410" s="80" t="s">
        <v>1275</v>
      </c>
      <c r="C410" s="80" t="s">
        <v>1276</v>
      </c>
      <c r="D410" s="80">
        <v>68.615854386999999</v>
      </c>
      <c r="E410" s="80">
        <v>-149.123111674</v>
      </c>
      <c r="F410" s="80" t="s">
        <v>446</v>
      </c>
      <c r="G410" s="80" t="s">
        <v>457</v>
      </c>
      <c r="H410" s="80" t="s">
        <v>1277</v>
      </c>
      <c r="I410" s="80" t="s">
        <v>446</v>
      </c>
      <c r="J410" s="80" t="s">
        <v>739</v>
      </c>
      <c r="K410" s="80" t="s">
        <v>446</v>
      </c>
      <c r="L410" s="80" t="s">
        <v>740</v>
      </c>
      <c r="M410" s="86" t="str">
        <f t="shared" si="8"/>
        <v>View on Google Map</v>
      </c>
      <c r="N410" s="80">
        <f t="shared" si="7"/>
        <v>56</v>
      </c>
    </row>
    <row r="411" spans="1:14" x14ac:dyDescent="0.2">
      <c r="A411" s="80">
        <v>345</v>
      </c>
      <c r="B411" s="80" t="s">
        <v>1278</v>
      </c>
      <c r="C411" s="80" t="s">
        <v>1279</v>
      </c>
      <c r="D411" s="80">
        <v>68.622759303600006</v>
      </c>
      <c r="E411" s="80">
        <v>-149.15087640600001</v>
      </c>
      <c r="F411" s="80">
        <v>861</v>
      </c>
      <c r="G411" s="80" t="s">
        <v>457</v>
      </c>
      <c r="H411" s="80" t="s">
        <v>1280</v>
      </c>
      <c r="I411" s="80" t="s">
        <v>446</v>
      </c>
      <c r="J411" s="80" t="s">
        <v>739</v>
      </c>
      <c r="K411" s="80" t="s">
        <v>446</v>
      </c>
      <c r="L411" s="80" t="s">
        <v>740</v>
      </c>
      <c r="M411" s="86" t="str">
        <f t="shared" si="8"/>
        <v>View on Google Map</v>
      </c>
      <c r="N411" s="80">
        <f t="shared" si="7"/>
        <v>57</v>
      </c>
    </row>
    <row r="412" spans="1:14" x14ac:dyDescent="0.2">
      <c r="A412" s="80">
        <v>346</v>
      </c>
      <c r="B412" s="80" t="s">
        <v>1281</v>
      </c>
      <c r="C412" s="80" t="s">
        <v>1282</v>
      </c>
      <c r="D412" s="80">
        <v>68.625381351599998</v>
      </c>
      <c r="E412" s="80">
        <v>-149.13918719200001</v>
      </c>
      <c r="F412" s="80">
        <v>877</v>
      </c>
      <c r="G412" s="80" t="s">
        <v>457</v>
      </c>
      <c r="H412" s="80" t="s">
        <v>1283</v>
      </c>
      <c r="I412" s="80" t="s">
        <v>446</v>
      </c>
      <c r="J412" s="80" t="s">
        <v>739</v>
      </c>
      <c r="K412" s="80" t="s">
        <v>446</v>
      </c>
      <c r="L412" s="80" t="s">
        <v>740</v>
      </c>
      <c r="M412" s="86" t="str">
        <f t="shared" si="8"/>
        <v>View on Google Map</v>
      </c>
      <c r="N412" s="80">
        <f t="shared" si="7"/>
        <v>58</v>
      </c>
    </row>
    <row r="413" spans="1:14" x14ac:dyDescent="0.2">
      <c r="A413" s="80">
        <v>347</v>
      </c>
      <c r="B413" s="80" t="s">
        <v>1284</v>
      </c>
      <c r="C413" s="80" t="s">
        <v>1285</v>
      </c>
      <c r="D413" s="80">
        <v>68.630955107899993</v>
      </c>
      <c r="E413" s="80">
        <v>-149.161535972</v>
      </c>
      <c r="F413" s="80">
        <v>858</v>
      </c>
      <c r="G413" s="80" t="s">
        <v>457</v>
      </c>
      <c r="H413" s="80" t="s">
        <v>1286</v>
      </c>
      <c r="I413" s="80" t="s">
        <v>446</v>
      </c>
      <c r="J413" s="80" t="s">
        <v>739</v>
      </c>
      <c r="K413" s="80" t="s">
        <v>446</v>
      </c>
      <c r="L413" s="80" t="s">
        <v>740</v>
      </c>
      <c r="M413" s="86" t="str">
        <f t="shared" si="8"/>
        <v>View on Google Map</v>
      </c>
      <c r="N413" s="80">
        <f t="shared" si="7"/>
        <v>59</v>
      </c>
    </row>
    <row r="414" spans="1:14" x14ac:dyDescent="0.2">
      <c r="A414" s="80">
        <v>348</v>
      </c>
      <c r="B414" s="80" t="s">
        <v>1287</v>
      </c>
      <c r="C414" s="80" t="s">
        <v>1288</v>
      </c>
      <c r="D414" s="80">
        <v>68.636431312400006</v>
      </c>
      <c r="E414" s="80">
        <v>-149.14390222200001</v>
      </c>
      <c r="F414" s="80" t="s">
        <v>446</v>
      </c>
      <c r="G414" s="80" t="s">
        <v>457</v>
      </c>
      <c r="H414" s="80" t="s">
        <v>1289</v>
      </c>
      <c r="I414" s="80" t="s">
        <v>446</v>
      </c>
      <c r="J414" s="80" t="s">
        <v>739</v>
      </c>
      <c r="K414" s="80" t="s">
        <v>446</v>
      </c>
      <c r="L414" s="80" t="s">
        <v>740</v>
      </c>
      <c r="M414" s="86" t="str">
        <f t="shared" si="8"/>
        <v>View on Google Map</v>
      </c>
      <c r="N414" s="80">
        <f t="shared" si="7"/>
        <v>60</v>
      </c>
    </row>
    <row r="415" spans="1:14" x14ac:dyDescent="0.2">
      <c r="A415" s="80">
        <v>349</v>
      </c>
      <c r="B415" s="80" t="s">
        <v>1290</v>
      </c>
      <c r="C415" s="80" t="s">
        <v>1291</v>
      </c>
      <c r="D415" s="80">
        <v>68.638723598300004</v>
      </c>
      <c r="E415" s="80">
        <v>-149.17862426400001</v>
      </c>
      <c r="F415" s="80" t="s">
        <v>446</v>
      </c>
      <c r="G415" s="80" t="s">
        <v>457</v>
      </c>
      <c r="H415" s="80" t="s">
        <v>1292</v>
      </c>
      <c r="I415" s="80" t="s">
        <v>446</v>
      </c>
      <c r="J415" s="80" t="s">
        <v>739</v>
      </c>
      <c r="K415" s="80" t="s">
        <v>446</v>
      </c>
      <c r="L415" s="80" t="s">
        <v>740</v>
      </c>
      <c r="M415" s="86" t="str">
        <f t="shared" si="8"/>
        <v>View on Google Map</v>
      </c>
      <c r="N415" s="80">
        <f t="shared" si="7"/>
        <v>61</v>
      </c>
    </row>
    <row r="416" spans="1:14" x14ac:dyDescent="0.2">
      <c r="A416" s="80">
        <v>350</v>
      </c>
      <c r="B416" s="80" t="s">
        <v>1293</v>
      </c>
      <c r="C416" s="80" t="s">
        <v>1294</v>
      </c>
      <c r="D416" s="80">
        <v>68.634874735899999</v>
      </c>
      <c r="E416" s="80">
        <v>-149.193728236</v>
      </c>
      <c r="F416" s="80" t="s">
        <v>446</v>
      </c>
      <c r="G416" s="80" t="s">
        <v>457</v>
      </c>
      <c r="H416" s="80" t="s">
        <v>1295</v>
      </c>
      <c r="I416" s="80" t="s">
        <v>446</v>
      </c>
      <c r="J416" s="80" t="s">
        <v>739</v>
      </c>
      <c r="K416" s="80" t="s">
        <v>446</v>
      </c>
      <c r="L416" s="80" t="s">
        <v>740</v>
      </c>
      <c r="M416" s="86" t="str">
        <f t="shared" si="8"/>
        <v>View on Google Map</v>
      </c>
      <c r="N416" s="80">
        <f t="shared" si="7"/>
        <v>62</v>
      </c>
    </row>
    <row r="417" spans="1:14" x14ac:dyDescent="0.2">
      <c r="A417" s="80">
        <v>351</v>
      </c>
      <c r="B417" s="80" t="s">
        <v>1296</v>
      </c>
      <c r="C417" s="80" t="s">
        <v>1297</v>
      </c>
      <c r="D417" s="80">
        <v>68.630921065799996</v>
      </c>
      <c r="E417" s="80">
        <v>-149.19135200100001</v>
      </c>
      <c r="F417" s="80" t="s">
        <v>446</v>
      </c>
      <c r="G417" s="80" t="s">
        <v>457</v>
      </c>
      <c r="H417" s="80" t="s">
        <v>1298</v>
      </c>
      <c r="I417" s="80" t="s">
        <v>446</v>
      </c>
      <c r="J417" s="80" t="s">
        <v>739</v>
      </c>
      <c r="K417" s="80" t="s">
        <v>446</v>
      </c>
      <c r="L417" s="80" t="s">
        <v>740</v>
      </c>
      <c r="M417" s="86" t="str">
        <f t="shared" si="8"/>
        <v>View on Google Map</v>
      </c>
      <c r="N417" s="80">
        <f t="shared" si="7"/>
        <v>63</v>
      </c>
    </row>
    <row r="418" spans="1:14" x14ac:dyDescent="0.2">
      <c r="A418" s="80">
        <v>352</v>
      </c>
      <c r="B418" s="80" t="s">
        <v>1299</v>
      </c>
      <c r="C418" s="80" t="s">
        <v>1300</v>
      </c>
      <c r="D418" s="80">
        <v>68.635774522800006</v>
      </c>
      <c r="E418" s="80">
        <v>-149.20688041899999</v>
      </c>
      <c r="F418" s="80" t="s">
        <v>446</v>
      </c>
      <c r="G418" s="80" t="s">
        <v>457</v>
      </c>
      <c r="H418" s="80" t="s">
        <v>1301</v>
      </c>
      <c r="I418" s="80" t="s">
        <v>446</v>
      </c>
      <c r="J418" s="80" t="s">
        <v>739</v>
      </c>
      <c r="K418" s="80" t="s">
        <v>446</v>
      </c>
      <c r="L418" s="80" t="s">
        <v>740</v>
      </c>
      <c r="M418" s="86" t="str">
        <f t="shared" si="8"/>
        <v>View on Google Map</v>
      </c>
      <c r="N418" s="80">
        <f t="shared" si="7"/>
        <v>64</v>
      </c>
    </row>
    <row r="419" spans="1:14" x14ac:dyDescent="0.2">
      <c r="A419" s="80">
        <v>353</v>
      </c>
      <c r="B419" s="80" t="s">
        <v>1302</v>
      </c>
      <c r="C419" s="80" t="s">
        <v>1303</v>
      </c>
      <c r="D419" s="80">
        <v>68.585080002200002</v>
      </c>
      <c r="E419" s="80">
        <v>-149.208359645</v>
      </c>
      <c r="F419" s="80">
        <v>898</v>
      </c>
      <c r="G419" s="80" t="s">
        <v>457</v>
      </c>
      <c r="H419" s="80" t="s">
        <v>1304</v>
      </c>
      <c r="I419" s="80" t="s">
        <v>446</v>
      </c>
      <c r="J419" s="80" t="s">
        <v>739</v>
      </c>
      <c r="K419" s="80" t="s">
        <v>446</v>
      </c>
      <c r="L419" s="80" t="s">
        <v>740</v>
      </c>
      <c r="M419" s="86" t="str">
        <f t="shared" si="8"/>
        <v>View on Google Map</v>
      </c>
      <c r="N419" s="80">
        <f t="shared" si="7"/>
        <v>65</v>
      </c>
    </row>
    <row r="420" spans="1:14" x14ac:dyDescent="0.2">
      <c r="A420" s="80">
        <v>354</v>
      </c>
      <c r="B420" s="80" t="s">
        <v>1305</v>
      </c>
      <c r="C420" s="80" t="s">
        <v>1306</v>
      </c>
      <c r="D420" s="80">
        <v>68.583148055099997</v>
      </c>
      <c r="E420" s="80">
        <v>-149.19950362399999</v>
      </c>
      <c r="F420" s="80">
        <v>896</v>
      </c>
      <c r="G420" s="80" t="s">
        <v>457</v>
      </c>
      <c r="H420" s="80" t="s">
        <v>1307</v>
      </c>
      <c r="I420" s="80" t="s">
        <v>446</v>
      </c>
      <c r="J420" s="80" t="s">
        <v>739</v>
      </c>
      <c r="K420" s="80" t="s">
        <v>446</v>
      </c>
      <c r="L420" s="80" t="s">
        <v>740</v>
      </c>
      <c r="M420" s="86" t="str">
        <f t="shared" si="8"/>
        <v>View on Google Map</v>
      </c>
      <c r="N420" s="80">
        <f t="shared" ref="N420:N434" si="9">VALUE(MID(H420,5,3))</f>
        <v>66</v>
      </c>
    </row>
    <row r="421" spans="1:14" x14ac:dyDescent="0.2">
      <c r="A421" s="80">
        <v>355</v>
      </c>
      <c r="B421" s="80" t="s">
        <v>1308</v>
      </c>
      <c r="C421" s="80" t="s">
        <v>1309</v>
      </c>
      <c r="D421" s="80">
        <v>68.589302268899999</v>
      </c>
      <c r="E421" s="80">
        <v>-149.18432651699999</v>
      </c>
      <c r="F421" s="80">
        <v>880</v>
      </c>
      <c r="G421" s="80" t="s">
        <v>457</v>
      </c>
      <c r="H421" s="80" t="s">
        <v>1310</v>
      </c>
      <c r="I421" s="80" t="s">
        <v>446</v>
      </c>
      <c r="J421" s="80" t="s">
        <v>739</v>
      </c>
      <c r="K421" s="80" t="s">
        <v>446</v>
      </c>
      <c r="L421" s="80" t="s">
        <v>740</v>
      </c>
      <c r="M421" s="86" t="str">
        <f t="shared" si="8"/>
        <v>View on Google Map</v>
      </c>
      <c r="N421" s="80">
        <f t="shared" si="9"/>
        <v>67</v>
      </c>
    </row>
    <row r="422" spans="1:14" x14ac:dyDescent="0.2">
      <c r="A422" s="80">
        <v>357</v>
      </c>
      <c r="B422" s="80" t="s">
        <v>1311</v>
      </c>
      <c r="C422" s="80" t="s">
        <v>1312</v>
      </c>
      <c r="D422" s="80">
        <v>68.595953562800005</v>
      </c>
      <c r="E422" s="80">
        <v>-149.161045868</v>
      </c>
      <c r="F422" s="80" t="s">
        <v>446</v>
      </c>
      <c r="G422" s="80" t="s">
        <v>457</v>
      </c>
      <c r="H422" s="80" t="s">
        <v>1313</v>
      </c>
      <c r="I422" s="80" t="s">
        <v>446</v>
      </c>
      <c r="J422" s="80" t="s">
        <v>739</v>
      </c>
      <c r="K422" s="80" t="s">
        <v>446</v>
      </c>
      <c r="L422" s="80" t="s">
        <v>740</v>
      </c>
      <c r="M422" s="86" t="str">
        <f t="shared" si="8"/>
        <v>View on Google Map</v>
      </c>
      <c r="N422" s="80">
        <f t="shared" si="9"/>
        <v>69</v>
      </c>
    </row>
    <row r="423" spans="1:14" x14ac:dyDescent="0.2">
      <c r="A423" s="80">
        <v>358</v>
      </c>
      <c r="B423" s="80" t="s">
        <v>1314</v>
      </c>
      <c r="C423" s="80" t="s">
        <v>1315</v>
      </c>
      <c r="D423" s="80">
        <v>68.590721600400002</v>
      </c>
      <c r="E423" s="80">
        <v>-149.17612158099999</v>
      </c>
      <c r="F423" s="80" t="s">
        <v>446</v>
      </c>
      <c r="G423" s="80" t="s">
        <v>457</v>
      </c>
      <c r="H423" s="80" t="s">
        <v>1316</v>
      </c>
      <c r="I423" s="80" t="s">
        <v>446</v>
      </c>
      <c r="J423" s="80" t="s">
        <v>739</v>
      </c>
      <c r="K423" s="80" t="s">
        <v>446</v>
      </c>
      <c r="L423" s="80" t="s">
        <v>740</v>
      </c>
      <c r="M423" s="86" t="str">
        <f t="shared" si="8"/>
        <v>View on Google Map</v>
      </c>
      <c r="N423" s="80">
        <f t="shared" si="9"/>
        <v>70</v>
      </c>
    </row>
    <row r="424" spans="1:14" x14ac:dyDescent="0.2">
      <c r="A424" s="80">
        <v>359</v>
      </c>
      <c r="B424" s="80" t="s">
        <v>1317</v>
      </c>
      <c r="C424" s="80" t="s">
        <v>1318</v>
      </c>
      <c r="D424" s="80">
        <v>68.600362864999994</v>
      </c>
      <c r="E424" s="80">
        <v>-149.14055367099999</v>
      </c>
      <c r="F424" s="80" t="s">
        <v>446</v>
      </c>
      <c r="G424" s="80" t="s">
        <v>457</v>
      </c>
      <c r="H424" s="80" t="s">
        <v>1319</v>
      </c>
      <c r="I424" s="80" t="s">
        <v>446</v>
      </c>
      <c r="J424" s="80" t="s">
        <v>739</v>
      </c>
      <c r="K424" s="80" t="s">
        <v>446</v>
      </c>
      <c r="L424" s="80" t="s">
        <v>740</v>
      </c>
      <c r="M424" s="86" t="str">
        <f t="shared" si="8"/>
        <v>View on Google Map</v>
      </c>
      <c r="N424" s="80">
        <f t="shared" si="9"/>
        <v>71</v>
      </c>
    </row>
    <row r="425" spans="1:14" x14ac:dyDescent="0.2">
      <c r="A425" s="80">
        <v>360</v>
      </c>
      <c r="B425" s="80" t="s">
        <v>1320</v>
      </c>
      <c r="C425" s="80" t="s">
        <v>1321</v>
      </c>
      <c r="D425" s="80">
        <v>68.610380375800005</v>
      </c>
      <c r="E425" s="80">
        <v>-149.15074315300001</v>
      </c>
      <c r="F425" s="80" t="s">
        <v>446</v>
      </c>
      <c r="G425" s="80" t="s">
        <v>457</v>
      </c>
      <c r="H425" s="80" t="s">
        <v>1322</v>
      </c>
      <c r="I425" s="80" t="s">
        <v>446</v>
      </c>
      <c r="J425" s="80" t="s">
        <v>739</v>
      </c>
      <c r="K425" s="80" t="s">
        <v>446</v>
      </c>
      <c r="L425" s="80" t="s">
        <v>740</v>
      </c>
      <c r="M425" s="86" t="str">
        <f t="shared" si="8"/>
        <v>View on Google Map</v>
      </c>
      <c r="N425" s="80">
        <f t="shared" si="9"/>
        <v>72</v>
      </c>
    </row>
    <row r="426" spans="1:14" x14ac:dyDescent="0.2">
      <c r="A426" s="80">
        <v>361</v>
      </c>
      <c r="B426" s="80" t="s">
        <v>1323</v>
      </c>
      <c r="C426" s="80" t="s">
        <v>1324</v>
      </c>
      <c r="D426" s="80">
        <v>68.6163784405</v>
      </c>
      <c r="E426" s="80">
        <v>-149.16060521700001</v>
      </c>
      <c r="F426" s="80" t="s">
        <v>446</v>
      </c>
      <c r="G426" s="80" t="s">
        <v>457</v>
      </c>
      <c r="H426" s="80" t="s">
        <v>1325</v>
      </c>
      <c r="I426" s="80" t="s">
        <v>446</v>
      </c>
      <c r="J426" s="80" t="s">
        <v>739</v>
      </c>
      <c r="K426" s="80" t="s">
        <v>446</v>
      </c>
      <c r="L426" s="80" t="s">
        <v>740</v>
      </c>
      <c r="M426" s="86" t="str">
        <f t="shared" si="8"/>
        <v>View on Google Map</v>
      </c>
      <c r="N426" s="80">
        <f t="shared" si="9"/>
        <v>73</v>
      </c>
    </row>
    <row r="427" spans="1:14" x14ac:dyDescent="0.2">
      <c r="A427" s="80">
        <v>362</v>
      </c>
      <c r="B427" s="80" t="s">
        <v>1326</v>
      </c>
      <c r="C427" s="80" t="s">
        <v>1327</v>
      </c>
      <c r="D427" s="80">
        <v>68.617934232500005</v>
      </c>
      <c r="E427" s="80">
        <v>-149.18594585299999</v>
      </c>
      <c r="F427" s="80" t="s">
        <v>446</v>
      </c>
      <c r="G427" s="80" t="s">
        <v>457</v>
      </c>
      <c r="H427" s="80" t="s">
        <v>1328</v>
      </c>
      <c r="I427" s="80" t="s">
        <v>446</v>
      </c>
      <c r="J427" s="80" t="s">
        <v>739</v>
      </c>
      <c r="K427" s="80" t="s">
        <v>446</v>
      </c>
      <c r="L427" s="80" t="s">
        <v>740</v>
      </c>
      <c r="M427" s="86" t="str">
        <f t="shared" si="8"/>
        <v>View on Google Map</v>
      </c>
      <c r="N427" s="80">
        <f t="shared" si="9"/>
        <v>74</v>
      </c>
    </row>
    <row r="428" spans="1:14" x14ac:dyDescent="0.2">
      <c r="A428" s="80">
        <v>363</v>
      </c>
      <c r="B428" s="80" t="s">
        <v>1329</v>
      </c>
      <c r="C428" s="80" t="s">
        <v>1330</v>
      </c>
      <c r="D428" s="80">
        <v>68.614396448299999</v>
      </c>
      <c r="E428" s="80">
        <v>-149.19403818800001</v>
      </c>
      <c r="F428" s="80" t="s">
        <v>446</v>
      </c>
      <c r="G428" s="80" t="s">
        <v>457</v>
      </c>
      <c r="H428" s="80" t="s">
        <v>1331</v>
      </c>
      <c r="I428" s="80" t="s">
        <v>446</v>
      </c>
      <c r="J428" s="80" t="s">
        <v>739</v>
      </c>
      <c r="K428" s="80" t="s">
        <v>446</v>
      </c>
      <c r="L428" s="80" t="s">
        <v>740</v>
      </c>
      <c r="M428" s="86" t="str">
        <f t="shared" si="8"/>
        <v>View on Google Map</v>
      </c>
      <c r="N428" s="80">
        <f t="shared" si="9"/>
        <v>75</v>
      </c>
    </row>
    <row r="429" spans="1:14" x14ac:dyDescent="0.2">
      <c r="A429" s="80">
        <v>364</v>
      </c>
      <c r="B429" s="80" t="s">
        <v>1332</v>
      </c>
      <c r="C429" s="80" t="s">
        <v>1333</v>
      </c>
      <c r="D429" s="80">
        <v>68.694256581000005</v>
      </c>
      <c r="E429" s="80">
        <v>-149.73679655699999</v>
      </c>
      <c r="F429" s="80" t="s">
        <v>446</v>
      </c>
      <c r="G429" s="80" t="s">
        <v>457</v>
      </c>
      <c r="H429" s="80" t="s">
        <v>1334</v>
      </c>
      <c r="I429" s="80" t="s">
        <v>446</v>
      </c>
      <c r="J429" s="80" t="s">
        <v>739</v>
      </c>
      <c r="K429" s="80" t="s">
        <v>446</v>
      </c>
      <c r="L429" s="80" t="s">
        <v>740</v>
      </c>
      <c r="M429" s="86" t="str">
        <f t="shared" si="8"/>
        <v>View on Google Map</v>
      </c>
      <c r="N429" s="80">
        <f t="shared" si="9"/>
        <v>76</v>
      </c>
    </row>
    <row r="430" spans="1:14" x14ac:dyDescent="0.2">
      <c r="A430" s="80">
        <v>365</v>
      </c>
      <c r="B430" s="80" t="s">
        <v>1335</v>
      </c>
      <c r="C430" s="80" t="s">
        <v>1336</v>
      </c>
      <c r="D430" s="80">
        <v>68.696056827099994</v>
      </c>
      <c r="E430" s="80">
        <v>-149.73131395300001</v>
      </c>
      <c r="F430" s="80" t="s">
        <v>446</v>
      </c>
      <c r="G430" s="80" t="s">
        <v>457</v>
      </c>
      <c r="H430" s="80" t="s">
        <v>1337</v>
      </c>
      <c r="I430" s="80" t="s">
        <v>446</v>
      </c>
      <c r="J430" s="80" t="s">
        <v>739</v>
      </c>
      <c r="K430" s="80" t="s">
        <v>446</v>
      </c>
      <c r="L430" s="80" t="s">
        <v>740</v>
      </c>
      <c r="M430" s="86" t="str">
        <f t="shared" si="8"/>
        <v>View on Google Map</v>
      </c>
      <c r="N430" s="80">
        <f t="shared" si="9"/>
        <v>77</v>
      </c>
    </row>
    <row r="431" spans="1:14" x14ac:dyDescent="0.2">
      <c r="A431" s="80">
        <v>366</v>
      </c>
      <c r="B431" s="80" t="s">
        <v>1338</v>
      </c>
      <c r="C431" s="80" t="s">
        <v>1339</v>
      </c>
      <c r="D431" s="80">
        <v>68.696468206399999</v>
      </c>
      <c r="E431" s="80">
        <v>-149.708828248</v>
      </c>
      <c r="F431" s="80" t="s">
        <v>446</v>
      </c>
      <c r="G431" s="80" t="s">
        <v>457</v>
      </c>
      <c r="H431" s="80" t="s">
        <v>1340</v>
      </c>
      <c r="I431" s="80" t="s">
        <v>446</v>
      </c>
      <c r="J431" s="80" t="s">
        <v>739</v>
      </c>
      <c r="K431" s="80" t="s">
        <v>446</v>
      </c>
      <c r="L431" s="80" t="s">
        <v>740</v>
      </c>
      <c r="M431" s="86" t="str">
        <f t="shared" si="8"/>
        <v>View on Google Map</v>
      </c>
      <c r="N431" s="80">
        <f t="shared" si="9"/>
        <v>78</v>
      </c>
    </row>
    <row r="432" spans="1:14" x14ac:dyDescent="0.2">
      <c r="A432" s="80">
        <v>367</v>
      </c>
      <c r="B432" s="80" t="s">
        <v>1341</v>
      </c>
      <c r="C432" s="80" t="s">
        <v>1342</v>
      </c>
      <c r="D432" s="80">
        <v>68.688141157800004</v>
      </c>
      <c r="E432" s="80">
        <v>-149.73555264800001</v>
      </c>
      <c r="F432" s="80" t="s">
        <v>446</v>
      </c>
      <c r="G432" s="80" t="s">
        <v>457</v>
      </c>
      <c r="H432" s="80" t="s">
        <v>1343</v>
      </c>
      <c r="I432" s="80" t="s">
        <v>446</v>
      </c>
      <c r="J432" s="80" t="s">
        <v>739</v>
      </c>
      <c r="K432" s="80" t="s">
        <v>446</v>
      </c>
      <c r="L432" s="80" t="s">
        <v>740</v>
      </c>
      <c r="M432" s="86" t="str">
        <f t="shared" si="8"/>
        <v>View on Google Map</v>
      </c>
      <c r="N432" s="80">
        <f t="shared" si="9"/>
        <v>79</v>
      </c>
    </row>
    <row r="433" spans="1:14" x14ac:dyDescent="0.2">
      <c r="A433" s="80">
        <v>368</v>
      </c>
      <c r="B433" s="80" t="s">
        <v>1344</v>
      </c>
      <c r="C433" s="80" t="s">
        <v>1345</v>
      </c>
      <c r="D433" s="80">
        <v>68.682810930000002</v>
      </c>
      <c r="E433" s="80">
        <v>-149.73974315500001</v>
      </c>
      <c r="F433" s="80" t="s">
        <v>446</v>
      </c>
      <c r="G433" s="80" t="s">
        <v>457</v>
      </c>
      <c r="H433" s="80" t="s">
        <v>1346</v>
      </c>
      <c r="I433" s="80" t="s">
        <v>446</v>
      </c>
      <c r="J433" s="80" t="s">
        <v>739</v>
      </c>
      <c r="K433" s="80" t="s">
        <v>446</v>
      </c>
      <c r="L433" s="80" t="s">
        <v>740</v>
      </c>
      <c r="M433" s="86" t="str">
        <f t="shared" si="8"/>
        <v>View on Google Map</v>
      </c>
      <c r="N433" s="80">
        <f t="shared" si="9"/>
        <v>80</v>
      </c>
    </row>
    <row r="434" spans="1:14" x14ac:dyDescent="0.2">
      <c r="A434" s="80">
        <v>369</v>
      </c>
      <c r="B434" s="80" t="s">
        <v>1347</v>
      </c>
      <c r="C434" s="80" t="s">
        <v>1348</v>
      </c>
      <c r="D434" s="80">
        <v>68.682815967099998</v>
      </c>
      <c r="E434" s="80">
        <v>-149.759701116</v>
      </c>
      <c r="F434" s="80" t="s">
        <v>446</v>
      </c>
      <c r="G434" s="80" t="s">
        <v>457</v>
      </c>
      <c r="H434" s="80" t="s">
        <v>1349</v>
      </c>
      <c r="I434" s="80" t="s">
        <v>446</v>
      </c>
      <c r="J434" s="80" t="s">
        <v>739</v>
      </c>
      <c r="K434" s="80" t="s">
        <v>446</v>
      </c>
      <c r="L434" s="80" t="s">
        <v>740</v>
      </c>
      <c r="M434" s="86" t="str">
        <f t="shared" si="8"/>
        <v>View on Google Map</v>
      </c>
      <c r="N434" s="80">
        <f t="shared" si="9"/>
        <v>81</v>
      </c>
    </row>
    <row r="435" spans="1:14" x14ac:dyDescent="0.2">
      <c r="A435" s="80">
        <v>1225</v>
      </c>
      <c r="B435" s="80" t="s">
        <v>1350</v>
      </c>
      <c r="C435" s="5" t="s">
        <v>1351</v>
      </c>
      <c r="D435" s="80">
        <v>68.641727000000003</v>
      </c>
      <c r="E435" s="80">
        <v>-149.58665300000001</v>
      </c>
      <c r="F435" s="80">
        <v>724</v>
      </c>
      <c r="G435" s="80" t="s">
        <v>447</v>
      </c>
      <c r="H435" s="80" t="s">
        <v>446</v>
      </c>
      <c r="I435" s="80" t="s">
        <v>446</v>
      </c>
      <c r="J435" s="80" t="s">
        <v>472</v>
      </c>
      <c r="K435" s="80" t="s">
        <v>446</v>
      </c>
      <c r="L435" s="80" t="s">
        <v>446</v>
      </c>
      <c r="M435" s="86" t="str">
        <f t="shared" si="8"/>
        <v>View on Google Map</v>
      </c>
    </row>
    <row r="436" spans="1:14" x14ac:dyDescent="0.2">
      <c r="B436" s="80" t="s">
        <v>1352</v>
      </c>
      <c r="C436" s="88" t="s">
        <v>1353</v>
      </c>
      <c r="D436" s="80">
        <v>68.622865000000004</v>
      </c>
      <c r="E436" s="80">
        <v>-149.60854499999999</v>
      </c>
      <c r="F436" s="80">
        <v>758</v>
      </c>
      <c r="G436" s="80" t="s">
        <v>447</v>
      </c>
      <c r="J436" s="80" t="s">
        <v>472</v>
      </c>
      <c r="M436" s="86" t="str">
        <f t="shared" si="8"/>
        <v>View on Google Map</v>
      </c>
    </row>
    <row r="437" spans="1:14" x14ac:dyDescent="0.2">
      <c r="A437" s="80">
        <v>1220</v>
      </c>
      <c r="B437" s="80" t="s">
        <v>1354</v>
      </c>
      <c r="C437" s="5" t="s">
        <v>1355</v>
      </c>
      <c r="D437" s="80">
        <v>68.624410999999995</v>
      </c>
      <c r="E437" s="80">
        <v>-149.609589</v>
      </c>
      <c r="F437" s="80">
        <v>750</v>
      </c>
      <c r="G437" s="80" t="s">
        <v>447</v>
      </c>
      <c r="H437" s="80" t="s">
        <v>446</v>
      </c>
      <c r="I437" s="80" t="s">
        <v>446</v>
      </c>
      <c r="J437" s="80" t="s">
        <v>472</v>
      </c>
      <c r="K437" s="80" t="s">
        <v>446</v>
      </c>
      <c r="L437" s="80" t="s">
        <v>446</v>
      </c>
      <c r="M437" s="86" t="str">
        <f t="shared" si="8"/>
        <v>View on Google Map</v>
      </c>
    </row>
    <row r="438" spans="1:14" x14ac:dyDescent="0.2">
      <c r="A438" s="80">
        <v>1222</v>
      </c>
      <c r="B438" s="80" t="s">
        <v>1356</v>
      </c>
      <c r="C438" s="5" t="s">
        <v>1357</v>
      </c>
      <c r="D438" s="80">
        <v>68.629636000000005</v>
      </c>
      <c r="E438" s="80">
        <v>-149.57565600000001</v>
      </c>
      <c r="F438" s="80">
        <v>755</v>
      </c>
      <c r="G438" s="80" t="s">
        <v>447</v>
      </c>
      <c r="H438" s="80" t="s">
        <v>446</v>
      </c>
      <c r="I438" s="80" t="s">
        <v>446</v>
      </c>
      <c r="J438" s="80" t="s">
        <v>472</v>
      </c>
      <c r="K438" s="80" t="s">
        <v>446</v>
      </c>
      <c r="L438" s="80" t="s">
        <v>446</v>
      </c>
      <c r="M438" s="86" t="str">
        <f t="shared" si="8"/>
        <v>View on Google Map</v>
      </c>
    </row>
    <row r="439" spans="1:14" x14ac:dyDescent="0.2">
      <c r="A439" s="80">
        <v>1228</v>
      </c>
      <c r="B439" s="80" t="s">
        <v>1358</v>
      </c>
      <c r="C439" s="5" t="s">
        <v>1359</v>
      </c>
      <c r="D439" s="80">
        <v>68.634530999999996</v>
      </c>
      <c r="E439" s="80">
        <v>-149.64205799999999</v>
      </c>
      <c r="F439" s="80">
        <v>748</v>
      </c>
      <c r="G439" s="80" t="s">
        <v>447</v>
      </c>
      <c r="H439" s="80" t="s">
        <v>446</v>
      </c>
      <c r="I439" s="80" t="s">
        <v>446</v>
      </c>
      <c r="J439" s="80" t="s">
        <v>472</v>
      </c>
      <c r="K439" s="80" t="s">
        <v>446</v>
      </c>
      <c r="L439" s="80" t="s">
        <v>446</v>
      </c>
      <c r="M439" s="86" t="str">
        <f t="shared" si="8"/>
        <v>View on Google Map</v>
      </c>
    </row>
    <row r="440" spans="1:14" x14ac:dyDescent="0.2">
      <c r="A440" s="80">
        <v>1227</v>
      </c>
      <c r="B440" s="80" t="s">
        <v>1360</v>
      </c>
      <c r="C440" s="5" t="s">
        <v>1361</v>
      </c>
      <c r="D440" s="80">
        <v>68.634039000000001</v>
      </c>
      <c r="E440" s="80">
        <v>-149.63704899999999</v>
      </c>
      <c r="F440" s="80">
        <v>750</v>
      </c>
      <c r="G440" s="80" t="s">
        <v>447</v>
      </c>
      <c r="H440" s="80" t="s">
        <v>446</v>
      </c>
      <c r="I440" s="80" t="s">
        <v>446</v>
      </c>
      <c r="J440" s="80" t="s">
        <v>472</v>
      </c>
      <c r="K440" s="80" t="s">
        <v>446</v>
      </c>
      <c r="L440" s="80" t="s">
        <v>446</v>
      </c>
      <c r="M440" s="86" t="str">
        <f t="shared" si="8"/>
        <v>View on Google Map</v>
      </c>
    </row>
    <row r="441" spans="1:14" x14ac:dyDescent="0.2">
      <c r="A441" s="80">
        <v>1223</v>
      </c>
      <c r="B441" s="80" t="s">
        <v>1362</v>
      </c>
      <c r="C441" s="5" t="s">
        <v>1363</v>
      </c>
      <c r="D441" s="80">
        <v>68.635624000000007</v>
      </c>
      <c r="E441" s="80">
        <v>-149.587064</v>
      </c>
      <c r="F441" s="80">
        <v>745</v>
      </c>
      <c r="G441" s="80" t="s">
        <v>447</v>
      </c>
      <c r="H441" s="80" t="s">
        <v>446</v>
      </c>
      <c r="I441" s="80" t="s">
        <v>446</v>
      </c>
      <c r="J441" s="80" t="s">
        <v>472</v>
      </c>
      <c r="K441" s="80" t="s">
        <v>446</v>
      </c>
      <c r="L441" s="80" t="s">
        <v>446</v>
      </c>
      <c r="M441" s="86" t="str">
        <f t="shared" si="8"/>
        <v>View on Google Map</v>
      </c>
    </row>
    <row r="442" spans="1:14" x14ac:dyDescent="0.2">
      <c r="A442" s="80">
        <v>1224</v>
      </c>
      <c r="B442" s="80" t="s">
        <v>1364</v>
      </c>
      <c r="C442" s="5" t="s">
        <v>1365</v>
      </c>
      <c r="D442" s="80">
        <v>68.638692000000006</v>
      </c>
      <c r="E442" s="80">
        <v>-149.567789</v>
      </c>
      <c r="F442" s="80">
        <v>731</v>
      </c>
      <c r="G442" s="80" t="s">
        <v>447</v>
      </c>
      <c r="H442" s="80" t="s">
        <v>446</v>
      </c>
      <c r="I442" s="80" t="s">
        <v>446</v>
      </c>
      <c r="J442" s="80" t="s">
        <v>472</v>
      </c>
      <c r="K442" s="80" t="s">
        <v>446</v>
      </c>
      <c r="L442" s="80" t="s">
        <v>446</v>
      </c>
      <c r="M442" s="86" t="str">
        <f t="shared" si="8"/>
        <v>View on Google Map</v>
      </c>
    </row>
    <row r="443" spans="1:14" x14ac:dyDescent="0.2">
      <c r="A443" s="80">
        <v>1221</v>
      </c>
      <c r="B443" s="80" t="s">
        <v>1366</v>
      </c>
      <c r="C443" s="5" t="s">
        <v>1367</v>
      </c>
      <c r="D443" s="80">
        <v>68.625440999999995</v>
      </c>
      <c r="E443" s="80">
        <v>-149.60287299999999</v>
      </c>
      <c r="F443" s="80">
        <v>717</v>
      </c>
      <c r="G443" s="80" t="s">
        <v>447</v>
      </c>
      <c r="H443" s="80" t="s">
        <v>446</v>
      </c>
      <c r="I443" s="80" t="s">
        <v>446</v>
      </c>
      <c r="J443" s="80" t="s">
        <v>472</v>
      </c>
      <c r="K443" s="80" t="s">
        <v>446</v>
      </c>
      <c r="L443" s="80" t="s">
        <v>446</v>
      </c>
      <c r="M443" s="86" t="str">
        <f t="shared" si="8"/>
        <v>View on Google Map</v>
      </c>
    </row>
    <row r="444" spans="1:14" x14ac:dyDescent="0.2">
      <c r="A444" s="80">
        <v>1226</v>
      </c>
      <c r="B444" s="5" t="s">
        <v>1368</v>
      </c>
      <c r="C444" s="5" t="s">
        <v>1369</v>
      </c>
      <c r="D444" s="80">
        <v>68.647621999999998</v>
      </c>
      <c r="E444" s="80">
        <v>-149.57729800000001</v>
      </c>
      <c r="F444" s="80">
        <v>719</v>
      </c>
      <c r="G444" s="80" t="s">
        <v>447</v>
      </c>
      <c r="H444" s="80" t="s">
        <v>446</v>
      </c>
      <c r="I444" s="80" t="s">
        <v>446</v>
      </c>
      <c r="J444" s="80" t="s">
        <v>472</v>
      </c>
      <c r="K444" s="80" t="s">
        <v>446</v>
      </c>
      <c r="L444" s="80" t="s">
        <v>446</v>
      </c>
      <c r="M444" s="86" t="str">
        <f t="shared" si="8"/>
        <v>View on Google Map</v>
      </c>
    </row>
    <row r="445" spans="1:14" x14ac:dyDescent="0.2">
      <c r="A445" s="80">
        <v>487</v>
      </c>
      <c r="B445" s="80" t="s">
        <v>1370</v>
      </c>
      <c r="C445" s="80" t="s">
        <v>446</v>
      </c>
      <c r="D445" s="80">
        <v>68.961583332999993</v>
      </c>
      <c r="E445" s="80">
        <v>-150.20961666700001</v>
      </c>
      <c r="F445" s="80">
        <v>380</v>
      </c>
      <c r="G445" s="80" t="s">
        <v>457</v>
      </c>
      <c r="H445" s="80" t="s">
        <v>446</v>
      </c>
      <c r="I445" s="80" t="s">
        <v>446</v>
      </c>
      <c r="J445" s="80" t="s">
        <v>507</v>
      </c>
      <c r="K445" s="80" t="s">
        <v>446</v>
      </c>
      <c r="L445" s="80" t="s">
        <v>454</v>
      </c>
      <c r="M445" s="86" t="str">
        <f t="shared" si="8"/>
        <v>View on Google Map</v>
      </c>
    </row>
    <row r="446" spans="1:14" x14ac:dyDescent="0.2">
      <c r="A446" s="80">
        <v>23</v>
      </c>
      <c r="B446" s="80" t="s">
        <v>1371</v>
      </c>
      <c r="C446" s="80" t="s">
        <v>446</v>
      </c>
      <c r="D446" s="80" t="s">
        <v>446</v>
      </c>
      <c r="E446" s="80" t="s">
        <v>446</v>
      </c>
      <c r="F446" s="80" t="s">
        <v>446</v>
      </c>
      <c r="G446" s="80" t="s">
        <v>471</v>
      </c>
      <c r="H446" s="80" t="s">
        <v>446</v>
      </c>
      <c r="I446" s="80" t="s">
        <v>446</v>
      </c>
      <c r="J446" s="80" t="s">
        <v>472</v>
      </c>
      <c r="K446" s="80" t="s">
        <v>446</v>
      </c>
      <c r="L446" s="80" t="s">
        <v>446</v>
      </c>
      <c r="M446" s="86" t="str">
        <f t="shared" si="8"/>
        <v>View on Google Map</v>
      </c>
    </row>
    <row r="447" spans="1:14" x14ac:dyDescent="0.2">
      <c r="A447" s="80">
        <v>529</v>
      </c>
      <c r="B447" s="80" t="s">
        <v>1372</v>
      </c>
      <c r="C447" s="80" t="s">
        <v>852</v>
      </c>
      <c r="D447" s="80">
        <v>68.672934999999995</v>
      </c>
      <c r="E447" s="80">
        <v>-149.61752300000001</v>
      </c>
      <c r="F447" s="80">
        <v>708</v>
      </c>
      <c r="G447" s="80" t="s">
        <v>457</v>
      </c>
      <c r="H447" s="80" t="s">
        <v>446</v>
      </c>
      <c r="I447" s="80" t="s">
        <v>446</v>
      </c>
      <c r="J447" s="80" t="s">
        <v>458</v>
      </c>
      <c r="K447" s="80" t="s">
        <v>446</v>
      </c>
      <c r="L447" s="80" t="s">
        <v>853</v>
      </c>
      <c r="M447" s="86" t="str">
        <f t="shared" si="8"/>
        <v>View on Google Map</v>
      </c>
    </row>
    <row r="448" spans="1:14" x14ac:dyDescent="0.2">
      <c r="A448" s="80">
        <v>494</v>
      </c>
      <c r="B448" s="80" t="s">
        <v>1373</v>
      </c>
      <c r="C448" s="80" t="s">
        <v>446</v>
      </c>
      <c r="D448" s="80">
        <v>68.673756999999995</v>
      </c>
      <c r="E448" s="80">
        <v>-149.618268</v>
      </c>
      <c r="F448" s="80">
        <v>701</v>
      </c>
      <c r="G448" s="80" t="s">
        <v>471</v>
      </c>
      <c r="H448" s="80" t="s">
        <v>446</v>
      </c>
      <c r="I448" s="80" t="s">
        <v>446</v>
      </c>
      <c r="J448" s="80" t="s">
        <v>1374</v>
      </c>
      <c r="K448" s="80" t="s">
        <v>446</v>
      </c>
      <c r="L448" s="80" t="s">
        <v>853</v>
      </c>
      <c r="M448" s="86" t="str">
        <f t="shared" si="8"/>
        <v>View on Google Map</v>
      </c>
    </row>
    <row r="449" spans="1:13" x14ac:dyDescent="0.2">
      <c r="A449" s="80">
        <v>189</v>
      </c>
      <c r="B449" s="80" t="s">
        <v>1375</v>
      </c>
      <c r="C449" s="80" t="s">
        <v>446</v>
      </c>
      <c r="D449" s="80">
        <v>68.622</v>
      </c>
      <c r="E449" s="80">
        <v>-149.590666</v>
      </c>
      <c r="F449" s="80">
        <v>725</v>
      </c>
      <c r="G449" s="80" t="s">
        <v>471</v>
      </c>
      <c r="H449" s="80" t="s">
        <v>1376</v>
      </c>
      <c r="I449" s="80" t="s">
        <v>1377</v>
      </c>
      <c r="J449" s="80" t="s">
        <v>472</v>
      </c>
      <c r="K449" s="80" t="s">
        <v>446</v>
      </c>
      <c r="L449" s="80" t="s">
        <v>861</v>
      </c>
      <c r="M449" s="86" t="str">
        <f t="shared" si="8"/>
        <v>View on Google Map</v>
      </c>
    </row>
    <row r="450" spans="1:13" x14ac:dyDescent="0.2">
      <c r="A450" s="80">
        <v>273</v>
      </c>
      <c r="B450" s="80" t="s">
        <v>1378</v>
      </c>
      <c r="C450" s="80" t="s">
        <v>446</v>
      </c>
      <c r="D450" s="80">
        <v>68.620166670000003</v>
      </c>
      <c r="E450" s="80">
        <v>-149.56816599999999</v>
      </c>
      <c r="F450" s="80">
        <v>739</v>
      </c>
      <c r="G450" s="80" t="s">
        <v>471</v>
      </c>
      <c r="H450" s="80" t="s">
        <v>1379</v>
      </c>
      <c r="I450" s="80" t="s">
        <v>1380</v>
      </c>
      <c r="J450" s="80" t="s">
        <v>472</v>
      </c>
      <c r="K450" s="80" t="s">
        <v>446</v>
      </c>
      <c r="L450" s="80" t="s">
        <v>861</v>
      </c>
      <c r="M450" s="86" t="str">
        <f t="shared" si="8"/>
        <v>View on Google Map</v>
      </c>
    </row>
    <row r="451" spans="1:13" x14ac:dyDescent="0.2">
      <c r="A451" s="80">
        <v>1175</v>
      </c>
      <c r="B451" s="80" t="s">
        <v>1381</v>
      </c>
      <c r="C451" s="80" t="s">
        <v>446</v>
      </c>
      <c r="D451" s="80">
        <v>68.951925000000003</v>
      </c>
      <c r="E451" s="80">
        <v>-150.20976669999999</v>
      </c>
      <c r="F451" s="80" t="s">
        <v>446</v>
      </c>
      <c r="G451" s="80" t="s">
        <v>471</v>
      </c>
      <c r="H451" s="80" t="s">
        <v>446</v>
      </c>
      <c r="I451" s="80" t="s">
        <v>446</v>
      </c>
      <c r="J451" s="80" t="s">
        <v>1001</v>
      </c>
      <c r="K451" s="80" t="s">
        <v>446</v>
      </c>
      <c r="L451" s="80" t="s">
        <v>446</v>
      </c>
      <c r="M451" s="86" t="str">
        <f t="shared" ref="M451:M514" si="10">HYPERLINK("http://maps.google.com/maps?q="&amp;D451&amp;","&amp;E451,"View on Google Map")</f>
        <v>View on Google Map</v>
      </c>
    </row>
    <row r="452" spans="1:13" x14ac:dyDescent="0.2">
      <c r="A452" s="80">
        <v>103</v>
      </c>
      <c r="B452" s="80" t="s">
        <v>1382</v>
      </c>
      <c r="C452" s="80" t="s">
        <v>446</v>
      </c>
      <c r="D452" s="80">
        <v>68.639893935800004</v>
      </c>
      <c r="E452" s="80">
        <v>-149.606965643</v>
      </c>
      <c r="F452" s="80">
        <v>731</v>
      </c>
      <c r="G452" s="80" t="s">
        <v>457</v>
      </c>
      <c r="H452" s="80" t="s">
        <v>1383</v>
      </c>
      <c r="I452" s="80" t="s">
        <v>1384</v>
      </c>
      <c r="J452" s="80" t="s">
        <v>472</v>
      </c>
      <c r="K452" s="80" t="s">
        <v>446</v>
      </c>
      <c r="L452" s="80" t="s">
        <v>446</v>
      </c>
      <c r="M452" s="86" t="str">
        <f t="shared" si="10"/>
        <v>View on Google Map</v>
      </c>
    </row>
    <row r="453" spans="1:13" x14ac:dyDescent="0.2">
      <c r="A453" s="80">
        <v>104</v>
      </c>
      <c r="B453" s="80" t="s">
        <v>1385</v>
      </c>
      <c r="C453" s="80" t="s">
        <v>446</v>
      </c>
      <c r="D453" s="80">
        <v>68.640947234500004</v>
      </c>
      <c r="E453" s="80">
        <v>-149.625086307</v>
      </c>
      <c r="F453" s="80">
        <v>724</v>
      </c>
      <c r="G453" s="80" t="s">
        <v>457</v>
      </c>
      <c r="H453" s="80" t="s">
        <v>1386</v>
      </c>
      <c r="I453" s="80" t="s">
        <v>1387</v>
      </c>
      <c r="J453" s="80" t="s">
        <v>472</v>
      </c>
      <c r="K453" s="80" t="s">
        <v>446</v>
      </c>
      <c r="L453" s="80" t="s">
        <v>446</v>
      </c>
      <c r="M453" s="86" t="str">
        <f t="shared" si="10"/>
        <v>View on Google Map</v>
      </c>
    </row>
    <row r="454" spans="1:13" x14ac:dyDescent="0.2">
      <c r="A454" s="80">
        <v>105</v>
      </c>
      <c r="B454" s="80" t="s">
        <v>1388</v>
      </c>
      <c r="C454" s="80" t="s">
        <v>446</v>
      </c>
      <c r="D454" s="80">
        <v>68.642385337299999</v>
      </c>
      <c r="E454" s="80">
        <v>-149.630769851</v>
      </c>
      <c r="F454" s="80" t="s">
        <v>446</v>
      </c>
      <c r="G454" s="80" t="s">
        <v>457</v>
      </c>
      <c r="H454" s="80" t="s">
        <v>1389</v>
      </c>
      <c r="I454" s="80" t="s">
        <v>446</v>
      </c>
      <c r="J454" s="80" t="s">
        <v>472</v>
      </c>
      <c r="K454" s="80" t="s">
        <v>446</v>
      </c>
      <c r="L454" s="80" t="s">
        <v>446</v>
      </c>
      <c r="M454" s="86" t="str">
        <f t="shared" si="10"/>
        <v>View on Google Map</v>
      </c>
    </row>
    <row r="455" spans="1:13" x14ac:dyDescent="0.2">
      <c r="A455" s="80">
        <v>245</v>
      </c>
      <c r="B455" s="80" t="s">
        <v>1390</v>
      </c>
      <c r="C455" s="80" t="s">
        <v>446</v>
      </c>
      <c r="D455" s="80">
        <v>68.645120702900002</v>
      </c>
      <c r="E455" s="80">
        <v>-149.64028014900001</v>
      </c>
      <c r="F455" s="80" t="s">
        <v>446</v>
      </c>
      <c r="G455" s="80" t="s">
        <v>457</v>
      </c>
      <c r="H455" s="80" t="s">
        <v>1391</v>
      </c>
      <c r="I455" s="80" t="s">
        <v>446</v>
      </c>
      <c r="J455" s="80" t="s">
        <v>472</v>
      </c>
      <c r="K455" s="80" t="s">
        <v>446</v>
      </c>
      <c r="L455" s="80" t="s">
        <v>446</v>
      </c>
      <c r="M455" s="86" t="str">
        <f t="shared" si="10"/>
        <v>View on Google Map</v>
      </c>
    </row>
    <row r="456" spans="1:13" x14ac:dyDescent="0.2">
      <c r="A456" s="80">
        <v>240</v>
      </c>
      <c r="B456" s="80" t="s">
        <v>1392</v>
      </c>
      <c r="C456" s="80" t="s">
        <v>446</v>
      </c>
      <c r="D456" s="80">
        <v>68.645428204500007</v>
      </c>
      <c r="E456" s="80">
        <v>-149.62885531000001</v>
      </c>
      <c r="F456" s="80" t="s">
        <v>446</v>
      </c>
      <c r="G456" s="80" t="s">
        <v>457</v>
      </c>
      <c r="H456" s="80" t="s">
        <v>1393</v>
      </c>
      <c r="I456" s="80" t="s">
        <v>446</v>
      </c>
      <c r="J456" s="80" t="s">
        <v>472</v>
      </c>
      <c r="K456" s="80" t="s">
        <v>446</v>
      </c>
      <c r="L456" s="80" t="s">
        <v>446</v>
      </c>
      <c r="M456" s="86" t="str">
        <f t="shared" si="10"/>
        <v>View on Google Map</v>
      </c>
    </row>
    <row r="457" spans="1:13" x14ac:dyDescent="0.2">
      <c r="A457" s="80">
        <v>508</v>
      </c>
      <c r="B457" s="80" t="s">
        <v>1394</v>
      </c>
      <c r="C457" s="80" t="s">
        <v>456</v>
      </c>
      <c r="D457" s="80">
        <v>68.396288999999996</v>
      </c>
      <c r="E457" s="80">
        <v>-150.58781500000001</v>
      </c>
      <c r="F457" s="80">
        <v>841</v>
      </c>
      <c r="G457" s="80" t="s">
        <v>457</v>
      </c>
      <c r="H457" s="80" t="s">
        <v>459</v>
      </c>
      <c r="I457" s="80" t="s">
        <v>446</v>
      </c>
      <c r="J457" s="80" t="s">
        <v>458</v>
      </c>
      <c r="K457" s="80" t="s">
        <v>446</v>
      </c>
      <c r="L457" s="80" t="s">
        <v>459</v>
      </c>
      <c r="M457" s="86" t="str">
        <f t="shared" si="10"/>
        <v>View on Google Map</v>
      </c>
    </row>
    <row r="458" spans="1:13" x14ac:dyDescent="0.2">
      <c r="A458" s="80">
        <v>513</v>
      </c>
      <c r="B458" s="80" t="s">
        <v>1395</v>
      </c>
      <c r="C458" s="80" t="s">
        <v>456</v>
      </c>
      <c r="D458" s="80">
        <v>68.362488999999997</v>
      </c>
      <c r="E458" s="80">
        <v>-151.70717300000001</v>
      </c>
      <c r="F458" s="80">
        <v>792</v>
      </c>
      <c r="G458" s="80" t="s">
        <v>457</v>
      </c>
      <c r="H458" s="80" t="s">
        <v>446</v>
      </c>
      <c r="I458" s="80" t="s">
        <v>446</v>
      </c>
      <c r="J458" s="80" t="s">
        <v>458</v>
      </c>
      <c r="K458" s="80" t="s">
        <v>446</v>
      </c>
      <c r="L458" s="80" t="s">
        <v>459</v>
      </c>
      <c r="M458" s="86" t="str">
        <f t="shared" si="10"/>
        <v>View on Google Map</v>
      </c>
    </row>
    <row r="459" spans="1:13" x14ac:dyDescent="0.2">
      <c r="A459" s="80">
        <v>512</v>
      </c>
      <c r="B459" s="80" t="s">
        <v>1396</v>
      </c>
      <c r="C459" s="80" t="s">
        <v>456</v>
      </c>
      <c r="D459" s="80">
        <v>68.351332999999997</v>
      </c>
      <c r="E459" s="80">
        <v>-151.702167</v>
      </c>
      <c r="F459" s="80">
        <v>789</v>
      </c>
      <c r="G459" s="80" t="s">
        <v>457</v>
      </c>
      <c r="H459" s="80" t="s">
        <v>446</v>
      </c>
      <c r="I459" s="80" t="s">
        <v>446</v>
      </c>
      <c r="J459" s="80" t="s">
        <v>458</v>
      </c>
      <c r="K459" s="80" t="s">
        <v>446</v>
      </c>
      <c r="L459" s="80" t="s">
        <v>459</v>
      </c>
      <c r="M459" s="86" t="str">
        <f t="shared" si="10"/>
        <v>View on Google Map</v>
      </c>
    </row>
    <row r="460" spans="1:13" x14ac:dyDescent="0.2">
      <c r="A460" s="80">
        <v>511</v>
      </c>
      <c r="B460" s="80" t="s">
        <v>1397</v>
      </c>
      <c r="C460" s="80" t="s">
        <v>456</v>
      </c>
      <c r="D460" s="80">
        <v>68.347333000000006</v>
      </c>
      <c r="E460" s="80">
        <v>-151.70316700000001</v>
      </c>
      <c r="F460" s="80">
        <v>798</v>
      </c>
      <c r="G460" s="80" t="s">
        <v>457</v>
      </c>
      <c r="H460" s="80" t="s">
        <v>446</v>
      </c>
      <c r="I460" s="80" t="s">
        <v>446</v>
      </c>
      <c r="J460" s="80" t="s">
        <v>458</v>
      </c>
      <c r="K460" s="80" t="s">
        <v>446</v>
      </c>
      <c r="L460" s="80" t="s">
        <v>459</v>
      </c>
      <c r="M460" s="86" t="str">
        <f t="shared" si="10"/>
        <v>View on Google Map</v>
      </c>
    </row>
    <row r="461" spans="1:13" x14ac:dyDescent="0.2">
      <c r="A461" s="80">
        <v>510</v>
      </c>
      <c r="B461" s="80" t="s">
        <v>1398</v>
      </c>
      <c r="C461" s="80" t="s">
        <v>456</v>
      </c>
      <c r="D461" s="80">
        <v>68.351332999999997</v>
      </c>
      <c r="E461" s="80">
        <v>-151.702167</v>
      </c>
      <c r="F461" s="80">
        <v>810</v>
      </c>
      <c r="G461" s="80" t="s">
        <v>457</v>
      </c>
      <c r="H461" s="80" t="s">
        <v>446</v>
      </c>
      <c r="I461" s="80" t="s">
        <v>446</v>
      </c>
      <c r="J461" s="80" t="s">
        <v>458</v>
      </c>
      <c r="K461" s="80" t="s">
        <v>446</v>
      </c>
      <c r="L461" s="80" t="s">
        <v>459</v>
      </c>
      <c r="M461" s="86" t="str">
        <f t="shared" si="10"/>
        <v>View on Google Map</v>
      </c>
    </row>
    <row r="462" spans="1:13" x14ac:dyDescent="0.2">
      <c r="A462" s="80">
        <v>233</v>
      </c>
      <c r="B462" s="80" t="s">
        <v>1399</v>
      </c>
      <c r="C462" s="80" t="s">
        <v>446</v>
      </c>
      <c r="D462" s="80">
        <v>68.643783170000006</v>
      </c>
      <c r="E462" s="80">
        <v>-149.58949436200001</v>
      </c>
      <c r="F462" s="80">
        <v>716</v>
      </c>
      <c r="G462" s="80" t="s">
        <v>457</v>
      </c>
      <c r="H462" s="80" t="s">
        <v>1400</v>
      </c>
      <c r="I462" s="80" t="s">
        <v>446</v>
      </c>
      <c r="J462" s="80" t="s">
        <v>472</v>
      </c>
      <c r="K462" s="80" t="s">
        <v>446</v>
      </c>
      <c r="L462" s="80" t="s">
        <v>446</v>
      </c>
      <c r="M462" s="86" t="str">
        <f t="shared" si="10"/>
        <v>View on Google Map</v>
      </c>
    </row>
    <row r="463" spans="1:13" x14ac:dyDescent="0.2">
      <c r="A463" s="80">
        <v>147</v>
      </c>
      <c r="B463" s="80" t="s">
        <v>1401</v>
      </c>
      <c r="C463" s="80" t="s">
        <v>446</v>
      </c>
      <c r="D463" s="80">
        <v>68.646325005500003</v>
      </c>
      <c r="E463" s="80">
        <v>-149.58272243900001</v>
      </c>
      <c r="F463" s="80">
        <v>716</v>
      </c>
      <c r="G463" s="80" t="s">
        <v>457</v>
      </c>
      <c r="H463" s="80" t="s">
        <v>1402</v>
      </c>
      <c r="I463" s="80" t="s">
        <v>446</v>
      </c>
      <c r="J463" s="80" t="s">
        <v>472</v>
      </c>
      <c r="K463" s="80" t="s">
        <v>446</v>
      </c>
      <c r="L463" s="80" t="s">
        <v>446</v>
      </c>
      <c r="M463" s="86" t="str">
        <f t="shared" si="10"/>
        <v>View on Google Map</v>
      </c>
    </row>
    <row r="464" spans="1:13" x14ac:dyDescent="0.2">
      <c r="A464" s="80">
        <v>234</v>
      </c>
      <c r="B464" s="80" t="s">
        <v>1403</v>
      </c>
      <c r="C464" s="80" t="s">
        <v>446</v>
      </c>
      <c r="D464" s="80">
        <v>68.650192520999994</v>
      </c>
      <c r="E464" s="80">
        <v>-149.58255972500001</v>
      </c>
      <c r="F464" s="80">
        <v>731</v>
      </c>
      <c r="G464" s="80" t="s">
        <v>457</v>
      </c>
      <c r="H464" s="80" t="s">
        <v>1404</v>
      </c>
      <c r="I464" s="80" t="s">
        <v>446</v>
      </c>
      <c r="J464" s="80" t="s">
        <v>472</v>
      </c>
      <c r="K464" s="80" t="s">
        <v>446</v>
      </c>
      <c r="L464" s="80" t="s">
        <v>446</v>
      </c>
      <c r="M464" s="86" t="str">
        <f t="shared" si="10"/>
        <v>View on Google Map</v>
      </c>
    </row>
    <row r="465" spans="1:13" x14ac:dyDescent="0.2">
      <c r="A465" s="80">
        <v>306</v>
      </c>
      <c r="B465" s="80" t="s">
        <v>1405</v>
      </c>
      <c r="C465" s="80" t="s">
        <v>446</v>
      </c>
      <c r="D465" s="80" t="s">
        <v>446</v>
      </c>
      <c r="E465" s="80" t="s">
        <v>446</v>
      </c>
      <c r="F465" s="80">
        <v>731</v>
      </c>
      <c r="G465" s="80" t="s">
        <v>457</v>
      </c>
      <c r="H465" s="80" t="s">
        <v>1406</v>
      </c>
      <c r="I465" s="80" t="s">
        <v>446</v>
      </c>
      <c r="J465" s="80" t="s">
        <v>472</v>
      </c>
      <c r="K465" s="80" t="s">
        <v>446</v>
      </c>
      <c r="L465" s="80" t="s">
        <v>446</v>
      </c>
      <c r="M465" s="86" t="str">
        <f t="shared" si="10"/>
        <v>View on Google Map</v>
      </c>
    </row>
    <row r="466" spans="1:13" x14ac:dyDescent="0.2">
      <c r="A466" s="80">
        <v>235</v>
      </c>
      <c r="B466" s="80" t="s">
        <v>1407</v>
      </c>
      <c r="C466" s="80" t="s">
        <v>446</v>
      </c>
      <c r="D466" s="80" t="s">
        <v>446</v>
      </c>
      <c r="E466" s="80" t="s">
        <v>446</v>
      </c>
      <c r="F466" s="80">
        <v>716</v>
      </c>
      <c r="G466" s="80" t="s">
        <v>457</v>
      </c>
      <c r="H466" s="80" t="s">
        <v>1408</v>
      </c>
      <c r="I466" s="80" t="s">
        <v>446</v>
      </c>
      <c r="J466" s="80" t="s">
        <v>472</v>
      </c>
      <c r="K466" s="80" t="s">
        <v>446</v>
      </c>
      <c r="L466" s="80" t="s">
        <v>446</v>
      </c>
      <c r="M466" s="86" t="str">
        <f t="shared" si="10"/>
        <v>View on Google Map</v>
      </c>
    </row>
    <row r="467" spans="1:13" x14ac:dyDescent="0.2">
      <c r="A467" s="80">
        <v>307</v>
      </c>
      <c r="B467" s="80" t="s">
        <v>1409</v>
      </c>
      <c r="C467" s="80" t="s">
        <v>446</v>
      </c>
      <c r="D467" s="80" t="s">
        <v>446</v>
      </c>
      <c r="E467" s="80" t="s">
        <v>446</v>
      </c>
      <c r="F467" s="80">
        <v>716</v>
      </c>
      <c r="G467" s="80" t="s">
        <v>457</v>
      </c>
      <c r="H467" s="80" t="s">
        <v>1410</v>
      </c>
      <c r="I467" s="80" t="s">
        <v>446</v>
      </c>
      <c r="J467" s="80" t="s">
        <v>472</v>
      </c>
      <c r="K467" s="80" t="s">
        <v>446</v>
      </c>
      <c r="L467" s="80" t="s">
        <v>446</v>
      </c>
      <c r="M467" s="86" t="str">
        <f t="shared" si="10"/>
        <v>View on Google Map</v>
      </c>
    </row>
    <row r="468" spans="1:13" x14ac:dyDescent="0.2">
      <c r="A468" s="80">
        <v>236</v>
      </c>
      <c r="B468" s="80" t="s">
        <v>1411</v>
      </c>
      <c r="C468" s="80" t="s">
        <v>446</v>
      </c>
      <c r="D468" s="80">
        <v>68.653572283900004</v>
      </c>
      <c r="E468" s="80">
        <v>-149.58091106399999</v>
      </c>
      <c r="F468" s="80">
        <v>731</v>
      </c>
      <c r="G468" s="80" t="s">
        <v>457</v>
      </c>
      <c r="H468" s="80" t="s">
        <v>1412</v>
      </c>
      <c r="I468" s="80" t="s">
        <v>446</v>
      </c>
      <c r="J468" s="80" t="s">
        <v>472</v>
      </c>
      <c r="K468" s="80" t="s">
        <v>446</v>
      </c>
      <c r="L468" s="80" t="s">
        <v>446</v>
      </c>
      <c r="M468" s="86" t="str">
        <f t="shared" si="10"/>
        <v>View on Google Map</v>
      </c>
    </row>
    <row r="469" spans="1:13" x14ac:dyDescent="0.2">
      <c r="A469" s="80">
        <v>308</v>
      </c>
      <c r="B469" s="80" t="s">
        <v>1413</v>
      </c>
      <c r="C469" s="80" t="s">
        <v>446</v>
      </c>
      <c r="D469" s="80">
        <v>68.652551279199997</v>
      </c>
      <c r="E469" s="80">
        <v>-149.58676006799999</v>
      </c>
      <c r="F469" s="80">
        <v>731</v>
      </c>
      <c r="G469" s="80" t="s">
        <v>457</v>
      </c>
      <c r="H469" s="80" t="s">
        <v>1414</v>
      </c>
      <c r="I469" s="80" t="s">
        <v>446</v>
      </c>
      <c r="J469" s="80" t="s">
        <v>472</v>
      </c>
      <c r="K469" s="80" t="s">
        <v>446</v>
      </c>
      <c r="L469" s="80" t="s">
        <v>446</v>
      </c>
      <c r="M469" s="86" t="str">
        <f t="shared" si="10"/>
        <v>View on Google Map</v>
      </c>
    </row>
    <row r="470" spans="1:13" x14ac:dyDescent="0.2">
      <c r="A470" s="80">
        <v>446</v>
      </c>
      <c r="B470" s="80" t="s">
        <v>1415</v>
      </c>
      <c r="C470" s="80" t="s">
        <v>446</v>
      </c>
      <c r="D470" s="80">
        <v>68.653536133599999</v>
      </c>
      <c r="E470" s="80">
        <v>-149.59622183299999</v>
      </c>
      <c r="F470" s="80">
        <v>747</v>
      </c>
      <c r="G470" s="80" t="s">
        <v>457</v>
      </c>
      <c r="H470" s="80" t="s">
        <v>1416</v>
      </c>
      <c r="I470" s="80" t="s">
        <v>446</v>
      </c>
      <c r="J470" s="80" t="s">
        <v>472</v>
      </c>
      <c r="K470" s="80" t="s">
        <v>446</v>
      </c>
      <c r="L470" s="80" t="s">
        <v>446</v>
      </c>
      <c r="M470" s="86" t="str">
        <f t="shared" si="10"/>
        <v>View on Google Map</v>
      </c>
    </row>
    <row r="471" spans="1:13" x14ac:dyDescent="0.2">
      <c r="A471" s="80">
        <v>447</v>
      </c>
      <c r="B471" s="80" t="s">
        <v>1417</v>
      </c>
      <c r="C471" s="80" t="s">
        <v>446</v>
      </c>
      <c r="D471" s="80">
        <v>68.652588284900006</v>
      </c>
      <c r="E471" s="80">
        <v>-149.60764069300001</v>
      </c>
      <c r="F471" s="80" t="s">
        <v>446</v>
      </c>
      <c r="G471" s="80" t="s">
        <v>457</v>
      </c>
      <c r="H471" s="80" t="s">
        <v>1418</v>
      </c>
      <c r="I471" s="80" t="s">
        <v>446</v>
      </c>
      <c r="J471" s="80" t="s">
        <v>472</v>
      </c>
      <c r="K471" s="80" t="s">
        <v>446</v>
      </c>
      <c r="L471" s="80" t="s">
        <v>446</v>
      </c>
      <c r="M471" s="86" t="str">
        <f t="shared" si="10"/>
        <v>View on Google Map</v>
      </c>
    </row>
    <row r="472" spans="1:13" x14ac:dyDescent="0.2">
      <c r="A472" s="80">
        <v>504</v>
      </c>
      <c r="B472" s="80" t="s">
        <v>1419</v>
      </c>
      <c r="C472" s="80" t="s">
        <v>446</v>
      </c>
      <c r="D472" s="80">
        <v>68.647407723699999</v>
      </c>
      <c r="E472" s="80">
        <v>-149.60936597400001</v>
      </c>
      <c r="F472" s="80">
        <v>731</v>
      </c>
      <c r="G472" s="80" t="s">
        <v>457</v>
      </c>
      <c r="H472" s="80" t="s">
        <v>446</v>
      </c>
      <c r="I472" s="80" t="s">
        <v>446</v>
      </c>
      <c r="J472" s="80" t="s">
        <v>472</v>
      </c>
      <c r="K472" s="80" t="s">
        <v>446</v>
      </c>
      <c r="L472" s="80" t="s">
        <v>446</v>
      </c>
      <c r="M472" s="86" t="str">
        <f t="shared" si="10"/>
        <v>View on Google Map</v>
      </c>
    </row>
    <row r="473" spans="1:13" x14ac:dyDescent="0.2">
      <c r="A473" s="80">
        <v>108</v>
      </c>
      <c r="B473" s="80" t="s">
        <v>1420</v>
      </c>
      <c r="C473" s="80" t="s">
        <v>446</v>
      </c>
      <c r="D473" s="80">
        <v>68.650000000000006</v>
      </c>
      <c r="E473" s="80">
        <v>-149.61666666666667</v>
      </c>
      <c r="F473" s="80">
        <v>699</v>
      </c>
      <c r="G473" s="80" t="s">
        <v>457</v>
      </c>
      <c r="H473" s="80" t="s">
        <v>1421</v>
      </c>
      <c r="I473" s="80" t="s">
        <v>446</v>
      </c>
      <c r="J473" s="80" t="s">
        <v>472</v>
      </c>
      <c r="K473" s="80" t="s">
        <v>446</v>
      </c>
      <c r="L473" s="80" t="s">
        <v>446</v>
      </c>
      <c r="M473" s="86" t="str">
        <f t="shared" si="10"/>
        <v>View on Google Map</v>
      </c>
    </row>
    <row r="474" spans="1:13" x14ac:dyDescent="0.2">
      <c r="A474" s="80">
        <v>309</v>
      </c>
      <c r="B474" s="80" t="s">
        <v>1422</v>
      </c>
      <c r="C474" s="80" t="s">
        <v>446</v>
      </c>
      <c r="D474" s="80" t="s">
        <v>446</v>
      </c>
      <c r="E474" s="80" t="s">
        <v>446</v>
      </c>
      <c r="F474" s="80" t="s">
        <v>446</v>
      </c>
      <c r="G474" s="80" t="s">
        <v>457</v>
      </c>
      <c r="H474" s="80" t="s">
        <v>1423</v>
      </c>
      <c r="I474" s="80" t="s">
        <v>446</v>
      </c>
      <c r="J474" s="80" t="s">
        <v>472</v>
      </c>
      <c r="K474" s="80" t="s">
        <v>446</v>
      </c>
      <c r="L474" s="80" t="s">
        <v>446</v>
      </c>
      <c r="M474" s="86" t="str">
        <f t="shared" si="10"/>
        <v>View on Google Map</v>
      </c>
    </row>
    <row r="475" spans="1:13" x14ac:dyDescent="0.2">
      <c r="A475" s="80">
        <v>109</v>
      </c>
      <c r="B475" s="80" t="s">
        <v>1424</v>
      </c>
      <c r="C475" s="80" t="s">
        <v>446</v>
      </c>
      <c r="D475" s="80">
        <v>68.683333333333337</v>
      </c>
      <c r="E475" s="80">
        <v>-149.61666666666667</v>
      </c>
      <c r="F475" s="80">
        <v>701</v>
      </c>
      <c r="G475" s="80" t="s">
        <v>457</v>
      </c>
      <c r="H475" s="80" t="s">
        <v>1425</v>
      </c>
      <c r="I475" s="80" t="s">
        <v>446</v>
      </c>
      <c r="J475" s="80" t="s">
        <v>472</v>
      </c>
      <c r="K475" s="80" t="s">
        <v>446</v>
      </c>
      <c r="L475" s="80" t="s">
        <v>446</v>
      </c>
      <c r="M475" s="86" t="str">
        <f t="shared" si="10"/>
        <v>View on Google Map</v>
      </c>
    </row>
    <row r="476" spans="1:13" x14ac:dyDescent="0.2">
      <c r="A476" s="80">
        <v>497</v>
      </c>
      <c r="B476" s="80" t="s">
        <v>1426</v>
      </c>
      <c r="C476" s="80" t="s">
        <v>1427</v>
      </c>
      <c r="D476" s="80">
        <v>68.674931999999998</v>
      </c>
      <c r="E476" s="80">
        <v>-149.625439</v>
      </c>
      <c r="F476" s="80">
        <v>701</v>
      </c>
      <c r="G476" s="80" t="s">
        <v>457</v>
      </c>
      <c r="H476" s="80" t="s">
        <v>446</v>
      </c>
      <c r="I476" s="80" t="s">
        <v>446</v>
      </c>
      <c r="J476" s="80" t="s">
        <v>1374</v>
      </c>
      <c r="K476" s="80" t="s">
        <v>446</v>
      </c>
      <c r="L476" s="80" t="s">
        <v>853</v>
      </c>
      <c r="M476" s="86" t="str">
        <f t="shared" si="10"/>
        <v>View on Google Map</v>
      </c>
    </row>
    <row r="477" spans="1:13" x14ac:dyDescent="0.2">
      <c r="A477" s="80">
        <v>498</v>
      </c>
      <c r="B477" s="80" t="s">
        <v>1428</v>
      </c>
      <c r="C477" s="80" t="s">
        <v>446</v>
      </c>
      <c r="D477" s="80">
        <v>68.677723</v>
      </c>
      <c r="E477" s="80">
        <v>-149.62402800000001</v>
      </c>
      <c r="F477" s="80">
        <v>701</v>
      </c>
      <c r="G477" s="80" t="s">
        <v>471</v>
      </c>
      <c r="H477" s="80" t="s">
        <v>446</v>
      </c>
      <c r="I477" s="80" t="s">
        <v>446</v>
      </c>
      <c r="J477" s="80" t="s">
        <v>1374</v>
      </c>
      <c r="K477" s="80" t="s">
        <v>446</v>
      </c>
      <c r="L477" s="80" t="s">
        <v>853</v>
      </c>
      <c r="M477" s="86" t="str">
        <f t="shared" si="10"/>
        <v>View on Google Map</v>
      </c>
    </row>
    <row r="478" spans="1:13" x14ac:dyDescent="0.2">
      <c r="A478" s="80">
        <v>495</v>
      </c>
      <c r="B478" s="80" t="s">
        <v>1429</v>
      </c>
      <c r="C478" s="80" t="s">
        <v>446</v>
      </c>
      <c r="D478" s="80">
        <v>68.674121999999997</v>
      </c>
      <c r="E478" s="80">
        <v>-149.62885</v>
      </c>
      <c r="F478" s="80">
        <v>701</v>
      </c>
      <c r="G478" s="80" t="s">
        <v>471</v>
      </c>
      <c r="H478" s="80" t="s">
        <v>446</v>
      </c>
      <c r="I478" s="80" t="s">
        <v>446</v>
      </c>
      <c r="J478" s="80" t="s">
        <v>1374</v>
      </c>
      <c r="K478" s="80" t="s">
        <v>446</v>
      </c>
      <c r="L478" s="80" t="s">
        <v>853</v>
      </c>
      <c r="M478" s="86" t="str">
        <f t="shared" si="10"/>
        <v>View on Google Map</v>
      </c>
    </row>
    <row r="479" spans="1:13" x14ac:dyDescent="0.2">
      <c r="A479" s="80">
        <v>448</v>
      </c>
      <c r="B479" s="80" t="s">
        <v>1430</v>
      </c>
      <c r="C479" s="80" t="s">
        <v>446</v>
      </c>
      <c r="D479" s="80">
        <v>68.655874034999997</v>
      </c>
      <c r="E479" s="80">
        <v>-149.58555905599999</v>
      </c>
      <c r="F479" s="80" t="s">
        <v>446</v>
      </c>
      <c r="G479" s="80" t="s">
        <v>457</v>
      </c>
      <c r="H479" s="80" t="s">
        <v>1431</v>
      </c>
      <c r="I479" s="80" t="s">
        <v>446</v>
      </c>
      <c r="J479" s="80" t="s">
        <v>472</v>
      </c>
      <c r="K479" s="80" t="s">
        <v>446</v>
      </c>
      <c r="L479" s="80" t="s">
        <v>446</v>
      </c>
      <c r="M479" s="86" t="str">
        <f t="shared" si="10"/>
        <v>View on Google Map</v>
      </c>
    </row>
    <row r="480" spans="1:13" x14ac:dyDescent="0.2">
      <c r="A480" s="80">
        <v>449</v>
      </c>
      <c r="B480" s="80" t="s">
        <v>1432</v>
      </c>
      <c r="C480" s="80" t="s">
        <v>446</v>
      </c>
      <c r="D480" s="80">
        <v>68.661045276899998</v>
      </c>
      <c r="E480" s="80">
        <v>-149.586664767</v>
      </c>
      <c r="F480" s="80" t="s">
        <v>446</v>
      </c>
      <c r="G480" s="80" t="s">
        <v>457</v>
      </c>
      <c r="H480" s="80" t="s">
        <v>1433</v>
      </c>
      <c r="I480" s="80" t="s">
        <v>446</v>
      </c>
      <c r="J480" s="80" t="s">
        <v>472</v>
      </c>
      <c r="K480" s="80" t="s">
        <v>446</v>
      </c>
      <c r="L480" s="80" t="s">
        <v>446</v>
      </c>
      <c r="M480" s="86" t="str">
        <f t="shared" si="10"/>
        <v>View on Google Map</v>
      </c>
    </row>
    <row r="481" spans="1:13" x14ac:dyDescent="0.2">
      <c r="A481" s="80">
        <v>171</v>
      </c>
      <c r="B481" s="80" t="s">
        <v>1434</v>
      </c>
      <c r="C481" s="80" t="s">
        <v>446</v>
      </c>
      <c r="D481" s="80">
        <v>68.652645483100002</v>
      </c>
      <c r="E481" s="80">
        <v>-149.59947366200001</v>
      </c>
      <c r="F481" s="80">
        <v>747</v>
      </c>
      <c r="G481" s="80" t="s">
        <v>457</v>
      </c>
      <c r="H481" s="80" t="s">
        <v>1435</v>
      </c>
      <c r="I481" s="80" t="s">
        <v>1436</v>
      </c>
      <c r="J481" s="80" t="s">
        <v>472</v>
      </c>
      <c r="K481" s="80" t="s">
        <v>446</v>
      </c>
      <c r="L481" s="80" t="s">
        <v>446</v>
      </c>
      <c r="M481" s="86" t="str">
        <f t="shared" si="10"/>
        <v>View on Google Map</v>
      </c>
    </row>
    <row r="482" spans="1:13" x14ac:dyDescent="0.2">
      <c r="A482" s="80">
        <v>499</v>
      </c>
      <c r="B482" s="80" t="s">
        <v>1437</v>
      </c>
      <c r="C482" s="80" t="s">
        <v>446</v>
      </c>
      <c r="D482" s="80">
        <v>68.829610000000002</v>
      </c>
      <c r="E482" s="80">
        <v>-149.77901</v>
      </c>
      <c r="F482" s="80">
        <v>633</v>
      </c>
      <c r="G482" s="80" t="s">
        <v>457</v>
      </c>
      <c r="H482" s="80" t="s">
        <v>1438</v>
      </c>
      <c r="I482" s="80" t="s">
        <v>1439</v>
      </c>
      <c r="J482" s="80" t="s">
        <v>458</v>
      </c>
      <c r="K482" s="80" t="s">
        <v>446</v>
      </c>
      <c r="L482" s="80" t="s">
        <v>446</v>
      </c>
      <c r="M482" s="86" t="str">
        <f t="shared" si="10"/>
        <v>View on Google Map</v>
      </c>
    </row>
    <row r="483" spans="1:13" x14ac:dyDescent="0.2">
      <c r="A483" s="80">
        <v>500</v>
      </c>
      <c r="B483" s="80" t="s">
        <v>1440</v>
      </c>
      <c r="C483" s="80" t="s">
        <v>446</v>
      </c>
      <c r="D483" s="80">
        <v>68.832999999999998</v>
      </c>
      <c r="E483" s="80">
        <v>-149.76808</v>
      </c>
      <c r="F483" s="80">
        <v>624</v>
      </c>
      <c r="G483" s="80" t="s">
        <v>457</v>
      </c>
      <c r="H483" s="80" t="s">
        <v>1441</v>
      </c>
      <c r="I483" s="80" t="s">
        <v>1442</v>
      </c>
      <c r="J483" s="80" t="s">
        <v>458</v>
      </c>
      <c r="K483" s="80" t="s">
        <v>446</v>
      </c>
      <c r="L483" s="80" t="s">
        <v>446</v>
      </c>
      <c r="M483" s="86" t="str">
        <f t="shared" si="10"/>
        <v>View on Google Map</v>
      </c>
    </row>
    <row r="484" spans="1:13" x14ac:dyDescent="0.2">
      <c r="A484" s="80">
        <v>501</v>
      </c>
      <c r="B484" s="80" t="s">
        <v>1443</v>
      </c>
      <c r="C484" s="80" t="s">
        <v>446</v>
      </c>
      <c r="D484" s="80">
        <v>68.828299999999999</v>
      </c>
      <c r="E484" s="80">
        <v>-149.76473999999999</v>
      </c>
      <c r="F484" s="80">
        <v>624</v>
      </c>
      <c r="G484" s="80" t="s">
        <v>457</v>
      </c>
      <c r="H484" s="80" t="s">
        <v>1444</v>
      </c>
      <c r="I484" s="80" t="s">
        <v>1445</v>
      </c>
      <c r="J484" s="80" t="s">
        <v>458</v>
      </c>
      <c r="K484" s="80" t="s">
        <v>446</v>
      </c>
      <c r="L484" s="80" t="s">
        <v>446</v>
      </c>
      <c r="M484" s="86" t="str">
        <f t="shared" si="10"/>
        <v>View on Google Map</v>
      </c>
    </row>
    <row r="485" spans="1:13" x14ac:dyDescent="0.2">
      <c r="A485" s="80">
        <v>502</v>
      </c>
      <c r="B485" s="80" t="s">
        <v>1446</v>
      </c>
      <c r="C485" s="80" t="s">
        <v>446</v>
      </c>
      <c r="D485" s="80">
        <v>68.826520000000002</v>
      </c>
      <c r="E485" s="80">
        <v>-149.75897000000001</v>
      </c>
      <c r="F485" s="80">
        <v>592</v>
      </c>
      <c r="G485" s="80" t="s">
        <v>457</v>
      </c>
      <c r="H485" s="80" t="s">
        <v>1447</v>
      </c>
      <c r="I485" s="80" t="s">
        <v>1448</v>
      </c>
      <c r="J485" s="80" t="s">
        <v>458</v>
      </c>
      <c r="K485" s="80" t="s">
        <v>446</v>
      </c>
      <c r="L485" s="80" t="s">
        <v>446</v>
      </c>
      <c r="M485" s="86" t="str">
        <f t="shared" si="10"/>
        <v>View on Google Map</v>
      </c>
    </row>
    <row r="486" spans="1:13" x14ac:dyDescent="0.2">
      <c r="A486" s="80">
        <v>503</v>
      </c>
      <c r="B486" s="80" t="s">
        <v>1449</v>
      </c>
      <c r="C486" s="80" t="s">
        <v>446</v>
      </c>
      <c r="D486" s="80">
        <v>68.827259999999995</v>
      </c>
      <c r="E486" s="80">
        <v>-149.75089</v>
      </c>
      <c r="F486" s="80">
        <v>592</v>
      </c>
      <c r="G486" s="80" t="s">
        <v>457</v>
      </c>
      <c r="H486" s="80" t="s">
        <v>1450</v>
      </c>
      <c r="I486" s="80" t="s">
        <v>1451</v>
      </c>
      <c r="J486" s="80" t="s">
        <v>458</v>
      </c>
      <c r="K486" s="80" t="s">
        <v>446</v>
      </c>
      <c r="L486" s="80" t="s">
        <v>446</v>
      </c>
      <c r="M486" s="86" t="str">
        <f t="shared" si="10"/>
        <v>View on Google Map</v>
      </c>
    </row>
    <row r="487" spans="1:13" x14ac:dyDescent="0.2">
      <c r="A487" s="80">
        <v>488</v>
      </c>
      <c r="B487" s="80" t="s">
        <v>1452</v>
      </c>
      <c r="C487" s="80" t="s">
        <v>446</v>
      </c>
      <c r="D487" s="80">
        <v>69.329949999999997</v>
      </c>
      <c r="E487" s="80">
        <v>-150.95275000000001</v>
      </c>
      <c r="F487" s="80">
        <v>127</v>
      </c>
      <c r="G487" s="80" t="s">
        <v>457</v>
      </c>
      <c r="H487" s="80" t="s">
        <v>446</v>
      </c>
      <c r="I487" s="80" t="s">
        <v>446</v>
      </c>
      <c r="J487" s="80" t="s">
        <v>507</v>
      </c>
      <c r="K487" s="80" t="s">
        <v>446</v>
      </c>
      <c r="L487" s="80" t="s">
        <v>454</v>
      </c>
      <c r="M487" s="86" t="str">
        <f t="shared" si="10"/>
        <v>View on Google Map</v>
      </c>
    </row>
    <row r="488" spans="1:13" x14ac:dyDescent="0.2">
      <c r="A488" s="80">
        <v>489</v>
      </c>
      <c r="B488" s="80" t="s">
        <v>1453</v>
      </c>
      <c r="C488" s="80" t="s">
        <v>446</v>
      </c>
      <c r="D488" s="80" t="s">
        <v>446</v>
      </c>
      <c r="E488" s="80" t="s">
        <v>446</v>
      </c>
      <c r="F488" s="80">
        <v>127</v>
      </c>
      <c r="G488" s="80" t="s">
        <v>471</v>
      </c>
      <c r="H488" s="80" t="s">
        <v>446</v>
      </c>
      <c r="I488" s="80" t="s">
        <v>446</v>
      </c>
      <c r="J488" s="80" t="s">
        <v>507</v>
      </c>
      <c r="K488" s="80" t="s">
        <v>446</v>
      </c>
      <c r="L488" s="80" t="s">
        <v>454</v>
      </c>
      <c r="M488" s="86" t="str">
        <f t="shared" si="10"/>
        <v>View on Google Map</v>
      </c>
    </row>
    <row r="489" spans="1:13" x14ac:dyDescent="0.2">
      <c r="A489" s="80">
        <v>490</v>
      </c>
      <c r="B489" s="80" t="s">
        <v>1454</v>
      </c>
      <c r="C489" s="80" t="s">
        <v>446</v>
      </c>
      <c r="D489" s="80" t="s">
        <v>446</v>
      </c>
      <c r="E489" s="80" t="s">
        <v>446</v>
      </c>
      <c r="F489" s="80">
        <v>127</v>
      </c>
      <c r="G489" s="80" t="s">
        <v>457</v>
      </c>
      <c r="H489" s="80" t="s">
        <v>446</v>
      </c>
      <c r="I489" s="80" t="s">
        <v>446</v>
      </c>
      <c r="J489" s="80" t="s">
        <v>507</v>
      </c>
      <c r="K489" s="80" t="s">
        <v>446</v>
      </c>
      <c r="L489" s="80" t="s">
        <v>454</v>
      </c>
      <c r="M489" s="86" t="str">
        <f t="shared" si="10"/>
        <v>View on Google Map</v>
      </c>
    </row>
    <row r="490" spans="1:13" x14ac:dyDescent="0.2">
      <c r="A490" s="80">
        <v>34</v>
      </c>
      <c r="B490" s="80" t="s">
        <v>1455</v>
      </c>
      <c r="C490" s="80" t="s">
        <v>446</v>
      </c>
      <c r="D490" s="80">
        <v>69.057400000000001</v>
      </c>
      <c r="E490" s="80">
        <v>-150.39599999999999</v>
      </c>
      <c r="F490" s="80">
        <v>274</v>
      </c>
      <c r="G490" s="80" t="s">
        <v>471</v>
      </c>
      <c r="H490" s="80" t="s">
        <v>446</v>
      </c>
      <c r="I490" s="80" t="s">
        <v>446</v>
      </c>
      <c r="J490" s="80" t="s">
        <v>507</v>
      </c>
      <c r="K490" s="80" t="s">
        <v>446</v>
      </c>
      <c r="L490" s="80" t="s">
        <v>454</v>
      </c>
      <c r="M490" s="86" t="str">
        <f t="shared" si="10"/>
        <v>View on Google Map</v>
      </c>
    </row>
    <row r="491" spans="1:13" x14ac:dyDescent="0.2">
      <c r="A491" s="80">
        <v>45</v>
      </c>
      <c r="B491" s="80" t="s">
        <v>1456</v>
      </c>
      <c r="C491" s="80" t="s">
        <v>446</v>
      </c>
      <c r="D491" s="80">
        <v>69.063298000000003</v>
      </c>
      <c r="E491" s="80">
        <v>-150.394711</v>
      </c>
      <c r="F491" s="80" t="s">
        <v>446</v>
      </c>
      <c r="G491" s="80" t="s">
        <v>471</v>
      </c>
      <c r="H491" s="80" t="s">
        <v>446</v>
      </c>
      <c r="I491" s="80" t="s">
        <v>446</v>
      </c>
      <c r="J491" s="80" t="s">
        <v>1457</v>
      </c>
      <c r="K491" s="80" t="s">
        <v>446</v>
      </c>
      <c r="L491" s="80" t="s">
        <v>454</v>
      </c>
      <c r="M491" s="86" t="str">
        <f t="shared" si="10"/>
        <v>View on Google Map</v>
      </c>
    </row>
    <row r="492" spans="1:13" x14ac:dyDescent="0.2">
      <c r="B492" s="80" t="s">
        <v>1458</v>
      </c>
      <c r="C492" s="80" t="s">
        <v>1459</v>
      </c>
      <c r="D492" s="80">
        <v>69.138333333333335</v>
      </c>
      <c r="E492" s="80">
        <v>-150.64916666666701</v>
      </c>
      <c r="G492" s="80" t="s">
        <v>465</v>
      </c>
      <c r="J492" s="80" t="s">
        <v>453</v>
      </c>
      <c r="L492" s="80" t="s">
        <v>454</v>
      </c>
      <c r="M492" s="86" t="str">
        <f t="shared" si="10"/>
        <v>View on Google Map</v>
      </c>
    </row>
    <row r="493" spans="1:13" x14ac:dyDescent="0.2">
      <c r="B493" s="80" t="s">
        <v>1460</v>
      </c>
      <c r="C493" s="80" t="s">
        <v>843</v>
      </c>
      <c r="D493" s="80">
        <v>69.152500000000003</v>
      </c>
      <c r="E493" s="80">
        <v>-150.706111111111</v>
      </c>
      <c r="G493" s="80" t="s">
        <v>465</v>
      </c>
      <c r="J493" s="80" t="s">
        <v>453</v>
      </c>
      <c r="L493" s="80" t="s">
        <v>454</v>
      </c>
      <c r="M493" s="86" t="str">
        <f t="shared" si="10"/>
        <v>View on Google Map</v>
      </c>
    </row>
    <row r="494" spans="1:13" x14ac:dyDescent="0.2">
      <c r="A494" s="80">
        <v>35</v>
      </c>
      <c r="B494" s="80" t="s">
        <v>1461</v>
      </c>
      <c r="C494" s="80" t="s">
        <v>446</v>
      </c>
      <c r="D494" s="80">
        <v>69.063333333333333</v>
      </c>
      <c r="E494" s="80">
        <v>-150.39333333333335</v>
      </c>
      <c r="F494" s="80">
        <v>281</v>
      </c>
      <c r="G494" s="80" t="s">
        <v>471</v>
      </c>
      <c r="H494" s="80" t="s">
        <v>446</v>
      </c>
      <c r="I494" s="80" t="s">
        <v>446</v>
      </c>
      <c r="J494" s="80" t="s">
        <v>507</v>
      </c>
      <c r="K494" s="80" t="s">
        <v>446</v>
      </c>
      <c r="L494" s="80" t="s">
        <v>454</v>
      </c>
      <c r="M494" s="86" t="str">
        <f t="shared" si="10"/>
        <v>View on Google Map</v>
      </c>
    </row>
    <row r="495" spans="1:13" x14ac:dyDescent="0.2">
      <c r="A495" s="80">
        <v>161</v>
      </c>
      <c r="B495" s="80" t="s">
        <v>1462</v>
      </c>
      <c r="C495" s="80" t="s">
        <v>1463</v>
      </c>
      <c r="D495" s="80">
        <v>68.599999999999994</v>
      </c>
      <c r="E495" s="80">
        <v>-149.18333333333334</v>
      </c>
      <c r="F495" s="80">
        <v>876</v>
      </c>
      <c r="G495" s="80" t="s">
        <v>457</v>
      </c>
      <c r="H495" s="80" t="s">
        <v>1464</v>
      </c>
      <c r="I495" s="80" t="s">
        <v>446</v>
      </c>
      <c r="J495" s="80" t="s">
        <v>472</v>
      </c>
      <c r="K495" s="80" t="s">
        <v>446</v>
      </c>
      <c r="L495" s="80" t="s">
        <v>473</v>
      </c>
      <c r="M495" s="86" t="str">
        <f t="shared" si="10"/>
        <v>View on Google Map</v>
      </c>
    </row>
    <row r="496" spans="1:13" x14ac:dyDescent="0.2">
      <c r="A496" s="80">
        <v>162</v>
      </c>
      <c r="B496" s="80" t="s">
        <v>1465</v>
      </c>
      <c r="C496" s="80" t="s">
        <v>1463</v>
      </c>
      <c r="D496" s="80">
        <v>68.583333333333329</v>
      </c>
      <c r="E496" s="80">
        <v>-149.19999999999999</v>
      </c>
      <c r="F496" s="80">
        <v>892</v>
      </c>
      <c r="G496" s="80" t="s">
        <v>457</v>
      </c>
      <c r="H496" s="80" t="s">
        <v>1466</v>
      </c>
      <c r="I496" s="80" t="s">
        <v>446</v>
      </c>
      <c r="J496" s="80" t="s">
        <v>472</v>
      </c>
      <c r="K496" s="80" t="s">
        <v>446</v>
      </c>
      <c r="L496" s="80" t="s">
        <v>473</v>
      </c>
      <c r="M496" s="86" t="str">
        <f t="shared" si="10"/>
        <v>View on Google Map</v>
      </c>
    </row>
    <row r="497" spans="1:13" x14ac:dyDescent="0.2">
      <c r="A497" s="80">
        <v>163</v>
      </c>
      <c r="B497" s="80" t="s">
        <v>1467</v>
      </c>
      <c r="C497" s="80" t="s">
        <v>1463</v>
      </c>
      <c r="D497" s="80">
        <v>68.599999999999994</v>
      </c>
      <c r="E497" s="80">
        <v>-149.16666666666666</v>
      </c>
      <c r="F497" s="80">
        <v>876</v>
      </c>
      <c r="G497" s="80" t="s">
        <v>457</v>
      </c>
      <c r="H497" s="80" t="s">
        <v>1468</v>
      </c>
      <c r="I497" s="80" t="s">
        <v>446</v>
      </c>
      <c r="J497" s="80" t="s">
        <v>472</v>
      </c>
      <c r="K497" s="80" t="s">
        <v>446</v>
      </c>
      <c r="L497" s="80" t="s">
        <v>473</v>
      </c>
      <c r="M497" s="86" t="str">
        <f t="shared" si="10"/>
        <v>View on Google Map</v>
      </c>
    </row>
    <row r="498" spans="1:13" x14ac:dyDescent="0.2">
      <c r="A498" s="80">
        <v>5</v>
      </c>
      <c r="B498" s="80" t="s">
        <v>1469</v>
      </c>
      <c r="C498" s="80" t="s">
        <v>1058</v>
      </c>
      <c r="D498" s="80">
        <v>68.671486221999999</v>
      </c>
      <c r="E498" s="80">
        <v>-149.1281271</v>
      </c>
      <c r="F498" s="80">
        <v>761.75599999999997</v>
      </c>
      <c r="G498" s="80" t="s">
        <v>983</v>
      </c>
      <c r="J498" s="5" t="s">
        <v>472</v>
      </c>
      <c r="M498" s="86" t="str">
        <f t="shared" si="10"/>
        <v>View on Google Map</v>
      </c>
    </row>
    <row r="499" spans="1:13" x14ac:dyDescent="0.2">
      <c r="A499" s="80">
        <v>5</v>
      </c>
      <c r="B499" s="80" t="s">
        <v>1470</v>
      </c>
      <c r="C499" s="80" t="s">
        <v>1058</v>
      </c>
      <c r="D499" s="80">
        <v>68.671371694000001</v>
      </c>
      <c r="E499" s="80">
        <v>-149.131155484</v>
      </c>
      <c r="F499" s="80">
        <v>763.88099999999997</v>
      </c>
      <c r="G499" s="80" t="s">
        <v>983</v>
      </c>
      <c r="J499" s="5" t="s">
        <v>472</v>
      </c>
      <c r="M499" s="86" t="str">
        <f t="shared" si="10"/>
        <v>View on Google Map</v>
      </c>
    </row>
    <row r="500" spans="1:13" x14ac:dyDescent="0.2">
      <c r="A500" s="80">
        <v>5</v>
      </c>
      <c r="B500" s="80" t="s">
        <v>1471</v>
      </c>
      <c r="C500" s="80" t="s">
        <v>1058</v>
      </c>
      <c r="D500" s="80">
        <v>68.671018009999997</v>
      </c>
      <c r="E500" s="80">
        <v>-149.13789268599999</v>
      </c>
      <c r="F500" s="80">
        <v>764.53700000000003</v>
      </c>
      <c r="G500" s="80" t="s">
        <v>983</v>
      </c>
      <c r="J500" s="5" t="s">
        <v>472</v>
      </c>
      <c r="M500" s="86" t="str">
        <f t="shared" si="10"/>
        <v>View on Google Map</v>
      </c>
    </row>
    <row r="501" spans="1:13" x14ac:dyDescent="0.2">
      <c r="A501" s="80">
        <v>5</v>
      </c>
      <c r="B501" s="80" t="s">
        <v>1472</v>
      </c>
      <c r="C501" s="80" t="s">
        <v>1068</v>
      </c>
      <c r="D501" s="80">
        <v>68.677193270000004</v>
      </c>
      <c r="E501" s="80">
        <v>-149.121792258</v>
      </c>
      <c r="F501" s="80">
        <v>763.74300000000005</v>
      </c>
      <c r="G501" s="80" t="s">
        <v>983</v>
      </c>
      <c r="J501" s="5" t="s">
        <v>472</v>
      </c>
      <c r="M501" s="86" t="str">
        <f t="shared" si="10"/>
        <v>View on Google Map</v>
      </c>
    </row>
    <row r="502" spans="1:13" x14ac:dyDescent="0.2">
      <c r="A502" s="80">
        <v>5</v>
      </c>
      <c r="B502" s="80" t="s">
        <v>1473</v>
      </c>
      <c r="C502" s="80" t="s">
        <v>1068</v>
      </c>
      <c r="D502" s="80">
        <v>68.679780992000005</v>
      </c>
      <c r="E502" s="80">
        <v>-149.114206438</v>
      </c>
      <c r="F502" s="80">
        <v>762.678</v>
      </c>
      <c r="G502" s="80" t="s">
        <v>983</v>
      </c>
      <c r="J502" s="5" t="s">
        <v>472</v>
      </c>
      <c r="M502" s="86" t="str">
        <f t="shared" si="10"/>
        <v>View on Google Map</v>
      </c>
    </row>
    <row r="503" spans="1:13" x14ac:dyDescent="0.2">
      <c r="A503" s="80">
        <v>5</v>
      </c>
      <c r="B503" s="80" t="s">
        <v>1474</v>
      </c>
      <c r="C503" s="80" t="s">
        <v>470</v>
      </c>
      <c r="D503" s="80">
        <v>68.687399999999997</v>
      </c>
      <c r="E503" s="80">
        <v>-149.095</v>
      </c>
      <c r="F503" s="80">
        <v>754</v>
      </c>
      <c r="G503" s="80" t="s">
        <v>471</v>
      </c>
      <c r="H503" s="80" t="s">
        <v>1475</v>
      </c>
      <c r="I503" s="80" t="s">
        <v>1476</v>
      </c>
      <c r="J503" s="80" t="s">
        <v>472</v>
      </c>
      <c r="K503" s="80" t="s">
        <v>446</v>
      </c>
      <c r="L503" s="80" t="s">
        <v>473</v>
      </c>
      <c r="M503" s="86" t="str">
        <f t="shared" si="10"/>
        <v>View on Google Map</v>
      </c>
    </row>
    <row r="504" spans="1:13" x14ac:dyDescent="0.2">
      <c r="A504" s="80">
        <v>5</v>
      </c>
      <c r="B504" s="80" t="s">
        <v>1477</v>
      </c>
      <c r="C504" s="80" t="s">
        <v>1088</v>
      </c>
      <c r="D504" s="80">
        <v>68.672870447999998</v>
      </c>
      <c r="E504" s="80">
        <v>-149.124843486</v>
      </c>
      <c r="G504" s="80" t="s">
        <v>983</v>
      </c>
      <c r="J504" s="5" t="s">
        <v>472</v>
      </c>
      <c r="M504" s="86" t="str">
        <f t="shared" si="10"/>
        <v>View on Google Map</v>
      </c>
    </row>
    <row r="505" spans="1:13" x14ac:dyDescent="0.2">
      <c r="A505" s="80">
        <v>5</v>
      </c>
      <c r="B505" s="80" t="s">
        <v>1478</v>
      </c>
      <c r="C505" s="80" t="s">
        <v>1479</v>
      </c>
      <c r="D505" s="80">
        <v>68.686037823000007</v>
      </c>
      <c r="E505" s="80">
        <v>-149.0990032</v>
      </c>
      <c r="G505" s="80" t="s">
        <v>983</v>
      </c>
      <c r="J505" s="5" t="s">
        <v>472</v>
      </c>
      <c r="M505" s="86" t="str">
        <f t="shared" si="10"/>
        <v>View on Google Map</v>
      </c>
    </row>
    <row r="506" spans="1:13" x14ac:dyDescent="0.2">
      <c r="A506" s="80">
        <v>491</v>
      </c>
      <c r="B506" s="80" t="s">
        <v>1480</v>
      </c>
      <c r="C506" s="80" t="s">
        <v>446</v>
      </c>
      <c r="D506" s="80">
        <v>68.941266666999994</v>
      </c>
      <c r="E506" s="80">
        <v>-150.5068</v>
      </c>
      <c r="F506" s="80">
        <v>408</v>
      </c>
      <c r="G506" s="80" t="s">
        <v>457</v>
      </c>
      <c r="H506" s="80" t="s">
        <v>1481</v>
      </c>
      <c r="I506" s="80" t="s">
        <v>446</v>
      </c>
      <c r="J506" s="80" t="s">
        <v>507</v>
      </c>
      <c r="K506" s="80" t="s">
        <v>446</v>
      </c>
      <c r="L506" s="80" t="s">
        <v>454</v>
      </c>
      <c r="M506" s="86" t="str">
        <f t="shared" si="10"/>
        <v>View on Google Map</v>
      </c>
    </row>
    <row r="507" spans="1:13" x14ac:dyDescent="0.2">
      <c r="A507" s="80">
        <v>492</v>
      </c>
      <c r="B507" s="80" t="s">
        <v>1482</v>
      </c>
      <c r="C507" s="80" t="s">
        <v>446</v>
      </c>
      <c r="D507" s="80" t="s">
        <v>446</v>
      </c>
      <c r="E507" s="80" t="s">
        <v>446</v>
      </c>
      <c r="F507" s="80">
        <v>408</v>
      </c>
      <c r="G507" s="80" t="s">
        <v>457</v>
      </c>
      <c r="H507" s="80" t="s">
        <v>1483</v>
      </c>
      <c r="I507" s="80" t="s">
        <v>446</v>
      </c>
      <c r="J507" s="80" t="s">
        <v>507</v>
      </c>
      <c r="K507" s="80" t="s">
        <v>446</v>
      </c>
      <c r="L507" s="80" t="s">
        <v>454</v>
      </c>
      <c r="M507" s="86" t="str">
        <f t="shared" si="10"/>
        <v>View on Google Map</v>
      </c>
    </row>
    <row r="508" spans="1:13" x14ac:dyDescent="0.2">
      <c r="A508" s="80">
        <v>1172</v>
      </c>
      <c r="B508" s="80" t="s">
        <v>1484</v>
      </c>
      <c r="C508" s="80" t="s">
        <v>446</v>
      </c>
      <c r="D508" s="80">
        <v>68.99666666666667</v>
      </c>
      <c r="E508" s="80">
        <v>-150.21249999999998</v>
      </c>
      <c r="F508" s="80" t="s">
        <v>446</v>
      </c>
      <c r="G508" s="80" t="s">
        <v>447</v>
      </c>
      <c r="H508" s="80" t="s">
        <v>1485</v>
      </c>
      <c r="I508" s="80" t="s">
        <v>446</v>
      </c>
      <c r="J508" s="80" t="s">
        <v>453</v>
      </c>
      <c r="K508" s="80" t="s">
        <v>446</v>
      </c>
      <c r="L508" s="80" t="s">
        <v>454</v>
      </c>
      <c r="M508" s="86" t="str">
        <f t="shared" si="10"/>
        <v>View on Google Map</v>
      </c>
    </row>
    <row r="509" spans="1:13" x14ac:dyDescent="0.2">
      <c r="A509" s="80">
        <v>493</v>
      </c>
      <c r="B509" s="80" t="s">
        <v>1486</v>
      </c>
      <c r="C509" s="80" t="s">
        <v>446</v>
      </c>
      <c r="D509" s="80">
        <v>68.974933332999996</v>
      </c>
      <c r="E509" s="80">
        <v>-150.221066667</v>
      </c>
      <c r="F509" s="80">
        <v>364</v>
      </c>
      <c r="G509" s="80" t="s">
        <v>457</v>
      </c>
      <c r="H509" s="80" t="s">
        <v>446</v>
      </c>
      <c r="I509" s="80" t="s">
        <v>446</v>
      </c>
      <c r="J509" s="80" t="s">
        <v>507</v>
      </c>
      <c r="K509" s="80" t="s">
        <v>446</v>
      </c>
      <c r="L509" s="80" t="s">
        <v>454</v>
      </c>
      <c r="M509" s="86" t="str">
        <f t="shared" si="10"/>
        <v>View on Google Map</v>
      </c>
    </row>
    <row r="510" spans="1:13" x14ac:dyDescent="0.2">
      <c r="A510" s="80">
        <v>405</v>
      </c>
      <c r="B510" s="80" t="s">
        <v>1487</v>
      </c>
      <c r="C510" s="80" t="s">
        <v>446</v>
      </c>
      <c r="D510" s="80" t="s">
        <v>446</v>
      </c>
      <c r="E510" s="80" t="s">
        <v>446</v>
      </c>
      <c r="F510" s="80" t="s">
        <v>446</v>
      </c>
      <c r="G510" s="80" t="s">
        <v>457</v>
      </c>
      <c r="H510" s="80" t="s">
        <v>446</v>
      </c>
      <c r="I510" s="80" t="s">
        <v>446</v>
      </c>
      <c r="J510" s="80" t="s">
        <v>472</v>
      </c>
      <c r="K510" s="80" t="s">
        <v>446</v>
      </c>
      <c r="L510" s="80" t="s">
        <v>628</v>
      </c>
      <c r="M510" s="86" t="str">
        <f t="shared" si="10"/>
        <v>View on Google Map</v>
      </c>
    </row>
    <row r="511" spans="1:13" x14ac:dyDescent="0.2">
      <c r="A511" s="80">
        <v>505</v>
      </c>
      <c r="B511" s="80" t="s">
        <v>1488</v>
      </c>
      <c r="C511" s="80" t="s">
        <v>446</v>
      </c>
      <c r="D511" s="80">
        <v>68.921059</v>
      </c>
      <c r="E511" s="80">
        <v>-150.34784300000001</v>
      </c>
      <c r="F511" s="80" t="s">
        <v>446</v>
      </c>
      <c r="G511" s="80" t="s">
        <v>457</v>
      </c>
      <c r="H511" s="80" t="s">
        <v>446</v>
      </c>
      <c r="I511" s="80" t="s">
        <v>446</v>
      </c>
      <c r="J511" s="80" t="s">
        <v>507</v>
      </c>
      <c r="K511" s="80" t="s">
        <v>446</v>
      </c>
      <c r="L511" s="80" t="s">
        <v>454</v>
      </c>
      <c r="M511" s="86" t="str">
        <f t="shared" si="10"/>
        <v>View on Google Map</v>
      </c>
    </row>
    <row r="512" spans="1:13" x14ac:dyDescent="0.2">
      <c r="A512" s="80">
        <v>506</v>
      </c>
      <c r="B512" s="80" t="s">
        <v>1489</v>
      </c>
      <c r="C512" s="80" t="s">
        <v>446</v>
      </c>
      <c r="D512" s="80">
        <v>68.921186000000006</v>
      </c>
      <c r="E512" s="80">
        <v>-150.37015</v>
      </c>
      <c r="F512" s="80" t="s">
        <v>446</v>
      </c>
      <c r="G512" s="80" t="s">
        <v>457</v>
      </c>
      <c r="H512" s="80" t="s">
        <v>446</v>
      </c>
      <c r="I512" s="80" t="s">
        <v>446</v>
      </c>
      <c r="J512" s="80" t="s">
        <v>507</v>
      </c>
      <c r="K512" s="80" t="s">
        <v>446</v>
      </c>
      <c r="L512" s="80" t="s">
        <v>454</v>
      </c>
      <c r="M512" s="86" t="str">
        <f t="shared" si="10"/>
        <v>View on Google Map</v>
      </c>
    </row>
    <row r="513" spans="1:13" x14ac:dyDescent="0.2">
      <c r="A513" s="80">
        <v>507</v>
      </c>
      <c r="B513" s="80" t="s">
        <v>1490</v>
      </c>
      <c r="C513" s="80" t="s">
        <v>446</v>
      </c>
      <c r="D513" s="80">
        <v>68.936953000000003</v>
      </c>
      <c r="E513" s="80">
        <v>-150.35309699999999</v>
      </c>
      <c r="F513" s="80" t="s">
        <v>446</v>
      </c>
      <c r="G513" s="80" t="s">
        <v>457</v>
      </c>
      <c r="H513" s="80" t="s">
        <v>446</v>
      </c>
      <c r="I513" s="80" t="s">
        <v>446</v>
      </c>
      <c r="J513" s="80" t="s">
        <v>507</v>
      </c>
      <c r="K513" s="80" t="s">
        <v>446</v>
      </c>
      <c r="L513" s="80" t="s">
        <v>454</v>
      </c>
      <c r="M513" s="86" t="str">
        <f t="shared" si="10"/>
        <v>View on Google Map</v>
      </c>
    </row>
    <row r="514" spans="1:13" x14ac:dyDescent="0.2">
      <c r="A514" s="80">
        <v>12</v>
      </c>
      <c r="B514" s="80" t="s">
        <v>1491</v>
      </c>
      <c r="C514" s="80" t="s">
        <v>446</v>
      </c>
      <c r="D514" s="80" t="s">
        <v>446</v>
      </c>
      <c r="E514" s="80" t="s">
        <v>446</v>
      </c>
      <c r="F514" s="80" t="s">
        <v>446</v>
      </c>
      <c r="G514" s="80" t="s">
        <v>471</v>
      </c>
      <c r="H514" s="80" t="s">
        <v>446</v>
      </c>
      <c r="I514" s="80" t="s">
        <v>446</v>
      </c>
      <c r="J514" s="80" t="s">
        <v>472</v>
      </c>
      <c r="K514" s="80" t="s">
        <v>446</v>
      </c>
      <c r="L514" s="80" t="s">
        <v>446</v>
      </c>
      <c r="M514" s="86" t="str">
        <f t="shared" si="10"/>
        <v>View on Google Map</v>
      </c>
    </row>
    <row r="515" spans="1:13" x14ac:dyDescent="0.2">
      <c r="A515" s="80">
        <v>4</v>
      </c>
      <c r="B515" s="80" t="s">
        <v>1492</v>
      </c>
      <c r="C515" s="80" t="s">
        <v>470</v>
      </c>
      <c r="D515" s="80">
        <v>68.38333333333334</v>
      </c>
      <c r="E515" s="80">
        <v>-149.31666666666666</v>
      </c>
      <c r="F515" s="80">
        <v>869</v>
      </c>
      <c r="G515" s="80" t="s">
        <v>471</v>
      </c>
      <c r="H515" s="80" t="s">
        <v>1493</v>
      </c>
      <c r="I515" s="80" t="s">
        <v>1494</v>
      </c>
      <c r="J515" s="80" t="s">
        <v>472</v>
      </c>
      <c r="K515" s="80" t="s">
        <v>446</v>
      </c>
      <c r="L515" s="80" t="s">
        <v>473</v>
      </c>
      <c r="M515" s="86" t="str">
        <f t="shared" ref="M515:M578" si="11">HYPERLINK("http://maps.google.com/maps?q="&amp;D515&amp;","&amp;E515,"View on Google Map")</f>
        <v>View on Google Map</v>
      </c>
    </row>
    <row r="516" spans="1:13" x14ac:dyDescent="0.2">
      <c r="A516" s="80">
        <v>148</v>
      </c>
      <c r="B516" s="80" t="s">
        <v>1495</v>
      </c>
      <c r="C516" s="80" t="s">
        <v>446</v>
      </c>
      <c r="D516" s="80">
        <v>68.624535966600007</v>
      </c>
      <c r="E516" s="80">
        <v>-149.60216609099999</v>
      </c>
      <c r="F516" s="80">
        <v>720</v>
      </c>
      <c r="G516" s="80" t="s">
        <v>457</v>
      </c>
      <c r="H516" s="80" t="s">
        <v>446</v>
      </c>
      <c r="I516" s="80" t="s">
        <v>446</v>
      </c>
      <c r="J516" s="80" t="s">
        <v>472</v>
      </c>
      <c r="K516" s="80" t="s">
        <v>446</v>
      </c>
      <c r="L516" s="80" t="s">
        <v>446</v>
      </c>
      <c r="M516" s="86" t="str">
        <f t="shared" si="11"/>
        <v>View on Google Map</v>
      </c>
    </row>
    <row r="517" spans="1:13" x14ac:dyDescent="0.2">
      <c r="A517" s="80">
        <v>241</v>
      </c>
      <c r="B517" s="80" t="s">
        <v>1495</v>
      </c>
      <c r="C517" s="80" t="s">
        <v>446</v>
      </c>
      <c r="D517" s="80">
        <v>68.624535966600007</v>
      </c>
      <c r="E517" s="80">
        <v>-149.60216609099999</v>
      </c>
      <c r="F517" s="80" t="s">
        <v>446</v>
      </c>
      <c r="G517" s="80" t="s">
        <v>457</v>
      </c>
      <c r="H517" s="80" t="s">
        <v>446</v>
      </c>
      <c r="I517" s="80" t="s">
        <v>446</v>
      </c>
      <c r="J517" s="80" t="s">
        <v>472</v>
      </c>
      <c r="K517" s="80" t="s">
        <v>446</v>
      </c>
      <c r="L517" s="80" t="s">
        <v>446</v>
      </c>
      <c r="M517" s="86" t="str">
        <f t="shared" si="11"/>
        <v>View on Google Map</v>
      </c>
    </row>
    <row r="518" spans="1:13" x14ac:dyDescent="0.2">
      <c r="A518" s="80">
        <v>149</v>
      </c>
      <c r="B518" s="80" t="s">
        <v>1496</v>
      </c>
      <c r="C518" s="80" t="s">
        <v>446</v>
      </c>
      <c r="D518" s="80">
        <v>68.627169078600005</v>
      </c>
      <c r="E518" s="80">
        <v>-149.61135296200001</v>
      </c>
      <c r="F518" s="80">
        <v>720</v>
      </c>
      <c r="G518" s="80" t="s">
        <v>457</v>
      </c>
      <c r="H518" s="80" t="s">
        <v>446</v>
      </c>
      <c r="I518" s="80" t="s">
        <v>446</v>
      </c>
      <c r="J518" s="80" t="s">
        <v>472</v>
      </c>
      <c r="K518" s="80" t="s">
        <v>446</v>
      </c>
      <c r="L518" s="80" t="s">
        <v>446</v>
      </c>
      <c r="M518" s="86" t="str">
        <f t="shared" si="11"/>
        <v>View on Google Map</v>
      </c>
    </row>
    <row r="519" spans="1:13" x14ac:dyDescent="0.2">
      <c r="A519" s="80">
        <v>150</v>
      </c>
      <c r="B519" s="80" t="s">
        <v>1497</v>
      </c>
      <c r="C519" s="80" t="s">
        <v>446</v>
      </c>
      <c r="D519" s="80">
        <v>68.628818623300006</v>
      </c>
      <c r="E519" s="80">
        <v>-149.62482197599999</v>
      </c>
      <c r="F519" s="80">
        <v>720</v>
      </c>
      <c r="G519" s="80" t="s">
        <v>457</v>
      </c>
      <c r="H519" s="80" t="s">
        <v>446</v>
      </c>
      <c r="I519" s="80" t="s">
        <v>446</v>
      </c>
      <c r="J519" s="80" t="s">
        <v>472</v>
      </c>
      <c r="K519" s="80" t="s">
        <v>446</v>
      </c>
      <c r="L519" s="80" t="s">
        <v>446</v>
      </c>
      <c r="M519" s="86" t="str">
        <f t="shared" si="11"/>
        <v>View on Google Map</v>
      </c>
    </row>
    <row r="520" spans="1:13" x14ac:dyDescent="0.2">
      <c r="A520" s="80">
        <v>151</v>
      </c>
      <c r="B520" s="80" t="s">
        <v>1498</v>
      </c>
      <c r="C520" s="80" t="s">
        <v>446</v>
      </c>
      <c r="D520" s="80">
        <v>68.630949932700005</v>
      </c>
      <c r="E520" s="80">
        <v>-149.62993150400001</v>
      </c>
      <c r="F520" s="80" t="s">
        <v>446</v>
      </c>
      <c r="G520" s="80" t="s">
        <v>457</v>
      </c>
      <c r="H520" s="80" t="s">
        <v>446</v>
      </c>
      <c r="I520" s="80" t="s">
        <v>446</v>
      </c>
      <c r="J520" s="80" t="s">
        <v>472</v>
      </c>
      <c r="K520" s="80" t="s">
        <v>446</v>
      </c>
      <c r="L520" s="80" t="s">
        <v>446</v>
      </c>
      <c r="M520" s="86" t="str">
        <f t="shared" si="11"/>
        <v>View on Google Map</v>
      </c>
    </row>
    <row r="521" spans="1:13" x14ac:dyDescent="0.2">
      <c r="A521" s="80">
        <v>106</v>
      </c>
      <c r="B521" s="80" t="s">
        <v>1499</v>
      </c>
      <c r="C521" s="80" t="s">
        <v>446</v>
      </c>
      <c r="D521" s="80">
        <v>68.631431924799998</v>
      </c>
      <c r="E521" s="80">
        <v>-149.63669249099999</v>
      </c>
      <c r="F521" s="80">
        <v>725</v>
      </c>
      <c r="G521" s="80" t="s">
        <v>457</v>
      </c>
      <c r="H521" s="80" t="s">
        <v>1500</v>
      </c>
      <c r="I521" s="80" t="s">
        <v>446</v>
      </c>
      <c r="J521" s="80" t="s">
        <v>472</v>
      </c>
      <c r="K521" s="80" t="s">
        <v>446</v>
      </c>
      <c r="L521" s="80" t="s">
        <v>446</v>
      </c>
      <c r="M521" s="86" t="str">
        <f t="shared" si="11"/>
        <v>View on Google Map</v>
      </c>
    </row>
    <row r="522" spans="1:13" x14ac:dyDescent="0.2">
      <c r="A522" s="80">
        <v>107</v>
      </c>
      <c r="B522" s="80" t="s">
        <v>1501</v>
      </c>
      <c r="C522" s="80" t="s">
        <v>446</v>
      </c>
      <c r="D522" s="80">
        <v>68.629379781599994</v>
      </c>
      <c r="E522" s="80">
        <v>-149.64162329499999</v>
      </c>
      <c r="F522" s="80">
        <v>731</v>
      </c>
      <c r="G522" s="80" t="s">
        <v>457</v>
      </c>
      <c r="H522" s="80" t="s">
        <v>1502</v>
      </c>
      <c r="I522" s="80" t="s">
        <v>446</v>
      </c>
      <c r="J522" s="80" t="s">
        <v>472</v>
      </c>
      <c r="K522" s="80" t="s">
        <v>446</v>
      </c>
      <c r="L522" s="80" t="s">
        <v>446</v>
      </c>
      <c r="M522" s="86" t="str">
        <f t="shared" si="11"/>
        <v>View on Google Map</v>
      </c>
    </row>
    <row r="523" spans="1:13" x14ac:dyDescent="0.2">
      <c r="A523" s="80">
        <v>1603</v>
      </c>
      <c r="B523" s="80" t="s">
        <v>1503</v>
      </c>
      <c r="C523" s="80" t="s">
        <v>446</v>
      </c>
      <c r="D523" s="80" t="s">
        <v>446</v>
      </c>
      <c r="E523" s="80" t="s">
        <v>446</v>
      </c>
      <c r="F523" s="80" t="s">
        <v>446</v>
      </c>
      <c r="G523" s="80" t="s">
        <v>471</v>
      </c>
      <c r="H523" s="80" t="s">
        <v>1504</v>
      </c>
      <c r="I523" s="80" t="s">
        <v>1505</v>
      </c>
      <c r="J523" s="80" t="s">
        <v>472</v>
      </c>
      <c r="K523" s="80" t="s">
        <v>446</v>
      </c>
      <c r="L523" s="80" t="s">
        <v>446</v>
      </c>
      <c r="M523" s="86" t="str">
        <f t="shared" si="11"/>
        <v>View on Google Map</v>
      </c>
    </row>
    <row r="524" spans="1:13" x14ac:dyDescent="0.2">
      <c r="A524" s="80">
        <v>152</v>
      </c>
      <c r="B524" s="80" t="s">
        <v>1506</v>
      </c>
      <c r="C524" s="80" t="s">
        <v>446</v>
      </c>
      <c r="D524" s="80">
        <v>68.630062744699998</v>
      </c>
      <c r="E524" s="80">
        <v>-149.64444178900001</v>
      </c>
      <c r="F524" s="80">
        <v>731</v>
      </c>
      <c r="G524" s="80" t="s">
        <v>457</v>
      </c>
      <c r="H524" s="80" t="s">
        <v>446</v>
      </c>
      <c r="I524" s="80" t="s">
        <v>446</v>
      </c>
      <c r="J524" s="80" t="s">
        <v>472</v>
      </c>
      <c r="K524" s="80" t="s">
        <v>446</v>
      </c>
      <c r="L524" s="80" t="s">
        <v>446</v>
      </c>
      <c r="M524" s="86" t="str">
        <f t="shared" si="11"/>
        <v>View on Google Map</v>
      </c>
    </row>
    <row r="525" spans="1:13" x14ac:dyDescent="0.2">
      <c r="A525" s="80">
        <v>1601</v>
      </c>
      <c r="B525" s="80" t="s">
        <v>1507</v>
      </c>
      <c r="C525" s="80" t="s">
        <v>446</v>
      </c>
      <c r="D525" s="80" t="s">
        <v>446</v>
      </c>
      <c r="E525" s="80" t="s">
        <v>446</v>
      </c>
      <c r="F525" s="80" t="s">
        <v>446</v>
      </c>
      <c r="G525" s="80" t="s">
        <v>446</v>
      </c>
      <c r="H525" s="80" t="s">
        <v>1508</v>
      </c>
      <c r="I525" s="80" t="s">
        <v>1509</v>
      </c>
      <c r="J525" s="5" t="s">
        <v>472</v>
      </c>
      <c r="K525" s="80" t="s">
        <v>446</v>
      </c>
      <c r="L525" s="80" t="s">
        <v>446</v>
      </c>
      <c r="M525" s="86" t="str">
        <f t="shared" si="11"/>
        <v>View on Google Map</v>
      </c>
    </row>
    <row r="526" spans="1:13" x14ac:dyDescent="0.2">
      <c r="A526" s="80">
        <v>1602</v>
      </c>
      <c r="B526" s="80" t="s">
        <v>1510</v>
      </c>
      <c r="C526" s="80" t="s">
        <v>446</v>
      </c>
      <c r="D526" s="80" t="s">
        <v>446</v>
      </c>
      <c r="E526" s="80" t="s">
        <v>446</v>
      </c>
      <c r="F526" s="80" t="s">
        <v>446</v>
      </c>
      <c r="G526" s="80" t="s">
        <v>446</v>
      </c>
      <c r="H526" s="80" t="s">
        <v>1511</v>
      </c>
      <c r="I526" s="80" t="s">
        <v>1512</v>
      </c>
      <c r="J526" s="5" t="s">
        <v>472</v>
      </c>
      <c r="K526" s="80" t="s">
        <v>446</v>
      </c>
      <c r="L526" s="80" t="s">
        <v>446</v>
      </c>
      <c r="M526" s="86" t="str">
        <f t="shared" si="11"/>
        <v>View on Google Map</v>
      </c>
    </row>
    <row r="527" spans="1:13" x14ac:dyDescent="0.2">
      <c r="A527" s="80">
        <v>153</v>
      </c>
      <c r="B527" s="80" t="s">
        <v>1513</v>
      </c>
      <c r="C527" s="80" t="s">
        <v>446</v>
      </c>
      <c r="D527" s="80" t="s">
        <v>446</v>
      </c>
      <c r="E527" s="80" t="s">
        <v>446</v>
      </c>
      <c r="F527" s="80" t="s">
        <v>446</v>
      </c>
      <c r="G527" s="80" t="s">
        <v>457</v>
      </c>
      <c r="H527" s="80" t="s">
        <v>446</v>
      </c>
      <c r="I527" s="80" t="s">
        <v>446</v>
      </c>
      <c r="J527" s="80" t="s">
        <v>472</v>
      </c>
      <c r="K527" s="80" t="s">
        <v>446</v>
      </c>
      <c r="L527" s="80" t="s">
        <v>446</v>
      </c>
      <c r="M527" s="86" t="str">
        <f t="shared" si="11"/>
        <v>View on Google Map</v>
      </c>
    </row>
    <row r="528" spans="1:13" x14ac:dyDescent="0.2">
      <c r="A528" s="80">
        <v>154</v>
      </c>
      <c r="B528" s="80" t="s">
        <v>1514</v>
      </c>
      <c r="C528" s="80" t="s">
        <v>446</v>
      </c>
      <c r="D528" s="80" t="s">
        <v>446</v>
      </c>
      <c r="E528" s="80" t="s">
        <v>446</v>
      </c>
      <c r="F528" s="80" t="s">
        <v>446</v>
      </c>
      <c r="G528" s="80" t="s">
        <v>457</v>
      </c>
      <c r="H528" s="80" t="s">
        <v>446</v>
      </c>
      <c r="I528" s="80" t="s">
        <v>446</v>
      </c>
      <c r="J528" s="80" t="s">
        <v>472</v>
      </c>
      <c r="K528" s="80" t="s">
        <v>446</v>
      </c>
      <c r="L528" s="80" t="s">
        <v>446</v>
      </c>
      <c r="M528" s="86" t="str">
        <f t="shared" si="11"/>
        <v>View on Google Map</v>
      </c>
    </row>
    <row r="529" spans="1:13" x14ac:dyDescent="0.2">
      <c r="A529" s="80">
        <v>155</v>
      </c>
      <c r="B529" s="80" t="s">
        <v>1515</v>
      </c>
      <c r="C529" s="80" t="s">
        <v>446</v>
      </c>
      <c r="D529" s="80" t="s">
        <v>446</v>
      </c>
      <c r="E529" s="80" t="s">
        <v>446</v>
      </c>
      <c r="F529" s="80" t="s">
        <v>446</v>
      </c>
      <c r="G529" s="80" t="s">
        <v>457</v>
      </c>
      <c r="H529" s="80" t="s">
        <v>446</v>
      </c>
      <c r="I529" s="80" t="s">
        <v>446</v>
      </c>
      <c r="J529" s="80" t="s">
        <v>472</v>
      </c>
      <c r="K529" s="80" t="s">
        <v>446</v>
      </c>
      <c r="L529" s="80" t="s">
        <v>446</v>
      </c>
      <c r="M529" s="86" t="str">
        <f t="shared" si="11"/>
        <v>View on Google Map</v>
      </c>
    </row>
    <row r="530" spans="1:13" x14ac:dyDescent="0.2">
      <c r="A530" s="80">
        <v>156</v>
      </c>
      <c r="B530" s="80" t="s">
        <v>1516</v>
      </c>
      <c r="C530" s="80" t="s">
        <v>446</v>
      </c>
      <c r="D530" s="80">
        <v>68.630148048999999</v>
      </c>
      <c r="E530" s="80">
        <v>-149.65057914499999</v>
      </c>
      <c r="F530" s="80">
        <v>750</v>
      </c>
      <c r="G530" s="80" t="s">
        <v>457</v>
      </c>
      <c r="H530" s="80" t="s">
        <v>446</v>
      </c>
      <c r="I530" s="80" t="s">
        <v>446</v>
      </c>
      <c r="J530" s="80" t="s">
        <v>472</v>
      </c>
      <c r="K530" s="80" t="s">
        <v>446</v>
      </c>
      <c r="L530" s="80" t="s">
        <v>446</v>
      </c>
      <c r="M530" s="86" t="str">
        <f t="shared" si="11"/>
        <v>View on Google Map</v>
      </c>
    </row>
    <row r="531" spans="1:13" x14ac:dyDescent="0.2">
      <c r="A531" s="80">
        <v>157</v>
      </c>
      <c r="B531" s="80" t="s">
        <v>1517</v>
      </c>
      <c r="C531" s="80" t="s">
        <v>446</v>
      </c>
      <c r="D531" s="80">
        <v>68.629627802900004</v>
      </c>
      <c r="E531" s="80">
        <v>-149.655880887</v>
      </c>
      <c r="F531" s="80">
        <v>754</v>
      </c>
      <c r="G531" s="80" t="s">
        <v>457</v>
      </c>
      <c r="H531" s="80" t="s">
        <v>446</v>
      </c>
      <c r="I531" s="80" t="s">
        <v>446</v>
      </c>
      <c r="J531" s="80" t="s">
        <v>472</v>
      </c>
      <c r="K531" s="80" t="s">
        <v>446</v>
      </c>
      <c r="L531" s="80" t="s">
        <v>446</v>
      </c>
      <c r="M531" s="86" t="str">
        <f t="shared" si="11"/>
        <v>View on Google Map</v>
      </c>
    </row>
    <row r="532" spans="1:13" x14ac:dyDescent="0.2">
      <c r="A532" s="80">
        <v>158</v>
      </c>
      <c r="B532" s="80" t="s">
        <v>1518</v>
      </c>
      <c r="C532" s="80" t="s">
        <v>446</v>
      </c>
      <c r="D532" s="80">
        <v>68.631486568699998</v>
      </c>
      <c r="E532" s="80">
        <v>-149.65910231699999</v>
      </c>
      <c r="F532" s="80">
        <v>754</v>
      </c>
      <c r="G532" s="80" t="s">
        <v>457</v>
      </c>
      <c r="H532" s="80" t="s">
        <v>446</v>
      </c>
      <c r="I532" s="80" t="s">
        <v>446</v>
      </c>
      <c r="J532" s="80" t="s">
        <v>472</v>
      </c>
      <c r="K532" s="80" t="s">
        <v>446</v>
      </c>
      <c r="L532" s="80" t="s">
        <v>446</v>
      </c>
      <c r="M532" s="86" t="str">
        <f t="shared" si="11"/>
        <v>View on Google Map</v>
      </c>
    </row>
    <row r="533" spans="1:13" x14ac:dyDescent="0.2">
      <c r="A533" s="80">
        <v>169</v>
      </c>
      <c r="B533" s="80" t="s">
        <v>1519</v>
      </c>
      <c r="C533" s="80" t="s">
        <v>446</v>
      </c>
      <c r="D533" s="80" t="s">
        <v>446</v>
      </c>
      <c r="E533" s="80" t="s">
        <v>446</v>
      </c>
      <c r="F533" s="80" t="s">
        <v>446</v>
      </c>
      <c r="G533" s="80" t="s">
        <v>457</v>
      </c>
      <c r="H533" s="80" t="s">
        <v>446</v>
      </c>
      <c r="I533" s="80" t="s">
        <v>446</v>
      </c>
      <c r="J533" s="80" t="s">
        <v>472</v>
      </c>
      <c r="K533" s="80" t="s">
        <v>446</v>
      </c>
      <c r="L533" s="80" t="s">
        <v>446</v>
      </c>
      <c r="M533" s="86" t="str">
        <f t="shared" si="11"/>
        <v>View on Google Map</v>
      </c>
    </row>
    <row r="534" spans="1:13" x14ac:dyDescent="0.2">
      <c r="A534" s="80">
        <v>170</v>
      </c>
      <c r="B534" s="80" t="s">
        <v>1520</v>
      </c>
      <c r="C534" s="80" t="s">
        <v>446</v>
      </c>
      <c r="D534" s="80" t="s">
        <v>446</v>
      </c>
      <c r="E534" s="80" t="s">
        <v>446</v>
      </c>
      <c r="F534" s="80" t="s">
        <v>446</v>
      </c>
      <c r="G534" s="80" t="s">
        <v>457</v>
      </c>
      <c r="H534" s="80" t="s">
        <v>446</v>
      </c>
      <c r="I534" s="80" t="s">
        <v>446</v>
      </c>
      <c r="J534" s="80" t="s">
        <v>472</v>
      </c>
      <c r="K534" s="80" t="s">
        <v>446</v>
      </c>
      <c r="L534" s="80" t="s">
        <v>446</v>
      </c>
      <c r="M534" s="86" t="str">
        <f t="shared" si="11"/>
        <v>View on Google Map</v>
      </c>
    </row>
    <row r="535" spans="1:13" x14ac:dyDescent="0.2">
      <c r="A535" s="80">
        <v>136</v>
      </c>
      <c r="B535" s="80" t="s">
        <v>1521</v>
      </c>
      <c r="C535" s="80" t="s">
        <v>446</v>
      </c>
      <c r="D535" s="80">
        <v>70.233333333333334</v>
      </c>
      <c r="E535" s="80">
        <v>-148.25</v>
      </c>
      <c r="F535" s="80">
        <v>10</v>
      </c>
      <c r="G535" s="80" t="s">
        <v>457</v>
      </c>
      <c r="H535" s="80" t="s">
        <v>1522</v>
      </c>
      <c r="I535" s="80" t="s">
        <v>446</v>
      </c>
      <c r="J535" s="80" t="s">
        <v>472</v>
      </c>
      <c r="K535" s="80" t="s">
        <v>446</v>
      </c>
      <c r="L535" s="80" t="s">
        <v>473</v>
      </c>
      <c r="M535" s="86" t="str">
        <f t="shared" si="11"/>
        <v>View on Google Map</v>
      </c>
    </row>
    <row r="536" spans="1:13" x14ac:dyDescent="0.2">
      <c r="A536" s="80">
        <v>6</v>
      </c>
      <c r="B536" s="80" t="s">
        <v>1523</v>
      </c>
      <c r="C536" s="80" t="s">
        <v>446</v>
      </c>
      <c r="D536" s="80" t="s">
        <v>446</v>
      </c>
      <c r="E536" s="80" t="s">
        <v>446</v>
      </c>
      <c r="F536" s="80">
        <v>457</v>
      </c>
      <c r="G536" s="80" t="s">
        <v>471</v>
      </c>
      <c r="H536" s="80" t="s">
        <v>1524</v>
      </c>
      <c r="I536" s="80" t="s">
        <v>1525</v>
      </c>
      <c r="J536" s="80" t="s">
        <v>472</v>
      </c>
      <c r="K536" s="80" t="s">
        <v>446</v>
      </c>
      <c r="L536" s="80" t="s">
        <v>473</v>
      </c>
      <c r="M536" s="86" t="str">
        <f t="shared" si="11"/>
        <v>View on Google Map</v>
      </c>
    </row>
    <row r="537" spans="1:13" x14ac:dyDescent="0.2">
      <c r="A537" s="80">
        <v>20</v>
      </c>
      <c r="B537" s="80" t="s">
        <v>1526</v>
      </c>
      <c r="C537" s="80" t="s">
        <v>446</v>
      </c>
      <c r="D537" s="80" t="s">
        <v>446</v>
      </c>
      <c r="E537" s="80" t="s">
        <v>446</v>
      </c>
      <c r="F537" s="80" t="s">
        <v>446</v>
      </c>
      <c r="G537" s="80" t="s">
        <v>471</v>
      </c>
      <c r="H537" s="80" t="s">
        <v>446</v>
      </c>
      <c r="I537" s="80" t="s">
        <v>446</v>
      </c>
      <c r="J537" s="80" t="s">
        <v>472</v>
      </c>
      <c r="K537" s="80" t="s">
        <v>446</v>
      </c>
      <c r="L537" s="80" t="s">
        <v>446</v>
      </c>
      <c r="M537" s="86" t="str">
        <f t="shared" si="11"/>
        <v>View on Google Map</v>
      </c>
    </row>
    <row r="538" spans="1:13" x14ac:dyDescent="0.2">
      <c r="A538" s="80">
        <v>1176</v>
      </c>
      <c r="B538" s="80" t="s">
        <v>1527</v>
      </c>
      <c r="C538" s="80" t="s">
        <v>478</v>
      </c>
      <c r="D538" s="80">
        <v>68.996418329999997</v>
      </c>
      <c r="E538" s="80">
        <v>-150.27895670000001</v>
      </c>
      <c r="F538" s="80" t="s">
        <v>446</v>
      </c>
      <c r="G538" s="80" t="s">
        <v>447</v>
      </c>
      <c r="H538" s="80" t="s">
        <v>446</v>
      </c>
      <c r="I538" s="80" t="s">
        <v>446</v>
      </c>
      <c r="J538" s="80" t="s">
        <v>453</v>
      </c>
      <c r="K538" s="80" t="s">
        <v>446</v>
      </c>
      <c r="L538" s="80" t="s">
        <v>454</v>
      </c>
      <c r="M538" s="86" t="str">
        <f t="shared" si="11"/>
        <v>View on Google Map</v>
      </c>
    </row>
    <row r="539" spans="1:13" x14ac:dyDescent="0.2">
      <c r="A539" s="80">
        <v>509</v>
      </c>
      <c r="B539" s="80" t="s">
        <v>1528</v>
      </c>
      <c r="C539" s="80" t="s">
        <v>456</v>
      </c>
      <c r="D539" s="80">
        <v>68.338126000000003</v>
      </c>
      <c r="E539" s="80">
        <v>-151.061735</v>
      </c>
      <c r="F539" s="80">
        <v>840</v>
      </c>
      <c r="G539" s="80" t="s">
        <v>457</v>
      </c>
      <c r="H539" s="80" t="s">
        <v>446</v>
      </c>
      <c r="I539" s="80" t="s">
        <v>446</v>
      </c>
      <c r="J539" s="80" t="s">
        <v>458</v>
      </c>
      <c r="K539" s="80" t="s">
        <v>446</v>
      </c>
      <c r="L539" s="80" t="s">
        <v>459</v>
      </c>
      <c r="M539" s="86" t="str">
        <f t="shared" si="11"/>
        <v>View on Google Map</v>
      </c>
    </row>
    <row r="540" spans="1:13" x14ac:dyDescent="0.2">
      <c r="A540" s="80">
        <v>36</v>
      </c>
      <c r="B540" s="80" t="s">
        <v>1529</v>
      </c>
      <c r="C540" s="80" t="s">
        <v>446</v>
      </c>
      <c r="D540" s="80">
        <v>69.233333333333334</v>
      </c>
      <c r="E540" s="80">
        <v>-150.804383333</v>
      </c>
      <c r="F540" s="80">
        <v>181.97</v>
      </c>
      <c r="G540" s="80" t="s">
        <v>471</v>
      </c>
      <c r="H540" s="80" t="s">
        <v>446</v>
      </c>
      <c r="I540" s="80" t="s">
        <v>446</v>
      </c>
      <c r="J540" s="80" t="s">
        <v>507</v>
      </c>
      <c r="K540" s="80" t="s">
        <v>446</v>
      </c>
      <c r="L540" s="80" t="s">
        <v>454</v>
      </c>
      <c r="M540" s="86" t="str">
        <f t="shared" si="11"/>
        <v>View on Google Map</v>
      </c>
    </row>
    <row r="541" spans="1:13" x14ac:dyDescent="0.2">
      <c r="A541" s="80">
        <v>37</v>
      </c>
      <c r="B541" s="80" t="s">
        <v>1530</v>
      </c>
      <c r="C541" s="80" t="s">
        <v>446</v>
      </c>
      <c r="D541" s="80">
        <v>68.289683333333329</v>
      </c>
      <c r="E541" s="80">
        <v>-150.91499999999999</v>
      </c>
      <c r="F541" s="80">
        <v>392</v>
      </c>
      <c r="G541" s="80" t="s">
        <v>471</v>
      </c>
      <c r="H541" s="80" t="s">
        <v>446</v>
      </c>
      <c r="I541" s="80" t="s">
        <v>446</v>
      </c>
      <c r="J541" s="80" t="s">
        <v>507</v>
      </c>
      <c r="K541" s="80" t="s">
        <v>446</v>
      </c>
      <c r="L541" s="80" t="s">
        <v>454</v>
      </c>
      <c r="M541" s="86" t="str">
        <f t="shared" si="11"/>
        <v>View on Google Map</v>
      </c>
    </row>
    <row r="542" spans="1:13" x14ac:dyDescent="0.2">
      <c r="A542" s="80">
        <v>130</v>
      </c>
      <c r="B542" s="80" t="s">
        <v>1531</v>
      </c>
      <c r="C542" s="80" t="s">
        <v>1532</v>
      </c>
      <c r="D542" s="80">
        <v>70.083333333333329</v>
      </c>
      <c r="E542" s="80">
        <v>-148.53333333333299</v>
      </c>
      <c r="F542" s="80">
        <v>24</v>
      </c>
      <c r="G542" s="80" t="s">
        <v>457</v>
      </c>
      <c r="H542" s="80" t="s">
        <v>1533</v>
      </c>
      <c r="I542" s="80" t="s">
        <v>446</v>
      </c>
      <c r="J542" s="80" t="s">
        <v>472</v>
      </c>
      <c r="K542" s="80" t="s">
        <v>446</v>
      </c>
      <c r="L542" s="80" t="s">
        <v>473</v>
      </c>
      <c r="M542" s="86" t="str">
        <f t="shared" si="11"/>
        <v>View on Google Map</v>
      </c>
    </row>
    <row r="543" spans="1:13" x14ac:dyDescent="0.2">
      <c r="A543" s="80">
        <v>519</v>
      </c>
      <c r="B543" s="80" t="s">
        <v>1534</v>
      </c>
      <c r="C543" s="80" t="s">
        <v>456</v>
      </c>
      <c r="D543" s="80">
        <v>68.802636000000007</v>
      </c>
      <c r="E543" s="80">
        <v>-150.78539699999999</v>
      </c>
      <c r="F543" s="80">
        <v>411</v>
      </c>
      <c r="G543" s="80" t="s">
        <v>457</v>
      </c>
      <c r="H543" s="80" t="s">
        <v>446</v>
      </c>
      <c r="I543" s="80" t="s">
        <v>446</v>
      </c>
      <c r="J543" s="80" t="s">
        <v>458</v>
      </c>
      <c r="K543" s="80" t="s">
        <v>446</v>
      </c>
      <c r="L543" s="80" t="s">
        <v>459</v>
      </c>
      <c r="M543" s="86" t="str">
        <f t="shared" si="11"/>
        <v>View on Google Map</v>
      </c>
    </row>
    <row r="544" spans="1:13" x14ac:dyDescent="0.2">
      <c r="A544" s="80">
        <v>452</v>
      </c>
      <c r="B544" s="80" t="s">
        <v>1535</v>
      </c>
      <c r="C544" s="80" t="s">
        <v>446</v>
      </c>
      <c r="D544" s="80">
        <v>68.794960000000003</v>
      </c>
      <c r="E544" s="80">
        <v>-149.04813999999999</v>
      </c>
      <c r="F544" s="80">
        <v>754</v>
      </c>
      <c r="G544" s="80" t="s">
        <v>457</v>
      </c>
      <c r="H544" s="80" t="s">
        <v>446</v>
      </c>
      <c r="I544" s="80" t="s">
        <v>446</v>
      </c>
      <c r="J544" s="80" t="s">
        <v>458</v>
      </c>
      <c r="K544" s="80" t="s">
        <v>446</v>
      </c>
      <c r="L544" s="80" t="s">
        <v>446</v>
      </c>
      <c r="M544" s="86" t="str">
        <f t="shared" si="11"/>
        <v>View on Google Map</v>
      </c>
    </row>
    <row r="545" spans="1:13" x14ac:dyDescent="0.2">
      <c r="A545" s="80">
        <v>453</v>
      </c>
      <c r="B545" s="80" t="s">
        <v>1536</v>
      </c>
      <c r="C545" s="80" t="s">
        <v>446</v>
      </c>
      <c r="D545" s="80">
        <v>68.810460000000006</v>
      </c>
      <c r="E545" s="80">
        <v>-149.05207999999999</v>
      </c>
      <c r="F545" s="80">
        <v>727</v>
      </c>
      <c r="G545" s="80" t="s">
        <v>457</v>
      </c>
      <c r="H545" s="80" t="s">
        <v>446</v>
      </c>
      <c r="I545" s="80" t="s">
        <v>446</v>
      </c>
      <c r="J545" s="80" t="s">
        <v>458</v>
      </c>
      <c r="K545" s="80" t="s">
        <v>446</v>
      </c>
      <c r="L545" s="80" t="s">
        <v>446</v>
      </c>
      <c r="M545" s="86" t="str">
        <f t="shared" si="11"/>
        <v>View on Google Map</v>
      </c>
    </row>
    <row r="546" spans="1:13" x14ac:dyDescent="0.2">
      <c r="A546" s="80">
        <v>454</v>
      </c>
      <c r="B546" s="80" t="s">
        <v>1537</v>
      </c>
      <c r="C546" s="80" t="s">
        <v>446</v>
      </c>
      <c r="D546" s="80">
        <v>68.815870000000004</v>
      </c>
      <c r="E546" s="80">
        <v>-149.06173999999999</v>
      </c>
      <c r="F546" s="80">
        <v>715</v>
      </c>
      <c r="G546" s="80" t="s">
        <v>457</v>
      </c>
      <c r="H546" s="80" t="s">
        <v>446</v>
      </c>
      <c r="I546" s="80" t="s">
        <v>446</v>
      </c>
      <c r="J546" s="80" t="s">
        <v>458</v>
      </c>
      <c r="K546" s="80" t="s">
        <v>446</v>
      </c>
      <c r="L546" s="80" t="s">
        <v>446</v>
      </c>
      <c r="M546" s="86" t="str">
        <f t="shared" si="11"/>
        <v>View on Google Map</v>
      </c>
    </row>
    <row r="547" spans="1:13" x14ac:dyDescent="0.2">
      <c r="A547" s="80">
        <v>455</v>
      </c>
      <c r="B547" s="80" t="s">
        <v>1538</v>
      </c>
      <c r="C547" s="80" t="s">
        <v>446</v>
      </c>
      <c r="D547" s="80">
        <v>68.810519999999997</v>
      </c>
      <c r="E547" s="80">
        <v>-149.06282999999999</v>
      </c>
      <c r="F547" s="80">
        <v>728</v>
      </c>
      <c r="G547" s="80" t="s">
        <v>457</v>
      </c>
      <c r="H547" s="80" t="s">
        <v>446</v>
      </c>
      <c r="I547" s="80" t="s">
        <v>446</v>
      </c>
      <c r="J547" s="80" t="s">
        <v>458</v>
      </c>
      <c r="K547" s="80" t="s">
        <v>446</v>
      </c>
      <c r="L547" s="80" t="s">
        <v>446</v>
      </c>
      <c r="M547" s="86" t="str">
        <f t="shared" si="11"/>
        <v>View on Google Map</v>
      </c>
    </row>
    <row r="548" spans="1:13" x14ac:dyDescent="0.2">
      <c r="A548" s="80">
        <v>456</v>
      </c>
      <c r="B548" s="80" t="s">
        <v>1539</v>
      </c>
      <c r="C548" s="80" t="s">
        <v>446</v>
      </c>
      <c r="D548" s="80">
        <v>68.812290000000004</v>
      </c>
      <c r="E548" s="80">
        <v>-149.06899000000001</v>
      </c>
      <c r="F548" s="80">
        <v>730</v>
      </c>
      <c r="G548" s="80" t="s">
        <v>457</v>
      </c>
      <c r="H548" s="80" t="s">
        <v>446</v>
      </c>
      <c r="I548" s="80" t="s">
        <v>446</v>
      </c>
      <c r="J548" s="80" t="s">
        <v>458</v>
      </c>
      <c r="K548" s="80" t="s">
        <v>446</v>
      </c>
      <c r="L548" s="80" t="s">
        <v>446</v>
      </c>
      <c r="M548" s="86" t="str">
        <f t="shared" si="11"/>
        <v>View on Google Map</v>
      </c>
    </row>
    <row r="549" spans="1:13" x14ac:dyDescent="0.2">
      <c r="A549" s="80">
        <v>457</v>
      </c>
      <c r="B549" s="80" t="s">
        <v>1540</v>
      </c>
      <c r="C549" s="80" t="s">
        <v>446</v>
      </c>
      <c r="D549" s="80">
        <v>68.814369999999997</v>
      </c>
      <c r="E549" s="80">
        <v>-149.06774999999999</v>
      </c>
      <c r="F549" s="80">
        <v>724</v>
      </c>
      <c r="G549" s="80" t="s">
        <v>457</v>
      </c>
      <c r="H549" s="80" t="s">
        <v>446</v>
      </c>
      <c r="I549" s="80" t="s">
        <v>446</v>
      </c>
      <c r="J549" s="80" t="s">
        <v>458</v>
      </c>
      <c r="K549" s="80" t="s">
        <v>446</v>
      </c>
      <c r="L549" s="80" t="s">
        <v>446</v>
      </c>
      <c r="M549" s="86" t="str">
        <f t="shared" si="11"/>
        <v>View on Google Map</v>
      </c>
    </row>
    <row r="550" spans="1:13" x14ac:dyDescent="0.2">
      <c r="A550" s="80">
        <v>38</v>
      </c>
      <c r="B550" s="80" t="s">
        <v>1541</v>
      </c>
      <c r="C550" s="80" t="s">
        <v>446</v>
      </c>
      <c r="D550" s="80">
        <v>69.011899999999997</v>
      </c>
      <c r="E550" s="80">
        <v>-150.30000000000001</v>
      </c>
      <c r="F550" s="80">
        <v>321</v>
      </c>
      <c r="G550" s="80" t="s">
        <v>471</v>
      </c>
      <c r="H550" s="80" t="s">
        <v>1542</v>
      </c>
      <c r="I550" s="80" t="s">
        <v>1543</v>
      </c>
      <c r="J550" s="80" t="s">
        <v>507</v>
      </c>
      <c r="K550" s="80" t="s">
        <v>446</v>
      </c>
      <c r="L550" s="80" t="s">
        <v>454</v>
      </c>
      <c r="M550" s="86" t="str">
        <f t="shared" si="11"/>
        <v>View on Google Map</v>
      </c>
    </row>
    <row r="551" spans="1:13" x14ac:dyDescent="0.2">
      <c r="A551" s="80">
        <v>1211</v>
      </c>
      <c r="B551" s="80" t="s">
        <v>1544</v>
      </c>
      <c r="C551" s="80" t="s">
        <v>630</v>
      </c>
      <c r="D551" s="80">
        <v>68.996700000000004</v>
      </c>
      <c r="E551" s="80">
        <v>-150.28142</v>
      </c>
      <c r="F551" s="80" t="s">
        <v>446</v>
      </c>
      <c r="G551" s="80" t="s">
        <v>447</v>
      </c>
      <c r="H551" s="80" t="s">
        <v>446</v>
      </c>
      <c r="I551" s="80" t="s">
        <v>446</v>
      </c>
      <c r="J551" s="80" t="s">
        <v>453</v>
      </c>
      <c r="K551" s="80" t="s">
        <v>446</v>
      </c>
      <c r="L551" s="80" t="s">
        <v>454</v>
      </c>
      <c r="M551" s="86" t="str">
        <f t="shared" si="11"/>
        <v>View on Google Map</v>
      </c>
    </row>
    <row r="552" spans="1:13" x14ac:dyDescent="0.2">
      <c r="A552" s="80">
        <v>1210</v>
      </c>
      <c r="B552" s="80" t="s">
        <v>1545</v>
      </c>
      <c r="C552" s="80" t="s">
        <v>630</v>
      </c>
      <c r="D552" s="80">
        <v>68.996700000000004</v>
      </c>
      <c r="E552" s="80">
        <v>-150.28142</v>
      </c>
      <c r="F552" s="80" t="s">
        <v>446</v>
      </c>
      <c r="G552" s="80" t="s">
        <v>447</v>
      </c>
      <c r="H552" s="80" t="s">
        <v>446</v>
      </c>
      <c r="I552" s="80" t="s">
        <v>446</v>
      </c>
      <c r="J552" s="80" t="s">
        <v>453</v>
      </c>
      <c r="K552" s="80" t="s">
        <v>446</v>
      </c>
      <c r="L552" s="80" t="s">
        <v>454</v>
      </c>
      <c r="M552" s="86" t="str">
        <f t="shared" si="11"/>
        <v>View on Google Map</v>
      </c>
    </row>
    <row r="553" spans="1:13" x14ac:dyDescent="0.2">
      <c r="B553" s="80" t="s">
        <v>1546</v>
      </c>
      <c r="C553" s="80" t="s">
        <v>1459</v>
      </c>
      <c r="D553" s="80">
        <v>69.007500000000007</v>
      </c>
      <c r="E553" s="80">
        <v>-150.31388888888901</v>
      </c>
      <c r="G553" s="80" t="s">
        <v>465</v>
      </c>
      <c r="J553" s="80" t="s">
        <v>453</v>
      </c>
      <c r="L553" s="80" t="s">
        <v>454</v>
      </c>
      <c r="M553" s="86" t="str">
        <f t="shared" si="11"/>
        <v>View on Google Map</v>
      </c>
    </row>
    <row r="554" spans="1:13" x14ac:dyDescent="0.2">
      <c r="B554" s="80" t="s">
        <v>1547</v>
      </c>
      <c r="C554" s="80" t="s">
        <v>843</v>
      </c>
      <c r="D554" s="80">
        <v>69.043055555555554</v>
      </c>
      <c r="E554" s="80">
        <v>-150.42916666666699</v>
      </c>
      <c r="G554" s="80" t="s">
        <v>465</v>
      </c>
      <c r="J554" s="80" t="s">
        <v>453</v>
      </c>
      <c r="L554" s="80" t="s">
        <v>454</v>
      </c>
      <c r="M554" s="86" t="str">
        <f t="shared" si="11"/>
        <v>View on Google Map</v>
      </c>
    </row>
    <row r="555" spans="1:13" x14ac:dyDescent="0.2">
      <c r="A555" s="80">
        <v>39</v>
      </c>
      <c r="B555" s="80" t="s">
        <v>1548</v>
      </c>
      <c r="C555" s="80" t="s">
        <v>446</v>
      </c>
      <c r="D555" s="80">
        <v>68.994600000000005</v>
      </c>
      <c r="E555" s="80">
        <v>-150.30699999999999</v>
      </c>
      <c r="F555" s="80">
        <v>307</v>
      </c>
      <c r="G555" s="80" t="s">
        <v>471</v>
      </c>
      <c r="H555" s="80" t="s">
        <v>1549</v>
      </c>
      <c r="I555" s="80" t="s">
        <v>446</v>
      </c>
      <c r="J555" s="80" t="s">
        <v>507</v>
      </c>
      <c r="K555" s="80" t="s">
        <v>446</v>
      </c>
      <c r="L555" s="80" t="s">
        <v>454</v>
      </c>
      <c r="M555" s="86" t="str">
        <f t="shared" si="11"/>
        <v>View on Google Map</v>
      </c>
    </row>
    <row r="556" spans="1:13" x14ac:dyDescent="0.2">
      <c r="B556" s="80" t="s">
        <v>1550</v>
      </c>
      <c r="C556" s="80" t="s">
        <v>464</v>
      </c>
      <c r="D556" s="80">
        <v>69.570555555555558</v>
      </c>
      <c r="E556" s="80">
        <v>-150.893333333333</v>
      </c>
      <c r="G556" s="80" t="s">
        <v>465</v>
      </c>
      <c r="J556" s="80" t="s">
        <v>453</v>
      </c>
      <c r="L556" s="80" t="s">
        <v>454</v>
      </c>
      <c r="M556" s="86" t="str">
        <f t="shared" si="11"/>
        <v>View on Google Map</v>
      </c>
    </row>
    <row r="557" spans="1:13" x14ac:dyDescent="0.2">
      <c r="A557" s="80">
        <v>46</v>
      </c>
      <c r="B557" s="80" t="s">
        <v>1551</v>
      </c>
      <c r="C557" s="80" t="s">
        <v>446</v>
      </c>
      <c r="D557" s="80">
        <v>68.891069000000002</v>
      </c>
      <c r="E557" s="80">
        <v>-150.58501899999999</v>
      </c>
      <c r="F557" s="80" t="s">
        <v>446</v>
      </c>
      <c r="G557" s="80" t="s">
        <v>471</v>
      </c>
      <c r="H557" s="80" t="s">
        <v>446</v>
      </c>
      <c r="I557" s="80" t="s">
        <v>446</v>
      </c>
      <c r="J557" s="80" t="s">
        <v>1457</v>
      </c>
      <c r="K557" s="80" t="s">
        <v>446</v>
      </c>
      <c r="L557" s="80" t="s">
        <v>454</v>
      </c>
      <c r="M557" s="86" t="str">
        <f t="shared" si="11"/>
        <v>View on Google Map</v>
      </c>
    </row>
    <row r="558" spans="1:13" x14ac:dyDescent="0.2">
      <c r="A558" s="80">
        <v>47</v>
      </c>
      <c r="B558" s="80" t="s">
        <v>1552</v>
      </c>
      <c r="C558" s="80" t="s">
        <v>446</v>
      </c>
      <c r="D558" s="80">
        <v>68.966999999999999</v>
      </c>
      <c r="E558" s="80">
        <v>-150.56673000000001</v>
      </c>
      <c r="F558" s="80" t="s">
        <v>446</v>
      </c>
      <c r="G558" s="80" t="s">
        <v>471</v>
      </c>
      <c r="H558" s="80" t="s">
        <v>446</v>
      </c>
      <c r="I558" s="80" t="s">
        <v>446</v>
      </c>
      <c r="J558" s="80" t="s">
        <v>1457</v>
      </c>
      <c r="K558" s="80" t="s">
        <v>446</v>
      </c>
      <c r="L558" s="80" t="s">
        <v>454</v>
      </c>
      <c r="M558" s="86" t="str">
        <f t="shared" si="11"/>
        <v>View on Google Map</v>
      </c>
    </row>
    <row r="559" spans="1:13" x14ac:dyDescent="0.2">
      <c r="A559" s="80">
        <v>100</v>
      </c>
      <c r="B559" s="80" t="s">
        <v>1553</v>
      </c>
      <c r="C559" s="80" t="s">
        <v>1554</v>
      </c>
      <c r="D559" s="80">
        <v>68.629960999999994</v>
      </c>
      <c r="E559" s="80">
        <v>-149.61263299999999</v>
      </c>
      <c r="F559" s="80">
        <v>719</v>
      </c>
      <c r="G559" s="80" t="s">
        <v>457</v>
      </c>
      <c r="H559" s="80" t="s">
        <v>1555</v>
      </c>
      <c r="I559" s="80" t="s">
        <v>1556</v>
      </c>
      <c r="J559" s="80" t="s">
        <v>472</v>
      </c>
      <c r="K559" s="80" t="s">
        <v>446</v>
      </c>
      <c r="L559" s="80" t="s">
        <v>446</v>
      </c>
      <c r="M559" s="86" t="str">
        <f t="shared" si="11"/>
        <v>View on Google Map</v>
      </c>
    </row>
    <row r="560" spans="1:13" x14ac:dyDescent="0.2">
      <c r="A560" s="80">
        <v>523</v>
      </c>
      <c r="B560" s="80" t="s">
        <v>1557</v>
      </c>
      <c r="C560" s="80" t="s">
        <v>1558</v>
      </c>
      <c r="D560" s="80">
        <v>68.626671999999999</v>
      </c>
      <c r="E560" s="80">
        <v>-149.59784400000001</v>
      </c>
      <c r="F560" s="80">
        <v>719</v>
      </c>
      <c r="G560" s="80" t="s">
        <v>457</v>
      </c>
      <c r="H560" s="80" t="s">
        <v>446</v>
      </c>
      <c r="I560" s="80" t="s">
        <v>446</v>
      </c>
      <c r="J560" s="80" t="s">
        <v>458</v>
      </c>
      <c r="K560" s="80" t="s">
        <v>446</v>
      </c>
      <c r="L560" s="80" t="s">
        <v>1559</v>
      </c>
      <c r="M560" s="86" t="str">
        <f t="shared" si="11"/>
        <v>View on Google Map</v>
      </c>
    </row>
    <row r="561" spans="1:13" x14ac:dyDescent="0.2">
      <c r="A561" s="80">
        <v>524</v>
      </c>
      <c r="B561" s="80" t="s">
        <v>1560</v>
      </c>
      <c r="C561" s="80" t="s">
        <v>1558</v>
      </c>
      <c r="D561" s="80">
        <v>68.632586000000003</v>
      </c>
      <c r="E561" s="80">
        <v>-149.60089500000001</v>
      </c>
      <c r="F561" s="80">
        <v>719</v>
      </c>
      <c r="G561" s="80" t="s">
        <v>457</v>
      </c>
      <c r="H561" s="80" t="s">
        <v>446</v>
      </c>
      <c r="I561" s="80" t="s">
        <v>446</v>
      </c>
      <c r="J561" s="80" t="s">
        <v>458</v>
      </c>
      <c r="K561" s="80" t="s">
        <v>446</v>
      </c>
      <c r="L561" s="80" t="s">
        <v>1559</v>
      </c>
      <c r="M561" s="86" t="str">
        <f t="shared" si="11"/>
        <v>View on Google Map</v>
      </c>
    </row>
    <row r="562" spans="1:13" x14ac:dyDescent="0.2">
      <c r="A562" s="80">
        <v>525</v>
      </c>
      <c r="B562" s="80" t="s">
        <v>1561</v>
      </c>
      <c r="C562" s="80" t="s">
        <v>1558</v>
      </c>
      <c r="D562" s="80">
        <v>68.636390000000006</v>
      </c>
      <c r="E562" s="80">
        <v>-149.594774</v>
      </c>
      <c r="F562" s="80">
        <v>719</v>
      </c>
      <c r="G562" s="80" t="s">
        <v>457</v>
      </c>
      <c r="H562" s="80" t="s">
        <v>446</v>
      </c>
      <c r="I562" s="80" t="s">
        <v>446</v>
      </c>
      <c r="J562" s="80" t="s">
        <v>458</v>
      </c>
      <c r="K562" s="80" t="s">
        <v>446</v>
      </c>
      <c r="L562" s="80" t="s">
        <v>1559</v>
      </c>
      <c r="M562" s="86" t="str">
        <f t="shared" si="11"/>
        <v>View on Google Map</v>
      </c>
    </row>
    <row r="563" spans="1:13" x14ac:dyDescent="0.2">
      <c r="A563" s="80">
        <v>13</v>
      </c>
      <c r="B563" s="80" t="s">
        <v>1562</v>
      </c>
      <c r="C563" s="80" t="s">
        <v>446</v>
      </c>
      <c r="D563" s="80">
        <v>68.625600000000006</v>
      </c>
      <c r="E563" s="80">
        <v>-149.59604999999999</v>
      </c>
      <c r="F563" s="80">
        <v>719</v>
      </c>
      <c r="G563" s="80" t="s">
        <v>471</v>
      </c>
      <c r="H563" s="80" t="s">
        <v>1563</v>
      </c>
      <c r="I563" s="80" t="s">
        <v>1564</v>
      </c>
      <c r="J563" s="80" t="s">
        <v>472</v>
      </c>
      <c r="K563" s="80">
        <v>190</v>
      </c>
      <c r="L563" s="80" t="s">
        <v>861</v>
      </c>
      <c r="M563" s="86" t="str">
        <f t="shared" si="11"/>
        <v>View on Google Map</v>
      </c>
    </row>
    <row r="564" spans="1:13" x14ac:dyDescent="0.2">
      <c r="A564" s="80">
        <v>522</v>
      </c>
      <c r="B564" s="80" t="s">
        <v>1565</v>
      </c>
      <c r="C564" s="80" t="s">
        <v>1558</v>
      </c>
      <c r="D564" s="80">
        <v>68.625966000000005</v>
      </c>
      <c r="E564" s="80">
        <v>-149.59902199999999</v>
      </c>
      <c r="F564" s="80">
        <v>719</v>
      </c>
      <c r="G564" s="80" t="s">
        <v>457</v>
      </c>
      <c r="H564" s="80" t="s">
        <v>446</v>
      </c>
      <c r="I564" s="80" t="s">
        <v>446</v>
      </c>
      <c r="J564" s="80" t="s">
        <v>458</v>
      </c>
      <c r="K564" s="80" t="s">
        <v>446</v>
      </c>
      <c r="L564" s="80" t="s">
        <v>1559</v>
      </c>
      <c r="M564" s="86" t="str">
        <f t="shared" si="11"/>
        <v>View on Google Map</v>
      </c>
    </row>
    <row r="565" spans="1:13" x14ac:dyDescent="0.2">
      <c r="A565" s="80">
        <v>101</v>
      </c>
      <c r="B565" s="80" t="s">
        <v>1566</v>
      </c>
      <c r="C565" s="80" t="s">
        <v>1567</v>
      </c>
      <c r="D565" s="80" t="s">
        <v>446</v>
      </c>
      <c r="E565" s="80" t="s">
        <v>446</v>
      </c>
      <c r="F565" s="80">
        <v>719</v>
      </c>
      <c r="G565" s="80" t="s">
        <v>457</v>
      </c>
      <c r="H565" s="80" t="s">
        <v>446</v>
      </c>
      <c r="I565" s="80" t="s">
        <v>446</v>
      </c>
      <c r="J565" s="80" t="s">
        <v>472</v>
      </c>
      <c r="K565" s="80" t="s">
        <v>446</v>
      </c>
      <c r="L565" s="80" t="s">
        <v>446</v>
      </c>
      <c r="M565" s="86" t="str">
        <f t="shared" si="11"/>
        <v>View on Google Map</v>
      </c>
    </row>
    <row r="566" spans="1:13" x14ac:dyDescent="0.2">
      <c r="A566" s="80">
        <v>102</v>
      </c>
      <c r="B566" s="80" t="s">
        <v>1568</v>
      </c>
      <c r="C566" s="80" t="s">
        <v>1569</v>
      </c>
      <c r="D566" s="80">
        <v>68.638623999999993</v>
      </c>
      <c r="E566" s="80">
        <v>-149.610737</v>
      </c>
      <c r="F566" s="80">
        <v>719</v>
      </c>
      <c r="G566" s="80" t="s">
        <v>457</v>
      </c>
      <c r="H566" s="80" t="s">
        <v>1570</v>
      </c>
      <c r="I566" s="80" t="s">
        <v>1571</v>
      </c>
      <c r="J566" s="80" t="s">
        <v>472</v>
      </c>
      <c r="K566" s="80" t="s">
        <v>446</v>
      </c>
      <c r="L566" s="80" t="s">
        <v>446</v>
      </c>
      <c r="M566" s="86" t="str">
        <f t="shared" si="11"/>
        <v>View on Google Map</v>
      </c>
    </row>
    <row r="567" spans="1:13" x14ac:dyDescent="0.2">
      <c r="A567" s="80">
        <v>526</v>
      </c>
      <c r="B567" s="80" t="s">
        <v>1572</v>
      </c>
      <c r="C567" s="80" t="s">
        <v>1558</v>
      </c>
      <c r="D567" s="80">
        <v>68.633232000000007</v>
      </c>
      <c r="E567" s="80">
        <v>-149.61149</v>
      </c>
      <c r="F567" s="80">
        <v>719</v>
      </c>
      <c r="G567" s="80" t="s">
        <v>457</v>
      </c>
      <c r="H567" s="80" t="s">
        <v>446</v>
      </c>
      <c r="I567" s="80" t="s">
        <v>446</v>
      </c>
      <c r="J567" s="80" t="s">
        <v>458</v>
      </c>
      <c r="K567" s="80" t="s">
        <v>446</v>
      </c>
      <c r="L567" s="80" t="s">
        <v>1559</v>
      </c>
      <c r="M567" s="86" t="str">
        <f t="shared" si="11"/>
        <v>View on Google Map</v>
      </c>
    </row>
    <row r="568" spans="1:13" x14ac:dyDescent="0.2">
      <c r="A568" s="80">
        <v>14</v>
      </c>
      <c r="B568" s="80" t="s">
        <v>1573</v>
      </c>
      <c r="C568" s="80" t="s">
        <v>446</v>
      </c>
      <c r="D568" s="80" t="s">
        <v>446</v>
      </c>
      <c r="E568" s="80" t="s">
        <v>446</v>
      </c>
      <c r="F568" s="80">
        <v>719</v>
      </c>
      <c r="G568" s="80" t="s">
        <v>471</v>
      </c>
      <c r="H568" s="80" t="s">
        <v>1574</v>
      </c>
      <c r="I568" s="80" t="s">
        <v>446</v>
      </c>
      <c r="J568" s="80" t="s">
        <v>472</v>
      </c>
      <c r="K568" s="80" t="s">
        <v>446</v>
      </c>
      <c r="L568" s="80" t="s">
        <v>446</v>
      </c>
      <c r="M568" s="86" t="str">
        <f t="shared" si="11"/>
        <v>View on Google Map</v>
      </c>
    </row>
    <row r="569" spans="1:13" x14ac:dyDescent="0.2">
      <c r="A569" s="80">
        <v>527</v>
      </c>
      <c r="B569" s="80" t="s">
        <v>1575</v>
      </c>
      <c r="C569" s="80" t="s">
        <v>1558</v>
      </c>
      <c r="D569" s="80">
        <v>68.639894999999996</v>
      </c>
      <c r="E569" s="80">
        <v>-149.59610599999999</v>
      </c>
      <c r="F569" s="80">
        <v>719</v>
      </c>
      <c r="G569" s="80" t="s">
        <v>457</v>
      </c>
      <c r="H569" s="80" t="s">
        <v>446</v>
      </c>
      <c r="I569" s="80" t="s">
        <v>446</v>
      </c>
      <c r="J569" s="80" t="s">
        <v>458</v>
      </c>
      <c r="K569" s="80" t="s">
        <v>446</v>
      </c>
      <c r="L569" s="80" t="s">
        <v>1559</v>
      </c>
      <c r="M569" s="86" t="str">
        <f t="shared" si="11"/>
        <v>View on Google Map</v>
      </c>
    </row>
    <row r="570" spans="1:13" x14ac:dyDescent="0.2">
      <c r="A570" s="80">
        <v>9</v>
      </c>
      <c r="B570" s="80" t="s">
        <v>1576</v>
      </c>
      <c r="C570" s="80" t="s">
        <v>446</v>
      </c>
      <c r="D570" s="80" t="s">
        <v>446</v>
      </c>
      <c r="E570" s="80" t="s">
        <v>446</v>
      </c>
      <c r="F570" s="80">
        <v>823</v>
      </c>
      <c r="G570" s="80" t="s">
        <v>471</v>
      </c>
      <c r="H570" s="80" t="s">
        <v>446</v>
      </c>
      <c r="I570" s="80" t="s">
        <v>446</v>
      </c>
      <c r="J570" s="80" t="s">
        <v>472</v>
      </c>
      <c r="K570" s="80" t="s">
        <v>446</v>
      </c>
      <c r="L570" s="80" t="s">
        <v>446</v>
      </c>
      <c r="M570" s="86" t="str">
        <f t="shared" si="11"/>
        <v>View on Google Map</v>
      </c>
    </row>
    <row r="571" spans="1:13" x14ac:dyDescent="0.2">
      <c r="A571" s="80">
        <v>22</v>
      </c>
      <c r="B571" s="80" t="s">
        <v>1577</v>
      </c>
      <c r="C571" s="80" t="s">
        <v>446</v>
      </c>
      <c r="D571" s="80" t="s">
        <v>446</v>
      </c>
      <c r="E571" s="80" t="s">
        <v>446</v>
      </c>
      <c r="F571" s="80" t="s">
        <v>446</v>
      </c>
      <c r="G571" s="80" t="s">
        <v>471</v>
      </c>
      <c r="H571" s="80" t="s">
        <v>1578</v>
      </c>
      <c r="I571" s="80" t="s">
        <v>446</v>
      </c>
      <c r="J571" s="80" t="s">
        <v>472</v>
      </c>
      <c r="K571" s="80" t="s">
        <v>446</v>
      </c>
      <c r="L571" s="80" t="s">
        <v>446</v>
      </c>
      <c r="M571" s="86" t="str">
        <f t="shared" si="11"/>
        <v>View on Google Map</v>
      </c>
    </row>
    <row r="572" spans="1:13" x14ac:dyDescent="0.2">
      <c r="A572" s="80">
        <v>528</v>
      </c>
      <c r="B572" s="80" t="s">
        <v>1579</v>
      </c>
      <c r="C572" s="80" t="s">
        <v>1558</v>
      </c>
      <c r="D572" s="80">
        <v>68.634241000000003</v>
      </c>
      <c r="E572" s="80">
        <v>-149.60275899999999</v>
      </c>
      <c r="F572" s="80">
        <v>719</v>
      </c>
      <c r="G572" s="80" t="s">
        <v>457</v>
      </c>
      <c r="H572" s="80" t="s">
        <v>446</v>
      </c>
      <c r="I572" s="80" t="s">
        <v>446</v>
      </c>
      <c r="J572" s="80" t="s">
        <v>458</v>
      </c>
      <c r="K572" s="80" t="s">
        <v>446</v>
      </c>
      <c r="L572" s="80" t="s">
        <v>1559</v>
      </c>
      <c r="M572" s="86" t="str">
        <f t="shared" si="11"/>
        <v>View on Google Map</v>
      </c>
    </row>
    <row r="573" spans="1:13" x14ac:dyDescent="0.2">
      <c r="A573" s="80">
        <v>521</v>
      </c>
      <c r="B573" s="80" t="s">
        <v>1580</v>
      </c>
      <c r="C573" s="80" t="s">
        <v>1558</v>
      </c>
      <c r="D573" s="80">
        <v>68.628656000000007</v>
      </c>
      <c r="E573" s="80">
        <v>-149.59960599999999</v>
      </c>
      <c r="F573" s="80">
        <v>719</v>
      </c>
      <c r="G573" s="80" t="s">
        <v>457</v>
      </c>
      <c r="H573" s="80" t="s">
        <v>446</v>
      </c>
      <c r="I573" s="80" t="s">
        <v>446</v>
      </c>
      <c r="J573" s="80" t="s">
        <v>458</v>
      </c>
      <c r="K573" s="80" t="s">
        <v>446</v>
      </c>
      <c r="L573" s="80" t="s">
        <v>1559</v>
      </c>
      <c r="M573" s="86" t="str">
        <f t="shared" si="11"/>
        <v>View on Google Map</v>
      </c>
    </row>
    <row r="574" spans="1:13" x14ac:dyDescent="0.2">
      <c r="A574" s="80">
        <v>520</v>
      </c>
      <c r="B574" s="80" t="s">
        <v>1581</v>
      </c>
      <c r="C574" s="80" t="s">
        <v>1558</v>
      </c>
      <c r="D574" s="80">
        <v>68.633064000000005</v>
      </c>
      <c r="E574" s="80">
        <v>-149.62826999999999</v>
      </c>
      <c r="F574" s="80">
        <v>719</v>
      </c>
      <c r="G574" s="80" t="s">
        <v>457</v>
      </c>
      <c r="H574" s="80" t="s">
        <v>446</v>
      </c>
      <c r="I574" s="80" t="s">
        <v>446</v>
      </c>
      <c r="J574" s="80" t="s">
        <v>458</v>
      </c>
      <c r="K574" s="80" t="s">
        <v>446</v>
      </c>
      <c r="L574" s="80" t="s">
        <v>1559</v>
      </c>
      <c r="M574" s="86" t="str">
        <f t="shared" si="11"/>
        <v>View on Google Map</v>
      </c>
    </row>
    <row r="575" spans="1:13" x14ac:dyDescent="0.2">
      <c r="B575" s="80" t="s">
        <v>1582</v>
      </c>
      <c r="C575" s="80" t="s">
        <v>843</v>
      </c>
      <c r="D575" s="80">
        <v>68.695505999999995</v>
      </c>
      <c r="E575" s="80">
        <v>-149.207807</v>
      </c>
      <c r="G575" s="80" t="s">
        <v>983</v>
      </c>
      <c r="J575" s="5" t="s">
        <v>472</v>
      </c>
      <c r="M575" s="86" t="str">
        <f t="shared" si="11"/>
        <v>View on Google Map</v>
      </c>
    </row>
    <row r="576" spans="1:13" x14ac:dyDescent="0.2">
      <c r="B576" s="80" t="s">
        <v>1583</v>
      </c>
      <c r="C576" s="80" t="s">
        <v>843</v>
      </c>
      <c r="D576" s="80">
        <v>68.695696999999996</v>
      </c>
      <c r="E576" s="80">
        <v>-149.20482699999999</v>
      </c>
      <c r="G576" s="80" t="s">
        <v>983</v>
      </c>
      <c r="J576" s="5" t="s">
        <v>472</v>
      </c>
      <c r="M576" s="86" t="str">
        <f t="shared" si="11"/>
        <v>View on Google Map</v>
      </c>
    </row>
    <row r="577" spans="1:13" x14ac:dyDescent="0.2">
      <c r="B577" s="80" t="s">
        <v>1584</v>
      </c>
      <c r="C577" s="80" t="s">
        <v>843</v>
      </c>
      <c r="D577" s="80">
        <v>68.690700000000007</v>
      </c>
      <c r="E577" s="80">
        <v>-149.208371</v>
      </c>
      <c r="G577" s="80" t="s">
        <v>983</v>
      </c>
      <c r="J577" s="5" t="s">
        <v>472</v>
      </c>
      <c r="M577" s="86" t="str">
        <f t="shared" si="11"/>
        <v>View on Google Map</v>
      </c>
    </row>
    <row r="578" spans="1:13" x14ac:dyDescent="0.2">
      <c r="B578" s="80" t="s">
        <v>1585</v>
      </c>
      <c r="C578" s="80" t="s">
        <v>843</v>
      </c>
      <c r="D578" s="80">
        <v>68.693759</v>
      </c>
      <c r="E578" s="80">
        <v>-149.20405500000001</v>
      </c>
      <c r="G578" s="80" t="s">
        <v>983</v>
      </c>
      <c r="J578" s="5" t="s">
        <v>472</v>
      </c>
      <c r="M578" s="86" t="str">
        <f t="shared" si="11"/>
        <v>View on Google Map</v>
      </c>
    </row>
    <row r="579" spans="1:13" x14ac:dyDescent="0.2">
      <c r="A579" s="80">
        <v>901</v>
      </c>
      <c r="B579" s="80" t="s">
        <v>1586</v>
      </c>
      <c r="C579" s="80" t="s">
        <v>1587</v>
      </c>
      <c r="D579" s="80" t="s">
        <v>446</v>
      </c>
      <c r="E579" s="80" t="s">
        <v>446</v>
      </c>
      <c r="F579" s="80" t="s">
        <v>446</v>
      </c>
      <c r="G579" s="80" t="s">
        <v>446</v>
      </c>
      <c r="H579" s="80" t="s">
        <v>1588</v>
      </c>
      <c r="I579" s="80" t="s">
        <v>446</v>
      </c>
      <c r="J579" s="5" t="s">
        <v>472</v>
      </c>
      <c r="K579" s="80" t="s">
        <v>446</v>
      </c>
      <c r="L579" s="80" t="s">
        <v>446</v>
      </c>
      <c r="M579" s="86" t="str">
        <f t="shared" ref="M579:M637" si="12">HYPERLINK("http://maps.google.com/maps?q="&amp;D579&amp;","&amp;E579,"View on Google Map")</f>
        <v>View on Google Map</v>
      </c>
    </row>
    <row r="580" spans="1:13" x14ac:dyDescent="0.2">
      <c r="A580" s="80">
        <v>902</v>
      </c>
      <c r="B580" s="80" t="s">
        <v>1589</v>
      </c>
      <c r="C580" s="80" t="s">
        <v>1587</v>
      </c>
      <c r="D580" s="80" t="s">
        <v>446</v>
      </c>
      <c r="E580" s="80" t="s">
        <v>446</v>
      </c>
      <c r="F580" s="80">
        <v>757</v>
      </c>
      <c r="G580" s="80" t="s">
        <v>447</v>
      </c>
      <c r="H580" s="80" t="s">
        <v>1590</v>
      </c>
      <c r="I580" s="80" t="s">
        <v>446</v>
      </c>
      <c r="J580" s="80" t="s">
        <v>472</v>
      </c>
      <c r="K580" s="80" t="s">
        <v>446</v>
      </c>
      <c r="L580" s="80" t="s">
        <v>446</v>
      </c>
      <c r="M580" s="86" t="str">
        <f t="shared" si="12"/>
        <v>View on Google Map</v>
      </c>
    </row>
    <row r="581" spans="1:13" x14ac:dyDescent="0.2">
      <c r="A581" s="80">
        <v>903</v>
      </c>
      <c r="B581" s="80" t="s">
        <v>1591</v>
      </c>
      <c r="C581" s="80" t="s">
        <v>1587</v>
      </c>
      <c r="D581" s="80" t="s">
        <v>446</v>
      </c>
      <c r="E581" s="80" t="s">
        <v>446</v>
      </c>
      <c r="F581" s="80">
        <v>770</v>
      </c>
      <c r="G581" s="80" t="s">
        <v>447</v>
      </c>
      <c r="H581" s="80" t="s">
        <v>1592</v>
      </c>
      <c r="I581" s="80" t="s">
        <v>446</v>
      </c>
      <c r="J581" s="80" t="s">
        <v>472</v>
      </c>
      <c r="K581" s="80" t="s">
        <v>446</v>
      </c>
      <c r="L581" s="80" t="s">
        <v>446</v>
      </c>
      <c r="M581" s="86" t="str">
        <f t="shared" si="12"/>
        <v>View on Google Map</v>
      </c>
    </row>
    <row r="582" spans="1:13" x14ac:dyDescent="0.2">
      <c r="A582" s="80">
        <v>904</v>
      </c>
      <c r="B582" s="80" t="s">
        <v>1593</v>
      </c>
      <c r="C582" s="80" t="s">
        <v>1587</v>
      </c>
      <c r="D582" s="80" t="s">
        <v>446</v>
      </c>
      <c r="E582" s="80" t="s">
        <v>446</v>
      </c>
      <c r="F582" s="80">
        <v>770</v>
      </c>
      <c r="G582" s="80" t="s">
        <v>447</v>
      </c>
      <c r="H582" s="80" t="s">
        <v>1594</v>
      </c>
      <c r="I582" s="80" t="s">
        <v>446</v>
      </c>
      <c r="J582" s="80" t="s">
        <v>472</v>
      </c>
      <c r="K582" s="80" t="s">
        <v>446</v>
      </c>
      <c r="L582" s="80" t="s">
        <v>446</v>
      </c>
      <c r="M582" s="86" t="str">
        <f t="shared" si="12"/>
        <v>View on Google Map</v>
      </c>
    </row>
    <row r="583" spans="1:13" x14ac:dyDescent="0.2">
      <c r="A583" s="80">
        <v>905</v>
      </c>
      <c r="B583" s="80" t="s">
        <v>1595</v>
      </c>
      <c r="C583" s="80" t="s">
        <v>1587</v>
      </c>
      <c r="D583" s="80" t="s">
        <v>446</v>
      </c>
      <c r="E583" s="80" t="s">
        <v>446</v>
      </c>
      <c r="F583" s="80">
        <v>769</v>
      </c>
      <c r="G583" s="80" t="s">
        <v>447</v>
      </c>
      <c r="H583" s="80" t="s">
        <v>1596</v>
      </c>
      <c r="I583" s="80" t="s">
        <v>446</v>
      </c>
      <c r="J583" s="80" t="s">
        <v>472</v>
      </c>
      <c r="K583" s="80" t="s">
        <v>446</v>
      </c>
      <c r="L583" s="80" t="s">
        <v>446</v>
      </c>
      <c r="M583" s="86" t="str">
        <f t="shared" si="12"/>
        <v>View on Google Map</v>
      </c>
    </row>
    <row r="584" spans="1:13" x14ac:dyDescent="0.2">
      <c r="A584" s="80">
        <v>906</v>
      </c>
      <c r="B584" s="80" t="s">
        <v>1597</v>
      </c>
      <c r="C584" s="80" t="s">
        <v>1587</v>
      </c>
      <c r="D584" s="80" t="s">
        <v>446</v>
      </c>
      <c r="E584" s="80" t="s">
        <v>446</v>
      </c>
      <c r="F584" s="80">
        <v>769</v>
      </c>
      <c r="G584" s="80" t="s">
        <v>447</v>
      </c>
      <c r="H584" s="80" t="s">
        <v>1598</v>
      </c>
      <c r="I584" s="80" t="s">
        <v>446</v>
      </c>
      <c r="J584" s="80" t="s">
        <v>472</v>
      </c>
      <c r="K584" s="80" t="s">
        <v>446</v>
      </c>
      <c r="L584" s="80" t="s">
        <v>446</v>
      </c>
      <c r="M584" s="86" t="str">
        <f t="shared" si="12"/>
        <v>View on Google Map</v>
      </c>
    </row>
    <row r="585" spans="1:13" x14ac:dyDescent="0.2">
      <c r="A585" s="80">
        <v>907</v>
      </c>
      <c r="B585" s="80" t="s">
        <v>1599</v>
      </c>
      <c r="C585" s="80" t="s">
        <v>1587</v>
      </c>
      <c r="D585" s="80" t="s">
        <v>446</v>
      </c>
      <c r="E585" s="80" t="s">
        <v>446</v>
      </c>
      <c r="F585" s="80">
        <v>770</v>
      </c>
      <c r="G585" s="80" t="s">
        <v>447</v>
      </c>
      <c r="H585" s="80" t="s">
        <v>1600</v>
      </c>
      <c r="I585" s="80" t="s">
        <v>446</v>
      </c>
      <c r="J585" s="80" t="s">
        <v>472</v>
      </c>
      <c r="K585" s="80" t="s">
        <v>446</v>
      </c>
      <c r="L585" s="80" t="s">
        <v>446</v>
      </c>
      <c r="M585" s="86" t="str">
        <f t="shared" si="12"/>
        <v>View on Google Map</v>
      </c>
    </row>
    <row r="586" spans="1:13" x14ac:dyDescent="0.2">
      <c r="A586" s="80">
        <v>908</v>
      </c>
      <c r="B586" s="80" t="s">
        <v>1601</v>
      </c>
      <c r="C586" s="80" t="s">
        <v>1587</v>
      </c>
      <c r="D586" s="80" t="s">
        <v>446</v>
      </c>
      <c r="E586" s="80" t="s">
        <v>446</v>
      </c>
      <c r="F586" s="80">
        <v>770</v>
      </c>
      <c r="G586" s="80" t="s">
        <v>447</v>
      </c>
      <c r="H586" s="80" t="s">
        <v>1602</v>
      </c>
      <c r="I586" s="80" t="s">
        <v>446</v>
      </c>
      <c r="J586" s="80" t="s">
        <v>472</v>
      </c>
      <c r="K586" s="80" t="s">
        <v>446</v>
      </c>
      <c r="L586" s="80" t="s">
        <v>446</v>
      </c>
      <c r="M586" s="86" t="str">
        <f t="shared" si="12"/>
        <v>View on Google Map</v>
      </c>
    </row>
    <row r="587" spans="1:13" x14ac:dyDescent="0.2">
      <c r="A587" s="80">
        <v>909</v>
      </c>
      <c r="B587" s="80" t="s">
        <v>1603</v>
      </c>
      <c r="C587" s="80" t="s">
        <v>1587</v>
      </c>
      <c r="D587" s="80" t="s">
        <v>446</v>
      </c>
      <c r="E587" s="80" t="s">
        <v>446</v>
      </c>
      <c r="F587" s="80">
        <v>764</v>
      </c>
      <c r="G587" s="80" t="s">
        <v>447</v>
      </c>
      <c r="H587" s="80" t="s">
        <v>1604</v>
      </c>
      <c r="I587" s="80" t="s">
        <v>446</v>
      </c>
      <c r="J587" s="80" t="s">
        <v>472</v>
      </c>
      <c r="K587" s="80" t="s">
        <v>446</v>
      </c>
      <c r="L587" s="80" t="s">
        <v>446</v>
      </c>
      <c r="M587" s="86" t="str">
        <f t="shared" si="12"/>
        <v>View on Google Map</v>
      </c>
    </row>
    <row r="588" spans="1:13" x14ac:dyDescent="0.2">
      <c r="A588" s="80">
        <v>910</v>
      </c>
      <c r="B588" s="80" t="s">
        <v>1605</v>
      </c>
      <c r="C588" s="80" t="s">
        <v>1587</v>
      </c>
      <c r="D588" s="80" t="s">
        <v>446</v>
      </c>
      <c r="E588" s="80" t="s">
        <v>446</v>
      </c>
      <c r="F588" s="80">
        <v>764</v>
      </c>
      <c r="G588" s="80" t="s">
        <v>447</v>
      </c>
      <c r="H588" s="80" t="s">
        <v>1606</v>
      </c>
      <c r="I588" s="80" t="s">
        <v>446</v>
      </c>
      <c r="J588" s="80" t="s">
        <v>472</v>
      </c>
      <c r="K588" s="80" t="s">
        <v>446</v>
      </c>
      <c r="L588" s="80" t="s">
        <v>446</v>
      </c>
      <c r="M588" s="86" t="str">
        <f t="shared" si="12"/>
        <v>View on Google Map</v>
      </c>
    </row>
    <row r="589" spans="1:13" x14ac:dyDescent="0.2">
      <c r="A589" s="80">
        <v>911</v>
      </c>
      <c r="B589" s="80" t="s">
        <v>1607</v>
      </c>
      <c r="C589" s="80" t="s">
        <v>1587</v>
      </c>
      <c r="D589" s="80" t="s">
        <v>446</v>
      </c>
      <c r="E589" s="80" t="s">
        <v>446</v>
      </c>
      <c r="F589" s="80">
        <v>760</v>
      </c>
      <c r="G589" s="80" t="s">
        <v>447</v>
      </c>
      <c r="H589" s="80" t="s">
        <v>1608</v>
      </c>
      <c r="I589" s="80" t="s">
        <v>446</v>
      </c>
      <c r="J589" s="80" t="s">
        <v>472</v>
      </c>
      <c r="K589" s="80" t="s">
        <v>446</v>
      </c>
      <c r="L589" s="80" t="s">
        <v>446</v>
      </c>
      <c r="M589" s="86" t="str">
        <f t="shared" si="12"/>
        <v>View on Google Map</v>
      </c>
    </row>
    <row r="590" spans="1:13" x14ac:dyDescent="0.2">
      <c r="A590" s="80">
        <v>912</v>
      </c>
      <c r="B590" s="80" t="s">
        <v>1609</v>
      </c>
      <c r="C590" s="80" t="s">
        <v>1587</v>
      </c>
      <c r="D590" s="80" t="s">
        <v>446</v>
      </c>
      <c r="E590" s="80" t="s">
        <v>446</v>
      </c>
      <c r="F590" s="80">
        <v>760</v>
      </c>
      <c r="G590" s="80" t="s">
        <v>447</v>
      </c>
      <c r="H590" s="80" t="s">
        <v>1610</v>
      </c>
      <c r="I590" s="80" t="s">
        <v>446</v>
      </c>
      <c r="J590" s="80" t="s">
        <v>472</v>
      </c>
      <c r="K590" s="80" t="s">
        <v>446</v>
      </c>
      <c r="L590" s="80" t="s">
        <v>446</v>
      </c>
      <c r="M590" s="86" t="str">
        <f t="shared" si="12"/>
        <v>View on Google Map</v>
      </c>
    </row>
    <row r="591" spans="1:13" x14ac:dyDescent="0.2">
      <c r="A591" s="80">
        <v>913</v>
      </c>
      <c r="B591" s="80" t="s">
        <v>1611</v>
      </c>
      <c r="C591" s="80" t="s">
        <v>1587</v>
      </c>
      <c r="D591" s="80" t="s">
        <v>446</v>
      </c>
      <c r="E591" s="80" t="s">
        <v>446</v>
      </c>
      <c r="F591" s="80">
        <v>759</v>
      </c>
      <c r="G591" s="80" t="s">
        <v>447</v>
      </c>
      <c r="H591" s="80" t="s">
        <v>1612</v>
      </c>
      <c r="I591" s="80" t="s">
        <v>446</v>
      </c>
      <c r="J591" s="80" t="s">
        <v>472</v>
      </c>
      <c r="K591" s="80" t="s">
        <v>446</v>
      </c>
      <c r="L591" s="80" t="s">
        <v>446</v>
      </c>
      <c r="M591" s="86" t="str">
        <f t="shared" si="12"/>
        <v>View on Google Map</v>
      </c>
    </row>
    <row r="592" spans="1:13" x14ac:dyDescent="0.2">
      <c r="A592" s="80">
        <v>914</v>
      </c>
      <c r="B592" s="80" t="s">
        <v>1613</v>
      </c>
      <c r="C592" s="80" t="s">
        <v>1587</v>
      </c>
      <c r="D592" s="80" t="s">
        <v>446</v>
      </c>
      <c r="E592" s="80" t="s">
        <v>446</v>
      </c>
      <c r="F592" s="80">
        <v>758</v>
      </c>
      <c r="G592" s="80" t="s">
        <v>447</v>
      </c>
      <c r="H592" s="80" t="s">
        <v>1614</v>
      </c>
      <c r="I592" s="80" t="s">
        <v>446</v>
      </c>
      <c r="J592" s="80" t="s">
        <v>472</v>
      </c>
      <c r="K592" s="80" t="s">
        <v>446</v>
      </c>
      <c r="L592" s="80" t="s">
        <v>446</v>
      </c>
      <c r="M592" s="86" t="str">
        <f t="shared" si="12"/>
        <v>View on Google Map</v>
      </c>
    </row>
    <row r="593" spans="1:13" x14ac:dyDescent="0.2">
      <c r="A593" s="80">
        <v>915</v>
      </c>
      <c r="B593" s="80" t="s">
        <v>1615</v>
      </c>
      <c r="C593" s="80" t="s">
        <v>1616</v>
      </c>
      <c r="D593" s="80">
        <v>68.627900999999994</v>
      </c>
      <c r="E593" s="80">
        <v>-149.61295100000001</v>
      </c>
      <c r="F593" s="80">
        <v>759</v>
      </c>
      <c r="G593" s="80" t="s">
        <v>447</v>
      </c>
      <c r="H593" s="80" t="s">
        <v>1617</v>
      </c>
      <c r="I593" s="80" t="s">
        <v>1618</v>
      </c>
      <c r="J593" s="80" t="s">
        <v>472</v>
      </c>
      <c r="K593" s="80" t="s">
        <v>446</v>
      </c>
      <c r="L593" s="80" t="s">
        <v>446</v>
      </c>
      <c r="M593" s="86" t="str">
        <f t="shared" si="12"/>
        <v>View on Google Map</v>
      </c>
    </row>
    <row r="594" spans="1:13" x14ac:dyDescent="0.2">
      <c r="A594" s="80">
        <v>900</v>
      </c>
      <c r="B594" s="80" t="s">
        <v>1619</v>
      </c>
      <c r="C594" s="80" t="s">
        <v>446</v>
      </c>
      <c r="D594" s="80">
        <v>68.623487999999995</v>
      </c>
      <c r="E594" s="80">
        <v>-149.616559</v>
      </c>
      <c r="F594" s="80">
        <v>761</v>
      </c>
      <c r="G594" s="80" t="s">
        <v>447</v>
      </c>
      <c r="H594" s="80" t="s">
        <v>1620</v>
      </c>
      <c r="I594" s="80" t="s">
        <v>1621</v>
      </c>
      <c r="J594" s="80" t="s">
        <v>472</v>
      </c>
      <c r="K594" s="80" t="s">
        <v>446</v>
      </c>
      <c r="L594" s="80" t="s">
        <v>446</v>
      </c>
      <c r="M594" s="86" t="str">
        <f t="shared" si="12"/>
        <v>View on Google Map</v>
      </c>
    </row>
    <row r="595" spans="1:13" x14ac:dyDescent="0.2">
      <c r="B595" s="80" t="s">
        <v>1622</v>
      </c>
      <c r="C595" s="80" t="s">
        <v>1058</v>
      </c>
      <c r="D595" s="80">
        <v>68.549263888888888</v>
      </c>
      <c r="E595" s="80">
        <v>-149.306022222222</v>
      </c>
      <c r="G595" s="80" t="s">
        <v>983</v>
      </c>
      <c r="J595" s="5" t="s">
        <v>472</v>
      </c>
      <c r="M595" s="86" t="str">
        <f t="shared" si="12"/>
        <v>View on Google Map</v>
      </c>
    </row>
    <row r="596" spans="1:13" x14ac:dyDescent="0.2">
      <c r="B596" s="80" t="s">
        <v>1623</v>
      </c>
      <c r="C596" s="80" t="s">
        <v>1058</v>
      </c>
      <c r="D596" s="80">
        <v>68.550188888888883</v>
      </c>
      <c r="E596" s="80">
        <v>-149.310305555556</v>
      </c>
      <c r="G596" s="80" t="s">
        <v>983</v>
      </c>
      <c r="J596" s="5" t="s">
        <v>472</v>
      </c>
      <c r="M596" s="86" t="str">
        <f t="shared" si="12"/>
        <v>View on Google Map</v>
      </c>
    </row>
    <row r="597" spans="1:13" x14ac:dyDescent="0.2">
      <c r="B597" s="80" t="s">
        <v>1624</v>
      </c>
      <c r="C597" s="80" t="s">
        <v>1058</v>
      </c>
      <c r="D597" s="80">
        <v>68.549108333333336</v>
      </c>
      <c r="E597" s="80">
        <v>-149.30837777777799</v>
      </c>
      <c r="G597" s="80" t="s">
        <v>983</v>
      </c>
      <c r="J597" s="5" t="s">
        <v>472</v>
      </c>
      <c r="M597" s="86" t="str">
        <f t="shared" si="12"/>
        <v>View on Google Map</v>
      </c>
    </row>
    <row r="598" spans="1:13" x14ac:dyDescent="0.2">
      <c r="A598" s="80">
        <v>42</v>
      </c>
      <c r="B598" s="80" t="s">
        <v>1625</v>
      </c>
      <c r="C598" s="80" t="s">
        <v>446</v>
      </c>
      <c r="D598" s="80">
        <v>68.960555999999997</v>
      </c>
      <c r="E598" s="80">
        <v>-150.63055600000001</v>
      </c>
      <c r="F598" s="80" t="s">
        <v>446</v>
      </c>
      <c r="G598" s="80" t="s">
        <v>471</v>
      </c>
      <c r="H598" s="80" t="s">
        <v>1626</v>
      </c>
      <c r="I598" s="80" t="s">
        <v>446</v>
      </c>
      <c r="J598" s="80" t="s">
        <v>1457</v>
      </c>
      <c r="K598" s="80" t="s">
        <v>446</v>
      </c>
      <c r="L598" s="80" t="s">
        <v>454</v>
      </c>
      <c r="M598" s="86" t="str">
        <f t="shared" si="12"/>
        <v>View on Google Map</v>
      </c>
    </row>
    <row r="599" spans="1:13" x14ac:dyDescent="0.2">
      <c r="A599" s="80">
        <v>43</v>
      </c>
      <c r="B599" s="80" t="s">
        <v>1627</v>
      </c>
      <c r="C599" s="80" t="s">
        <v>446</v>
      </c>
      <c r="D599" s="80">
        <v>68.935101000000003</v>
      </c>
      <c r="E599" s="80">
        <v>-150.68391700000001</v>
      </c>
      <c r="F599" s="80" t="s">
        <v>446</v>
      </c>
      <c r="G599" s="80" t="s">
        <v>471</v>
      </c>
      <c r="H599" s="80" t="s">
        <v>1628</v>
      </c>
      <c r="I599" s="80" t="s">
        <v>446</v>
      </c>
      <c r="J599" s="80" t="s">
        <v>1457</v>
      </c>
      <c r="K599" s="80" t="s">
        <v>446</v>
      </c>
      <c r="L599" s="80" t="s">
        <v>454</v>
      </c>
      <c r="M599" s="86" t="str">
        <f t="shared" si="12"/>
        <v>View on Google Map</v>
      </c>
    </row>
    <row r="600" spans="1:13" x14ac:dyDescent="0.2">
      <c r="A600" s="80">
        <v>44</v>
      </c>
      <c r="B600" s="80" t="s">
        <v>1629</v>
      </c>
      <c r="C600" s="80" t="s">
        <v>446</v>
      </c>
      <c r="D600" s="80">
        <v>68.916987000000006</v>
      </c>
      <c r="E600" s="80">
        <v>-150.659291</v>
      </c>
      <c r="F600" s="80" t="s">
        <v>446</v>
      </c>
      <c r="G600" s="80" t="s">
        <v>471</v>
      </c>
      <c r="H600" s="80" t="s">
        <v>1630</v>
      </c>
      <c r="I600" s="80" t="s">
        <v>446</v>
      </c>
      <c r="J600" s="80" t="s">
        <v>1457</v>
      </c>
      <c r="K600" s="80" t="s">
        <v>446</v>
      </c>
      <c r="L600" s="80" t="s">
        <v>454</v>
      </c>
      <c r="M600" s="86" t="str">
        <f t="shared" si="12"/>
        <v>View on Google Map</v>
      </c>
    </row>
    <row r="601" spans="1:13" x14ac:dyDescent="0.2">
      <c r="B601" s="80" t="s">
        <v>1631</v>
      </c>
      <c r="C601" s="80" t="s">
        <v>1459</v>
      </c>
      <c r="D601" s="80">
        <v>69.132777777777775</v>
      </c>
      <c r="E601" s="80">
        <v>-150.710833333333</v>
      </c>
      <c r="G601" s="80" t="s">
        <v>465</v>
      </c>
      <c r="J601" s="80" t="s">
        <v>453</v>
      </c>
      <c r="L601" s="80" t="s">
        <v>454</v>
      </c>
      <c r="M601" s="86" t="str">
        <f t="shared" si="12"/>
        <v>View on Google Map</v>
      </c>
    </row>
    <row r="602" spans="1:13" x14ac:dyDescent="0.2">
      <c r="B602" s="80" t="s">
        <v>1632</v>
      </c>
      <c r="C602" s="80" t="s">
        <v>843</v>
      </c>
      <c r="D602" s="80">
        <v>69.13944444444445</v>
      </c>
      <c r="E602" s="80">
        <v>-150.68388888888899</v>
      </c>
      <c r="G602" s="80" t="s">
        <v>465</v>
      </c>
      <c r="J602" s="80" t="s">
        <v>453</v>
      </c>
      <c r="L602" s="80" t="s">
        <v>454</v>
      </c>
      <c r="M602" s="86" t="str">
        <f t="shared" si="12"/>
        <v>View on Google Map</v>
      </c>
    </row>
    <row r="603" spans="1:13" x14ac:dyDescent="0.2">
      <c r="B603" s="80" t="s">
        <v>1633</v>
      </c>
      <c r="C603" s="80" t="s">
        <v>1459</v>
      </c>
      <c r="D603" s="80">
        <v>68.960833333333341</v>
      </c>
      <c r="E603" s="80">
        <v>-150.719722222222</v>
      </c>
      <c r="G603" s="80" t="s">
        <v>465</v>
      </c>
      <c r="J603" s="80" t="s">
        <v>453</v>
      </c>
      <c r="L603" s="80" t="s">
        <v>454</v>
      </c>
      <c r="M603" s="86" t="str">
        <f t="shared" si="12"/>
        <v>View on Google Map</v>
      </c>
    </row>
    <row r="604" spans="1:13" x14ac:dyDescent="0.2">
      <c r="B604" s="80" t="s">
        <v>1634</v>
      </c>
      <c r="C604" s="80" t="s">
        <v>843</v>
      </c>
      <c r="D604" s="80">
        <v>69.055277777777775</v>
      </c>
      <c r="E604" s="80">
        <v>-150.80972222222201</v>
      </c>
      <c r="G604" s="80" t="s">
        <v>465</v>
      </c>
      <c r="J604" s="80" t="s">
        <v>453</v>
      </c>
      <c r="L604" s="80" t="s">
        <v>454</v>
      </c>
      <c r="M604" s="86" t="str">
        <f t="shared" si="12"/>
        <v>View on Google Map</v>
      </c>
    </row>
    <row r="605" spans="1:13" x14ac:dyDescent="0.2">
      <c r="A605" s="80">
        <v>932</v>
      </c>
      <c r="B605" s="80" t="s">
        <v>1635</v>
      </c>
      <c r="C605" s="80" t="s">
        <v>446</v>
      </c>
      <c r="D605" s="80" t="s">
        <v>446</v>
      </c>
      <c r="E605" s="80" t="s">
        <v>446</v>
      </c>
      <c r="F605" s="80">
        <v>750</v>
      </c>
      <c r="G605" s="80" t="s">
        <v>447</v>
      </c>
      <c r="H605" s="80" t="s">
        <v>1636</v>
      </c>
      <c r="I605" s="80" t="s">
        <v>1637</v>
      </c>
      <c r="J605" s="80" t="s">
        <v>472</v>
      </c>
      <c r="K605" s="80" t="s">
        <v>446</v>
      </c>
      <c r="L605" s="80" t="s">
        <v>446</v>
      </c>
      <c r="M605" s="86" t="str">
        <f t="shared" si="12"/>
        <v>View on Google Map</v>
      </c>
    </row>
    <row r="606" spans="1:13" x14ac:dyDescent="0.2">
      <c r="A606" s="80">
        <v>920</v>
      </c>
      <c r="B606" s="80" t="s">
        <v>1638</v>
      </c>
      <c r="C606" s="80" t="s">
        <v>446</v>
      </c>
      <c r="D606" s="80" t="s">
        <v>446</v>
      </c>
      <c r="E606" s="80" t="s">
        <v>446</v>
      </c>
      <c r="F606" s="80">
        <v>760</v>
      </c>
      <c r="G606" s="80" t="s">
        <v>447</v>
      </c>
      <c r="H606" s="80" t="s">
        <v>1639</v>
      </c>
      <c r="I606" s="80" t="s">
        <v>1640</v>
      </c>
      <c r="J606" s="80" t="s">
        <v>472</v>
      </c>
      <c r="K606" s="80" t="s">
        <v>446</v>
      </c>
      <c r="L606" s="80" t="s">
        <v>446</v>
      </c>
      <c r="M606" s="86" t="str">
        <f t="shared" si="12"/>
        <v>View on Google Map</v>
      </c>
    </row>
    <row r="607" spans="1:13" x14ac:dyDescent="0.2">
      <c r="A607" s="80">
        <v>921</v>
      </c>
      <c r="B607" s="80" t="s">
        <v>1641</v>
      </c>
      <c r="C607" s="80" t="s">
        <v>446</v>
      </c>
      <c r="D607" s="80" t="s">
        <v>446</v>
      </c>
      <c r="E607" s="80" t="s">
        <v>446</v>
      </c>
      <c r="F607" s="80">
        <v>720</v>
      </c>
      <c r="G607" s="80" t="s">
        <v>447</v>
      </c>
      <c r="H607" s="80" t="s">
        <v>1642</v>
      </c>
      <c r="I607" s="80" t="s">
        <v>1643</v>
      </c>
      <c r="J607" s="80" t="s">
        <v>472</v>
      </c>
      <c r="K607" s="80" t="s">
        <v>446</v>
      </c>
      <c r="L607" s="80" t="s">
        <v>446</v>
      </c>
      <c r="M607" s="86" t="str">
        <f t="shared" si="12"/>
        <v>View on Google Map</v>
      </c>
    </row>
    <row r="608" spans="1:13" x14ac:dyDescent="0.2">
      <c r="A608" s="80">
        <v>922</v>
      </c>
      <c r="B608" s="80" t="s">
        <v>1644</v>
      </c>
      <c r="C608" s="80" t="s">
        <v>446</v>
      </c>
      <c r="D608" s="80" t="s">
        <v>446</v>
      </c>
      <c r="E608" s="80" t="s">
        <v>446</v>
      </c>
      <c r="F608" s="80">
        <v>750</v>
      </c>
      <c r="G608" s="80" t="s">
        <v>447</v>
      </c>
      <c r="H608" s="80" t="s">
        <v>1645</v>
      </c>
      <c r="I608" s="80" t="s">
        <v>1646</v>
      </c>
      <c r="J608" s="80" t="s">
        <v>472</v>
      </c>
      <c r="K608" s="80" t="s">
        <v>446</v>
      </c>
      <c r="L608" s="80" t="s">
        <v>446</v>
      </c>
      <c r="M608" s="86" t="str">
        <f t="shared" si="12"/>
        <v>View on Google Map</v>
      </c>
    </row>
    <row r="609" spans="1:13" x14ac:dyDescent="0.2">
      <c r="A609" s="80">
        <v>923</v>
      </c>
      <c r="B609" s="80" t="s">
        <v>1647</v>
      </c>
      <c r="C609" s="80" t="s">
        <v>446</v>
      </c>
      <c r="D609" s="80" t="s">
        <v>446</v>
      </c>
      <c r="E609" s="80" t="s">
        <v>446</v>
      </c>
      <c r="F609" s="80">
        <v>750</v>
      </c>
      <c r="G609" s="80" t="s">
        <v>447</v>
      </c>
      <c r="H609" s="80" t="s">
        <v>1648</v>
      </c>
      <c r="I609" s="80" t="s">
        <v>1649</v>
      </c>
      <c r="J609" s="80" t="s">
        <v>472</v>
      </c>
      <c r="K609" s="80" t="s">
        <v>446</v>
      </c>
      <c r="L609" s="80" t="s">
        <v>446</v>
      </c>
      <c r="M609" s="86" t="str">
        <f t="shared" si="12"/>
        <v>View on Google Map</v>
      </c>
    </row>
    <row r="610" spans="1:13" x14ac:dyDescent="0.2">
      <c r="A610" s="80">
        <v>924</v>
      </c>
      <c r="B610" s="80" t="s">
        <v>1650</v>
      </c>
      <c r="C610" s="80" t="s">
        <v>446</v>
      </c>
      <c r="D610" s="80" t="s">
        <v>446</v>
      </c>
      <c r="E610" s="80" t="s">
        <v>446</v>
      </c>
      <c r="F610" s="80">
        <v>750</v>
      </c>
      <c r="G610" s="80" t="s">
        <v>447</v>
      </c>
      <c r="H610" s="80" t="s">
        <v>1651</v>
      </c>
      <c r="I610" s="80" t="s">
        <v>1652</v>
      </c>
      <c r="J610" s="80" t="s">
        <v>472</v>
      </c>
      <c r="K610" s="80" t="s">
        <v>446</v>
      </c>
      <c r="L610" s="80" t="s">
        <v>446</v>
      </c>
      <c r="M610" s="86" t="str">
        <f t="shared" si="12"/>
        <v>View on Google Map</v>
      </c>
    </row>
    <row r="611" spans="1:13" x14ac:dyDescent="0.2">
      <c r="A611" s="80">
        <v>925</v>
      </c>
      <c r="B611" s="80" t="s">
        <v>1653</v>
      </c>
      <c r="C611" s="80" t="s">
        <v>446</v>
      </c>
      <c r="D611" s="80" t="s">
        <v>446</v>
      </c>
      <c r="E611" s="80" t="s">
        <v>446</v>
      </c>
      <c r="F611" s="80">
        <v>750</v>
      </c>
      <c r="G611" s="80" t="s">
        <v>447</v>
      </c>
      <c r="H611" s="80" t="s">
        <v>1654</v>
      </c>
      <c r="I611" s="80" t="s">
        <v>1655</v>
      </c>
      <c r="J611" s="80" t="s">
        <v>472</v>
      </c>
      <c r="K611" s="80" t="s">
        <v>446</v>
      </c>
      <c r="L611" s="80" t="s">
        <v>446</v>
      </c>
      <c r="M611" s="86" t="str">
        <f t="shared" si="12"/>
        <v>View on Google Map</v>
      </c>
    </row>
    <row r="612" spans="1:13" x14ac:dyDescent="0.2">
      <c r="A612" s="80">
        <v>926</v>
      </c>
      <c r="B612" s="80" t="s">
        <v>1656</v>
      </c>
      <c r="C612" s="80" t="s">
        <v>446</v>
      </c>
      <c r="D612" s="80" t="s">
        <v>446</v>
      </c>
      <c r="E612" s="80" t="s">
        <v>446</v>
      </c>
      <c r="F612" s="80">
        <v>750</v>
      </c>
      <c r="G612" s="80" t="s">
        <v>447</v>
      </c>
      <c r="H612" s="80" t="s">
        <v>1657</v>
      </c>
      <c r="I612" s="80" t="s">
        <v>1658</v>
      </c>
      <c r="J612" s="80" t="s">
        <v>472</v>
      </c>
      <c r="K612" s="80" t="s">
        <v>446</v>
      </c>
      <c r="L612" s="80" t="s">
        <v>446</v>
      </c>
      <c r="M612" s="86" t="str">
        <f t="shared" si="12"/>
        <v>View on Google Map</v>
      </c>
    </row>
    <row r="613" spans="1:13" x14ac:dyDescent="0.2">
      <c r="A613" s="80">
        <v>927</v>
      </c>
      <c r="B613" s="80" t="s">
        <v>1659</v>
      </c>
      <c r="C613" s="80" t="s">
        <v>446</v>
      </c>
      <c r="D613" s="80" t="s">
        <v>446</v>
      </c>
      <c r="E613" s="80" t="s">
        <v>446</v>
      </c>
      <c r="F613" s="80">
        <v>750</v>
      </c>
      <c r="G613" s="80" t="s">
        <v>447</v>
      </c>
      <c r="H613" s="80" t="s">
        <v>1660</v>
      </c>
      <c r="I613" s="80" t="s">
        <v>1661</v>
      </c>
      <c r="J613" s="80" t="s">
        <v>472</v>
      </c>
      <c r="K613" s="80" t="s">
        <v>446</v>
      </c>
      <c r="L613" s="80" t="s">
        <v>446</v>
      </c>
      <c r="M613" s="86" t="str">
        <f t="shared" si="12"/>
        <v>View on Google Map</v>
      </c>
    </row>
    <row r="614" spans="1:13" x14ac:dyDescent="0.2">
      <c r="A614" s="80">
        <v>928</v>
      </c>
      <c r="B614" s="80" t="s">
        <v>1662</v>
      </c>
      <c r="C614" s="80" t="s">
        <v>446</v>
      </c>
      <c r="D614" s="80" t="s">
        <v>446</v>
      </c>
      <c r="E614" s="80" t="s">
        <v>446</v>
      </c>
      <c r="F614" s="80">
        <v>750</v>
      </c>
      <c r="G614" s="80" t="s">
        <v>447</v>
      </c>
      <c r="H614" s="80" t="s">
        <v>1663</v>
      </c>
      <c r="I614" s="80" t="s">
        <v>1664</v>
      </c>
      <c r="J614" s="80" t="s">
        <v>472</v>
      </c>
      <c r="K614" s="80" t="s">
        <v>446</v>
      </c>
      <c r="L614" s="80" t="s">
        <v>446</v>
      </c>
      <c r="M614" s="86" t="str">
        <f t="shared" si="12"/>
        <v>View on Google Map</v>
      </c>
    </row>
    <row r="615" spans="1:13" x14ac:dyDescent="0.2">
      <c r="A615" s="80">
        <v>929</v>
      </c>
      <c r="B615" s="80" t="s">
        <v>1665</v>
      </c>
      <c r="C615" s="80" t="s">
        <v>446</v>
      </c>
      <c r="D615" s="80" t="s">
        <v>446</v>
      </c>
      <c r="E615" s="80" t="s">
        <v>446</v>
      </c>
      <c r="F615" s="80">
        <v>750</v>
      </c>
      <c r="G615" s="80" t="s">
        <v>447</v>
      </c>
      <c r="H615" s="80" t="s">
        <v>1666</v>
      </c>
      <c r="I615" s="80" t="s">
        <v>1667</v>
      </c>
      <c r="J615" s="80" t="s">
        <v>472</v>
      </c>
      <c r="K615" s="80" t="s">
        <v>446</v>
      </c>
      <c r="L615" s="80" t="s">
        <v>446</v>
      </c>
      <c r="M615" s="86" t="str">
        <f t="shared" si="12"/>
        <v>View on Google Map</v>
      </c>
    </row>
    <row r="616" spans="1:13" x14ac:dyDescent="0.2">
      <c r="A616" s="80">
        <v>930</v>
      </c>
      <c r="B616" s="80" t="s">
        <v>1668</v>
      </c>
      <c r="C616" s="80" t="s">
        <v>446</v>
      </c>
      <c r="D616" s="80" t="s">
        <v>446</v>
      </c>
      <c r="E616" s="80" t="s">
        <v>446</v>
      </c>
      <c r="F616" s="80">
        <v>750</v>
      </c>
      <c r="G616" s="80" t="s">
        <v>447</v>
      </c>
      <c r="H616" s="80" t="s">
        <v>1669</v>
      </c>
      <c r="I616" s="80" t="s">
        <v>1670</v>
      </c>
      <c r="J616" s="80" t="s">
        <v>472</v>
      </c>
      <c r="K616" s="80" t="s">
        <v>446</v>
      </c>
      <c r="L616" s="80" t="s">
        <v>446</v>
      </c>
      <c r="M616" s="86" t="str">
        <f t="shared" si="12"/>
        <v>View on Google Map</v>
      </c>
    </row>
    <row r="617" spans="1:13" x14ac:dyDescent="0.2">
      <c r="A617" s="80">
        <v>931</v>
      </c>
      <c r="B617" s="80" t="s">
        <v>1671</v>
      </c>
      <c r="C617" s="80" t="s">
        <v>446</v>
      </c>
      <c r="D617" s="80" t="s">
        <v>446</v>
      </c>
      <c r="E617" s="80" t="s">
        <v>446</v>
      </c>
      <c r="F617" s="80">
        <v>750</v>
      </c>
      <c r="G617" s="80" t="s">
        <v>447</v>
      </c>
      <c r="H617" s="80" t="s">
        <v>1672</v>
      </c>
      <c r="I617" s="80" t="s">
        <v>1673</v>
      </c>
      <c r="J617" s="80" t="s">
        <v>472</v>
      </c>
      <c r="K617" s="80" t="s">
        <v>446</v>
      </c>
      <c r="L617" s="80" t="s">
        <v>446</v>
      </c>
      <c r="M617" s="86" t="str">
        <f t="shared" si="12"/>
        <v>View on Google Map</v>
      </c>
    </row>
    <row r="618" spans="1:13" x14ac:dyDescent="0.2">
      <c r="A618" s="80">
        <v>370</v>
      </c>
      <c r="B618" s="80" t="s">
        <v>1674</v>
      </c>
      <c r="C618" s="80" t="s">
        <v>446</v>
      </c>
      <c r="D618" s="80" t="s">
        <v>446</v>
      </c>
      <c r="E618" s="80" t="s">
        <v>446</v>
      </c>
      <c r="F618" s="80" t="s">
        <v>446</v>
      </c>
      <c r="G618" s="80" t="s">
        <v>457</v>
      </c>
      <c r="H618" s="80" t="s">
        <v>446</v>
      </c>
      <c r="I618" s="80" t="s">
        <v>446</v>
      </c>
      <c r="J618" s="80" t="s">
        <v>472</v>
      </c>
      <c r="K618" s="80" t="s">
        <v>446</v>
      </c>
      <c r="L618" s="80" t="s">
        <v>1675</v>
      </c>
      <c r="M618" s="86" t="str">
        <f t="shared" si="12"/>
        <v>View on Google Map</v>
      </c>
    </row>
    <row r="619" spans="1:13" x14ac:dyDescent="0.2">
      <c r="A619" s="80">
        <v>371</v>
      </c>
      <c r="B619" s="80" t="s">
        <v>1676</v>
      </c>
      <c r="C619" s="80" t="s">
        <v>446</v>
      </c>
      <c r="D619" s="80" t="s">
        <v>446</v>
      </c>
      <c r="E619" s="80" t="s">
        <v>446</v>
      </c>
      <c r="F619" s="80" t="s">
        <v>446</v>
      </c>
      <c r="G619" s="80" t="s">
        <v>457</v>
      </c>
      <c r="H619" s="80" t="s">
        <v>446</v>
      </c>
      <c r="I619" s="80" t="s">
        <v>446</v>
      </c>
      <c r="J619" s="80" t="s">
        <v>472</v>
      </c>
      <c r="K619" s="80" t="s">
        <v>446</v>
      </c>
      <c r="L619" s="80" t="s">
        <v>1675</v>
      </c>
      <c r="M619" s="86" t="str">
        <f t="shared" si="12"/>
        <v>View on Google Map</v>
      </c>
    </row>
    <row r="620" spans="1:13" x14ac:dyDescent="0.2">
      <c r="A620" s="80">
        <v>372</v>
      </c>
      <c r="B620" s="80" t="s">
        <v>1677</v>
      </c>
      <c r="C620" s="80" t="s">
        <v>446</v>
      </c>
      <c r="D620" s="80" t="s">
        <v>446</v>
      </c>
      <c r="E620" s="80" t="s">
        <v>446</v>
      </c>
      <c r="F620" s="80" t="s">
        <v>446</v>
      </c>
      <c r="G620" s="80" t="s">
        <v>457</v>
      </c>
      <c r="H620" s="80" t="s">
        <v>446</v>
      </c>
      <c r="I620" s="80" t="s">
        <v>446</v>
      </c>
      <c r="J620" s="80" t="s">
        <v>472</v>
      </c>
      <c r="K620" s="80" t="s">
        <v>446</v>
      </c>
      <c r="L620" s="80" t="s">
        <v>1675</v>
      </c>
      <c r="M620" s="86" t="str">
        <f t="shared" si="12"/>
        <v>View on Google Map</v>
      </c>
    </row>
    <row r="621" spans="1:13" x14ac:dyDescent="0.2">
      <c r="A621" s="80">
        <v>373</v>
      </c>
      <c r="B621" s="80" t="s">
        <v>1678</v>
      </c>
      <c r="C621" s="80" t="s">
        <v>446</v>
      </c>
      <c r="D621" s="80" t="s">
        <v>446</v>
      </c>
      <c r="E621" s="80" t="s">
        <v>446</v>
      </c>
      <c r="F621" s="80" t="s">
        <v>446</v>
      </c>
      <c r="G621" s="80" t="s">
        <v>457</v>
      </c>
      <c r="H621" s="80" t="s">
        <v>446</v>
      </c>
      <c r="I621" s="80" t="s">
        <v>446</v>
      </c>
      <c r="J621" s="80" t="s">
        <v>472</v>
      </c>
      <c r="K621" s="80" t="s">
        <v>446</v>
      </c>
      <c r="L621" s="80" t="s">
        <v>1675</v>
      </c>
      <c r="M621" s="86" t="str">
        <f t="shared" si="12"/>
        <v>View on Google Map</v>
      </c>
    </row>
    <row r="622" spans="1:13" x14ac:dyDescent="0.2">
      <c r="A622" s="80">
        <v>374</v>
      </c>
      <c r="B622" s="80" t="s">
        <v>1679</v>
      </c>
      <c r="C622" s="80" t="s">
        <v>446</v>
      </c>
      <c r="D622" s="80" t="s">
        <v>446</v>
      </c>
      <c r="E622" s="80" t="s">
        <v>446</v>
      </c>
      <c r="F622" s="80" t="s">
        <v>446</v>
      </c>
      <c r="G622" s="80" t="s">
        <v>457</v>
      </c>
      <c r="H622" s="80" t="s">
        <v>446</v>
      </c>
      <c r="I622" s="80" t="s">
        <v>446</v>
      </c>
      <c r="J622" s="80" t="s">
        <v>472</v>
      </c>
      <c r="K622" s="80" t="s">
        <v>446</v>
      </c>
      <c r="L622" s="80" t="s">
        <v>1675</v>
      </c>
      <c r="M622" s="86" t="str">
        <f t="shared" si="12"/>
        <v>View on Google Map</v>
      </c>
    </row>
    <row r="623" spans="1:13" x14ac:dyDescent="0.2">
      <c r="A623" s="80">
        <v>375</v>
      </c>
      <c r="B623" s="80" t="s">
        <v>1680</v>
      </c>
      <c r="C623" s="80" t="s">
        <v>446</v>
      </c>
      <c r="D623" s="80" t="s">
        <v>446</v>
      </c>
      <c r="E623" s="80" t="s">
        <v>446</v>
      </c>
      <c r="F623" s="80" t="s">
        <v>446</v>
      </c>
      <c r="G623" s="80" t="s">
        <v>457</v>
      </c>
      <c r="H623" s="80" t="s">
        <v>446</v>
      </c>
      <c r="I623" s="80" t="s">
        <v>446</v>
      </c>
      <c r="J623" s="80" t="s">
        <v>472</v>
      </c>
      <c r="K623" s="80" t="s">
        <v>446</v>
      </c>
      <c r="L623" s="80" t="s">
        <v>1675</v>
      </c>
      <c r="M623" s="86" t="str">
        <f t="shared" si="12"/>
        <v>View on Google Map</v>
      </c>
    </row>
    <row r="624" spans="1:13" x14ac:dyDescent="0.2">
      <c r="A624" s="80">
        <v>376</v>
      </c>
      <c r="B624" s="80" t="s">
        <v>1681</v>
      </c>
      <c r="C624" s="80" t="s">
        <v>446</v>
      </c>
      <c r="D624" s="80" t="s">
        <v>446</v>
      </c>
      <c r="E624" s="80" t="s">
        <v>446</v>
      </c>
      <c r="F624" s="80" t="s">
        <v>446</v>
      </c>
      <c r="G624" s="80" t="s">
        <v>457</v>
      </c>
      <c r="H624" s="80" t="s">
        <v>446</v>
      </c>
      <c r="I624" s="80" t="s">
        <v>446</v>
      </c>
      <c r="J624" s="80" t="s">
        <v>472</v>
      </c>
      <c r="K624" s="80" t="s">
        <v>446</v>
      </c>
      <c r="L624" s="80" t="s">
        <v>1675</v>
      </c>
      <c r="M624" s="86" t="str">
        <f t="shared" si="12"/>
        <v>View on Google Map</v>
      </c>
    </row>
    <row r="625" spans="1:13" x14ac:dyDescent="0.2">
      <c r="A625" s="80">
        <v>377</v>
      </c>
      <c r="B625" s="80" t="s">
        <v>1682</v>
      </c>
      <c r="C625" s="80" t="s">
        <v>446</v>
      </c>
      <c r="D625" s="80" t="s">
        <v>446</v>
      </c>
      <c r="E625" s="80" t="s">
        <v>446</v>
      </c>
      <c r="F625" s="80" t="s">
        <v>446</v>
      </c>
      <c r="G625" s="80" t="s">
        <v>457</v>
      </c>
      <c r="H625" s="80" t="s">
        <v>446</v>
      </c>
      <c r="I625" s="80" t="s">
        <v>446</v>
      </c>
      <c r="J625" s="80" t="s">
        <v>472</v>
      </c>
      <c r="K625" s="80" t="s">
        <v>446</v>
      </c>
      <c r="L625" s="80" t="s">
        <v>1675</v>
      </c>
      <c r="M625" s="86" t="str">
        <f t="shared" si="12"/>
        <v>View on Google Map</v>
      </c>
    </row>
    <row r="626" spans="1:13" x14ac:dyDescent="0.2">
      <c r="A626" s="80">
        <v>378</v>
      </c>
      <c r="B626" s="80" t="s">
        <v>1683</v>
      </c>
      <c r="C626" s="80" t="s">
        <v>446</v>
      </c>
      <c r="D626" s="80" t="s">
        <v>446</v>
      </c>
      <c r="E626" s="80" t="s">
        <v>446</v>
      </c>
      <c r="F626" s="80" t="s">
        <v>446</v>
      </c>
      <c r="G626" s="80" t="s">
        <v>457</v>
      </c>
      <c r="H626" s="80" t="s">
        <v>446</v>
      </c>
      <c r="I626" s="80" t="s">
        <v>446</v>
      </c>
      <c r="J626" s="80" t="s">
        <v>472</v>
      </c>
      <c r="K626" s="80" t="s">
        <v>446</v>
      </c>
      <c r="L626" s="80" t="s">
        <v>1675</v>
      </c>
      <c r="M626" s="86" t="str">
        <f t="shared" si="12"/>
        <v>View on Google Map</v>
      </c>
    </row>
    <row r="627" spans="1:13" x14ac:dyDescent="0.2">
      <c r="A627" s="80">
        <v>379</v>
      </c>
      <c r="B627" s="80" t="s">
        <v>1684</v>
      </c>
      <c r="C627" s="80" t="s">
        <v>446</v>
      </c>
      <c r="D627" s="80" t="s">
        <v>446</v>
      </c>
      <c r="E627" s="80" t="s">
        <v>446</v>
      </c>
      <c r="F627" s="80" t="s">
        <v>446</v>
      </c>
      <c r="G627" s="80" t="s">
        <v>457</v>
      </c>
      <c r="H627" s="80" t="s">
        <v>446</v>
      </c>
      <c r="I627" s="80" t="s">
        <v>446</v>
      </c>
      <c r="J627" s="80" t="s">
        <v>472</v>
      </c>
      <c r="K627" s="80" t="s">
        <v>446</v>
      </c>
      <c r="L627" s="80" t="s">
        <v>1675</v>
      </c>
      <c r="M627" s="86" t="str">
        <f t="shared" si="12"/>
        <v>View on Google Map</v>
      </c>
    </row>
    <row r="628" spans="1:13" x14ac:dyDescent="0.2">
      <c r="A628" s="80">
        <v>458</v>
      </c>
      <c r="B628" s="80" t="s">
        <v>1685</v>
      </c>
      <c r="C628" s="80" t="s">
        <v>446</v>
      </c>
      <c r="D628" s="80">
        <v>68.986329999999995</v>
      </c>
      <c r="E628" s="80">
        <v>-149.89803000000001</v>
      </c>
      <c r="F628" s="80">
        <v>419</v>
      </c>
      <c r="G628" s="80" t="s">
        <v>457</v>
      </c>
      <c r="H628" s="80" t="s">
        <v>446</v>
      </c>
      <c r="I628" s="80" t="s">
        <v>446</v>
      </c>
      <c r="J628" s="80" t="s">
        <v>458</v>
      </c>
      <c r="K628" s="80" t="s">
        <v>446</v>
      </c>
      <c r="L628" s="80" t="s">
        <v>446</v>
      </c>
      <c r="M628" s="86" t="str">
        <f t="shared" si="12"/>
        <v>View on Google Map</v>
      </c>
    </row>
    <row r="629" spans="1:13" x14ac:dyDescent="0.2">
      <c r="A629" s="80">
        <v>459</v>
      </c>
      <c r="B629" s="80" t="s">
        <v>1686</v>
      </c>
      <c r="C629" s="80" t="s">
        <v>446</v>
      </c>
      <c r="D629" s="80">
        <v>68.983530000000002</v>
      </c>
      <c r="E629" s="80">
        <v>-149.89436000000001</v>
      </c>
      <c r="F629" s="80">
        <v>408</v>
      </c>
      <c r="G629" s="80" t="s">
        <v>457</v>
      </c>
      <c r="H629" s="80" t="s">
        <v>446</v>
      </c>
      <c r="I629" s="80" t="s">
        <v>446</v>
      </c>
      <c r="J629" s="80" t="s">
        <v>458</v>
      </c>
      <c r="K629" s="80" t="s">
        <v>446</v>
      </c>
      <c r="L629" s="80" t="s">
        <v>446</v>
      </c>
      <c r="M629" s="86" t="str">
        <f t="shared" si="12"/>
        <v>View on Google Map</v>
      </c>
    </row>
    <row r="630" spans="1:13" x14ac:dyDescent="0.2">
      <c r="A630" s="80">
        <v>460</v>
      </c>
      <c r="B630" s="80" t="s">
        <v>1687</v>
      </c>
      <c r="C630" s="80" t="s">
        <v>446</v>
      </c>
      <c r="D630" s="80">
        <v>68.978710000000007</v>
      </c>
      <c r="E630" s="80">
        <v>-149.89182</v>
      </c>
      <c r="F630" s="80">
        <v>394</v>
      </c>
      <c r="G630" s="80" t="s">
        <v>457</v>
      </c>
      <c r="H630" s="80" t="s">
        <v>446</v>
      </c>
      <c r="I630" s="80" t="s">
        <v>446</v>
      </c>
      <c r="J630" s="80" t="s">
        <v>458</v>
      </c>
      <c r="K630" s="80" t="s">
        <v>446</v>
      </c>
      <c r="L630" s="80" t="s">
        <v>446</v>
      </c>
      <c r="M630" s="86" t="str">
        <f t="shared" si="12"/>
        <v>View on Google Map</v>
      </c>
    </row>
    <row r="631" spans="1:13" x14ac:dyDescent="0.2">
      <c r="A631" s="80">
        <v>461</v>
      </c>
      <c r="B631" s="80" t="s">
        <v>1688</v>
      </c>
      <c r="C631" s="80" t="s">
        <v>446</v>
      </c>
      <c r="D631" s="80">
        <v>68.861750000000001</v>
      </c>
      <c r="E631" s="80">
        <v>-149.03908000000001</v>
      </c>
      <c r="F631" s="80">
        <v>651</v>
      </c>
      <c r="G631" s="80" t="s">
        <v>457</v>
      </c>
      <c r="H631" s="80" t="s">
        <v>446</v>
      </c>
      <c r="I631" s="80" t="s">
        <v>446</v>
      </c>
      <c r="J631" s="80" t="s">
        <v>458</v>
      </c>
      <c r="K631" s="80" t="s">
        <v>446</v>
      </c>
      <c r="L631" s="80" t="s">
        <v>446</v>
      </c>
      <c r="M631" s="86" t="str">
        <f t="shared" si="12"/>
        <v>View on Google Map</v>
      </c>
    </row>
    <row r="632" spans="1:13" x14ac:dyDescent="0.2">
      <c r="A632" s="80">
        <v>462</v>
      </c>
      <c r="B632" s="80" t="s">
        <v>1689</v>
      </c>
      <c r="C632" s="80" t="s">
        <v>446</v>
      </c>
      <c r="D632" s="80">
        <v>68.867549999999994</v>
      </c>
      <c r="E632" s="80">
        <v>-149.03557000000001</v>
      </c>
      <c r="F632" s="80">
        <v>638</v>
      </c>
      <c r="G632" s="80" t="s">
        <v>457</v>
      </c>
      <c r="H632" s="80" t="s">
        <v>446</v>
      </c>
      <c r="I632" s="80" t="s">
        <v>446</v>
      </c>
      <c r="J632" s="80" t="s">
        <v>458</v>
      </c>
      <c r="K632" s="80" t="s">
        <v>446</v>
      </c>
      <c r="L632" s="80" t="s">
        <v>446</v>
      </c>
      <c r="M632" s="86" t="str">
        <f t="shared" si="12"/>
        <v>View on Google Map</v>
      </c>
    </row>
    <row r="633" spans="1:13" x14ac:dyDescent="0.2">
      <c r="A633" s="87">
        <v>463</v>
      </c>
      <c r="B633" s="87" t="s">
        <v>1690</v>
      </c>
      <c r="C633" s="87" t="s">
        <v>446</v>
      </c>
      <c r="D633" s="87">
        <v>68.873149999999995</v>
      </c>
      <c r="E633" s="87">
        <v>-149.04128</v>
      </c>
      <c r="F633" s="87">
        <v>637</v>
      </c>
      <c r="G633" s="87" t="s">
        <v>457</v>
      </c>
      <c r="H633" s="87" t="s">
        <v>446</v>
      </c>
      <c r="I633" s="87" t="s">
        <v>446</v>
      </c>
      <c r="J633" s="87" t="s">
        <v>458</v>
      </c>
      <c r="K633" s="87" t="s">
        <v>446</v>
      </c>
      <c r="L633" s="87" t="s">
        <v>446</v>
      </c>
      <c r="M633" s="86" t="str">
        <f t="shared" si="12"/>
        <v>View on Google Map</v>
      </c>
    </row>
    <row r="634" spans="1:13" x14ac:dyDescent="0.2">
      <c r="A634" s="80">
        <v>129</v>
      </c>
      <c r="B634" s="80" t="s">
        <v>1691</v>
      </c>
      <c r="C634" s="80" t="s">
        <v>1532</v>
      </c>
      <c r="D634" s="80">
        <v>69.966666666666669</v>
      </c>
      <c r="E634" s="80">
        <v>-148.73333333333301</v>
      </c>
      <c r="F634" s="80">
        <v>57</v>
      </c>
      <c r="G634" s="80" t="s">
        <v>457</v>
      </c>
      <c r="H634" s="80" t="s">
        <v>1692</v>
      </c>
      <c r="I634" s="80" t="s">
        <v>446</v>
      </c>
      <c r="J634" s="80" t="s">
        <v>472</v>
      </c>
      <c r="K634" s="80" t="s">
        <v>446</v>
      </c>
      <c r="L634" s="80" t="s">
        <v>473</v>
      </c>
      <c r="M634" s="86" t="str">
        <f t="shared" si="12"/>
        <v>View on Google Map</v>
      </c>
    </row>
    <row r="635" spans="1:13" x14ac:dyDescent="0.2">
      <c r="A635" s="80">
        <v>17</v>
      </c>
      <c r="B635" s="80" t="s">
        <v>1693</v>
      </c>
      <c r="C635" s="80" t="s">
        <v>1694</v>
      </c>
      <c r="D635" s="80" t="s">
        <v>446</v>
      </c>
      <c r="E635" s="80" t="s">
        <v>446</v>
      </c>
      <c r="F635" s="80" t="s">
        <v>446</v>
      </c>
      <c r="G635" s="80" t="s">
        <v>471</v>
      </c>
      <c r="H635" s="80" t="s">
        <v>446</v>
      </c>
      <c r="I635" s="80" t="s">
        <v>446</v>
      </c>
      <c r="J635" s="80" t="s">
        <v>472</v>
      </c>
      <c r="K635" s="80" t="s">
        <v>446</v>
      </c>
      <c r="L635" s="80" t="s">
        <v>446</v>
      </c>
      <c r="M635" s="86" t="str">
        <f t="shared" si="12"/>
        <v>View on Google Map</v>
      </c>
    </row>
    <row r="636" spans="1:13" x14ac:dyDescent="0.2">
      <c r="A636" s="80">
        <v>530</v>
      </c>
      <c r="B636" s="80" t="s">
        <v>1695</v>
      </c>
      <c r="C636" s="80" t="s">
        <v>852</v>
      </c>
      <c r="D636" s="80">
        <v>68.674332000000007</v>
      </c>
      <c r="E636" s="80">
        <v>-149.61694399999999</v>
      </c>
      <c r="F636" s="80">
        <v>701</v>
      </c>
      <c r="G636" s="80" t="s">
        <v>457</v>
      </c>
      <c r="H636" s="80" t="s">
        <v>446</v>
      </c>
      <c r="I636" s="80" t="s">
        <v>446</v>
      </c>
      <c r="J636" s="80" t="s">
        <v>458</v>
      </c>
      <c r="K636" s="80" t="s">
        <v>446</v>
      </c>
      <c r="L636" s="80" t="s">
        <v>853</v>
      </c>
      <c r="M636" s="86" t="str">
        <f t="shared" si="12"/>
        <v>View on Google Map</v>
      </c>
    </row>
    <row r="637" spans="1:13" x14ac:dyDescent="0.2">
      <c r="A637" s="80">
        <v>496</v>
      </c>
      <c r="B637" s="80" t="s">
        <v>1696</v>
      </c>
      <c r="C637" s="80" t="s">
        <v>446</v>
      </c>
      <c r="D637" s="80">
        <v>68.674149999999997</v>
      </c>
      <c r="E637" s="80">
        <v>-149.61810299999999</v>
      </c>
      <c r="F637" s="80">
        <v>701</v>
      </c>
      <c r="G637" s="80" t="s">
        <v>471</v>
      </c>
      <c r="H637" s="80" t="s">
        <v>1697</v>
      </c>
      <c r="I637" s="80" t="s">
        <v>446</v>
      </c>
      <c r="J637" s="80" t="s">
        <v>1374</v>
      </c>
      <c r="K637" s="80" t="s">
        <v>446</v>
      </c>
      <c r="L637" s="80" t="s">
        <v>853</v>
      </c>
      <c r="M637" s="86"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Soils</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Drysdale</dc:creator>
  <cp:lastModifiedBy>Jessica Drysdale</cp:lastModifiedBy>
  <dcterms:created xsi:type="dcterms:W3CDTF">2013-03-21T15:48:06Z</dcterms:created>
  <dcterms:modified xsi:type="dcterms:W3CDTF">2013-12-03T13:49:32Z</dcterms:modified>
</cp:coreProperties>
</file>