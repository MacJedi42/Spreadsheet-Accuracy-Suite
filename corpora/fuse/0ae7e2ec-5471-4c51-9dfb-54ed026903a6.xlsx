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charts/chart7.xml" ContentType="application/vnd.openxmlformats-officedocument.drawingml.char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drawings/drawing3.xml" ContentType="application/vnd.openxmlformats-officedocument.drawingml.chartshapes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7.xml" ContentType="application/vnd.openxmlformats-officedocument.drawingml.chartshapes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charts/chart3.xml" ContentType="application/vnd.openxmlformats-officedocument.drawingml.chart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Default Extension="rels" ContentType="application/vnd.openxmlformats-package.relationship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-20" yWindow="-20" windowWidth="19180" windowHeight="6460" activeTab="3"/>
  </bookViews>
  <sheets>
    <sheet name="SCENARIO 1 Final" sheetId="4" r:id="rId1"/>
    <sheet name="SCENARIO 2 Final" sheetId="6" r:id="rId2"/>
    <sheet name="Offsets" sheetId="3" r:id="rId3"/>
    <sheet name="Heating fuel projections" sheetId="7" r:id="rId4"/>
  </sheets>
  <calcPr calcId="11421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17" i="7"/>
  <c r="B18"/>
  <c r="D18"/>
  <c r="F17"/>
  <c r="F18"/>
  <c r="K18"/>
  <c r="K19"/>
  <c r="K20"/>
  <c r="K21"/>
  <c r="I21"/>
  <c r="K22"/>
  <c r="K23"/>
  <c r="K24"/>
  <c r="I24"/>
  <c r="I23"/>
  <c r="I22"/>
  <c r="F23"/>
  <c r="F22"/>
  <c r="F21"/>
  <c r="D23"/>
  <c r="D22"/>
  <c r="D21"/>
  <c r="M20"/>
  <c r="K34"/>
  <c r="K33"/>
  <c r="K32"/>
  <c r="K31"/>
  <c r="K30"/>
  <c r="K29"/>
  <c r="K28"/>
  <c r="K27"/>
  <c r="K26"/>
  <c r="K25"/>
  <c r="I28"/>
  <c r="I27"/>
  <c r="I26"/>
  <c r="I25"/>
  <c r="F20"/>
  <c r="F19"/>
  <c r="B53"/>
  <c r="B54"/>
  <c r="D54"/>
  <c r="F53"/>
  <c r="F54"/>
  <c r="K54"/>
  <c r="K55"/>
  <c r="K56"/>
  <c r="K57"/>
  <c r="K58"/>
  <c r="K59"/>
  <c r="K60"/>
  <c r="K61"/>
  <c r="K62"/>
  <c r="I34"/>
  <c r="A18"/>
  <c r="A19"/>
  <c r="A20"/>
  <c r="A21"/>
  <c r="A22"/>
  <c r="A23"/>
  <c r="A24"/>
  <c r="A25"/>
  <c r="A26"/>
  <c r="A27"/>
  <c r="A28"/>
  <c r="A29"/>
  <c r="A30"/>
  <c r="A31"/>
  <c r="A32"/>
  <c r="A33"/>
  <c r="A34"/>
  <c r="I33"/>
  <c r="I32"/>
  <c r="I31"/>
  <c r="I30"/>
  <c r="I29"/>
  <c r="F28"/>
  <c r="D28"/>
  <c r="G28"/>
  <c r="F27"/>
  <c r="D27"/>
  <c r="G27"/>
  <c r="F26"/>
  <c r="D26"/>
  <c r="G26"/>
  <c r="F25"/>
  <c r="D25"/>
  <c r="G25"/>
  <c r="F24"/>
  <c r="D24"/>
  <c r="G24"/>
  <c r="G23"/>
  <c r="C18"/>
  <c r="D19"/>
  <c r="B19"/>
  <c r="C19"/>
  <c r="D20"/>
  <c r="B20"/>
  <c r="C20"/>
  <c r="G22"/>
  <c r="G21"/>
  <c r="H20"/>
  <c r="G20"/>
  <c r="H19"/>
  <c r="G19"/>
  <c r="H18"/>
  <c r="G18"/>
  <c r="K17"/>
  <c r="H17"/>
  <c r="G17"/>
  <c r="K16"/>
  <c r="H16"/>
  <c r="G16"/>
  <c r="M64"/>
  <c r="M63"/>
  <c r="M62"/>
  <c r="M61"/>
  <c r="M60"/>
  <c r="M59"/>
  <c r="M58"/>
  <c r="M57"/>
  <c r="M56"/>
  <c r="K64"/>
  <c r="F64"/>
  <c r="G64"/>
  <c r="K63"/>
  <c r="F63"/>
  <c r="G63"/>
  <c r="F62"/>
  <c r="G62"/>
  <c r="F61"/>
  <c r="G61"/>
  <c r="F60"/>
  <c r="G60"/>
  <c r="F59"/>
  <c r="G59"/>
  <c r="F58"/>
  <c r="G58"/>
  <c r="F57"/>
  <c r="G57"/>
  <c r="F56"/>
  <c r="G56"/>
  <c r="F55"/>
  <c r="G55"/>
  <c r="G54"/>
  <c r="G53"/>
  <c r="G52"/>
  <c r="D64"/>
  <c r="D63"/>
  <c r="D62"/>
  <c r="D61"/>
  <c r="H64"/>
  <c r="H63"/>
  <c r="H62"/>
  <c r="H61"/>
  <c r="D60"/>
  <c r="H60"/>
  <c r="D59"/>
  <c r="B59"/>
  <c r="H59"/>
  <c r="D58"/>
  <c r="B58"/>
  <c r="H58"/>
  <c r="D57"/>
  <c r="B57"/>
  <c r="H57"/>
  <c r="D56"/>
  <c r="B56"/>
  <c r="H56"/>
  <c r="D55"/>
  <c r="B55"/>
  <c r="H55"/>
  <c r="H54"/>
  <c r="H53"/>
  <c r="H52"/>
  <c r="K70"/>
  <c r="I70"/>
  <c r="K69"/>
  <c r="I69"/>
  <c r="K68"/>
  <c r="I68"/>
  <c r="K67"/>
  <c r="I67"/>
  <c r="K66"/>
  <c r="I66"/>
  <c r="K65"/>
  <c r="I65"/>
  <c r="C54"/>
  <c r="C55"/>
  <c r="C56"/>
  <c r="C57"/>
  <c r="C58"/>
  <c r="C59"/>
  <c r="K53"/>
  <c r="K52"/>
  <c r="A54"/>
  <c r="A55"/>
  <c r="A56"/>
  <c r="A57"/>
  <c r="A58"/>
  <c r="A59"/>
  <c r="A60"/>
  <c r="A61"/>
  <c r="A62"/>
  <c r="A63"/>
  <c r="A64"/>
  <c r="A65"/>
  <c r="A66"/>
  <c r="A67"/>
  <c r="A68"/>
  <c r="A69"/>
  <c r="A70"/>
  <c r="H20" i="3"/>
  <c r="G20"/>
  <c r="F20"/>
  <c r="E20"/>
  <c r="D20"/>
  <c r="C20"/>
  <c r="H19"/>
  <c r="G19"/>
  <c r="F19"/>
  <c r="E19"/>
  <c r="D19"/>
  <c r="C19"/>
  <c r="H18"/>
  <c r="G18"/>
  <c r="F18"/>
  <c r="E18"/>
  <c r="D18"/>
  <c r="C18"/>
  <c r="H17"/>
  <c r="H22"/>
  <c r="G17"/>
  <c r="G22"/>
  <c r="F17"/>
  <c r="F22"/>
  <c r="E17"/>
  <c r="E22"/>
  <c r="D17"/>
  <c r="D22"/>
  <c r="C17"/>
  <c r="C22"/>
  <c r="B22"/>
  <c r="D25" i="4"/>
  <c r="D26"/>
  <c r="D27"/>
  <c r="D28"/>
  <c r="D29"/>
  <c r="D30"/>
  <c r="D31"/>
  <c r="D32"/>
  <c r="D33"/>
  <c r="D34"/>
  <c r="D35"/>
  <c r="D36"/>
  <c r="J29"/>
  <c r="J30"/>
  <c r="J31"/>
  <c r="J32"/>
  <c r="J33"/>
  <c r="J34"/>
  <c r="J35"/>
  <c r="J36"/>
  <c r="B25"/>
  <c r="B26"/>
  <c r="B27"/>
  <c r="E19"/>
  <c r="F19"/>
  <c r="G19"/>
  <c r="H19"/>
  <c r="E20"/>
  <c r="F20"/>
  <c r="G20"/>
  <c r="H20"/>
  <c r="E21"/>
  <c r="F21"/>
  <c r="G21"/>
  <c r="H21"/>
  <c r="E22"/>
  <c r="F22"/>
  <c r="G22"/>
  <c r="H22"/>
  <c r="E23"/>
  <c r="F23"/>
  <c r="G23"/>
  <c r="H23"/>
  <c r="E24"/>
  <c r="F24"/>
  <c r="G24"/>
  <c r="H24"/>
  <c r="E25"/>
  <c r="I25"/>
  <c r="F25"/>
  <c r="G25"/>
  <c r="H25"/>
  <c r="E26"/>
  <c r="I26"/>
  <c r="F26"/>
  <c r="G26"/>
  <c r="H26"/>
  <c r="E27"/>
  <c r="I27"/>
  <c r="F27"/>
  <c r="G27"/>
  <c r="H27"/>
  <c r="B28"/>
  <c r="E28"/>
  <c r="I28"/>
  <c r="F28"/>
  <c r="G28"/>
  <c r="H28"/>
  <c r="B29"/>
  <c r="E29"/>
  <c r="I29"/>
  <c r="F29"/>
  <c r="G29"/>
  <c r="H29"/>
  <c r="B30"/>
  <c r="E30"/>
  <c r="I30"/>
  <c r="F30"/>
  <c r="G30"/>
  <c r="H30"/>
  <c r="B31"/>
  <c r="E31"/>
  <c r="I31"/>
  <c r="F31"/>
  <c r="G31"/>
  <c r="H31"/>
  <c r="B32"/>
  <c r="E32"/>
  <c r="I32"/>
  <c r="F32"/>
  <c r="G32"/>
  <c r="H32"/>
  <c r="B33"/>
  <c r="E33"/>
  <c r="I33"/>
  <c r="F33"/>
  <c r="G33"/>
  <c r="H33"/>
  <c r="B34"/>
  <c r="E34"/>
  <c r="I34"/>
  <c r="F34"/>
  <c r="G34"/>
  <c r="H34"/>
  <c r="B35"/>
  <c r="E35"/>
  <c r="I35"/>
  <c r="F35"/>
  <c r="G35"/>
  <c r="H35"/>
  <c r="B36"/>
  <c r="E36"/>
  <c r="I36"/>
  <c r="G36"/>
  <c r="H36"/>
  <c r="B26" i="6"/>
  <c r="B27"/>
  <c r="B28"/>
  <c r="B29"/>
  <c r="B30"/>
  <c r="B31"/>
  <c r="B32"/>
  <c r="B33"/>
  <c r="B34"/>
  <c r="B42"/>
  <c r="B41"/>
  <c r="B40"/>
  <c r="B39"/>
  <c r="B38"/>
  <c r="B37"/>
  <c r="B36"/>
  <c r="B35"/>
  <c r="E25"/>
  <c r="C44"/>
  <c r="D26"/>
  <c r="D27"/>
  <c r="D28"/>
  <c r="D29"/>
  <c r="D30"/>
  <c r="D31"/>
  <c r="D32"/>
  <c r="D33"/>
  <c r="D34"/>
  <c r="D35"/>
  <c r="D36"/>
  <c r="D37"/>
  <c r="D38"/>
  <c r="D39"/>
  <c r="D40"/>
  <c r="D41"/>
  <c r="D42"/>
  <c r="J32"/>
  <c r="J33"/>
  <c r="J34"/>
  <c r="J35"/>
  <c r="J36"/>
  <c r="J37"/>
  <c r="J38"/>
  <c r="J39"/>
  <c r="J40"/>
  <c r="J41"/>
  <c r="J42"/>
  <c r="J44"/>
  <c r="I42"/>
  <c r="I44"/>
  <c r="H42"/>
  <c r="H44"/>
  <c r="G42"/>
  <c r="G44"/>
  <c r="E42"/>
  <c r="F42"/>
  <c r="F44"/>
  <c r="E44"/>
  <c r="D44"/>
  <c r="B44"/>
  <c r="I31"/>
  <c r="I30"/>
  <c r="I29"/>
  <c r="E20"/>
  <c r="F20"/>
  <c r="G20"/>
  <c r="H20"/>
  <c r="E21"/>
  <c r="F21"/>
  <c r="G21"/>
  <c r="H21"/>
  <c r="E22"/>
  <c r="F22"/>
  <c r="G22"/>
  <c r="H22"/>
  <c r="E23"/>
  <c r="F23"/>
  <c r="G23"/>
  <c r="H23"/>
  <c r="E24"/>
  <c r="F24"/>
  <c r="G24"/>
  <c r="H24"/>
  <c r="F25"/>
  <c r="G25"/>
  <c r="H25"/>
  <c r="E26"/>
  <c r="I26"/>
  <c r="F26"/>
  <c r="G26"/>
  <c r="H26"/>
  <c r="E27"/>
  <c r="I27"/>
  <c r="F27"/>
  <c r="G27"/>
  <c r="H27"/>
  <c r="E28"/>
  <c r="I28"/>
  <c r="F28"/>
  <c r="G28"/>
  <c r="H28"/>
  <c r="E29"/>
  <c r="F29"/>
  <c r="G29"/>
  <c r="H29"/>
  <c r="E30"/>
  <c r="F30"/>
  <c r="G30"/>
  <c r="H30"/>
  <c r="E31"/>
  <c r="F31"/>
  <c r="G31"/>
  <c r="H31"/>
  <c r="E32"/>
  <c r="I32"/>
  <c r="F32"/>
  <c r="G32"/>
  <c r="H32"/>
  <c r="E33"/>
  <c r="I33"/>
  <c r="F33"/>
  <c r="G33"/>
  <c r="H33"/>
  <c r="E34"/>
  <c r="I34"/>
  <c r="F34"/>
  <c r="G34"/>
  <c r="H34"/>
  <c r="E35"/>
  <c r="I35"/>
  <c r="F35"/>
  <c r="G35"/>
  <c r="H35"/>
  <c r="E36"/>
  <c r="I36"/>
  <c r="F36"/>
  <c r="G36"/>
  <c r="H36"/>
  <c r="E37"/>
  <c r="I37"/>
  <c r="F37"/>
  <c r="G37"/>
  <c r="H37"/>
  <c r="E38"/>
  <c r="I38"/>
  <c r="F38"/>
  <c r="G38"/>
  <c r="H38"/>
  <c r="E39"/>
  <c r="I39"/>
  <c r="F39"/>
  <c r="G39"/>
  <c r="H39"/>
  <c r="E40"/>
  <c r="I40"/>
  <c r="F40"/>
  <c r="G40"/>
  <c r="H40"/>
  <c r="E41"/>
  <c r="I41"/>
  <c r="F41"/>
  <c r="G41"/>
  <c r="H41"/>
</calcChain>
</file>

<file path=xl/sharedStrings.xml><?xml version="1.0" encoding="utf-8"?>
<sst xmlns="http://schemas.openxmlformats.org/spreadsheetml/2006/main" count="125" uniqueCount="59">
  <si>
    <t>-- C-neutral by 2025 (continue 3% reduction/yr in commuting + offsets for commuting starting 2015 are 8%, increase by 8% per year)</t>
  </si>
  <si>
    <t>-- 5% reduction per year in commuting (20% by 2014)</t>
  </si>
  <si>
    <t>-- C-neutral by 2020 (continue 5% reduction/yr in commuting + RECs' commuting RECs 2013 are 11%, add 11% per year)</t>
  </si>
  <si>
    <t>-- immediate (2010) use of 15% biomass for heating; increase to 30 % in 2011</t>
  </si>
  <si>
    <t>-- 82% biomass (75% syngas, 7% wood/paper) and 17% natural gas for heating starts 2015</t>
  </si>
  <si>
    <t>-- 100% biomass (syngas) for heating starts 2020</t>
  </si>
  <si>
    <t>-- 3% reduction per year in efficiency for heat &amp; electric (20% by 2017)</t>
  </si>
  <si>
    <t>-- 3% reduction per year in commuting (20% by 2017)</t>
  </si>
  <si>
    <t>-- Transition to use of 30% biomass for heating: 10% in 2010, 20% in 2011, 30% in 2012, then 30% to 2014</t>
  </si>
  <si>
    <t>COAL</t>
  </si>
  <si>
    <t>MMBtu</t>
  </si>
  <si>
    <t>tons</t>
  </si>
  <si>
    <t>NATURAL GAS</t>
  </si>
  <si>
    <t>Therms</t>
  </si>
  <si>
    <t>WOOD/PAPER</t>
  </si>
  <si>
    <t>SynGas</t>
  </si>
  <si>
    <t xml:space="preserve">% </t>
  </si>
  <si>
    <t>-- dry anaerobic biodigester averts 1000 MT CO2e of electricity and 600 MT CO2e of coal 2011-2014 and nat. gas 2015-2019</t>
  </si>
  <si>
    <t>-- assume that any heating efficiencies or savings will be used to reduce coal before natural gas</t>
  </si>
  <si>
    <t>Estimates made in Nov. 2009 by M. Lizotte</t>
  </si>
  <si>
    <t>year</t>
  </si>
  <si>
    <t>electricity</t>
  </si>
  <si>
    <t>Heating</t>
  </si>
  <si>
    <t>Commuting</t>
  </si>
  <si>
    <t>MT CO2e</t>
  </si>
  <si>
    <t>TOTAL</t>
  </si>
  <si>
    <t>TOTAL-REC</t>
  </si>
  <si>
    <t>SCENARIO 1: Full Implementation of Governor's Initiative and CSP by 2012:</t>
  </si>
  <si>
    <t>-- 100% biomass for heating starts 2012</t>
  </si>
  <si>
    <t>-- 5% reduction per year in efficiency for heat &amp; electric (14% by 2012)</t>
  </si>
  <si>
    <t>Electricity</t>
  </si>
  <si>
    <t>RECs-electricity</t>
  </si>
  <si>
    <t>RECs-commuting</t>
  </si>
  <si>
    <t>-- 4% increase in electricity and heating in 2011 (increase for New Acadmic Building - decrease for Elmwood Commons)</t>
  </si>
  <si>
    <t>Offset cost estimates</t>
  </si>
  <si>
    <t>Information from Green Power Network, US DOE, October 2009:</t>
  </si>
  <si>
    <t>Retail GHG Offset Products:  $3 to $20 per MT CO2e</t>
  </si>
  <si>
    <t>Retail REC (Renewable Electricity Credit) Products:  $7 to $34 per MT CO2e ($0.004 to $0.02 per KWh, multiply by ca. 1,700 KWh/MT CO2e)</t>
  </si>
  <si>
    <t>Note: costs are for residential; larger commercial buyers could negotiate lower premiums</t>
  </si>
  <si>
    <t>UWO Campus Energy Independence Study, Dec. 2008:</t>
  </si>
  <si>
    <t>Table 2-3, pg 2-7: 2007 electricity cost was $0.055 per KWh (11% REC)</t>
  </si>
  <si>
    <t>Appendix G, Pg G3: model assumes renewable energy cost is $0.08 per KWh</t>
  </si>
  <si>
    <t>Therefore, a $0.03 per KWh premium, which = $51 per MT CO2e</t>
  </si>
  <si>
    <t>source</t>
  </si>
  <si>
    <t>2008 GHG</t>
  </si>
  <si>
    <t>Cost for offsets or REC in $ per MT CO2e averted</t>
  </si>
  <si>
    <t>heating</t>
  </si>
  <si>
    <t>commuting</t>
  </si>
  <si>
    <t>other</t>
  </si>
  <si>
    <t>BUT: recommendatios call for $190,000/yr to get to 100% REC</t>
  </si>
  <si>
    <t>REC was 13% at time of study, therefore $190,000 for 87% of 30,000,000 KWh = $0.0073 per KWh premium = $12.40 per MT CO2e</t>
  </si>
  <si>
    <t>-- 100% renewable electricity purchasing starts 2012 (23% to 2010, 33% in 2011 when state goes to 20%)</t>
  </si>
  <si>
    <t>RECs electricity</t>
  </si>
  <si>
    <t>Offset commuting</t>
  </si>
  <si>
    <t>Electric-REC</t>
  </si>
  <si>
    <t>Commute-Offset</t>
  </si>
  <si>
    <t>SCENARIO 2: Full Implementation of Governor's Initiative and CSP by 2015:</t>
  </si>
  <si>
    <t>-- dry anaerobic biodigester averts 1000 MT CO2e of electricity and 600 MT CO2e of coal starting 2011</t>
  </si>
  <si>
    <t>-- 100% renewable electricity purchasing by 2015 (23% to 2010, 33% in 2011 when state goes to 20%, 50% 2012, 67% 2013, 84% 2014)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</si>
</sst>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1" fontId="0" fillId="0" borderId="0" xfId="0" applyNumberFormat="1"/>
    <xf numFmtId="0" fontId="2" fillId="0" borderId="0" xfId="0" applyFont="1" applyAlignment="1">
      <alignment horizontal="center"/>
    </xf>
    <xf numFmtId="3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7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6FFFF"/>
      <rgbColor rgb="0099FF66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Scenario 1</a:t>
            </a:r>
          </a:p>
        </c:rich>
      </c:tx>
      <c:spPr>
        <a:noFill/>
        <a:ln w="25400">
          <a:noFill/>
        </a:ln>
      </c:spPr>
    </c:title>
    <c:plotArea>
      <c:layout/>
      <c:scatterChart>
        <c:scatterStyle val="smoothMarker"/>
        <c:ser>
          <c:idx val="0"/>
          <c:order val="0"/>
          <c:tx>
            <c:strRef>
              <c:f>'SCENARIO 1 Final'!$B$17</c:f>
              <c:strCache>
                <c:ptCount val="1"/>
                <c:pt idx="0">
                  <c:v>Electricity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'SCENARIO 1 Final'!$A$19:$A$36</c:f>
              <c:numCache>
                <c:formatCode>General</c:formatCode>
                <c:ptCount val="18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</c:numCache>
            </c:numRef>
          </c:xVal>
          <c:yVal>
            <c:numRef>
              <c:f>'SCENARIO 1 Final'!$B$19:$B$36</c:f>
              <c:numCache>
                <c:formatCode>0</c:formatCode>
                <c:ptCount val="18"/>
                <c:pt idx="0">
                  <c:v>20198.0</c:v>
                </c:pt>
                <c:pt idx="1">
                  <c:v>19807.0</c:v>
                </c:pt>
                <c:pt idx="2">
                  <c:v>19603.0</c:v>
                </c:pt>
                <c:pt idx="3">
                  <c:v>19176.0</c:v>
                </c:pt>
                <c:pt idx="4">
                  <c:v>18969.0</c:v>
                </c:pt>
                <c:pt idx="5">
                  <c:v>18872.0</c:v>
                </c:pt>
                <c:pt idx="6">
                  <c:v>17928.4</c:v>
                </c:pt>
                <c:pt idx="7">
                  <c:v>17031.98</c:v>
                </c:pt>
                <c:pt idx="8">
                  <c:v>15827.59624</c:v>
                </c:pt>
                <c:pt idx="9">
                  <c:v>15036.21642799999</c:v>
                </c:pt>
                <c:pt idx="10">
                  <c:v>15036.21642799999</c:v>
                </c:pt>
                <c:pt idx="11">
                  <c:v>15036.21642799999</c:v>
                </c:pt>
                <c:pt idx="12">
                  <c:v>15036.21642799999</c:v>
                </c:pt>
                <c:pt idx="13">
                  <c:v>15036.21642799999</c:v>
                </c:pt>
                <c:pt idx="14">
                  <c:v>15036.21642799999</c:v>
                </c:pt>
                <c:pt idx="15">
                  <c:v>15036.21642799999</c:v>
                </c:pt>
                <c:pt idx="16">
                  <c:v>15036.21642799999</c:v>
                </c:pt>
                <c:pt idx="17">
                  <c:v>15036.21642799999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'SCENARIO 1 Final'!$C$17</c:f>
              <c:strCache>
                <c:ptCount val="1"/>
                <c:pt idx="0">
                  <c:v>Heating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square"/>
            <c:size val="5"/>
            <c:spPr>
              <a:solidFill>
                <a:srgbClr val="C00000"/>
              </a:solidFill>
            </c:spPr>
          </c:marker>
          <c:xVal>
            <c:numRef>
              <c:f>'SCENARIO 1 Final'!$A$19:$A$28</c:f>
              <c:numCache>
                <c:formatCode>General</c:formatCode>
                <c:ptCount val="10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</c:numCache>
            </c:numRef>
          </c:xVal>
          <c:yVal>
            <c:numRef>
              <c:f>'SCENARIO 1 Final'!$C$19:$C$28</c:f>
              <c:numCache>
                <c:formatCode>0</c:formatCode>
                <c:ptCount val="10"/>
                <c:pt idx="0">
                  <c:v>15550.0</c:v>
                </c:pt>
                <c:pt idx="1">
                  <c:v>17983.0</c:v>
                </c:pt>
                <c:pt idx="2">
                  <c:v>15930.0</c:v>
                </c:pt>
                <c:pt idx="3">
                  <c:v>15164.0</c:v>
                </c:pt>
                <c:pt idx="4">
                  <c:v>17261.0</c:v>
                </c:pt>
                <c:pt idx="5">
                  <c:v>18261.0</c:v>
                </c:pt>
                <c:pt idx="6">
                  <c:v>18261.0</c:v>
                </c:pt>
                <c:pt idx="7">
                  <c:v>14739.0</c:v>
                </c:pt>
                <c:pt idx="8">
                  <c:v>10761.0</c:v>
                </c:pt>
                <c:pt idx="9">
                  <c:v>0.0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'SCENARIO 1 Final'!$D$17</c:f>
              <c:strCache>
                <c:ptCount val="1"/>
                <c:pt idx="0">
                  <c:v>Commuting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'SCENARIO 1 Final'!$A$19:$A$36</c:f>
              <c:numCache>
                <c:formatCode>General</c:formatCode>
                <c:ptCount val="18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</c:numCache>
            </c:numRef>
          </c:xVal>
          <c:yVal>
            <c:numRef>
              <c:f>'SCENARIO 1 Final'!$D$19:$D$36</c:f>
              <c:numCache>
                <c:formatCode>0</c:formatCode>
                <c:ptCount val="18"/>
                <c:pt idx="0">
                  <c:v>6447.0</c:v>
                </c:pt>
                <c:pt idx="1">
                  <c:v>6260.0</c:v>
                </c:pt>
                <c:pt idx="2">
                  <c:v>6234.0</c:v>
                </c:pt>
                <c:pt idx="3">
                  <c:v>6216.0</c:v>
                </c:pt>
                <c:pt idx="4">
                  <c:v>6248.0</c:v>
                </c:pt>
                <c:pt idx="5">
                  <c:v>6271.0</c:v>
                </c:pt>
                <c:pt idx="6">
                  <c:v>5957.45</c:v>
                </c:pt>
                <c:pt idx="7">
                  <c:v>5659.577499999999</c:v>
                </c:pt>
                <c:pt idx="8">
                  <c:v>5376.598625</c:v>
                </c:pt>
                <c:pt idx="9">
                  <c:v>5107.76869375</c:v>
                </c:pt>
                <c:pt idx="10">
                  <c:v>4852.3802590625</c:v>
                </c:pt>
                <c:pt idx="11">
                  <c:v>4609.761246109374</c:v>
                </c:pt>
                <c:pt idx="12">
                  <c:v>4379.273183803905</c:v>
                </c:pt>
                <c:pt idx="13">
                  <c:v>4160.30952461371</c:v>
                </c:pt>
                <c:pt idx="14">
                  <c:v>3952.294048383024</c:v>
                </c:pt>
                <c:pt idx="15">
                  <c:v>3754.679345963873</c:v>
                </c:pt>
                <c:pt idx="16">
                  <c:v>3566.94537866568</c:v>
                </c:pt>
                <c:pt idx="17">
                  <c:v>3388.598109732395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'SCENARIO 1 Final'!$E$18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'SCENARIO 1 Final'!$A$19:$A$36</c:f>
              <c:numCache>
                <c:formatCode>General</c:formatCode>
                <c:ptCount val="18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</c:numCache>
            </c:numRef>
          </c:xVal>
          <c:yVal>
            <c:numRef>
              <c:f>'SCENARIO 1 Final'!$E$19:$E$36</c:f>
              <c:numCache>
                <c:formatCode>0</c:formatCode>
                <c:ptCount val="18"/>
                <c:pt idx="0">
                  <c:v>42195.0</c:v>
                </c:pt>
                <c:pt idx="1">
                  <c:v>44050.0</c:v>
                </c:pt>
                <c:pt idx="2">
                  <c:v>41767.0</c:v>
                </c:pt>
                <c:pt idx="3">
                  <c:v>40556.0</c:v>
                </c:pt>
                <c:pt idx="4">
                  <c:v>42478.0</c:v>
                </c:pt>
                <c:pt idx="5">
                  <c:v>43404.0</c:v>
                </c:pt>
                <c:pt idx="6">
                  <c:v>42146.85</c:v>
                </c:pt>
                <c:pt idx="7">
                  <c:v>37430.5575</c:v>
                </c:pt>
                <c:pt idx="8">
                  <c:v>31965.19486499999</c:v>
                </c:pt>
                <c:pt idx="9">
                  <c:v>20143.98512175</c:v>
                </c:pt>
                <c:pt idx="10">
                  <c:v>19888.5966870625</c:v>
                </c:pt>
                <c:pt idx="11">
                  <c:v>19645.97767410937</c:v>
                </c:pt>
                <c:pt idx="12">
                  <c:v>19415.4896118039</c:v>
                </c:pt>
                <c:pt idx="13">
                  <c:v>19196.52595261371</c:v>
                </c:pt>
                <c:pt idx="14">
                  <c:v>18988.51047638302</c:v>
                </c:pt>
                <c:pt idx="15">
                  <c:v>18790.89577396387</c:v>
                </c:pt>
                <c:pt idx="16">
                  <c:v>18603.16180666567</c:v>
                </c:pt>
                <c:pt idx="17">
                  <c:v>18424.81453773239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'SCENARIO 1 Final'!$F$18</c:f>
              <c:strCache>
                <c:ptCount val="1"/>
                <c:pt idx="0">
                  <c:v>TOTAL-REC</c:v>
                </c:pt>
              </c:strCache>
            </c:strRef>
          </c:tx>
          <c:spPr>
            <a:ln>
              <a:solidFill>
                <a:srgbClr val="00B050"/>
              </a:solidFill>
              <a:prstDash val="dash"/>
            </a:ln>
          </c:spPr>
          <c:marker>
            <c:symbol val="none"/>
          </c:marker>
          <c:xVal>
            <c:numRef>
              <c:f>'SCENARIO 1 Final'!$A$19:$A$36</c:f>
              <c:numCache>
                <c:formatCode>General</c:formatCode>
                <c:ptCount val="18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</c:numCache>
            </c:numRef>
          </c:xVal>
          <c:yVal>
            <c:numRef>
              <c:f>'SCENARIO 1 Final'!$F$19:$F$36</c:f>
              <c:numCache>
                <c:formatCode>0</c:formatCode>
                <c:ptCount val="18"/>
                <c:pt idx="0">
                  <c:v>41589.0</c:v>
                </c:pt>
                <c:pt idx="1">
                  <c:v>43258.0</c:v>
                </c:pt>
                <c:pt idx="2">
                  <c:v>40983.0</c:v>
                </c:pt>
                <c:pt idx="3">
                  <c:v>38447.0</c:v>
                </c:pt>
                <c:pt idx="4">
                  <c:v>40012.0</c:v>
                </c:pt>
                <c:pt idx="5">
                  <c:v>39441.0</c:v>
                </c:pt>
                <c:pt idx="6">
                  <c:v>38095.0316</c:v>
                </c:pt>
                <c:pt idx="7">
                  <c:v>33581.33002</c:v>
                </c:pt>
                <c:pt idx="8">
                  <c:v>26805.39849076</c:v>
                </c:pt>
                <c:pt idx="9">
                  <c:v>5107.768693749998</c:v>
                </c:pt>
                <c:pt idx="10">
                  <c:v>4318.618430565625</c:v>
                </c:pt>
                <c:pt idx="11">
                  <c:v>3568.925680540466</c:v>
                </c:pt>
                <c:pt idx="12">
                  <c:v>2856.71756801657</c:v>
                </c:pt>
                <c:pt idx="13">
                  <c:v>2180.119861118867</c:v>
                </c:pt>
                <c:pt idx="14">
                  <c:v>1537.352039566046</c:v>
                </c:pt>
                <c:pt idx="15">
                  <c:v>926.7226090908716</c:v>
                </c:pt>
                <c:pt idx="16">
                  <c:v>346.6246501394525</c:v>
                </c:pt>
                <c:pt idx="17">
                  <c:v>0.0</c:v>
                </c:pt>
              </c:numCache>
            </c:numRef>
          </c:yVal>
          <c:smooth val="1"/>
        </c:ser>
        <c:axId val="783651176"/>
        <c:axId val="783654680"/>
      </c:scatterChart>
      <c:valAx>
        <c:axId val="783651176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654680"/>
        <c:crosses val="autoZero"/>
        <c:crossBetween val="midCat"/>
      </c:valAx>
      <c:valAx>
        <c:axId val="7836546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Metric Tons CO2 equivalent</a:t>
                </a:r>
              </a:p>
            </c:rich>
          </c:tx>
          <c:spPr>
            <a:noFill/>
            <a:ln w="25400">
              <a:noFill/>
            </a:ln>
          </c:spPr>
        </c:title>
        <c:numFmt formatCode="#,##0" sourceLinked="0"/>
        <c:majorTickMark val="none"/>
        <c:tickLblPos val="nextTo"/>
        <c:crossAx val="783651176"/>
        <c:crosses val="autoZero"/>
        <c:crossBetween val="midCat"/>
      </c:valAx>
    </c:plotArea>
    <c:legend>
      <c:legendPos val="b"/>
    </c:legend>
    <c:plotVisOnly val="1"/>
    <c:dispBlanksAs val="gap"/>
  </c:chart>
  <c:printSettings>
    <c:headerFooter alignWithMargins="0"/>
    <c:pageMargins b="0.750000000000001" l="0.700000000000001" r="0.700000000000001" t="0.750000000000001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Scenario 1</a:t>
            </a:r>
          </a:p>
        </c:rich>
      </c:tx>
      <c:spPr>
        <a:noFill/>
        <a:ln w="25400">
          <a:noFill/>
        </a:ln>
      </c:spPr>
    </c:title>
    <c:plotArea>
      <c:layout/>
      <c:areaChart>
        <c:grouping val="stacked"/>
        <c:ser>
          <c:idx val="0"/>
          <c:order val="0"/>
          <c:tx>
            <c:strRef>
              <c:f>'SCENARIO 1 Final'!$B$17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c:spPr>
          <c:cat>
            <c:numRef>
              <c:f>'SCENARIO 1 Final'!$A$19:$A$36</c:f>
              <c:numCache>
                <c:formatCode>General</c:formatCode>
                <c:ptCount val="18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</c:numCache>
            </c:numRef>
          </c:cat>
          <c:val>
            <c:numRef>
              <c:f>'SCENARIO 1 Final'!$B$19:$B$36</c:f>
              <c:numCache>
                <c:formatCode>0</c:formatCode>
                <c:ptCount val="18"/>
                <c:pt idx="0">
                  <c:v>20198.0</c:v>
                </c:pt>
                <c:pt idx="1">
                  <c:v>19807.0</c:v>
                </c:pt>
                <c:pt idx="2">
                  <c:v>19603.0</c:v>
                </c:pt>
                <c:pt idx="3">
                  <c:v>19176.0</c:v>
                </c:pt>
                <c:pt idx="4">
                  <c:v>18969.0</c:v>
                </c:pt>
                <c:pt idx="5">
                  <c:v>18872.0</c:v>
                </c:pt>
                <c:pt idx="6">
                  <c:v>17928.4</c:v>
                </c:pt>
                <c:pt idx="7">
                  <c:v>17031.98</c:v>
                </c:pt>
                <c:pt idx="8">
                  <c:v>15827.59624</c:v>
                </c:pt>
                <c:pt idx="9">
                  <c:v>15036.21642799999</c:v>
                </c:pt>
                <c:pt idx="10">
                  <c:v>15036.21642799999</c:v>
                </c:pt>
                <c:pt idx="11">
                  <c:v>15036.21642799999</c:v>
                </c:pt>
                <c:pt idx="12">
                  <c:v>15036.21642799999</c:v>
                </c:pt>
                <c:pt idx="13">
                  <c:v>15036.21642799999</c:v>
                </c:pt>
                <c:pt idx="14">
                  <c:v>15036.21642799999</c:v>
                </c:pt>
                <c:pt idx="15">
                  <c:v>15036.21642799999</c:v>
                </c:pt>
                <c:pt idx="16">
                  <c:v>15036.21642799999</c:v>
                </c:pt>
                <c:pt idx="17">
                  <c:v>15036.21642799999</c:v>
                </c:pt>
              </c:numCache>
            </c:numRef>
          </c:val>
        </c:ser>
        <c:ser>
          <c:idx val="1"/>
          <c:order val="1"/>
          <c:tx>
            <c:strRef>
              <c:f>'SCENARIO 1 Final'!$C$17</c:f>
              <c:strCache>
                <c:ptCount val="1"/>
                <c:pt idx="0">
                  <c:v>Heating</c:v>
                </c:pt>
              </c:strCache>
            </c:strRef>
          </c:tx>
          <c:spPr>
            <a:solidFill>
              <a:srgbClr val="C00000"/>
            </a:solidFill>
          </c:spPr>
          <c:cat>
            <c:numRef>
              <c:f>'SCENARIO 1 Final'!$A$19:$A$31</c:f>
              <c:numCache>
                <c:formatCode>General</c:formatCode>
                <c:ptCount val="13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</c:numCache>
            </c:numRef>
          </c:cat>
          <c:val>
            <c:numRef>
              <c:f>'SCENARIO 1 Final'!$C$19:$C$31</c:f>
              <c:numCache>
                <c:formatCode>0</c:formatCode>
                <c:ptCount val="13"/>
                <c:pt idx="0">
                  <c:v>15550.0</c:v>
                </c:pt>
                <c:pt idx="1">
                  <c:v>17983.0</c:v>
                </c:pt>
                <c:pt idx="2">
                  <c:v>15930.0</c:v>
                </c:pt>
                <c:pt idx="3">
                  <c:v>15164.0</c:v>
                </c:pt>
                <c:pt idx="4">
                  <c:v>17261.0</c:v>
                </c:pt>
                <c:pt idx="5">
                  <c:v>18261.0</c:v>
                </c:pt>
                <c:pt idx="6">
                  <c:v>18261.0</c:v>
                </c:pt>
                <c:pt idx="7">
                  <c:v>14739.0</c:v>
                </c:pt>
                <c:pt idx="8">
                  <c:v>10761.0</c:v>
                </c:pt>
                <c:pt idx="9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'SCENARIO 1 Final'!$D$17</c:f>
              <c:strCache>
                <c:ptCount val="1"/>
                <c:pt idx="0">
                  <c:v>Commuting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</c:spPr>
          <c:cat>
            <c:numRef>
              <c:f>'SCENARIO 1 Final'!$A$19:$A$36</c:f>
              <c:numCache>
                <c:formatCode>General</c:formatCode>
                <c:ptCount val="18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</c:numCache>
            </c:numRef>
          </c:cat>
          <c:val>
            <c:numRef>
              <c:f>'SCENARIO 1 Final'!$D$19:$D$36</c:f>
              <c:numCache>
                <c:formatCode>0</c:formatCode>
                <c:ptCount val="18"/>
                <c:pt idx="0">
                  <c:v>6447.0</c:v>
                </c:pt>
                <c:pt idx="1">
                  <c:v>6260.0</c:v>
                </c:pt>
                <c:pt idx="2">
                  <c:v>6234.0</c:v>
                </c:pt>
                <c:pt idx="3">
                  <c:v>6216.0</c:v>
                </c:pt>
                <c:pt idx="4">
                  <c:v>6248.0</c:v>
                </c:pt>
                <c:pt idx="5">
                  <c:v>6271.0</c:v>
                </c:pt>
                <c:pt idx="6">
                  <c:v>5957.45</c:v>
                </c:pt>
                <c:pt idx="7">
                  <c:v>5659.577499999999</c:v>
                </c:pt>
                <c:pt idx="8">
                  <c:v>5376.598625</c:v>
                </c:pt>
                <c:pt idx="9">
                  <c:v>5107.76869375</c:v>
                </c:pt>
                <c:pt idx="10">
                  <c:v>4852.3802590625</c:v>
                </c:pt>
                <c:pt idx="11">
                  <c:v>4609.761246109374</c:v>
                </c:pt>
                <c:pt idx="12">
                  <c:v>4379.273183803905</c:v>
                </c:pt>
                <c:pt idx="13">
                  <c:v>4160.30952461371</c:v>
                </c:pt>
                <c:pt idx="14">
                  <c:v>3952.294048383024</c:v>
                </c:pt>
                <c:pt idx="15">
                  <c:v>3754.679345963873</c:v>
                </c:pt>
                <c:pt idx="16">
                  <c:v>3566.94537866568</c:v>
                </c:pt>
                <c:pt idx="17">
                  <c:v>3388.598109732395</c:v>
                </c:pt>
              </c:numCache>
            </c:numRef>
          </c:val>
        </c:ser>
        <c:axId val="783736056"/>
        <c:axId val="783715816"/>
      </c:areaChart>
      <c:catAx>
        <c:axId val="783736056"/>
        <c:scaling>
          <c:orientation val="minMax"/>
        </c:scaling>
        <c:axPos val="b"/>
        <c:numFmt formatCode="General" sourceLinked="1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3715816"/>
        <c:crosses val="autoZero"/>
        <c:auto val="1"/>
        <c:lblAlgn val="ctr"/>
        <c:lblOffset val="100"/>
        <c:tickLblSkip val="3"/>
      </c:catAx>
      <c:valAx>
        <c:axId val="783715816"/>
        <c:scaling>
          <c:orientation val="minMax"/>
          <c:min val="0.0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 Tons CO2 equivalent</a:t>
                </a:r>
              </a:p>
            </c:rich>
          </c:tx>
          <c:spPr>
            <a:noFill/>
            <a:ln w="25400">
              <a:noFill/>
            </a:ln>
          </c:spPr>
        </c:title>
        <c:numFmt formatCode="#,##0" sourceLinked="0"/>
        <c:majorTickMark val="none"/>
        <c:tickLblPos val="nextTo"/>
        <c:crossAx val="783736056"/>
        <c:crosses val="autoZero"/>
        <c:crossBetween val="midCat"/>
      </c:valAx>
    </c:plotArea>
    <c:legend>
      <c:legendPos val="r"/>
    </c:legend>
    <c:plotVisOnly val="1"/>
    <c:dispBlanksAs val="zero"/>
  </c:chart>
  <c:printSettings>
    <c:headerFooter alignWithMargins="0"/>
    <c:pageMargins b="0.750000000000001" l="0.700000000000001" r="0.700000000000001" t="0.750000000000001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Scenario 1</a:t>
            </a:r>
          </a:p>
        </c:rich>
      </c:tx>
      <c:spPr>
        <a:noFill/>
        <a:ln w="25400">
          <a:noFill/>
        </a:ln>
      </c:spPr>
    </c:title>
    <c:plotArea>
      <c:layout/>
      <c:areaChart>
        <c:grouping val="stacked"/>
        <c:ser>
          <c:idx val="3"/>
          <c:order val="0"/>
          <c:tx>
            <c:v>Electricity - RECs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cat>
            <c:numRef>
              <c:f>'SCENARIO 1 Final'!$A$19:$A$36</c:f>
              <c:numCache>
                <c:formatCode>General</c:formatCode>
                <c:ptCount val="18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</c:numCache>
            </c:numRef>
          </c:cat>
          <c:val>
            <c:numRef>
              <c:f>'SCENARIO 1 Final'!$G$19:$G$36</c:f>
              <c:numCache>
                <c:formatCode>0</c:formatCode>
                <c:ptCount val="18"/>
                <c:pt idx="0">
                  <c:v>19592.0</c:v>
                </c:pt>
                <c:pt idx="1">
                  <c:v>19015.0</c:v>
                </c:pt>
                <c:pt idx="2">
                  <c:v>18819.0</c:v>
                </c:pt>
                <c:pt idx="3">
                  <c:v>17067.0</c:v>
                </c:pt>
                <c:pt idx="4">
                  <c:v>16503.0</c:v>
                </c:pt>
                <c:pt idx="5">
                  <c:v>14909.0</c:v>
                </c:pt>
                <c:pt idx="6">
                  <c:v>13876.5816</c:v>
                </c:pt>
                <c:pt idx="7">
                  <c:v>13182.75252</c:v>
                </c:pt>
                <c:pt idx="8">
                  <c:v>10667.79986576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'SCENARIO 1 Final'!$C$17</c:f>
              <c:strCache>
                <c:ptCount val="1"/>
                <c:pt idx="0">
                  <c:v>Heating</c:v>
                </c:pt>
              </c:strCache>
            </c:strRef>
          </c:tx>
          <c:spPr>
            <a:solidFill>
              <a:srgbClr val="C00000"/>
            </a:solidFill>
          </c:spPr>
          <c:cat>
            <c:numRef>
              <c:f>'SCENARIO 1 Final'!$A$19:$A$36</c:f>
              <c:numCache>
                <c:formatCode>General</c:formatCode>
                <c:ptCount val="18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</c:numCache>
            </c:numRef>
          </c:cat>
          <c:val>
            <c:numRef>
              <c:f>'SCENARIO 1 Final'!$C$19:$C$31</c:f>
              <c:numCache>
                <c:formatCode>0</c:formatCode>
                <c:ptCount val="13"/>
                <c:pt idx="0">
                  <c:v>15550.0</c:v>
                </c:pt>
                <c:pt idx="1">
                  <c:v>17983.0</c:v>
                </c:pt>
                <c:pt idx="2">
                  <c:v>15930.0</c:v>
                </c:pt>
                <c:pt idx="3">
                  <c:v>15164.0</c:v>
                </c:pt>
                <c:pt idx="4">
                  <c:v>17261.0</c:v>
                </c:pt>
                <c:pt idx="5">
                  <c:v>18261.0</c:v>
                </c:pt>
                <c:pt idx="6">
                  <c:v>18261.0</c:v>
                </c:pt>
                <c:pt idx="7">
                  <c:v>14739.0</c:v>
                </c:pt>
                <c:pt idx="8">
                  <c:v>10761.0</c:v>
                </c:pt>
                <c:pt idx="9">
                  <c:v>0.0</c:v>
                </c:pt>
              </c:numCache>
            </c:numRef>
          </c:val>
        </c:ser>
        <c:ser>
          <c:idx val="4"/>
          <c:order val="2"/>
          <c:tx>
            <c:v>Commuting - Offsets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cat>
            <c:numRef>
              <c:f>'SCENARIO 1 Final'!$A$19:$A$36</c:f>
              <c:numCache>
                <c:formatCode>General</c:formatCode>
                <c:ptCount val="18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</c:numCache>
            </c:numRef>
          </c:cat>
          <c:val>
            <c:numRef>
              <c:f>'SCENARIO 1 Final'!$H$19:$H$35</c:f>
              <c:numCache>
                <c:formatCode>0</c:formatCode>
                <c:ptCount val="17"/>
                <c:pt idx="0">
                  <c:v>6447.0</c:v>
                </c:pt>
                <c:pt idx="1">
                  <c:v>6260.0</c:v>
                </c:pt>
                <c:pt idx="2">
                  <c:v>6234.0</c:v>
                </c:pt>
                <c:pt idx="3">
                  <c:v>6216.0</c:v>
                </c:pt>
                <c:pt idx="4">
                  <c:v>6248.0</c:v>
                </c:pt>
                <c:pt idx="5">
                  <c:v>6271.0</c:v>
                </c:pt>
                <c:pt idx="6">
                  <c:v>5957.45</c:v>
                </c:pt>
                <c:pt idx="7">
                  <c:v>5659.577499999999</c:v>
                </c:pt>
                <c:pt idx="8">
                  <c:v>5376.598625</c:v>
                </c:pt>
                <c:pt idx="9">
                  <c:v>5107.76869375</c:v>
                </c:pt>
                <c:pt idx="10">
                  <c:v>4318.618430565624</c:v>
                </c:pt>
                <c:pt idx="11">
                  <c:v>3568.925680540468</c:v>
                </c:pt>
                <c:pt idx="12">
                  <c:v>2856.71756801657</c:v>
                </c:pt>
                <c:pt idx="13">
                  <c:v>2180.119861118866</c:v>
                </c:pt>
                <c:pt idx="14">
                  <c:v>1537.352039566048</c:v>
                </c:pt>
                <c:pt idx="15">
                  <c:v>926.7226090908707</c:v>
                </c:pt>
                <c:pt idx="16">
                  <c:v>346.624650139452</c:v>
                </c:pt>
              </c:numCache>
            </c:numRef>
          </c:val>
        </c:ser>
        <c:axId val="783781400"/>
        <c:axId val="783771176"/>
      </c:areaChart>
      <c:catAx>
        <c:axId val="783781400"/>
        <c:scaling>
          <c:orientation val="minMax"/>
        </c:scaling>
        <c:axPos val="b"/>
        <c:numFmt formatCode="General" sourceLinked="1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3771176"/>
        <c:crosses val="autoZero"/>
        <c:auto val="1"/>
        <c:lblAlgn val="ctr"/>
        <c:lblOffset val="100"/>
        <c:tickLblSkip val="3"/>
      </c:catAx>
      <c:valAx>
        <c:axId val="783771176"/>
        <c:scaling>
          <c:orientation val="minMax"/>
          <c:min val="0.0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 Tons CO2 equivalent</a:t>
                </a:r>
              </a:p>
            </c:rich>
          </c:tx>
          <c:spPr>
            <a:noFill/>
            <a:ln w="25400">
              <a:noFill/>
            </a:ln>
          </c:spPr>
        </c:title>
        <c:numFmt formatCode="#,##0" sourceLinked="0"/>
        <c:majorTickMark val="none"/>
        <c:tickLblPos val="nextTo"/>
        <c:crossAx val="783781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wMode val="edge"/>
          <c:hMode val="edge"/>
          <c:x val="0.702083333333333"/>
          <c:y val="0.420138888888889"/>
          <c:w val="0.983333333333333"/>
          <c:h val="0.670138888888889"/>
        </c:manualLayout>
      </c:layout>
    </c:legend>
    <c:plotVisOnly val="1"/>
    <c:dispBlanksAs val="zero"/>
  </c:chart>
  <c:printSettings>
    <c:headerFooter alignWithMargins="0"/>
    <c:pageMargins b="0.750000000000002" l="0.700000000000001" r="0.700000000000001" t="0.750000000000002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Recent Emissions</a:t>
            </a:r>
          </a:p>
        </c:rich>
      </c:tx>
      <c:spPr>
        <a:noFill/>
        <a:ln w="25400">
          <a:noFill/>
        </a:ln>
      </c:spPr>
    </c:title>
    <c:plotArea>
      <c:layout/>
      <c:scatterChart>
        <c:scatterStyle val="smoothMarker"/>
        <c:ser>
          <c:idx val="0"/>
          <c:order val="0"/>
          <c:tx>
            <c:strRef>
              <c:f>'SCENARIO 1 Final'!$B$17</c:f>
              <c:strCache>
                <c:ptCount val="1"/>
                <c:pt idx="0">
                  <c:v>Electricity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'SCENARIO 1 Final'!$A$19:$A$24</c:f>
              <c:numCache>
                <c:formatCode>General</c:formatCode>
                <c:ptCount val="6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</c:numCache>
            </c:numRef>
          </c:xVal>
          <c:yVal>
            <c:numRef>
              <c:f>'SCENARIO 1 Final'!$B$19:$B$24</c:f>
              <c:numCache>
                <c:formatCode>0</c:formatCode>
                <c:ptCount val="6"/>
                <c:pt idx="0">
                  <c:v>20198.0</c:v>
                </c:pt>
                <c:pt idx="1">
                  <c:v>19807.0</c:v>
                </c:pt>
                <c:pt idx="2">
                  <c:v>19603.0</c:v>
                </c:pt>
                <c:pt idx="3">
                  <c:v>19176.0</c:v>
                </c:pt>
                <c:pt idx="4">
                  <c:v>18969.0</c:v>
                </c:pt>
                <c:pt idx="5">
                  <c:v>18872.0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'SCENARIO 1 Final'!$C$17</c:f>
              <c:strCache>
                <c:ptCount val="1"/>
                <c:pt idx="0">
                  <c:v>Heating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square"/>
            <c:size val="5"/>
            <c:spPr>
              <a:solidFill>
                <a:srgbClr val="C00000"/>
              </a:solidFill>
            </c:spPr>
          </c:marker>
          <c:xVal>
            <c:numRef>
              <c:f>'SCENARIO 1 Final'!$A$19:$A$24</c:f>
              <c:numCache>
                <c:formatCode>General</c:formatCode>
                <c:ptCount val="6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</c:numCache>
            </c:numRef>
          </c:xVal>
          <c:yVal>
            <c:numRef>
              <c:f>'SCENARIO 1 Final'!$C$19:$C$24</c:f>
              <c:numCache>
                <c:formatCode>0</c:formatCode>
                <c:ptCount val="6"/>
                <c:pt idx="0">
                  <c:v>15550.0</c:v>
                </c:pt>
                <c:pt idx="1">
                  <c:v>17983.0</c:v>
                </c:pt>
                <c:pt idx="2">
                  <c:v>15930.0</c:v>
                </c:pt>
                <c:pt idx="3">
                  <c:v>15164.0</c:v>
                </c:pt>
                <c:pt idx="4">
                  <c:v>17261.0</c:v>
                </c:pt>
                <c:pt idx="5">
                  <c:v>18261.0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'SCENARIO 1 Final'!$D$17</c:f>
              <c:strCache>
                <c:ptCount val="1"/>
                <c:pt idx="0">
                  <c:v>Commuting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'SCENARIO 1 Final'!$A$19:$A$24</c:f>
              <c:numCache>
                <c:formatCode>General</c:formatCode>
                <c:ptCount val="6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</c:numCache>
            </c:numRef>
          </c:xVal>
          <c:yVal>
            <c:numRef>
              <c:f>'SCENARIO 1 Final'!$D$19:$D$24</c:f>
              <c:numCache>
                <c:formatCode>0</c:formatCode>
                <c:ptCount val="6"/>
                <c:pt idx="0">
                  <c:v>6447.0</c:v>
                </c:pt>
                <c:pt idx="1">
                  <c:v>6260.0</c:v>
                </c:pt>
                <c:pt idx="2">
                  <c:v>6234.0</c:v>
                </c:pt>
                <c:pt idx="3">
                  <c:v>6216.0</c:v>
                </c:pt>
                <c:pt idx="4">
                  <c:v>6248.0</c:v>
                </c:pt>
                <c:pt idx="5">
                  <c:v>6271.0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'SCENARIO 1 Final'!$E$18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'SCENARIO 1 Final'!$A$19:$A$24</c:f>
              <c:numCache>
                <c:formatCode>General</c:formatCode>
                <c:ptCount val="6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</c:numCache>
            </c:numRef>
          </c:xVal>
          <c:yVal>
            <c:numRef>
              <c:f>'SCENARIO 1 Final'!$E$19:$E$24</c:f>
              <c:numCache>
                <c:formatCode>0</c:formatCode>
                <c:ptCount val="6"/>
                <c:pt idx="0">
                  <c:v>42195.0</c:v>
                </c:pt>
                <c:pt idx="1">
                  <c:v>44050.0</c:v>
                </c:pt>
                <c:pt idx="2">
                  <c:v>41767.0</c:v>
                </c:pt>
                <c:pt idx="3">
                  <c:v>40556.0</c:v>
                </c:pt>
                <c:pt idx="4">
                  <c:v>42478.0</c:v>
                </c:pt>
                <c:pt idx="5">
                  <c:v>43404.0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'SCENARIO 1 Final'!$F$18</c:f>
              <c:strCache>
                <c:ptCount val="1"/>
                <c:pt idx="0">
                  <c:v>TOTAL-REC</c:v>
                </c:pt>
              </c:strCache>
            </c:strRef>
          </c:tx>
          <c:spPr>
            <a:ln>
              <a:solidFill>
                <a:srgbClr val="00B050"/>
              </a:solidFill>
              <a:prstDash val="dash"/>
            </a:ln>
          </c:spPr>
          <c:marker>
            <c:symbol val="none"/>
          </c:marker>
          <c:xVal>
            <c:numRef>
              <c:f>'SCENARIO 1 Final'!$A$19:$A$24</c:f>
              <c:numCache>
                <c:formatCode>General</c:formatCode>
                <c:ptCount val="6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</c:numCache>
            </c:numRef>
          </c:xVal>
          <c:yVal>
            <c:numRef>
              <c:f>'SCENARIO 1 Final'!$F$19:$F$24</c:f>
              <c:numCache>
                <c:formatCode>0</c:formatCode>
                <c:ptCount val="6"/>
                <c:pt idx="0">
                  <c:v>41589.0</c:v>
                </c:pt>
                <c:pt idx="1">
                  <c:v>43258.0</c:v>
                </c:pt>
                <c:pt idx="2">
                  <c:v>40983.0</c:v>
                </c:pt>
                <c:pt idx="3">
                  <c:v>38447.0</c:v>
                </c:pt>
                <c:pt idx="4">
                  <c:v>40012.0</c:v>
                </c:pt>
                <c:pt idx="5">
                  <c:v>39441.0</c:v>
                </c:pt>
              </c:numCache>
            </c:numRef>
          </c:yVal>
          <c:smooth val="1"/>
        </c:ser>
        <c:axId val="783838328"/>
        <c:axId val="783841800"/>
      </c:scatterChart>
      <c:valAx>
        <c:axId val="783838328"/>
        <c:scaling>
          <c:orientation val="minMax"/>
          <c:max val="2008.0"/>
          <c:min val="2003.0"/>
        </c:scaling>
        <c:axPos val="b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841800"/>
        <c:crosses val="autoZero"/>
        <c:crossBetween val="midCat"/>
      </c:valAx>
      <c:valAx>
        <c:axId val="7838418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Metric Tons CO2 equivalent</a:t>
                </a:r>
              </a:p>
            </c:rich>
          </c:tx>
          <c:spPr>
            <a:noFill/>
            <a:ln w="25400">
              <a:noFill/>
            </a:ln>
          </c:spPr>
        </c:title>
        <c:numFmt formatCode="#,##0" sourceLinked="0"/>
        <c:majorTickMark val="none"/>
        <c:tickLblPos val="nextTo"/>
        <c:crossAx val="783838328"/>
        <c:crosses val="autoZero"/>
        <c:crossBetween val="midCat"/>
      </c:valAx>
    </c:plotArea>
    <c:legend>
      <c:legendPos val="b"/>
    </c:legend>
    <c:plotVisOnly val="1"/>
    <c:dispBlanksAs val="gap"/>
  </c:chart>
  <c:printSettings>
    <c:headerFooter alignWithMargins="0"/>
    <c:pageMargins b="0.750000000000001" l="0.700000000000001" r="0.700000000000001" t="0.750000000000001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Scenario 2</a:t>
            </a:r>
          </a:p>
        </c:rich>
      </c:tx>
      <c:spPr>
        <a:noFill/>
        <a:ln w="25400">
          <a:noFill/>
        </a:ln>
      </c:spPr>
    </c:title>
    <c:plotArea>
      <c:layout/>
      <c:scatterChart>
        <c:scatterStyle val="smoothMarker"/>
        <c:ser>
          <c:idx val="0"/>
          <c:order val="0"/>
          <c:tx>
            <c:strRef>
              <c:f>'SCENARIO 2 Final'!$B$18</c:f>
              <c:strCache>
                <c:ptCount val="1"/>
                <c:pt idx="0">
                  <c:v>Electricity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'SCENARIO 2 Final'!$A$20:$A$42</c:f>
              <c:numCache>
                <c:formatCode>General</c:formatCode>
                <c:ptCount val="23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  <c:pt idx="18">
                  <c:v>2021.0</c:v>
                </c:pt>
                <c:pt idx="19">
                  <c:v>2022.0</c:v>
                </c:pt>
                <c:pt idx="20">
                  <c:v>2023.0</c:v>
                </c:pt>
                <c:pt idx="21">
                  <c:v>2024.0</c:v>
                </c:pt>
                <c:pt idx="22">
                  <c:v>2025.0</c:v>
                </c:pt>
              </c:numCache>
            </c:numRef>
          </c:xVal>
          <c:yVal>
            <c:numRef>
              <c:f>'SCENARIO 2 Final'!$B$20:$B$42</c:f>
              <c:numCache>
                <c:formatCode>0</c:formatCode>
                <c:ptCount val="23"/>
                <c:pt idx="0">
                  <c:v>20198.0</c:v>
                </c:pt>
                <c:pt idx="1">
                  <c:v>19807.0</c:v>
                </c:pt>
                <c:pt idx="2">
                  <c:v>19603.0</c:v>
                </c:pt>
                <c:pt idx="3">
                  <c:v>19176.0</c:v>
                </c:pt>
                <c:pt idx="4">
                  <c:v>18969.0</c:v>
                </c:pt>
                <c:pt idx="5">
                  <c:v>18872.0</c:v>
                </c:pt>
                <c:pt idx="6">
                  <c:v>18872.0</c:v>
                </c:pt>
                <c:pt idx="7">
                  <c:v>18305.84</c:v>
                </c:pt>
                <c:pt idx="8">
                  <c:v>17466.931392</c:v>
                </c:pt>
                <c:pt idx="9">
                  <c:v>16942.92345024</c:v>
                </c:pt>
                <c:pt idx="10">
                  <c:v>16434.6357467328</c:v>
                </c:pt>
                <c:pt idx="11">
                  <c:v>15941.59667433081</c:v>
                </c:pt>
                <c:pt idx="12">
                  <c:v>15463.3487741009</c:v>
                </c:pt>
                <c:pt idx="13">
                  <c:v>14999.44831087786</c:v>
                </c:pt>
                <c:pt idx="14">
                  <c:v>14549.46486155153</c:v>
                </c:pt>
                <c:pt idx="15">
                  <c:v>14549.46486155153</c:v>
                </c:pt>
                <c:pt idx="16">
                  <c:v>14549.46486155153</c:v>
                </c:pt>
                <c:pt idx="17">
                  <c:v>14549.46486155153</c:v>
                </c:pt>
                <c:pt idx="18">
                  <c:v>14549.46486155153</c:v>
                </c:pt>
                <c:pt idx="19">
                  <c:v>14549.46486155153</c:v>
                </c:pt>
                <c:pt idx="20">
                  <c:v>14549.46486155153</c:v>
                </c:pt>
                <c:pt idx="21">
                  <c:v>14549.46486155153</c:v>
                </c:pt>
                <c:pt idx="22">
                  <c:v>14549.46486155153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'SCENARIO 2 Final'!$C$18</c:f>
              <c:strCache>
                <c:ptCount val="1"/>
                <c:pt idx="0">
                  <c:v>Heating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square"/>
            <c:size val="5"/>
            <c:spPr>
              <a:solidFill>
                <a:srgbClr val="C00000"/>
              </a:solidFill>
            </c:spPr>
          </c:marker>
          <c:xVal>
            <c:numRef>
              <c:f>'SCENARIO 2 Final'!$A$20:$A$37</c:f>
              <c:numCache>
                <c:formatCode>General</c:formatCode>
                <c:ptCount val="18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</c:numCache>
            </c:numRef>
          </c:xVal>
          <c:yVal>
            <c:numRef>
              <c:f>'SCENARIO 2 Final'!$C$20:$C$37</c:f>
              <c:numCache>
                <c:formatCode>0</c:formatCode>
                <c:ptCount val="18"/>
                <c:pt idx="0">
                  <c:v>15550.0</c:v>
                </c:pt>
                <c:pt idx="1">
                  <c:v>17983.0</c:v>
                </c:pt>
                <c:pt idx="2">
                  <c:v>15930.0</c:v>
                </c:pt>
                <c:pt idx="3">
                  <c:v>15164.0</c:v>
                </c:pt>
                <c:pt idx="4">
                  <c:v>17261.0</c:v>
                </c:pt>
                <c:pt idx="5">
                  <c:v>18261.0</c:v>
                </c:pt>
                <c:pt idx="6">
                  <c:v>16002.0</c:v>
                </c:pt>
                <c:pt idx="7">
                  <c:v>13757.0</c:v>
                </c:pt>
                <c:pt idx="8">
                  <c:v>11489.0</c:v>
                </c:pt>
                <c:pt idx="9">
                  <c:v>11045.0</c:v>
                </c:pt>
                <c:pt idx="10">
                  <c:v>10614.0</c:v>
                </c:pt>
                <c:pt idx="11">
                  <c:v>2640.0</c:v>
                </c:pt>
                <c:pt idx="12">
                  <c:v>2340.0</c:v>
                </c:pt>
                <c:pt idx="13">
                  <c:v>2049.0</c:v>
                </c:pt>
                <c:pt idx="14">
                  <c:v>2049.0</c:v>
                </c:pt>
                <c:pt idx="15">
                  <c:v>2049.0</c:v>
                </c:pt>
                <c:pt idx="16">
                  <c:v>2049.0</c:v>
                </c:pt>
                <c:pt idx="17">
                  <c:v>0.0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'SCENARIO 2 Final'!$D$18</c:f>
              <c:strCache>
                <c:ptCount val="1"/>
                <c:pt idx="0">
                  <c:v>Commuting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'SCENARIO 2 Final'!$A$20:$A$42</c:f>
              <c:numCache>
                <c:formatCode>General</c:formatCode>
                <c:ptCount val="23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  <c:pt idx="18">
                  <c:v>2021.0</c:v>
                </c:pt>
                <c:pt idx="19">
                  <c:v>2022.0</c:v>
                </c:pt>
                <c:pt idx="20">
                  <c:v>2023.0</c:v>
                </c:pt>
                <c:pt idx="21">
                  <c:v>2024.0</c:v>
                </c:pt>
                <c:pt idx="22">
                  <c:v>2025.0</c:v>
                </c:pt>
              </c:numCache>
            </c:numRef>
          </c:xVal>
          <c:yVal>
            <c:numRef>
              <c:f>'SCENARIO 2 Final'!$D$20:$D$42</c:f>
              <c:numCache>
                <c:formatCode>0</c:formatCode>
                <c:ptCount val="23"/>
                <c:pt idx="0">
                  <c:v>6447.0</c:v>
                </c:pt>
                <c:pt idx="1">
                  <c:v>6260.0</c:v>
                </c:pt>
                <c:pt idx="2">
                  <c:v>6234.0</c:v>
                </c:pt>
                <c:pt idx="3">
                  <c:v>6216.0</c:v>
                </c:pt>
                <c:pt idx="4">
                  <c:v>6248.0</c:v>
                </c:pt>
                <c:pt idx="5">
                  <c:v>6271.0</c:v>
                </c:pt>
                <c:pt idx="6">
                  <c:v>6082.87</c:v>
                </c:pt>
                <c:pt idx="7">
                  <c:v>5900.3839</c:v>
                </c:pt>
                <c:pt idx="8">
                  <c:v>5723.372383</c:v>
                </c:pt>
                <c:pt idx="9">
                  <c:v>5551.67121151</c:v>
                </c:pt>
                <c:pt idx="10">
                  <c:v>5385.1210751647</c:v>
                </c:pt>
                <c:pt idx="11">
                  <c:v>5223.567442909758</c:v>
                </c:pt>
                <c:pt idx="12">
                  <c:v>5066.860419622465</c:v>
                </c:pt>
                <c:pt idx="13">
                  <c:v>4914.85460703379</c:v>
                </c:pt>
                <c:pt idx="14">
                  <c:v>4767.408968822777</c:v>
                </c:pt>
                <c:pt idx="15">
                  <c:v>4624.386699758093</c:v>
                </c:pt>
                <c:pt idx="16">
                  <c:v>4485.65509876535</c:v>
                </c:pt>
                <c:pt idx="17">
                  <c:v>4351.08544580239</c:v>
                </c:pt>
                <c:pt idx="18">
                  <c:v>4220.552882428318</c:v>
                </c:pt>
                <c:pt idx="19">
                  <c:v>4093.936295955469</c:v>
                </c:pt>
                <c:pt idx="20">
                  <c:v>3971.118207076805</c:v>
                </c:pt>
                <c:pt idx="21">
                  <c:v>3851.9846608645</c:v>
                </c:pt>
                <c:pt idx="22">
                  <c:v>3736.425121038565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'SCENARIO 2 Final'!$E$19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'SCENARIO 2 Final'!$A$20:$A$42</c:f>
              <c:numCache>
                <c:formatCode>General</c:formatCode>
                <c:ptCount val="23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  <c:pt idx="18">
                  <c:v>2021.0</c:v>
                </c:pt>
                <c:pt idx="19">
                  <c:v>2022.0</c:v>
                </c:pt>
                <c:pt idx="20">
                  <c:v>2023.0</c:v>
                </c:pt>
                <c:pt idx="21">
                  <c:v>2024.0</c:v>
                </c:pt>
                <c:pt idx="22">
                  <c:v>2025.0</c:v>
                </c:pt>
              </c:numCache>
            </c:numRef>
          </c:xVal>
          <c:yVal>
            <c:numRef>
              <c:f>'SCENARIO 2 Final'!$E$20:$E$42</c:f>
              <c:numCache>
                <c:formatCode>0</c:formatCode>
                <c:ptCount val="23"/>
                <c:pt idx="0">
                  <c:v>42195.0</c:v>
                </c:pt>
                <c:pt idx="1">
                  <c:v>44050.0</c:v>
                </c:pt>
                <c:pt idx="2">
                  <c:v>41767.0</c:v>
                </c:pt>
                <c:pt idx="3">
                  <c:v>40556.0</c:v>
                </c:pt>
                <c:pt idx="4">
                  <c:v>42478.0</c:v>
                </c:pt>
                <c:pt idx="5">
                  <c:v>43404.0</c:v>
                </c:pt>
                <c:pt idx="6">
                  <c:v>40956.87</c:v>
                </c:pt>
                <c:pt idx="7">
                  <c:v>37963.2239</c:v>
                </c:pt>
                <c:pt idx="8">
                  <c:v>34679.303775</c:v>
                </c:pt>
                <c:pt idx="9">
                  <c:v>33539.59466175</c:v>
                </c:pt>
                <c:pt idx="10">
                  <c:v>32433.7568218975</c:v>
                </c:pt>
                <c:pt idx="11">
                  <c:v>23805.16411724057</c:v>
                </c:pt>
                <c:pt idx="12">
                  <c:v>22870.20919372335</c:v>
                </c:pt>
                <c:pt idx="13">
                  <c:v>21963.30291791166</c:v>
                </c:pt>
                <c:pt idx="14">
                  <c:v>21365.8738303743</c:v>
                </c:pt>
                <c:pt idx="15">
                  <c:v>21222.85156130962</c:v>
                </c:pt>
                <c:pt idx="16">
                  <c:v>21084.11996031688</c:v>
                </c:pt>
                <c:pt idx="17">
                  <c:v>18900.55030735392</c:v>
                </c:pt>
                <c:pt idx="18">
                  <c:v>18770.01774397985</c:v>
                </c:pt>
                <c:pt idx="19">
                  <c:v>18643.401157507</c:v>
                </c:pt>
                <c:pt idx="20">
                  <c:v>18520.58306862833</c:v>
                </c:pt>
                <c:pt idx="21">
                  <c:v>18401.44952241603</c:v>
                </c:pt>
                <c:pt idx="22">
                  <c:v>18285.8899825901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'SCENARIO 2 Final'!$F$19</c:f>
              <c:strCache>
                <c:ptCount val="1"/>
                <c:pt idx="0">
                  <c:v>TOTAL-REC</c:v>
                </c:pt>
              </c:strCache>
            </c:strRef>
          </c:tx>
          <c:spPr>
            <a:ln>
              <a:solidFill>
                <a:srgbClr val="00B050"/>
              </a:solidFill>
              <a:prstDash val="dash"/>
            </a:ln>
          </c:spPr>
          <c:marker>
            <c:symbol val="none"/>
          </c:marker>
          <c:xVal>
            <c:numRef>
              <c:f>'SCENARIO 2 Final'!$A$20:$A$42</c:f>
              <c:numCache>
                <c:formatCode>General</c:formatCode>
                <c:ptCount val="23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  <c:pt idx="18">
                  <c:v>2021.0</c:v>
                </c:pt>
                <c:pt idx="19">
                  <c:v>2022.0</c:v>
                </c:pt>
                <c:pt idx="20">
                  <c:v>2023.0</c:v>
                </c:pt>
                <c:pt idx="21">
                  <c:v>2024.0</c:v>
                </c:pt>
                <c:pt idx="22">
                  <c:v>2025.0</c:v>
                </c:pt>
              </c:numCache>
            </c:numRef>
          </c:xVal>
          <c:yVal>
            <c:numRef>
              <c:f>'SCENARIO 2 Final'!$F$20:$F$42</c:f>
              <c:numCache>
                <c:formatCode>0</c:formatCode>
                <c:ptCount val="23"/>
                <c:pt idx="0">
                  <c:v>41589.0</c:v>
                </c:pt>
                <c:pt idx="1">
                  <c:v>43258.0</c:v>
                </c:pt>
                <c:pt idx="2">
                  <c:v>40983.0</c:v>
                </c:pt>
                <c:pt idx="3">
                  <c:v>38447.0</c:v>
                </c:pt>
                <c:pt idx="4">
                  <c:v>40012.0</c:v>
                </c:pt>
                <c:pt idx="5">
                  <c:v>39441.0</c:v>
                </c:pt>
                <c:pt idx="6">
                  <c:v>36691.798</c:v>
                </c:pt>
                <c:pt idx="7">
                  <c:v>33826.10406</c:v>
                </c:pt>
                <c:pt idx="8">
                  <c:v>28985.084141208</c:v>
                </c:pt>
                <c:pt idx="9">
                  <c:v>25068.13293663</c:v>
                </c:pt>
                <c:pt idx="10">
                  <c:v>21422.55087158652</c:v>
                </c:pt>
                <c:pt idx="11">
                  <c:v>10414.22291080269</c:v>
                </c:pt>
                <c:pt idx="12">
                  <c:v>7001.511586052668</c:v>
                </c:pt>
                <c:pt idx="13">
                  <c:v>6165.317404901292</c:v>
                </c:pt>
                <c:pt idx="14">
                  <c:v>5636.479049184451</c:v>
                </c:pt>
                <c:pt idx="15">
                  <c:v>5123.50584413912</c:v>
                </c:pt>
                <c:pt idx="16">
                  <c:v>4625.92183524515</c:v>
                </c:pt>
                <c:pt idx="17">
                  <c:v>2094.265346618002</c:v>
                </c:pt>
                <c:pt idx="18">
                  <c:v>1626.088552649664</c:v>
                </c:pt>
                <c:pt idx="19">
                  <c:v>1171.957062500377</c:v>
                </c:pt>
                <c:pt idx="20">
                  <c:v>731.4495170555656</c:v>
                </c:pt>
                <c:pt idx="21">
                  <c:v>304.1571979741029</c:v>
                </c:pt>
                <c:pt idx="22">
                  <c:v>-110.3163515349179</c:v>
                </c:pt>
              </c:numCache>
            </c:numRef>
          </c:yVal>
          <c:smooth val="1"/>
        </c:ser>
        <c:axId val="783918088"/>
        <c:axId val="783921592"/>
      </c:scatterChart>
      <c:valAx>
        <c:axId val="783918088"/>
        <c:scaling>
          <c:orientation val="minMax"/>
          <c:max val="2025.0"/>
        </c:scaling>
        <c:axPos val="b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921592"/>
        <c:crosses val="autoZero"/>
        <c:crossBetween val="midCat"/>
      </c:valAx>
      <c:valAx>
        <c:axId val="783921592"/>
        <c:scaling>
          <c:orientation val="minMax"/>
          <c:min val="0.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Metric Tons CO2 equivalent</a:t>
                </a:r>
              </a:p>
            </c:rich>
          </c:tx>
          <c:spPr>
            <a:noFill/>
            <a:ln w="25400">
              <a:noFill/>
            </a:ln>
          </c:spPr>
        </c:title>
        <c:numFmt formatCode="#,##0" sourceLinked="0"/>
        <c:majorTickMark val="none"/>
        <c:tickLblPos val="nextTo"/>
        <c:crossAx val="783918088"/>
        <c:crosses val="autoZero"/>
        <c:crossBetween val="midCat"/>
      </c:valAx>
    </c:plotArea>
    <c:legend>
      <c:legendPos val="b"/>
    </c:legend>
    <c:plotVisOnly val="1"/>
    <c:dispBlanksAs val="gap"/>
  </c:chart>
  <c:printSettings>
    <c:headerFooter alignWithMargins="0"/>
    <c:pageMargins b="0.750000000000001" l="0.700000000000001" r="0.700000000000001" t="0.750000000000001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Scenario 2</a:t>
            </a:r>
          </a:p>
        </c:rich>
      </c:tx>
      <c:spPr>
        <a:noFill/>
        <a:ln w="25400">
          <a:noFill/>
        </a:ln>
      </c:spPr>
    </c:title>
    <c:plotArea>
      <c:layout/>
      <c:areaChart>
        <c:grouping val="stacked"/>
        <c:ser>
          <c:idx val="0"/>
          <c:order val="0"/>
          <c:tx>
            <c:strRef>
              <c:f>'SCENARIO 2 Final'!$B$18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c:spPr>
          <c:cat>
            <c:numRef>
              <c:f>'SCENARIO 2 Final'!$A$20:$A$42</c:f>
              <c:numCache>
                <c:formatCode>General</c:formatCode>
                <c:ptCount val="23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  <c:pt idx="18">
                  <c:v>2021.0</c:v>
                </c:pt>
                <c:pt idx="19">
                  <c:v>2022.0</c:v>
                </c:pt>
                <c:pt idx="20">
                  <c:v>2023.0</c:v>
                </c:pt>
                <c:pt idx="21">
                  <c:v>2024.0</c:v>
                </c:pt>
                <c:pt idx="22">
                  <c:v>2025.0</c:v>
                </c:pt>
              </c:numCache>
            </c:numRef>
          </c:cat>
          <c:val>
            <c:numRef>
              <c:f>'SCENARIO 2 Final'!$B$20:$B$42</c:f>
              <c:numCache>
                <c:formatCode>0</c:formatCode>
                <c:ptCount val="23"/>
                <c:pt idx="0">
                  <c:v>20198.0</c:v>
                </c:pt>
                <c:pt idx="1">
                  <c:v>19807.0</c:v>
                </c:pt>
                <c:pt idx="2">
                  <c:v>19603.0</c:v>
                </c:pt>
                <c:pt idx="3">
                  <c:v>19176.0</c:v>
                </c:pt>
                <c:pt idx="4">
                  <c:v>18969.0</c:v>
                </c:pt>
                <c:pt idx="5">
                  <c:v>18872.0</c:v>
                </c:pt>
                <c:pt idx="6">
                  <c:v>18872.0</c:v>
                </c:pt>
                <c:pt idx="7">
                  <c:v>18305.84</c:v>
                </c:pt>
                <c:pt idx="8">
                  <c:v>17466.931392</c:v>
                </c:pt>
                <c:pt idx="9">
                  <c:v>16942.92345024</c:v>
                </c:pt>
                <c:pt idx="10">
                  <c:v>16434.6357467328</c:v>
                </c:pt>
                <c:pt idx="11">
                  <c:v>15941.59667433081</c:v>
                </c:pt>
                <c:pt idx="12">
                  <c:v>15463.3487741009</c:v>
                </c:pt>
                <c:pt idx="13">
                  <c:v>14999.44831087786</c:v>
                </c:pt>
                <c:pt idx="14">
                  <c:v>14549.46486155153</c:v>
                </c:pt>
                <c:pt idx="15">
                  <c:v>14549.46486155153</c:v>
                </c:pt>
                <c:pt idx="16">
                  <c:v>14549.46486155153</c:v>
                </c:pt>
                <c:pt idx="17">
                  <c:v>14549.46486155153</c:v>
                </c:pt>
                <c:pt idx="18">
                  <c:v>14549.46486155153</c:v>
                </c:pt>
                <c:pt idx="19">
                  <c:v>14549.46486155153</c:v>
                </c:pt>
                <c:pt idx="20">
                  <c:v>14549.46486155153</c:v>
                </c:pt>
                <c:pt idx="21">
                  <c:v>14549.46486155153</c:v>
                </c:pt>
                <c:pt idx="22">
                  <c:v>14549.46486155153</c:v>
                </c:pt>
              </c:numCache>
            </c:numRef>
          </c:val>
        </c:ser>
        <c:ser>
          <c:idx val="1"/>
          <c:order val="1"/>
          <c:tx>
            <c:strRef>
              <c:f>'SCENARIO 2 Final'!$C$18</c:f>
              <c:strCache>
                <c:ptCount val="1"/>
                <c:pt idx="0">
                  <c:v>Heating</c:v>
                </c:pt>
              </c:strCache>
            </c:strRef>
          </c:tx>
          <c:spPr>
            <a:solidFill>
              <a:srgbClr val="C00000"/>
            </a:solidFill>
          </c:spPr>
          <c:cat>
            <c:numRef>
              <c:f>'SCENARIO 2 Final'!$A$20:$A$42</c:f>
              <c:numCache>
                <c:formatCode>General</c:formatCode>
                <c:ptCount val="23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  <c:pt idx="18">
                  <c:v>2021.0</c:v>
                </c:pt>
                <c:pt idx="19">
                  <c:v>2022.0</c:v>
                </c:pt>
                <c:pt idx="20">
                  <c:v>2023.0</c:v>
                </c:pt>
                <c:pt idx="21">
                  <c:v>2024.0</c:v>
                </c:pt>
                <c:pt idx="22">
                  <c:v>2025.0</c:v>
                </c:pt>
              </c:numCache>
            </c:numRef>
          </c:cat>
          <c:val>
            <c:numRef>
              <c:f>'SCENARIO 2 Final'!$C$20:$C$37</c:f>
              <c:numCache>
                <c:formatCode>0</c:formatCode>
                <c:ptCount val="18"/>
                <c:pt idx="0">
                  <c:v>15550.0</c:v>
                </c:pt>
                <c:pt idx="1">
                  <c:v>17983.0</c:v>
                </c:pt>
                <c:pt idx="2">
                  <c:v>15930.0</c:v>
                </c:pt>
                <c:pt idx="3">
                  <c:v>15164.0</c:v>
                </c:pt>
                <c:pt idx="4">
                  <c:v>17261.0</c:v>
                </c:pt>
                <c:pt idx="5">
                  <c:v>18261.0</c:v>
                </c:pt>
                <c:pt idx="6">
                  <c:v>16002.0</c:v>
                </c:pt>
                <c:pt idx="7">
                  <c:v>13757.0</c:v>
                </c:pt>
                <c:pt idx="8">
                  <c:v>11489.0</c:v>
                </c:pt>
                <c:pt idx="9">
                  <c:v>11045.0</c:v>
                </c:pt>
                <c:pt idx="10">
                  <c:v>10614.0</c:v>
                </c:pt>
                <c:pt idx="11">
                  <c:v>2640.0</c:v>
                </c:pt>
                <c:pt idx="12">
                  <c:v>2340.0</c:v>
                </c:pt>
                <c:pt idx="13">
                  <c:v>2049.0</c:v>
                </c:pt>
                <c:pt idx="14">
                  <c:v>2049.0</c:v>
                </c:pt>
                <c:pt idx="15">
                  <c:v>2049.0</c:v>
                </c:pt>
                <c:pt idx="16">
                  <c:v>2049.0</c:v>
                </c:pt>
                <c:pt idx="17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'SCENARIO 2 Final'!$D$18</c:f>
              <c:strCache>
                <c:ptCount val="1"/>
                <c:pt idx="0">
                  <c:v>Commuting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</c:spPr>
          <c:cat>
            <c:numRef>
              <c:f>'SCENARIO 2 Final'!$A$20:$A$42</c:f>
              <c:numCache>
                <c:formatCode>General</c:formatCode>
                <c:ptCount val="23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  <c:pt idx="18">
                  <c:v>2021.0</c:v>
                </c:pt>
                <c:pt idx="19">
                  <c:v>2022.0</c:v>
                </c:pt>
                <c:pt idx="20">
                  <c:v>2023.0</c:v>
                </c:pt>
                <c:pt idx="21">
                  <c:v>2024.0</c:v>
                </c:pt>
                <c:pt idx="22">
                  <c:v>2025.0</c:v>
                </c:pt>
              </c:numCache>
            </c:numRef>
          </c:cat>
          <c:val>
            <c:numRef>
              <c:f>'SCENARIO 2 Final'!$D$20:$D$42</c:f>
              <c:numCache>
                <c:formatCode>0</c:formatCode>
                <c:ptCount val="23"/>
                <c:pt idx="0">
                  <c:v>6447.0</c:v>
                </c:pt>
                <c:pt idx="1">
                  <c:v>6260.0</c:v>
                </c:pt>
                <c:pt idx="2">
                  <c:v>6234.0</c:v>
                </c:pt>
                <c:pt idx="3">
                  <c:v>6216.0</c:v>
                </c:pt>
                <c:pt idx="4">
                  <c:v>6248.0</c:v>
                </c:pt>
                <c:pt idx="5">
                  <c:v>6271.0</c:v>
                </c:pt>
                <c:pt idx="6">
                  <c:v>6082.87</c:v>
                </c:pt>
                <c:pt idx="7">
                  <c:v>5900.3839</c:v>
                </c:pt>
                <c:pt idx="8">
                  <c:v>5723.372383</c:v>
                </c:pt>
                <c:pt idx="9">
                  <c:v>5551.67121151</c:v>
                </c:pt>
                <c:pt idx="10">
                  <c:v>5385.1210751647</c:v>
                </c:pt>
                <c:pt idx="11">
                  <c:v>5223.567442909758</c:v>
                </c:pt>
                <c:pt idx="12">
                  <c:v>5066.860419622465</c:v>
                </c:pt>
                <c:pt idx="13">
                  <c:v>4914.85460703379</c:v>
                </c:pt>
                <c:pt idx="14">
                  <c:v>4767.408968822777</c:v>
                </c:pt>
                <c:pt idx="15">
                  <c:v>4624.386699758093</c:v>
                </c:pt>
                <c:pt idx="16">
                  <c:v>4485.65509876535</c:v>
                </c:pt>
                <c:pt idx="17">
                  <c:v>4351.08544580239</c:v>
                </c:pt>
                <c:pt idx="18">
                  <c:v>4220.552882428318</c:v>
                </c:pt>
                <c:pt idx="19">
                  <c:v>4093.936295955469</c:v>
                </c:pt>
                <c:pt idx="20">
                  <c:v>3971.118207076805</c:v>
                </c:pt>
                <c:pt idx="21">
                  <c:v>3851.9846608645</c:v>
                </c:pt>
                <c:pt idx="22">
                  <c:v>3736.425121038565</c:v>
                </c:pt>
              </c:numCache>
            </c:numRef>
          </c:val>
        </c:ser>
        <c:axId val="783972552"/>
        <c:axId val="783962536"/>
      </c:areaChart>
      <c:catAx>
        <c:axId val="783972552"/>
        <c:scaling>
          <c:orientation val="minMax"/>
        </c:scaling>
        <c:axPos val="b"/>
        <c:numFmt formatCode="General" sourceLinked="1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3962536"/>
        <c:crosses val="autoZero"/>
        <c:auto val="1"/>
        <c:lblAlgn val="ctr"/>
        <c:lblOffset val="100"/>
        <c:tickLblSkip val="3"/>
      </c:catAx>
      <c:valAx>
        <c:axId val="783962536"/>
        <c:scaling>
          <c:orientation val="minMax"/>
          <c:min val="0.0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 Tons CO2 equivalent</a:t>
                </a:r>
              </a:p>
            </c:rich>
          </c:tx>
          <c:spPr>
            <a:noFill/>
            <a:ln w="25400">
              <a:noFill/>
            </a:ln>
          </c:spPr>
        </c:title>
        <c:numFmt formatCode="#,##0" sourceLinked="0"/>
        <c:majorTickMark val="none"/>
        <c:tickLblPos val="nextTo"/>
        <c:crossAx val="783972552"/>
        <c:crosses val="autoZero"/>
        <c:crossBetween val="midCat"/>
      </c:valAx>
    </c:plotArea>
    <c:legend>
      <c:legendPos val="r"/>
    </c:legend>
    <c:plotVisOnly val="1"/>
    <c:dispBlanksAs val="zero"/>
  </c:chart>
  <c:printSettings>
    <c:headerFooter alignWithMargins="0"/>
    <c:pageMargins b="0.750000000000001" l="0.700000000000001" r="0.700000000000001" t="0.750000000000001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Scenario 2</a:t>
            </a:r>
          </a:p>
        </c:rich>
      </c:tx>
      <c:spPr>
        <a:noFill/>
        <a:ln w="25400">
          <a:noFill/>
        </a:ln>
      </c:spPr>
    </c:title>
    <c:plotArea>
      <c:layout/>
      <c:areaChart>
        <c:grouping val="stacked"/>
        <c:ser>
          <c:idx val="3"/>
          <c:order val="0"/>
          <c:tx>
            <c:v>Electricity-RECs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cat>
            <c:numRef>
              <c:f>'SCENARIO 2 Final'!$A$20:$A$42</c:f>
              <c:numCache>
                <c:formatCode>General</c:formatCode>
                <c:ptCount val="23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  <c:pt idx="18">
                  <c:v>2021.0</c:v>
                </c:pt>
                <c:pt idx="19">
                  <c:v>2022.0</c:v>
                </c:pt>
                <c:pt idx="20">
                  <c:v>2023.0</c:v>
                </c:pt>
                <c:pt idx="21">
                  <c:v>2024.0</c:v>
                </c:pt>
                <c:pt idx="22">
                  <c:v>2025.0</c:v>
                </c:pt>
              </c:numCache>
            </c:numRef>
          </c:cat>
          <c:val>
            <c:numRef>
              <c:f>'SCENARIO 2 Final'!$G$20:$G$42</c:f>
              <c:numCache>
                <c:formatCode>0</c:formatCode>
                <c:ptCount val="23"/>
                <c:pt idx="0">
                  <c:v>19592.0</c:v>
                </c:pt>
                <c:pt idx="1">
                  <c:v>19015.0</c:v>
                </c:pt>
                <c:pt idx="2">
                  <c:v>18819.0</c:v>
                </c:pt>
                <c:pt idx="3">
                  <c:v>17067.0</c:v>
                </c:pt>
                <c:pt idx="4">
                  <c:v>16503.0</c:v>
                </c:pt>
                <c:pt idx="5">
                  <c:v>14909.0</c:v>
                </c:pt>
                <c:pt idx="6">
                  <c:v>14606.928</c:v>
                </c:pt>
                <c:pt idx="7">
                  <c:v>14168.72016</c:v>
                </c:pt>
                <c:pt idx="8">
                  <c:v>11772.711758208</c:v>
                </c:pt>
                <c:pt idx="9">
                  <c:v>8471.46172512</c:v>
                </c:pt>
                <c:pt idx="10">
                  <c:v>5423.429796421822</c:v>
                </c:pt>
                <c:pt idx="11">
                  <c:v>2550.655467892931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'SCENARIO 2 Final'!$C$18</c:f>
              <c:strCache>
                <c:ptCount val="1"/>
                <c:pt idx="0">
                  <c:v>Heating</c:v>
                </c:pt>
              </c:strCache>
            </c:strRef>
          </c:tx>
          <c:spPr>
            <a:solidFill>
              <a:srgbClr val="C00000"/>
            </a:solidFill>
          </c:spPr>
          <c:cat>
            <c:numRef>
              <c:f>'SCENARIO 2 Final'!$A$20:$A$42</c:f>
              <c:numCache>
                <c:formatCode>General</c:formatCode>
                <c:ptCount val="23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  <c:pt idx="18">
                  <c:v>2021.0</c:v>
                </c:pt>
                <c:pt idx="19">
                  <c:v>2022.0</c:v>
                </c:pt>
                <c:pt idx="20">
                  <c:v>2023.0</c:v>
                </c:pt>
                <c:pt idx="21">
                  <c:v>2024.0</c:v>
                </c:pt>
                <c:pt idx="22">
                  <c:v>2025.0</c:v>
                </c:pt>
              </c:numCache>
            </c:numRef>
          </c:cat>
          <c:val>
            <c:numRef>
              <c:f>'SCENARIO 2 Final'!$C$20:$C$37</c:f>
              <c:numCache>
                <c:formatCode>0</c:formatCode>
                <c:ptCount val="18"/>
                <c:pt idx="0">
                  <c:v>15550.0</c:v>
                </c:pt>
                <c:pt idx="1">
                  <c:v>17983.0</c:v>
                </c:pt>
                <c:pt idx="2">
                  <c:v>15930.0</c:v>
                </c:pt>
                <c:pt idx="3">
                  <c:v>15164.0</c:v>
                </c:pt>
                <c:pt idx="4">
                  <c:v>17261.0</c:v>
                </c:pt>
                <c:pt idx="5">
                  <c:v>18261.0</c:v>
                </c:pt>
                <c:pt idx="6">
                  <c:v>16002.0</c:v>
                </c:pt>
                <c:pt idx="7">
                  <c:v>13757.0</c:v>
                </c:pt>
                <c:pt idx="8">
                  <c:v>11489.0</c:v>
                </c:pt>
                <c:pt idx="9">
                  <c:v>11045.0</c:v>
                </c:pt>
                <c:pt idx="10">
                  <c:v>10614.0</c:v>
                </c:pt>
                <c:pt idx="11">
                  <c:v>2640.0</c:v>
                </c:pt>
                <c:pt idx="12">
                  <c:v>2340.0</c:v>
                </c:pt>
                <c:pt idx="13">
                  <c:v>2049.0</c:v>
                </c:pt>
                <c:pt idx="14">
                  <c:v>2049.0</c:v>
                </c:pt>
                <c:pt idx="15">
                  <c:v>2049.0</c:v>
                </c:pt>
                <c:pt idx="16">
                  <c:v>2049.0</c:v>
                </c:pt>
                <c:pt idx="17">
                  <c:v>0.0</c:v>
                </c:pt>
              </c:numCache>
            </c:numRef>
          </c:val>
        </c:ser>
        <c:ser>
          <c:idx val="4"/>
          <c:order val="2"/>
          <c:tx>
            <c:v>Commuting-Offset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cat>
            <c:numRef>
              <c:f>'SCENARIO 2 Final'!$A$20:$A$42</c:f>
              <c:numCache>
                <c:formatCode>General</c:formatCode>
                <c:ptCount val="23"/>
                <c:pt idx="0">
                  <c:v>2003.0</c:v>
                </c:pt>
                <c:pt idx="1">
                  <c:v>2004.0</c:v>
                </c:pt>
                <c:pt idx="2">
                  <c:v>2005.0</c:v>
                </c:pt>
                <c:pt idx="3">
                  <c:v>2006.0</c:v>
                </c:pt>
                <c:pt idx="4">
                  <c:v>2007.0</c:v>
                </c:pt>
                <c:pt idx="5">
                  <c:v>2008.0</c:v>
                </c:pt>
                <c:pt idx="6">
                  <c:v>2009.0</c:v>
                </c:pt>
                <c:pt idx="7">
                  <c:v>2010.0</c:v>
                </c:pt>
                <c:pt idx="8">
                  <c:v>2011.0</c:v>
                </c:pt>
                <c:pt idx="9">
                  <c:v>2012.0</c:v>
                </c:pt>
                <c:pt idx="10">
                  <c:v>2013.0</c:v>
                </c:pt>
                <c:pt idx="11">
                  <c:v>2014.0</c:v>
                </c:pt>
                <c:pt idx="12">
                  <c:v>2015.0</c:v>
                </c:pt>
                <c:pt idx="13">
                  <c:v>2016.0</c:v>
                </c:pt>
                <c:pt idx="14">
                  <c:v>2017.0</c:v>
                </c:pt>
                <c:pt idx="15">
                  <c:v>2018.0</c:v>
                </c:pt>
                <c:pt idx="16">
                  <c:v>2019.0</c:v>
                </c:pt>
                <c:pt idx="17">
                  <c:v>2020.0</c:v>
                </c:pt>
                <c:pt idx="18">
                  <c:v>2021.0</c:v>
                </c:pt>
                <c:pt idx="19">
                  <c:v>2022.0</c:v>
                </c:pt>
                <c:pt idx="20">
                  <c:v>2023.0</c:v>
                </c:pt>
                <c:pt idx="21">
                  <c:v>2024.0</c:v>
                </c:pt>
                <c:pt idx="22">
                  <c:v>2025.0</c:v>
                </c:pt>
              </c:numCache>
            </c:numRef>
          </c:cat>
          <c:val>
            <c:numRef>
              <c:f>'SCENARIO 2 Final'!$H$20:$H$41</c:f>
              <c:numCache>
                <c:formatCode>0</c:formatCode>
                <c:ptCount val="22"/>
                <c:pt idx="0">
                  <c:v>6447.0</c:v>
                </c:pt>
                <c:pt idx="1">
                  <c:v>6260.0</c:v>
                </c:pt>
                <c:pt idx="2">
                  <c:v>6234.0</c:v>
                </c:pt>
                <c:pt idx="3">
                  <c:v>6216.0</c:v>
                </c:pt>
                <c:pt idx="4">
                  <c:v>6248.0</c:v>
                </c:pt>
                <c:pt idx="5">
                  <c:v>6271.0</c:v>
                </c:pt>
                <c:pt idx="6">
                  <c:v>6082.87</c:v>
                </c:pt>
                <c:pt idx="7">
                  <c:v>5900.3839</c:v>
                </c:pt>
                <c:pt idx="8">
                  <c:v>5723.372383</c:v>
                </c:pt>
                <c:pt idx="9">
                  <c:v>5551.67121151</c:v>
                </c:pt>
                <c:pt idx="10">
                  <c:v>5385.1210751647</c:v>
                </c:pt>
                <c:pt idx="11">
                  <c:v>5223.567442909758</c:v>
                </c:pt>
                <c:pt idx="12">
                  <c:v>4661.511586052667</c:v>
                </c:pt>
                <c:pt idx="13">
                  <c:v>4116.31740490129</c:v>
                </c:pt>
                <c:pt idx="14">
                  <c:v>3587.479049184454</c:v>
                </c:pt>
                <c:pt idx="15">
                  <c:v>3074.505844139123</c:v>
                </c:pt>
                <c:pt idx="16">
                  <c:v>2576.921835245153</c:v>
                </c:pt>
                <c:pt idx="17">
                  <c:v>2094.265346618001</c:v>
                </c:pt>
                <c:pt idx="18">
                  <c:v>1626.088552649663</c:v>
                </c:pt>
                <c:pt idx="19">
                  <c:v>1171.957062500376</c:v>
                </c:pt>
                <c:pt idx="20">
                  <c:v>731.4495170555674</c:v>
                </c:pt>
                <c:pt idx="21">
                  <c:v>304.1571979741029</c:v>
                </c:pt>
              </c:numCache>
            </c:numRef>
          </c:val>
        </c:ser>
        <c:axId val="784010152"/>
        <c:axId val="783992344"/>
      </c:areaChart>
      <c:catAx>
        <c:axId val="784010152"/>
        <c:scaling>
          <c:orientation val="minMax"/>
        </c:scaling>
        <c:axPos val="b"/>
        <c:numFmt formatCode="General" sourceLinked="1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3992344"/>
        <c:crosses val="autoZero"/>
        <c:auto val="1"/>
        <c:lblAlgn val="ctr"/>
        <c:lblOffset val="100"/>
        <c:tickLblSkip val="3"/>
      </c:catAx>
      <c:valAx>
        <c:axId val="783992344"/>
        <c:scaling>
          <c:orientation val="minMax"/>
          <c:min val="0.0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 Tons CO2 equivalent</a:t>
                </a:r>
              </a:p>
            </c:rich>
          </c:tx>
          <c:spPr>
            <a:noFill/>
            <a:ln w="25400">
              <a:noFill/>
            </a:ln>
          </c:spPr>
        </c:title>
        <c:numFmt formatCode="#,##0" sourceLinked="0"/>
        <c:majorTickMark val="none"/>
        <c:tickLblPos val="nextTo"/>
        <c:crossAx val="784010152"/>
        <c:crosses val="autoZero"/>
        <c:crossBetween val="midCat"/>
      </c:valAx>
    </c:plotArea>
    <c:legend>
      <c:legendPos val="r"/>
      <c:layout>
        <c:manualLayout>
          <c:xMode val="edge"/>
          <c:yMode val="edge"/>
          <c:wMode val="edge"/>
          <c:hMode val="edge"/>
          <c:x val="0.725"/>
          <c:y val="0.420138888888889"/>
          <c:w val="0.98125"/>
          <c:h val="0.670138888888889"/>
        </c:manualLayout>
      </c:layout>
    </c:legend>
    <c:plotVisOnly val="1"/>
    <c:dispBlanksAs val="zero"/>
  </c:chart>
  <c:printSettings>
    <c:headerFooter alignWithMargins="0"/>
    <c:pageMargins b="0.750000000000001" l="0.700000000000001" r="0.700000000000001" t="0.750000000000001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13</xdr:row>
      <xdr:rowOff>180975</xdr:rowOff>
    </xdr:from>
    <xdr:to>
      <xdr:col>18</xdr:col>
      <xdr:colOff>285750</xdr:colOff>
      <xdr:row>28</xdr:row>
      <xdr:rowOff>66675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30</xdr:row>
      <xdr:rowOff>0</xdr:rowOff>
    </xdr:from>
    <xdr:to>
      <xdr:col>18</xdr:col>
      <xdr:colOff>333375</xdr:colOff>
      <xdr:row>44</xdr:row>
      <xdr:rowOff>76200</xdr:rowOff>
    </xdr:to>
    <xdr:graphicFrame macro="">
      <xdr:nvGraphicFramePr>
        <xdr:cNvPr id="20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600075</xdr:colOff>
      <xdr:row>46</xdr:row>
      <xdr:rowOff>57150</xdr:rowOff>
    </xdr:from>
    <xdr:to>
      <xdr:col>18</xdr:col>
      <xdr:colOff>295275</xdr:colOff>
      <xdr:row>60</xdr:row>
      <xdr:rowOff>133350</xdr:rowOff>
    </xdr:to>
    <xdr:graphicFrame macro="">
      <xdr:nvGraphicFramePr>
        <xdr:cNvPr id="2051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18</xdr:col>
      <xdr:colOff>304800</xdr:colOff>
      <xdr:row>14</xdr:row>
      <xdr:rowOff>76200</xdr:rowOff>
    </xdr:to>
    <xdr:graphicFrame macro="">
      <xdr:nvGraphicFramePr>
        <xdr:cNvPr id="205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0.42999</cdr:x>
      <cdr:y>0.22148</cdr:y>
    </cdr:from>
    <cdr:to>
      <cdr:x>0.42999</cdr:x>
      <cdr:y>0.6506</cdr:y>
    </cdr:to>
    <cdr:sp macro="" textlink="">
      <cdr:nvSpPr>
        <cdr:cNvPr id="12289" name="Straight Connector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rot="5400000">
          <a:off x="1382545" y="1203480"/>
          <a:ext cx="1181248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 algn="ctr">
          <a:solidFill>
            <a:srgbClr val="000000"/>
          </a:solidFill>
          <a:prstDash val="dash"/>
          <a:round/>
          <a:headEnd/>
          <a:tailEnd/>
        </a:ln>
        <a:effectLst xmlns:a="http://schemas.openxmlformats.org/drawingml/2006/main">
          <a:outerShdw dist="20000" dir="5400000" rotWithShape="0">
            <a:srgbClr val="000000">
              <a:alpha val="37999"/>
            </a:srgbClr>
          </a:outerShdw>
        </a:effec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0.39431</cdr:x>
      <cdr:y>0.18953</cdr:y>
    </cdr:from>
    <cdr:to>
      <cdr:x>0.39457</cdr:x>
      <cdr:y>0.81023</cdr:y>
    </cdr:to>
    <cdr:sp macro="" textlink="">
      <cdr:nvSpPr>
        <cdr:cNvPr id="3" name="Straight Connector 2"/>
        <cdr:cNvSpPr/>
      </cdr:nvSpPr>
      <cdr:spPr>
        <a:xfrm xmlns:a="http://schemas.openxmlformats.org/drawingml/2006/main" rot="16200000" flipV="1">
          <a:off x="876302" y="1362073"/>
          <a:ext cx="1695448" cy="19051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0.33672</cdr:x>
      <cdr:y>0.22486</cdr:y>
    </cdr:from>
    <cdr:to>
      <cdr:x>0.34749</cdr:x>
      <cdr:y>0.81665</cdr:y>
    </cdr:to>
    <cdr:sp macro="" textlink="">
      <cdr:nvSpPr>
        <cdr:cNvPr id="13313" name="Straight Connector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rot="16200000" flipV="1">
          <a:off x="756010" y="1411998"/>
          <a:ext cx="1629032" cy="4934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 algn="ctr">
          <a:solidFill>
            <a:srgbClr val="000000"/>
          </a:solidFill>
          <a:prstDash val="dash"/>
          <a:round/>
          <a:headEnd/>
          <a:tailEnd/>
        </a:ln>
        <a:effectLst xmlns:a="http://schemas.openxmlformats.org/drawingml/2006/main">
          <a:outerShdw dist="20000" dir="5400000" rotWithShape="0">
            <a:srgbClr val="000000">
              <a:alpha val="37999"/>
            </a:srgbClr>
          </a:outerShdw>
        </a:effec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523875</xdr:colOff>
      <xdr:row>14</xdr:row>
      <xdr:rowOff>180975</xdr:rowOff>
    </xdr:from>
    <xdr:to>
      <xdr:col>18</xdr:col>
      <xdr:colOff>219075</xdr:colOff>
      <xdr:row>29</xdr:row>
      <xdr:rowOff>66675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18</xdr:col>
      <xdr:colOff>304800</xdr:colOff>
      <xdr:row>45</xdr:row>
      <xdr:rowOff>76200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47</xdr:row>
      <xdr:rowOff>0</xdr:rowOff>
    </xdr:from>
    <xdr:to>
      <xdr:col>18</xdr:col>
      <xdr:colOff>304800</xdr:colOff>
      <xdr:row>61</xdr:row>
      <xdr:rowOff>76200</xdr:rowOff>
    </xdr:to>
    <xdr:graphicFrame macro="">
      <xdr:nvGraphicFramePr>
        <xdr:cNvPr id="102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0.44583</cdr:x>
      <cdr:y>0.19792</cdr:y>
    </cdr:from>
    <cdr:to>
      <cdr:x>0.44792</cdr:x>
      <cdr:y>0.65972</cdr:y>
    </cdr:to>
    <cdr:sp macro="" textlink="">
      <cdr:nvSpPr>
        <cdr:cNvPr id="3" name="Straight Connector 2"/>
        <cdr:cNvSpPr/>
      </cdr:nvSpPr>
      <cdr:spPr>
        <a:xfrm xmlns:a="http://schemas.openxmlformats.org/drawingml/2006/main" rot="16200000" flipV="1">
          <a:off x="1409701" y="1171574"/>
          <a:ext cx="1266826" cy="9525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0.32864</cdr:x>
      <cdr:y>0.22148</cdr:y>
    </cdr:from>
    <cdr:to>
      <cdr:x>0.32864</cdr:x>
      <cdr:y>0.78552</cdr:y>
    </cdr:to>
    <cdr:sp macro="" textlink="">
      <cdr:nvSpPr>
        <cdr:cNvPr id="17409" name="Straight Connector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rot="5400000" flipH="1" flipV="1">
          <a:off x="732524" y="1389171"/>
          <a:ext cx="155263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 algn="ctr">
          <a:solidFill>
            <a:srgbClr val="000000"/>
          </a:solidFill>
          <a:prstDash val="dash"/>
          <a:round/>
          <a:headEnd/>
          <a:tailEnd/>
        </a:ln>
        <a:effectLst xmlns:a="http://schemas.openxmlformats.org/drawingml/2006/main">
          <a:outerShdw dist="20000" dir="5400000" rotWithShape="0">
            <a:srgbClr val="000000">
              <a:alpha val="37999"/>
            </a:srgbClr>
          </a:outerShdw>
        </a:effec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0.31419</cdr:x>
      <cdr:y>0.23186</cdr:y>
    </cdr:from>
    <cdr:to>
      <cdr:x>0.31419</cdr:x>
      <cdr:y>0.80627</cdr:y>
    </cdr:to>
    <cdr:sp macro="" textlink="">
      <cdr:nvSpPr>
        <cdr:cNvPr id="18433" name="Straight Connector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rot="5400000" flipH="1">
          <a:off x="652068" y="1432023"/>
          <a:ext cx="158119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 algn="ctr">
          <a:solidFill>
            <a:srgbClr val="000000"/>
          </a:solidFill>
          <a:prstDash val="dash"/>
          <a:round/>
          <a:headEnd/>
          <a:tailEnd/>
        </a:ln>
        <a:effectLst xmlns:a="http://schemas.openxmlformats.org/drawingml/2006/main">
          <a:outerShdw dist="20000" dir="5400000" rotWithShape="0">
            <a:srgbClr val="000000">
              <a:alpha val="37999"/>
            </a:srgbClr>
          </a:outerShdw>
        </a:effec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36"/>
  <sheetViews>
    <sheetView workbookViewId="0">
      <selection activeCell="A2" sqref="A2"/>
    </sheetView>
  </sheetViews>
  <sheetFormatPr baseColWidth="10" defaultColWidth="8.83203125" defaultRowHeight="14"/>
  <cols>
    <col min="7" max="7" width="11.5" bestFit="1" customWidth="1"/>
    <col min="8" max="8" width="16.1640625" bestFit="1" customWidth="1"/>
    <col min="9" max="9" width="14.83203125" bestFit="1" customWidth="1"/>
  </cols>
  <sheetData>
    <row r="1" spans="1:10">
      <c r="A1" s="7" t="s">
        <v>19</v>
      </c>
    </row>
    <row r="4" spans="1:10">
      <c r="A4" t="s">
        <v>27</v>
      </c>
    </row>
    <row r="5" spans="1:10">
      <c r="A5" s="1" t="s">
        <v>33</v>
      </c>
    </row>
    <row r="6" spans="1:10">
      <c r="A6" s="1" t="s">
        <v>3</v>
      </c>
    </row>
    <row r="7" spans="1:10">
      <c r="A7" s="1" t="s">
        <v>28</v>
      </c>
    </row>
    <row r="8" spans="1:10">
      <c r="A8" s="1" t="s">
        <v>51</v>
      </c>
    </row>
    <row r="9" spans="1:10">
      <c r="A9" s="1" t="s">
        <v>29</v>
      </c>
    </row>
    <row r="10" spans="1:10">
      <c r="A10" s="1" t="s">
        <v>1</v>
      </c>
    </row>
    <row r="11" spans="1:10">
      <c r="A11" s="1" t="s">
        <v>2</v>
      </c>
    </row>
    <row r="12" spans="1:10">
      <c r="A12" s="1" t="s">
        <v>18</v>
      </c>
    </row>
    <row r="13" spans="1:10">
      <c r="A13" s="1" t="s">
        <v>57</v>
      </c>
    </row>
    <row r="16" spans="1:10">
      <c r="B16" t="s">
        <v>24</v>
      </c>
      <c r="C16" t="s">
        <v>24</v>
      </c>
      <c r="D16" t="s">
        <v>24</v>
      </c>
      <c r="I16" t="s">
        <v>24</v>
      </c>
      <c r="J16" t="s">
        <v>24</v>
      </c>
    </row>
    <row r="17" spans="1:10">
      <c r="A17" t="s">
        <v>20</v>
      </c>
      <c r="B17" t="s">
        <v>30</v>
      </c>
      <c r="C17" t="s">
        <v>22</v>
      </c>
      <c r="D17" t="s">
        <v>23</v>
      </c>
      <c r="I17" t="s">
        <v>31</v>
      </c>
      <c r="J17" t="s">
        <v>32</v>
      </c>
    </row>
    <row r="18" spans="1:10">
      <c r="E18" t="s">
        <v>25</v>
      </c>
      <c r="F18" t="s">
        <v>26</v>
      </c>
      <c r="G18" t="s">
        <v>54</v>
      </c>
      <c r="H18" t="s">
        <v>55</v>
      </c>
    </row>
    <row r="19" spans="1:10">
      <c r="A19">
        <v>2003</v>
      </c>
      <c r="B19" s="2">
        <v>20198</v>
      </c>
      <c r="C19" s="2">
        <v>15550</v>
      </c>
      <c r="D19" s="2">
        <v>6447</v>
      </c>
      <c r="E19" s="2">
        <f t="shared" ref="E19:E36" si="0">B19+C19+D19</f>
        <v>42195</v>
      </c>
      <c r="F19" s="2">
        <f t="shared" ref="F19:F35" si="1">E19+I19+J19</f>
        <v>41589</v>
      </c>
      <c r="G19" s="2">
        <f t="shared" ref="G19:G36" si="2">B19+I19</f>
        <v>19592</v>
      </c>
      <c r="H19" s="2">
        <f t="shared" ref="H19:H36" si="3">D19+J19</f>
        <v>6447</v>
      </c>
      <c r="I19" s="2">
        <v>-606</v>
      </c>
      <c r="J19" s="2"/>
    </row>
    <row r="20" spans="1:10">
      <c r="A20">
        <v>2004</v>
      </c>
      <c r="B20" s="2">
        <v>19807</v>
      </c>
      <c r="C20" s="2">
        <v>17983</v>
      </c>
      <c r="D20" s="2">
        <v>6260</v>
      </c>
      <c r="E20" s="2">
        <f t="shared" si="0"/>
        <v>44050</v>
      </c>
      <c r="F20" s="2">
        <f t="shared" si="1"/>
        <v>43258</v>
      </c>
      <c r="G20" s="2">
        <f t="shared" si="2"/>
        <v>19015</v>
      </c>
      <c r="H20" s="2">
        <f t="shared" si="3"/>
        <v>6260</v>
      </c>
      <c r="I20" s="2">
        <v>-792</v>
      </c>
      <c r="J20" s="2"/>
    </row>
    <row r="21" spans="1:10">
      <c r="A21">
        <v>2005</v>
      </c>
      <c r="B21" s="2">
        <v>19603</v>
      </c>
      <c r="C21" s="2">
        <v>15930</v>
      </c>
      <c r="D21" s="2">
        <v>6234</v>
      </c>
      <c r="E21" s="2">
        <f t="shared" si="0"/>
        <v>41767</v>
      </c>
      <c r="F21" s="2">
        <f t="shared" si="1"/>
        <v>40983</v>
      </c>
      <c r="G21" s="2">
        <f t="shared" si="2"/>
        <v>18819</v>
      </c>
      <c r="H21" s="2">
        <f t="shared" si="3"/>
        <v>6234</v>
      </c>
      <c r="I21" s="2">
        <v>-784</v>
      </c>
      <c r="J21" s="2"/>
    </row>
    <row r="22" spans="1:10">
      <c r="A22">
        <v>2006</v>
      </c>
      <c r="B22" s="2">
        <v>19176</v>
      </c>
      <c r="C22" s="2">
        <v>15164</v>
      </c>
      <c r="D22" s="2">
        <v>6216</v>
      </c>
      <c r="E22" s="2">
        <f t="shared" si="0"/>
        <v>40556</v>
      </c>
      <c r="F22" s="2">
        <f t="shared" si="1"/>
        <v>38447</v>
      </c>
      <c r="G22" s="2">
        <f t="shared" si="2"/>
        <v>17067</v>
      </c>
      <c r="H22" s="2">
        <f t="shared" si="3"/>
        <v>6216</v>
      </c>
      <c r="I22" s="2">
        <v>-2109</v>
      </c>
      <c r="J22" s="2"/>
    </row>
    <row r="23" spans="1:10">
      <c r="A23">
        <v>2007</v>
      </c>
      <c r="B23" s="2">
        <v>18969</v>
      </c>
      <c r="C23" s="2">
        <v>17261</v>
      </c>
      <c r="D23" s="2">
        <v>6248</v>
      </c>
      <c r="E23" s="2">
        <f t="shared" si="0"/>
        <v>42478</v>
      </c>
      <c r="F23" s="2">
        <f t="shared" si="1"/>
        <v>40012</v>
      </c>
      <c r="G23" s="2">
        <f t="shared" si="2"/>
        <v>16503</v>
      </c>
      <c r="H23" s="2">
        <f t="shared" si="3"/>
        <v>6248</v>
      </c>
      <c r="I23" s="2">
        <v>-2466</v>
      </c>
      <c r="J23" s="2"/>
    </row>
    <row r="24" spans="1:10">
      <c r="A24">
        <v>2008</v>
      </c>
      <c r="B24" s="2">
        <v>18872</v>
      </c>
      <c r="C24" s="2">
        <v>18261</v>
      </c>
      <c r="D24" s="2">
        <v>6271</v>
      </c>
      <c r="E24" s="2">
        <f t="shared" si="0"/>
        <v>43404</v>
      </c>
      <c r="F24" s="2">
        <f t="shared" si="1"/>
        <v>39441</v>
      </c>
      <c r="G24" s="2">
        <f t="shared" si="2"/>
        <v>14909</v>
      </c>
      <c r="H24" s="2">
        <f t="shared" si="3"/>
        <v>6271</v>
      </c>
      <c r="I24" s="2">
        <v>-3963</v>
      </c>
      <c r="J24" s="2"/>
    </row>
    <row r="25" spans="1:10">
      <c r="A25">
        <v>2009</v>
      </c>
      <c r="B25" s="2">
        <f>0.95*B24</f>
        <v>17928.399999999998</v>
      </c>
      <c r="C25" s="2">
        <v>18261</v>
      </c>
      <c r="D25" s="2">
        <f>0.95*D24</f>
        <v>5957.45</v>
      </c>
      <c r="E25" s="2">
        <f t="shared" si="0"/>
        <v>42146.849999999991</v>
      </c>
      <c r="F25" s="2">
        <f t="shared" si="1"/>
        <v>38095.031599999995</v>
      </c>
      <c r="G25" s="2">
        <f t="shared" si="2"/>
        <v>13876.581599999998</v>
      </c>
      <c r="H25" s="2">
        <f t="shared" si="3"/>
        <v>5957.45</v>
      </c>
      <c r="I25" s="2">
        <f>-(0.24-0.014)*B25</f>
        <v>-4051.8183999999992</v>
      </c>
      <c r="J25" s="2"/>
    </row>
    <row r="26" spans="1:10">
      <c r="A26">
        <v>2010</v>
      </c>
      <c r="B26" s="2">
        <f>0.95*B25</f>
        <v>17031.979999999996</v>
      </c>
      <c r="C26" s="2">
        <v>14739</v>
      </c>
      <c r="D26" s="2">
        <f t="shared" ref="D26:D36" si="4">0.95*D25</f>
        <v>5659.5774999999994</v>
      </c>
      <c r="E26" s="2">
        <f t="shared" si="0"/>
        <v>37430.557499999995</v>
      </c>
      <c r="F26" s="2">
        <f t="shared" si="1"/>
        <v>33581.330019999994</v>
      </c>
      <c r="G26" s="2">
        <f t="shared" si="2"/>
        <v>13182.752519999998</v>
      </c>
      <c r="H26" s="2">
        <f t="shared" si="3"/>
        <v>5659.5774999999994</v>
      </c>
      <c r="I26" s="2">
        <f>-(0.24-0.014)*B26</f>
        <v>-3849.2274799999986</v>
      </c>
      <c r="J26" s="2"/>
    </row>
    <row r="27" spans="1:10">
      <c r="A27">
        <v>2011</v>
      </c>
      <c r="B27" s="2">
        <f>1.04*0.95*B26-1000</f>
        <v>15827.596239999995</v>
      </c>
      <c r="C27" s="2">
        <v>10761</v>
      </c>
      <c r="D27" s="2">
        <f t="shared" si="4"/>
        <v>5376.5986249999996</v>
      </c>
      <c r="E27" s="2">
        <f t="shared" si="0"/>
        <v>31965.194864999994</v>
      </c>
      <c r="F27" s="2">
        <f t="shared" si="1"/>
        <v>26805.398490759995</v>
      </c>
      <c r="G27" s="2">
        <f t="shared" si="2"/>
        <v>10667.799865759996</v>
      </c>
      <c r="H27" s="2">
        <f t="shared" si="3"/>
        <v>5376.5986249999996</v>
      </c>
      <c r="I27" s="2">
        <f>-(0.34-0.014)*B27</f>
        <v>-5159.7963742399988</v>
      </c>
      <c r="J27" s="2"/>
    </row>
    <row r="28" spans="1:10">
      <c r="A28">
        <v>2012</v>
      </c>
      <c r="B28" s="2">
        <f>0.95*B27</f>
        <v>15036.216427999994</v>
      </c>
      <c r="C28" s="2">
        <v>0</v>
      </c>
      <c r="D28" s="2">
        <f t="shared" si="4"/>
        <v>5107.7686937499993</v>
      </c>
      <c r="E28" s="2">
        <f t="shared" si="0"/>
        <v>20143.985121749993</v>
      </c>
      <c r="F28" s="2">
        <f t="shared" si="1"/>
        <v>5107.7686937499984</v>
      </c>
      <c r="G28" s="2">
        <f t="shared" si="2"/>
        <v>0</v>
      </c>
      <c r="H28" s="2">
        <f t="shared" si="3"/>
        <v>5107.7686937499993</v>
      </c>
      <c r="I28" s="2">
        <f t="shared" ref="I28:I36" si="5">-B28</f>
        <v>-15036.216427999994</v>
      </c>
      <c r="J28" s="2"/>
    </row>
    <row r="29" spans="1:10">
      <c r="A29">
        <v>2013</v>
      </c>
      <c r="B29" s="2">
        <f t="shared" ref="B29:B36" si="6">B$28</f>
        <v>15036.216427999994</v>
      </c>
      <c r="C29" s="2"/>
      <c r="D29" s="2">
        <f t="shared" si="4"/>
        <v>4852.3802590624991</v>
      </c>
      <c r="E29" s="2">
        <f t="shared" si="0"/>
        <v>19888.596687062494</v>
      </c>
      <c r="F29" s="2">
        <f t="shared" si="1"/>
        <v>4318.6184305656252</v>
      </c>
      <c r="G29" s="2">
        <f t="shared" si="2"/>
        <v>0</v>
      </c>
      <c r="H29" s="2">
        <f t="shared" si="3"/>
        <v>4318.6184305656243</v>
      </c>
      <c r="I29" s="2">
        <f t="shared" si="5"/>
        <v>-15036.216427999994</v>
      </c>
      <c r="J29" s="2">
        <f>-0.11*D29</f>
        <v>-533.76182849687495</v>
      </c>
    </row>
    <row r="30" spans="1:10">
      <c r="A30">
        <v>2014</v>
      </c>
      <c r="B30" s="2">
        <f t="shared" si="6"/>
        <v>15036.216427999994</v>
      </c>
      <c r="C30" s="2"/>
      <c r="D30" s="2">
        <f t="shared" si="4"/>
        <v>4609.761246109374</v>
      </c>
      <c r="E30" s="2">
        <f t="shared" si="0"/>
        <v>19645.977674109366</v>
      </c>
      <c r="F30" s="2">
        <f t="shared" si="1"/>
        <v>3568.9256805404661</v>
      </c>
      <c r="G30" s="2">
        <f t="shared" si="2"/>
        <v>0</v>
      </c>
      <c r="H30" s="2">
        <f t="shared" si="3"/>
        <v>3568.925680540468</v>
      </c>
      <c r="I30" s="2">
        <f t="shared" si="5"/>
        <v>-15036.216427999994</v>
      </c>
      <c r="J30" s="2">
        <f t="shared" ref="J30:J36" si="7">-0.11*D30 +J29</f>
        <v>-1040.8355655689061</v>
      </c>
    </row>
    <row r="31" spans="1:10">
      <c r="A31">
        <v>2015</v>
      </c>
      <c r="B31" s="2">
        <f t="shared" si="6"/>
        <v>15036.216427999994</v>
      </c>
      <c r="C31" s="2"/>
      <c r="D31" s="2">
        <f t="shared" si="4"/>
        <v>4379.2731838039053</v>
      </c>
      <c r="E31" s="2">
        <f t="shared" si="0"/>
        <v>19415.4896118039</v>
      </c>
      <c r="F31" s="2">
        <f t="shared" si="1"/>
        <v>2856.7175680165697</v>
      </c>
      <c r="G31" s="2">
        <f t="shared" si="2"/>
        <v>0</v>
      </c>
      <c r="H31" s="2">
        <f t="shared" si="3"/>
        <v>2856.7175680165697</v>
      </c>
      <c r="I31" s="2">
        <f t="shared" si="5"/>
        <v>-15036.216427999994</v>
      </c>
      <c r="J31" s="2">
        <f t="shared" si="7"/>
        <v>-1522.5556157873357</v>
      </c>
    </row>
    <row r="32" spans="1:10">
      <c r="A32">
        <v>2016</v>
      </c>
      <c r="B32" s="2">
        <f t="shared" si="6"/>
        <v>15036.216427999994</v>
      </c>
      <c r="C32" s="2"/>
      <c r="D32" s="2">
        <f t="shared" si="4"/>
        <v>4160.30952461371</v>
      </c>
      <c r="E32" s="2">
        <f t="shared" si="0"/>
        <v>19196.525952613705</v>
      </c>
      <c r="F32" s="2">
        <f t="shared" si="1"/>
        <v>2180.119861118867</v>
      </c>
      <c r="G32" s="2">
        <f t="shared" si="2"/>
        <v>0</v>
      </c>
      <c r="H32" s="2">
        <f t="shared" si="3"/>
        <v>2180.1198611188661</v>
      </c>
      <c r="I32" s="2">
        <f t="shared" si="5"/>
        <v>-15036.216427999994</v>
      </c>
      <c r="J32" s="2">
        <f t="shared" si="7"/>
        <v>-1980.1896634948439</v>
      </c>
    </row>
    <row r="33" spans="1:10">
      <c r="A33">
        <v>2017</v>
      </c>
      <c r="B33" s="2">
        <f t="shared" si="6"/>
        <v>15036.216427999994</v>
      </c>
      <c r="C33" s="2"/>
      <c r="D33" s="2">
        <f t="shared" si="4"/>
        <v>3952.2940483830243</v>
      </c>
      <c r="E33" s="2">
        <f t="shared" si="0"/>
        <v>18988.510476383017</v>
      </c>
      <c r="F33" s="2">
        <f t="shared" si="1"/>
        <v>1537.3520395660462</v>
      </c>
      <c r="G33" s="2">
        <f t="shared" si="2"/>
        <v>0</v>
      </c>
      <c r="H33" s="2">
        <f t="shared" si="3"/>
        <v>1537.352039566048</v>
      </c>
      <c r="I33" s="2">
        <f t="shared" si="5"/>
        <v>-15036.216427999994</v>
      </c>
      <c r="J33" s="2">
        <f t="shared" si="7"/>
        <v>-2414.9420088169763</v>
      </c>
    </row>
    <row r="34" spans="1:10">
      <c r="A34">
        <v>2018</v>
      </c>
      <c r="B34" s="2">
        <f t="shared" si="6"/>
        <v>15036.216427999994</v>
      </c>
      <c r="C34" s="2"/>
      <c r="D34" s="2">
        <f t="shared" si="4"/>
        <v>3754.6793459638729</v>
      </c>
      <c r="E34" s="2">
        <f t="shared" si="0"/>
        <v>18790.895773963868</v>
      </c>
      <c r="F34" s="2">
        <f t="shared" si="1"/>
        <v>926.72260909087163</v>
      </c>
      <c r="G34" s="2">
        <f t="shared" si="2"/>
        <v>0</v>
      </c>
      <c r="H34" s="2">
        <f t="shared" si="3"/>
        <v>926.72260909087072</v>
      </c>
      <c r="I34" s="2">
        <f t="shared" si="5"/>
        <v>-15036.216427999994</v>
      </c>
      <c r="J34" s="2">
        <f t="shared" si="7"/>
        <v>-2827.9567368730022</v>
      </c>
    </row>
    <row r="35" spans="1:10">
      <c r="A35">
        <v>2019</v>
      </c>
      <c r="B35" s="2">
        <f t="shared" si="6"/>
        <v>15036.216427999994</v>
      </c>
      <c r="C35" s="2"/>
      <c r="D35" s="2">
        <f t="shared" si="4"/>
        <v>3566.9453786656791</v>
      </c>
      <c r="E35" s="2">
        <f t="shared" si="0"/>
        <v>18603.161806665674</v>
      </c>
      <c r="F35" s="2">
        <f t="shared" si="1"/>
        <v>346.62465013945257</v>
      </c>
      <c r="G35" s="2">
        <f t="shared" si="2"/>
        <v>0</v>
      </c>
      <c r="H35" s="2">
        <f t="shared" si="3"/>
        <v>346.62465013945211</v>
      </c>
      <c r="I35" s="2">
        <f t="shared" si="5"/>
        <v>-15036.216427999994</v>
      </c>
      <c r="J35" s="2">
        <f t="shared" si="7"/>
        <v>-3220.320728526227</v>
      </c>
    </row>
    <row r="36" spans="1:10">
      <c r="A36">
        <v>2020</v>
      </c>
      <c r="B36" s="2">
        <f t="shared" si="6"/>
        <v>15036.216427999994</v>
      </c>
      <c r="C36" s="2"/>
      <c r="D36" s="2">
        <f t="shared" si="4"/>
        <v>3388.5981097323952</v>
      </c>
      <c r="E36" s="2">
        <f t="shared" si="0"/>
        <v>18424.814537732389</v>
      </c>
      <c r="F36" s="2">
        <v>0</v>
      </c>
      <c r="G36" s="2">
        <f t="shared" si="2"/>
        <v>0</v>
      </c>
      <c r="H36" s="2">
        <f t="shared" si="3"/>
        <v>-204.46841086439508</v>
      </c>
      <c r="I36" s="2">
        <f t="shared" si="5"/>
        <v>-15036.216427999994</v>
      </c>
      <c r="J36" s="2">
        <f t="shared" si="7"/>
        <v>-3593.0665205967903</v>
      </c>
    </row>
  </sheetData>
  <sheetCalcPr fullCalcOnLoad="1"/>
  <phoneticPr fontId="0" type="noConversion"/>
  <pageMargins left="0.7" right="0.7" top="0.75" bottom="0.75" header="0.3" footer="0.3"/>
  <headerFooter alignWithMargins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44"/>
  <sheetViews>
    <sheetView workbookViewId="0"/>
  </sheetViews>
  <sheetFormatPr baseColWidth="10" defaultColWidth="8.83203125" defaultRowHeight="14"/>
  <cols>
    <col min="7" max="7" width="11.5" bestFit="1" customWidth="1"/>
    <col min="8" max="8" width="16.1640625" bestFit="1" customWidth="1"/>
  </cols>
  <sheetData>
    <row r="1" spans="1:1">
      <c r="A1" s="7" t="s">
        <v>19</v>
      </c>
    </row>
    <row r="4" spans="1:1">
      <c r="A4" t="s">
        <v>56</v>
      </c>
    </row>
    <row r="5" spans="1:1">
      <c r="A5" s="1" t="s">
        <v>33</v>
      </c>
    </row>
    <row r="6" spans="1:1">
      <c r="A6" s="1" t="s">
        <v>8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58</v>
      </c>
    </row>
    <row r="10" spans="1:1">
      <c r="A10" s="1" t="s">
        <v>6</v>
      </c>
    </row>
    <row r="11" spans="1:1">
      <c r="A11" s="1" t="s">
        <v>7</v>
      </c>
    </row>
    <row r="12" spans="1:1">
      <c r="A12" s="1" t="s">
        <v>0</v>
      </c>
    </row>
    <row r="13" spans="1:1">
      <c r="A13" s="1" t="s">
        <v>18</v>
      </c>
    </row>
    <row r="14" spans="1:1">
      <c r="A14" s="1" t="s">
        <v>17</v>
      </c>
    </row>
    <row r="17" spans="1:10">
      <c r="B17" t="s">
        <v>24</v>
      </c>
      <c r="C17" t="s">
        <v>24</v>
      </c>
      <c r="D17" t="s">
        <v>24</v>
      </c>
      <c r="I17" t="s">
        <v>24</v>
      </c>
      <c r="J17" t="s">
        <v>24</v>
      </c>
    </row>
    <row r="18" spans="1:10">
      <c r="A18" t="s">
        <v>20</v>
      </c>
      <c r="B18" t="s">
        <v>30</v>
      </c>
      <c r="C18" t="s">
        <v>22</v>
      </c>
      <c r="D18" t="s">
        <v>23</v>
      </c>
      <c r="I18" t="s">
        <v>52</v>
      </c>
      <c r="J18" t="s">
        <v>53</v>
      </c>
    </row>
    <row r="19" spans="1:10">
      <c r="E19" t="s">
        <v>25</v>
      </c>
      <c r="F19" t="s">
        <v>26</v>
      </c>
      <c r="G19" t="s">
        <v>54</v>
      </c>
      <c r="H19" t="s">
        <v>55</v>
      </c>
    </row>
    <row r="20" spans="1:10">
      <c r="A20">
        <v>2003</v>
      </c>
      <c r="B20" s="2">
        <v>20198</v>
      </c>
      <c r="C20" s="2">
        <v>15550</v>
      </c>
      <c r="D20" s="2">
        <v>6447</v>
      </c>
      <c r="E20" s="2">
        <f t="shared" ref="E20:E42" si="0">B20+C20+D20</f>
        <v>42195</v>
      </c>
      <c r="F20" s="2">
        <f t="shared" ref="F20:F42" si="1">E20+I20+J20</f>
        <v>41589</v>
      </c>
      <c r="G20" s="2">
        <f t="shared" ref="G20:G42" si="2">B20+I20</f>
        <v>19592</v>
      </c>
      <c r="H20" s="2">
        <f t="shared" ref="H20:H42" si="3">D20+J20</f>
        <v>6447</v>
      </c>
      <c r="I20" s="2">
        <v>-606</v>
      </c>
      <c r="J20" s="2"/>
    </row>
    <row r="21" spans="1:10">
      <c r="A21">
        <v>2004</v>
      </c>
      <c r="B21" s="2">
        <v>19807</v>
      </c>
      <c r="C21" s="2">
        <v>17983</v>
      </c>
      <c r="D21" s="2">
        <v>6260</v>
      </c>
      <c r="E21" s="2">
        <f t="shared" si="0"/>
        <v>44050</v>
      </c>
      <c r="F21" s="2">
        <f t="shared" si="1"/>
        <v>43258</v>
      </c>
      <c r="G21" s="2">
        <f t="shared" si="2"/>
        <v>19015</v>
      </c>
      <c r="H21" s="2">
        <f t="shared" si="3"/>
        <v>6260</v>
      </c>
      <c r="I21" s="2">
        <v>-792</v>
      </c>
      <c r="J21" s="2"/>
    </row>
    <row r="22" spans="1:10">
      <c r="A22">
        <v>2005</v>
      </c>
      <c r="B22" s="2">
        <v>19603</v>
      </c>
      <c r="C22" s="2">
        <v>15930</v>
      </c>
      <c r="D22" s="2">
        <v>6234</v>
      </c>
      <c r="E22" s="2">
        <f t="shared" si="0"/>
        <v>41767</v>
      </c>
      <c r="F22" s="2">
        <f t="shared" si="1"/>
        <v>40983</v>
      </c>
      <c r="G22" s="2">
        <f t="shared" si="2"/>
        <v>18819</v>
      </c>
      <c r="H22" s="2">
        <f t="shared" si="3"/>
        <v>6234</v>
      </c>
      <c r="I22" s="2">
        <v>-784</v>
      </c>
      <c r="J22" s="2"/>
    </row>
    <row r="23" spans="1:10">
      <c r="A23">
        <v>2006</v>
      </c>
      <c r="B23" s="2">
        <v>19176</v>
      </c>
      <c r="C23" s="2">
        <v>15164</v>
      </c>
      <c r="D23" s="2">
        <v>6216</v>
      </c>
      <c r="E23" s="2">
        <f t="shared" si="0"/>
        <v>40556</v>
      </c>
      <c r="F23" s="2">
        <f t="shared" si="1"/>
        <v>38447</v>
      </c>
      <c r="G23" s="2">
        <f t="shared" si="2"/>
        <v>17067</v>
      </c>
      <c r="H23" s="2">
        <f t="shared" si="3"/>
        <v>6216</v>
      </c>
      <c r="I23" s="2">
        <v>-2109</v>
      </c>
      <c r="J23" s="2"/>
    </row>
    <row r="24" spans="1:10">
      <c r="A24">
        <v>2007</v>
      </c>
      <c r="B24" s="2">
        <v>18969</v>
      </c>
      <c r="C24" s="2">
        <v>17261</v>
      </c>
      <c r="D24" s="2">
        <v>6248</v>
      </c>
      <c r="E24" s="2">
        <f t="shared" si="0"/>
        <v>42478</v>
      </c>
      <c r="F24" s="2">
        <f t="shared" si="1"/>
        <v>40012</v>
      </c>
      <c r="G24" s="2">
        <f t="shared" si="2"/>
        <v>16503</v>
      </c>
      <c r="H24" s="2">
        <f t="shared" si="3"/>
        <v>6248</v>
      </c>
      <c r="I24" s="2">
        <v>-2466</v>
      </c>
      <c r="J24" s="2"/>
    </row>
    <row r="25" spans="1:10">
      <c r="A25">
        <v>2008</v>
      </c>
      <c r="B25" s="2">
        <v>18872</v>
      </c>
      <c r="C25" s="2">
        <v>18261</v>
      </c>
      <c r="D25" s="2">
        <v>6271</v>
      </c>
      <c r="E25" s="2">
        <f t="shared" si="0"/>
        <v>43404</v>
      </c>
      <c r="F25" s="2">
        <f t="shared" si="1"/>
        <v>39441</v>
      </c>
      <c r="G25" s="2">
        <f t="shared" si="2"/>
        <v>14909</v>
      </c>
      <c r="H25" s="2">
        <f t="shared" si="3"/>
        <v>6271</v>
      </c>
      <c r="I25" s="2">
        <v>-3963</v>
      </c>
      <c r="J25" s="2"/>
    </row>
    <row r="26" spans="1:10">
      <c r="A26">
        <v>2009</v>
      </c>
      <c r="B26" s="2">
        <f>B25</f>
        <v>18872</v>
      </c>
      <c r="C26" s="2">
        <v>16002</v>
      </c>
      <c r="D26" s="2">
        <f>0.97*D25</f>
        <v>6082.87</v>
      </c>
      <c r="E26" s="2">
        <f t="shared" si="0"/>
        <v>40956.870000000003</v>
      </c>
      <c r="F26" s="2">
        <f t="shared" si="1"/>
        <v>36691.798000000003</v>
      </c>
      <c r="G26" s="2">
        <f t="shared" si="2"/>
        <v>14606.928</v>
      </c>
      <c r="H26" s="2">
        <f t="shared" si="3"/>
        <v>6082.87</v>
      </c>
      <c r="I26" s="2">
        <f>-(0.24-0.014)*B26</f>
        <v>-4265.0719999999992</v>
      </c>
      <c r="J26" s="2"/>
    </row>
    <row r="27" spans="1:10">
      <c r="A27">
        <v>2010</v>
      </c>
      <c r="B27" s="2">
        <f>0.97*B26</f>
        <v>18305.84</v>
      </c>
      <c r="C27" s="2">
        <v>13757</v>
      </c>
      <c r="D27" s="2">
        <f t="shared" ref="D27:D42" si="4">0.97*D26</f>
        <v>5900.3838999999998</v>
      </c>
      <c r="E27" s="2">
        <f t="shared" si="0"/>
        <v>37963.223899999997</v>
      </c>
      <c r="F27" s="2">
        <f t="shared" si="1"/>
        <v>33826.104059999998</v>
      </c>
      <c r="G27" s="2">
        <f t="shared" si="2"/>
        <v>14168.720160000001</v>
      </c>
      <c r="H27" s="2">
        <f t="shared" si="3"/>
        <v>5900.3838999999998</v>
      </c>
      <c r="I27" s="2">
        <f>-(0.24-0.014)*B27</f>
        <v>-4137.1198399999994</v>
      </c>
      <c r="J27" s="2"/>
    </row>
    <row r="28" spans="1:10">
      <c r="A28">
        <v>2011</v>
      </c>
      <c r="B28" s="2">
        <f>1.04*0.97*B27-1000</f>
        <v>17466.931391999999</v>
      </c>
      <c r="C28" s="2">
        <v>11489</v>
      </c>
      <c r="D28" s="2">
        <f t="shared" si="4"/>
        <v>5723.3723829999999</v>
      </c>
      <c r="E28" s="2">
        <f t="shared" si="0"/>
        <v>34679.303775</v>
      </c>
      <c r="F28" s="2">
        <f t="shared" si="1"/>
        <v>28985.084141208001</v>
      </c>
      <c r="G28" s="2">
        <f t="shared" si="2"/>
        <v>11772.711758207999</v>
      </c>
      <c r="H28" s="2">
        <f t="shared" si="3"/>
        <v>5723.3723829999999</v>
      </c>
      <c r="I28" s="2">
        <f>-(0.34-0.014)*B28</f>
        <v>-5694.2196337919995</v>
      </c>
      <c r="J28" s="2"/>
    </row>
    <row r="29" spans="1:10">
      <c r="A29">
        <v>2012</v>
      </c>
      <c r="B29" s="2">
        <f t="shared" ref="B29:B34" si="5">0.97*B28</f>
        <v>16942.92345024</v>
      </c>
      <c r="C29" s="2">
        <v>11045</v>
      </c>
      <c r="D29" s="2">
        <f t="shared" si="4"/>
        <v>5551.6712115099999</v>
      </c>
      <c r="E29" s="2">
        <f t="shared" si="0"/>
        <v>33539.594661750001</v>
      </c>
      <c r="F29" s="2">
        <f t="shared" si="1"/>
        <v>25068.132936630001</v>
      </c>
      <c r="G29" s="2">
        <f t="shared" si="2"/>
        <v>8471.4617251199998</v>
      </c>
      <c r="H29" s="2">
        <f t="shared" si="3"/>
        <v>5551.6712115099999</v>
      </c>
      <c r="I29" s="2">
        <f>-(0.5)*B29</f>
        <v>-8471.4617251199998</v>
      </c>
      <c r="J29" s="2"/>
    </row>
    <row r="30" spans="1:10">
      <c r="A30">
        <v>2013</v>
      </c>
      <c r="B30" s="2">
        <f t="shared" si="5"/>
        <v>16434.635746732798</v>
      </c>
      <c r="C30" s="2">
        <v>10614</v>
      </c>
      <c r="D30" s="2">
        <f t="shared" si="4"/>
        <v>5385.1210751646995</v>
      </c>
      <c r="E30" s="2">
        <f t="shared" si="0"/>
        <v>32433.756821897499</v>
      </c>
      <c r="F30" s="2">
        <f t="shared" si="1"/>
        <v>21422.550871586522</v>
      </c>
      <c r="G30" s="2">
        <f t="shared" si="2"/>
        <v>5423.4297964218222</v>
      </c>
      <c r="H30" s="2">
        <f t="shared" si="3"/>
        <v>5385.1210751646995</v>
      </c>
      <c r="I30" s="2">
        <f>-(0.67)*B30</f>
        <v>-11011.205950310976</v>
      </c>
      <c r="J30" s="2"/>
    </row>
    <row r="31" spans="1:10">
      <c r="A31">
        <v>2014</v>
      </c>
      <c r="B31" s="2">
        <f t="shared" si="5"/>
        <v>15941.596674330814</v>
      </c>
      <c r="C31" s="2">
        <v>2640</v>
      </c>
      <c r="D31" s="2">
        <f t="shared" si="4"/>
        <v>5223.567442909758</v>
      </c>
      <c r="E31" s="2">
        <f t="shared" si="0"/>
        <v>23805.164117240573</v>
      </c>
      <c r="F31" s="2">
        <f t="shared" si="1"/>
        <v>10414.22291080269</v>
      </c>
      <c r="G31" s="2">
        <f t="shared" si="2"/>
        <v>2550.6554678929315</v>
      </c>
      <c r="H31" s="2">
        <f t="shared" si="3"/>
        <v>5223.567442909758</v>
      </c>
      <c r="I31" s="2">
        <f>-(0.84)*B31</f>
        <v>-13390.941206437883</v>
      </c>
      <c r="J31" s="2"/>
    </row>
    <row r="32" spans="1:10">
      <c r="A32">
        <v>2015</v>
      </c>
      <c r="B32" s="2">
        <f t="shared" si="5"/>
        <v>15463.34877410089</v>
      </c>
      <c r="C32" s="2">
        <v>2340</v>
      </c>
      <c r="D32" s="2">
        <f t="shared" si="4"/>
        <v>5066.8604196224651</v>
      </c>
      <c r="E32" s="2">
        <f t="shared" si="0"/>
        <v>22870.209193723356</v>
      </c>
      <c r="F32" s="2">
        <f t="shared" si="1"/>
        <v>7001.5115860526685</v>
      </c>
      <c r="G32" s="2">
        <f t="shared" si="2"/>
        <v>0</v>
      </c>
      <c r="H32" s="2">
        <f t="shared" si="3"/>
        <v>4661.5115860526676</v>
      </c>
      <c r="I32" s="2">
        <f t="shared" ref="I32:I42" si="6">-B32</f>
        <v>-15463.34877410089</v>
      </c>
      <c r="J32" s="2">
        <f>-0.08*D32</f>
        <v>-405.34883356979719</v>
      </c>
    </row>
    <row r="33" spans="1:10">
      <c r="A33">
        <v>2016</v>
      </c>
      <c r="B33" s="2">
        <f t="shared" si="5"/>
        <v>14999.448310877864</v>
      </c>
      <c r="C33" s="2">
        <v>2049</v>
      </c>
      <c r="D33" s="2">
        <f t="shared" si="4"/>
        <v>4914.8546070337907</v>
      </c>
      <c r="E33" s="2">
        <f t="shared" si="0"/>
        <v>21963.302917911657</v>
      </c>
      <c r="F33" s="2">
        <f t="shared" si="1"/>
        <v>6165.3174049012923</v>
      </c>
      <c r="G33" s="2">
        <f t="shared" si="2"/>
        <v>0</v>
      </c>
      <c r="H33" s="2">
        <f t="shared" si="3"/>
        <v>4116.3174049012905</v>
      </c>
      <c r="I33" s="2">
        <f t="shared" si="6"/>
        <v>-14999.448310877864</v>
      </c>
      <c r="J33" s="2">
        <f t="shared" ref="J33:J42" si="7">-0.08*D33 +J32</f>
        <v>-798.5372021325004</v>
      </c>
    </row>
    <row r="34" spans="1:10">
      <c r="A34">
        <v>2017</v>
      </c>
      <c r="B34" s="2">
        <f t="shared" si="5"/>
        <v>14549.464861551527</v>
      </c>
      <c r="C34" s="2">
        <v>2049</v>
      </c>
      <c r="D34" s="2">
        <f t="shared" si="4"/>
        <v>4767.4089688227768</v>
      </c>
      <c r="E34" s="2">
        <f t="shared" si="0"/>
        <v>21365.873830374301</v>
      </c>
      <c r="F34" s="2">
        <f t="shared" si="1"/>
        <v>5636.4790491844515</v>
      </c>
      <c r="G34" s="2">
        <f t="shared" si="2"/>
        <v>0</v>
      </c>
      <c r="H34" s="2">
        <f t="shared" si="3"/>
        <v>3587.4790491844542</v>
      </c>
      <c r="I34" s="2">
        <f t="shared" si="6"/>
        <v>-14549.464861551527</v>
      </c>
      <c r="J34" s="2">
        <f t="shared" si="7"/>
        <v>-1179.9299196383226</v>
      </c>
    </row>
    <row r="35" spans="1:10">
      <c r="A35">
        <v>2018</v>
      </c>
      <c r="B35" s="2">
        <f>B$34</f>
        <v>14549.464861551527</v>
      </c>
      <c r="C35" s="2">
        <v>2049</v>
      </c>
      <c r="D35" s="2">
        <f t="shared" si="4"/>
        <v>4624.3866997580935</v>
      </c>
      <c r="E35" s="2">
        <f t="shared" si="0"/>
        <v>21222.851561309617</v>
      </c>
      <c r="F35" s="2">
        <f t="shared" si="1"/>
        <v>5123.5058441391193</v>
      </c>
      <c r="G35" s="2">
        <f t="shared" si="2"/>
        <v>0</v>
      </c>
      <c r="H35" s="2">
        <f t="shared" si="3"/>
        <v>3074.5058441391234</v>
      </c>
      <c r="I35" s="2">
        <f t="shared" si="6"/>
        <v>-14549.464861551527</v>
      </c>
      <c r="J35" s="2">
        <f t="shared" si="7"/>
        <v>-1549.8808556189701</v>
      </c>
    </row>
    <row r="36" spans="1:10">
      <c r="A36">
        <v>2019</v>
      </c>
      <c r="B36" s="2">
        <f t="shared" ref="B36:B42" si="8">B$34</f>
        <v>14549.464861551527</v>
      </c>
      <c r="C36" s="2">
        <v>2049</v>
      </c>
      <c r="D36" s="2">
        <f t="shared" si="4"/>
        <v>4485.6550987653509</v>
      </c>
      <c r="E36" s="2">
        <f t="shared" si="0"/>
        <v>21084.119960316875</v>
      </c>
      <c r="F36" s="2">
        <f t="shared" si="1"/>
        <v>4625.9218352451499</v>
      </c>
      <c r="G36" s="2">
        <f t="shared" si="2"/>
        <v>0</v>
      </c>
      <c r="H36" s="2">
        <f t="shared" si="3"/>
        <v>2576.9218352451526</v>
      </c>
      <c r="I36" s="2">
        <f t="shared" si="6"/>
        <v>-14549.464861551527</v>
      </c>
      <c r="J36" s="2">
        <f t="shared" si="7"/>
        <v>-1908.7332635201983</v>
      </c>
    </row>
    <row r="37" spans="1:10">
      <c r="A37">
        <v>2020</v>
      </c>
      <c r="B37" s="2">
        <f t="shared" si="8"/>
        <v>14549.464861551527</v>
      </c>
      <c r="C37" s="2">
        <v>0</v>
      </c>
      <c r="D37" s="2">
        <f t="shared" si="4"/>
        <v>4351.0854458023905</v>
      </c>
      <c r="E37" s="2">
        <f t="shared" si="0"/>
        <v>18900.550307353918</v>
      </c>
      <c r="F37" s="2">
        <f t="shared" si="1"/>
        <v>2094.2653466180018</v>
      </c>
      <c r="G37" s="2">
        <f t="shared" si="2"/>
        <v>0</v>
      </c>
      <c r="H37" s="2">
        <f t="shared" si="3"/>
        <v>2094.2653466180009</v>
      </c>
      <c r="I37" s="2">
        <f t="shared" si="6"/>
        <v>-14549.464861551527</v>
      </c>
      <c r="J37" s="2">
        <f t="shared" si="7"/>
        <v>-2256.8200991843896</v>
      </c>
    </row>
    <row r="38" spans="1:10">
      <c r="A38">
        <v>2021</v>
      </c>
      <c r="B38" s="2">
        <f t="shared" si="8"/>
        <v>14549.464861551527</v>
      </c>
      <c r="C38" s="2"/>
      <c r="D38" s="2">
        <f t="shared" si="4"/>
        <v>4220.5528824283183</v>
      </c>
      <c r="E38" s="2">
        <f t="shared" si="0"/>
        <v>18770.017743979846</v>
      </c>
      <c r="F38" s="2">
        <f t="shared" si="1"/>
        <v>1626.0885526496641</v>
      </c>
      <c r="G38" s="2">
        <f t="shared" si="2"/>
        <v>0</v>
      </c>
      <c r="H38" s="2">
        <f t="shared" si="3"/>
        <v>1626.0885526496631</v>
      </c>
      <c r="I38" s="2">
        <f t="shared" si="6"/>
        <v>-14549.464861551527</v>
      </c>
      <c r="J38" s="2">
        <f t="shared" si="7"/>
        <v>-2594.4643297786552</v>
      </c>
    </row>
    <row r="39" spans="1:10">
      <c r="A39">
        <v>2022</v>
      </c>
      <c r="B39" s="2">
        <f t="shared" si="8"/>
        <v>14549.464861551527</v>
      </c>
      <c r="C39" s="2"/>
      <c r="D39" s="2">
        <f t="shared" si="4"/>
        <v>4093.9362959554687</v>
      </c>
      <c r="E39" s="2">
        <f t="shared" si="0"/>
        <v>18643.401157506996</v>
      </c>
      <c r="F39" s="2">
        <f t="shared" si="1"/>
        <v>1171.9570625003767</v>
      </c>
      <c r="G39" s="2">
        <f t="shared" si="2"/>
        <v>0</v>
      </c>
      <c r="H39" s="2">
        <f t="shared" si="3"/>
        <v>1171.9570625003762</v>
      </c>
      <c r="I39" s="2">
        <f t="shared" si="6"/>
        <v>-14549.464861551527</v>
      </c>
      <c r="J39" s="2">
        <f t="shared" si="7"/>
        <v>-2921.9792334550925</v>
      </c>
    </row>
    <row r="40" spans="1:10">
      <c r="A40">
        <v>2023</v>
      </c>
      <c r="B40" s="2">
        <f t="shared" si="8"/>
        <v>14549.464861551527</v>
      </c>
      <c r="C40" s="2"/>
      <c r="D40" s="2">
        <f t="shared" si="4"/>
        <v>3971.1182070768045</v>
      </c>
      <c r="E40" s="2">
        <f t="shared" si="0"/>
        <v>18520.58306862833</v>
      </c>
      <c r="F40" s="2">
        <f t="shared" si="1"/>
        <v>731.44951705556559</v>
      </c>
      <c r="G40" s="2">
        <f t="shared" si="2"/>
        <v>0</v>
      </c>
      <c r="H40" s="2">
        <f t="shared" si="3"/>
        <v>731.44951705556741</v>
      </c>
      <c r="I40" s="2">
        <f t="shared" si="6"/>
        <v>-14549.464861551527</v>
      </c>
      <c r="J40" s="2">
        <f t="shared" si="7"/>
        <v>-3239.6686900212371</v>
      </c>
    </row>
    <row r="41" spans="1:10">
      <c r="A41">
        <v>2024</v>
      </c>
      <c r="B41" s="2">
        <f t="shared" si="8"/>
        <v>14549.464861551527</v>
      </c>
      <c r="C41" s="2"/>
      <c r="D41" s="2">
        <f t="shared" si="4"/>
        <v>3851.9846608645003</v>
      </c>
      <c r="E41" s="2">
        <f t="shared" si="0"/>
        <v>18401.449522416027</v>
      </c>
      <c r="F41" s="2">
        <f t="shared" si="1"/>
        <v>304.15719797410293</v>
      </c>
      <c r="G41" s="2">
        <f t="shared" si="2"/>
        <v>0</v>
      </c>
      <c r="H41" s="2">
        <f t="shared" si="3"/>
        <v>304.15719797410293</v>
      </c>
      <c r="I41" s="2">
        <f t="shared" si="6"/>
        <v>-14549.464861551527</v>
      </c>
      <c r="J41" s="2">
        <f t="shared" si="7"/>
        <v>-3547.8274628903973</v>
      </c>
    </row>
    <row r="42" spans="1:10">
      <c r="A42">
        <v>2025</v>
      </c>
      <c r="B42" s="2">
        <f t="shared" si="8"/>
        <v>14549.464861551527</v>
      </c>
      <c r="C42" s="2"/>
      <c r="D42" s="2">
        <f t="shared" si="4"/>
        <v>3736.4251210385651</v>
      </c>
      <c r="E42" s="2">
        <f t="shared" si="0"/>
        <v>18285.889982590092</v>
      </c>
      <c r="F42" s="2">
        <f t="shared" si="1"/>
        <v>-110.31635153491789</v>
      </c>
      <c r="G42" s="2">
        <f t="shared" si="2"/>
        <v>0</v>
      </c>
      <c r="H42" s="2">
        <f t="shared" si="3"/>
        <v>-110.31635153491743</v>
      </c>
      <c r="I42" s="2">
        <f t="shared" si="6"/>
        <v>-14549.464861551527</v>
      </c>
      <c r="J42" s="2">
        <f t="shared" si="7"/>
        <v>-3846.7414725734825</v>
      </c>
    </row>
    <row r="44" spans="1:10">
      <c r="B44" s="2">
        <f>100*B42/$E$25</f>
        <v>33.521023089004537</v>
      </c>
      <c r="C44" s="2">
        <f>100*0.85*C25/$E$25</f>
        <v>35.761335360796238</v>
      </c>
      <c r="D44" s="2">
        <f t="shared" ref="D44:J44" si="9">100*D42/$E$25</f>
        <v>8.6084810640460905</v>
      </c>
      <c r="E44" s="2">
        <f t="shared" si="9"/>
        <v>42.129504153050618</v>
      </c>
      <c r="F44" s="2">
        <f t="shared" si="9"/>
        <v>-0.25416171674250732</v>
      </c>
      <c r="G44" s="2">
        <f t="shared" si="9"/>
        <v>0</v>
      </c>
      <c r="H44" s="2">
        <f t="shared" si="9"/>
        <v>-0.25416171674250632</v>
      </c>
      <c r="I44" s="2">
        <f t="shared" si="9"/>
        <v>-33.521023089004537</v>
      </c>
      <c r="J44" s="2">
        <f t="shared" si="9"/>
        <v>-8.8626427807885957</v>
      </c>
    </row>
  </sheetData>
  <phoneticPr fontId="0" type="noConversion"/>
  <pageMargins left="0.7" right="0.7" top="0.75" bottom="0.75" header="0.3" footer="0.3"/>
  <headerFooter alignWithMargins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22"/>
  <sheetViews>
    <sheetView workbookViewId="0">
      <selection activeCell="C1" sqref="C1"/>
    </sheetView>
  </sheetViews>
  <sheetFormatPr baseColWidth="10" defaultColWidth="8.83203125" defaultRowHeight="14"/>
  <cols>
    <col min="1" max="1" width="19.5" customWidth="1"/>
    <col min="2" max="2" width="13.5" customWidth="1"/>
    <col min="3" max="6" width="9.33203125" bestFit="1" customWidth="1"/>
    <col min="7" max="8" width="10.1640625" bestFit="1" customWidth="1"/>
  </cols>
  <sheetData>
    <row r="1" spans="1:8">
      <c r="A1" t="s">
        <v>34</v>
      </c>
      <c r="C1" s="7" t="s">
        <v>19</v>
      </c>
    </row>
    <row r="3" spans="1:8">
      <c r="A3" t="s">
        <v>35</v>
      </c>
    </row>
    <row r="4" spans="1:8">
      <c r="A4" t="s">
        <v>36</v>
      </c>
    </row>
    <row r="5" spans="1:8">
      <c r="A5" t="s">
        <v>37</v>
      </c>
    </row>
    <row r="6" spans="1:8">
      <c r="A6" t="s">
        <v>38</v>
      </c>
    </row>
    <row r="8" spans="1:8">
      <c r="A8" t="s">
        <v>39</v>
      </c>
    </row>
    <row r="9" spans="1:8">
      <c r="A9" t="s">
        <v>40</v>
      </c>
    </row>
    <row r="10" spans="1:8">
      <c r="A10" t="s">
        <v>41</v>
      </c>
    </row>
    <row r="11" spans="1:8">
      <c r="A11" t="s">
        <v>42</v>
      </c>
    </row>
    <row r="12" spans="1:8">
      <c r="A12" t="s">
        <v>49</v>
      </c>
    </row>
    <row r="13" spans="1:8">
      <c r="A13" t="s">
        <v>50</v>
      </c>
    </row>
    <row r="15" spans="1:8">
      <c r="A15" s="3" t="s">
        <v>43</v>
      </c>
      <c r="B15" s="3" t="s">
        <v>44</v>
      </c>
      <c r="C15" s="8" t="s">
        <v>45</v>
      </c>
      <c r="D15" s="8"/>
      <c r="E15" s="8"/>
      <c r="F15" s="8"/>
      <c r="G15" s="8"/>
      <c r="H15" s="8"/>
    </row>
    <row r="16" spans="1:8">
      <c r="A16" s="3"/>
      <c r="B16" s="3" t="s">
        <v>24</v>
      </c>
      <c r="C16" s="3">
        <v>3</v>
      </c>
      <c r="D16" s="3">
        <v>5</v>
      </c>
      <c r="E16" s="3">
        <v>10</v>
      </c>
      <c r="F16" s="3">
        <v>20</v>
      </c>
      <c r="G16" s="3">
        <v>30</v>
      </c>
      <c r="H16" s="3">
        <v>50</v>
      </c>
    </row>
    <row r="17" spans="1:8">
      <c r="A17" t="s">
        <v>21</v>
      </c>
      <c r="B17" s="4">
        <v>18000</v>
      </c>
      <c r="C17" s="5">
        <f>C$16*$B17</f>
        <v>54000</v>
      </c>
      <c r="D17" s="5">
        <f t="shared" ref="D17:H20" si="0">D$16*$B17</f>
        <v>90000</v>
      </c>
      <c r="E17" s="6">
        <f t="shared" si="0"/>
        <v>180000</v>
      </c>
      <c r="F17" s="5">
        <f t="shared" si="0"/>
        <v>360000</v>
      </c>
      <c r="G17" s="5">
        <f t="shared" si="0"/>
        <v>540000</v>
      </c>
      <c r="H17" s="5">
        <f t="shared" si="0"/>
        <v>900000</v>
      </c>
    </row>
    <row r="18" spans="1:8">
      <c r="A18" t="s">
        <v>46</v>
      </c>
      <c r="B18" s="4">
        <v>18000</v>
      </c>
      <c r="C18" s="5">
        <f>C$16*$B18</f>
        <v>54000</v>
      </c>
      <c r="D18" s="5">
        <f t="shared" si="0"/>
        <v>90000</v>
      </c>
      <c r="E18" s="5">
        <f t="shared" si="0"/>
        <v>180000</v>
      </c>
      <c r="F18" s="5">
        <f t="shared" si="0"/>
        <v>360000</v>
      </c>
      <c r="G18" s="5">
        <f t="shared" si="0"/>
        <v>540000</v>
      </c>
      <c r="H18" s="5">
        <f t="shared" si="0"/>
        <v>900000</v>
      </c>
    </row>
    <row r="19" spans="1:8">
      <c r="A19" t="s">
        <v>47</v>
      </c>
      <c r="B19">
        <v>6000</v>
      </c>
      <c r="C19" s="5">
        <f>C$16*$B19</f>
        <v>18000</v>
      </c>
      <c r="D19" s="5">
        <f t="shared" si="0"/>
        <v>30000</v>
      </c>
      <c r="E19" s="5">
        <f t="shared" si="0"/>
        <v>60000</v>
      </c>
      <c r="F19" s="5">
        <f t="shared" si="0"/>
        <v>120000</v>
      </c>
      <c r="G19" s="5">
        <f t="shared" si="0"/>
        <v>180000</v>
      </c>
      <c r="H19" s="5">
        <f t="shared" si="0"/>
        <v>300000</v>
      </c>
    </row>
    <row r="20" spans="1:8">
      <c r="A20" t="s">
        <v>48</v>
      </c>
      <c r="B20">
        <v>1000</v>
      </c>
      <c r="C20" s="5">
        <f>C$16*$B20</f>
        <v>3000</v>
      </c>
      <c r="D20" s="5">
        <f t="shared" si="0"/>
        <v>5000</v>
      </c>
      <c r="E20" s="5">
        <f t="shared" si="0"/>
        <v>10000</v>
      </c>
      <c r="F20" s="5">
        <f t="shared" si="0"/>
        <v>20000</v>
      </c>
      <c r="G20" s="5">
        <f t="shared" si="0"/>
        <v>30000</v>
      </c>
      <c r="H20" s="5">
        <f t="shared" si="0"/>
        <v>50000</v>
      </c>
    </row>
    <row r="21" spans="1:8">
      <c r="C21" s="5"/>
      <c r="D21" s="5"/>
      <c r="E21" s="5"/>
      <c r="F21" s="5"/>
      <c r="G21" s="5"/>
      <c r="H21" s="5"/>
    </row>
    <row r="22" spans="1:8">
      <c r="A22" t="s">
        <v>25</v>
      </c>
      <c r="B22" s="4">
        <f>SUM(B17:B20)</f>
        <v>43000</v>
      </c>
      <c r="C22" s="5">
        <f t="shared" ref="C22:H22" si="1">SUM(C17:C20)</f>
        <v>129000</v>
      </c>
      <c r="D22" s="5">
        <f t="shared" si="1"/>
        <v>215000</v>
      </c>
      <c r="E22" s="5">
        <f t="shared" si="1"/>
        <v>430000</v>
      </c>
      <c r="F22" s="5">
        <f t="shared" si="1"/>
        <v>860000</v>
      </c>
      <c r="G22" s="5">
        <f t="shared" si="1"/>
        <v>1290000</v>
      </c>
      <c r="H22" s="5">
        <f t="shared" si="1"/>
        <v>2150000</v>
      </c>
    </row>
  </sheetData>
  <mergeCells count="1">
    <mergeCell ref="C15:H15"/>
  </mergeCells>
  <phoneticPr fontId="3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70"/>
  <sheetViews>
    <sheetView tabSelected="1" topLeftCell="A2" workbookViewId="0">
      <selection activeCell="A2" sqref="A2"/>
    </sheetView>
  </sheetViews>
  <sheetFormatPr baseColWidth="10" defaultColWidth="8.83203125" defaultRowHeight="14"/>
  <cols>
    <col min="2" max="2" width="11.5" customWidth="1"/>
    <col min="6" max="6" width="12.6640625" customWidth="1"/>
    <col min="7" max="7" width="9.6640625" customWidth="1"/>
    <col min="8" max="8" width="3" bestFit="1" customWidth="1"/>
    <col min="9" max="9" width="8.5" customWidth="1"/>
  </cols>
  <sheetData>
    <row r="1" spans="1:13">
      <c r="A1" s="7" t="s">
        <v>19</v>
      </c>
    </row>
    <row r="3" spans="1:13">
      <c r="A3" t="s">
        <v>27</v>
      </c>
    </row>
    <row r="4" spans="1:13">
      <c r="A4" s="1" t="s">
        <v>33</v>
      </c>
    </row>
    <row r="5" spans="1:13">
      <c r="A5" s="1" t="s">
        <v>3</v>
      </c>
    </row>
    <row r="6" spans="1:13">
      <c r="A6" s="1" t="s">
        <v>28</v>
      </c>
    </row>
    <row r="7" spans="1:13">
      <c r="A7" s="1" t="s">
        <v>51</v>
      </c>
    </row>
    <row r="8" spans="1:13">
      <c r="A8" s="1" t="s">
        <v>29</v>
      </c>
    </row>
    <row r="9" spans="1:13">
      <c r="A9" s="1" t="s">
        <v>1</v>
      </c>
    </row>
    <row r="10" spans="1:13">
      <c r="A10" s="1" t="s">
        <v>2</v>
      </c>
    </row>
    <row r="12" spans="1:13">
      <c r="A12" s="1" t="s">
        <v>57</v>
      </c>
    </row>
    <row r="14" spans="1:13">
      <c r="B14" s="9" t="s">
        <v>9</v>
      </c>
      <c r="C14" s="9"/>
      <c r="D14" s="9" t="s">
        <v>12</v>
      </c>
      <c r="E14" s="9"/>
      <c r="F14" t="s">
        <v>14</v>
      </c>
      <c r="I14" t="s">
        <v>15</v>
      </c>
      <c r="K14" t="s">
        <v>25</v>
      </c>
      <c r="M14" t="s">
        <v>24</v>
      </c>
    </row>
    <row r="15" spans="1:13">
      <c r="A15" t="s">
        <v>20</v>
      </c>
      <c r="B15" t="s">
        <v>10</v>
      </c>
      <c r="C15" t="s">
        <v>11</v>
      </c>
      <c r="D15" t="s">
        <v>10</v>
      </c>
      <c r="E15" t="s">
        <v>13</v>
      </c>
      <c r="F15" t="s">
        <v>10</v>
      </c>
      <c r="G15" t="s">
        <v>11</v>
      </c>
      <c r="H15" t="s">
        <v>16</v>
      </c>
      <c r="I15" t="s">
        <v>10</v>
      </c>
      <c r="K15" t="s">
        <v>10</v>
      </c>
    </row>
    <row r="16" spans="1:13">
      <c r="A16">
        <v>2007</v>
      </c>
      <c r="B16" s="2">
        <v>149398</v>
      </c>
      <c r="C16" s="2">
        <v>5646</v>
      </c>
      <c r="D16" s="2">
        <v>120640</v>
      </c>
      <c r="E16" s="2"/>
      <c r="F16" s="2">
        <v>2660</v>
      </c>
      <c r="G16" s="2">
        <f>F16/16</f>
        <v>166.25</v>
      </c>
      <c r="H16" s="2">
        <f>100*F16/(B16+D16+F16)</f>
        <v>0.97543803034859078</v>
      </c>
      <c r="I16" s="2">
        <v>0</v>
      </c>
      <c r="K16" s="2">
        <f>B16+D16+F16+I16</f>
        <v>272698</v>
      </c>
      <c r="M16">
        <v>17286</v>
      </c>
    </row>
    <row r="17" spans="1:13">
      <c r="A17">
        <v>2008</v>
      </c>
      <c r="B17" s="2">
        <f>B16*C17/C16</f>
        <v>151620.71200850161</v>
      </c>
      <c r="C17" s="2">
        <v>5730</v>
      </c>
      <c r="D17" s="2">
        <v>136019</v>
      </c>
      <c r="E17" s="2"/>
      <c r="F17" s="2">
        <f>F16</f>
        <v>2660</v>
      </c>
      <c r="G17" s="2">
        <f t="shared" ref="G17:G28" si="0">F17/16</f>
        <v>166.25</v>
      </c>
      <c r="H17" s="2">
        <f>100*F17/(B17+D17+F17)</f>
        <v>0.91629439850153893</v>
      </c>
      <c r="I17" s="2">
        <v>0</v>
      </c>
      <c r="K17" s="2">
        <f>B17+D17+F17+I17</f>
        <v>290299.71200850164</v>
      </c>
      <c r="M17">
        <v>18261</v>
      </c>
    </row>
    <row r="18" spans="1:13">
      <c r="A18">
        <f>A17+1</f>
        <v>2009</v>
      </c>
      <c r="B18" s="2">
        <f>B17</f>
        <v>151620.71200850161</v>
      </c>
      <c r="C18" s="2">
        <f>C17</f>
        <v>5730</v>
      </c>
      <c r="D18" s="2">
        <f>D17</f>
        <v>136019</v>
      </c>
      <c r="E18" s="2"/>
      <c r="F18" s="2">
        <f>F17</f>
        <v>2660</v>
      </c>
      <c r="G18" s="2">
        <f t="shared" si="0"/>
        <v>166.25</v>
      </c>
      <c r="H18" s="2">
        <f>100*F18/(B18+D18+F18)</f>
        <v>0.91629439850153893</v>
      </c>
      <c r="I18" s="2">
        <v>0</v>
      </c>
      <c r="K18" s="2">
        <f>B18+D18+F18+I18</f>
        <v>290299.71200850164</v>
      </c>
      <c r="M18">
        <v>18261</v>
      </c>
    </row>
    <row r="19" spans="1:13">
      <c r="A19">
        <f t="shared" ref="A19:A34" si="1">A18+1</f>
        <v>2010</v>
      </c>
      <c r="B19" s="2">
        <f>K19-D19-F19</f>
        <v>98398.017446865051</v>
      </c>
      <c r="C19" s="2">
        <f>C18*(B19/B18)</f>
        <v>3718.6254602136578</v>
      </c>
      <c r="D19" s="2">
        <f>D$54</f>
        <v>136019</v>
      </c>
      <c r="E19" s="2"/>
      <c r="F19" s="2">
        <f>0.15*K19</f>
        <v>41367.70896121148</v>
      </c>
      <c r="G19" s="2">
        <f t="shared" si="0"/>
        <v>2585.4818100757175</v>
      </c>
      <c r="H19" s="2">
        <f>100*F19/(B19+D19+F19)</f>
        <v>15</v>
      </c>
      <c r="I19" s="2">
        <v>0</v>
      </c>
      <c r="K19" s="2">
        <f t="shared" ref="K19:K24" si="2">0.95*K18</f>
        <v>275784.72640807653</v>
      </c>
      <c r="M19">
        <v>14739</v>
      </c>
    </row>
    <row r="20" spans="1:13">
      <c r="A20">
        <f t="shared" si="1"/>
        <v>2011</v>
      </c>
      <c r="B20" s="2">
        <f>K20-D20-F20</f>
        <v>47377.843061370892</v>
      </c>
      <c r="C20" s="2">
        <f>C19*(B20/B19)</f>
        <v>1790.4878373505674</v>
      </c>
      <c r="D20" s="2">
        <f>D$54</f>
        <v>136019</v>
      </c>
      <c r="E20" s="2"/>
      <c r="F20" s="2">
        <f>0.3*K20</f>
        <v>78598.647026301798</v>
      </c>
      <c r="G20" s="2">
        <f t="shared" si="0"/>
        <v>4912.4154391438624</v>
      </c>
      <c r="H20" s="2">
        <f>100*F20/(B20+D20+F20)</f>
        <v>29.999999999999996</v>
      </c>
      <c r="I20" s="2">
        <v>0</v>
      </c>
      <c r="K20" s="2">
        <f t="shared" si="2"/>
        <v>261995.49008767269</v>
      </c>
      <c r="M20">
        <f>11361-600</f>
        <v>10761</v>
      </c>
    </row>
    <row r="21" spans="1:13">
      <c r="A21">
        <f t="shared" si="1"/>
        <v>2012</v>
      </c>
      <c r="B21" s="2">
        <v>0</v>
      </c>
      <c r="C21" s="2">
        <v>0</v>
      </c>
      <c r="D21" s="2">
        <f t="shared" ref="D21:D28" si="3">K21-F21-I21</f>
        <v>0</v>
      </c>
      <c r="E21" s="2"/>
      <c r="F21" s="2">
        <f t="shared" ref="F21:F28" si="4">0.3*(K21-I21)</f>
        <v>0</v>
      </c>
      <c r="G21" s="2">
        <f t="shared" si="0"/>
        <v>0</v>
      </c>
      <c r="H21" s="2"/>
      <c r="I21" s="2">
        <f t="shared" ref="I21:I28" si="5">K21</f>
        <v>248895.71558328904</v>
      </c>
      <c r="K21" s="2">
        <f t="shared" si="2"/>
        <v>248895.71558328904</v>
      </c>
      <c r="M21">
        <v>0</v>
      </c>
    </row>
    <row r="22" spans="1:13">
      <c r="A22">
        <f t="shared" si="1"/>
        <v>2013</v>
      </c>
      <c r="B22" s="2">
        <v>0</v>
      </c>
      <c r="C22" s="2">
        <v>0</v>
      </c>
      <c r="D22" s="2">
        <f t="shared" si="3"/>
        <v>0</v>
      </c>
      <c r="E22" s="2"/>
      <c r="F22" s="2">
        <f t="shared" si="4"/>
        <v>0</v>
      </c>
      <c r="G22" s="2">
        <f t="shared" si="0"/>
        <v>0</v>
      </c>
      <c r="H22" s="2"/>
      <c r="I22" s="2">
        <f t="shared" si="5"/>
        <v>236450.92980412458</v>
      </c>
      <c r="K22" s="2">
        <f t="shared" si="2"/>
        <v>236450.92980412458</v>
      </c>
      <c r="M22">
        <v>0</v>
      </c>
    </row>
    <row r="23" spans="1:13">
      <c r="A23">
        <f t="shared" si="1"/>
        <v>2014</v>
      </c>
      <c r="B23" s="2">
        <v>0</v>
      </c>
      <c r="C23" s="2">
        <v>0</v>
      </c>
      <c r="D23" s="2">
        <f t="shared" si="3"/>
        <v>0</v>
      </c>
      <c r="E23" s="2"/>
      <c r="F23" s="2">
        <f t="shared" si="4"/>
        <v>0</v>
      </c>
      <c r="G23" s="2">
        <f t="shared" si="0"/>
        <v>0</v>
      </c>
      <c r="H23" s="2"/>
      <c r="I23" s="2">
        <f t="shared" si="5"/>
        <v>224628.38331391834</v>
      </c>
      <c r="K23" s="2">
        <f t="shared" si="2"/>
        <v>224628.38331391834</v>
      </c>
      <c r="M23">
        <v>0</v>
      </c>
    </row>
    <row r="24" spans="1:13">
      <c r="A24">
        <f t="shared" si="1"/>
        <v>2015</v>
      </c>
      <c r="B24" s="2">
        <v>0</v>
      </c>
      <c r="C24" s="2">
        <v>0</v>
      </c>
      <c r="D24" s="2">
        <f t="shared" si="3"/>
        <v>0</v>
      </c>
      <c r="E24" s="2"/>
      <c r="F24" s="2">
        <f t="shared" si="4"/>
        <v>0</v>
      </c>
      <c r="G24" s="2">
        <f t="shared" si="0"/>
        <v>0</v>
      </c>
      <c r="H24" s="2"/>
      <c r="I24" s="2">
        <f t="shared" si="5"/>
        <v>213396.96414822241</v>
      </c>
      <c r="K24" s="2">
        <f t="shared" si="2"/>
        <v>213396.96414822241</v>
      </c>
      <c r="M24">
        <v>0</v>
      </c>
    </row>
    <row r="25" spans="1:13">
      <c r="A25">
        <f t="shared" si="1"/>
        <v>2016</v>
      </c>
      <c r="B25" s="2">
        <v>0</v>
      </c>
      <c r="C25" s="2">
        <v>0</v>
      </c>
      <c r="D25" s="2">
        <f t="shared" si="3"/>
        <v>0</v>
      </c>
      <c r="E25" s="2"/>
      <c r="F25" s="2">
        <f t="shared" si="4"/>
        <v>0</v>
      </c>
      <c r="G25" s="2">
        <f t="shared" si="0"/>
        <v>0</v>
      </c>
      <c r="H25" s="2"/>
      <c r="I25" s="2">
        <f t="shared" si="5"/>
        <v>213396.96414822241</v>
      </c>
      <c r="K25" s="2">
        <f>K$24</f>
        <v>213396.96414822241</v>
      </c>
      <c r="M25">
        <v>0</v>
      </c>
    </row>
    <row r="26" spans="1:13">
      <c r="A26">
        <f t="shared" si="1"/>
        <v>2017</v>
      </c>
      <c r="B26" s="2">
        <v>0</v>
      </c>
      <c r="C26" s="2">
        <v>0</v>
      </c>
      <c r="D26" s="2">
        <f t="shared" si="3"/>
        <v>0</v>
      </c>
      <c r="E26" s="2"/>
      <c r="F26" s="2">
        <f t="shared" si="4"/>
        <v>0</v>
      </c>
      <c r="G26" s="2">
        <f t="shared" si="0"/>
        <v>0</v>
      </c>
      <c r="H26" s="2"/>
      <c r="I26" s="2">
        <f t="shared" si="5"/>
        <v>213396.96414822241</v>
      </c>
      <c r="K26" s="2">
        <f t="shared" ref="K26:K34" si="6">K$24</f>
        <v>213396.96414822241</v>
      </c>
      <c r="M26">
        <v>0</v>
      </c>
    </row>
    <row r="27" spans="1:13">
      <c r="A27">
        <f t="shared" si="1"/>
        <v>2018</v>
      </c>
      <c r="B27" s="2">
        <v>0</v>
      </c>
      <c r="C27" s="2">
        <v>0</v>
      </c>
      <c r="D27" s="2">
        <f t="shared" si="3"/>
        <v>0</v>
      </c>
      <c r="E27" s="2"/>
      <c r="F27" s="2">
        <f t="shared" si="4"/>
        <v>0</v>
      </c>
      <c r="G27" s="2">
        <f t="shared" si="0"/>
        <v>0</v>
      </c>
      <c r="H27" s="2"/>
      <c r="I27" s="2">
        <f t="shared" si="5"/>
        <v>213396.96414822241</v>
      </c>
      <c r="K27" s="2">
        <f t="shared" si="6"/>
        <v>213396.96414822241</v>
      </c>
      <c r="M27">
        <v>0</v>
      </c>
    </row>
    <row r="28" spans="1:13">
      <c r="A28">
        <f t="shared" si="1"/>
        <v>2019</v>
      </c>
      <c r="B28" s="2">
        <v>0</v>
      </c>
      <c r="C28" s="2">
        <v>0</v>
      </c>
      <c r="D28" s="2">
        <f t="shared" si="3"/>
        <v>0</v>
      </c>
      <c r="E28" s="2"/>
      <c r="F28" s="2">
        <f t="shared" si="4"/>
        <v>0</v>
      </c>
      <c r="G28" s="2">
        <f t="shared" si="0"/>
        <v>0</v>
      </c>
      <c r="H28" s="2"/>
      <c r="I28" s="2">
        <f t="shared" si="5"/>
        <v>213396.96414822241</v>
      </c>
      <c r="K28" s="2">
        <f t="shared" si="6"/>
        <v>213396.96414822241</v>
      </c>
      <c r="M28">
        <v>0</v>
      </c>
    </row>
    <row r="29" spans="1:13">
      <c r="A29">
        <f t="shared" si="1"/>
        <v>2020</v>
      </c>
      <c r="B29" s="2">
        <v>0</v>
      </c>
      <c r="C29" s="2">
        <v>0</v>
      </c>
      <c r="D29" s="2">
        <v>0</v>
      </c>
      <c r="E29" s="2"/>
      <c r="F29" s="2">
        <v>0</v>
      </c>
      <c r="G29" s="2">
        <v>0</v>
      </c>
      <c r="H29" s="2"/>
      <c r="I29" s="2">
        <f t="shared" ref="I29:I34" si="7">K29</f>
        <v>213396.96414822241</v>
      </c>
      <c r="K29" s="2">
        <f t="shared" si="6"/>
        <v>213396.96414822241</v>
      </c>
      <c r="M29">
        <v>0</v>
      </c>
    </row>
    <row r="30" spans="1:13">
      <c r="A30">
        <f t="shared" si="1"/>
        <v>2021</v>
      </c>
      <c r="B30" s="2">
        <v>0</v>
      </c>
      <c r="C30" s="2">
        <v>0</v>
      </c>
      <c r="D30" s="2">
        <v>0</v>
      </c>
      <c r="E30" s="2"/>
      <c r="F30" s="2">
        <v>0</v>
      </c>
      <c r="G30" s="2"/>
      <c r="H30" s="2"/>
      <c r="I30" s="2">
        <f t="shared" si="7"/>
        <v>213396.96414822241</v>
      </c>
      <c r="K30" s="2">
        <f t="shared" si="6"/>
        <v>213396.96414822241</v>
      </c>
      <c r="M30">
        <v>0</v>
      </c>
    </row>
    <row r="31" spans="1:13">
      <c r="A31">
        <f t="shared" si="1"/>
        <v>2022</v>
      </c>
      <c r="B31" s="2">
        <v>0</v>
      </c>
      <c r="C31" s="2">
        <v>0</v>
      </c>
      <c r="D31" s="2">
        <v>0</v>
      </c>
      <c r="E31" s="2"/>
      <c r="F31" s="2">
        <v>0</v>
      </c>
      <c r="G31" s="2"/>
      <c r="H31" s="2"/>
      <c r="I31" s="2">
        <f t="shared" si="7"/>
        <v>213396.96414822241</v>
      </c>
      <c r="K31" s="2">
        <f t="shared" si="6"/>
        <v>213396.96414822241</v>
      </c>
      <c r="M31">
        <v>0</v>
      </c>
    </row>
    <row r="32" spans="1:13">
      <c r="A32">
        <f t="shared" si="1"/>
        <v>2023</v>
      </c>
      <c r="B32" s="2">
        <v>0</v>
      </c>
      <c r="C32" s="2">
        <v>0</v>
      </c>
      <c r="D32" s="2">
        <v>0</v>
      </c>
      <c r="E32" s="2"/>
      <c r="F32" s="2">
        <v>0</v>
      </c>
      <c r="G32" s="2"/>
      <c r="H32" s="2"/>
      <c r="I32" s="2">
        <f t="shared" si="7"/>
        <v>213396.96414822241</v>
      </c>
      <c r="K32" s="2">
        <f t="shared" si="6"/>
        <v>213396.96414822241</v>
      </c>
      <c r="M32">
        <v>0</v>
      </c>
    </row>
    <row r="33" spans="1:13">
      <c r="A33">
        <f t="shared" si="1"/>
        <v>2024</v>
      </c>
      <c r="B33" s="2">
        <v>0</v>
      </c>
      <c r="C33" s="2">
        <v>0</v>
      </c>
      <c r="D33" s="2">
        <v>0</v>
      </c>
      <c r="E33" s="2"/>
      <c r="F33" s="2">
        <v>0</v>
      </c>
      <c r="G33" s="2"/>
      <c r="H33" s="2"/>
      <c r="I33" s="2">
        <f t="shared" si="7"/>
        <v>213396.96414822241</v>
      </c>
      <c r="K33" s="2">
        <f t="shared" si="6"/>
        <v>213396.96414822241</v>
      </c>
      <c r="M33">
        <v>0</v>
      </c>
    </row>
    <row r="34" spans="1:13">
      <c r="A34">
        <f t="shared" si="1"/>
        <v>2025</v>
      </c>
      <c r="B34" s="2">
        <v>0</v>
      </c>
      <c r="C34" s="2">
        <v>0</v>
      </c>
      <c r="D34" s="2">
        <v>0</v>
      </c>
      <c r="E34" s="2"/>
      <c r="F34" s="2">
        <v>0</v>
      </c>
      <c r="G34" s="2"/>
      <c r="H34" s="2"/>
      <c r="I34" s="2">
        <f t="shared" si="7"/>
        <v>213396.96414822241</v>
      </c>
      <c r="K34" s="2">
        <f t="shared" si="6"/>
        <v>213396.96414822241</v>
      </c>
      <c r="M34">
        <v>0</v>
      </c>
    </row>
    <row r="38" spans="1:13">
      <c r="A38" t="s">
        <v>56</v>
      </c>
    </row>
    <row r="39" spans="1:13">
      <c r="A39" s="1" t="s">
        <v>33</v>
      </c>
    </row>
    <row r="40" spans="1:13">
      <c r="A40" s="1" t="s">
        <v>8</v>
      </c>
    </row>
    <row r="41" spans="1:13">
      <c r="A41" s="1" t="s">
        <v>4</v>
      </c>
    </row>
    <row r="42" spans="1:13">
      <c r="A42" s="1" t="s">
        <v>5</v>
      </c>
    </row>
    <row r="43" spans="1:13">
      <c r="A43" s="1" t="s">
        <v>58</v>
      </c>
    </row>
    <row r="44" spans="1:13">
      <c r="A44" s="1" t="s">
        <v>6</v>
      </c>
    </row>
    <row r="45" spans="1:13">
      <c r="A45" s="1" t="s">
        <v>7</v>
      </c>
    </row>
    <row r="46" spans="1:13">
      <c r="A46" s="1"/>
    </row>
    <row r="48" spans="1:13">
      <c r="A48" s="1" t="s">
        <v>17</v>
      </c>
    </row>
    <row r="50" spans="1:13">
      <c r="B50" s="9" t="s">
        <v>9</v>
      </c>
      <c r="C50" s="9"/>
      <c r="D50" s="9" t="s">
        <v>12</v>
      </c>
      <c r="E50" s="9"/>
      <c r="F50" t="s">
        <v>14</v>
      </c>
      <c r="I50" t="s">
        <v>15</v>
      </c>
      <c r="K50" t="s">
        <v>25</v>
      </c>
      <c r="M50" t="s">
        <v>24</v>
      </c>
    </row>
    <row r="51" spans="1:13">
      <c r="A51" t="s">
        <v>20</v>
      </c>
      <c r="B51" t="s">
        <v>10</v>
      </c>
      <c r="C51" t="s">
        <v>11</v>
      </c>
      <c r="D51" t="s">
        <v>10</v>
      </c>
      <c r="E51" t="s">
        <v>13</v>
      </c>
      <c r="F51" t="s">
        <v>10</v>
      </c>
      <c r="G51" t="s">
        <v>11</v>
      </c>
      <c r="H51" t="s">
        <v>16</v>
      </c>
      <c r="I51" t="s">
        <v>10</v>
      </c>
      <c r="K51" t="s">
        <v>10</v>
      </c>
    </row>
    <row r="52" spans="1:13">
      <c r="A52">
        <v>2007</v>
      </c>
      <c r="B52" s="2">
        <v>149398</v>
      </c>
      <c r="C52" s="2">
        <v>5646</v>
      </c>
      <c r="D52" s="2">
        <v>120640</v>
      </c>
      <c r="E52" s="2"/>
      <c r="F52" s="2">
        <v>2660</v>
      </c>
      <c r="G52" s="2">
        <f>F52/16</f>
        <v>166.25</v>
      </c>
      <c r="H52" s="2">
        <f>100*F52/(B52+D52+F52)</f>
        <v>0.97543803034859078</v>
      </c>
      <c r="I52" s="2">
        <v>0</v>
      </c>
      <c r="K52" s="2">
        <f>B52+D52+F52+I52</f>
        <v>272698</v>
      </c>
      <c r="M52">
        <v>17286</v>
      </c>
    </row>
    <row r="53" spans="1:13">
      <c r="A53">
        <v>2008</v>
      </c>
      <c r="B53" s="2">
        <f>B52*C53/C52</f>
        <v>151620.71200850161</v>
      </c>
      <c r="C53" s="2">
        <v>5730</v>
      </c>
      <c r="D53" s="2">
        <v>136019</v>
      </c>
      <c r="E53" s="2"/>
      <c r="F53" s="2">
        <f>F52</f>
        <v>2660</v>
      </c>
      <c r="G53" s="2">
        <f t="shared" ref="G53:G64" si="8">F53/16</f>
        <v>166.25</v>
      </c>
      <c r="H53" s="2">
        <f t="shared" ref="H53:H64" si="9">100*F53/(B53+D53+F53)</f>
        <v>0.91629439850153893</v>
      </c>
      <c r="I53" s="2">
        <v>0</v>
      </c>
      <c r="K53" s="2">
        <f>B53+D53+F53+I53</f>
        <v>290299.71200850164</v>
      </c>
      <c r="M53">
        <v>18261</v>
      </c>
    </row>
    <row r="54" spans="1:13">
      <c r="A54">
        <f>A53+1</f>
        <v>2009</v>
      </c>
      <c r="B54" s="2">
        <f>B53</f>
        <v>151620.71200850161</v>
      </c>
      <c r="C54" s="2">
        <f>C53</f>
        <v>5730</v>
      </c>
      <c r="D54" s="2">
        <f>D53</f>
        <v>136019</v>
      </c>
      <c r="E54" s="2"/>
      <c r="F54" s="2">
        <f>F53</f>
        <v>2660</v>
      </c>
      <c r="G54" s="2">
        <f t="shared" si="8"/>
        <v>166.25</v>
      </c>
      <c r="H54" s="2">
        <f t="shared" si="9"/>
        <v>0.91629439850153893</v>
      </c>
      <c r="I54" s="2">
        <v>0</v>
      </c>
      <c r="K54" s="2">
        <f>B54+D54+F54+I54</f>
        <v>290299.71200850164</v>
      </c>
      <c r="M54">
        <v>18261</v>
      </c>
    </row>
    <row r="55" spans="1:13">
      <c r="A55">
        <f t="shared" ref="A55:A70" si="10">A54+1</f>
        <v>2010</v>
      </c>
      <c r="B55" s="2">
        <f>K55-D55-F55</f>
        <v>117412.64858342192</v>
      </c>
      <c r="C55" s="2">
        <f>C54*(B55/B54)</f>
        <v>4437.2201361597881</v>
      </c>
      <c r="D55" s="2">
        <f>D$54</f>
        <v>136019</v>
      </c>
      <c r="E55" s="2"/>
      <c r="F55" s="2">
        <f>0.1*K55</f>
        <v>28159.072064824661</v>
      </c>
      <c r="G55" s="2">
        <f t="shared" si="8"/>
        <v>1759.9420040515413</v>
      </c>
      <c r="H55" s="2">
        <f t="shared" si="9"/>
        <v>10</v>
      </c>
      <c r="I55" s="2">
        <v>0</v>
      </c>
      <c r="K55" s="2">
        <f>0.97*K54</f>
        <v>281590.72064824658</v>
      </c>
      <c r="M55">
        <v>16002</v>
      </c>
    </row>
    <row r="56" spans="1:13">
      <c r="A56">
        <f t="shared" si="10"/>
        <v>2011</v>
      </c>
      <c r="B56" s="2">
        <f>K56-D56-F56</f>
        <v>91235.975191960897</v>
      </c>
      <c r="C56" s="2">
        <f>C55*(B56/B55)</f>
        <v>3447.95991869912</v>
      </c>
      <c r="D56" s="2">
        <f>D$54</f>
        <v>136019</v>
      </c>
      <c r="E56" s="2"/>
      <c r="F56" s="2">
        <f>0.2*K56</f>
        <v>56813.743797990232</v>
      </c>
      <c r="G56" s="2">
        <f t="shared" si="8"/>
        <v>3550.8589873743895</v>
      </c>
      <c r="H56" s="2">
        <f t="shared" si="9"/>
        <v>20.000000000000004</v>
      </c>
      <c r="I56" s="2">
        <v>0</v>
      </c>
      <c r="K56" s="2">
        <f>1.04*0.97*K55</f>
        <v>284068.71898995113</v>
      </c>
      <c r="M56">
        <f>14357-600</f>
        <v>13757</v>
      </c>
    </row>
    <row r="57" spans="1:13">
      <c r="A57">
        <f t="shared" si="10"/>
        <v>2012</v>
      </c>
      <c r="B57" s="2">
        <f>K57-D57-F57</f>
        <v>56863.660194176802</v>
      </c>
      <c r="C57" s="2">
        <f>C56*(B57/B56)</f>
        <v>2148.9727135324579</v>
      </c>
      <c r="D57" s="2">
        <f>D$54</f>
        <v>136019</v>
      </c>
      <c r="E57" s="2"/>
      <c r="F57" s="2">
        <f>0.3*K57</f>
        <v>82663.997226075764</v>
      </c>
      <c r="G57" s="2">
        <f t="shared" si="8"/>
        <v>5166.4998266297353</v>
      </c>
      <c r="H57" s="2">
        <f t="shared" si="9"/>
        <v>29.999999999999996</v>
      </c>
      <c r="I57" s="2">
        <v>0</v>
      </c>
      <c r="K57" s="2">
        <f t="shared" ref="K57:K62" si="11">0.97*K56</f>
        <v>275546.65742025257</v>
      </c>
      <c r="M57">
        <f>12089-600</f>
        <v>11489</v>
      </c>
    </row>
    <row r="58" spans="1:13">
      <c r="A58">
        <f t="shared" si="10"/>
        <v>2013</v>
      </c>
      <c r="B58" s="2">
        <f>K58-D58-F58</f>
        <v>51077.180388351495</v>
      </c>
      <c r="C58" s="2">
        <f>C57*(B58/B57)</f>
        <v>1930.2919749436569</v>
      </c>
      <c r="D58" s="2">
        <f>D$54</f>
        <v>136019</v>
      </c>
      <c r="E58" s="2"/>
      <c r="F58" s="2">
        <f>0.3*K58</f>
        <v>80184.077309293498</v>
      </c>
      <c r="G58" s="2">
        <f t="shared" si="8"/>
        <v>5011.5048318308436</v>
      </c>
      <c r="H58" s="2">
        <f t="shared" si="9"/>
        <v>30</v>
      </c>
      <c r="I58" s="2">
        <v>0</v>
      </c>
      <c r="K58" s="2">
        <f t="shared" si="11"/>
        <v>267280.25769764499</v>
      </c>
      <c r="M58">
        <f>11645-600</f>
        <v>11045</v>
      </c>
    </row>
    <row r="59" spans="1:13">
      <c r="A59">
        <f t="shared" si="10"/>
        <v>2014</v>
      </c>
      <c r="B59" s="2">
        <f>K59-D59-F59</f>
        <v>45464.294976700956</v>
      </c>
      <c r="C59" s="2">
        <f>C58*(B59/B58)</f>
        <v>1718.1716585125203</v>
      </c>
      <c r="D59" s="2">
        <f>D$54</f>
        <v>136019</v>
      </c>
      <c r="E59" s="2"/>
      <c r="F59" s="2">
        <f>0.3*K59</f>
        <v>77778.554990014687</v>
      </c>
      <c r="G59" s="2">
        <f t="shared" si="8"/>
        <v>4861.1596868759179</v>
      </c>
      <c r="H59" s="2">
        <f t="shared" si="9"/>
        <v>29.999999999999993</v>
      </c>
      <c r="I59" s="2">
        <v>0</v>
      </c>
      <c r="K59" s="2">
        <f t="shared" si="11"/>
        <v>259261.84996671564</v>
      </c>
      <c r="M59">
        <f>11214-600</f>
        <v>10614</v>
      </c>
    </row>
    <row r="60" spans="1:13">
      <c r="A60">
        <f t="shared" si="10"/>
        <v>2015</v>
      </c>
      <c r="B60" s="2">
        <v>0</v>
      </c>
      <c r="C60" s="2">
        <v>0</v>
      </c>
      <c r="D60" s="2">
        <f>K60-F60-I60</f>
        <v>57038.796127399924</v>
      </c>
      <c r="E60" s="2"/>
      <c r="F60" s="2">
        <f>0.3*(K60-I60)</f>
        <v>24445.198340314248</v>
      </c>
      <c r="G60" s="2">
        <f t="shared" si="8"/>
        <v>1527.8248962696405</v>
      </c>
      <c r="H60" s="2">
        <f t="shared" si="9"/>
        <v>29.999999999999996</v>
      </c>
      <c r="I60" s="2">
        <v>170000</v>
      </c>
      <c r="K60" s="2">
        <f t="shared" si="11"/>
        <v>251483.99446771416</v>
      </c>
      <c r="M60">
        <f>3240-600</f>
        <v>2640</v>
      </c>
    </row>
    <row r="61" spans="1:13">
      <c r="A61">
        <f t="shared" si="10"/>
        <v>2016</v>
      </c>
      <c r="B61" s="2">
        <v>0</v>
      </c>
      <c r="C61" s="2">
        <v>0</v>
      </c>
      <c r="D61" s="2">
        <f>K61-F61-I61</f>
        <v>51757.632243577915</v>
      </c>
      <c r="E61" s="2"/>
      <c r="F61" s="2">
        <f>0.3*(K61-I61)</f>
        <v>22181.842390104815</v>
      </c>
      <c r="G61" s="2">
        <f t="shared" si="8"/>
        <v>1386.365149381551</v>
      </c>
      <c r="H61" s="2">
        <f t="shared" si="9"/>
        <v>30</v>
      </c>
      <c r="I61" s="2">
        <v>170000</v>
      </c>
      <c r="K61" s="2">
        <f t="shared" si="11"/>
        <v>243939.47463368272</v>
      </c>
      <c r="M61">
        <f>2940-600</f>
        <v>2340</v>
      </c>
    </row>
    <row r="62" spans="1:13">
      <c r="A62">
        <f t="shared" si="10"/>
        <v>2017</v>
      </c>
      <c r="B62" s="2">
        <v>0</v>
      </c>
      <c r="C62" s="2">
        <v>0</v>
      </c>
      <c r="D62" s="2">
        <f>K62-F62-I62</f>
        <v>46634.903276270546</v>
      </c>
      <c r="E62" s="2"/>
      <c r="F62" s="2">
        <f>0.3*(K62-I62)</f>
        <v>19986.387118401664</v>
      </c>
      <c r="G62" s="2">
        <f t="shared" si="8"/>
        <v>1249.149194900104</v>
      </c>
      <c r="H62" s="2">
        <f t="shared" si="9"/>
        <v>30.000000000000004</v>
      </c>
      <c r="I62" s="2">
        <v>170000</v>
      </c>
      <c r="K62" s="2">
        <f t="shared" si="11"/>
        <v>236621.29039467222</v>
      </c>
      <c r="M62">
        <f>2649-600</f>
        <v>2049</v>
      </c>
    </row>
    <row r="63" spans="1:13">
      <c r="A63">
        <f t="shared" si="10"/>
        <v>2018</v>
      </c>
      <c r="B63" s="2">
        <v>0</v>
      </c>
      <c r="C63" s="2">
        <v>0</v>
      </c>
      <c r="D63" s="2">
        <f>K63-F63-I63</f>
        <v>46634.903276270546</v>
      </c>
      <c r="E63" s="2"/>
      <c r="F63" s="2">
        <f>0.3*(K63-I63)</f>
        <v>19986.387118401664</v>
      </c>
      <c r="G63" s="2">
        <f t="shared" si="8"/>
        <v>1249.149194900104</v>
      </c>
      <c r="H63" s="2">
        <f t="shared" si="9"/>
        <v>30.000000000000004</v>
      </c>
      <c r="I63" s="2">
        <v>170000</v>
      </c>
      <c r="K63" s="2">
        <f>K$62</f>
        <v>236621.29039467222</v>
      </c>
      <c r="M63">
        <f>2649-600</f>
        <v>2049</v>
      </c>
    </row>
    <row r="64" spans="1:13">
      <c r="A64">
        <f t="shared" si="10"/>
        <v>2019</v>
      </c>
      <c r="B64" s="2">
        <v>0</v>
      </c>
      <c r="C64" s="2">
        <v>0</v>
      </c>
      <c r="D64" s="2">
        <f>K64-F64-I64</f>
        <v>46634.903276270546</v>
      </c>
      <c r="E64" s="2"/>
      <c r="F64" s="2">
        <f>0.3*(K64-I64)</f>
        <v>19986.387118401664</v>
      </c>
      <c r="G64" s="2">
        <f t="shared" si="8"/>
        <v>1249.149194900104</v>
      </c>
      <c r="H64" s="2">
        <f t="shared" si="9"/>
        <v>30.000000000000004</v>
      </c>
      <c r="I64" s="2">
        <v>170000</v>
      </c>
      <c r="K64" s="2">
        <f t="shared" ref="K64:K70" si="12">K$62</f>
        <v>236621.29039467222</v>
      </c>
      <c r="M64">
        <f>2649-600</f>
        <v>2049</v>
      </c>
    </row>
    <row r="65" spans="1:13">
      <c r="A65">
        <f t="shared" si="10"/>
        <v>2020</v>
      </c>
      <c r="B65" s="2">
        <v>0</v>
      </c>
      <c r="C65" s="2">
        <v>0</v>
      </c>
      <c r="D65" s="2">
        <v>0</v>
      </c>
      <c r="E65" s="2"/>
      <c r="F65" s="2">
        <v>0</v>
      </c>
      <c r="G65" s="2">
        <v>0</v>
      </c>
      <c r="H65" s="2"/>
      <c r="I65" s="2">
        <f t="shared" ref="I65:I70" si="13">K65</f>
        <v>236621.29039467222</v>
      </c>
      <c r="K65" s="2">
        <f t="shared" si="12"/>
        <v>236621.29039467222</v>
      </c>
      <c r="M65">
        <v>0</v>
      </c>
    </row>
    <row r="66" spans="1:13">
      <c r="A66">
        <f t="shared" si="10"/>
        <v>2021</v>
      </c>
      <c r="B66" s="2">
        <v>0</v>
      </c>
      <c r="C66" s="2">
        <v>0</v>
      </c>
      <c r="D66" s="2">
        <v>0</v>
      </c>
      <c r="E66" s="2"/>
      <c r="F66" s="2">
        <v>0</v>
      </c>
      <c r="G66" s="2"/>
      <c r="H66" s="2"/>
      <c r="I66" s="2">
        <f t="shared" si="13"/>
        <v>236621.29039467222</v>
      </c>
      <c r="K66" s="2">
        <f t="shared" si="12"/>
        <v>236621.29039467222</v>
      </c>
      <c r="M66">
        <v>0</v>
      </c>
    </row>
    <row r="67" spans="1:13">
      <c r="A67">
        <f t="shared" si="10"/>
        <v>2022</v>
      </c>
      <c r="B67" s="2">
        <v>0</v>
      </c>
      <c r="C67" s="2">
        <v>0</v>
      </c>
      <c r="D67" s="2">
        <v>0</v>
      </c>
      <c r="E67" s="2"/>
      <c r="F67" s="2">
        <v>0</v>
      </c>
      <c r="G67" s="2"/>
      <c r="H67" s="2"/>
      <c r="I67" s="2">
        <f t="shared" si="13"/>
        <v>236621.29039467222</v>
      </c>
      <c r="K67" s="2">
        <f t="shared" si="12"/>
        <v>236621.29039467222</v>
      </c>
      <c r="M67">
        <v>0</v>
      </c>
    </row>
    <row r="68" spans="1:13">
      <c r="A68">
        <f t="shared" si="10"/>
        <v>2023</v>
      </c>
      <c r="B68" s="2">
        <v>0</v>
      </c>
      <c r="C68" s="2">
        <v>0</v>
      </c>
      <c r="D68" s="2">
        <v>0</v>
      </c>
      <c r="E68" s="2"/>
      <c r="F68" s="2">
        <v>0</v>
      </c>
      <c r="G68" s="2"/>
      <c r="H68" s="2"/>
      <c r="I68" s="2">
        <f t="shared" si="13"/>
        <v>236621.29039467222</v>
      </c>
      <c r="K68" s="2">
        <f t="shared" si="12"/>
        <v>236621.29039467222</v>
      </c>
      <c r="M68">
        <v>0</v>
      </c>
    </row>
    <row r="69" spans="1:13">
      <c r="A69">
        <f t="shared" si="10"/>
        <v>2024</v>
      </c>
      <c r="B69" s="2">
        <v>0</v>
      </c>
      <c r="C69" s="2">
        <v>0</v>
      </c>
      <c r="D69" s="2">
        <v>0</v>
      </c>
      <c r="E69" s="2"/>
      <c r="F69" s="2">
        <v>0</v>
      </c>
      <c r="G69" s="2"/>
      <c r="H69" s="2"/>
      <c r="I69" s="2">
        <f t="shared" si="13"/>
        <v>236621.29039467222</v>
      </c>
      <c r="K69" s="2">
        <f t="shared" si="12"/>
        <v>236621.29039467222</v>
      </c>
      <c r="M69">
        <v>0</v>
      </c>
    </row>
    <row r="70" spans="1:13">
      <c r="A70">
        <f t="shared" si="10"/>
        <v>2025</v>
      </c>
      <c r="B70" s="2">
        <v>0</v>
      </c>
      <c r="C70" s="2">
        <v>0</v>
      </c>
      <c r="D70" s="2">
        <v>0</v>
      </c>
      <c r="E70" s="2"/>
      <c r="F70" s="2">
        <v>0</v>
      </c>
      <c r="G70" s="2"/>
      <c r="H70" s="2"/>
      <c r="I70" s="2">
        <f t="shared" si="13"/>
        <v>236621.29039467222</v>
      </c>
      <c r="K70" s="2">
        <f t="shared" si="12"/>
        <v>236621.29039467222</v>
      </c>
      <c r="M70">
        <v>0</v>
      </c>
    </row>
  </sheetData>
  <mergeCells count="4">
    <mergeCell ref="B50:C50"/>
    <mergeCell ref="D50:E50"/>
    <mergeCell ref="B14:C14"/>
    <mergeCell ref="D14:E14"/>
  </mergeCells>
  <phoneticPr fontId="3" type="noConversion"/>
  <pageMargins left="0.75" right="0.75" top="1" bottom="1" header="0.5" footer="0.5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1 Final</vt:lpstr>
      <vt:lpstr>SCENARIO 2 Final</vt:lpstr>
      <vt:lpstr>Offsets</vt:lpstr>
      <vt:lpstr>Heating fuel projections</vt:lpstr>
    </vt:vector>
  </TitlesOfParts>
  <Company>University of Wisconsin Oshkosh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Lizotte</dc:creator>
  <cp:lastModifiedBy>Allison Reineck</cp:lastModifiedBy>
  <dcterms:created xsi:type="dcterms:W3CDTF">2009-10-29T03:31:22Z</dcterms:created>
  <dcterms:modified xsi:type="dcterms:W3CDTF">2011-05-17T15:16:24Z</dcterms:modified>
</cp:coreProperties>
</file>