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135" windowHeight="8130" activeTab="1"/>
  </bookViews>
  <sheets>
    <sheet name="Calendario" sheetId="1" r:id="rId1"/>
    <sheet name="Classifica" sheetId="2" r:id="rId2"/>
  </sheets>
  <definedNames>
    <definedName name="_xlnm._FilterDatabase" localSheetId="1" hidden="1">Classifica!$E$4:$E$23</definedName>
  </definedNames>
  <calcPr calcId="125725"/>
</workbook>
</file>

<file path=xl/calcChain.xml><?xml version="1.0" encoding="utf-8"?>
<calcChain xmlns="http://schemas.openxmlformats.org/spreadsheetml/2006/main">
  <c r="Q11" i="2"/>
  <c r="P11"/>
  <c r="Q21"/>
  <c r="P21"/>
  <c r="Q7"/>
  <c r="P7"/>
  <c r="Q18"/>
  <c r="P18"/>
  <c r="Q10"/>
  <c r="P10"/>
  <c r="Q6"/>
  <c r="P6"/>
  <c r="Q20"/>
  <c r="P20"/>
  <c r="Q5"/>
  <c r="P5"/>
  <c r="Q17"/>
  <c r="P17"/>
  <c r="Q9"/>
  <c r="P9"/>
  <c r="Q8"/>
  <c r="P8"/>
  <c r="Q15"/>
  <c r="P15"/>
  <c r="Q4"/>
  <c r="P4"/>
  <c r="Q13"/>
  <c r="P13"/>
  <c r="Q23"/>
  <c r="P23"/>
  <c r="Q19"/>
  <c r="P19"/>
  <c r="Q16"/>
  <c r="P16"/>
  <c r="Q12"/>
  <c r="P12"/>
  <c r="Q14"/>
  <c r="P14"/>
  <c r="Q22"/>
  <c r="P22"/>
  <c r="E8"/>
  <c r="F8"/>
  <c r="G8"/>
  <c r="H8"/>
  <c r="L8"/>
  <c r="S8"/>
  <c r="S15"/>
  <c r="S18"/>
  <c r="S13"/>
  <c r="S11"/>
  <c r="S6"/>
  <c r="S4"/>
  <c r="S7"/>
  <c r="S20"/>
  <c r="S5"/>
  <c r="S22"/>
  <c r="S19"/>
  <c r="S17"/>
  <c r="S9"/>
  <c r="S12"/>
  <c r="S14"/>
  <c r="S21"/>
  <c r="S10"/>
  <c r="S23"/>
  <c r="S16"/>
  <c r="E18"/>
  <c r="E22"/>
  <c r="L16"/>
  <c r="L19"/>
  <c r="L23"/>
  <c r="L13"/>
  <c r="L4"/>
  <c r="L15"/>
  <c r="L9"/>
  <c r="L17"/>
  <c r="L5"/>
  <c r="L20"/>
  <c r="L6"/>
  <c r="L12"/>
  <c r="L10"/>
  <c r="L18"/>
  <c r="L7"/>
  <c r="L21"/>
  <c r="L14"/>
  <c r="L11"/>
  <c r="H16"/>
  <c r="H19"/>
  <c r="H23"/>
  <c r="H13"/>
  <c r="H4"/>
  <c r="H15"/>
  <c r="H9"/>
  <c r="H17"/>
  <c r="H5"/>
  <c r="H20"/>
  <c r="H6"/>
  <c r="H12"/>
  <c r="H10"/>
  <c r="H18"/>
  <c r="H7"/>
  <c r="H21"/>
  <c r="H14"/>
  <c r="H11"/>
  <c r="G16"/>
  <c r="G19"/>
  <c r="G23"/>
  <c r="G13"/>
  <c r="G4"/>
  <c r="G15"/>
  <c r="G9"/>
  <c r="G17"/>
  <c r="G5"/>
  <c r="G20"/>
  <c r="G6"/>
  <c r="G12"/>
  <c r="G10"/>
  <c r="G18"/>
  <c r="G7"/>
  <c r="G21"/>
  <c r="G14"/>
  <c r="G11"/>
  <c r="F16"/>
  <c r="F19"/>
  <c r="F23"/>
  <c r="F13"/>
  <c r="F4"/>
  <c r="F15"/>
  <c r="F9"/>
  <c r="F17"/>
  <c r="F5"/>
  <c r="F20"/>
  <c r="F6"/>
  <c r="F12"/>
  <c r="F10"/>
  <c r="F18"/>
  <c r="F7"/>
  <c r="F21"/>
  <c r="F14"/>
  <c r="F11"/>
  <c r="E16"/>
  <c r="E19"/>
  <c r="E23"/>
  <c r="E13"/>
  <c r="E4"/>
  <c r="E15"/>
  <c r="E5"/>
  <c r="E9"/>
  <c r="E17"/>
  <c r="E20"/>
  <c r="E6"/>
  <c r="E12"/>
  <c r="E10"/>
  <c r="E7"/>
  <c r="E21"/>
  <c r="E14"/>
  <c r="E11"/>
  <c r="G22"/>
  <c r="F22"/>
  <c r="L22"/>
  <c r="H22"/>
  <c r="R8" l="1"/>
  <c r="C11"/>
  <c r="C21"/>
  <c r="D8"/>
  <c r="C8"/>
  <c r="C14"/>
  <c r="C7"/>
  <c r="C10"/>
  <c r="C5"/>
  <c r="C9"/>
  <c r="C15"/>
  <c r="C13"/>
  <c r="C19"/>
  <c r="C6"/>
  <c r="C12"/>
  <c r="C20"/>
  <c r="C17"/>
  <c r="C4"/>
  <c r="C23"/>
  <c r="C16"/>
  <c r="C18"/>
  <c r="C22"/>
  <c r="R18"/>
  <c r="R6"/>
  <c r="R20"/>
  <c r="R5"/>
  <c r="R17"/>
  <c r="R9"/>
  <c r="R12"/>
  <c r="R16"/>
  <c r="R19"/>
  <c r="R23"/>
  <c r="R13"/>
  <c r="R4"/>
  <c r="R10"/>
  <c r="R7"/>
  <c r="R15"/>
  <c r="R21"/>
  <c r="R14"/>
  <c r="R11"/>
  <c r="R22"/>
  <c r="D4"/>
  <c r="D17"/>
  <c r="D16"/>
  <c r="D10"/>
  <c r="D15"/>
  <c r="D12"/>
  <c r="D9"/>
  <c r="D19"/>
  <c r="D5"/>
  <c r="D7"/>
  <c r="D6"/>
  <c r="D21"/>
  <c r="D20"/>
  <c r="D23"/>
  <c r="D13"/>
  <c r="D14"/>
  <c r="D22"/>
  <c r="D11"/>
  <c r="D18"/>
</calcChain>
</file>

<file path=xl/sharedStrings.xml><?xml version="1.0" encoding="utf-8"?>
<sst xmlns="http://schemas.openxmlformats.org/spreadsheetml/2006/main" count="485" uniqueCount="98">
  <si>
    <t>Sampdoria</t>
  </si>
  <si>
    <t>Fiorentina</t>
  </si>
  <si>
    <t>Genoa</t>
  </si>
  <si>
    <t>Inter</t>
  </si>
  <si>
    <t>Juventus</t>
  </si>
  <si>
    <t>Napoli</t>
  </si>
  <si>
    <t>Palermo</t>
  </si>
  <si>
    <t>Roma</t>
  </si>
  <si>
    <t>Udinese</t>
  </si>
  <si>
    <t>Lazio</t>
  </si>
  <si>
    <t>Siena</t>
  </si>
  <si>
    <t>Atalanta</t>
  </si>
  <si>
    <t>Cagliari</t>
  </si>
  <si>
    <t>Catania</t>
  </si>
  <si>
    <t>Milan</t>
  </si>
  <si>
    <t>Squadra</t>
  </si>
  <si>
    <t>Punti</t>
  </si>
  <si>
    <t>Totale</t>
  </si>
  <si>
    <t>Giocate</t>
  </si>
  <si>
    <t>Vinte</t>
  </si>
  <si>
    <t>Nulle</t>
  </si>
  <si>
    <t>Perse</t>
  </si>
  <si>
    <t>In casa</t>
  </si>
  <si>
    <t>Fuori casa</t>
  </si>
  <si>
    <t>Reti</t>
  </si>
  <si>
    <t>Fatte</t>
  </si>
  <si>
    <t>Subite</t>
  </si>
  <si>
    <t>Retrocessione in Serie B</t>
  </si>
  <si>
    <t>Preliminari di "Champions League"</t>
  </si>
  <si>
    <t>Accesso diretto alla "Champions League"</t>
  </si>
  <si>
    <t>Campione d'Italia (accesso diretto alla "Champions League")</t>
  </si>
  <si>
    <t>Media inglese</t>
  </si>
  <si>
    <t>Diff.</t>
  </si>
  <si>
    <r>
      <t>1</t>
    </r>
    <r>
      <rPr>
        <vertAlign val="superscript"/>
        <sz val="10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giornata</t>
    </r>
  </si>
  <si>
    <r>
      <t>8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giornata</t>
    </r>
  </si>
  <si>
    <r>
      <t>14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giornata</t>
    </r>
  </si>
  <si>
    <r>
      <t>2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giornata</t>
    </r>
  </si>
  <si>
    <r>
      <t>9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giornata</t>
    </r>
  </si>
  <si>
    <r>
      <t>15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giornata</t>
    </r>
  </si>
  <si>
    <r>
      <t>3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giornata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</si>
  <si>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giornata</t>
    </r>
  </si>
  <si>
    <r>
      <t>16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giornata</t>
    </r>
  </si>
  <si>
    <r>
      <t>4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giornata</t>
    </r>
  </si>
  <si>
    <r>
      <t>11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giornata</t>
    </r>
  </si>
  <si>
    <r>
      <t>17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giornata</t>
    </r>
  </si>
  <si>
    <r>
      <t>5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giornata</t>
    </r>
  </si>
  <si>
    <r>
      <t>12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giornata</t>
    </r>
  </si>
  <si>
    <r>
      <t>18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giornata</t>
    </r>
  </si>
  <si>
    <r>
      <t>6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giornata</t>
    </r>
  </si>
  <si>
    <r>
      <t>13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giornata</t>
    </r>
  </si>
  <si>
    <r>
      <t>19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giornata</t>
    </r>
  </si>
  <si>
    <r>
      <t>7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giornata</t>
    </r>
  </si>
  <si>
    <t>Chievo</t>
  </si>
  <si>
    <t>Bologna</t>
  </si>
  <si>
    <t>Legenda</t>
  </si>
  <si>
    <t>"Europa League"</t>
  </si>
  <si>
    <t>Bari</t>
  </si>
  <si>
    <t>Parma</t>
  </si>
  <si>
    <t>Livorno</t>
  </si>
  <si>
    <t>Andata 23/08/09</t>
  </si>
  <si>
    <t>Ritorno 17/01/10</t>
  </si>
  <si>
    <t xml:space="preserve">Genoa </t>
  </si>
  <si>
    <t>Andata 30/08/09</t>
  </si>
  <si>
    <t>Ritorno 24/01/10</t>
  </si>
  <si>
    <t>Andata 13/09/09</t>
  </si>
  <si>
    <t>Ritorno 31/01/10</t>
  </si>
  <si>
    <t>Andata 20/09/09</t>
  </si>
  <si>
    <t>Ritorno 07/02/10</t>
  </si>
  <si>
    <t>Andata 23/09/09</t>
  </si>
  <si>
    <t>Ritorno 14/02/10</t>
  </si>
  <si>
    <t>Andata 27/09/09</t>
  </si>
  <si>
    <t>Ritorno 21/02/10</t>
  </si>
  <si>
    <t>Andata 04/10/09</t>
  </si>
  <si>
    <t>Ritorno 28/02/10</t>
  </si>
  <si>
    <t>Andata 18/10/09</t>
  </si>
  <si>
    <t>Ritorno 07/03/10</t>
  </si>
  <si>
    <t>Andata 25/10/09</t>
  </si>
  <si>
    <t>Ritorno 14/03/10</t>
  </si>
  <si>
    <t>Andata 28/10/09</t>
  </si>
  <si>
    <t>Ritorno 21/03/10</t>
  </si>
  <si>
    <t>Andata 01/11/09</t>
  </si>
  <si>
    <t>Ritorno 24/03/10</t>
  </si>
  <si>
    <t>Andata 08/11/09</t>
  </si>
  <si>
    <t>Ritorno 28/03/10</t>
  </si>
  <si>
    <t>Andata 22/11/09</t>
  </si>
  <si>
    <t>Ritorno 04/04/10</t>
  </si>
  <si>
    <t>Andata 29/11/09</t>
  </si>
  <si>
    <t>Ritorno 11/04/10</t>
  </si>
  <si>
    <t>Andata 06/12/09</t>
  </si>
  <si>
    <t>Ritorno 18/04/10</t>
  </si>
  <si>
    <t>Andata 13/12/09</t>
  </si>
  <si>
    <t>Ritorno 25/04/10</t>
  </si>
  <si>
    <t>Andata 20/12/09</t>
  </si>
  <si>
    <t>Ritorno 02/05/10</t>
  </si>
  <si>
    <t>Ritorno 09/05/10</t>
  </si>
  <si>
    <t>Andata 06/01/10</t>
  </si>
  <si>
    <t>Andata 10/01/10</t>
  </si>
  <si>
    <t>Ritorno 16/05/10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</si>
</sst>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8"/>
      <color theme="1"/>
      <name val="Arial Black"/>
      <family val="2"/>
    </font>
    <font>
      <b/>
      <sz val="8"/>
      <color theme="8" tint="-0.24994659260841701"/>
      <name val="Arial Black"/>
      <family val="2"/>
    </font>
    <font>
      <b/>
      <sz val="8"/>
      <color rgb="FFFF0000"/>
      <name val="Arial Black"/>
      <family val="2"/>
    </font>
    <font>
      <b/>
      <sz val="8"/>
      <color theme="8" tint="0.39994506668294322"/>
      <name val="Arial Black"/>
      <family val="2"/>
    </font>
    <font>
      <b/>
      <sz val="8"/>
      <color theme="0"/>
      <name val="Arial Black"/>
      <family val="2"/>
    </font>
    <font>
      <b/>
      <sz val="11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8"/>
      <color rgb="FFFFFF00"/>
      <name val="Arial Black"/>
      <family val="2"/>
    </font>
    <font>
      <b/>
      <sz val="8"/>
      <color rgb="FF0070C0"/>
      <name val="Arial Black"/>
      <family val="2"/>
    </font>
  </fonts>
  <fills count="17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00B0F0"/>
        <bgColor indexed="64"/>
      </patternFill>
    </fill>
    <fill>
      <gradientFill>
        <stop position="0">
          <color rgb="FF00B050"/>
        </stop>
        <stop position="1">
          <color rgb="FFFF0000"/>
        </stop>
      </gradient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B33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 shrinkToFit="1"/>
    </xf>
    <xf numFmtId="0" fontId="0" fillId="13" borderId="1" xfId="0" applyFill="1" applyBorder="1" applyAlignment="1">
      <alignment horizontal="center" shrinkToFit="1"/>
    </xf>
    <xf numFmtId="0" fontId="0" fillId="6" borderId="1" xfId="0" applyFill="1" applyBorder="1" applyAlignment="1">
      <alignment horizontal="center" shrinkToFit="1"/>
    </xf>
    <xf numFmtId="0" fontId="0" fillId="0" borderId="1" xfId="0" applyNumberFormat="1" applyBorder="1" applyAlignment="1">
      <alignment horizontal="center"/>
    </xf>
    <xf numFmtId="0" fontId="0" fillId="14" borderId="1" xfId="0" applyFill="1" applyBorder="1" applyAlignment="1">
      <alignment horizontal="center" shrinkToFit="1"/>
    </xf>
    <xf numFmtId="0" fontId="0" fillId="9" borderId="1" xfId="0" applyFill="1" applyBorder="1" applyAlignment="1">
      <alignment horizontal="center" shrinkToFit="1"/>
    </xf>
    <xf numFmtId="0" fontId="0" fillId="15" borderId="1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9" fillId="11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6" fillId="0" borderId="2" xfId="0" applyFont="1" applyBorder="1" applyAlignment="1">
      <alignment horizontal="center" shrinkToFit="1"/>
    </xf>
    <xf numFmtId="0" fontId="6" fillId="0" borderId="3" xfId="0" applyFont="1" applyBorder="1" applyAlignment="1">
      <alignment horizontal="center" shrinkToFit="1"/>
    </xf>
    <xf numFmtId="0" fontId="6" fillId="0" borderId="4" xfId="0" applyFon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2" xfId="0" applyFill="1" applyBorder="1" applyAlignment="1">
      <alignment horizontal="center" shrinkToFit="1"/>
    </xf>
    <xf numFmtId="0" fontId="0" fillId="2" borderId="3" xfId="0" applyFill="1" applyBorder="1" applyAlignment="1">
      <alignment horizontal="center" shrinkToFit="1"/>
    </xf>
    <xf numFmtId="0" fontId="0" fillId="2" borderId="4" xfId="0" applyFill="1" applyBorder="1" applyAlignment="1">
      <alignment horizontal="center" shrinkToFit="1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e" xfId="0" builtinId="0"/>
  </cellStyles>
  <dxfs count="224">
    <dxf>
      <font>
        <color theme="0"/>
      </font>
      <fill>
        <gradientFill>
          <stop position="0">
            <color rgb="FF00B05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theme="0"/>
      </font>
      <fill>
        <gradientFill>
          <stop position="0">
            <color rgb="FF00B050"/>
          </stop>
          <stop position="1">
            <color rgb="FFFF0000"/>
          </stop>
        </gradient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theme="0"/>
      </font>
      <fill>
        <gradientFill>
          <stop position="0">
            <color rgb="FF00B050"/>
          </stop>
          <stop position="1">
            <color rgb="FFFF0000"/>
          </stop>
        </gradient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theme="0"/>
      </font>
      <fill>
        <gradientFill>
          <stop position="0">
            <color rgb="FF00B050"/>
          </stop>
          <stop position="1">
            <color rgb="FFFF0000"/>
          </stop>
        </gradient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gradientFill>
          <stop position="0">
            <color rgb="FF00B050"/>
          </stop>
          <stop position="1">
            <color rgb="FFFF0000"/>
          </stop>
        </gradient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0"/>
      </font>
      <fill>
        <gradientFill>
          <stop position="0">
            <color rgb="FF00B050"/>
          </stop>
          <stop position="1">
            <color rgb="FFFF0000"/>
          </stop>
        </gradient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6B3305"/>
      <color rgb="FF5C2C04"/>
      <color rgb="FF990000"/>
      <color rgb="FFA50021"/>
      <color rgb="FF542804"/>
      <color rgb="FFFF9933"/>
      <color rgb="FFFF6600"/>
      <color rgb="FF80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U113"/>
  <sheetViews>
    <sheetView workbookViewId="0"/>
  </sheetViews>
  <sheetFormatPr defaultRowHeight="15"/>
  <cols>
    <col min="1" max="1" width="1.7109375" customWidth="1"/>
    <col min="2" max="2" width="4.28515625" style="1" customWidth="1"/>
    <col min="3" max="3" width="4.28515625" style="2" customWidth="1"/>
    <col min="4" max="4" width="10.42578125" style="1" customWidth="1"/>
    <col min="5" max="5" width="10.42578125" style="2" customWidth="1"/>
    <col min="6" max="6" width="4.28515625" style="1" customWidth="1"/>
    <col min="7" max="7" width="4.28515625" style="2" customWidth="1"/>
    <col min="8" max="8" width="8.7109375" customWidth="1"/>
    <col min="9" max="9" width="4.28515625" style="1" customWidth="1"/>
    <col min="10" max="10" width="4.28515625" style="2" customWidth="1"/>
    <col min="11" max="11" width="10.42578125" style="1" customWidth="1"/>
    <col min="12" max="12" width="10.42578125" style="2" customWidth="1"/>
    <col min="13" max="13" width="4.28515625" style="1" customWidth="1"/>
    <col min="14" max="14" width="4.28515625" style="2" customWidth="1"/>
    <col min="15" max="15" width="8.7109375" customWidth="1"/>
    <col min="16" max="17" width="4.28515625" customWidth="1"/>
    <col min="18" max="19" width="10.42578125" customWidth="1"/>
    <col min="20" max="21" width="4.28515625" customWidth="1"/>
  </cols>
  <sheetData>
    <row r="1" spans="2:21" ht="12" customHeight="1"/>
    <row r="2" spans="2:21" ht="30" customHeight="1">
      <c r="B2" s="34" t="s">
        <v>59</v>
      </c>
      <c r="C2" s="34"/>
      <c r="D2" s="35" t="s">
        <v>33</v>
      </c>
      <c r="E2" s="35"/>
      <c r="F2" s="34" t="s">
        <v>60</v>
      </c>
      <c r="G2" s="34"/>
      <c r="I2" s="36" t="s">
        <v>74</v>
      </c>
      <c r="J2" s="37"/>
      <c r="K2" s="38" t="s">
        <v>34</v>
      </c>
      <c r="L2" s="39"/>
      <c r="M2" s="36" t="s">
        <v>75</v>
      </c>
      <c r="N2" s="37"/>
      <c r="P2" s="34" t="s">
        <v>86</v>
      </c>
      <c r="Q2" s="34"/>
      <c r="R2" s="35" t="s">
        <v>35</v>
      </c>
      <c r="S2" s="35"/>
      <c r="T2" s="34" t="s">
        <v>87</v>
      </c>
      <c r="U2" s="34"/>
    </row>
    <row r="3" spans="2:21">
      <c r="B3" s="4">
        <v>1</v>
      </c>
      <c r="C3" s="5">
        <v>1</v>
      </c>
      <c r="D3" s="4" t="s">
        <v>53</v>
      </c>
      <c r="E3" s="5" t="s">
        <v>1</v>
      </c>
      <c r="F3" s="4"/>
      <c r="G3" s="5"/>
      <c r="I3" s="4"/>
      <c r="J3" s="5"/>
      <c r="K3" s="4" t="s">
        <v>13</v>
      </c>
      <c r="L3" s="5" t="s">
        <v>12</v>
      </c>
      <c r="M3" s="4"/>
      <c r="N3" s="5"/>
      <c r="P3" s="4"/>
      <c r="Q3" s="5"/>
      <c r="R3" s="4" t="s">
        <v>11</v>
      </c>
      <c r="S3" s="5" t="s">
        <v>7</v>
      </c>
      <c r="T3" s="4"/>
      <c r="U3" s="5"/>
    </row>
    <row r="4" spans="2:21">
      <c r="B4" s="4">
        <v>1</v>
      </c>
      <c r="C4" s="5">
        <v>2</v>
      </c>
      <c r="D4" s="4" t="s">
        <v>13</v>
      </c>
      <c r="E4" s="5" t="s">
        <v>0</v>
      </c>
      <c r="F4" s="4"/>
      <c r="G4" s="5"/>
      <c r="I4" s="4"/>
      <c r="J4" s="5"/>
      <c r="K4" s="4" t="s">
        <v>52</v>
      </c>
      <c r="L4" s="5" t="s">
        <v>56</v>
      </c>
      <c r="M4" s="4"/>
      <c r="N4" s="5"/>
      <c r="P4" s="4"/>
      <c r="Q4" s="5"/>
      <c r="R4" s="4" t="s">
        <v>56</v>
      </c>
      <c r="S4" s="5" t="s">
        <v>10</v>
      </c>
      <c r="T4" s="4"/>
      <c r="U4" s="5"/>
    </row>
    <row r="5" spans="2:21">
      <c r="B5" s="4">
        <v>3</v>
      </c>
      <c r="C5" s="5">
        <v>2</v>
      </c>
      <c r="D5" s="4" t="s">
        <v>61</v>
      </c>
      <c r="E5" s="5" t="s">
        <v>7</v>
      </c>
      <c r="F5" s="4"/>
      <c r="G5" s="5"/>
      <c r="I5" s="4"/>
      <c r="J5" s="5"/>
      <c r="K5" s="4" t="s">
        <v>61</v>
      </c>
      <c r="L5" s="5" t="s">
        <v>3</v>
      </c>
      <c r="M5" s="4"/>
      <c r="N5" s="5"/>
      <c r="P5" s="4"/>
      <c r="Q5" s="5"/>
      <c r="R5" s="4" t="s">
        <v>12</v>
      </c>
      <c r="S5" s="5" t="s">
        <v>4</v>
      </c>
      <c r="T5" s="4"/>
      <c r="U5" s="5"/>
    </row>
    <row r="6" spans="2:21">
      <c r="B6" s="4">
        <v>1</v>
      </c>
      <c r="C6" s="5">
        <v>1</v>
      </c>
      <c r="D6" s="4" t="s">
        <v>3</v>
      </c>
      <c r="E6" s="5" t="s">
        <v>56</v>
      </c>
      <c r="F6" s="4"/>
      <c r="G6" s="5"/>
      <c r="I6" s="4"/>
      <c r="J6" s="5"/>
      <c r="K6" s="4" t="s">
        <v>4</v>
      </c>
      <c r="L6" s="5" t="s">
        <v>1</v>
      </c>
      <c r="M6" s="4"/>
      <c r="N6" s="5"/>
      <c r="P6" s="4"/>
      <c r="Q6" s="5"/>
      <c r="R6" s="4" t="s">
        <v>13</v>
      </c>
      <c r="S6" s="5" t="s">
        <v>14</v>
      </c>
      <c r="T6" s="4"/>
      <c r="U6" s="5"/>
    </row>
    <row r="7" spans="2:21">
      <c r="B7" s="4">
        <v>1</v>
      </c>
      <c r="C7" s="5">
        <v>0</v>
      </c>
      <c r="D7" s="4" t="s">
        <v>4</v>
      </c>
      <c r="E7" s="5" t="s">
        <v>52</v>
      </c>
      <c r="F7" s="4"/>
      <c r="G7" s="5"/>
      <c r="I7" s="4"/>
      <c r="J7" s="5"/>
      <c r="K7" s="4" t="s">
        <v>9</v>
      </c>
      <c r="L7" s="5" t="s">
        <v>0</v>
      </c>
      <c r="M7" s="4"/>
      <c r="N7" s="5"/>
      <c r="P7" s="4"/>
      <c r="Q7" s="5"/>
      <c r="R7" s="4" t="s">
        <v>52</v>
      </c>
      <c r="S7" s="5" t="s">
        <v>6</v>
      </c>
      <c r="T7" s="4"/>
      <c r="U7" s="5"/>
    </row>
    <row r="8" spans="2:21">
      <c r="B8" s="4">
        <v>1</v>
      </c>
      <c r="C8" s="5">
        <v>0</v>
      </c>
      <c r="D8" s="4" t="s">
        <v>9</v>
      </c>
      <c r="E8" s="5" t="s">
        <v>11</v>
      </c>
      <c r="F8" s="4"/>
      <c r="G8" s="5"/>
      <c r="I8" s="4"/>
      <c r="J8" s="5"/>
      <c r="K8" s="4" t="s">
        <v>58</v>
      </c>
      <c r="L8" s="5" t="s">
        <v>6</v>
      </c>
      <c r="M8" s="4"/>
      <c r="N8" s="5"/>
      <c r="P8" s="4"/>
      <c r="Q8" s="5"/>
      <c r="R8" s="4" t="s">
        <v>61</v>
      </c>
      <c r="S8" s="5" t="s">
        <v>0</v>
      </c>
      <c r="T8" s="4"/>
      <c r="U8" s="5"/>
    </row>
    <row r="9" spans="2:21">
      <c r="B9" s="4">
        <v>0</v>
      </c>
      <c r="C9" s="5">
        <v>0</v>
      </c>
      <c r="D9" s="4" t="s">
        <v>58</v>
      </c>
      <c r="E9" s="5" t="s">
        <v>12</v>
      </c>
      <c r="F9" s="4"/>
      <c r="G9" s="5"/>
      <c r="I9" s="4"/>
      <c r="J9" s="5"/>
      <c r="K9" s="4" t="s">
        <v>14</v>
      </c>
      <c r="L9" s="5" t="s">
        <v>7</v>
      </c>
      <c r="M9" s="4"/>
      <c r="N9" s="5"/>
      <c r="P9" s="4"/>
      <c r="Q9" s="5"/>
      <c r="R9" s="4" t="s">
        <v>3</v>
      </c>
      <c r="S9" s="5" t="s">
        <v>1</v>
      </c>
      <c r="T9" s="4"/>
      <c r="U9" s="5"/>
    </row>
    <row r="10" spans="2:21">
      <c r="B10" s="4">
        <v>2</v>
      </c>
      <c r="C10" s="5">
        <v>1</v>
      </c>
      <c r="D10" s="4" t="s">
        <v>6</v>
      </c>
      <c r="E10" s="5" t="s">
        <v>5</v>
      </c>
      <c r="F10" s="4"/>
      <c r="G10" s="5"/>
      <c r="I10" s="4"/>
      <c r="J10" s="5"/>
      <c r="K10" s="4" t="s">
        <v>5</v>
      </c>
      <c r="L10" s="5" t="s">
        <v>53</v>
      </c>
      <c r="M10" s="4"/>
      <c r="N10" s="5"/>
      <c r="P10" s="4"/>
      <c r="Q10" s="5"/>
      <c r="R10" s="4" t="s">
        <v>9</v>
      </c>
      <c r="S10" s="5" t="s">
        <v>53</v>
      </c>
      <c r="T10" s="4"/>
      <c r="U10" s="5"/>
    </row>
    <row r="11" spans="2:21">
      <c r="B11" s="4">
        <v>1</v>
      </c>
      <c r="C11" s="5">
        <v>2</v>
      </c>
      <c r="D11" s="4" t="s">
        <v>10</v>
      </c>
      <c r="E11" s="5" t="s">
        <v>14</v>
      </c>
      <c r="F11" s="4"/>
      <c r="G11" s="5"/>
      <c r="I11" s="4"/>
      <c r="J11" s="5"/>
      <c r="K11" s="4" t="s">
        <v>57</v>
      </c>
      <c r="L11" s="5" t="s">
        <v>10</v>
      </c>
      <c r="M11" s="4"/>
      <c r="N11" s="5"/>
      <c r="P11" s="4"/>
      <c r="Q11" s="5"/>
      <c r="R11" s="4" t="s">
        <v>57</v>
      </c>
      <c r="S11" s="5" t="s">
        <v>5</v>
      </c>
      <c r="T11" s="4"/>
      <c r="U11" s="5"/>
    </row>
    <row r="12" spans="2:21">
      <c r="B12" s="4">
        <v>2</v>
      </c>
      <c r="C12" s="5">
        <v>2</v>
      </c>
      <c r="D12" s="4" t="s">
        <v>8</v>
      </c>
      <c r="E12" s="5" t="s">
        <v>57</v>
      </c>
      <c r="F12" s="4"/>
      <c r="G12" s="5"/>
      <c r="I12" s="4"/>
      <c r="J12" s="5"/>
      <c r="K12" s="4" t="s">
        <v>8</v>
      </c>
      <c r="L12" s="5" t="s">
        <v>11</v>
      </c>
      <c r="M12" s="4"/>
      <c r="N12" s="5"/>
      <c r="P12" s="4"/>
      <c r="Q12" s="5"/>
      <c r="R12" s="4" t="s">
        <v>8</v>
      </c>
      <c r="S12" s="5" t="s">
        <v>58</v>
      </c>
      <c r="T12" s="4"/>
      <c r="U12" s="5"/>
    </row>
    <row r="13" spans="2:21">
      <c r="P13" s="1"/>
      <c r="Q13" s="2"/>
      <c r="R13" s="1"/>
      <c r="S13" s="2"/>
      <c r="T13" s="1"/>
      <c r="U13" s="2"/>
    </row>
    <row r="14" spans="2:21" ht="30" customHeight="1">
      <c r="B14" s="34" t="s">
        <v>62</v>
      </c>
      <c r="C14" s="34"/>
      <c r="D14" s="35" t="s">
        <v>36</v>
      </c>
      <c r="E14" s="35"/>
      <c r="F14" s="34" t="s">
        <v>63</v>
      </c>
      <c r="G14" s="34"/>
      <c r="I14" s="36" t="s">
        <v>76</v>
      </c>
      <c r="J14" s="37"/>
      <c r="K14" s="38" t="s">
        <v>37</v>
      </c>
      <c r="L14" s="39"/>
      <c r="M14" s="36" t="s">
        <v>77</v>
      </c>
      <c r="N14" s="37"/>
      <c r="P14" s="34" t="s">
        <v>88</v>
      </c>
      <c r="Q14" s="34"/>
      <c r="R14" s="35" t="s">
        <v>38</v>
      </c>
      <c r="S14" s="35"/>
      <c r="T14" s="34" t="s">
        <v>89</v>
      </c>
      <c r="U14" s="34"/>
    </row>
    <row r="15" spans="2:21">
      <c r="B15" s="4"/>
      <c r="C15" s="5"/>
      <c r="D15" s="4" t="s">
        <v>11</v>
      </c>
      <c r="E15" s="5" t="s">
        <v>2</v>
      </c>
      <c r="F15" s="4"/>
      <c r="G15" s="5"/>
      <c r="I15" s="4"/>
      <c r="J15" s="5"/>
      <c r="K15" s="4" t="s">
        <v>11</v>
      </c>
      <c r="L15" s="5" t="s">
        <v>57</v>
      </c>
      <c r="M15" s="4"/>
      <c r="N15" s="5"/>
      <c r="P15" s="4"/>
      <c r="Q15" s="5"/>
      <c r="R15" s="4" t="s">
        <v>53</v>
      </c>
      <c r="S15" s="5" t="s">
        <v>8</v>
      </c>
      <c r="T15" s="4"/>
      <c r="U15" s="5"/>
    </row>
    <row r="16" spans="2:21">
      <c r="B16" s="4"/>
      <c r="C16" s="5"/>
      <c r="D16" s="4" t="s">
        <v>56</v>
      </c>
      <c r="E16" s="5" t="s">
        <v>53</v>
      </c>
      <c r="F16" s="4"/>
      <c r="G16" s="5"/>
      <c r="I16" s="4"/>
      <c r="J16" s="5"/>
      <c r="K16" s="4" t="s">
        <v>56</v>
      </c>
      <c r="L16" s="5" t="s">
        <v>9</v>
      </c>
      <c r="M16" s="4"/>
      <c r="N16" s="5"/>
      <c r="P16" s="4"/>
      <c r="Q16" s="5"/>
      <c r="R16" s="4" t="s">
        <v>1</v>
      </c>
      <c r="S16" s="5" t="s">
        <v>11</v>
      </c>
      <c r="T16" s="4"/>
      <c r="U16" s="5"/>
    </row>
    <row r="17" spans="2:21">
      <c r="B17" s="4"/>
      <c r="C17" s="5"/>
      <c r="D17" s="4" t="s">
        <v>12</v>
      </c>
      <c r="E17" s="5" t="s">
        <v>10</v>
      </c>
      <c r="F17" s="4"/>
      <c r="G17" s="5"/>
      <c r="I17" s="4"/>
      <c r="J17" s="5"/>
      <c r="K17" s="4" t="s">
        <v>12</v>
      </c>
      <c r="L17" s="5" t="s">
        <v>2</v>
      </c>
      <c r="M17" s="4"/>
      <c r="N17" s="5"/>
      <c r="P17" s="4"/>
      <c r="Q17" s="5"/>
      <c r="R17" s="4" t="s">
        <v>61</v>
      </c>
      <c r="S17" s="5" t="s">
        <v>57</v>
      </c>
      <c r="T17" s="4"/>
      <c r="U17" s="5"/>
    </row>
    <row r="18" spans="2:21">
      <c r="B18" s="4"/>
      <c r="C18" s="5"/>
      <c r="D18" s="4" t="s">
        <v>52</v>
      </c>
      <c r="E18" s="5" t="s">
        <v>9</v>
      </c>
      <c r="F18" s="4"/>
      <c r="G18" s="5"/>
      <c r="I18" s="4"/>
      <c r="J18" s="5"/>
      <c r="K18" s="4" t="s">
        <v>52</v>
      </c>
      <c r="L18" s="5" t="s">
        <v>14</v>
      </c>
      <c r="M18" s="4"/>
      <c r="N18" s="5"/>
      <c r="P18" s="4"/>
      <c r="Q18" s="5"/>
      <c r="R18" s="4" t="s">
        <v>4</v>
      </c>
      <c r="S18" s="5" t="s">
        <v>3</v>
      </c>
      <c r="T18" s="4"/>
      <c r="U18" s="5"/>
    </row>
    <row r="19" spans="2:21">
      <c r="B19" s="4"/>
      <c r="C19" s="5"/>
      <c r="D19" s="4" t="s">
        <v>1</v>
      </c>
      <c r="E19" s="5" t="s">
        <v>6</v>
      </c>
      <c r="F19" s="4"/>
      <c r="G19" s="5"/>
      <c r="I19" s="4"/>
      <c r="J19" s="5"/>
      <c r="K19" s="4" t="s">
        <v>1</v>
      </c>
      <c r="L19" s="2" t="s">
        <v>5</v>
      </c>
      <c r="M19" s="4"/>
      <c r="N19" s="5"/>
      <c r="P19" s="4"/>
      <c r="Q19" s="5"/>
      <c r="R19" s="4" t="s">
        <v>58</v>
      </c>
      <c r="S19" s="5" t="s">
        <v>52</v>
      </c>
      <c r="T19" s="4"/>
      <c r="U19" s="5"/>
    </row>
    <row r="20" spans="2:21">
      <c r="B20" s="4"/>
      <c r="C20" s="5"/>
      <c r="D20" s="4" t="s">
        <v>14</v>
      </c>
      <c r="E20" s="5" t="s">
        <v>3</v>
      </c>
      <c r="F20" s="4"/>
      <c r="G20" s="5"/>
      <c r="I20" s="4"/>
      <c r="J20" s="5"/>
      <c r="K20" s="4" t="s">
        <v>3</v>
      </c>
      <c r="L20" s="5" t="s">
        <v>13</v>
      </c>
      <c r="M20" s="4"/>
      <c r="N20" s="5"/>
      <c r="P20" s="4"/>
      <c r="Q20" s="5"/>
      <c r="R20" s="4" t="s">
        <v>14</v>
      </c>
      <c r="S20" s="5" t="s">
        <v>0</v>
      </c>
      <c r="T20" s="4"/>
      <c r="U20" s="5"/>
    </row>
    <row r="21" spans="2:21">
      <c r="B21" s="4"/>
      <c r="C21" s="5"/>
      <c r="D21" s="4" t="s">
        <v>5</v>
      </c>
      <c r="E21" s="5" t="s">
        <v>58</v>
      </c>
      <c r="F21" s="4"/>
      <c r="G21" s="5"/>
      <c r="I21" s="4"/>
      <c r="J21" s="5"/>
      <c r="K21" s="4" t="s">
        <v>6</v>
      </c>
      <c r="L21" s="5" t="s">
        <v>8</v>
      </c>
      <c r="M21" s="4"/>
      <c r="N21" s="5"/>
      <c r="P21" s="4"/>
      <c r="Q21" s="5"/>
      <c r="R21" s="4" t="s">
        <v>5</v>
      </c>
      <c r="S21" s="5" t="s">
        <v>56</v>
      </c>
      <c r="T21" s="4"/>
      <c r="U21" s="5"/>
    </row>
    <row r="22" spans="2:21">
      <c r="B22" s="4"/>
      <c r="C22" s="5"/>
      <c r="D22" s="4" t="s">
        <v>57</v>
      </c>
      <c r="E22" s="5" t="s">
        <v>13</v>
      </c>
      <c r="F22" s="4"/>
      <c r="G22" s="5"/>
      <c r="I22" s="4"/>
      <c r="J22" s="5"/>
      <c r="K22" s="4" t="s">
        <v>7</v>
      </c>
      <c r="L22" s="5" t="s">
        <v>58</v>
      </c>
      <c r="M22" s="4"/>
      <c r="N22" s="5"/>
      <c r="P22" s="4"/>
      <c r="Q22" s="5"/>
      <c r="R22" s="4" t="s">
        <v>6</v>
      </c>
      <c r="S22" s="5" t="s">
        <v>12</v>
      </c>
      <c r="T22" s="4"/>
      <c r="U22" s="5"/>
    </row>
    <row r="23" spans="2:21">
      <c r="B23" s="4"/>
      <c r="C23" s="5"/>
      <c r="D23" s="4" t="s">
        <v>7</v>
      </c>
      <c r="E23" s="5" t="s">
        <v>4</v>
      </c>
      <c r="F23" s="4"/>
      <c r="G23" s="5"/>
      <c r="I23" s="4"/>
      <c r="J23" s="5"/>
      <c r="K23" s="4" t="s">
        <v>0</v>
      </c>
      <c r="L23" s="5" t="s">
        <v>53</v>
      </c>
      <c r="M23" s="4"/>
      <c r="N23" s="5"/>
      <c r="P23" s="4"/>
      <c r="Q23" s="5"/>
      <c r="R23" s="4" t="s">
        <v>7</v>
      </c>
      <c r="S23" s="5" t="s">
        <v>9</v>
      </c>
      <c r="T23" s="4"/>
      <c r="U23" s="5"/>
    </row>
    <row r="24" spans="2:21">
      <c r="B24" s="4"/>
      <c r="C24" s="5"/>
      <c r="D24" s="4" t="s">
        <v>0</v>
      </c>
      <c r="E24" s="5" t="s">
        <v>8</v>
      </c>
      <c r="F24" s="4"/>
      <c r="G24" s="5"/>
      <c r="I24" s="4"/>
      <c r="J24" s="5"/>
      <c r="K24" s="4" t="s">
        <v>10</v>
      </c>
      <c r="L24" s="5" t="s">
        <v>4</v>
      </c>
      <c r="M24" s="4"/>
      <c r="N24" s="5"/>
      <c r="P24" s="4"/>
      <c r="Q24" s="5"/>
      <c r="R24" s="4" t="s">
        <v>10</v>
      </c>
      <c r="S24" s="5" t="s">
        <v>13</v>
      </c>
      <c r="T24" s="4"/>
      <c r="U24" s="5"/>
    </row>
    <row r="25" spans="2:21">
      <c r="P25" s="1"/>
      <c r="Q25" s="2"/>
      <c r="R25" s="1"/>
      <c r="S25" s="2"/>
      <c r="T25" s="1"/>
      <c r="U25" s="2"/>
    </row>
    <row r="26" spans="2:21" ht="30" customHeight="1">
      <c r="B26" s="34" t="s">
        <v>64</v>
      </c>
      <c r="C26" s="34"/>
      <c r="D26" s="35" t="s">
        <v>39</v>
      </c>
      <c r="E26" s="35"/>
      <c r="F26" s="34" t="s">
        <v>65</v>
      </c>
      <c r="G26" s="34"/>
      <c r="I26" s="36" t="s">
        <v>78</v>
      </c>
      <c r="J26" s="37"/>
      <c r="K26" s="38" t="s">
        <v>40</v>
      </c>
      <c r="L26" s="39"/>
      <c r="M26" s="36" t="s">
        <v>79</v>
      </c>
      <c r="N26" s="37"/>
      <c r="P26" s="34" t="s">
        <v>90</v>
      </c>
      <c r="Q26" s="34"/>
      <c r="R26" s="35" t="s">
        <v>41</v>
      </c>
      <c r="S26" s="35"/>
      <c r="T26" s="34" t="s">
        <v>91</v>
      </c>
      <c r="U26" s="34"/>
    </row>
    <row r="27" spans="2:21">
      <c r="B27" s="4"/>
      <c r="C27" s="5"/>
      <c r="D27" s="4" t="s">
        <v>11</v>
      </c>
      <c r="E27" s="5" t="s">
        <v>0</v>
      </c>
      <c r="F27" s="4"/>
      <c r="G27" s="5"/>
      <c r="I27" s="4"/>
      <c r="J27" s="5"/>
      <c r="K27" s="4" t="s">
        <v>53</v>
      </c>
      <c r="L27" s="5" t="s">
        <v>10</v>
      </c>
      <c r="M27" s="4"/>
      <c r="N27" s="5"/>
      <c r="P27" s="4"/>
      <c r="Q27" s="5"/>
      <c r="R27" s="4" t="s">
        <v>11</v>
      </c>
      <c r="S27" s="5" t="s">
        <v>3</v>
      </c>
      <c r="T27" s="4"/>
      <c r="U27" s="5"/>
    </row>
    <row r="28" spans="2:21">
      <c r="B28" s="4"/>
      <c r="C28" s="5"/>
      <c r="D28" s="4" t="s">
        <v>53</v>
      </c>
      <c r="E28" s="5" t="s">
        <v>52</v>
      </c>
      <c r="F28" s="4"/>
      <c r="G28" s="5"/>
      <c r="I28" s="4"/>
      <c r="J28" s="5"/>
      <c r="K28" s="4" t="s">
        <v>13</v>
      </c>
      <c r="L28" s="5" t="s">
        <v>52</v>
      </c>
      <c r="M28" s="4"/>
      <c r="N28" s="5"/>
      <c r="P28" s="4"/>
      <c r="Q28" s="5"/>
      <c r="R28" s="4" t="s">
        <v>56</v>
      </c>
      <c r="S28" s="5" t="s">
        <v>4</v>
      </c>
      <c r="T28" s="4"/>
      <c r="U28" s="5"/>
    </row>
    <row r="29" spans="2:21">
      <c r="B29" s="4"/>
      <c r="C29" s="5"/>
      <c r="D29" s="4" t="s">
        <v>1</v>
      </c>
      <c r="E29" s="5" t="s">
        <v>12</v>
      </c>
      <c r="F29" s="4"/>
      <c r="G29" s="5"/>
      <c r="I29" s="4"/>
      <c r="J29" s="5"/>
      <c r="K29" s="4" t="s">
        <v>61</v>
      </c>
      <c r="L29" s="5" t="s">
        <v>1</v>
      </c>
      <c r="M29" s="4"/>
      <c r="N29" s="5"/>
      <c r="P29" s="4"/>
      <c r="Q29" s="5"/>
      <c r="R29" s="4" t="s">
        <v>12</v>
      </c>
      <c r="S29" s="2" t="s">
        <v>5</v>
      </c>
      <c r="T29" s="4"/>
      <c r="U29" s="5"/>
    </row>
    <row r="30" spans="2:21">
      <c r="B30" s="4"/>
      <c r="C30" s="5"/>
      <c r="D30" s="4" t="s">
        <v>61</v>
      </c>
      <c r="E30" s="2" t="s">
        <v>5</v>
      </c>
      <c r="F30" s="4"/>
      <c r="G30" s="5"/>
      <c r="I30" s="4"/>
      <c r="J30" s="5"/>
      <c r="K30" s="4" t="s">
        <v>3</v>
      </c>
      <c r="L30" s="5" t="s">
        <v>6</v>
      </c>
      <c r="M30" s="4"/>
      <c r="N30" s="5"/>
      <c r="P30" s="4"/>
      <c r="Q30" s="5"/>
      <c r="R30" s="4" t="s">
        <v>13</v>
      </c>
      <c r="S30" s="5" t="s">
        <v>58</v>
      </c>
      <c r="T30" s="4"/>
      <c r="U30" s="5"/>
    </row>
    <row r="31" spans="2:21">
      <c r="B31" s="4"/>
      <c r="C31" s="5"/>
      <c r="D31" s="4" t="s">
        <v>3</v>
      </c>
      <c r="E31" s="5" t="s">
        <v>57</v>
      </c>
      <c r="F31" s="4"/>
      <c r="G31" s="5"/>
      <c r="I31" s="4"/>
      <c r="J31" s="5"/>
      <c r="K31" s="4" t="s">
        <v>4</v>
      </c>
      <c r="L31" s="5" t="s">
        <v>0</v>
      </c>
      <c r="M31" s="4"/>
      <c r="N31" s="5"/>
      <c r="P31" s="4"/>
      <c r="Q31" s="5"/>
      <c r="R31" s="4" t="s">
        <v>52</v>
      </c>
      <c r="S31" s="5" t="s">
        <v>1</v>
      </c>
      <c r="T31" s="4"/>
      <c r="U31" s="5"/>
    </row>
    <row r="32" spans="2:21">
      <c r="B32" s="4"/>
      <c r="C32" s="5"/>
      <c r="D32" s="4" t="s">
        <v>9</v>
      </c>
      <c r="E32" s="5" t="s">
        <v>4</v>
      </c>
      <c r="F32" s="4"/>
      <c r="G32" s="5"/>
      <c r="I32" s="4"/>
      <c r="J32" s="5"/>
      <c r="K32" s="4" t="s">
        <v>9</v>
      </c>
      <c r="L32" s="5" t="s">
        <v>12</v>
      </c>
      <c r="M32" s="4"/>
      <c r="N32" s="5"/>
      <c r="P32" s="4"/>
      <c r="Q32" s="5"/>
      <c r="R32" s="4" t="s">
        <v>9</v>
      </c>
      <c r="S32" s="5" t="s">
        <v>2</v>
      </c>
      <c r="T32" s="4"/>
      <c r="U32" s="5"/>
    </row>
    <row r="33" spans="2:21">
      <c r="B33" s="4"/>
      <c r="C33" s="5"/>
      <c r="D33" s="4" t="s">
        <v>58</v>
      </c>
      <c r="E33" s="5" t="s">
        <v>14</v>
      </c>
      <c r="F33" s="4"/>
      <c r="G33" s="5"/>
      <c r="I33" s="4"/>
      <c r="J33" s="5"/>
      <c r="K33" s="4" t="s">
        <v>58</v>
      </c>
      <c r="L33" s="5" t="s">
        <v>11</v>
      </c>
      <c r="M33" s="4"/>
      <c r="N33" s="5"/>
      <c r="P33" s="4"/>
      <c r="Q33" s="5"/>
      <c r="R33" s="4" t="s">
        <v>14</v>
      </c>
      <c r="S33" s="5" t="s">
        <v>6</v>
      </c>
      <c r="T33" s="4"/>
      <c r="U33" s="5"/>
    </row>
    <row r="34" spans="2:21">
      <c r="B34" s="4"/>
      <c r="C34" s="5"/>
      <c r="D34" s="4" t="s">
        <v>6</v>
      </c>
      <c r="E34" s="5" t="s">
        <v>56</v>
      </c>
      <c r="F34" s="4"/>
      <c r="G34" s="5"/>
      <c r="I34" s="4"/>
      <c r="J34" s="5"/>
      <c r="K34" s="4" t="s">
        <v>5</v>
      </c>
      <c r="L34" s="5" t="s">
        <v>14</v>
      </c>
      <c r="M34" s="4"/>
      <c r="N34" s="5"/>
      <c r="P34" s="4"/>
      <c r="Q34" s="5"/>
      <c r="R34" s="1" t="s">
        <v>57</v>
      </c>
      <c r="S34" s="5" t="s">
        <v>53</v>
      </c>
      <c r="T34" s="4"/>
      <c r="U34" s="5"/>
    </row>
    <row r="35" spans="2:21">
      <c r="B35" s="4"/>
      <c r="C35" s="5"/>
      <c r="D35" s="4" t="s">
        <v>10</v>
      </c>
      <c r="E35" s="5" t="s">
        <v>7</v>
      </c>
      <c r="F35" s="4"/>
      <c r="G35" s="5"/>
      <c r="I35" s="4"/>
      <c r="J35" s="5"/>
      <c r="K35" s="4" t="s">
        <v>57</v>
      </c>
      <c r="L35" s="5" t="s">
        <v>56</v>
      </c>
      <c r="M35" s="4"/>
      <c r="N35" s="5"/>
      <c r="P35" s="4"/>
      <c r="Q35" s="5"/>
      <c r="R35" s="4" t="s">
        <v>0</v>
      </c>
      <c r="S35" s="5" t="s">
        <v>7</v>
      </c>
      <c r="T35" s="4"/>
      <c r="U35" s="5"/>
    </row>
    <row r="36" spans="2:21">
      <c r="B36" s="4"/>
      <c r="C36" s="5"/>
      <c r="D36" s="4" t="s">
        <v>8</v>
      </c>
      <c r="E36" s="5" t="s">
        <v>13</v>
      </c>
      <c r="F36" s="4"/>
      <c r="G36" s="5"/>
      <c r="I36" s="4"/>
      <c r="J36" s="5"/>
      <c r="K36" s="4" t="s">
        <v>8</v>
      </c>
      <c r="L36" s="5" t="s">
        <v>7</v>
      </c>
      <c r="M36" s="4"/>
      <c r="N36" s="5"/>
      <c r="P36" s="4"/>
      <c r="Q36" s="5"/>
      <c r="R36" s="4" t="s">
        <v>10</v>
      </c>
      <c r="S36" s="5" t="s">
        <v>8</v>
      </c>
      <c r="T36" s="4"/>
      <c r="U36" s="5"/>
    </row>
    <row r="37" spans="2:21">
      <c r="P37" s="1"/>
      <c r="Q37" s="2"/>
      <c r="R37" s="1"/>
      <c r="S37" s="2"/>
      <c r="T37" s="1"/>
      <c r="U37" s="2"/>
    </row>
    <row r="38" spans="2:21" ht="30" customHeight="1">
      <c r="B38" s="34" t="s">
        <v>66</v>
      </c>
      <c r="C38" s="34"/>
      <c r="D38" s="35" t="s">
        <v>42</v>
      </c>
      <c r="E38" s="35"/>
      <c r="F38" s="34" t="s">
        <v>67</v>
      </c>
      <c r="G38" s="34"/>
      <c r="I38" s="34" t="s">
        <v>80</v>
      </c>
      <c r="J38" s="34"/>
      <c r="K38" s="35" t="s">
        <v>43</v>
      </c>
      <c r="L38" s="35"/>
      <c r="M38" s="34" t="s">
        <v>81</v>
      </c>
      <c r="N38" s="34"/>
      <c r="P38" s="34" t="s">
        <v>92</v>
      </c>
      <c r="Q38" s="34"/>
      <c r="R38" s="35" t="s">
        <v>44</v>
      </c>
      <c r="S38" s="35"/>
      <c r="T38" s="34" t="s">
        <v>93</v>
      </c>
      <c r="U38" s="34"/>
    </row>
    <row r="39" spans="2:21">
      <c r="B39" s="4"/>
      <c r="C39" s="5"/>
      <c r="D39" s="4" t="s">
        <v>56</v>
      </c>
      <c r="E39" s="5" t="s">
        <v>11</v>
      </c>
      <c r="F39" s="4"/>
      <c r="G39" s="5"/>
      <c r="I39" s="4"/>
      <c r="J39" s="5"/>
      <c r="K39" s="4" t="s">
        <v>12</v>
      </c>
      <c r="L39" s="5" t="s">
        <v>11</v>
      </c>
      <c r="M39" s="4"/>
      <c r="N39" s="5"/>
      <c r="P39" s="4"/>
      <c r="Q39" s="5"/>
      <c r="R39" s="4" t="s">
        <v>53</v>
      </c>
      <c r="S39" s="5" t="s">
        <v>11</v>
      </c>
      <c r="T39" s="4"/>
      <c r="U39" s="5"/>
    </row>
    <row r="40" spans="2:21">
      <c r="B40" s="4"/>
      <c r="C40" s="5"/>
      <c r="D40" s="4" t="s">
        <v>12</v>
      </c>
      <c r="E40" s="5" t="s">
        <v>3</v>
      </c>
      <c r="F40" s="4"/>
      <c r="G40" s="5"/>
      <c r="I40" s="4"/>
      <c r="J40" s="5"/>
      <c r="K40" s="4" t="s">
        <v>52</v>
      </c>
      <c r="L40" s="5" t="s">
        <v>8</v>
      </c>
      <c r="M40" s="4"/>
      <c r="N40" s="5"/>
      <c r="P40" s="4"/>
      <c r="Q40" s="5"/>
      <c r="R40" s="4" t="s">
        <v>1</v>
      </c>
      <c r="S40" s="5" t="s">
        <v>14</v>
      </c>
      <c r="T40" s="4"/>
      <c r="U40" s="5"/>
    </row>
    <row r="41" spans="2:21">
      <c r="B41" s="4"/>
      <c r="C41" s="5"/>
      <c r="D41" s="4" t="s">
        <v>13</v>
      </c>
      <c r="E41" s="5" t="s">
        <v>9</v>
      </c>
      <c r="F41" s="4"/>
      <c r="G41" s="5"/>
      <c r="I41" s="4"/>
      <c r="J41" s="5"/>
      <c r="K41" s="4" t="s">
        <v>1</v>
      </c>
      <c r="L41" s="5" t="s">
        <v>13</v>
      </c>
      <c r="M41" s="4"/>
      <c r="N41" s="5"/>
      <c r="P41" s="4"/>
      <c r="Q41" s="5"/>
      <c r="R41" s="4" t="s">
        <v>61</v>
      </c>
      <c r="S41" s="5" t="s">
        <v>56</v>
      </c>
      <c r="T41" s="4"/>
      <c r="U41" s="5"/>
    </row>
    <row r="42" spans="2:21">
      <c r="B42" s="4"/>
      <c r="C42" s="5"/>
      <c r="D42" s="4" t="s">
        <v>52</v>
      </c>
      <c r="E42" s="5" t="s">
        <v>2</v>
      </c>
      <c r="F42" s="4"/>
      <c r="G42" s="5"/>
      <c r="I42" s="4"/>
      <c r="J42" s="5"/>
      <c r="K42" s="4" t="s">
        <v>4</v>
      </c>
      <c r="L42" s="2" t="s">
        <v>5</v>
      </c>
      <c r="M42" s="4"/>
      <c r="N42" s="5"/>
      <c r="P42" s="4"/>
      <c r="Q42" s="5"/>
      <c r="R42" s="4" t="s">
        <v>3</v>
      </c>
      <c r="S42" s="5" t="s">
        <v>9</v>
      </c>
      <c r="T42" s="4"/>
      <c r="U42" s="5"/>
    </row>
    <row r="43" spans="2:21">
      <c r="B43" s="4"/>
      <c r="C43" s="5"/>
      <c r="D43" s="4" t="s">
        <v>4</v>
      </c>
      <c r="E43" s="5" t="s">
        <v>58</v>
      </c>
      <c r="F43" s="4"/>
      <c r="G43" s="5"/>
      <c r="I43" s="4"/>
      <c r="J43" s="5"/>
      <c r="K43" s="4" t="s">
        <v>58</v>
      </c>
      <c r="L43" s="5" t="s">
        <v>3</v>
      </c>
      <c r="M43" s="4"/>
      <c r="N43" s="5"/>
      <c r="P43" s="4"/>
      <c r="Q43" s="5"/>
      <c r="R43" s="4" t="s">
        <v>4</v>
      </c>
      <c r="S43" s="5" t="s">
        <v>13</v>
      </c>
      <c r="T43" s="4"/>
      <c r="U43" s="5"/>
    </row>
    <row r="44" spans="2:21">
      <c r="B44" s="4"/>
      <c r="C44" s="5"/>
      <c r="D44" s="4" t="s">
        <v>14</v>
      </c>
      <c r="E44" s="5" t="s">
        <v>53</v>
      </c>
      <c r="F44" s="4"/>
      <c r="G44" s="5"/>
      <c r="I44" s="4"/>
      <c r="J44" s="5"/>
      <c r="K44" s="4" t="s">
        <v>14</v>
      </c>
      <c r="L44" s="5" t="s">
        <v>57</v>
      </c>
      <c r="M44" s="4"/>
      <c r="N44" s="5"/>
      <c r="P44" s="4"/>
      <c r="Q44" s="5"/>
      <c r="R44" s="4" t="s">
        <v>58</v>
      </c>
      <c r="S44" s="5" t="s">
        <v>0</v>
      </c>
      <c r="T44" s="4"/>
      <c r="U44" s="5"/>
    </row>
    <row r="45" spans="2:21">
      <c r="B45" s="4"/>
      <c r="C45" s="5"/>
      <c r="D45" s="4" t="s">
        <v>5</v>
      </c>
      <c r="E45" s="5" t="s">
        <v>8</v>
      </c>
      <c r="F45" s="4"/>
      <c r="G45" s="5"/>
      <c r="I45" s="4"/>
      <c r="J45" s="5"/>
      <c r="K45" s="4" t="s">
        <v>6</v>
      </c>
      <c r="L45" s="5" t="s">
        <v>2</v>
      </c>
      <c r="M45" s="4"/>
      <c r="N45" s="5"/>
      <c r="P45" s="4"/>
      <c r="Q45" s="5"/>
      <c r="R45" s="4" t="s">
        <v>5</v>
      </c>
      <c r="S45" s="5" t="s">
        <v>52</v>
      </c>
      <c r="T45" s="4"/>
      <c r="U45" s="5"/>
    </row>
    <row r="46" spans="2:21">
      <c r="B46" s="4"/>
      <c r="C46" s="5"/>
      <c r="D46" s="4" t="s">
        <v>57</v>
      </c>
      <c r="E46" s="5" t="s">
        <v>6</v>
      </c>
      <c r="F46" s="4"/>
      <c r="G46" s="5"/>
      <c r="I46" s="4"/>
      <c r="J46" s="5"/>
      <c r="K46" s="4" t="s">
        <v>7</v>
      </c>
      <c r="L46" s="5" t="s">
        <v>53</v>
      </c>
      <c r="M46" s="4"/>
      <c r="N46" s="5"/>
      <c r="P46" s="4"/>
      <c r="Q46" s="5"/>
      <c r="R46" s="4" t="s">
        <v>6</v>
      </c>
      <c r="S46" s="5" t="s">
        <v>10</v>
      </c>
      <c r="T46" s="4"/>
      <c r="U46" s="5"/>
    </row>
    <row r="47" spans="2:21">
      <c r="B47" s="4"/>
      <c r="C47" s="5"/>
      <c r="D47" s="4" t="s">
        <v>7</v>
      </c>
      <c r="E47" s="5" t="s">
        <v>1</v>
      </c>
      <c r="F47" s="4"/>
      <c r="G47" s="5"/>
      <c r="I47" s="4"/>
      <c r="J47" s="5"/>
      <c r="K47" s="4" t="s">
        <v>0</v>
      </c>
      <c r="L47" s="5" t="s">
        <v>56</v>
      </c>
      <c r="M47" s="4"/>
      <c r="N47" s="5"/>
      <c r="P47" s="4"/>
      <c r="Q47" s="5"/>
      <c r="R47" s="4" t="s">
        <v>7</v>
      </c>
      <c r="S47" s="5" t="s">
        <v>57</v>
      </c>
      <c r="T47" s="4"/>
      <c r="U47" s="5"/>
    </row>
    <row r="48" spans="2:21">
      <c r="B48" s="4"/>
      <c r="C48" s="5"/>
      <c r="D48" s="4" t="s">
        <v>0</v>
      </c>
      <c r="E48" s="5" t="s">
        <v>10</v>
      </c>
      <c r="F48" s="4"/>
      <c r="G48" s="5"/>
      <c r="I48" s="4"/>
      <c r="J48" s="5"/>
      <c r="K48" s="4" t="s">
        <v>10</v>
      </c>
      <c r="L48" s="5" t="s">
        <v>9</v>
      </c>
      <c r="M48" s="4"/>
      <c r="N48" s="5"/>
      <c r="P48" s="4"/>
      <c r="Q48" s="5"/>
      <c r="R48" s="4" t="s">
        <v>8</v>
      </c>
      <c r="S48" s="5" t="s">
        <v>12</v>
      </c>
      <c r="T48" s="4"/>
      <c r="U48" s="5"/>
    </row>
    <row r="49" spans="2:21">
      <c r="P49" s="1"/>
      <c r="Q49" s="2"/>
      <c r="R49" s="1"/>
      <c r="S49" s="2"/>
      <c r="T49" s="1"/>
      <c r="U49" s="2"/>
    </row>
    <row r="50" spans="2:21" ht="30" customHeight="1">
      <c r="B50" s="34" t="s">
        <v>68</v>
      </c>
      <c r="C50" s="34"/>
      <c r="D50" s="35" t="s">
        <v>45</v>
      </c>
      <c r="E50" s="35"/>
      <c r="F50" s="34" t="s">
        <v>69</v>
      </c>
      <c r="G50" s="34"/>
      <c r="I50" s="34" t="s">
        <v>82</v>
      </c>
      <c r="J50" s="34"/>
      <c r="K50" s="35" t="s">
        <v>46</v>
      </c>
      <c r="L50" s="35"/>
      <c r="M50" s="34" t="s">
        <v>83</v>
      </c>
      <c r="N50" s="34"/>
      <c r="P50" s="34" t="s">
        <v>95</v>
      </c>
      <c r="Q50" s="34"/>
      <c r="R50" s="35" t="s">
        <v>47</v>
      </c>
      <c r="S50" s="35"/>
      <c r="T50" s="34" t="s">
        <v>94</v>
      </c>
      <c r="U50" s="34"/>
    </row>
    <row r="51" spans="2:21">
      <c r="B51" s="4"/>
      <c r="C51" s="5"/>
      <c r="D51" s="4" t="s">
        <v>11</v>
      </c>
      <c r="E51" s="5" t="s">
        <v>13</v>
      </c>
      <c r="F51" s="4"/>
      <c r="G51" s="5"/>
      <c r="I51" s="4"/>
      <c r="J51" s="5"/>
      <c r="K51" s="4" t="s">
        <v>11</v>
      </c>
      <c r="L51" s="5" t="s">
        <v>4</v>
      </c>
      <c r="M51" s="4"/>
      <c r="N51" s="5"/>
      <c r="P51" s="4"/>
      <c r="Q51" s="5"/>
      <c r="R51" s="4" t="s">
        <v>11</v>
      </c>
      <c r="S51" s="5" t="s">
        <v>5</v>
      </c>
      <c r="T51" s="4"/>
      <c r="U51" s="5"/>
    </row>
    <row r="52" spans="2:21">
      <c r="B52" s="4"/>
      <c r="C52" s="5"/>
      <c r="D52" s="1" t="s">
        <v>56</v>
      </c>
      <c r="E52" s="5" t="s">
        <v>12</v>
      </c>
      <c r="F52" s="4"/>
      <c r="G52" s="5"/>
      <c r="I52" s="4"/>
      <c r="J52" s="5"/>
      <c r="K52" s="4" t="s">
        <v>56</v>
      </c>
      <c r="L52" s="5" t="s">
        <v>58</v>
      </c>
      <c r="M52" s="4"/>
      <c r="N52" s="5"/>
      <c r="P52" s="4"/>
      <c r="Q52" s="5"/>
      <c r="R52" s="4" t="s">
        <v>56</v>
      </c>
      <c r="S52" s="5" t="s">
        <v>8</v>
      </c>
      <c r="T52" s="4"/>
      <c r="U52" s="5"/>
    </row>
    <row r="53" spans="2:21">
      <c r="B53" s="4"/>
      <c r="C53" s="5"/>
      <c r="D53" s="4" t="s">
        <v>53</v>
      </c>
      <c r="E53" s="5" t="s">
        <v>58</v>
      </c>
      <c r="F53" s="4"/>
      <c r="G53" s="5"/>
      <c r="I53" s="4"/>
      <c r="J53" s="5"/>
      <c r="K53" s="4" t="s">
        <v>53</v>
      </c>
      <c r="L53" s="5" t="s">
        <v>6</v>
      </c>
      <c r="M53" s="4"/>
      <c r="N53" s="5"/>
      <c r="P53" s="4"/>
      <c r="Q53" s="5"/>
      <c r="R53" s="4" t="s">
        <v>12</v>
      </c>
      <c r="S53" s="5" t="s">
        <v>7</v>
      </c>
      <c r="T53" s="4"/>
      <c r="U53" s="5"/>
    </row>
    <row r="54" spans="2:21">
      <c r="B54" s="4"/>
      <c r="C54" s="5"/>
      <c r="D54" s="4" t="s">
        <v>1</v>
      </c>
      <c r="E54" s="5" t="s">
        <v>0</v>
      </c>
      <c r="F54" s="4"/>
      <c r="G54" s="5"/>
      <c r="I54" s="4"/>
      <c r="J54" s="5"/>
      <c r="K54" s="4" t="s">
        <v>12</v>
      </c>
      <c r="L54" s="5" t="s">
        <v>0</v>
      </c>
      <c r="M54" s="4"/>
      <c r="N54" s="5"/>
      <c r="P54" s="4"/>
      <c r="Q54" s="5"/>
      <c r="R54" s="4" t="s">
        <v>13</v>
      </c>
      <c r="S54" s="5" t="s">
        <v>53</v>
      </c>
      <c r="T54" s="4"/>
      <c r="U54" s="5"/>
    </row>
    <row r="55" spans="2:21">
      <c r="B55" s="4"/>
      <c r="C55" s="5"/>
      <c r="D55" s="4" t="s">
        <v>61</v>
      </c>
      <c r="E55" s="5" t="s">
        <v>4</v>
      </c>
      <c r="F55" s="4"/>
      <c r="G55" s="5"/>
      <c r="I55" s="4"/>
      <c r="J55" s="5"/>
      <c r="K55" s="4" t="s">
        <v>13</v>
      </c>
      <c r="L55" s="2" t="s">
        <v>5</v>
      </c>
      <c r="M55" s="4"/>
      <c r="N55" s="5"/>
      <c r="P55" s="4"/>
      <c r="Q55" s="5"/>
      <c r="R55" s="4" t="s">
        <v>52</v>
      </c>
      <c r="S55" s="5" t="s">
        <v>3</v>
      </c>
      <c r="T55" s="4"/>
      <c r="U55" s="5"/>
    </row>
    <row r="56" spans="2:21">
      <c r="B56" s="4"/>
      <c r="C56" s="5"/>
      <c r="D56" s="4" t="s">
        <v>3</v>
      </c>
      <c r="E56" s="2" t="s">
        <v>5</v>
      </c>
      <c r="F56" s="4"/>
      <c r="G56" s="5"/>
      <c r="I56" s="4"/>
      <c r="J56" s="5"/>
      <c r="K56" s="4" t="s">
        <v>61</v>
      </c>
      <c r="L56" s="5" t="s">
        <v>10</v>
      </c>
      <c r="M56" s="4"/>
      <c r="N56" s="5"/>
      <c r="P56" s="4"/>
      <c r="Q56" s="5"/>
      <c r="R56" s="4" t="s">
        <v>9</v>
      </c>
      <c r="S56" s="5" t="s">
        <v>58</v>
      </c>
      <c r="T56" s="4"/>
      <c r="U56" s="5"/>
    </row>
    <row r="57" spans="2:21">
      <c r="B57" s="4"/>
      <c r="C57" s="5"/>
      <c r="D57" s="4" t="s">
        <v>9</v>
      </c>
      <c r="E57" s="5" t="s">
        <v>57</v>
      </c>
      <c r="F57" s="4"/>
      <c r="G57" s="5"/>
      <c r="I57" s="4"/>
      <c r="J57" s="5"/>
      <c r="K57" s="4" t="s">
        <v>3</v>
      </c>
      <c r="L57" s="5" t="s">
        <v>7</v>
      </c>
      <c r="M57" s="4"/>
      <c r="N57" s="5"/>
      <c r="P57" s="4"/>
      <c r="Q57" s="5"/>
      <c r="R57" s="4" t="s">
        <v>14</v>
      </c>
      <c r="S57" s="5" t="s">
        <v>2</v>
      </c>
      <c r="T57" s="4"/>
      <c r="U57" s="5"/>
    </row>
    <row r="58" spans="2:21">
      <c r="B58" s="4"/>
      <c r="C58" s="5"/>
      <c r="D58" s="4" t="s">
        <v>6</v>
      </c>
      <c r="E58" s="5" t="s">
        <v>7</v>
      </c>
      <c r="F58" s="4"/>
      <c r="G58" s="5"/>
      <c r="I58" s="4"/>
      <c r="J58" s="5"/>
      <c r="K58" s="4" t="s">
        <v>9</v>
      </c>
      <c r="L58" s="5" t="s">
        <v>14</v>
      </c>
      <c r="M58" s="4"/>
      <c r="N58" s="5"/>
      <c r="P58" s="4"/>
      <c r="Q58" s="5"/>
      <c r="R58" s="1" t="s">
        <v>57</v>
      </c>
      <c r="S58" s="5" t="s">
        <v>4</v>
      </c>
      <c r="T58" s="4"/>
      <c r="U58" s="5"/>
    </row>
    <row r="59" spans="2:21">
      <c r="B59" s="4"/>
      <c r="C59" s="5"/>
      <c r="D59" s="4" t="s">
        <v>10</v>
      </c>
      <c r="E59" s="5" t="s">
        <v>52</v>
      </c>
      <c r="F59" s="4"/>
      <c r="G59" s="5"/>
      <c r="I59" s="4"/>
      <c r="J59" s="5"/>
      <c r="K59" s="1" t="s">
        <v>57</v>
      </c>
      <c r="L59" s="5" t="s">
        <v>52</v>
      </c>
      <c r="M59" s="4"/>
      <c r="N59" s="5"/>
      <c r="P59" s="4"/>
      <c r="Q59" s="5"/>
      <c r="R59" s="4" t="s">
        <v>0</v>
      </c>
      <c r="S59" s="5" t="s">
        <v>6</v>
      </c>
      <c r="T59" s="4"/>
      <c r="U59" s="5"/>
    </row>
    <row r="60" spans="2:21">
      <c r="B60" s="4"/>
      <c r="C60" s="5"/>
      <c r="D60" s="4" t="s">
        <v>8</v>
      </c>
      <c r="E60" s="5" t="s">
        <v>14</v>
      </c>
      <c r="F60" s="4"/>
      <c r="G60" s="5"/>
      <c r="I60" s="4"/>
      <c r="J60" s="5"/>
      <c r="K60" s="4" t="s">
        <v>8</v>
      </c>
      <c r="L60" s="5" t="s">
        <v>1</v>
      </c>
      <c r="M60" s="4"/>
      <c r="N60" s="5"/>
      <c r="P60" s="4"/>
      <c r="Q60" s="5"/>
      <c r="R60" s="4" t="s">
        <v>10</v>
      </c>
      <c r="S60" s="5" t="s">
        <v>1</v>
      </c>
      <c r="T60" s="4"/>
      <c r="U60" s="5"/>
    </row>
    <row r="61" spans="2:21">
      <c r="P61" s="1"/>
      <c r="Q61" s="2"/>
      <c r="R61" s="1"/>
      <c r="S61" s="2"/>
      <c r="T61" s="1"/>
      <c r="U61" s="2"/>
    </row>
    <row r="62" spans="2:21" ht="30" customHeight="1">
      <c r="B62" s="34" t="s">
        <v>70</v>
      </c>
      <c r="C62" s="34"/>
      <c r="D62" s="35" t="s">
        <v>48</v>
      </c>
      <c r="E62" s="35"/>
      <c r="F62" s="34" t="s">
        <v>71</v>
      </c>
      <c r="G62" s="34"/>
      <c r="I62" s="34" t="s">
        <v>84</v>
      </c>
      <c r="J62" s="34"/>
      <c r="K62" s="35" t="s">
        <v>49</v>
      </c>
      <c r="L62" s="35"/>
      <c r="M62" s="34" t="s">
        <v>85</v>
      </c>
      <c r="N62" s="34"/>
      <c r="P62" s="34" t="s">
        <v>96</v>
      </c>
      <c r="Q62" s="34"/>
      <c r="R62" s="35" t="s">
        <v>50</v>
      </c>
      <c r="S62" s="35"/>
      <c r="T62" s="34" t="s">
        <v>97</v>
      </c>
      <c r="U62" s="34"/>
    </row>
    <row r="63" spans="2:21">
      <c r="B63" s="4"/>
      <c r="C63" s="5"/>
      <c r="D63" s="4" t="s">
        <v>13</v>
      </c>
      <c r="E63" s="5" t="s">
        <v>7</v>
      </c>
      <c r="F63" s="4"/>
      <c r="G63" s="5"/>
      <c r="I63" s="4"/>
      <c r="J63" s="5"/>
      <c r="K63" s="4" t="s">
        <v>53</v>
      </c>
      <c r="L63" s="5" t="s">
        <v>3</v>
      </c>
      <c r="M63" s="4"/>
      <c r="N63" s="5"/>
      <c r="P63" s="4"/>
      <c r="Q63" s="5"/>
      <c r="R63" s="4" t="s">
        <v>53</v>
      </c>
      <c r="S63" s="5" t="s">
        <v>12</v>
      </c>
      <c r="T63" s="4"/>
      <c r="U63" s="5"/>
    </row>
    <row r="64" spans="2:21">
      <c r="B64" s="4"/>
      <c r="C64" s="5"/>
      <c r="D64" s="4" t="s">
        <v>52</v>
      </c>
      <c r="E64" s="5" t="s">
        <v>11</v>
      </c>
      <c r="F64" s="4"/>
      <c r="G64" s="5"/>
      <c r="I64" s="4"/>
      <c r="J64" s="5"/>
      <c r="K64" s="4" t="s">
        <v>1</v>
      </c>
      <c r="L64" s="5" t="s">
        <v>57</v>
      </c>
      <c r="M64" s="4"/>
      <c r="N64" s="5"/>
      <c r="P64" s="4"/>
      <c r="Q64" s="5"/>
      <c r="R64" s="4" t="s">
        <v>1</v>
      </c>
      <c r="S64" s="5" t="s">
        <v>56</v>
      </c>
      <c r="T64" s="4"/>
      <c r="U64" s="5"/>
    </row>
    <row r="65" spans="2:21">
      <c r="B65" s="4"/>
      <c r="C65" s="5"/>
      <c r="D65" s="4" t="s">
        <v>4</v>
      </c>
      <c r="E65" s="5" t="s">
        <v>53</v>
      </c>
      <c r="F65" s="4"/>
      <c r="G65" s="5"/>
      <c r="I65" s="4"/>
      <c r="J65" s="5"/>
      <c r="K65" s="4" t="s">
        <v>4</v>
      </c>
      <c r="L65" s="5" t="s">
        <v>8</v>
      </c>
      <c r="M65" s="4"/>
      <c r="N65" s="5"/>
      <c r="P65" s="4"/>
      <c r="Q65" s="5"/>
      <c r="R65" s="4" t="s">
        <v>61</v>
      </c>
      <c r="S65" s="5" t="s">
        <v>13</v>
      </c>
      <c r="T65" s="4"/>
      <c r="U65" s="5"/>
    </row>
    <row r="66" spans="2:21">
      <c r="B66" s="4"/>
      <c r="C66" s="5"/>
      <c r="D66" s="4" t="s">
        <v>9</v>
      </c>
      <c r="E66" s="5" t="s">
        <v>6</v>
      </c>
      <c r="F66" s="4"/>
      <c r="G66" s="5"/>
      <c r="I66" s="4"/>
      <c r="J66" s="5"/>
      <c r="K66" s="4" t="s">
        <v>58</v>
      </c>
      <c r="L66" s="5" t="s">
        <v>2</v>
      </c>
      <c r="M66" s="4"/>
      <c r="N66" s="5"/>
      <c r="P66" s="4"/>
      <c r="Q66" s="5"/>
      <c r="R66" s="4" t="s">
        <v>3</v>
      </c>
      <c r="S66" s="5" t="s">
        <v>10</v>
      </c>
      <c r="T66" s="4"/>
      <c r="U66" s="5"/>
    </row>
    <row r="67" spans="2:21">
      <c r="B67" s="4"/>
      <c r="C67" s="5"/>
      <c r="D67" s="4" t="s">
        <v>58</v>
      </c>
      <c r="E67" s="5" t="s">
        <v>1</v>
      </c>
      <c r="F67" s="4"/>
      <c r="G67" s="5"/>
      <c r="I67" s="4"/>
      <c r="J67" s="5"/>
      <c r="K67" s="4" t="s">
        <v>14</v>
      </c>
      <c r="L67" s="5" t="s">
        <v>12</v>
      </c>
      <c r="M67" s="4"/>
      <c r="N67" s="5"/>
      <c r="P67" s="4"/>
      <c r="Q67" s="5"/>
      <c r="R67" s="4" t="s">
        <v>4</v>
      </c>
      <c r="S67" s="5" t="s">
        <v>14</v>
      </c>
      <c r="T67" s="4"/>
      <c r="U67" s="5"/>
    </row>
    <row r="68" spans="2:21">
      <c r="B68" s="4"/>
      <c r="C68" s="5"/>
      <c r="D68" s="4" t="s">
        <v>14</v>
      </c>
      <c r="E68" s="5" t="s">
        <v>56</v>
      </c>
      <c r="F68" s="4"/>
      <c r="G68" s="5"/>
      <c r="I68" s="4"/>
      <c r="J68" s="5"/>
      <c r="K68" s="4" t="s">
        <v>5</v>
      </c>
      <c r="L68" s="5" t="s">
        <v>9</v>
      </c>
      <c r="M68" s="4"/>
      <c r="N68" s="5"/>
      <c r="P68" s="4"/>
      <c r="Q68" s="5"/>
      <c r="R68" s="4" t="s">
        <v>58</v>
      </c>
      <c r="S68" s="5" t="s">
        <v>57</v>
      </c>
      <c r="T68" s="4"/>
      <c r="U68" s="5"/>
    </row>
    <row r="69" spans="2:21">
      <c r="B69" s="4"/>
      <c r="C69" s="5"/>
      <c r="D69" s="4" t="s">
        <v>5</v>
      </c>
      <c r="E69" s="5" t="s">
        <v>10</v>
      </c>
      <c r="F69" s="4"/>
      <c r="G69" s="5"/>
      <c r="I69" s="4"/>
      <c r="J69" s="5"/>
      <c r="K69" s="4" t="s">
        <v>6</v>
      </c>
      <c r="L69" s="5" t="s">
        <v>13</v>
      </c>
      <c r="M69" s="4"/>
      <c r="N69" s="5"/>
      <c r="P69" s="4"/>
      <c r="Q69" s="5"/>
      <c r="R69" s="4" t="s">
        <v>5</v>
      </c>
      <c r="S69" s="5" t="s">
        <v>0</v>
      </c>
      <c r="T69" s="4"/>
      <c r="U69" s="5"/>
    </row>
    <row r="70" spans="2:21">
      <c r="B70" s="4"/>
      <c r="C70" s="5"/>
      <c r="D70" s="1" t="s">
        <v>57</v>
      </c>
      <c r="E70" s="5" t="s">
        <v>12</v>
      </c>
      <c r="F70" s="4"/>
      <c r="G70" s="5"/>
      <c r="I70" s="4"/>
      <c r="J70" s="5"/>
      <c r="K70" s="4" t="s">
        <v>7</v>
      </c>
      <c r="L70" s="5" t="s">
        <v>56</v>
      </c>
      <c r="M70" s="4"/>
      <c r="N70" s="5"/>
      <c r="P70" s="4"/>
      <c r="Q70" s="5"/>
      <c r="R70" s="4" t="s">
        <v>6</v>
      </c>
      <c r="S70" s="5" t="s">
        <v>11</v>
      </c>
      <c r="T70" s="4"/>
      <c r="U70" s="5"/>
    </row>
    <row r="71" spans="2:21">
      <c r="B71" s="4"/>
      <c r="C71" s="5"/>
      <c r="D71" s="4" t="s">
        <v>0</v>
      </c>
      <c r="E71" s="5" t="s">
        <v>3</v>
      </c>
      <c r="F71" s="4"/>
      <c r="G71" s="5"/>
      <c r="I71" s="4"/>
      <c r="J71" s="5"/>
      <c r="K71" s="4" t="s">
        <v>0</v>
      </c>
      <c r="L71" s="5" t="s">
        <v>52</v>
      </c>
      <c r="M71" s="4"/>
      <c r="N71" s="5"/>
      <c r="P71" s="4"/>
      <c r="Q71" s="5"/>
      <c r="R71" s="4" t="s">
        <v>7</v>
      </c>
      <c r="S71" s="5" t="s">
        <v>52</v>
      </c>
      <c r="T71" s="4"/>
      <c r="U71" s="5"/>
    </row>
    <row r="72" spans="2:21">
      <c r="B72" s="4"/>
      <c r="C72" s="5"/>
      <c r="D72" s="4" t="s">
        <v>8</v>
      </c>
      <c r="E72" s="5" t="s">
        <v>2</v>
      </c>
      <c r="F72" s="4"/>
      <c r="G72" s="5"/>
      <c r="I72" s="4"/>
      <c r="J72" s="5"/>
      <c r="K72" s="4" t="s">
        <v>10</v>
      </c>
      <c r="L72" s="5" t="s">
        <v>11</v>
      </c>
      <c r="M72" s="4"/>
      <c r="N72" s="5"/>
      <c r="P72" s="4"/>
      <c r="Q72" s="5"/>
      <c r="R72" s="4" t="s">
        <v>8</v>
      </c>
      <c r="S72" s="5" t="s">
        <v>9</v>
      </c>
      <c r="T72" s="4"/>
      <c r="U72" s="5"/>
    </row>
    <row r="74" spans="2:21" ht="30" customHeight="1">
      <c r="B74" s="34" t="s">
        <v>72</v>
      </c>
      <c r="C74" s="34"/>
      <c r="D74" s="35" t="s">
        <v>51</v>
      </c>
      <c r="E74" s="35"/>
      <c r="F74" s="34" t="s">
        <v>73</v>
      </c>
      <c r="G74" s="34"/>
    </row>
    <row r="75" spans="2:21">
      <c r="B75" s="4"/>
      <c r="C75" s="5"/>
      <c r="D75" s="4" t="s">
        <v>11</v>
      </c>
      <c r="E75" s="5" t="s">
        <v>14</v>
      </c>
      <c r="F75" s="4"/>
      <c r="G75" s="5"/>
    </row>
    <row r="76" spans="2:21">
      <c r="B76" s="4"/>
      <c r="C76" s="5"/>
      <c r="D76" s="4" t="s">
        <v>56</v>
      </c>
      <c r="E76" s="5" t="s">
        <v>13</v>
      </c>
      <c r="F76" s="4"/>
      <c r="G76" s="5"/>
    </row>
    <row r="77" spans="2:21">
      <c r="B77" s="4"/>
      <c r="C77" s="5"/>
      <c r="D77" s="4" t="s">
        <v>53</v>
      </c>
      <c r="E77" s="5" t="s">
        <v>2</v>
      </c>
      <c r="F77" s="4"/>
      <c r="G77" s="5"/>
    </row>
    <row r="78" spans="2:21">
      <c r="B78" s="4"/>
      <c r="C78" s="5"/>
      <c r="D78" s="4" t="s">
        <v>12</v>
      </c>
      <c r="E78" s="5" t="s">
        <v>52</v>
      </c>
      <c r="F78" s="4"/>
      <c r="G78" s="5"/>
    </row>
    <row r="79" spans="2:21">
      <c r="B79" s="4"/>
      <c r="C79" s="5"/>
      <c r="D79" s="4" t="s">
        <v>1</v>
      </c>
      <c r="E79" s="5" t="s">
        <v>9</v>
      </c>
      <c r="F79" s="4"/>
      <c r="G79" s="5"/>
    </row>
    <row r="80" spans="2:21">
      <c r="B80" s="4"/>
      <c r="C80" s="5"/>
      <c r="D80" s="4" t="s">
        <v>3</v>
      </c>
      <c r="E80" s="5" t="s">
        <v>8</v>
      </c>
      <c r="F80" s="4"/>
      <c r="G80" s="5"/>
    </row>
    <row r="81" spans="2:7">
      <c r="B81" s="4"/>
      <c r="C81" s="5"/>
      <c r="D81" s="4" t="s">
        <v>6</v>
      </c>
      <c r="E81" s="5" t="s">
        <v>4</v>
      </c>
      <c r="F81" s="4"/>
      <c r="G81" s="5"/>
    </row>
    <row r="82" spans="2:7">
      <c r="B82" s="4"/>
      <c r="C82" s="5"/>
      <c r="D82" s="4" t="s">
        <v>7</v>
      </c>
      <c r="E82" s="2" t="s">
        <v>5</v>
      </c>
      <c r="F82" s="4"/>
      <c r="G82" s="5"/>
    </row>
    <row r="83" spans="2:7">
      <c r="B83" s="4"/>
      <c r="C83" s="5"/>
      <c r="D83" s="4" t="s">
        <v>0</v>
      </c>
      <c r="E83" s="5" t="s">
        <v>57</v>
      </c>
      <c r="F83" s="4"/>
      <c r="G83" s="5"/>
    </row>
    <row r="84" spans="2:7">
      <c r="B84" s="4"/>
      <c r="C84" s="5"/>
      <c r="D84" s="4" t="s">
        <v>10</v>
      </c>
      <c r="E84" s="5" t="s">
        <v>58</v>
      </c>
      <c r="F84" s="4"/>
      <c r="G84" s="5"/>
    </row>
    <row r="87" spans="2:7" ht="30" customHeight="1"/>
    <row r="100" ht="30" customHeight="1"/>
    <row r="113" ht="30" customHeight="1"/>
  </sheetData>
  <mergeCells count="57">
    <mergeCell ref="I14:J14"/>
    <mergeCell ref="K14:L14"/>
    <mergeCell ref="M14:N14"/>
    <mergeCell ref="K2:L2"/>
    <mergeCell ref="I2:J2"/>
    <mergeCell ref="M2:N2"/>
    <mergeCell ref="P2:Q2"/>
    <mergeCell ref="P50:Q50"/>
    <mergeCell ref="R2:S2"/>
    <mergeCell ref="T2:U2"/>
    <mergeCell ref="P14:Q14"/>
    <mergeCell ref="R14:S14"/>
    <mergeCell ref="T14:U14"/>
    <mergeCell ref="R50:S50"/>
    <mergeCell ref="T50:U50"/>
    <mergeCell ref="P38:Q38"/>
    <mergeCell ref="R38:S38"/>
    <mergeCell ref="T38:U38"/>
    <mergeCell ref="P26:Q26"/>
    <mergeCell ref="R26:S26"/>
    <mergeCell ref="T26:U26"/>
    <mergeCell ref="I26:J26"/>
    <mergeCell ref="K26:L26"/>
    <mergeCell ref="M26:N26"/>
    <mergeCell ref="P62:Q62"/>
    <mergeCell ref="R62:S62"/>
    <mergeCell ref="T62:U62"/>
    <mergeCell ref="I62:J62"/>
    <mergeCell ref="K62:L62"/>
    <mergeCell ref="M62:N62"/>
    <mergeCell ref="I38:J38"/>
    <mergeCell ref="K38:L38"/>
    <mergeCell ref="M38:N38"/>
    <mergeCell ref="I50:J50"/>
    <mergeCell ref="B50:C50"/>
    <mergeCell ref="D50:E50"/>
    <mergeCell ref="F50:G50"/>
    <mergeCell ref="K50:L50"/>
    <mergeCell ref="M50:N50"/>
    <mergeCell ref="B62:C62"/>
    <mergeCell ref="D62:E62"/>
    <mergeCell ref="F62:G62"/>
    <mergeCell ref="B74:C74"/>
    <mergeCell ref="D74:E74"/>
    <mergeCell ref="F74:G74"/>
    <mergeCell ref="B2:C2"/>
    <mergeCell ref="F2:G2"/>
    <mergeCell ref="D2:E2"/>
    <mergeCell ref="B38:C38"/>
    <mergeCell ref="D38:E38"/>
    <mergeCell ref="F38:G38"/>
    <mergeCell ref="B14:C14"/>
    <mergeCell ref="D14:E14"/>
    <mergeCell ref="F14:G14"/>
    <mergeCell ref="B26:C26"/>
    <mergeCell ref="D26:E26"/>
    <mergeCell ref="F26:G2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S30"/>
  <sheetViews>
    <sheetView tabSelected="1" workbookViewId="0"/>
  </sheetViews>
  <sheetFormatPr defaultRowHeight="15"/>
  <cols>
    <col min="1" max="1" width="0.85546875" customWidth="1"/>
    <col min="2" max="2" width="13.28515625" style="6" customWidth="1"/>
    <col min="3" max="3" width="5.7109375" style="6" bestFit="1" customWidth="1"/>
    <col min="4" max="4" width="7.7109375" style="6" bestFit="1" customWidth="1"/>
    <col min="5" max="7" width="7.7109375" style="6" customWidth="1"/>
    <col min="8" max="8" width="7.7109375" style="6" bestFit="1" customWidth="1"/>
    <col min="9" max="11" width="7.7109375" style="6" customWidth="1"/>
    <col min="12" max="12" width="7.7109375" style="6" bestFit="1" customWidth="1"/>
    <col min="13" max="15" width="7.7109375" style="6" customWidth="1"/>
    <col min="16" max="18" width="6.7109375" style="6" customWidth="1"/>
    <col min="19" max="19" width="7.7109375" customWidth="1"/>
  </cols>
  <sheetData>
    <row r="1" spans="2:19" ht="6" customHeight="1"/>
    <row r="2" spans="2:19" ht="15" customHeight="1">
      <c r="D2" s="52" t="s">
        <v>17</v>
      </c>
      <c r="E2" s="52"/>
      <c r="F2" s="52"/>
      <c r="G2" s="52"/>
      <c r="H2" s="53" t="s">
        <v>22</v>
      </c>
      <c r="I2" s="53"/>
      <c r="J2" s="53"/>
      <c r="K2" s="53"/>
      <c r="L2" s="52" t="s">
        <v>23</v>
      </c>
      <c r="M2" s="52"/>
      <c r="N2" s="52"/>
      <c r="O2" s="52"/>
      <c r="P2" s="46" t="s">
        <v>24</v>
      </c>
      <c r="Q2" s="47"/>
      <c r="R2" s="48"/>
      <c r="S2" s="40" t="s">
        <v>31</v>
      </c>
    </row>
    <row r="3" spans="2:19">
      <c r="B3" s="3" t="s">
        <v>15</v>
      </c>
      <c r="C3" s="7" t="s">
        <v>16</v>
      </c>
      <c r="D3" s="3" t="s">
        <v>18</v>
      </c>
      <c r="E3" s="3" t="s">
        <v>19</v>
      </c>
      <c r="F3" s="3" t="s">
        <v>20</v>
      </c>
      <c r="G3" s="3" t="s">
        <v>21</v>
      </c>
      <c r="H3" s="7" t="s">
        <v>18</v>
      </c>
      <c r="I3" s="7" t="s">
        <v>19</v>
      </c>
      <c r="J3" s="7" t="s">
        <v>20</v>
      </c>
      <c r="K3" s="7" t="s">
        <v>21</v>
      </c>
      <c r="L3" s="3" t="s">
        <v>18</v>
      </c>
      <c r="M3" s="3" t="s">
        <v>19</v>
      </c>
      <c r="N3" s="3" t="s">
        <v>20</v>
      </c>
      <c r="O3" s="3" t="s">
        <v>21</v>
      </c>
      <c r="P3" s="7" t="s">
        <v>25</v>
      </c>
      <c r="Q3" s="7" t="s">
        <v>26</v>
      </c>
      <c r="R3" s="27" t="s">
        <v>32</v>
      </c>
      <c r="S3" s="41"/>
    </row>
    <row r="4" spans="2:19">
      <c r="B4" s="18" t="s">
        <v>2</v>
      </c>
      <c r="C4" s="30">
        <f>SUM((E4*3)+(F4))</f>
        <v>3</v>
      </c>
      <c r="D4" s="8">
        <f>SUM(E4:G4)</f>
        <v>1</v>
      </c>
      <c r="E4" s="8">
        <f>SUM(I4,M4)</f>
        <v>1</v>
      </c>
      <c r="F4" s="8">
        <f>SUM(J4,N4)</f>
        <v>0</v>
      </c>
      <c r="G4" s="8">
        <f>SUM(K4,O4)</f>
        <v>0</v>
      </c>
      <c r="H4" s="8">
        <f>SUM(I4:K4)</f>
        <v>1</v>
      </c>
      <c r="I4" s="8">
        <v>1</v>
      </c>
      <c r="J4" s="8">
        <v>0</v>
      </c>
      <c r="K4" s="8">
        <v>0</v>
      </c>
      <c r="L4" s="8">
        <f>SUM(M4:O4)</f>
        <v>0</v>
      </c>
      <c r="M4" s="8">
        <v>0</v>
      </c>
      <c r="N4" s="8">
        <v>0</v>
      </c>
      <c r="O4" s="8">
        <v>0</v>
      </c>
      <c r="P4" s="8">
        <f>SUM(Calendario!B5,Calendario!F5,Calendario!I5,Calendario!M5,Calendario!P8,Calendario!T8,Calendario!C15,Calendario!G15,Calendario!J17,Calendario!N17,Calendario!P17,Calendario!T17,Calendario!B30,Calendario!F30,Calendario!I29,Calendario!M29,Calendario!Q32,Calendario!U32,Calendario!C42,Calendario!G42,Calendario!J45,Calendario!N45,Calendario!P41,Calendario!T41,Calendario!B55,Calendario!F55,Calendario!I56,Calendario!M56,Calendario!Q57,Calendario!U57,Calendario!C72,Calendario!G72,Calendario!J66,Calendario!N66,Calendario!P65,Calendario!T65,Calendario!C77,Calendario!G77)</f>
        <v>3</v>
      </c>
      <c r="Q4" s="8">
        <f>SUM(Calendario!C5,Calendario!G5,Calendario!J5,Calendario!N5,Calendario!Q8,Calendario!U8,Calendario!B15,Calendario!F15,Calendario!I17,Calendario!M17,Calendario!Q17,Calendario!U17,Calendario!C30,Calendario!G30,Calendario!J29,Calendario!N29,Calendario!P32,Calendario!T32,Calendario!B42,Calendario!F42,Calendario!I45,Calendario!M45,Calendario!Q41,Calendario!U41,Calendario!C55,Calendario!G55,Calendario!J56,Calendario!N56,Calendario!P57,Calendario!T57,Calendario!B72,Calendario!F72,Calendario!I66,Calendario!M66,Calendario!Q65,Calendario!U65,Calendario!B77,Calendario!F77)</f>
        <v>2</v>
      </c>
      <c r="R4" s="8">
        <f>(P4-Q4)</f>
        <v>1</v>
      </c>
      <c r="S4" s="23">
        <f>SUM((-2*J4)+(-3*K4)+(2*M4)+(-1*O4))</f>
        <v>0</v>
      </c>
    </row>
    <row r="5" spans="2:19">
      <c r="B5" s="11" t="s">
        <v>14</v>
      </c>
      <c r="C5" s="8">
        <f>SUM((E5*3)+(F5))</f>
        <v>3</v>
      </c>
      <c r="D5" s="8">
        <f>SUM(E5:G5)</f>
        <v>1</v>
      </c>
      <c r="E5" s="8">
        <f>SUM(I5,M5)</f>
        <v>1</v>
      </c>
      <c r="F5" s="8">
        <f>SUM(J5,N5)</f>
        <v>0</v>
      </c>
      <c r="G5" s="8">
        <f>SUM(K5,O5)</f>
        <v>0</v>
      </c>
      <c r="H5" s="8">
        <f>SUM(I5:K5)</f>
        <v>0</v>
      </c>
      <c r="I5" s="8">
        <v>0</v>
      </c>
      <c r="J5" s="8">
        <v>0</v>
      </c>
      <c r="K5" s="8">
        <v>0</v>
      </c>
      <c r="L5" s="8">
        <f>SUM(M5:O5)</f>
        <v>1</v>
      </c>
      <c r="M5" s="8">
        <v>1</v>
      </c>
      <c r="N5" s="8">
        <v>0</v>
      </c>
      <c r="O5" s="8">
        <v>0</v>
      </c>
      <c r="P5" s="8">
        <f>SUM(Calendario!C11,Calendario!G11,Calendario!I9,Calendario!M9,Calendario!Q6,Calendario!U6,Calendario!B20,Calendario!F20,Calendario!J18,Calendario!N18,Calendario!P20,Calendario!T20,Calendario!C33,Calendario!G33,Calendario!J34,Calendario!N34,Calendario!P33,Calendario!T33,Calendario!B44,Calendario!F44,Calendario!I44,Calendario!M44,Calendario!Q40,Calendario!U40,Calendario!C60,Calendario!G60,Calendario!J58,Calendario!N58,Calendario!P57,Calendario!T57,Calendario!B68,Calendario!F68,Calendario!I67,Calendario!M67,Calendario!Q67,Calendario!U67,Calendario!C75,Calendario!G75)</f>
        <v>2</v>
      </c>
      <c r="Q5" s="8">
        <f>SUM(Calendario!B11,Calendario!F11,Calendario!J9,Calendario!N9,Calendario!P6,Calendario!T6,Calendario!C20,Calendario!G20,Calendario!I18,Calendario!M18,Calendario!Q20,Calendario!U20,Calendario!B33,Calendario!F33,Calendario!I34,Calendario!M34,Calendario!Q33,Calendario!U33,Calendario!C44,Calendario!G44,Calendario!J44,Calendario!N44,Calendario!P40,Calendario!T40,Calendario!B60,Calendario!F60,Calendario!I58,Calendario!M58,Calendario!Q57,Calendario!U57,Calendario!C68,Calendario!G68,Calendario!J67,Calendario!N67,Calendario!P67,Calendario!T67,Calendario!B75,Calendario!F75)</f>
        <v>1</v>
      </c>
      <c r="R5" s="8">
        <f>(P5-Q5)</f>
        <v>1</v>
      </c>
      <c r="S5" s="23">
        <f>SUM((-2*J5)+(-3*K5)+(2*M5)+(-1*O5))</f>
        <v>2</v>
      </c>
    </row>
    <row r="6" spans="2:19">
      <c r="B6" s="16" t="s">
        <v>6</v>
      </c>
      <c r="C6" s="8">
        <f>SUM((E6*3)+(F6))</f>
        <v>3</v>
      </c>
      <c r="D6" s="8">
        <f>SUM(E6:G6)</f>
        <v>1</v>
      </c>
      <c r="E6" s="8">
        <f>SUM(I6,M6)</f>
        <v>1</v>
      </c>
      <c r="F6" s="8">
        <f>SUM(J6,N6)</f>
        <v>0</v>
      </c>
      <c r="G6" s="8">
        <f>SUM(K6,O6)</f>
        <v>0</v>
      </c>
      <c r="H6" s="8">
        <f>SUM(I6:K6)</f>
        <v>1</v>
      </c>
      <c r="I6" s="8">
        <v>1</v>
      </c>
      <c r="J6" s="8">
        <v>0</v>
      </c>
      <c r="K6" s="8">
        <v>0</v>
      </c>
      <c r="L6" s="8">
        <f>SUM(M6:O6)</f>
        <v>0</v>
      </c>
      <c r="M6" s="8">
        <v>0</v>
      </c>
      <c r="N6" s="8">
        <v>0</v>
      </c>
      <c r="O6" s="8">
        <v>0</v>
      </c>
      <c r="P6" s="8">
        <f>SUM(Calendario!B10,Calendario!F10,Calendario!J8,Calendario!N8,Calendario!Q7,Calendario!U7,Calendario!C19,Calendario!G19,Calendario!I21,Calendario!M21,Calendario!P22,Calendario!T22,Calendario!B34,Calendario!F34,Calendario!J30,Calendario!N30,Calendario!Q33,Calendario!U33,Calendario!C46,Calendario!G46,Calendario!I45,Calendario!M45,Calendario!P46,Calendario!T46,Calendario!B58,Calendario!F58,Calendario!J53,Calendario!N53,Calendario!Q59,Calendario!U59,Calendario!C66,Calendario!G66,Calendario!I69,Calendario!M69,Calendario!P70,Calendario!T70,Calendario!B81,Calendario!F81)</f>
        <v>2</v>
      </c>
      <c r="Q6" s="8">
        <f>SUM(Calendario!C10,Calendario!G10,Calendario!I8,Calendario!M8,Calendario!P7,Calendario!T7,Calendario!B19,Calendario!F19,Calendario!J21,Calendario!N21,Calendario!Q22,Calendario!U22,Calendario!C34,Calendario!G34,Calendario!I30,Calendario!M30,Calendario!P33,Calendario!T33,Calendario!B46,Calendario!F46,Calendario!J45,Calendario!N45,Calendario!Q46,Calendario!U46,Calendario!C58,Calendario!G58,Calendario!I53,Calendario!M53,Calendario!P59,Calendario!T59,Calendario!B66,Calendario!F66,Calendario!J69,Calendario!N69,Calendario!Q70,Calendario!U70,Calendario!C81,Calendario!G81)</f>
        <v>1</v>
      </c>
      <c r="R6" s="8">
        <f>(P6-Q6)</f>
        <v>1</v>
      </c>
      <c r="S6" s="23">
        <f>SUM((-2*J6)+(-3*K6)+(2*M6)+(-1*O6))</f>
        <v>0</v>
      </c>
    </row>
    <row r="7" spans="2:19">
      <c r="B7" s="15" t="s">
        <v>0</v>
      </c>
      <c r="C7" s="26">
        <f>SUM((E7*3)+(F7))</f>
        <v>3</v>
      </c>
      <c r="D7" s="8">
        <f>SUM(E7:G7)</f>
        <v>1</v>
      </c>
      <c r="E7" s="8">
        <f>SUM(I7,M7)</f>
        <v>1</v>
      </c>
      <c r="F7" s="8">
        <f>SUM(J7,N7)</f>
        <v>0</v>
      </c>
      <c r="G7" s="8">
        <f>SUM(K7,O7)</f>
        <v>0</v>
      </c>
      <c r="H7" s="8">
        <f>SUM(I7:K7)</f>
        <v>0</v>
      </c>
      <c r="I7" s="8">
        <v>0</v>
      </c>
      <c r="J7" s="8">
        <v>0</v>
      </c>
      <c r="K7" s="8">
        <v>0</v>
      </c>
      <c r="L7" s="8">
        <f>SUM(M7:O7)</f>
        <v>1</v>
      </c>
      <c r="M7" s="8">
        <v>1</v>
      </c>
      <c r="N7" s="8">
        <v>0</v>
      </c>
      <c r="O7" s="8">
        <v>0</v>
      </c>
      <c r="P7" s="8">
        <f>SUM(Calendario!C4,Calendario!G4,Calendario!J7,Calendario!N7,Calendario!Q8,Calendario!U8,Calendario!B24,Calendario!F24,Calendario!I23,Calendario!M23,Calendario!Q20,Calendario!U20,Calendario!C27,Calendario!G27,Calendario!J31,Calendario!N31,Calendario!P35,Calendario!T35,Calendario!B48,Calendario!F48,Calendario!I47,Calendario!M47,Calendario!Q44,Calendario!U44,Calendario!C54,Calendario!G54,Calendario!J54,Calendario!N54,Calendario!P59,Calendario!T59,Calendario!B71,Calendario!F71,Calendario!I71,Calendario!M71,Calendario!Q69,Calendario!U69,Calendario!B83,Calendario!F83)</f>
        <v>2</v>
      </c>
      <c r="Q7" s="8">
        <f>SUM(Calendario!B4,Calendario!F4,Calendario!I7,Calendario!M7,Calendario!P8,Calendario!T8,Calendario!C24,Calendario!G24,Calendario!J23,Calendario!N23,Calendario!P20,Calendario!T20,Calendario!B27,Calendario!F27,Calendario!I31,Calendario!M31,Calendario!Q35,Calendario!U35,Calendario!C48,Calendario!G48,Calendario!J47,Calendario!N47,Calendario!P44,Calendario!T44,Calendario!B54,Calendario!F54,Calendario!I54,Calendario!M54,Calendario!Q59,Calendario!U59,Calendario!C71,Calendario!G71,Calendario!J71,Calendario!N71,Calendario!P69,Calendario!T69,Calendario!C83,Calendario!G83)</f>
        <v>1</v>
      </c>
      <c r="R7" s="8">
        <f>(P7-Q7)</f>
        <v>1</v>
      </c>
      <c r="S7" s="23">
        <f>SUM((-2*J7)+(-3*K7)+(2*M7)+(-1*O7))</f>
        <v>2</v>
      </c>
    </row>
    <row r="8" spans="2:19">
      <c r="B8" s="9" t="s">
        <v>4</v>
      </c>
      <c r="C8" s="8">
        <f>SUM((E8*3)+(F8))</f>
        <v>3</v>
      </c>
      <c r="D8" s="8">
        <f>SUM(E8:G8)</f>
        <v>1</v>
      </c>
      <c r="E8" s="8">
        <f>SUM(I8,M8)</f>
        <v>1</v>
      </c>
      <c r="F8" s="8">
        <f>SUM(J8,N8)</f>
        <v>0</v>
      </c>
      <c r="G8" s="8">
        <f>SUM(K8,O8)</f>
        <v>0</v>
      </c>
      <c r="H8" s="8">
        <f>SUM(I8:K8)</f>
        <v>1</v>
      </c>
      <c r="I8" s="8">
        <v>1</v>
      </c>
      <c r="J8" s="8">
        <v>0</v>
      </c>
      <c r="K8" s="8">
        <v>0</v>
      </c>
      <c r="L8" s="8">
        <f>SUM(M8:O8)</f>
        <v>0</v>
      </c>
      <c r="M8" s="8">
        <v>0</v>
      </c>
      <c r="N8" s="8">
        <v>0</v>
      </c>
      <c r="O8" s="8">
        <v>0</v>
      </c>
      <c r="P8" s="8">
        <f>SUM(Calendario!B7,Calendario!F7,Calendario!I6,Calendario!M6,Calendario!Q5,Calendario!U5,Calendario!C23,Calendario!G23,Calendario!J24,Calendario!N24,Calendario!P18,Calendario!T18,Calendario!C32,Calendario!G32,Calendario!I31,Calendario!M31,Calendario!Q28,Calendario!U28,Calendario!B43,Calendario!F43,Calendario!I42,Calendario!M42,Calendario!P43,Calendario!T43,Calendario!C55,Calendario!G55,Calendario!J51,Calendario!N51,Calendario!Q58,Calendario!U58,Calendario!B65,Calendario!F65,Calendario!I65,Calendario!M65,Calendario!P67,Calendario!T67,Calendario!C81,Calendario!G81)</f>
        <v>1</v>
      </c>
      <c r="Q8" s="8">
        <f>SUM(Calendario!C7,Calendario!G7,Calendario!J6,Calendario!N6,Calendario!P5,Calendario!T5,Calendario!B23,Calendario!F23,Calendario!I24,Calendario!M24,Calendario!Q18,Calendario!U18,Calendario!B32,Calendario!F32,Calendario!J31,Calendario!N31,Calendario!P28,Calendario!T28,Calendario!C43,Calendario!G43,Calendario!J42,Calendario!N42,Calendario!Q43,Calendario!U43,Calendario!B55,Calendario!F55,Calendario!I51,Calendario!M51,Calendario!P58,Calendario!T58,Calendario!C65,Calendario!G65,Calendario!J65,Calendario!N65,Calendario!Q67,Calendario!U67,Calendario!B81,Calendario!F81)</f>
        <v>0</v>
      </c>
      <c r="R8" s="8">
        <f>(P8-Q8)</f>
        <v>1</v>
      </c>
      <c r="S8" s="23">
        <f>SUM((-2*J8)+(-3*K8)+(2*M8)+(-1*O8))</f>
        <v>0</v>
      </c>
    </row>
    <row r="9" spans="2:19">
      <c r="B9" s="13" t="s">
        <v>9</v>
      </c>
      <c r="C9" s="30">
        <f>SUM((E9*3)+(F9))</f>
        <v>3</v>
      </c>
      <c r="D9" s="8">
        <f>SUM(E9:G9)</f>
        <v>1</v>
      </c>
      <c r="E9" s="8">
        <f>SUM(I9,M9)</f>
        <v>1</v>
      </c>
      <c r="F9" s="8">
        <f>SUM(J9,N9)</f>
        <v>0</v>
      </c>
      <c r="G9" s="8">
        <f>SUM(K9,O9)</f>
        <v>0</v>
      </c>
      <c r="H9" s="8">
        <f>SUM(I9:K9)</f>
        <v>1</v>
      </c>
      <c r="I9" s="8">
        <v>1</v>
      </c>
      <c r="J9" s="8">
        <v>0</v>
      </c>
      <c r="K9" s="8">
        <v>0</v>
      </c>
      <c r="L9" s="8">
        <f>SUM(M9:O9)</f>
        <v>0</v>
      </c>
      <c r="M9" s="8">
        <v>0</v>
      </c>
      <c r="N9" s="8">
        <v>0</v>
      </c>
      <c r="O9" s="8">
        <v>0</v>
      </c>
      <c r="P9" s="8">
        <f>SUM(Calendario!B8,Calendario!F8,Calendario!I7,Calendario!M7,Calendario!P10,Calendario!T10,Calendario!C18,Calendario!G18,Calendario!J16,Calendario!N16,Calendario!Q23,Calendario!U23,Calendario!B32,Calendario!F32,Calendario!I32,Calendario!M32,Calendario!P32,Calendario!T32,Calendario!C41,Calendario!G41,Calendario!J48,Calendario!N48,Calendario!Q42,Calendario!U42,Calendario!B57,Calendario!F57,Calendario!I58,Calendario!M58,Calendario!P56,Calendario!T56,Calendario!B66,Calendario!F66,Calendario!J68,Calendario!N68,Calendario!Q72,Calendario!U72,Calendario!C79,Calendario!G79)</f>
        <v>1</v>
      </c>
      <c r="Q9" s="8">
        <f>SUM(Calendario!C8,Calendario!G8,Calendario!J7,Calendario!N7,Calendario!Q10,Calendario!U10,Calendario!B18,Calendario!F18,Calendario!I16,Calendario!M16,Calendario!P23,Calendario!T23,Calendario!C32,Calendario!G32,Calendario!J32,Calendario!N32,Calendario!Q32,Calendario!U32,Calendario!B41,Calendario!F41,Calendario!I48,Calendario!M48,Calendario!P42,Calendario!T42,Calendario!C57,Calendario!G57,Calendario!J58,Calendario!N58,Calendario!Q56,Calendario!U56,Calendario!C66,Calendario!G66,Calendario!I68,Calendario!M68,Calendario!P72,Calendario!T72,Calendario!B79,Calendario!F79)</f>
        <v>0</v>
      </c>
      <c r="R9" s="8">
        <f>(P9-Q9)</f>
        <v>1</v>
      </c>
      <c r="S9" s="23">
        <f>SUM((-2*J9)+(-3*K9)+(2*M9)+(-1*O9))</f>
        <v>0</v>
      </c>
    </row>
    <row r="10" spans="2:19">
      <c r="B10" s="32" t="s">
        <v>57</v>
      </c>
      <c r="C10" s="6">
        <f>SUM((E10*3)+(F10))</f>
        <v>1</v>
      </c>
      <c r="D10" s="8">
        <f>SUM(E10:G10)</f>
        <v>1</v>
      </c>
      <c r="E10" s="8">
        <f>SUM(I10,M10)</f>
        <v>0</v>
      </c>
      <c r="F10" s="8">
        <f>SUM(J10,N10)</f>
        <v>1</v>
      </c>
      <c r="G10" s="8">
        <f>SUM(K10,O10)</f>
        <v>0</v>
      </c>
      <c r="H10" s="8">
        <f>SUM(I10:K10)</f>
        <v>0</v>
      </c>
      <c r="I10" s="8">
        <v>0</v>
      </c>
      <c r="J10" s="8">
        <v>0</v>
      </c>
      <c r="K10" s="8">
        <v>0</v>
      </c>
      <c r="L10" s="8">
        <f>SUM(M10:O10)</f>
        <v>1</v>
      </c>
      <c r="M10" s="8">
        <v>0</v>
      </c>
      <c r="N10" s="8">
        <v>1</v>
      </c>
      <c r="O10" s="8">
        <v>0</v>
      </c>
      <c r="P10" s="8">
        <f>SUM(Calendario!C12,Calendario!G12,Calendario!I11,Calendario!M11,Calendario!P11,Calendario!T11,Calendario!B22,Calendario!F22,Calendario!J15,Calendario!N15,Calendario!Q17,Calendario!U17,Calendario!C31,Calendario!G31,Calendario!I35,Calendario!M35,Calendario!P34,Calendario!T34,Calendario!B46,Calendario!F46,Calendario!J44,Calendario!N44,Calendario!Q47,Calendario!U47,Calendario!C57,Calendario!G57,Calendario!I59,Calendario!M59,Calendario!P58,Calendario!T58,Calendario!B70,Calendario!F70,Calendario!J64,Calendario!N64,Calendario!Q68,Calendario!U68,Calendario!C83,Calendario!G83)</f>
        <v>2</v>
      </c>
      <c r="Q10" s="8">
        <f>SUM(Calendario!B12,Calendario!F12,Calendario!J11,Calendario!N11,Calendario!Q11,Calendario!U11,Calendario!C22,Calendario!G22,Calendario!I15,Calendario!M15,Calendario!P17,Calendario!T17,Calendario!B31,Calendario!F31,Calendario!J35,Calendario!N35,Calendario!Q34,Calendario!U34,Calendario!C46,Calendario!G46,Calendario!I44,Calendario!M44,Calendario!P47,Calendario!T47,Calendario!B57,Calendario!F57,Calendario!J59,Calendario!N59,Calendario!Q58,Calendario!U58,Calendario!C70,Calendario!G70,Calendario!I64,Calendario!M64,Calendario!P68,Calendario!T68,Calendario!B83,Calendario!F83)</f>
        <v>2</v>
      </c>
      <c r="R10" s="8">
        <f>(P10-Q10)</f>
        <v>0</v>
      </c>
      <c r="S10" s="23">
        <f>SUM((-2*J10)+(-3*K10)+(2*M10)+(-1*O10))</f>
        <v>0</v>
      </c>
    </row>
    <row r="11" spans="2:19">
      <c r="B11" s="9" t="s">
        <v>8</v>
      </c>
      <c r="C11" s="30">
        <f>SUM((E11*3)+(F11))</f>
        <v>1</v>
      </c>
      <c r="D11" s="8">
        <f>SUM(E11:G11)</f>
        <v>1</v>
      </c>
      <c r="E11" s="8">
        <f>SUM(I11,M11)</f>
        <v>0</v>
      </c>
      <c r="F11" s="8">
        <f>SUM(J11,N11)</f>
        <v>1</v>
      </c>
      <c r="G11" s="8">
        <f>SUM(K11,O11)</f>
        <v>0</v>
      </c>
      <c r="H11" s="8">
        <f>SUM(I11:K11)</f>
        <v>1</v>
      </c>
      <c r="I11" s="8">
        <v>0</v>
      </c>
      <c r="J11" s="8">
        <v>1</v>
      </c>
      <c r="K11" s="8">
        <v>0</v>
      </c>
      <c r="L11" s="8">
        <f>SUM(M11:O11)</f>
        <v>0</v>
      </c>
      <c r="M11" s="8">
        <v>0</v>
      </c>
      <c r="N11" s="8">
        <v>0</v>
      </c>
      <c r="O11" s="8">
        <v>0</v>
      </c>
      <c r="P11" s="8">
        <f>SUM(Calendario!B12,Calendario!F12,Calendario!I12,Calendario!M12,Calendario!P12,Calendario!T12,Calendario!C24,Calendario!G24,Calendario!J21,Calendario!N21,Calendario!Q15,Calendario!U15,Calendario!B36,Calendario!F36,Calendario!I36,Calendario!M36,Calendario!Q36,Calendario!U36,Calendario!C45,Calendario!G45,Calendario!J40,Calendario!N40,Calendario!P48,Calendario!T48,Calendario!B60,Calendario!F60,Calendario!I60,Calendario!M60,Calendario!Q52,Calendario!U52,Calendario!B72,Calendario!F72,Calendario!J65,Calendario!N65,Calendario!P72,Calendario!T72,Calendario!C80,Calendario!G80)</f>
        <v>2</v>
      </c>
      <c r="Q11" s="8">
        <f>SUM(Calendario!C12,Calendario!G12,Calendario!J12,Calendario!N12,Calendario!Q12,Calendario!U12,Calendario!B24,Calendario!F24,Calendario!I21,Calendario!M21,Calendario!P15,Calendario!T15,Calendario!C36,Calendario!G36,Calendario!J36,Calendario!N36,Calendario!P36,Calendario!T36,Calendario!B45,Calendario!F45,Calendario!I40,Calendario!M40,Calendario!Q48,Calendario!U48,Calendario!C60,Calendario!G60,Calendario!J60,Calendario!N60,Calendario!P52,Calendario!T52,Calendario!C72,Calendario!G72,Calendario!I65,Calendario!M65,Calendario!Q72,Calendario!U72,Calendario!B80,Calendario!F80)</f>
        <v>2</v>
      </c>
      <c r="R11" s="8">
        <f>(P11-Q11)</f>
        <v>0</v>
      </c>
      <c r="S11" s="23">
        <f>SUM((-2*J11)+(-3*K11)+(2*M11)+(-1*O11))</f>
        <v>-2</v>
      </c>
    </row>
    <row r="12" spans="2:19">
      <c r="B12" s="29" t="s">
        <v>53</v>
      </c>
      <c r="C12" s="8">
        <f>SUM((E12*3)+(F12))</f>
        <v>1</v>
      </c>
      <c r="D12" s="8">
        <f>SUM(E12:G12)</f>
        <v>1</v>
      </c>
      <c r="E12" s="8">
        <f>SUM(I12,M12)</f>
        <v>0</v>
      </c>
      <c r="F12" s="8">
        <f>SUM(J12,N12)</f>
        <v>1</v>
      </c>
      <c r="G12" s="8">
        <f>SUM(K12,O12)</f>
        <v>0</v>
      </c>
      <c r="H12" s="8">
        <f>SUM(I12:K12)</f>
        <v>1</v>
      </c>
      <c r="I12" s="8">
        <v>0</v>
      </c>
      <c r="J12" s="8">
        <v>1</v>
      </c>
      <c r="K12" s="8">
        <v>0</v>
      </c>
      <c r="L12" s="8">
        <f>SUM(M12:O12)</f>
        <v>0</v>
      </c>
      <c r="M12" s="8">
        <v>0</v>
      </c>
      <c r="N12" s="8">
        <v>0</v>
      </c>
      <c r="O12" s="8">
        <v>0</v>
      </c>
      <c r="P12" s="8">
        <f>SUM(Calendario!B3,Calendario!F3,Calendario!J10,Calendario!N10,Calendario!Q10,Calendario!U10,Calendario!C16,Calendario!G16,Calendario!J23,Calendario!N23,Calendario!P15,Calendario!T15,Calendario!B28,Calendario!F28,Calendario!I27,Calendario!M27,Calendario!Q34,Calendario!U34,Calendario!C44,Calendario!G44,Calendario!J46,Calendario!N46,Calendario!P39,Calendario!T39,Calendario!B53,Calendario!F53,Calendario!I53,Calendario!M53,Calendario!Q54,Calendario!U54,Calendario!C65,Calendario!G65,Calendario!I63,Calendario!M63,Calendario!P63,Calendario!T63,Calendario!B77,Calendario!F77)</f>
        <v>1</v>
      </c>
      <c r="Q12" s="8">
        <f>SUM(Calendario!C3,Calendario!G3,Calendario!I10,Calendario!M10,Calendario!P10,Calendario!T10,Calendario!B16,Calendario!F16,Calendario!I23,Calendario!M23,Calendario!Q15,Calendario!U15,Calendario!C28,Calendario!G28,Calendario!J27,Calendario!N27,Calendario!P34,Calendario!T34,Calendario!B44,Calendario!F44,Calendario!I46,Calendario!M46,Calendario!Q39,Calendario!U39,Calendario!C53,Calendario!G53,Calendario!J53,Calendario!N53,Calendario!P54,Calendario!T54,Calendario!B65,Calendario!F65,Calendario!J63,Calendario!N63,Calendario!Q63,Calendario!U63,Calendario!C77,Calendario!G77)</f>
        <v>1</v>
      </c>
      <c r="R12" s="8">
        <f>(P12-Q12)</f>
        <v>0</v>
      </c>
      <c r="S12" s="23">
        <f>SUM((-2*J12)+(-3*K12)+(2*M12)+(-1*O12))</f>
        <v>-2</v>
      </c>
    </row>
    <row r="13" spans="2:19">
      <c r="B13" s="12" t="s">
        <v>1</v>
      </c>
      <c r="C13" s="30">
        <f>SUM((E13*3)+(F13))</f>
        <v>1</v>
      </c>
      <c r="D13" s="8">
        <f>SUM(E13:G13)</f>
        <v>1</v>
      </c>
      <c r="E13" s="8">
        <f>SUM(I13,M13)</f>
        <v>0</v>
      </c>
      <c r="F13" s="8">
        <f>SUM(J13,N13)</f>
        <v>1</v>
      </c>
      <c r="G13" s="8">
        <f>SUM(K13,O13)</f>
        <v>0</v>
      </c>
      <c r="H13" s="8">
        <f>SUM(I13:K13)</f>
        <v>0</v>
      </c>
      <c r="I13" s="8">
        <v>0</v>
      </c>
      <c r="J13" s="8">
        <v>0</v>
      </c>
      <c r="K13" s="8">
        <v>0</v>
      </c>
      <c r="L13" s="8">
        <f>SUM(M13:O13)</f>
        <v>1</v>
      </c>
      <c r="M13" s="8">
        <v>0</v>
      </c>
      <c r="N13" s="8">
        <v>1</v>
      </c>
      <c r="O13" s="8">
        <v>0</v>
      </c>
      <c r="P13" s="8">
        <f>SUM(Calendario!C3,Calendario!G3,Calendario!J6,Calendario!N6,Calendario!Q9,Calendario!U9,Calendario!B19,Calendario!F19,Calendario!I19,Calendario!M19,Calendario!P16,Calendario!T16,Calendario!B29,Calendario!F29,Calendario!J29,Calendario!N29,Calendario!Q31,Calendario!U31,Calendario!C47,Calendario!G47,Calendario!I41,Calendario!M41,Calendario!P40,Calendario!T40,Calendario!B54,Calendario!F54,Calendario!J60,Calendario!N60,Calendario!Q60,Calendario!U60,Calendario!C67,Calendario!G67,Calendario!I64,Calendario!M64,Calendario!P64,Calendario!T64,Calendario!B79,Calendario!F79)</f>
        <v>1</v>
      </c>
      <c r="Q13" s="8">
        <f>SUM(Calendario!B3,Calendario!F3,Calendario!I6,Calendario!M6,Calendario!P9,Calendario!T9,Calendario!C19,Calendario!G19,Calendario!J19,Calendario!N19,Calendario!Q16,Calendario!U16,Calendario!C29,Calendario!G29,Calendario!I29,Calendario!M29,Calendario!P31,Calendario!T31,Calendario!B47,Calendario!F47,Calendario!J41,Calendario!N41,Calendario!Q40,Calendario!U40,Calendario!C54,Calendario!G54,Calendario!I60,Calendario!M60,Calendario!P60,Calendario!T60,Calendario!B67,Calendario!F67,Calendario!J64,Calendario!N64,Calendario!Q64,Calendario!U64,Calendario!C79,Calendario!G79)</f>
        <v>1</v>
      </c>
      <c r="R13" s="8">
        <f>(P13-Q13)</f>
        <v>0</v>
      </c>
      <c r="S13" s="23">
        <f>SUM((-2*J13)+(-3*K13)+(2*M13)+(-1*O13))</f>
        <v>0</v>
      </c>
    </row>
    <row r="14" spans="2:19">
      <c r="B14" s="31" t="s">
        <v>56</v>
      </c>
      <c r="C14" s="8">
        <f>SUM((E14*3)+(F14))</f>
        <v>1</v>
      </c>
      <c r="D14" s="8">
        <f>SUM(E14:G14)</f>
        <v>1</v>
      </c>
      <c r="E14" s="8">
        <f>SUM(I14,M14)</f>
        <v>0</v>
      </c>
      <c r="F14" s="8">
        <f>SUM(J14,N14)</f>
        <v>1</v>
      </c>
      <c r="G14" s="8">
        <f>SUM(K14,O14)</f>
        <v>0</v>
      </c>
      <c r="H14" s="8">
        <f>SUM(I14:K14)</f>
        <v>0</v>
      </c>
      <c r="I14" s="8">
        <v>0</v>
      </c>
      <c r="J14" s="8">
        <v>0</v>
      </c>
      <c r="K14" s="8">
        <v>0</v>
      </c>
      <c r="L14" s="8">
        <f>SUM(M14:O14)</f>
        <v>1</v>
      </c>
      <c r="M14" s="8">
        <v>0</v>
      </c>
      <c r="N14" s="8">
        <v>1</v>
      </c>
      <c r="O14" s="8">
        <v>0</v>
      </c>
      <c r="P14" s="8">
        <f>SUM(Calendario!C6,Calendario!G6,Calendario!J4,Calendario!N4,Calendario!P4,Calendario!T4,Calendario!B16,Calendario!F16,Calendario!I16,Calendario!M16,Calendario!Q21,Calendario!U21,Calendario!C34,Calendario!G34,Calendario!J35,Calendario!N35,Calendario!P28,Calendario!T28,Calendario!B39,Calendario!F39,Calendario!J47,Calendario!N47,Calendario!Q41,Calendario!U41,Calendario!B52,Calendario!F52,Calendario!I52,Calendario!M52,Calendario!P52,Calendario!T52,Calendario!C68,Calendario!G68,Calendario!J70,Calendario!N70,Calendario!Q64,Calendario!U64,Calendario!B76,Calendario!F76)</f>
        <v>1</v>
      </c>
      <c r="Q14" s="8">
        <f>SUM(Calendario!B6,Calendario!F6,Calendario!I4,Calendario!M4,Calendario!Q4,Calendario!U4,Calendario!C16,Calendario!G16,Calendario!J16,Calendario!N16,Calendario!P21,Calendario!T21,Calendario!B34,Calendario!F34,Calendario!I35,Calendario!M35,Calendario!Q28,Calendario!U28,Calendario!C39,Calendario!G39,Calendario!I47,Calendario!M47,Calendario!P41,Calendario!T41,Calendario!C52,Calendario!G52,Calendario!J52,Calendario!N52,Calendario!Q52,Calendario!U52,Calendario!B68,Calendario!F68,Calendario!I70,Calendario!M70,Calendario!P64,Calendario!T64,Calendario!C76,Calendario!G76)</f>
        <v>1</v>
      </c>
      <c r="R14" s="8">
        <f>(P14-Q14)</f>
        <v>0</v>
      </c>
      <c r="S14" s="23">
        <f>SUM((-2*J14)+(-3*K14)+(2*M14)+(-1*O14))</f>
        <v>0</v>
      </c>
    </row>
    <row r="15" spans="2:19">
      <c r="B15" s="10" t="s">
        <v>3</v>
      </c>
      <c r="C15" s="8">
        <f>SUM((E15*3)+(F15))</f>
        <v>1</v>
      </c>
      <c r="D15" s="8">
        <f>SUM(E15:G15)</f>
        <v>1</v>
      </c>
      <c r="E15" s="8">
        <f>SUM(I15,M15)</f>
        <v>0</v>
      </c>
      <c r="F15" s="8">
        <f>SUM(J15,N15)</f>
        <v>1</v>
      </c>
      <c r="G15" s="8">
        <f>SUM(K15,O15)</f>
        <v>0</v>
      </c>
      <c r="H15" s="8">
        <f>SUM(I15:K15)</f>
        <v>1</v>
      </c>
      <c r="I15" s="8">
        <v>0</v>
      </c>
      <c r="J15" s="8">
        <v>1</v>
      </c>
      <c r="K15" s="8">
        <v>0</v>
      </c>
      <c r="L15" s="8">
        <f>SUM(M15:O15)</f>
        <v>0</v>
      </c>
      <c r="M15" s="8">
        <v>0</v>
      </c>
      <c r="N15" s="8">
        <v>0</v>
      </c>
      <c r="O15" s="8">
        <v>0</v>
      </c>
      <c r="P15" s="8">
        <f>SUM(Calendario!B6,Calendario!F6,Calendario!J5,Calendario!N5,Calendario!P9,Calendario!T9,Calendario!C20,Calendario!G20,Calendario!I20,Calendario!M20,Calendario!Q18,Calendario!U18,Calendario!B31,Calendario!F31,Calendario!I30,Calendario!M30,Calendario!Q27,Calendario!U27,Calendario!C40,Calendario!G40,Calendario!J43,Calendario!N43,Calendario!P42,Calendario!T42,Calendario!B56,Calendario!F56,Calendario!I57,Calendario!M57,Calendario!Q55,Calendario!U55,Calendario!C71,Calendario!G71,Calendario!J63,Calendario!N63,Calendario!P66,Calendario!T66,Calendario!B80,Calendario!F80)</f>
        <v>1</v>
      </c>
      <c r="Q15" s="8">
        <f>SUM(Calendario!C6,Calendario!G6,Calendario!I5,Calendario!M5,Calendario!Q9,Calendario!U9,Calendario!B20,Calendario!F20,Calendario!J20,Calendario!N20,Calendario!P18,Calendario!T18,Calendario!C31,Calendario!G31,Calendario!J30,Calendario!N30,Calendario!P27,Calendario!T27,Calendario!B40,Calendario!F40,Calendario!I43,Calendario!M43,Calendario!Q42,Calendario!U42,Calendario!C56,Calendario!G56,Calendario!J57,Calendario!N57,Calendario!P55,Calendario!T55,Calendario!B71,Calendario!F71,Calendario!I63,Calendario!M63,Calendario!Q66,Calendario!U66,Calendario!C80,Calendario!G80)</f>
        <v>1</v>
      </c>
      <c r="R15" s="8">
        <f>(P15-Q15)</f>
        <v>0</v>
      </c>
      <c r="S15" s="23">
        <f>SUM((-2*J15)+(-3*K15)+(2*M15)+(-1*O15))</f>
        <v>-2</v>
      </c>
    </row>
    <row r="16" spans="2:19">
      <c r="B16" s="18" t="s">
        <v>12</v>
      </c>
      <c r="C16" s="8">
        <f>SUM((E16*3)+(F16))</f>
        <v>1</v>
      </c>
      <c r="D16" s="8">
        <f>SUM(E16:G16)</f>
        <v>1</v>
      </c>
      <c r="E16" s="8">
        <f>SUM(I16,M16)</f>
        <v>0</v>
      </c>
      <c r="F16" s="8">
        <f>SUM(J16,N16)</f>
        <v>1</v>
      </c>
      <c r="G16" s="8">
        <f>SUM(K16,O16)</f>
        <v>0</v>
      </c>
      <c r="H16" s="8">
        <f>SUM(I16:K16)</f>
        <v>0</v>
      </c>
      <c r="I16" s="8">
        <v>0</v>
      </c>
      <c r="J16" s="8">
        <v>0</v>
      </c>
      <c r="K16" s="8">
        <v>0</v>
      </c>
      <c r="L16" s="8">
        <f>SUM(M16:O16)</f>
        <v>1</v>
      </c>
      <c r="M16" s="8">
        <v>0</v>
      </c>
      <c r="N16" s="8">
        <v>1</v>
      </c>
      <c r="O16" s="8">
        <v>0</v>
      </c>
      <c r="P16" s="8">
        <f>SUM(Calendario!C9,Calendario!G9,Calendario!J3,Calendario!N3,Calendario!P5,Calendario!T5,Calendario!B17,Calendario!F17,Calendario!I17,Calendario!M17,Calendario!Q22,Calendario!U22,Calendario!C29,Calendario!G29,Calendario!J32,Calendario!N32,Calendario!P29,Calendario!T29,Calendario!B40,Calendario!F40,Calendario!I39,Calendario!M39,Calendario!Q48,Calendario!U48,Calendario!C52,Calendario!G52,Calendario!I54,Calendario!M54,Calendario!P53,Calendario!T53,Calendario!C70,Calendario!G70,Calendario!J67,Calendario!N67,Calendario!Q63,Calendario!U63,Calendario!B78,Calendario!F78)</f>
        <v>0</v>
      </c>
      <c r="Q16" s="8">
        <f>SUM(Calendario!B9,Calendario!F9,Calendario!I3,Calendario!M3,Calendario!Q5,Calendario!U5,Calendario!C17,Calendario!G17,Calendario!J17,Calendario!N17,Calendario!P22,Calendario!T22,Calendario!B29,Calendario!F29,Calendario!I32,Calendario!M32,Calendario!Q29,Calendario!U29,Calendario!C40,Calendario!G40,Calendario!J39,Calendario!N39,Calendario!P48,Calendario!T48,Calendario!B52,Calendario!F52,Calendario!J54,Calendario!N54,Calendario!Q53,Calendario!U53,Calendario!B70,Calendario!F70,Calendario!I67,Calendario!M67,Calendario!P63,Calendario!T63,Calendario!C78,Calendario!G78)</f>
        <v>0</v>
      </c>
      <c r="R16" s="8">
        <f>(P16-Q16)</f>
        <v>0</v>
      </c>
      <c r="S16" s="23">
        <f>SUM((-2*J16)+(-3*K16)+(2*M16)+(-1*O16))</f>
        <v>0</v>
      </c>
    </row>
    <row r="17" spans="2:19">
      <c r="B17" s="33" t="s">
        <v>58</v>
      </c>
      <c r="C17" s="8">
        <f>SUM((E17*3)+(F17))</f>
        <v>1</v>
      </c>
      <c r="D17" s="8">
        <f>SUM(E17:G17)</f>
        <v>1</v>
      </c>
      <c r="E17" s="8">
        <f>SUM(I17,M17)</f>
        <v>0</v>
      </c>
      <c r="F17" s="8">
        <f>SUM(J17,N17)</f>
        <v>1</v>
      </c>
      <c r="G17" s="8">
        <f>SUM(K17,O17)</f>
        <v>0</v>
      </c>
      <c r="H17" s="8">
        <f>SUM(I17:K17)</f>
        <v>1</v>
      </c>
      <c r="I17" s="8">
        <v>0</v>
      </c>
      <c r="J17" s="8">
        <v>1</v>
      </c>
      <c r="K17" s="8">
        <v>0</v>
      </c>
      <c r="L17" s="8">
        <f>SUM(M17:O17)</f>
        <v>0</v>
      </c>
      <c r="M17" s="8">
        <v>0</v>
      </c>
      <c r="N17" s="8">
        <v>0</v>
      </c>
      <c r="O17" s="8">
        <v>0</v>
      </c>
      <c r="P17" s="8">
        <f>SUM(Calendario!B9,Calendario!F9,Calendario!I8,Calendario!M8,Calendario!Q12,Calendario!U12,Calendario!C21,Calendario!G21,Calendario!J22,Calendario!N22,Calendario!P19,Calendario!T19,Calendario!B33,Calendario!F33,Calendario!I33,Calendario!M33,Calendario!Q30,Calendario!U30,Calendario!C43,Calendario!G43,Calendario!I43,Calendario!M43,Calendario!P44,Calendario!T44,Calendario!C53,Calendario!G53,Calendario!J52,Calendario!N52,Calendario!Q56,Calendario!U56,Calendario!B67,Calendario!F67,Calendario!I66,Calendario!M66,Calendario!P68,Calendario!T68,Calendario!C84,Calendario!G84)</f>
        <v>0</v>
      </c>
      <c r="Q17" s="8">
        <f>SUM(Calendario!C9,Calendario!G9,Calendario!J8,Calendario!N8,Calendario!P12,Calendario!T12,Calendario!B21,Calendario!F21,Calendario!I22,Calendario!M22,Calendario!Q19,Calendario!U19,Calendario!C33,Calendario!G33,Calendario!J33,Calendario!N33,Calendario!P30,Calendario!T30,Calendario!B43,Calendario!F43,Calendario!J43,Calendario!N43,Calendario!Q44,Calendario!U44,Calendario!B53,Calendario!F53,Calendario!I52,Calendario!M52,Calendario!P56,Calendario!T56,Calendario!C67,Calendario!G67,Calendario!J66,Calendario!N66,Calendario!Q68,Calendario!U68,Calendario!B84,Calendario!F84)</f>
        <v>0</v>
      </c>
      <c r="R17" s="8">
        <f>(P17-Q17)</f>
        <v>0</v>
      </c>
      <c r="S17" s="23">
        <f>SUM((-2*J17)+(-3*K17)+(2*M17)+(-1*O17))</f>
        <v>-2</v>
      </c>
    </row>
    <row r="18" spans="2:19">
      <c r="B18" s="14" t="s">
        <v>7</v>
      </c>
      <c r="C18" s="30">
        <f>SUM((E18*3)+(F18))</f>
        <v>0</v>
      </c>
      <c r="D18" s="8">
        <f>SUM(E18:G18)</f>
        <v>1</v>
      </c>
      <c r="E18" s="8">
        <f>SUM(I18,M18)</f>
        <v>0</v>
      </c>
      <c r="F18" s="8">
        <f>SUM(J18,N18)</f>
        <v>0</v>
      </c>
      <c r="G18" s="8">
        <f>SUM(K18,O18)</f>
        <v>1</v>
      </c>
      <c r="H18" s="8">
        <f>SUM(I18:K18)</f>
        <v>0</v>
      </c>
      <c r="I18" s="8">
        <v>0</v>
      </c>
      <c r="J18" s="8">
        <v>0</v>
      </c>
      <c r="K18" s="8">
        <v>0</v>
      </c>
      <c r="L18" s="8">
        <f>SUM(M18:O18)</f>
        <v>1</v>
      </c>
      <c r="M18" s="8">
        <v>0</v>
      </c>
      <c r="N18" s="8">
        <v>0</v>
      </c>
      <c r="O18" s="8">
        <v>1</v>
      </c>
      <c r="P18" s="8">
        <f>SUM(Calendario!C5,Calendario!G5,Calendario!J9,Calendario!N9,Calendario!Q3,Calendario!U3,Calendario!B23,Calendario!F23,Calendario!I22,Calendario!M22,Calendario!P23,Calendario!T23,Calendario!C35,Calendario!G35,Calendario!J36,Calendario!N36,Calendario!Q35,Calendario!U35,Calendario!B47,Calendario!F47,Calendario!I46,Calendario!M46,Calendario!P47,Calendario!T47,Calendario!C58,Calendario!G58,Calendario!J57,Calendario!N57,Calendario!Q53,Calendario!U53,Calendario!C63,Calendario!G63,Calendario!I70,Calendario!M70,Calendario!P71,Calendario!T71,Calendario!B82,Calendario!F82)</f>
        <v>2</v>
      </c>
      <c r="Q18" s="8">
        <f>SUM(Calendario!B5,Calendario!F5,Calendario!I9,Calendario!M9,Calendario!P3,Calendario!T3,Calendario!C23,Calendario!G23,Calendario!J22,Calendario!N22,Calendario!Q23,Calendario!U23,Calendario!B35,Calendario!F35,Calendario!I36,Calendario!M36,Calendario!P35,Calendario!T35,Calendario!C47,Calendario!G47,Calendario!J46,Calendario!N46,Calendario!Q47,Calendario!U47,Calendario!B58,Calendario!F58,Calendario!I57,Calendario!M57,Calendario!P53,Calendario!T53,Calendario!B63,Calendario!F63,Calendario!J70,Calendario!N70,Calendario!Q71,Calendario!U71,Calendario!C82,Calendario!G82)</f>
        <v>3</v>
      </c>
      <c r="R18" s="8">
        <f>(P18-Q18)</f>
        <v>-1</v>
      </c>
      <c r="S18" s="23">
        <f>SUM((-2*J18)+(-3*K18)+(2*M18)+(-1*O18))</f>
        <v>-1</v>
      </c>
    </row>
    <row r="19" spans="2:19">
      <c r="B19" s="19" t="s">
        <v>13</v>
      </c>
      <c r="C19" s="8">
        <f>SUM((E19*3)+(F19))</f>
        <v>0</v>
      </c>
      <c r="D19" s="8">
        <f>SUM(E19:G19)</f>
        <v>1</v>
      </c>
      <c r="E19" s="8">
        <f>SUM(I19,M19)</f>
        <v>0</v>
      </c>
      <c r="F19" s="8">
        <f>SUM(J19,N19)</f>
        <v>0</v>
      </c>
      <c r="G19" s="8">
        <f>SUM(K19,O19)</f>
        <v>1</v>
      </c>
      <c r="H19" s="8">
        <f>SUM(I19:K19)</f>
        <v>1</v>
      </c>
      <c r="I19" s="8">
        <v>0</v>
      </c>
      <c r="J19" s="8">
        <v>0</v>
      </c>
      <c r="K19" s="8">
        <v>1</v>
      </c>
      <c r="L19" s="8">
        <f>SUM(M19:O19)</f>
        <v>0</v>
      </c>
      <c r="M19" s="8">
        <v>0</v>
      </c>
      <c r="N19" s="8">
        <v>0</v>
      </c>
      <c r="O19" s="8">
        <v>0</v>
      </c>
      <c r="P19" s="8">
        <f>SUM(Calendario!B4,Calendario!F4,Calendario!I3,Calendario!M3,Calendario!P6,Calendario!T6,Calendario!C22,Calendario!G22,Calendario!J20,Calendario!N20,Calendario!Q24,Calendario!U24,Calendario!C36,Calendario!G36,Calendario!I28,Calendario!M28,Calendario!P30,Calendario!T30,Calendario!B41,Calendario!F41,Calendario!J41,Calendario!N41,Calendario!Q43,Calendario!U43,Calendario!C51,Calendario!G51,Calendario!I55,Calendario!M55,Calendario!P54,Calendario!T54,Calendario!B63,Calendario!F63,Calendario!J69,Calendario!N69,Calendario!Q65,Calendario!U65,Calendario!C76,Calendario!G76)</f>
        <v>1</v>
      </c>
      <c r="Q19" s="8">
        <f>SUM(Calendario!C4,Calendario!G4,Calendario!J3,Calendario!N3,Calendario!Q6,Calendario!U6,Calendario!B22,Calendario!F22,Calendario!I20,Calendario!M20,Calendario!P24,Calendario!T24,Calendario!B36,Calendario!F36,Calendario!J28,Calendario!N28,Calendario!Q30,Calendario!U30,Calendario!C41,Calendario!G41,Calendario!I41,Calendario!M41,Calendario!P43,Calendario!T43,Calendario!B51,Calendario!F51,Calendario!J55,Calendario!N55,Calendario!Q54,Calendario!U54,Calendario!C63,Calendario!G63,Calendario!I69,Calendario!M69,Calendario!P65,Calendario!T65,Calendario!B76,Calendario!F76)</f>
        <v>2</v>
      </c>
      <c r="R19" s="8">
        <f>(P19-Q19)</f>
        <v>-1</v>
      </c>
      <c r="S19" s="23">
        <f>SUM((-2*J19)+(-3*K19)+(2*M19)+(-1*O19))</f>
        <v>-3</v>
      </c>
    </row>
    <row r="20" spans="2:19">
      <c r="B20" s="17" t="s">
        <v>5</v>
      </c>
      <c r="C20" s="8">
        <f>SUM((E20*3)+(F20))</f>
        <v>0</v>
      </c>
      <c r="D20" s="8">
        <f>SUM(E20:G20)</f>
        <v>1</v>
      </c>
      <c r="E20" s="8">
        <f>SUM(I20,M20)</f>
        <v>0</v>
      </c>
      <c r="F20" s="8">
        <f>SUM(J20,N20)</f>
        <v>0</v>
      </c>
      <c r="G20" s="8">
        <f>SUM(K20,O20)</f>
        <v>1</v>
      </c>
      <c r="H20" s="8">
        <f>SUM(I20:K20)</f>
        <v>0</v>
      </c>
      <c r="I20" s="8">
        <v>0</v>
      </c>
      <c r="J20" s="8">
        <v>0</v>
      </c>
      <c r="K20" s="8">
        <v>0</v>
      </c>
      <c r="L20" s="8">
        <f>SUM(M20:O20)</f>
        <v>1</v>
      </c>
      <c r="M20" s="8">
        <v>0</v>
      </c>
      <c r="N20" s="8">
        <v>0</v>
      </c>
      <c r="O20" s="8">
        <v>1</v>
      </c>
      <c r="P20" s="8">
        <f>SUM(Calendario!C10,Calendario!G10,Calendario!I10,Calendario!M10,Calendario!Q11,Calendario!U11,Calendario!B21,Calendario!F21,Calendario!J19,Calendario!N19,Calendario!P21,Calendario!T21,Calendario!C30,Calendario!G30,Calendario!I34,Calendario!M34,Calendario!Q29,Calendario!U29,Calendario!B45,Calendario!F45,Calendario!J42,Calendario!N42,Calendario!P45,Calendario!T45,Calendario!C56,Calendario!G56,Calendario!J55,Calendario!N55,Calendario!Q51,Calendario!U51,Calendario!B69,Calendario!F69,Calendario!I68,Calendario!M68,Calendario!P69,Calendario!T69,Calendario!C82,Calendario!G82)</f>
        <v>1</v>
      </c>
      <c r="Q20" s="8">
        <f>SUM(Calendario!B10,Calendario!F10,Calendario!J10,Calendario!N10,Calendario!P11,Calendario!T11,Calendario!C21,Calendario!G21,Calendario!I19,Calendario!M19,Calendario!Q21,Calendario!U21,Calendario!B30,Calendario!F30,Calendario!J34,Calendario!N34,Calendario!P29,Calendario!T29,Calendario!C45,Calendario!G45,Calendario!I42,Calendario!M42,Calendario!Q45,Calendario!U45,Calendario!B56,Calendario!F56,Calendario!I55,Calendario!M55,Calendario!P51,Calendario!T51,Calendario!C69,Calendario!G69,Calendario!J68,Calendario!N68,Calendario!Q69,Calendario!U69,Calendario!B82,Calendario!F82)</f>
        <v>2</v>
      </c>
      <c r="R20" s="8">
        <f>(P20-Q20)</f>
        <v>-1</v>
      </c>
      <c r="S20" s="23">
        <f>SUM((-2*J20)+(-3*K20)+(2*M20)+(-1*O20))</f>
        <v>-1</v>
      </c>
    </row>
    <row r="21" spans="2:19">
      <c r="B21" s="9" t="s">
        <v>10</v>
      </c>
      <c r="C21" s="8">
        <f>SUM((E21*3)+(F21))</f>
        <v>0</v>
      </c>
      <c r="D21" s="8">
        <f>SUM(E21:G21)</f>
        <v>1</v>
      </c>
      <c r="E21" s="8">
        <f>SUM(I21,M21)</f>
        <v>0</v>
      </c>
      <c r="F21" s="8">
        <f>SUM(J21,N21)</f>
        <v>0</v>
      </c>
      <c r="G21" s="8">
        <f>SUM(K21,O21)</f>
        <v>1</v>
      </c>
      <c r="H21" s="8">
        <f>SUM(I21:K21)</f>
        <v>1</v>
      </c>
      <c r="I21" s="8">
        <v>0</v>
      </c>
      <c r="J21" s="8">
        <v>0</v>
      </c>
      <c r="K21" s="8">
        <v>1</v>
      </c>
      <c r="L21" s="8">
        <f>SUM(M21:O21)</f>
        <v>0</v>
      </c>
      <c r="M21" s="8">
        <v>0</v>
      </c>
      <c r="N21" s="8">
        <v>0</v>
      </c>
      <c r="O21" s="8">
        <v>0</v>
      </c>
      <c r="P21" s="8">
        <f>SUM(Calendario!B11,Calendario!F11,Calendario!J11,Calendario!N11,Calendario!Q4,Calendario!U4,Calendario!C17,Calendario!G17,Calendario!I24,Calendario!M24,Calendario!P24,Calendario!T24,Calendario!B35,Calendario!F35,Calendario!J27,Calendario!N27,Calendario!P36,Calendario!T36,Calendario!C48,Calendario!G48,Calendario!I48,Calendario!M48,Calendario!Q46,Calendario!U46,Calendario!B59,Calendario!F59,Calendario!J56,Calendario!N56,Calendario!P60,Calendario!T60,Calendario!C69,Calendario!G69,Calendario!I72,Calendario!M72,Calendario!Q66,Calendario!U66,Calendario!B84,Calendario!F84)</f>
        <v>1</v>
      </c>
      <c r="Q21" s="8">
        <f>SUM(Calendario!C11,Calendario!G11,Calendario!I11,Calendario!M11,Calendario!P4,Calendario!T4,Calendario!B17,Calendario!F17,Calendario!J24,Calendario!N24,Calendario!Q24,Calendario!U24,Calendario!C35,Calendario!G35,Calendario!I27,Calendario!M27,Calendario!Q36,Calendario!U36,Calendario!B48,Calendario!F48,Calendario!J48,Calendario!N48,Calendario!P46,Calendario!T46,Calendario!C59,Calendario!G59,Calendario!I56,Calendario!M56,Calendario!Q60,Calendario!U60,Calendario!B69,Calendario!F69,Calendario!J72,Calendario!N72,Calendario!P66,Calendario!T66,Calendario!C84,Calendario!G84)</f>
        <v>2</v>
      </c>
      <c r="R21" s="8">
        <f>(P21-Q21)</f>
        <v>-1</v>
      </c>
      <c r="S21" s="23">
        <f>SUM((-2*J21)+(-3*K21)+(2*M21)+(-1*O21))</f>
        <v>-3</v>
      </c>
    </row>
    <row r="22" spans="2:19">
      <c r="B22" s="10" t="s">
        <v>11</v>
      </c>
      <c r="C22" s="8">
        <f>SUM((E22*3)+(F22))</f>
        <v>0</v>
      </c>
      <c r="D22" s="8">
        <f>SUM(E22:G22)</f>
        <v>1</v>
      </c>
      <c r="E22" s="8">
        <f>SUM(I22,M22)</f>
        <v>0</v>
      </c>
      <c r="F22" s="8">
        <f>SUM(J22,N22)</f>
        <v>0</v>
      </c>
      <c r="G22" s="8">
        <f>SUM(K22,O22)</f>
        <v>1</v>
      </c>
      <c r="H22" s="8">
        <f>SUM(I22:K22)</f>
        <v>0</v>
      </c>
      <c r="I22" s="8">
        <v>0</v>
      </c>
      <c r="J22" s="8">
        <v>0</v>
      </c>
      <c r="K22" s="8">
        <v>0</v>
      </c>
      <c r="L22" s="8">
        <f>SUM(M22:O22)</f>
        <v>1</v>
      </c>
      <c r="M22" s="8">
        <v>0</v>
      </c>
      <c r="N22" s="8">
        <v>0</v>
      </c>
      <c r="O22" s="8">
        <v>1</v>
      </c>
      <c r="P22" s="8">
        <f>SUM(Calendario!C8,Calendario!G8,Calendario!J12,Calendario!N12,Calendario!P3,Calendario!T3,Calendario!B15,Calendario!F15,Calendario!I15,Calendario!M15,Calendario!Q16,Calendario!U16,Calendario!B27,Calendario!F27,Calendario!J33,Calendario!N33,Calendario!P27,Calendario!T27,Calendario!C39,Calendario!G39,Calendario!J39,Calendario!N39,Calendario!Q39,Calendario!U39,Calendario!B51,Calendario!F51,Calendario!I51,Calendario!M51,Calendario!P51,Calendario!T51,Calendario!C64,Calendario!G64,Calendario!J72,Calendario!N72,Calendario!Q70,Calendario!U70,Calendario!B75,Calendario!F75)</f>
        <v>0</v>
      </c>
      <c r="Q22" s="8">
        <f>SUM(Calendario!B8,Calendario!F8,Calendario!I12,Calendario!M12,Calendario!Q3,Calendario!U3,Calendario!C15,Calendario!G15,Calendario!J15,Calendario!N15,Calendario!P16,Calendario!T16,Calendario!C27,Calendario!G27,Calendario!I33,Calendario!M33,Calendario!Q27,Calendario!U27,Calendario!B39,Calendario!F39,Calendario!I39,Calendario!M39,Calendario!P39,Calendario!T39,Calendario!C51,Calendario!G51,Calendario!J51,Calendario!N51,Calendario!Q51,Calendario!U51,Calendario!B64,Calendario!F64,Calendario!I72,Calendario!M72,Calendario!P70,Calendario!T70,Calendario!C75,Calendario!G75)</f>
        <v>1</v>
      </c>
      <c r="R22" s="8">
        <f>(P22-Q22)</f>
        <v>-1</v>
      </c>
      <c r="S22" s="23">
        <f>SUM((-2*J22)+(-3*K22)+(2*M22)+(-1*O22))</f>
        <v>-1</v>
      </c>
    </row>
    <row r="23" spans="2:19">
      <c r="B23" s="28" t="s">
        <v>52</v>
      </c>
      <c r="C23" s="8">
        <f>SUM((E23*3)+(F23))</f>
        <v>0</v>
      </c>
      <c r="D23" s="8">
        <f>SUM(E23:G23)</f>
        <v>1</v>
      </c>
      <c r="E23" s="8">
        <f>SUM(I23,M23)</f>
        <v>0</v>
      </c>
      <c r="F23" s="8">
        <f>SUM(J23,N23)</f>
        <v>0</v>
      </c>
      <c r="G23" s="8">
        <f>SUM(K23,O23)</f>
        <v>1</v>
      </c>
      <c r="H23" s="8">
        <f>SUM(I23:K23)</f>
        <v>0</v>
      </c>
      <c r="I23" s="8">
        <v>0</v>
      </c>
      <c r="J23" s="8">
        <v>0</v>
      </c>
      <c r="K23" s="8">
        <v>0</v>
      </c>
      <c r="L23" s="8">
        <f>SUM(M23:O23)</f>
        <v>1</v>
      </c>
      <c r="M23" s="8">
        <v>0</v>
      </c>
      <c r="N23" s="8">
        <v>0</v>
      </c>
      <c r="O23" s="8">
        <v>1</v>
      </c>
      <c r="P23" s="8">
        <f>SUM(Calendario!C7,Calendario!G7,Calendario!I4,Calendario!M4,Calendario!P7,Calendario!T7,Calendario!B18,Calendario!F18,Calendario!I18,Calendario!M18,Calendario!Q19,Calendario!U19,Calendario!C28,Calendario!G28,Calendario!J28,Calendario!N28,Calendario!P31,Calendario!T31,Calendario!B42,Calendario!F42,Calendario!I40,Calendario!M40,Calendario!Q45,Calendario!U45,Calendario!C59,Calendario!G59,Calendario!J59,Calendario!N59,Calendario!P55,Calendario!T55,Calendario!B64,Calendario!F64,Calendario!J71,Calendario!N71,Calendario!Q71,Calendario!U71,Calendario!C78,Calendario!G78)</f>
        <v>0</v>
      </c>
      <c r="Q23" s="8">
        <f>SUM(Calendario!B7,Calendario!F7,Calendario!J4,Calendario!N4,Calendario!Q7,Calendario!U7,Calendario!C18,Calendario!G18,Calendario!J18,Calendario!N18,Calendario!P19,Calendario!T19,Calendario!B28,Calendario!F28,Calendario!I28,Calendario!M28,Calendario!Q31,Calendario!U31,Calendario!C42,Calendario!G42,Calendario!J40,Calendario!N40,Calendario!P45,Calendario!T45,Calendario!B59,Calendario!F59,Calendario!I59,Calendario!M59,Calendario!Q55,Calendario!U55,Calendario!C64,Calendario!G64,Calendario!I71,Calendario!M71,Calendario!P71,Calendario!T71,Calendario!B78,Calendario!F78)</f>
        <v>1</v>
      </c>
      <c r="R23" s="8">
        <f>(P23-Q23)</f>
        <v>-1</v>
      </c>
      <c r="S23" s="23">
        <f>SUM((-2*J23)+(-3*K23)+(2*M23)+(-1*O23))</f>
        <v>-1</v>
      </c>
    </row>
    <row r="25" spans="2:19">
      <c r="C25" s="49" t="s">
        <v>54</v>
      </c>
      <c r="D25" s="50"/>
      <c r="E25" s="50"/>
      <c r="F25" s="50"/>
      <c r="G25" s="50"/>
      <c r="H25" s="50"/>
      <c r="I25" s="50"/>
      <c r="J25" s="51"/>
    </row>
    <row r="26" spans="2:19">
      <c r="C26" s="20"/>
      <c r="D26" s="42" t="s">
        <v>30</v>
      </c>
      <c r="E26" s="43"/>
      <c r="F26" s="43"/>
      <c r="G26" s="43"/>
      <c r="H26" s="43"/>
      <c r="I26" s="43"/>
      <c r="J26" s="44"/>
    </row>
    <row r="27" spans="2:19">
      <c r="C27" s="24"/>
      <c r="D27" s="45" t="s">
        <v>29</v>
      </c>
      <c r="E27" s="45"/>
      <c r="F27" s="45"/>
      <c r="G27" s="45"/>
      <c r="H27" s="45"/>
      <c r="I27" s="45"/>
      <c r="J27" s="45"/>
    </row>
    <row r="28" spans="2:19">
      <c r="C28" s="25"/>
      <c r="D28" s="45" t="s">
        <v>28</v>
      </c>
      <c r="E28" s="45"/>
      <c r="F28" s="45"/>
      <c r="G28" s="45"/>
      <c r="H28" s="45"/>
      <c r="I28" s="45"/>
      <c r="J28" s="45"/>
    </row>
    <row r="29" spans="2:19">
      <c r="C29" s="21"/>
      <c r="D29" s="45" t="s">
        <v>55</v>
      </c>
      <c r="E29" s="45"/>
      <c r="F29" s="45"/>
      <c r="G29" s="45"/>
      <c r="H29" s="45"/>
      <c r="I29" s="45"/>
      <c r="J29" s="45"/>
    </row>
    <row r="30" spans="2:19">
      <c r="C30" s="22"/>
      <c r="D30" s="45" t="s">
        <v>27</v>
      </c>
      <c r="E30" s="45"/>
      <c r="F30" s="45"/>
      <c r="G30" s="45"/>
      <c r="H30" s="45"/>
      <c r="I30" s="45"/>
      <c r="J30" s="45"/>
    </row>
  </sheetData>
  <sortState ref="B4:S23">
    <sortCondition descending="1" ref="C4"/>
  </sortState>
  <mergeCells count="11">
    <mergeCell ref="D30:J30"/>
    <mergeCell ref="C25:J25"/>
    <mergeCell ref="D2:G2"/>
    <mergeCell ref="H2:K2"/>
    <mergeCell ref="L2:O2"/>
    <mergeCell ref="S2:S3"/>
    <mergeCell ref="D26:J26"/>
    <mergeCell ref="D27:J27"/>
    <mergeCell ref="D28:J28"/>
    <mergeCell ref="D29:J29"/>
    <mergeCell ref="P2:R2"/>
  </mergeCells>
  <conditionalFormatting sqref="E4:E23 I4:I23 M4:M23">
    <cfRule type="top10" dxfId="68" priority="74" bottom="1" rank="1"/>
    <cfRule type="top10" dxfId="67" priority="75" rank="1"/>
  </conditionalFormatting>
  <conditionalFormatting sqref="G4:G23 K4:K23 O4:O23">
    <cfRule type="top10" dxfId="66" priority="72" bottom="1" rank="1"/>
    <cfRule type="top10" dxfId="65" priority="73" rank="1"/>
  </conditionalFormatting>
  <conditionalFormatting sqref="F4:F23 J4:J23 N4:N23">
    <cfRule type="top10" dxfId="64" priority="70" bottom="1" rank="1"/>
    <cfRule type="top10" dxfId="63" priority="71" rank="1"/>
  </conditionalFormatting>
  <conditionalFormatting sqref="P4:P23">
    <cfRule type="top10" dxfId="62" priority="68" bottom="1" rank="1"/>
    <cfRule type="top10" dxfId="61" priority="69" rank="1"/>
  </conditionalFormatting>
  <conditionalFormatting sqref="Q4:R23">
    <cfRule type="top10" dxfId="60" priority="66" bottom="1" rank="1"/>
    <cfRule type="top10" dxfId="59" priority="67" rank="1"/>
  </conditionalFormatting>
  <conditionalFormatting sqref="E4:E23">
    <cfRule type="top10" dxfId="58" priority="65" bottom="1" rank="1"/>
  </conditionalFormatting>
  <conditionalFormatting sqref="F4:F23">
    <cfRule type="top10" dxfId="57" priority="63" bottom="1" rank="1"/>
    <cfRule type="top10" dxfId="56" priority="64" bottom="1" rank="1"/>
  </conditionalFormatting>
  <conditionalFormatting sqref="I4:I23">
    <cfRule type="top10" dxfId="55" priority="39" bottom="1" rank="1"/>
    <cfRule type="top10" dxfId="54" priority="62" rank="1"/>
  </conditionalFormatting>
  <conditionalFormatting sqref="M4:M23">
    <cfRule type="top10" dxfId="53" priority="61" rank="1"/>
  </conditionalFormatting>
  <conditionalFormatting sqref="K4:K23">
    <cfRule type="top10" dxfId="52" priority="60" rank="1"/>
  </conditionalFormatting>
  <conditionalFormatting sqref="J4:J23">
    <cfRule type="top10" dxfId="51" priority="58" bottom="1" rank="1"/>
    <cfRule type="top10" dxfId="50" priority="59" rank="1"/>
  </conditionalFormatting>
  <conditionalFormatting sqref="N4:N23">
    <cfRule type="top10" dxfId="49" priority="20" bottom="1" rank="1"/>
    <cfRule type="top10" dxfId="48" priority="57" rank="1"/>
  </conditionalFormatting>
  <conditionalFormatting sqref="O4:O23">
    <cfRule type="top10" dxfId="47" priority="41" bottom="1" rank="1"/>
    <cfRule type="top10" dxfId="46" priority="56" rank="1"/>
  </conditionalFormatting>
  <conditionalFormatting sqref="S4:S23">
    <cfRule type="top10" dxfId="45" priority="49" bottom="1" rank="1"/>
    <cfRule type="top10" dxfId="44" priority="50" rank="1"/>
  </conditionalFormatting>
  <conditionalFormatting sqref="G4:G23">
    <cfRule type="top10" dxfId="43" priority="40" bottom="1" rank="1"/>
  </conditionalFormatting>
  <conditionalFormatting sqref="R4:R23">
    <cfRule type="top10" dxfId="42" priority="28" bottom="1" rank="1"/>
    <cfRule type="top10" dxfId="41" priority="29" rank="1"/>
  </conditionalFormatting>
  <conditionalFormatting sqref="Q4:Q23">
    <cfRule type="top10" dxfId="40" priority="27" bottom="1" rank="1"/>
  </conditionalFormatting>
  <conditionalFormatting sqref="C4:C23">
    <cfRule type="top10" dxfId="0" priority="6" rank="1"/>
    <cfRule type="top10" dxfId="1" priority="1" bottom="1" rank="3"/>
  </conditionalFormatting>
  <conditionalFormatting sqref="C5:C23">
    <cfRule type="top10" dxfId="39" priority="5" rank="2"/>
  </conditionalFormatting>
  <conditionalFormatting sqref="C7:C23">
    <cfRule type="top10" dxfId="38" priority="4" rank="1"/>
    <cfRule type="top10" dxfId="37" priority="3" rank="1"/>
  </conditionalFormatting>
  <conditionalFormatting sqref="C8:C23">
    <cfRule type="top10" dxfId="36" priority="2" rank="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Calendario</vt:lpstr>
      <vt:lpstr>Classifica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Gio&amp;Andrea</dc:creator>
  <cp:lastModifiedBy>Gio &amp; Andrea</cp:lastModifiedBy>
  <dcterms:created xsi:type="dcterms:W3CDTF">2007-12-11T17:32:35Z</dcterms:created>
  <dcterms:modified xsi:type="dcterms:W3CDTF">2009-08-23T21:27:39Z</dcterms:modified>
</cp:coreProperties>
</file>