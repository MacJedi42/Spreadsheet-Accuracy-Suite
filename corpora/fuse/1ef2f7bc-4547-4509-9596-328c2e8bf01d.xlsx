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10" yWindow="1110" windowWidth="15450" windowHeight="9690" tabRatio="714" activeTab="1"/>
  </bookViews>
  <sheets>
    <sheet name="Directions" sheetId="10" r:id="rId1"/>
    <sheet name="PAF" sheetId="27" r:id="rId2"/>
    <sheet name="New Hire" sheetId="18" r:id="rId3"/>
    <sheet name="Grant" sheetId="19" r:id="rId4"/>
    <sheet name="Promotion" sheetId="20" r:id="rId5"/>
    <sheet name="Termination" sheetId="21" r:id="rId6"/>
    <sheet name="Pay Change" sheetId="22" r:id="rId7"/>
    <sheet name="Single Payment" sheetId="23" r:id="rId8"/>
    <sheet name="Student Reclassification" sheetId="24" r:id="rId9"/>
  </sheets>
  <definedNames>
    <definedName name="_xlnm.Print_Area" localSheetId="0">Directions!$A$1:$A$60</definedName>
    <definedName name="_xlnm.Print_Area" localSheetId="3">Grant!$A$1:$G$72</definedName>
    <definedName name="_xlnm.Print_Area" localSheetId="2">'New Hire'!$A$1:$G$72</definedName>
    <definedName name="_xlnm.Print_Area" localSheetId="1">PAF!$A$1:$G$72</definedName>
    <definedName name="_xlnm.Print_Area" localSheetId="6">'Pay Change'!$A$1:$G$72</definedName>
    <definedName name="_xlnm.Print_Area" localSheetId="4">Promotion!$A$1:$G$72</definedName>
    <definedName name="_xlnm.Print_Area" localSheetId="7">'Single Payment'!$A$1:$G$72</definedName>
    <definedName name="_xlnm.Print_Area" localSheetId="8">'Student Reclassification'!$A$1:$G$72</definedName>
    <definedName name="_xlnm.Print_Area" localSheetId="5">Termination!$A$1:$G$72</definedName>
  </definedNames>
  <calcPr calcId="145621"/>
</workbook>
</file>

<file path=xl/calcChain.xml><?xml version="1.0" encoding="utf-8"?>
<calcChain xmlns="http://schemas.openxmlformats.org/spreadsheetml/2006/main">
  <c r="G15" i="27" l="1"/>
  <c r="E47" i="27"/>
  <c r="E48" i="27"/>
  <c r="E49" i="27"/>
  <c r="E46" i="27"/>
  <c r="F50" i="27"/>
  <c r="G49" i="27"/>
  <c r="G48" i="27"/>
  <c r="G47" i="27"/>
  <c r="G46" i="27"/>
  <c r="E10" i="27"/>
  <c r="D19" i="24"/>
  <c r="F50" i="24"/>
  <c r="G49" i="24"/>
  <c r="G48" i="24"/>
  <c r="G47" i="24"/>
  <c r="G46" i="24"/>
  <c r="E10" i="24"/>
  <c r="C39" i="23"/>
  <c r="F50" i="23"/>
  <c r="G49" i="23"/>
  <c r="G48" i="23"/>
  <c r="G47" i="23"/>
  <c r="G46" i="23"/>
  <c r="E10" i="23"/>
  <c r="F36" i="22"/>
  <c r="F50" i="22"/>
  <c r="G49" i="22"/>
  <c r="G48" i="22"/>
  <c r="G47" i="22"/>
  <c r="G46" i="22"/>
  <c r="E10" i="22"/>
  <c r="B31" i="21"/>
  <c r="F50" i="21"/>
  <c r="G49" i="21"/>
  <c r="G48" i="21"/>
  <c r="G47" i="21"/>
  <c r="G46" i="21"/>
  <c r="E10" i="21"/>
  <c r="D23" i="20"/>
  <c r="F50" i="20"/>
  <c r="G49" i="20"/>
  <c r="G48" i="20"/>
  <c r="G47" i="20"/>
  <c r="G46" i="20"/>
  <c r="E10" i="20"/>
  <c r="D19" i="19"/>
  <c r="F50" i="19"/>
  <c r="G49" i="19"/>
  <c r="G48" i="19"/>
  <c r="G47" i="19"/>
  <c r="G46" i="19"/>
  <c r="E10" i="19"/>
  <c r="D19" i="18"/>
  <c r="F50" i="18"/>
  <c r="G49" i="18"/>
  <c r="G48" i="18"/>
  <c r="G47" i="18"/>
  <c r="G46" i="18"/>
  <c r="E10" i="18"/>
</calcChain>
</file>

<file path=xl/sharedStrings.xml><?xml version="1.0" encoding="utf-8"?>
<sst xmlns="http://schemas.openxmlformats.org/spreadsheetml/2006/main" count="4315" uniqueCount="768">
  <si>
    <t>Comments:</t>
  </si>
  <si>
    <t>Signature:</t>
  </si>
  <si>
    <t>Supervisor</t>
  </si>
  <si>
    <t>Reason</t>
  </si>
  <si>
    <t>AF - Administrative Full Time</t>
  </si>
  <si>
    <t>AP - Administrative Part Time</t>
  </si>
  <si>
    <t>AN - Administrative Non-Exempt</t>
  </si>
  <si>
    <t>CF - Clerical 37.5 Hours</t>
  </si>
  <si>
    <t>CS - Clerical 35 Hours</t>
  </si>
  <si>
    <t>FF - Faculty Full Time</t>
  </si>
  <si>
    <t>Year</t>
  </si>
  <si>
    <t>Hour</t>
  </si>
  <si>
    <t>Month</t>
  </si>
  <si>
    <t>Semester</t>
  </si>
  <si>
    <t>Last Name:</t>
  </si>
  <si>
    <t>First Name:</t>
  </si>
  <si>
    <t>Roosevelt ID:</t>
  </si>
  <si>
    <t>Department:</t>
  </si>
  <si>
    <t>Date Prepared:</t>
  </si>
  <si>
    <t>Employee Class:</t>
  </si>
  <si>
    <t>Reason:</t>
  </si>
  <si>
    <t>Chicago - Gage Building</t>
  </si>
  <si>
    <t>Chicago - Auditorium Building</t>
  </si>
  <si>
    <t>Schaumburg</t>
  </si>
  <si>
    <t>Auditorium Theatre of RU</t>
  </si>
  <si>
    <t>11110 - Office of the President</t>
  </si>
  <si>
    <t>11120 - Ahrens Aud Theatre Tix Prog</t>
  </si>
  <si>
    <t>11130 - RU Global Lecture Series</t>
  </si>
  <si>
    <t>11210 - Office of Chief of Staff</t>
  </si>
  <si>
    <t>12110 - Board of Trustees Office</t>
  </si>
  <si>
    <t>12120 - Office of Internal Audit</t>
  </si>
  <si>
    <t>21110 - Office of the Chief Academic Office</t>
  </si>
  <si>
    <t>21120 - Faculty Recruitment</t>
  </si>
  <si>
    <t>21130 - Commencement &amp; Convocation</t>
  </si>
  <si>
    <t>21140 - Institutional Reseach</t>
  </si>
  <si>
    <t>21210 - Office of the Dean of Graduate Stud</t>
  </si>
  <si>
    <t>21220 - Research</t>
  </si>
  <si>
    <t>21230 - Graduate Studies</t>
  </si>
  <si>
    <t>21310 - Office of Budget and Planning</t>
  </si>
  <si>
    <t>21410 - Office of Distance Learning</t>
  </si>
  <si>
    <t>21420 - RU Online</t>
  </si>
  <si>
    <t>21430 - External Studies</t>
  </si>
  <si>
    <t>21510 - Center for Teaching and Learning</t>
  </si>
  <si>
    <t>21520 - Summer Session</t>
  </si>
  <si>
    <t>21530 - Special Programs</t>
  </si>
  <si>
    <t>21540 - Assessment and Program Review</t>
  </si>
  <si>
    <t>21550 - Office of Faculty and Academic Admi</t>
  </si>
  <si>
    <t>21560 - Academic Development</t>
  </si>
  <si>
    <t>22110 - Office of the Dean, College of Arts</t>
  </si>
  <si>
    <t>22120 - Women's and Gender Studies</t>
  </si>
  <si>
    <t>22130 - Center for New Deal Studies</t>
  </si>
  <si>
    <t>22140 - Gage Gallery</t>
  </si>
  <si>
    <t>22150 - Institute for Metropolitan Affairs</t>
  </si>
  <si>
    <t>22160 - Institute for Politics</t>
  </si>
  <si>
    <t>22170 - Mansfield Institute of Social Justi</t>
  </si>
  <si>
    <t>22180 - RU Scholars Program</t>
  </si>
  <si>
    <t>22190 - St.Clair Drake Center for African-A</t>
  </si>
  <si>
    <t>22210 - Office of Biological Chemical &amp; Phy</t>
  </si>
  <si>
    <t>22220 - Biology</t>
  </si>
  <si>
    <t>22230 - Chemistry</t>
  </si>
  <si>
    <t>22240 - Physical Science</t>
  </si>
  <si>
    <t>22310 - Office of Communication</t>
  </si>
  <si>
    <t>22320 - Communication</t>
  </si>
  <si>
    <t>22330 - Integrated Marketing Communication</t>
  </si>
  <si>
    <t>22340 - Journalism</t>
  </si>
  <si>
    <t>22410 - Office of Computer Science &amp; Teleco</t>
  </si>
  <si>
    <t>22420 - Computer Science</t>
  </si>
  <si>
    <t>22430 - Telecommunication</t>
  </si>
  <si>
    <t>22510 - Office of Economics</t>
  </si>
  <si>
    <t>22520 - Social Justice Studies</t>
  </si>
  <si>
    <t>22530 - Economics</t>
  </si>
  <si>
    <t>22610 - Office of History, Philosophy &amp; Art</t>
  </si>
  <si>
    <t>22620 - Art History</t>
  </si>
  <si>
    <t>22630 - History</t>
  </si>
  <si>
    <t>22640 - Philosophy</t>
  </si>
  <si>
    <t>22710 - Office of Literature &amp; Languages</t>
  </si>
  <si>
    <t>22720 - English</t>
  </si>
  <si>
    <t>22730 - Composition</t>
  </si>
  <si>
    <t>22740 - Creative Writing</t>
  </si>
  <si>
    <t>22750 - Spanish</t>
  </si>
  <si>
    <t>22760 - Literature &amp; Languages</t>
  </si>
  <si>
    <t>22810 - Office of Mathematics &amp; Actuarial S</t>
  </si>
  <si>
    <t>22820 - Mathematics</t>
  </si>
  <si>
    <t>22830 - Actuarial Science</t>
  </si>
  <si>
    <t>22840 - Math Education</t>
  </si>
  <si>
    <t>22910 - Office of Political Science &amp; Publi</t>
  </si>
  <si>
    <t>22920 - Political Sciences</t>
  </si>
  <si>
    <t>22930 - Public Adminstration</t>
  </si>
  <si>
    <t>23110 - Office of Psychology</t>
  </si>
  <si>
    <t>23120 - I/O Psychology</t>
  </si>
  <si>
    <t>23130 - Clinical Psychology</t>
  </si>
  <si>
    <t>23140 - Psychology</t>
  </si>
  <si>
    <t>23150 - Stress Institute</t>
  </si>
  <si>
    <t>23210 - Office of Sociology &amp; Anthropology</t>
  </si>
  <si>
    <t>24110 - Office of the Dean, College of Educ</t>
  </si>
  <si>
    <t>24120 - COE Schaumburg Reading Clinic</t>
  </si>
  <si>
    <t>24210 - Office of Secondary Education</t>
  </si>
  <si>
    <t>24310 - Office of Counseling &amp; Human Servic</t>
  </si>
  <si>
    <t>24410 - Office of Educational Leadership</t>
  </si>
  <si>
    <t>24510 - Office of Teaching &amp; Learning</t>
  </si>
  <si>
    <t>24520 - Early Childhood Education</t>
  </si>
  <si>
    <t>24530 - Elementary Education</t>
  </si>
  <si>
    <t>24540 - Languages &amp; Literacy</t>
  </si>
  <si>
    <t>24550 - Special Education</t>
  </si>
  <si>
    <t>25110 - Office of the Dean, Evelyn T. Stone</t>
  </si>
  <si>
    <t>25210 - Office of Criminal Justice &amp; Crimin</t>
  </si>
  <si>
    <t>25310 - Office of English Language Program</t>
  </si>
  <si>
    <t>25410 - Office of General/Professional Stud</t>
  </si>
  <si>
    <t>25420 - Organizational Leadership</t>
  </si>
  <si>
    <t>25430 - General/Professional Studies</t>
  </si>
  <si>
    <t>25510 - Office of Hospitality &amp; Tourism Man</t>
  </si>
  <si>
    <t>25520 - Hospitality &amp; Tourism Management</t>
  </si>
  <si>
    <t>25530 - Institute for Tourism</t>
  </si>
  <si>
    <t>25610 - Office of Nursing</t>
  </si>
  <si>
    <t>25710 - Office of Organizational Leadership</t>
  </si>
  <si>
    <t>25810 - Office of Paralegal Studies</t>
  </si>
  <si>
    <t>25820 - PSP Continuing Paralegal Educ Prog</t>
  </si>
  <si>
    <t>25910 - Office of Training &amp; Development</t>
  </si>
  <si>
    <t>26110 - Office of the Dean, Chicago College</t>
  </si>
  <si>
    <t>26120 - CCPA Recruiting</t>
  </si>
  <si>
    <t>26210 - Office of Music Conservatory</t>
  </si>
  <si>
    <t>26215 - Musical Recital/Production</t>
  </si>
  <si>
    <t>26216 - Music Studio &amp; Overload</t>
  </si>
  <si>
    <t>26220 - Composition</t>
  </si>
  <si>
    <t>26221 - Music - Core Studies</t>
  </si>
  <si>
    <t>26222 - Performance - Guitar</t>
  </si>
  <si>
    <t>26230 - Performance - Voice and Opera</t>
  </si>
  <si>
    <t>26240 - Performance - Piano</t>
  </si>
  <si>
    <t>26250 - Performance Orchestral-Instruments</t>
  </si>
  <si>
    <t>26260 - Performance - Percussion</t>
  </si>
  <si>
    <t>26270 - Music - Education</t>
  </si>
  <si>
    <t>26310 - Office of Theatre Conservatory</t>
  </si>
  <si>
    <t>26320 - Acting</t>
  </si>
  <si>
    <t>26330 - Musical Theatre</t>
  </si>
  <si>
    <t>26340 - Theatre - Fast Track Masters</t>
  </si>
  <si>
    <t>27110 - Office of the Dean, Walter E. Helle</t>
  </si>
  <si>
    <t xml:space="preserve">27120 - Marshall Bennett Institute of Real </t>
  </si>
  <si>
    <t>27210 - Accounting</t>
  </si>
  <si>
    <t>27310 - Finance &amp; Financial Services</t>
  </si>
  <si>
    <t>27410 - Human Resources Management</t>
  </si>
  <si>
    <t>27510 - Information Systems</t>
  </si>
  <si>
    <t>27610 - Management</t>
  </si>
  <si>
    <t>27710 - Marketing</t>
  </si>
  <si>
    <t>27810 - Risk Management &amp; Insurance</t>
  </si>
  <si>
    <t>27910 - Real Estate</t>
  </si>
  <si>
    <t>28110 - Office of the University Librarian</t>
  </si>
  <si>
    <t>28210 - Reference, Instruction &amp; Access Ser</t>
  </si>
  <si>
    <t>28310 - Technical Services</t>
  </si>
  <si>
    <t>28410 - Performing Arts Library</t>
  </si>
  <si>
    <t>28510 - Albert A. Robin Campus Library</t>
  </si>
  <si>
    <t>28610 - University Archives</t>
  </si>
  <si>
    <t>31110 - Office of the Chief Financial Offic</t>
  </si>
  <si>
    <t>32110 - Office of Finance</t>
  </si>
  <si>
    <t>32210 - Office of Payroll</t>
  </si>
  <si>
    <t>33110 - Office of Financial Planning &amp; Budg</t>
  </si>
  <si>
    <t>34110 - Office of Administrative Services</t>
  </si>
  <si>
    <t>34120 - Information Desks</t>
  </si>
  <si>
    <t>34130 - Mail Svcs and Info Desk - AUD</t>
  </si>
  <si>
    <t>34135 - Mail Svcs and Info Desk - SCH</t>
  </si>
  <si>
    <t>34140 - Office Services - AUD</t>
  </si>
  <si>
    <t>34145 - Office Services - SCH</t>
  </si>
  <si>
    <t>34210 - Office of Purchasing</t>
  </si>
  <si>
    <t>34310 - Office of Student Accounts</t>
  </si>
  <si>
    <t>34320 - Credit &amp; Collections</t>
  </si>
  <si>
    <t>35110 - Office of Operations</t>
  </si>
  <si>
    <t>35210 - Office of Physical Resources</t>
  </si>
  <si>
    <t>35220 - Physical Resources - Chicago</t>
  </si>
  <si>
    <t>35230 - Physical Resources - Schaumburg</t>
  </si>
  <si>
    <t>35240 - Physical Resources - Gage RU</t>
  </si>
  <si>
    <t>35250 - Physical Resources - Gage Tenants</t>
  </si>
  <si>
    <t>35310 - Office of Capital Projects</t>
  </si>
  <si>
    <t>35410 - Office of Campus Safety &amp; Transport</t>
  </si>
  <si>
    <t>35420 - Campus Safety</t>
  </si>
  <si>
    <t>35421 - Schaumburg Safety</t>
  </si>
  <si>
    <t>35422 - Crown Center Security</t>
  </si>
  <si>
    <t>35430 - Transportation</t>
  </si>
  <si>
    <t>35510 - Office of Auxiliary Enterprises</t>
  </si>
  <si>
    <t>35520 - Bookstore</t>
  </si>
  <si>
    <t>35530 - Dining &amp; Vending</t>
  </si>
  <si>
    <t>35550 - Other Auxiliary Services</t>
  </si>
  <si>
    <t>39110 - Debt service</t>
  </si>
  <si>
    <t>39120 - University Center Subsidy</t>
  </si>
  <si>
    <t>39130 - Depreciation</t>
  </si>
  <si>
    <t>39140 - Contingency Fund</t>
  </si>
  <si>
    <t>39150 - Vacancy Control</t>
  </si>
  <si>
    <t>39210 - Tuition - unallocated</t>
  </si>
  <si>
    <t>39220 - Fall Tuition &amp; fees</t>
  </si>
  <si>
    <t>39230 - Spring tuition &amp; fees</t>
  </si>
  <si>
    <t>39240 - Summer tuition &amp; fees</t>
  </si>
  <si>
    <t>39250 - Prior Year tuition &amp; fees</t>
  </si>
  <si>
    <t>39260 - J Term Tuition</t>
  </si>
  <si>
    <t>39265 - Tuition Adjustments &amp; W/O</t>
  </si>
  <si>
    <t>39270 - Miscellaneous Student Fees</t>
  </si>
  <si>
    <t>39280 - Discounts &amp; Exemptions</t>
  </si>
  <si>
    <t>39290 - Miscellaneous - general</t>
  </si>
  <si>
    <t>39310 - Grants management</t>
  </si>
  <si>
    <t>39320 - Endowments administration</t>
  </si>
  <si>
    <t>39330 - Restricted Funds management</t>
  </si>
  <si>
    <t>39410 - Short Term Investment Income</t>
  </si>
  <si>
    <t>41110 - Office of Chief Communications Offi</t>
  </si>
  <si>
    <t>41210 - Office of Communications</t>
  </si>
  <si>
    <t>41220 - Marketing</t>
  </si>
  <si>
    <t>41310 - Office of University Outreach</t>
  </si>
  <si>
    <t>41410 - Office of Public Relations</t>
  </si>
  <si>
    <t>41510 - Office of Government Relations</t>
  </si>
  <si>
    <t>41610 - Office of Web Design &amp; Development</t>
  </si>
  <si>
    <t>45110 - Office of the Chief Hum Res Officer</t>
  </si>
  <si>
    <t>45210 - Office of Compensation Bene &amp; Tech</t>
  </si>
  <si>
    <t>45220 - Compensation</t>
  </si>
  <si>
    <t>45230 - Benefits</t>
  </si>
  <si>
    <t>45240 - HR Technology</t>
  </si>
  <si>
    <t>45310 - Office of Emp Rel Leadship &amp; Recog</t>
  </si>
  <si>
    <t>45320 - Employee Relations</t>
  </si>
  <si>
    <t>45330 - Leadership Development</t>
  </si>
  <si>
    <t>45340 - Employee Recognition</t>
  </si>
  <si>
    <t>45410 - Office of Recruitment &amp; Employ</t>
  </si>
  <si>
    <t>51110 - Office of the Chief Information Off</t>
  </si>
  <si>
    <t>51210 - Help Desk</t>
  </si>
  <si>
    <t>51220 - Multimedia Services</t>
  </si>
  <si>
    <t>51230 - Computer Classrooms &amp; Labs Services</t>
  </si>
  <si>
    <t>51310 - Office of Technology Systems</t>
  </si>
  <si>
    <t>51320 - Desktop Support</t>
  </si>
  <si>
    <t>51330 - Portal Services</t>
  </si>
  <si>
    <t>51340 - Technology Infrastructure</t>
  </si>
  <si>
    <t>51350 - Banner Support</t>
  </si>
  <si>
    <t>51410 - Technology Pool</t>
  </si>
  <si>
    <t>51420 - Telephone Services</t>
  </si>
  <si>
    <t>51510 - DoIT Capital Expenditures</t>
  </si>
  <si>
    <t>52110 - Office of User Services</t>
  </si>
  <si>
    <t>52210 - Office of Multimedia Services</t>
  </si>
  <si>
    <t>52310 - Office of Academic Technology &amp; Use</t>
  </si>
  <si>
    <t>53110 - Office of Technology Administration</t>
  </si>
  <si>
    <t>54110 - Office of Systems &amp; Telecommunicati</t>
  </si>
  <si>
    <t>54120 - System Administration</t>
  </si>
  <si>
    <t>54130 - Institutional Advancement System</t>
  </si>
  <si>
    <t>54140 - Telecommunications</t>
  </si>
  <si>
    <t>54210 - Office of Desktop Support</t>
  </si>
  <si>
    <t>54220 - Computer Labs</t>
  </si>
  <si>
    <t>54310 - Office of Portal Services</t>
  </si>
  <si>
    <t>54410 - Office of Network Services</t>
  </si>
  <si>
    <t>54510 - Office of Banner Support</t>
  </si>
  <si>
    <t>54610 - Office of Technology Systems</t>
  </si>
  <si>
    <t>61110 - Office of the Chief Development Off</t>
  </si>
  <si>
    <t>62110 - Office of Campaigns</t>
  </si>
  <si>
    <t>63110 - Office of Development</t>
  </si>
  <si>
    <t>63210 - Office of College Development</t>
  </si>
  <si>
    <t>63220 - Arts and Sciences</t>
  </si>
  <si>
    <t>63230 - Education</t>
  </si>
  <si>
    <t>63240 - ETSCPS</t>
  </si>
  <si>
    <t>63250 - Performing Arts</t>
  </si>
  <si>
    <t>63260 - WEHCBA</t>
  </si>
  <si>
    <t>63270 - Library</t>
  </si>
  <si>
    <t>63280 - Research &amp; Prospect Management</t>
  </si>
  <si>
    <t>63310 - Office of Corporate &amp; Foundation Re</t>
  </si>
  <si>
    <t>63410 - Office of Planned Giving</t>
  </si>
  <si>
    <t>64110 - Office of Alumni Relations &amp; Operat</t>
  </si>
  <si>
    <t>64120 - Alumni Relations</t>
  </si>
  <si>
    <t>64130 - Annual Giving</t>
  </si>
  <si>
    <t>64140 - Operations</t>
  </si>
  <si>
    <t>64210 - Office of Special Events</t>
  </si>
  <si>
    <t>64220 - Annual Holiday Party</t>
  </si>
  <si>
    <t>64230 - Commencement</t>
  </si>
  <si>
    <t>64240 - Convocation &amp; State of University</t>
  </si>
  <si>
    <t>64250 - Special Events Administration</t>
  </si>
  <si>
    <t>64260 - Miscellaneous Functions &amp; Events</t>
  </si>
  <si>
    <t>71110 - Office of the Chief Enrollment/Stud</t>
  </si>
  <si>
    <t>71210 - Office of Institutional Research</t>
  </si>
  <si>
    <t>72110 - Office of Enrollment Services</t>
  </si>
  <si>
    <t>72210 - Office of Admissions</t>
  </si>
  <si>
    <t>72220 - Student Recruitment</t>
  </si>
  <si>
    <t>72230 - Admission Counseling</t>
  </si>
  <si>
    <t>72240 - Undergraduate Admission</t>
  </si>
  <si>
    <t>72250 - Graduate Admission</t>
  </si>
  <si>
    <t>72260 - Admission Processing</t>
  </si>
  <si>
    <t>72270 - Welcome Center - Schaumburg</t>
  </si>
  <si>
    <t>72280 - Outreach Call Center</t>
  </si>
  <si>
    <t>72310 - Office of Advising and Assessment</t>
  </si>
  <si>
    <t>72320 - Academic Advising</t>
  </si>
  <si>
    <t>72330 - Student Assessment</t>
  </si>
  <si>
    <t>72410 - Office of Financial Aid</t>
  </si>
  <si>
    <t>72420 - Financial Aid Counseling</t>
  </si>
  <si>
    <t>72430 - Financial Aid Processing</t>
  </si>
  <si>
    <t>72510 - Office of International Programs</t>
  </si>
  <si>
    <t>72520 - International Student Admission</t>
  </si>
  <si>
    <t>72530 - International Student Advising</t>
  </si>
  <si>
    <t>72540 - Study Abroad</t>
  </si>
  <si>
    <t>72550 - International Exchanges</t>
  </si>
  <si>
    <t>72610 - Office of the Registrar</t>
  </si>
  <si>
    <t>72620 - Registration</t>
  </si>
  <si>
    <t>72630 - Graduation Services &amp; Transfer Eval</t>
  </si>
  <si>
    <t>72640 - Course Scheduling</t>
  </si>
  <si>
    <t>73110 - Office of Student Services</t>
  </si>
  <si>
    <t>73210 - Office of the Academic Success Cent</t>
  </si>
  <si>
    <t>73220 - Disability Services</t>
  </si>
  <si>
    <t>73230 - Learning Support Services Program</t>
  </si>
  <si>
    <t>73240 - Tutoring Center/Writing Lab - CHI</t>
  </si>
  <si>
    <t>73241 - Tutoring Center/Writing Lab  SCH</t>
  </si>
  <si>
    <t>73310 - Office of the Center for Student In</t>
  </si>
  <si>
    <t>73320 - Student Leadership</t>
  </si>
  <si>
    <t>73330 - Student Programming</t>
  </si>
  <si>
    <t>73340 - Student Orientation</t>
  </si>
  <si>
    <t>73350 - Student Organizations</t>
  </si>
  <si>
    <t>73351 - Torch</t>
  </si>
  <si>
    <t>73352 - Radio Workshop</t>
  </si>
  <si>
    <t>73353 - Student Government - Chicago</t>
  </si>
  <si>
    <t>73354 - Oyez Magazine</t>
  </si>
  <si>
    <t>73355 - Actos De Inconciencias</t>
  </si>
  <si>
    <t>73360 - Student Recreation &amp; Wellness</t>
  </si>
  <si>
    <t>73370 - First Year Seminar</t>
  </si>
  <si>
    <t>73410 - Office of Career Services</t>
  </si>
  <si>
    <t>73420 - Internships</t>
  </si>
  <si>
    <t>73430 - Career Counseling</t>
  </si>
  <si>
    <t>73440 - Experiential Learning</t>
  </si>
  <si>
    <t>73510 - Office of the Counseling Center</t>
  </si>
  <si>
    <t>73610 - Office of Residence Life</t>
  </si>
  <si>
    <t>73620 - University Center (UC)</t>
  </si>
  <si>
    <t>73630 - Roosevelt on Wabash (ROW)</t>
  </si>
  <si>
    <t>73640 - Summer Conferences</t>
  </si>
  <si>
    <t>73710 - Office of Intercollegiate Athletics</t>
  </si>
  <si>
    <t xml:space="preserve">81110 - Office of the Chief Campus Officer </t>
  </si>
  <si>
    <t>81120 - Institute for Continued Learning</t>
  </si>
  <si>
    <t>81310 - Office of the Center for Campus Out</t>
  </si>
  <si>
    <t xml:space="preserve">81320 - Student Multicultural &amp; Leadership </t>
  </si>
  <si>
    <t>81330 - Student Programming SPEED</t>
  </si>
  <si>
    <t>81340 - Student Government</t>
  </si>
  <si>
    <t>81350 - Student Organizations SPEED</t>
  </si>
  <si>
    <t>81360 - Student Life</t>
  </si>
  <si>
    <t xml:space="preserve">91110 - Office of the Chief ATRU Executive </t>
  </si>
  <si>
    <t>92110 - Office of ATRU Finance and Administ</t>
  </si>
  <si>
    <t>92210 - Ofice of ATRU Accounting</t>
  </si>
  <si>
    <t>93110 - Office of ATRU Food and Beverage</t>
  </si>
  <si>
    <t>93210 - Office of ATRU House</t>
  </si>
  <si>
    <t>93220 - ATRU Customer Relations</t>
  </si>
  <si>
    <t>93230 - ATRU Web and Technology Support</t>
  </si>
  <si>
    <t>93240 - ATRU Box Office</t>
  </si>
  <si>
    <t>93310 - Office of ATRU Operations</t>
  </si>
  <si>
    <t>93320 - ATRU Community Services</t>
  </si>
  <si>
    <t>93325 - ATRU Stagehands</t>
  </si>
  <si>
    <t>93330 - ATRU Teamsters</t>
  </si>
  <si>
    <t>93335 - ATRU Wardrobe</t>
  </si>
  <si>
    <t>93340 - ATRU Projectionists</t>
  </si>
  <si>
    <t>93345 - ATRU Wig/Hair</t>
  </si>
  <si>
    <t>93350 - ATRU Musicians</t>
  </si>
  <si>
    <t>93355 - ATRU US Artists</t>
  </si>
  <si>
    <t>93360 - ATRU Actors</t>
  </si>
  <si>
    <t>93365 - ATRU Security</t>
  </si>
  <si>
    <t>94110 - Office of ATRU Marketing and Sales</t>
  </si>
  <si>
    <t>94120 - ATRU Marketing</t>
  </si>
  <si>
    <t>94130 - ATRU Group Sales/Subscription Sales</t>
  </si>
  <si>
    <t>94210 - Office of ATRU Development</t>
  </si>
  <si>
    <t>94310 - Office of ATRU Marketing and Develo</t>
  </si>
  <si>
    <t>95110 - Office of ATRU Education Programs</t>
  </si>
  <si>
    <t>HP - Hourly Part Time (Non-Student)</t>
  </si>
  <si>
    <t>OC - Operations Carpenter</t>
  </si>
  <si>
    <t>OL - Operations Electrician</t>
  </si>
  <si>
    <t>ON - Operations Engineer</t>
  </si>
  <si>
    <t>OP - Operations Painter</t>
  </si>
  <si>
    <t>OS - Operations Campus Safety</t>
  </si>
  <si>
    <t>OU - Operations Utility Crew</t>
  </si>
  <si>
    <t>TH - Auditorium Theatre of RU</t>
  </si>
  <si>
    <t>Single Payment</t>
  </si>
  <si>
    <t>Bi-Weekly Period</t>
  </si>
  <si>
    <t>Salary/Rate</t>
  </si>
  <si>
    <t>Per</t>
  </si>
  <si>
    <t>Effective Date</t>
  </si>
  <si>
    <t>Amount</t>
  </si>
  <si>
    <t>Payment Date</t>
  </si>
  <si>
    <t>FUND</t>
  </si>
  <si>
    <t>ORG</t>
  </si>
  <si>
    <t>ACCT</t>
  </si>
  <si>
    <t>PROG</t>
  </si>
  <si>
    <t>PERCENTAGE</t>
  </si>
  <si>
    <t>TOTAL</t>
  </si>
  <si>
    <t>Prepared By:</t>
  </si>
  <si>
    <t>Phone:</t>
  </si>
  <si>
    <t>Email:</t>
  </si>
  <si>
    <t>POSITION FUNDING</t>
  </si>
  <si>
    <t>CP - Clerical Part Time</t>
  </si>
  <si>
    <t>FP - Faculty Part Time/Adjunct</t>
  </si>
  <si>
    <t>HR/Payroll Use Only</t>
  </si>
  <si>
    <t>PERSONNEL ACTION FORM</t>
  </si>
  <si>
    <t>Shaded fields are required.</t>
  </si>
  <si>
    <t>End Date</t>
  </si>
  <si>
    <t>DO NOT LEAVE FUNDING INFORMATION BLANK</t>
  </si>
  <si>
    <t>Location:</t>
  </si>
  <si>
    <t>Other (specify in Comments)</t>
  </si>
  <si>
    <t>Transfer/Promotion</t>
  </si>
  <si>
    <t>Employment Changes</t>
  </si>
  <si>
    <t>Transfer or Promotion:</t>
  </si>
  <si>
    <t>Leave of Absence:</t>
  </si>
  <si>
    <t>Leave of Absence</t>
  </si>
  <si>
    <t>Pay Change:</t>
  </si>
  <si>
    <t>Compensation Changes</t>
  </si>
  <si>
    <t>Previous Department</t>
  </si>
  <si>
    <t>(or specify if new)</t>
  </si>
  <si>
    <r>
      <t xml:space="preserve">Replaces </t>
    </r>
    <r>
      <rPr>
        <i/>
        <sz val="10"/>
        <rFont val="Arial"/>
        <family val="2"/>
      </rPr>
      <t>(or specify if new)</t>
    </r>
  </si>
  <si>
    <t>Old Salary/Rate</t>
  </si>
  <si>
    <t>New Salary/Rate</t>
  </si>
  <si>
    <t>Manager or VP/Dean</t>
  </si>
  <si>
    <t>HR Approval</t>
  </si>
  <si>
    <t>HR Processed</t>
  </si>
  <si>
    <t>_____________</t>
  </si>
  <si>
    <t>______________</t>
  </si>
  <si>
    <t>_________--____</t>
  </si>
  <si>
    <t>Position #/Suffix</t>
  </si>
  <si>
    <t>PR Processed</t>
  </si>
  <si>
    <t>Single Payment:</t>
  </si>
  <si>
    <t>__________</t>
  </si>
  <si>
    <t>Earn Code</t>
  </si>
  <si>
    <t>Directions and examples can be found on the other tabs below.</t>
  </si>
  <si>
    <t>GP - Student Assistant (stipend)</t>
  </si>
  <si>
    <t>SP - Student Part Time (hourly)</t>
  </si>
  <si>
    <t>Voluntary, Reason Unknown</t>
  </si>
  <si>
    <t>Voluntary, Refused Position Transfer</t>
  </si>
  <si>
    <t>Voluntary, Did Not Return From Leave</t>
  </si>
  <si>
    <t>Voluntary, School</t>
  </si>
  <si>
    <t>Voluntary, Relocation</t>
  </si>
  <si>
    <t>Voluntary, Accepted Another Job</t>
  </si>
  <si>
    <t>Voluntary, Entering Military</t>
  </si>
  <si>
    <t>Voluntary, Dissatisfied</t>
  </si>
  <si>
    <t>Voluntary, Ineligible For Rehire</t>
  </si>
  <si>
    <t>Retirement</t>
  </si>
  <si>
    <t>Discharge (list HR contact in comments)</t>
  </si>
  <si>
    <t>Deceased</t>
  </si>
  <si>
    <t>New Hire or New Job:</t>
  </si>
  <si>
    <t>Employee/Job Termination:</t>
  </si>
  <si>
    <t>Job Termination</t>
  </si>
  <si>
    <t>Employee Termination</t>
  </si>
  <si>
    <t>Pay Change</t>
  </si>
  <si>
    <t>New Hire (New Employee)</t>
  </si>
  <si>
    <t>New Job (Current Employee)</t>
  </si>
  <si>
    <t>Other (describe in comments below)</t>
  </si>
  <si>
    <t>Correction (note date of original form)</t>
  </si>
  <si>
    <t>SW - Federal Work Study (hourly)</t>
  </si>
  <si>
    <t>Fac Overload</t>
  </si>
  <si>
    <t>Fac Stipend</t>
  </si>
  <si>
    <t>Fac Regular</t>
  </si>
  <si>
    <t>Part Time</t>
  </si>
  <si>
    <t>Student</t>
  </si>
  <si>
    <t>Leave of Abs</t>
  </si>
  <si>
    <t>Fac Non-Cls Inst</t>
  </si>
  <si>
    <t>Fac LOA</t>
  </si>
  <si>
    <t>Administrative</t>
  </si>
  <si>
    <t>Clerical</t>
  </si>
  <si>
    <t>Operations</t>
  </si>
  <si>
    <t>Fac Part Time</t>
  </si>
  <si>
    <t>Supervisor field should list the employee's supervisor's first and last name.</t>
  </si>
  <si>
    <t>EMPLOYMENT CHANGES</t>
  </si>
  <si>
    <t>New Hire or New Job</t>
  </si>
  <si>
    <t>Salary or Rate should be entered based on the frequency selected in the following field.</t>
  </si>
  <si>
    <t>Transfer or Promotion</t>
  </si>
  <si>
    <t>Effective Date should be entered as the first day in the new position.</t>
  </si>
  <si>
    <t>Previous Department should be selected from the drop-down choices.</t>
  </si>
  <si>
    <t>Effective Date should be entered as the first day of absence.</t>
  </si>
  <si>
    <t>End Date should be entered as the last day of absence.</t>
  </si>
  <si>
    <t>Reason should be typed into the available space.</t>
  </si>
  <si>
    <t>Employee or Job Termination</t>
  </si>
  <si>
    <t>Reason should be selected from the drop-down choices.</t>
  </si>
  <si>
    <t>COMPENSATION CHANGES</t>
  </si>
  <si>
    <t>Effective Date should be entered as the first day to be paid the new rate.</t>
  </si>
  <si>
    <t>Amount should be amount of entire payment.</t>
  </si>
  <si>
    <t>Payment Date should coincide with pay cycle of employee's primary job.</t>
  </si>
  <si>
    <t>For questions about funding, please contact your department's budget administrator.</t>
  </si>
  <si>
    <t>Account Code(s) can be selected from the drop-down choices.</t>
  </si>
  <si>
    <t>Distribution of funding can be made in PERCENTAGES ONLY.  Percentages must total 100%</t>
  </si>
  <si>
    <t>Preparer name, phone number and email are required on every PAF.</t>
  </si>
  <si>
    <t>APPROVALS</t>
  </si>
  <si>
    <t>The Supervisor and Manager or VP/Dean approval signatures must be included on every PAF.</t>
  </si>
  <si>
    <t>Completed and approved PAFs should be submitted to Human Resources, AUD 846.</t>
  </si>
  <si>
    <t>Before submitting the original PAF, a copy should be made for your department's records.  Copies will no longer be sent to departments from Human Resources or Payroll.</t>
  </si>
  <si>
    <t>Incomplete or incorrectly completed PAFs will be returned to the preparer.</t>
  </si>
  <si>
    <t>Employee Information</t>
  </si>
  <si>
    <t>PERSONNEL ACTION FORM COMPLETION DIRECTIONS</t>
  </si>
  <si>
    <t>Payment date may change based on classification or receipt date.</t>
  </si>
  <si>
    <t>Incomplete or incorrect forms may be returned to preparer.</t>
  </si>
  <si>
    <t>EMPLOYEE INFORMATION</t>
  </si>
  <si>
    <t>New Employee</t>
  </si>
  <si>
    <t>Executive Chef</t>
  </si>
  <si>
    <t>Zahut</t>
  </si>
  <si>
    <t>Pete</t>
  </si>
  <si>
    <t>Gia Dano</t>
  </si>
  <si>
    <t>Cornelius Boyardee</t>
  </si>
  <si>
    <t>gdano@roosevelt.edu</t>
  </si>
  <si>
    <t>Wheat</t>
  </si>
  <si>
    <t>Sam</t>
  </si>
  <si>
    <t>Chief Clerk</t>
  </si>
  <si>
    <t>Transfer from Chief Clerk in Academic Advising to Chief Clerk in Undergraduate Admission.</t>
  </si>
  <si>
    <t>James</t>
  </si>
  <si>
    <t>Jimmy</t>
  </si>
  <si>
    <t>Susie Queue</t>
  </si>
  <si>
    <t>squeue@roosevelt.edu</t>
  </si>
  <si>
    <t>Assistant to the Associate Dean</t>
  </si>
  <si>
    <t>Waddams</t>
  </si>
  <si>
    <t>Milton</t>
  </si>
  <si>
    <t>Bill Lumbergh</t>
  </si>
  <si>
    <t>Debt Collector</t>
  </si>
  <si>
    <t>Einstein</t>
  </si>
  <si>
    <t>Albert</t>
  </si>
  <si>
    <t>Student Assistant</t>
  </si>
  <si>
    <t>Albert will move from being paid by federal work study to being paid by the departmental budget.  Please terminate his FWS job.</t>
  </si>
  <si>
    <t>McFly</t>
  </si>
  <si>
    <t>Marty</t>
  </si>
  <si>
    <t>Part Time Faculty</t>
  </si>
  <si>
    <t>Emmett Brown</t>
  </si>
  <si>
    <t>Rene Descartes</t>
  </si>
  <si>
    <t>rdescartes@roosevelt.edu</t>
  </si>
  <si>
    <t>Replaces should be included for any single-funded position hire.</t>
  </si>
  <si>
    <t>Payments to be made over multiple pay periods should be requested by completing the new job section.</t>
  </si>
  <si>
    <t>Fund, Organization and Account codes are required on all PAF forms including those for termination.</t>
  </si>
  <si>
    <t>The Supervisor and Manager or VP/Dean names should be entered in the appropriate boxes.</t>
  </si>
  <si>
    <t>Grant Accountant approval must be obtained for any personnel action affecting grant funds or as in the footnote *.</t>
  </si>
  <si>
    <t>If you have questions on how to complete a PAF, after reading the directions, please contact Human Resources at 312-341-4334.</t>
  </si>
  <si>
    <t>Effective Date for stipend-based pay should be on the first day of the appropriate pay period. For faculty, the 15th of the month.  For administrators, the first of the month.  For all others, the beginning of a bi-weekly pay period.</t>
  </si>
  <si>
    <t>Last 4 of SS#:</t>
  </si>
  <si>
    <t>(Multiple payment stipends should be entered as a new job in the employment section above)</t>
  </si>
  <si>
    <t>Enter Name:</t>
  </si>
  <si>
    <t>Enter reason for payment in Comment box below.</t>
  </si>
  <si>
    <t>Approvals</t>
  </si>
  <si>
    <t>For multiple payment stipends, enter a reason in the Comments box below.</t>
  </si>
  <si>
    <t>Jerry Szewczyk</t>
  </si>
  <si>
    <t>John</t>
  </si>
  <si>
    <t>Senior Executive Chef</t>
  </si>
  <si>
    <r>
      <t xml:space="preserve">Old Title </t>
    </r>
    <r>
      <rPr>
        <i/>
        <sz val="10"/>
        <rFont val="Arial"/>
        <family val="2"/>
      </rPr>
      <t>(or indicate if same)</t>
    </r>
  </si>
  <si>
    <t>Principal Clerk</t>
  </si>
  <si>
    <t>End Date should be included for all closed-ended assignments.  All student assignments   End Dates for stipend based pay should be on the last day of the appropriate pay period as noted above.</t>
  </si>
  <si>
    <r>
      <t xml:space="preserve">Grants Accountant </t>
    </r>
    <r>
      <rPr>
        <b/>
        <sz val="12"/>
        <rFont val="Arial"/>
        <family val="2"/>
      </rPr>
      <t>*</t>
    </r>
  </si>
  <si>
    <t>* Required for PAF paid with external funds or tracked as a RU match contribution to support a sponsored grant or contract.</t>
  </si>
  <si>
    <t>Select Location, Department, Employee Class and Reason values from the drop-down lists.</t>
  </si>
  <si>
    <t>Employee class is determined by the job.  Example: A graduate assistant (GP) in the academic year who is hired to work in an hourly position in the summer term would have an Employee Class of student part-time (SP) for the summer job.</t>
  </si>
  <si>
    <t>Submission of a correction PAF should include submission date of the incorrect, originally submitted PAF.</t>
  </si>
  <si>
    <t>For stipends, the amount should be the stipend paid each per pay period.  Example: $150 per month or $100 per bi-weekly period.</t>
  </si>
  <si>
    <t>Wendy Thomas</t>
  </si>
  <si>
    <t>Jimmie</t>
  </si>
  <si>
    <t>Sue Bway</t>
  </si>
  <si>
    <t>Carl Bruner</t>
  </si>
  <si>
    <t>Lyle Ferguson</t>
  </si>
  <si>
    <t>Molly Jensen</t>
  </si>
  <si>
    <t>mjensen@roosevelt.edu</t>
  </si>
  <si>
    <t>Joe Green</t>
  </si>
  <si>
    <t>Mike Judge</t>
  </si>
  <si>
    <t>mjudge@roosevelt.edu</t>
  </si>
  <si>
    <t>ebrown@roosevelt.edu</t>
  </si>
  <si>
    <t>Clara Clayton</t>
  </si>
  <si>
    <t>Blaise Pascal</t>
  </si>
  <si>
    <t>End Date should be entered as the last date of employment or final date in that job.</t>
  </si>
  <si>
    <r>
      <t xml:space="preserve">All information, with the exception of approval signatures, should be typed into the form via Excel, </t>
    </r>
    <r>
      <rPr>
        <u/>
        <sz val="10"/>
        <rFont val="Arial"/>
        <family val="2"/>
      </rPr>
      <t>not handwritten</t>
    </r>
    <r>
      <rPr>
        <sz val="10"/>
        <rFont val="Arial"/>
        <family val="2"/>
      </rPr>
      <t xml:space="preserve"> on a printed copy.</t>
    </r>
  </si>
  <si>
    <t>PREPARING AND SUBMITTING A PAF</t>
  </si>
  <si>
    <t>21570 - RAFO Support</t>
  </si>
  <si>
    <t>22930 - Public Administration</t>
  </si>
  <si>
    <t>29110 - Office of the Dean,Coll of Pharmacy</t>
  </si>
  <si>
    <t>51510 - ITS Capital Expenditures</t>
  </si>
  <si>
    <t>73630 - Roosevelt on Washington (ROW)</t>
  </si>
  <si>
    <t>91110 - Office of the Chief ATRU Executive</t>
  </si>
  <si>
    <t/>
  </si>
  <si>
    <t>Roosevelt ID can be obtained via look-up in SPAIDEN (for those with access).  If it is a new employee that has not yet been entered into Banner, please specify as new.</t>
  </si>
  <si>
    <t>Title should list the employee's job being modified with this PAF.  Example:  a full-time administrator is being hired to teach in Distance Learning.  The title on the hiring PAF is adjunct instructor for this overload job.</t>
  </si>
  <si>
    <t>22935 - Executive Masters in Public Adm</t>
  </si>
  <si>
    <t>26280 - Musc Education</t>
  </si>
  <si>
    <t>39340 - Unrestricted Funds Mangmt-Univ Wide</t>
  </si>
  <si>
    <t>11140 - ACE-Fellows</t>
  </si>
  <si>
    <t>22180 - RU Honors Program</t>
  </si>
  <si>
    <t>22310 - Department of Communication</t>
  </si>
  <si>
    <t>24620 - Early Childhood Education</t>
  </si>
  <si>
    <t>24630 - Elementary Education</t>
  </si>
  <si>
    <t>24650 - Secondary Education</t>
  </si>
  <si>
    <t>24720 - Counseling &amp; Human Services</t>
  </si>
  <si>
    <t>24730 - Educational Leadership</t>
  </si>
  <si>
    <t>24740 - Teacher Leadership</t>
  </si>
  <si>
    <t>24750 - Language &amp; Literacy</t>
  </si>
  <si>
    <t>24760 - Special Education</t>
  </si>
  <si>
    <t>26215 - Performance Activities</t>
  </si>
  <si>
    <t>29120 - Pharmaceutical Sciences</t>
  </si>
  <si>
    <t>29130 - Clinical &amp; Administrative Sciences</t>
  </si>
  <si>
    <t>Hours/Week:</t>
  </si>
  <si>
    <t>Academic Year</t>
  </si>
  <si>
    <t>FTE:</t>
  </si>
  <si>
    <t>Funding Change Only</t>
  </si>
  <si>
    <t>Empl's Title:</t>
  </si>
  <si>
    <t>Supv's Name:</t>
  </si>
  <si>
    <t>Revised 10/22/10</t>
  </si>
  <si>
    <t>24130 - Office of Community Engagement</t>
  </si>
  <si>
    <t>24610 - Dept. of Curriculum Studies, COE</t>
  </si>
  <si>
    <t>24640 - General Education</t>
  </si>
  <si>
    <t>24710 - Dept. of Specialized Studies, COE</t>
  </si>
  <si>
    <t>63210 - Development Office</t>
  </si>
  <si>
    <t>63220 - Dev - Arts and Sciences</t>
  </si>
  <si>
    <t>63230 - Dev - Education</t>
  </si>
  <si>
    <t>63240 - Dev - ETSCPS</t>
  </si>
  <si>
    <t>63250 - Dev - Performing Arts</t>
  </si>
  <si>
    <t>63260 - Dev - WEHCBA</t>
  </si>
  <si>
    <t>63270 - Dev - Library</t>
  </si>
  <si>
    <t>63280 - Dev - Research and Prospect Mgmt</t>
  </si>
  <si>
    <t>241001 - Spec Servs Disadv Students 09-10</t>
  </si>
  <si>
    <t>241002 - SSS Project Prime 10-11</t>
  </si>
  <si>
    <t>241005 - Spec Servs Disadvan Students 08-9</t>
  </si>
  <si>
    <t>241011 - Upward Bound 09-10</t>
  </si>
  <si>
    <t>241012 - Upward Bound Program 10-11</t>
  </si>
  <si>
    <t>241015 - Upward Bound 08-9</t>
  </si>
  <si>
    <t>241020 - Educational Talent Search 09-10</t>
  </si>
  <si>
    <t>241021 - Ed Talent Search 10-11</t>
  </si>
  <si>
    <t>241024 - Education Talent Search 08-9</t>
  </si>
  <si>
    <t>241043 - SENCER ideals applied in STEM crs</t>
  </si>
  <si>
    <t>241050 - Veterans Upward Bound 09-10</t>
  </si>
  <si>
    <t>241051 - Veterans Upward Bound 10-11</t>
  </si>
  <si>
    <t>241054 - Veterans Upward Bound 08-9</t>
  </si>
  <si>
    <t>241060 - NSF-Prj based GC/MS Experiments</t>
  </si>
  <si>
    <t>241064 - NSF RU-HWC Prtnshp in STEM Ed 08-9</t>
  </si>
  <si>
    <t>241065 - NSF RU-HWC Prtns in STEM Ed 09-10</t>
  </si>
  <si>
    <t>241066 - NSF RU-HWC Prtns in STEM Ed 10-11</t>
  </si>
  <si>
    <t>241070 - NIH ECC-RU Bridge Program 08/9</t>
  </si>
  <si>
    <t>241071 - NIH ECC_RU Bridge Program 09/10</t>
  </si>
  <si>
    <t>241072 - NIH Elgin CC-RU Bridges Prg 10-11</t>
  </si>
  <si>
    <t>241085 - NEH Course on Happiness</t>
  </si>
  <si>
    <t>241091 - Jumpstart AmeriCorps 10-11</t>
  </si>
  <si>
    <t>241093 - Jumpstart AmeriCorps 09-10</t>
  </si>
  <si>
    <t>251000 - College Work Study 09/10</t>
  </si>
  <si>
    <t>251001 - College Work Study 10-11</t>
  </si>
  <si>
    <t>251004 - College Work Study 08/9</t>
  </si>
  <si>
    <t>251100 - PELL 09-10</t>
  </si>
  <si>
    <t>251104 - PELL 06/07</t>
  </si>
  <si>
    <t>251105 - PELL 07/08</t>
  </si>
  <si>
    <t>251106 - PELL 08-9</t>
  </si>
  <si>
    <t>251200 - SEOG 09-10</t>
  </si>
  <si>
    <t>251201 - SEOG 10-11</t>
  </si>
  <si>
    <t>251204 - SEOG 08-9</t>
  </si>
  <si>
    <t>251301 - HRSA ARRA Disadv Stdt Schlors 10-11</t>
  </si>
  <si>
    <t>251306 - HRSA Disadvan Student Schlors 10-11</t>
  </si>
  <si>
    <t>251400 - Academic Competitive Grant</t>
  </si>
  <si>
    <t>251500 - National Smart Grant</t>
  </si>
  <si>
    <t>251550 - U S Dept of Energy Bio Lab Equip.</t>
  </si>
  <si>
    <t>251600 - SENSER 07-09</t>
  </si>
  <si>
    <t>251601 - Integrating Civics into Calculus II</t>
  </si>
  <si>
    <t>260001 - CEA Gear-Up 09-10</t>
  </si>
  <si>
    <t>260004 - CEA Gear-Up 10-11</t>
  </si>
  <si>
    <t>260005 - CEA Gear Up 07-8</t>
  </si>
  <si>
    <t>260006 - CEA Gear-Up 08-9</t>
  </si>
  <si>
    <t>260110 - COE Gear Up 09-10</t>
  </si>
  <si>
    <t>260111 - COE Gear-Up 10-11</t>
  </si>
  <si>
    <t>260112 - COE Gear Up 07-8</t>
  </si>
  <si>
    <t>260113 - COE Gear-Up 08-9</t>
  </si>
  <si>
    <t>270001 - IBHE FY10 NCLB Literacy Project</t>
  </si>
  <si>
    <t>270030 - IL Copperative Work Study 10-11</t>
  </si>
  <si>
    <t>270031 - IL Cooperative Work Study 08/9</t>
  </si>
  <si>
    <t>270032 - IL Cooperative Work Study 09/10</t>
  </si>
  <si>
    <t>270034 - XOMIX H S Biotech Institute 08/9</t>
  </si>
  <si>
    <t>270107 - DCEO XOMIX H S Biotech Institute</t>
  </si>
  <si>
    <t>270109 - Col of Pharmacy Dean DCEO</t>
  </si>
  <si>
    <t>271030 - DOC Lifeskills Westside 08/9</t>
  </si>
  <si>
    <t>271031 - DOC Lifeskills Westside 10-11</t>
  </si>
  <si>
    <t>271032 - DOC Lifeskills Westside 09/10</t>
  </si>
  <si>
    <t>271042 - DOC Lifeskills Parole 09-10</t>
  </si>
  <si>
    <t>271043 - DOC Lifeskills Parole 10-11</t>
  </si>
  <si>
    <t>271062 - DOC Admin 09/10</t>
  </si>
  <si>
    <t>271063 - DOC Admin 10-11</t>
  </si>
  <si>
    <t>271200 - DOC Lifeskills Fox Valley 09/10</t>
  </si>
  <si>
    <t>271203 - DOC Lifeskills Fox Valley 08/9</t>
  </si>
  <si>
    <t>280083 - Chicago Urban Systemic Program</t>
  </si>
  <si>
    <t>290001 - Polk Bros-Social Justice HS 09</t>
  </si>
  <si>
    <t>290003 - Career Advancement Network</t>
  </si>
  <si>
    <t>290004 - Norte Dame Latino Reserach Study</t>
  </si>
  <si>
    <t>290005 - SIOP Women Only Ldrshp Development</t>
  </si>
  <si>
    <t>290011 - Advanced Reading Development 07-8</t>
  </si>
  <si>
    <t>290012 - CCT-CLIP Program</t>
  </si>
  <si>
    <t>290013 - CCT Chgo Lit Initiative Prtnp 08-9</t>
  </si>
  <si>
    <t>290014 - CCT  Hooked on Books</t>
  </si>
  <si>
    <t>290020 - Multi Cultural Journalism Workshop</t>
  </si>
  <si>
    <t>290021 - McCormick Trib HS Press Association</t>
  </si>
  <si>
    <t>290030 - H S Jounalism Study M T Foundation</t>
  </si>
  <si>
    <t>290031 - HS Jounalism Continuation MTF</t>
  </si>
  <si>
    <t>290032 - Journalism Workshop</t>
  </si>
  <si>
    <t>290033 - 09-10 HS Journalism MTF support</t>
  </si>
  <si>
    <t>290034 - Youth Media Tech Fund-McCormick Fd</t>
  </si>
  <si>
    <t>290041 - McCormick Trib Election Fellows</t>
  </si>
  <si>
    <t>290042 - McCormick Fdtn Political Reporting</t>
  </si>
  <si>
    <t>290061 - ISPB MicroRNAs Study</t>
  </si>
  <si>
    <t>290075 - Mansfield Inst for Social Justice</t>
  </si>
  <si>
    <t>291005 - PWCoopers Fund IFRS Ready Grant</t>
  </si>
  <si>
    <t>292002 - CCT-CCPA Audience Engagement Prog</t>
  </si>
  <si>
    <t>293003 - Fry Sum Aca for Middle School</t>
  </si>
  <si>
    <t>293005 - JPMorgan Chase Math Recovery Prj</t>
  </si>
  <si>
    <t>293011 - IBM Reinventing Education 3 Project</t>
  </si>
  <si>
    <t>293014 - Polk Bros-Social Justice HS</t>
  </si>
  <si>
    <t>293015 - Polk Bros Social Justice 10-11</t>
  </si>
  <si>
    <t>293023 - Trans Service Learning Pilot</t>
  </si>
  <si>
    <t>294002 - CCT-IMA Drug Policy Reform</t>
  </si>
  <si>
    <t>294011 - NRC Loss Prevention Evaluation</t>
  </si>
  <si>
    <t>294018 - IMA Drug Policy Contracts</t>
  </si>
  <si>
    <t>294020 - IMA Woods Fund - Drug Offenders</t>
  </si>
  <si>
    <t>297001 - IL Clean Energy NewCampusBldg LEED</t>
  </si>
  <si>
    <t>(if new)</t>
  </si>
  <si>
    <t>Enter Hours per Week and FTE will calculate.</t>
  </si>
  <si>
    <t>21610 - Office of Advising and Assessment</t>
  </si>
  <si>
    <t>21710 - Office of the Registrar</t>
  </si>
  <si>
    <t>21720 - Registration</t>
  </si>
  <si>
    <t>21730 - Graduation Services &amp; Transfer Eval</t>
  </si>
  <si>
    <t>21740 - Course Scheduling</t>
  </si>
  <si>
    <t>35260 - Physical Resources-Wabash Building</t>
  </si>
  <si>
    <t>63290 - Dev - Pharmacy, PS, and Athletics</t>
  </si>
  <si>
    <t>64270 - New Deal Service Day</t>
  </si>
  <si>
    <t>72310 - Office of Advising and Placement</t>
  </si>
  <si>
    <t>81110 - Office of the SCH Campus Provost</t>
  </si>
  <si>
    <t>241003 - SSS Project Prime 11-12</t>
  </si>
  <si>
    <t>241013 - Upward Bound Program 11-12</t>
  </si>
  <si>
    <t>241022 - Ed Talent Search 11-12</t>
  </si>
  <si>
    <t>241052 - Veterans Upward Bound 11-12</t>
  </si>
  <si>
    <t>241061 - NSF Halogen MSN Instruction 11-12</t>
  </si>
  <si>
    <t>241067 - NSF RU-HWC Prtns in STEM Ed 11-12</t>
  </si>
  <si>
    <t>241073 - NIH Elgin CC-RU Bridges Prg 11-12</t>
  </si>
  <si>
    <t>241092 - Jumpstart AmeriCorps 11-12</t>
  </si>
  <si>
    <t>251002 - College Work Study 11-12</t>
  </si>
  <si>
    <t>251102 - PELL 11-12</t>
  </si>
  <si>
    <t>251202 - SEOG 11-12</t>
  </si>
  <si>
    <t>251602 - Integrating Civics into Finl Math</t>
  </si>
  <si>
    <t>260102 - Gear-Up3 No Cost Extension 11-12</t>
  </si>
  <si>
    <t>260121 - Gear-Up4 2010-2011</t>
  </si>
  <si>
    <t>260122 - Gear-Up4 2011-2012</t>
  </si>
  <si>
    <t>260201 - Prudue U CIBER IFRS Video Series</t>
  </si>
  <si>
    <t>270012 - IL DCEO Pharm Schl Dsgn/Engn Prj#1</t>
  </si>
  <si>
    <t>270033 - IL Cooperative Work Study 11-12</t>
  </si>
  <si>
    <t>271040 - DOC Lifeskills Parole 11-12</t>
  </si>
  <si>
    <t>271051 - DOC Indirect Cost Recovery 11-12</t>
  </si>
  <si>
    <t>271060 - DOC Admin 11-12</t>
  </si>
  <si>
    <t>290080 - IL Campus Compact Presl Fellows</t>
  </si>
  <si>
    <t>293002 - Jumpstart Match-RU</t>
  </si>
  <si>
    <t>293006 - JPM Chase 11 HS 2 College Project</t>
  </si>
  <si>
    <t>293013 - Polk Bros Social Justice 11-12</t>
  </si>
  <si>
    <t>294003 - CCT Background Check Ed Project</t>
  </si>
  <si>
    <t>294007 - IMA IL Drug Policy Alliance 10-11</t>
  </si>
  <si>
    <t>294019 - IMA-RCCHE Heroin Prevention Project</t>
  </si>
  <si>
    <t>Chicago - Wabash Building</t>
  </si>
  <si>
    <t>21580 - Faculty Start Up Support</t>
  </si>
  <si>
    <t>21620 - Undergraduate Studies</t>
  </si>
  <si>
    <t>21630 - Academic Communities of Practice</t>
  </si>
  <si>
    <t>22115 - Dean College of A &amp; S - Sch</t>
  </si>
  <si>
    <t>25410 - Office of Prof and Liberal Studies</t>
  </si>
  <si>
    <t>25420 - PLS Organizational Leadership</t>
  </si>
  <si>
    <t>25430 - PLS</t>
  </si>
  <si>
    <t>39500 - Field House</t>
  </si>
  <si>
    <t>51350 - Enterprise Applications</t>
  </si>
  <si>
    <t>73650 - Wabash Residence Living</t>
  </si>
  <si>
    <t>73720 - Wabash Fitness Center</t>
  </si>
  <si>
    <t>241004 - SSS Project Prime 12-13</t>
  </si>
  <si>
    <t>241014 - Upward Bound Program 12-13</t>
  </si>
  <si>
    <t>241023 - Ed Talent Search 12-13</t>
  </si>
  <si>
    <t>241053 - Veterans Upward Bound 12-13</t>
  </si>
  <si>
    <t>241062 - NSF Halogen MSN Instruction 12-13</t>
  </si>
  <si>
    <t>241068 - NSF RU-HWC Prtns in STEM Ed 12-13</t>
  </si>
  <si>
    <t>241074 - NIH Elgin CC-RU Bridges Prg 12-13</t>
  </si>
  <si>
    <t>241090 - Jumpstart AmeriCorps 12-13</t>
  </si>
  <si>
    <t>241113 - Upward Bound 2 12-13</t>
  </si>
  <si>
    <t>251003 - College Work Study 12-13</t>
  </si>
  <si>
    <t>251103 - PELL 12-13</t>
  </si>
  <si>
    <t>251203 - SEOG 12-13</t>
  </si>
  <si>
    <t>260123 - Gear-Up4 2012-2013</t>
  </si>
  <si>
    <t>260260 - Gear-Up5 2011-2012</t>
  </si>
  <si>
    <t>260261 - Gear-Up5 2012-2013</t>
  </si>
  <si>
    <t>270002 - IBHE FY11 NCLB Literacy Project</t>
  </si>
  <si>
    <t>270003 - IBHE FY12 NCLB Literacy Project</t>
  </si>
  <si>
    <t>271041 - DOC Lifeskills Parole 12-13</t>
  </si>
  <si>
    <t>271050 - DOC Indirect Cost Recovery 12-13</t>
  </si>
  <si>
    <t>271061 - DOC Admin 12-13</t>
  </si>
  <si>
    <t>290006 - Koch Fdn 2011-2012 Reading Group</t>
  </si>
  <si>
    <t>290010 - COE Gage</t>
  </si>
  <si>
    <t>291006 - Green Teen Academy</t>
  </si>
  <si>
    <t>293004 - JPMc HS2 College Transition Proj</t>
  </si>
  <si>
    <t>293021 - Northern Trust Math Project 2011</t>
  </si>
  <si>
    <t>294009 - IMA Drug Policy Alliance 11-12</t>
  </si>
  <si>
    <t>Revised Oct-2012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</si>
</sst>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
    <numFmt numFmtId="165" formatCode="[&lt;=9999999]###\-####;\(###\)\ ###\-####"/>
    <numFmt numFmtId="166" formatCode="0000"/>
    <numFmt numFmtId="167" formatCode="0.000"/>
    <numFmt numFmtId="168" formatCode="mmm\-yyyy"/>
  </numFmts>
  <fonts count="20" x14ac:knownFonts="1">
    <font>
      <sz val="10"/>
      <name val="Arial"/>
    </font>
    <font>
      <b/>
      <sz val="10"/>
      <name val="Arial"/>
      <family val="2"/>
    </font>
    <font>
      <sz val="10"/>
      <name val="Arial"/>
      <family val="2"/>
    </font>
    <font>
      <u/>
      <sz val="10"/>
      <color indexed="12"/>
      <name val="Arial"/>
      <family val="2"/>
    </font>
    <font>
      <i/>
      <sz val="10"/>
      <name val="Arial"/>
      <family val="2"/>
    </font>
    <font>
      <i/>
      <u/>
      <sz val="10"/>
      <name val="Arial"/>
      <family val="2"/>
    </font>
    <font>
      <u/>
      <sz val="14"/>
      <name val="Arial"/>
      <family val="2"/>
    </font>
    <font>
      <b/>
      <u/>
      <sz val="10"/>
      <name val="Arial"/>
      <family val="2"/>
    </font>
    <font>
      <sz val="7"/>
      <name val="Arial"/>
      <family val="2"/>
    </font>
    <font>
      <sz val="9"/>
      <name val="Arial"/>
      <family val="2"/>
    </font>
    <font>
      <b/>
      <sz val="10"/>
      <color indexed="12"/>
      <name val="Arial"/>
      <family val="2"/>
    </font>
    <font>
      <sz val="8"/>
      <name val="Arial"/>
      <family val="2"/>
    </font>
    <font>
      <b/>
      <u/>
      <sz val="12"/>
      <name val="Arial"/>
      <family val="2"/>
    </font>
    <font>
      <b/>
      <i/>
      <sz val="10"/>
      <name val="Arial"/>
      <family val="2"/>
    </font>
    <font>
      <b/>
      <i/>
      <sz val="9"/>
      <name val="Arial"/>
      <family val="2"/>
    </font>
    <font>
      <b/>
      <sz val="12"/>
      <name val="Arial"/>
      <family val="2"/>
    </font>
    <font>
      <u/>
      <sz val="10"/>
      <name val="Arial"/>
      <family val="2"/>
    </font>
    <font>
      <sz val="10"/>
      <color indexed="8"/>
      <name val="Arial"/>
      <family val="2"/>
    </font>
    <font>
      <sz val="12"/>
      <name val="Arial"/>
      <family val="2"/>
    </font>
    <font>
      <sz val="11"/>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9" fillId="0" borderId="0"/>
  </cellStyleXfs>
  <cellXfs count="145">
    <xf numFmtId="0" fontId="0" fillId="0" borderId="0" xfId="0"/>
    <xf numFmtId="0" fontId="2" fillId="0" borderId="0" xfId="0" applyFont="1" applyProtection="1"/>
    <xf numFmtId="0" fontId="0" fillId="0" borderId="0" xfId="0" applyProtection="1"/>
    <xf numFmtId="0" fontId="6" fillId="0" borderId="0" xfId="0" applyFont="1" applyAlignment="1" applyProtection="1">
      <alignment vertical="center"/>
    </xf>
    <xf numFmtId="0" fontId="2" fillId="0" borderId="0" xfId="0" applyFont="1" applyAlignment="1" applyProtection="1">
      <alignment horizontal="center"/>
    </xf>
    <xf numFmtId="0" fontId="0" fillId="2" borderId="0" xfId="0" applyFill="1" applyProtection="1"/>
    <xf numFmtId="0" fontId="1" fillId="2" borderId="0" xfId="0" applyFont="1" applyFill="1" applyAlignment="1" applyProtection="1">
      <alignment horizontal="right"/>
    </xf>
    <xf numFmtId="0" fontId="0" fillId="2" borderId="0" xfId="0" applyFill="1" applyBorder="1" applyAlignment="1" applyProtection="1"/>
    <xf numFmtId="0" fontId="0" fillId="2" borderId="1" xfId="0" applyFill="1" applyBorder="1" applyProtection="1"/>
    <xf numFmtId="0" fontId="2" fillId="2" borderId="0" xfId="0" applyFont="1" applyFill="1" applyProtection="1"/>
    <xf numFmtId="0" fontId="1" fillId="2" borderId="0" xfId="0" applyFont="1" applyFill="1" applyProtection="1"/>
    <xf numFmtId="0" fontId="0" fillId="2" borderId="2" xfId="0" applyFill="1" applyBorder="1" applyProtection="1"/>
    <xf numFmtId="0" fontId="2" fillId="2" borderId="2" xfId="0" applyFont="1" applyFill="1" applyBorder="1" applyProtection="1"/>
    <xf numFmtId="0" fontId="1" fillId="2" borderId="0" xfId="0" applyFont="1" applyFill="1" applyAlignment="1" applyProtection="1">
      <alignment horizontal="center"/>
    </xf>
    <xf numFmtId="0" fontId="0" fillId="2" borderId="0" xfId="0" applyFill="1" applyAlignment="1" applyProtection="1">
      <alignment horizontal="center"/>
    </xf>
    <xf numFmtId="0" fontId="0" fillId="2" borderId="0" xfId="0" applyFill="1" applyAlignment="1" applyProtection="1">
      <alignment horizontal="right"/>
    </xf>
    <xf numFmtId="14"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protection locked="0"/>
    </xf>
    <xf numFmtId="0" fontId="1" fillId="2" borderId="3" xfId="0" applyFont="1" applyFill="1" applyBorder="1" applyAlignment="1" applyProtection="1">
      <alignment horizontal="center"/>
    </xf>
    <xf numFmtId="10" fontId="0" fillId="2" borderId="3" xfId="0" applyNumberFormat="1" applyFill="1" applyBorder="1" applyAlignment="1" applyProtection="1">
      <alignment horizontal="center"/>
    </xf>
    <xf numFmtId="0" fontId="0" fillId="2" borderId="0" xfId="0" applyFill="1" applyBorder="1" applyProtection="1"/>
    <xf numFmtId="0" fontId="0" fillId="0" borderId="0" xfId="0" applyFont="1" applyProtection="1"/>
    <xf numFmtId="0" fontId="4" fillId="2" borderId="0" xfId="0" applyFont="1" applyFill="1" applyBorder="1" applyAlignment="1" applyProtection="1">
      <alignment horizontal="left"/>
    </xf>
    <xf numFmtId="0" fontId="8" fillId="2" borderId="0" xfId="0" applyFont="1" applyFill="1" applyProtection="1"/>
    <xf numFmtId="0" fontId="9" fillId="2" borderId="0" xfId="0" applyFont="1" applyFill="1" applyProtection="1"/>
    <xf numFmtId="14" fontId="0" fillId="2" borderId="3" xfId="0" applyNumberFormat="1" applyFill="1" applyBorder="1" applyAlignment="1" applyProtection="1">
      <alignment horizontal="left"/>
      <protection locked="0"/>
    </xf>
    <xf numFmtId="14" fontId="0" fillId="2" borderId="0" xfId="0" applyNumberFormat="1" applyFill="1" applyBorder="1" applyAlignment="1" applyProtection="1"/>
    <xf numFmtId="0" fontId="11" fillId="2" borderId="0" xfId="0" applyFont="1" applyFill="1" applyProtection="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2" fillId="0" borderId="0" xfId="0" applyFont="1" applyAlignment="1">
      <alignment horizontal="left" wrapText="1" indent="1"/>
    </xf>
    <xf numFmtId="0" fontId="12" fillId="0" borderId="0" xfId="0" applyFont="1" applyAlignment="1">
      <alignment horizontal="center" wrapText="1"/>
    </xf>
    <xf numFmtId="0" fontId="4" fillId="2" borderId="0" xfId="0" applyFont="1" applyFill="1" applyProtection="1"/>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0" fillId="2" borderId="0" xfId="0" applyFill="1" applyBorder="1" applyAlignment="1" applyProtection="1">
      <alignment horizontal="left"/>
    </xf>
    <xf numFmtId="0" fontId="0" fillId="2" borderId="3" xfId="0" applyFill="1" applyBorder="1" applyAlignment="1" applyProtection="1">
      <alignment horizontal="left"/>
      <protection locked="0"/>
    </xf>
    <xf numFmtId="0" fontId="5" fillId="2" borderId="0" xfId="0" applyFont="1" applyFill="1" applyProtection="1"/>
    <xf numFmtId="14" fontId="2" fillId="2" borderId="3" xfId="0" applyNumberFormat="1" applyFont="1" applyFill="1" applyBorder="1" applyAlignment="1" applyProtection="1">
      <alignment horizontal="left"/>
      <protection locked="0"/>
    </xf>
    <xf numFmtId="0" fontId="0" fillId="0" borderId="0" xfId="0" applyFill="1" applyProtection="1"/>
    <xf numFmtId="0" fontId="2" fillId="2" borderId="0" xfId="0" applyFont="1" applyFill="1" applyBorder="1" applyAlignment="1" applyProtection="1">
      <alignment horizontal="left" vertical="top" wrapText="1"/>
    </xf>
    <xf numFmtId="0" fontId="14" fillId="2" borderId="0" xfId="0" applyFont="1" applyFill="1" applyAlignment="1" applyProtection="1">
      <alignment wrapText="1"/>
    </xf>
    <xf numFmtId="0" fontId="13" fillId="2" borderId="0" xfId="0" applyFont="1" applyFill="1" applyProtection="1"/>
    <xf numFmtId="0" fontId="14" fillId="2" borderId="2" xfId="0" applyFont="1" applyFill="1" applyBorder="1" applyAlignment="1" applyProtection="1">
      <alignment wrapText="1"/>
    </xf>
    <xf numFmtId="0" fontId="17" fillId="0" borderId="0" xfId="2" applyFont="1" applyProtection="1"/>
    <xf numFmtId="0" fontId="6" fillId="2" borderId="0" xfId="0" applyFont="1" applyFill="1" applyAlignment="1" applyProtection="1">
      <alignment horizontal="center" vertical="center"/>
    </xf>
    <xf numFmtId="0" fontId="4" fillId="2" borderId="0" xfId="0" applyFont="1" applyFill="1" applyAlignment="1" applyProtection="1">
      <alignment horizontal="center"/>
    </xf>
    <xf numFmtId="0" fontId="2" fillId="0" borderId="0" xfId="0" quotePrefix="1" applyFont="1" applyProtection="1"/>
    <xf numFmtId="0" fontId="0" fillId="3" borderId="3" xfId="0" applyFill="1" applyBorder="1" applyAlignment="1" applyProtection="1">
      <alignment horizontal="center"/>
    </xf>
    <xf numFmtId="0" fontId="2" fillId="2" borderId="0" xfId="0" applyFont="1" applyFill="1" applyProtection="1">
      <protection locked="0"/>
    </xf>
    <xf numFmtId="0" fontId="0" fillId="2" borderId="0" xfId="0" applyFill="1" applyProtection="1">
      <protection locked="0"/>
    </xf>
    <xf numFmtId="0" fontId="0" fillId="2" borderId="3" xfId="0" applyFill="1" applyBorder="1" applyAlignment="1" applyProtection="1">
      <alignment horizontal="left"/>
    </xf>
    <xf numFmtId="0" fontId="0" fillId="3" borderId="3" xfId="0" applyFill="1" applyBorder="1" applyAlignment="1" applyProtection="1">
      <alignment horizontal="left"/>
    </xf>
    <xf numFmtId="166"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xf>
    <xf numFmtId="14" fontId="0" fillId="2" borderId="3" xfId="0" applyNumberFormat="1" applyFill="1" applyBorder="1" applyAlignment="1" applyProtection="1">
      <alignment horizontal="left"/>
    </xf>
    <xf numFmtId="14" fontId="2" fillId="2" borderId="3" xfId="0" applyNumberFormat="1" applyFont="1" applyFill="1" applyBorder="1" applyAlignment="1" applyProtection="1">
      <alignment horizontal="left"/>
    </xf>
    <xf numFmtId="0" fontId="2" fillId="3" borderId="3" xfId="0" applyFont="1" applyFill="1" applyBorder="1" applyAlignment="1" applyProtection="1">
      <alignment horizontal="center"/>
    </xf>
    <xf numFmtId="10" fontId="0" fillId="3" borderId="3" xfId="0" applyNumberFormat="1" applyFill="1" applyBorder="1" applyAlignment="1" applyProtection="1">
      <alignment horizontal="center"/>
    </xf>
    <xf numFmtId="0" fontId="2" fillId="2" borderId="3" xfId="0" applyFont="1" applyFill="1" applyBorder="1" applyAlignment="1" applyProtection="1">
      <alignment horizontal="left"/>
    </xf>
    <xf numFmtId="167" fontId="0" fillId="4" borderId="3" xfId="0" applyNumberFormat="1" applyFill="1" applyBorder="1" applyAlignment="1" applyProtection="1">
      <alignment horizontal="left"/>
    </xf>
    <xf numFmtId="0" fontId="3" fillId="0" borderId="0" xfId="1" applyAlignment="1" applyProtection="1"/>
    <xf numFmtId="0" fontId="0" fillId="0" borderId="0" xfId="0" applyProtection="1">
      <protection locked="0"/>
    </xf>
    <xf numFmtId="0" fontId="0" fillId="0" borderId="0" xfId="0" applyAlignment="1" applyProtection="1">
      <alignment horizontal="right"/>
      <protection locked="0"/>
    </xf>
    <xf numFmtId="0" fontId="18" fillId="2" borderId="0" xfId="0" applyFont="1" applyFill="1" applyAlignment="1" applyProtection="1"/>
    <xf numFmtId="0" fontId="0" fillId="5" borderId="3" xfId="0" applyFill="1" applyBorder="1" applyAlignment="1" applyProtection="1">
      <alignment horizontal="left"/>
      <protection locked="0"/>
    </xf>
    <xf numFmtId="166" fontId="0" fillId="5" borderId="3" xfId="0" applyNumberFormat="1" applyFill="1" applyBorder="1" applyAlignment="1" applyProtection="1">
      <alignment horizontal="left"/>
      <protection locked="0"/>
    </xf>
    <xf numFmtId="0" fontId="2" fillId="5" borderId="3" xfId="0"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0" fillId="5" borderId="3" xfId="0" applyFill="1" applyBorder="1" applyAlignment="1" applyProtection="1">
      <alignment horizontal="center"/>
    </xf>
    <xf numFmtId="10" fontId="0" fillId="5" borderId="3" xfId="0" applyNumberFormat="1" applyFill="1" applyBorder="1" applyAlignment="1" applyProtection="1">
      <alignment horizontal="center"/>
      <protection locked="0"/>
    </xf>
    <xf numFmtId="0" fontId="2" fillId="5" borderId="5" xfId="0" applyFont="1" applyFill="1" applyBorder="1" applyAlignment="1" applyProtection="1">
      <alignment horizontal="left"/>
      <protection locked="0"/>
    </xf>
    <xf numFmtId="0" fontId="2" fillId="5" borderId="6" xfId="0" applyFont="1" applyFill="1" applyBorder="1" applyAlignment="1" applyProtection="1">
      <alignment horizontal="left"/>
      <protection locked="0"/>
    </xf>
    <xf numFmtId="0" fontId="0" fillId="5" borderId="3" xfId="0" applyFill="1" applyBorder="1" applyAlignment="1" applyProtection="1">
      <alignment horizontal="left"/>
      <protection locked="0"/>
    </xf>
    <xf numFmtId="0" fontId="4" fillId="2" borderId="0" xfId="0" applyFont="1" applyFill="1" applyAlignment="1" applyProtection="1">
      <alignment horizontal="center"/>
    </xf>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2" fillId="2" borderId="5" xfId="0" applyFont="1" applyFill="1" applyBorder="1" applyAlignment="1" applyProtection="1">
      <alignment horizontal="left"/>
      <protection locked="0"/>
    </xf>
    <xf numFmtId="0" fontId="2" fillId="2" borderId="7" xfId="0" applyFont="1" applyFill="1" applyBorder="1" applyAlignment="1" applyProtection="1">
      <alignment horizontal="left"/>
      <protection locked="0"/>
    </xf>
    <xf numFmtId="0" fontId="2" fillId="2" borderId="6" xfId="0" applyFont="1" applyFill="1" applyBorder="1" applyAlignment="1" applyProtection="1">
      <alignment horizontal="left"/>
      <protection locked="0"/>
    </xf>
    <xf numFmtId="0" fontId="0" fillId="5" borderId="5" xfId="0" applyFill="1" applyBorder="1" applyAlignment="1" applyProtection="1">
      <alignment horizontal="left"/>
      <protection locked="0"/>
    </xf>
    <xf numFmtId="0" fontId="0" fillId="5" borderId="7" xfId="0" applyFill="1" applyBorder="1" applyAlignment="1" applyProtection="1">
      <alignment horizontal="left"/>
      <protection locked="0"/>
    </xf>
    <xf numFmtId="0" fontId="0" fillId="5" borderId="6" xfId="0" applyFill="1" applyBorder="1" applyAlignment="1" applyProtection="1">
      <alignment horizontal="left"/>
      <protection locked="0"/>
    </xf>
    <xf numFmtId="0" fontId="7" fillId="2" borderId="1" xfId="0" applyFont="1" applyFill="1" applyBorder="1" applyAlignment="1" applyProtection="1">
      <alignment horizontal="center"/>
    </xf>
    <xf numFmtId="0" fontId="2" fillId="2" borderId="1" xfId="0" applyFont="1" applyFill="1" applyBorder="1" applyAlignment="1" applyProtection="1">
      <alignment horizontal="left"/>
    </xf>
    <xf numFmtId="0" fontId="2" fillId="5" borderId="3" xfId="0" applyFont="1" applyFill="1" applyBorder="1" applyAlignment="1" applyProtection="1">
      <alignment horizontal="left"/>
      <protection locked="0"/>
    </xf>
    <xf numFmtId="0" fontId="0" fillId="2" borderId="3" xfId="0" applyFill="1" applyBorder="1" applyAlignment="1" applyProtection="1">
      <alignment horizontal="left"/>
      <protection locked="0"/>
    </xf>
    <xf numFmtId="0" fontId="2" fillId="2" borderId="8" xfId="0"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9" xfId="0" applyFont="1" applyFill="1" applyBorder="1" applyAlignment="1" applyProtection="1">
      <alignment horizontal="left" vertical="top" wrapText="1"/>
      <protection locked="0"/>
    </xf>
    <xf numFmtId="0" fontId="2" fillId="2" borderId="10" xfId="0" applyFont="1" applyFill="1" applyBorder="1" applyAlignment="1" applyProtection="1">
      <alignment horizontal="left" vertical="top" wrapText="1"/>
      <protection locked="0"/>
    </xf>
    <xf numFmtId="0" fontId="2" fillId="2" borderId="0" xfId="0" applyFont="1" applyFill="1" applyBorder="1" applyAlignment="1" applyProtection="1">
      <alignment horizontal="left" vertical="top" wrapText="1"/>
      <protection locked="0"/>
    </xf>
    <xf numFmtId="0" fontId="2" fillId="2" borderId="4" xfId="0" applyFont="1" applyFill="1" applyBorder="1" applyAlignment="1" applyProtection="1">
      <alignment horizontal="left" vertical="top" wrapText="1"/>
      <protection locked="0"/>
    </xf>
    <xf numFmtId="0" fontId="2" fillId="2" borderId="11" xfId="0" applyFont="1" applyFill="1" applyBorder="1" applyAlignment="1" applyProtection="1">
      <alignment horizontal="left" vertical="top" wrapText="1"/>
      <protection locked="0"/>
    </xf>
    <xf numFmtId="0" fontId="2" fillId="2" borderId="2" xfId="0" applyFont="1" applyFill="1" applyBorder="1" applyAlignment="1" applyProtection="1">
      <alignment horizontal="left" vertical="top" wrapText="1"/>
      <protection locked="0"/>
    </xf>
    <xf numFmtId="0" fontId="2" fillId="2" borderId="12"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xf>
    <xf numFmtId="0" fontId="1" fillId="0" borderId="2" xfId="0" applyFont="1" applyBorder="1" applyAlignment="1" applyProtection="1">
      <alignment horizontal="left"/>
    </xf>
    <xf numFmtId="0" fontId="1" fillId="2" borderId="2" xfId="0" applyFont="1" applyFill="1" applyBorder="1" applyAlignment="1" applyProtection="1">
      <alignment horizontal="left"/>
    </xf>
    <xf numFmtId="0" fontId="1" fillId="2" borderId="0" xfId="0" applyFont="1" applyFill="1" applyBorder="1" applyAlignment="1" applyProtection="1">
      <alignment horizontal="left"/>
    </xf>
    <xf numFmtId="0" fontId="14" fillId="2" borderId="0" xfId="0" applyFont="1" applyFill="1" applyAlignment="1" applyProtection="1">
      <alignment horizontal="center" wrapText="1"/>
    </xf>
    <xf numFmtId="0" fontId="14" fillId="2" borderId="2" xfId="0" applyFont="1" applyFill="1" applyBorder="1" applyAlignment="1" applyProtection="1">
      <alignment horizontal="center" wrapText="1"/>
    </xf>
    <xf numFmtId="165" fontId="0" fillId="5" borderId="5" xfId="0" applyNumberFormat="1" applyFill="1" applyBorder="1" applyAlignment="1" applyProtection="1">
      <alignment horizontal="left"/>
      <protection locked="0"/>
    </xf>
    <xf numFmtId="165" fontId="0" fillId="5" borderId="6" xfId="0" applyNumberFormat="1" applyFill="1" applyBorder="1" applyAlignment="1" applyProtection="1">
      <alignment horizontal="left"/>
      <protection locked="0"/>
    </xf>
    <xf numFmtId="0" fontId="4" fillId="2" borderId="1" xfId="0" applyFont="1" applyFill="1" applyBorder="1" applyAlignment="1" applyProtection="1">
      <alignment horizontal="center" wrapText="1"/>
    </xf>
    <xf numFmtId="0" fontId="4" fillId="2" borderId="2" xfId="0" applyFont="1" applyFill="1" applyBorder="1" applyAlignment="1" applyProtection="1">
      <alignment horizontal="center" wrapText="1"/>
    </xf>
    <xf numFmtId="168" fontId="18" fillId="2" borderId="0" xfId="0" applyNumberFormat="1" applyFont="1" applyFill="1" applyAlignment="1" applyProtection="1">
      <alignment horizontal="center" vertical="top"/>
    </xf>
    <xf numFmtId="0" fontId="6" fillId="2" borderId="0" xfId="0" applyFont="1" applyFill="1" applyAlignment="1" applyProtection="1">
      <alignment horizontal="center" vertical="center"/>
    </xf>
    <xf numFmtId="0" fontId="1" fillId="2" borderId="4" xfId="0" applyFont="1" applyFill="1" applyBorder="1" applyAlignment="1" applyProtection="1">
      <alignment horizontal="right"/>
    </xf>
    <xf numFmtId="0" fontId="0" fillId="0" borderId="4" xfId="0" applyBorder="1" applyAlignment="1" applyProtection="1">
      <alignment horizontal="right"/>
    </xf>
    <xf numFmtId="0" fontId="0" fillId="2" borderId="3" xfId="0" applyFill="1" applyBorder="1" applyAlignment="1" applyProtection="1">
      <alignment horizontal="left"/>
    </xf>
    <xf numFmtId="14" fontId="0" fillId="2" borderId="5" xfId="0" applyNumberFormat="1" applyFill="1" applyBorder="1" applyAlignment="1" applyProtection="1">
      <alignment horizontal="left"/>
      <protection locked="0"/>
    </xf>
    <xf numFmtId="14" fontId="0" fillId="2" borderId="7" xfId="0" applyNumberFormat="1" applyFill="1" applyBorder="1" applyAlignment="1" applyProtection="1">
      <alignment horizontal="left"/>
      <protection locked="0"/>
    </xf>
    <xf numFmtId="14" fontId="0" fillId="2" borderId="6" xfId="0" applyNumberFormat="1" applyFill="1" applyBorder="1" applyAlignment="1" applyProtection="1">
      <alignment horizontal="left"/>
      <protection locked="0"/>
    </xf>
    <xf numFmtId="0" fontId="5" fillId="2" borderId="0" xfId="0" applyFont="1" applyFill="1" applyBorder="1" applyAlignment="1" applyProtection="1">
      <alignment horizontal="left"/>
    </xf>
    <xf numFmtId="0" fontId="5" fillId="2" borderId="0" xfId="0" applyFont="1" applyFill="1" applyAlignment="1" applyProtection="1">
      <alignment horizontal="left"/>
    </xf>
    <xf numFmtId="0" fontId="4" fillId="2" borderId="0" xfId="0" applyFont="1" applyFill="1" applyAlignment="1" applyProtection="1">
      <alignment horizontal="left"/>
    </xf>
    <xf numFmtId="0" fontId="10" fillId="2" borderId="2" xfId="1" applyFont="1" applyFill="1" applyBorder="1" applyAlignment="1" applyProtection="1">
      <alignment horizontal="center"/>
    </xf>
    <xf numFmtId="0" fontId="1" fillId="2" borderId="0" xfId="0" applyFont="1" applyFill="1" applyBorder="1" applyAlignment="1" applyProtection="1">
      <alignment horizontal="center" wrapText="1"/>
    </xf>
    <xf numFmtId="0" fontId="2" fillId="3" borderId="3" xfId="0" applyFont="1" applyFill="1" applyBorder="1" applyAlignment="1" applyProtection="1">
      <alignment horizontal="left"/>
    </xf>
    <xf numFmtId="0" fontId="0" fillId="3" borderId="3" xfId="0" applyFill="1" applyBorder="1" applyAlignment="1" applyProtection="1">
      <alignment horizontal="left"/>
    </xf>
    <xf numFmtId="165" fontId="0" fillId="3" borderId="5" xfId="0" applyNumberFormat="1" applyFill="1" applyBorder="1" applyAlignment="1" applyProtection="1">
      <alignment horizontal="left"/>
    </xf>
    <xf numFmtId="165" fontId="0" fillId="3" borderId="6" xfId="0" applyNumberFormat="1" applyFill="1" applyBorder="1" applyAlignment="1" applyProtection="1">
      <alignment horizontal="left"/>
    </xf>
    <xf numFmtId="0" fontId="2" fillId="2" borderId="8" xfId="0" applyFont="1" applyFill="1" applyBorder="1" applyAlignment="1" applyProtection="1">
      <alignment horizontal="left" vertical="top" wrapText="1"/>
    </xf>
    <xf numFmtId="0" fontId="2" fillId="2" borderId="1" xfId="0" applyFont="1" applyFill="1" applyBorder="1" applyAlignment="1" applyProtection="1">
      <alignment horizontal="left" vertical="top" wrapText="1"/>
    </xf>
    <xf numFmtId="0" fontId="2" fillId="2" borderId="9" xfId="0" applyFont="1" applyFill="1" applyBorder="1" applyAlignment="1" applyProtection="1">
      <alignment horizontal="left" vertical="top" wrapText="1"/>
    </xf>
    <xf numFmtId="0" fontId="2" fillId="2" borderId="10" xfId="0" applyFont="1" applyFill="1" applyBorder="1" applyAlignment="1" applyProtection="1">
      <alignment horizontal="left" vertical="top" wrapText="1"/>
    </xf>
    <xf numFmtId="0" fontId="2" fillId="2" borderId="0" xfId="0" applyFont="1" applyFill="1" applyBorder="1" applyAlignment="1" applyProtection="1">
      <alignment horizontal="left" vertical="top" wrapText="1"/>
    </xf>
    <xf numFmtId="0" fontId="2" fillId="2" borderId="4" xfId="0" applyFont="1" applyFill="1" applyBorder="1" applyAlignment="1" applyProtection="1">
      <alignment horizontal="left" vertical="top" wrapText="1"/>
    </xf>
    <xf numFmtId="0" fontId="2" fillId="2" borderId="11"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2" xfId="0" applyFont="1" applyFill="1" applyBorder="1" applyAlignment="1" applyProtection="1">
      <alignment horizontal="left" vertical="top" wrapText="1"/>
    </xf>
    <xf numFmtId="0" fontId="2" fillId="2" borderId="5" xfId="0" applyFont="1" applyFill="1" applyBorder="1" applyAlignment="1" applyProtection="1">
      <alignment horizontal="left"/>
    </xf>
    <xf numFmtId="0" fontId="2" fillId="2" borderId="7" xfId="0" applyFont="1" applyFill="1" applyBorder="1" applyAlignment="1" applyProtection="1">
      <alignment horizontal="left"/>
    </xf>
    <xf numFmtId="0" fontId="2" fillId="2" borderId="6" xfId="0" applyFont="1" applyFill="1" applyBorder="1" applyAlignment="1" applyProtection="1">
      <alignment horizontal="left"/>
    </xf>
    <xf numFmtId="14" fontId="0" fillId="2" borderId="5" xfId="0" applyNumberFormat="1" applyFill="1" applyBorder="1" applyAlignment="1" applyProtection="1">
      <alignment horizontal="left"/>
    </xf>
    <xf numFmtId="14" fontId="0" fillId="2" borderId="7" xfId="0" applyNumberFormat="1" applyFill="1" applyBorder="1" applyAlignment="1" applyProtection="1">
      <alignment horizontal="left"/>
    </xf>
    <xf numFmtId="14" fontId="0" fillId="2" borderId="6" xfId="0" applyNumberFormat="1" applyFill="1" applyBorder="1" applyAlignment="1" applyProtection="1">
      <alignment horizontal="left"/>
    </xf>
    <xf numFmtId="0" fontId="2" fillId="3" borderId="5" xfId="0" applyFont="1" applyFill="1" applyBorder="1" applyAlignment="1" applyProtection="1">
      <alignment horizontal="left"/>
    </xf>
    <xf numFmtId="0" fontId="2" fillId="3" borderId="6" xfId="0" applyFont="1" applyFill="1" applyBorder="1" applyAlignment="1" applyProtection="1">
      <alignment horizontal="left"/>
    </xf>
    <xf numFmtId="0" fontId="0" fillId="3" borderId="5" xfId="0" applyFill="1" applyBorder="1" applyAlignment="1" applyProtection="1">
      <alignment horizontal="left"/>
    </xf>
    <xf numFmtId="0" fontId="0" fillId="3" borderId="7" xfId="0" applyFill="1" applyBorder="1" applyAlignment="1" applyProtection="1">
      <alignment horizontal="left"/>
    </xf>
    <xf numFmtId="0" fontId="0" fillId="3" borderId="6" xfId="0" applyFill="1" applyBorder="1" applyAlignment="1" applyProtection="1">
      <alignment horizontal="left"/>
    </xf>
  </cellXfs>
  <cellStyles count="3">
    <cellStyle name="Hyperlink" xfId="1" builtinId="8"/>
    <cellStyle name="Normal" xfId="0" builtinId="0"/>
    <cellStyle name="Normal 2" xfId="2"/>
  </cellStyles>
  <dxfs count="117">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
      <font>
        <b val="0"/>
        <i/>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7692"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19604"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468797</xdr:colOff>
      <xdr:row>25</xdr:row>
      <xdr:rowOff>137224</xdr:rowOff>
    </xdr:from>
    <xdr:ext cx="6219954" cy="2287288"/>
    <xdr:sp macro="" textlink="">
      <xdr:nvSpPr>
        <xdr:cNvPr id="3" name="TextBox 2"/>
        <xdr:cNvSpPr txBox="1"/>
      </xdr:nvSpPr>
      <xdr:spPr>
        <a:xfrm rot="18900000" flipH="1">
          <a:off x="468797" y="359479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0626"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11" name="TextBox 10"/>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1650"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133350</xdr:rowOff>
    </xdr:from>
    <xdr:ext cx="6219954" cy="2287288"/>
    <xdr:sp macro="" textlink="">
      <xdr:nvSpPr>
        <xdr:cNvPr id="3" name="TextBox 2"/>
        <xdr:cNvSpPr txBox="1"/>
      </xdr:nvSpPr>
      <xdr:spPr>
        <a:xfrm rot="18900000" flipH="1">
          <a:off x="457201"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2673"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3" name="TextBox 2"/>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3697"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133350</xdr:rowOff>
    </xdr:from>
    <xdr:ext cx="6219954" cy="2287288"/>
    <xdr:sp macro="" textlink="">
      <xdr:nvSpPr>
        <xdr:cNvPr id="3" name="TextBox 2"/>
        <xdr:cNvSpPr txBox="1"/>
      </xdr:nvSpPr>
      <xdr:spPr>
        <a:xfrm rot="18900000" flipH="1">
          <a:off x="457200"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4721"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142875</xdr:rowOff>
    </xdr:from>
    <xdr:ext cx="6219954" cy="2287288"/>
    <xdr:sp macro="" textlink="">
      <xdr:nvSpPr>
        <xdr:cNvPr id="3" name="TextBox 2"/>
        <xdr:cNvSpPr txBox="1"/>
      </xdr:nvSpPr>
      <xdr:spPr>
        <a:xfrm rot="18900000" flipH="1">
          <a:off x="457200" y="3600450"/>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5745"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114300</xdr:rowOff>
    </xdr:from>
    <xdr:ext cx="6219954" cy="2287288"/>
    <xdr:sp macro="" textlink="">
      <xdr:nvSpPr>
        <xdr:cNvPr id="3" name="TextBox 2"/>
        <xdr:cNvSpPr txBox="1"/>
      </xdr:nvSpPr>
      <xdr:spPr>
        <a:xfrm rot="18900000" flipH="1">
          <a:off x="457200" y="357187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intranet.roosevelt.edu/controller/chart.ht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intranet.roosevelt.edu/controller/chart.ht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60"/>
  <sheetViews>
    <sheetView workbookViewId="0"/>
  </sheetViews>
  <sheetFormatPr defaultRowHeight="12.75" x14ac:dyDescent="0.2"/>
  <cols>
    <col min="1" max="1" width="99.42578125" style="28" customWidth="1"/>
  </cols>
  <sheetData>
    <row r="1" spans="1:1" ht="15.75" x14ac:dyDescent="0.25">
      <c r="A1" s="33" t="s">
        <v>472</v>
      </c>
    </row>
    <row r="2" spans="1:1" ht="15.75" x14ac:dyDescent="0.25">
      <c r="A2" s="33"/>
    </row>
    <row r="3" spans="1:1" x14ac:dyDescent="0.2">
      <c r="A3" s="31" t="s">
        <v>546</v>
      </c>
    </row>
    <row r="4" spans="1:1" ht="25.5" x14ac:dyDescent="0.2">
      <c r="A4" s="32" t="s">
        <v>545</v>
      </c>
    </row>
    <row r="5" spans="1:1" x14ac:dyDescent="0.2">
      <c r="A5" s="32" t="s">
        <v>468</v>
      </c>
    </row>
    <row r="6" spans="1:1" ht="25.5" x14ac:dyDescent="0.2">
      <c r="A6" s="32" t="s">
        <v>469</v>
      </c>
    </row>
    <row r="7" spans="1:1" ht="25.5" x14ac:dyDescent="0.2">
      <c r="A7" s="32" t="s">
        <v>511</v>
      </c>
    </row>
    <row r="8" spans="1:1" x14ac:dyDescent="0.2">
      <c r="A8" s="32" t="s">
        <v>470</v>
      </c>
    </row>
    <row r="10" spans="1:1" x14ac:dyDescent="0.2">
      <c r="A10" s="31" t="s">
        <v>475</v>
      </c>
    </row>
    <row r="11" spans="1:1" ht="25.5" x14ac:dyDescent="0.2">
      <c r="A11" s="32" t="s">
        <v>554</v>
      </c>
    </row>
    <row r="12" spans="1:1" ht="27" customHeight="1" x14ac:dyDescent="0.2">
      <c r="A12" s="32" t="s">
        <v>555</v>
      </c>
    </row>
    <row r="13" spans="1:1" x14ac:dyDescent="0.2">
      <c r="A13" s="32" t="s">
        <v>446</v>
      </c>
    </row>
    <row r="14" spans="1:1" x14ac:dyDescent="0.2">
      <c r="A14" s="32" t="s">
        <v>527</v>
      </c>
    </row>
    <row r="15" spans="1:1" ht="38.25" x14ac:dyDescent="0.2">
      <c r="A15" s="32" t="s">
        <v>528</v>
      </c>
    </row>
    <row r="16" spans="1:1" x14ac:dyDescent="0.2">
      <c r="A16" s="32" t="s">
        <v>529</v>
      </c>
    </row>
    <row r="17" spans="1:1" x14ac:dyDescent="0.2">
      <c r="A17" s="32" t="s">
        <v>690</v>
      </c>
    </row>
    <row r="18" spans="1:1" x14ac:dyDescent="0.2">
      <c r="A18" s="29"/>
    </row>
    <row r="19" spans="1:1" x14ac:dyDescent="0.2">
      <c r="A19" s="31" t="s">
        <v>447</v>
      </c>
    </row>
    <row r="20" spans="1:1" x14ac:dyDescent="0.2">
      <c r="A20" s="30" t="s">
        <v>448</v>
      </c>
    </row>
    <row r="21" spans="1:1" x14ac:dyDescent="0.2">
      <c r="A21" s="32" t="s">
        <v>449</v>
      </c>
    </row>
    <row r="22" spans="1:1" ht="25.5" x14ac:dyDescent="0.2">
      <c r="A22" s="32" t="s">
        <v>512</v>
      </c>
    </row>
    <row r="23" spans="1:1" ht="25.5" x14ac:dyDescent="0.2">
      <c r="A23" s="32" t="s">
        <v>524</v>
      </c>
    </row>
    <row r="24" spans="1:1" x14ac:dyDescent="0.2">
      <c r="A24" s="32" t="s">
        <v>506</v>
      </c>
    </row>
    <row r="25" spans="1:1" ht="25.5" x14ac:dyDescent="0.2">
      <c r="A25" s="32" t="s">
        <v>530</v>
      </c>
    </row>
    <row r="26" spans="1:1" x14ac:dyDescent="0.2">
      <c r="A26" s="30" t="s">
        <v>450</v>
      </c>
    </row>
    <row r="27" spans="1:1" x14ac:dyDescent="0.2">
      <c r="A27" s="32" t="s">
        <v>449</v>
      </c>
    </row>
    <row r="28" spans="1:1" x14ac:dyDescent="0.2">
      <c r="A28" s="32" t="s">
        <v>451</v>
      </c>
    </row>
    <row r="29" spans="1:1" x14ac:dyDescent="0.2">
      <c r="A29" s="32" t="s">
        <v>452</v>
      </c>
    </row>
    <row r="30" spans="1:1" x14ac:dyDescent="0.2">
      <c r="A30" s="32" t="s">
        <v>506</v>
      </c>
    </row>
    <row r="31" spans="1:1" x14ac:dyDescent="0.2">
      <c r="A31" s="30" t="s">
        <v>390</v>
      </c>
    </row>
    <row r="32" spans="1:1" x14ac:dyDescent="0.2">
      <c r="A32" s="32" t="s">
        <v>453</v>
      </c>
    </row>
    <row r="33" spans="1:1" x14ac:dyDescent="0.2">
      <c r="A33" s="32" t="s">
        <v>454</v>
      </c>
    </row>
    <row r="34" spans="1:1" x14ac:dyDescent="0.2">
      <c r="A34" s="32" t="s">
        <v>455</v>
      </c>
    </row>
    <row r="35" spans="1:1" x14ac:dyDescent="0.2">
      <c r="A35" s="30" t="s">
        <v>456</v>
      </c>
    </row>
    <row r="36" spans="1:1" x14ac:dyDescent="0.2">
      <c r="A36" s="32" t="s">
        <v>544</v>
      </c>
    </row>
    <row r="37" spans="1:1" x14ac:dyDescent="0.2">
      <c r="A37" s="32" t="s">
        <v>457</v>
      </c>
    </row>
    <row r="39" spans="1:1" x14ac:dyDescent="0.2">
      <c r="A39" s="31" t="s">
        <v>458</v>
      </c>
    </row>
    <row r="40" spans="1:1" x14ac:dyDescent="0.2">
      <c r="A40" s="30" t="s">
        <v>428</v>
      </c>
    </row>
    <row r="41" spans="1:1" x14ac:dyDescent="0.2">
      <c r="A41" s="32" t="s">
        <v>449</v>
      </c>
    </row>
    <row r="42" spans="1:1" x14ac:dyDescent="0.2">
      <c r="A42" s="32" t="s">
        <v>459</v>
      </c>
    </row>
    <row r="43" spans="1:1" x14ac:dyDescent="0.2">
      <c r="A43" s="30" t="s">
        <v>360</v>
      </c>
    </row>
    <row r="44" spans="1:1" x14ac:dyDescent="0.2">
      <c r="A44" s="32" t="s">
        <v>460</v>
      </c>
    </row>
    <row r="45" spans="1:1" x14ac:dyDescent="0.2">
      <c r="A45" s="32" t="s">
        <v>461</v>
      </c>
    </row>
    <row r="46" spans="1:1" x14ac:dyDescent="0.2">
      <c r="A46" s="32" t="s">
        <v>507</v>
      </c>
    </row>
    <row r="48" spans="1:1" x14ac:dyDescent="0.2">
      <c r="A48" s="31" t="s">
        <v>376</v>
      </c>
    </row>
    <row r="49" spans="1:1" x14ac:dyDescent="0.2">
      <c r="A49" s="32" t="s">
        <v>508</v>
      </c>
    </row>
    <row r="50" spans="1:1" x14ac:dyDescent="0.2">
      <c r="A50" s="32" t="s">
        <v>463</v>
      </c>
    </row>
    <row r="51" spans="1:1" x14ac:dyDescent="0.2">
      <c r="A51" s="32" t="s">
        <v>464</v>
      </c>
    </row>
    <row r="52" spans="1:1" x14ac:dyDescent="0.2">
      <c r="A52" s="32" t="s">
        <v>462</v>
      </c>
    </row>
    <row r="54" spans="1:1" x14ac:dyDescent="0.2">
      <c r="A54" s="31" t="s">
        <v>466</v>
      </c>
    </row>
    <row r="55" spans="1:1" x14ac:dyDescent="0.2">
      <c r="A55" s="32" t="s">
        <v>465</v>
      </c>
    </row>
    <row r="56" spans="1:1" x14ac:dyDescent="0.2">
      <c r="A56" s="32" t="s">
        <v>509</v>
      </c>
    </row>
    <row r="57" spans="1:1" x14ac:dyDescent="0.2">
      <c r="A57" s="32" t="s">
        <v>467</v>
      </c>
    </row>
    <row r="58" spans="1:1" x14ac:dyDescent="0.2">
      <c r="A58" s="32" t="s">
        <v>510</v>
      </c>
    </row>
    <row r="60" spans="1:1" x14ac:dyDescent="0.2">
      <c r="A60" s="65"/>
    </row>
  </sheetData>
  <phoneticPr fontId="0" type="noConversion"/>
  <pageMargins left="0.7" right="0.7" top="0.75" bottom="0.75" header="0.3" footer="0.3"/>
  <pageSetup scale="79" fitToWidth="0" orientation="portrait" r:id="rId1"/>
  <headerFooter>
    <oddFooter>&amp;L&amp;Z&amp;F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444"/>
  <sheetViews>
    <sheetView tabSelected="1"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46.7109375" style="2" hidden="1" customWidth="1"/>
    <col min="13" max="13" width="15.5703125" style="2" hidden="1" customWidth="1"/>
    <col min="14" max="14" width="11.85546875" style="2" hidden="1" customWidth="1"/>
    <col min="15" max="15" width="5" style="2" hidden="1" customWidth="1"/>
    <col min="16" max="16" width="41.140625" style="2" hidden="1" customWidth="1"/>
    <col min="17" max="17" width="6" style="2" hidden="1" customWidth="1"/>
    <col min="18" max="18" width="3" style="2" hidden="1" customWidth="1"/>
    <col min="19" max="19" width="9.140625" style="2" hidden="1" customWidth="1"/>
    <col min="20" max="20" width="43.42578125" style="2" hidden="1" customWidth="1"/>
    <col min="21" max="21" width="7" style="2" hidden="1" customWidth="1"/>
    <col min="22" max="22" width="3" style="2" hidden="1" customWidth="1"/>
    <col min="23" max="16384" width="9.140625" style="2"/>
  </cols>
  <sheetData>
    <row r="1" spans="1:8" ht="12.75" customHeight="1" x14ac:dyDescent="0.2">
      <c r="A1" s="5"/>
      <c r="B1" s="5"/>
      <c r="C1" s="5"/>
      <c r="D1" s="5"/>
      <c r="E1" s="5"/>
      <c r="F1" s="108" t="s">
        <v>767</v>
      </c>
      <c r="G1" s="108"/>
    </row>
    <row r="2" spans="1:8" ht="12.75" customHeight="1" x14ac:dyDescent="0.2">
      <c r="A2" s="66"/>
      <c r="B2" s="66"/>
      <c r="C2" s="66"/>
      <c r="D2" s="66"/>
      <c r="E2" s="66"/>
      <c r="F2" s="108"/>
      <c r="G2" s="108"/>
      <c r="H2" s="3"/>
    </row>
    <row r="3" spans="1:8" ht="7.5" customHeight="1" x14ac:dyDescent="0.2">
      <c r="A3" s="109" t="s">
        <v>380</v>
      </c>
      <c r="B3" s="109"/>
      <c r="C3" s="109"/>
      <c r="D3" s="109"/>
      <c r="E3" s="109"/>
      <c r="F3" s="109"/>
      <c r="G3" s="109"/>
      <c r="H3" s="3"/>
    </row>
    <row r="4" spans="1:8" ht="12.75" customHeight="1"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73"/>
      <c r="C10" s="74"/>
      <c r="D10" s="6" t="s">
        <v>18</v>
      </c>
      <c r="E10" s="16">
        <f ca="1">TODAY()</f>
        <v>41199</v>
      </c>
      <c r="F10" s="5"/>
      <c r="G10" s="5"/>
    </row>
    <row r="11" spans="1:8" x14ac:dyDescent="0.2">
      <c r="A11" s="6" t="s">
        <v>15</v>
      </c>
      <c r="B11" s="73"/>
      <c r="C11" s="74"/>
      <c r="D11" s="6" t="s">
        <v>384</v>
      </c>
      <c r="E11" s="75"/>
      <c r="F11" s="75"/>
      <c r="G11" s="7"/>
    </row>
    <row r="12" spans="1:8" x14ac:dyDescent="0.2">
      <c r="A12" s="6" t="s">
        <v>16</v>
      </c>
      <c r="B12" s="67"/>
      <c r="C12" s="22" t="s">
        <v>394</v>
      </c>
      <c r="D12" s="6" t="s">
        <v>17</v>
      </c>
      <c r="E12" s="75"/>
      <c r="F12" s="75"/>
      <c r="G12" s="75"/>
    </row>
    <row r="13" spans="1:8" x14ac:dyDescent="0.2">
      <c r="A13" s="6" t="s">
        <v>513</v>
      </c>
      <c r="B13" s="68"/>
      <c r="C13" s="22" t="s">
        <v>689</v>
      </c>
      <c r="D13" s="6" t="s">
        <v>19</v>
      </c>
      <c r="E13" s="82"/>
      <c r="F13" s="83"/>
      <c r="G13" s="84"/>
    </row>
    <row r="14" spans="1:8" x14ac:dyDescent="0.2">
      <c r="A14" s="6" t="s">
        <v>577</v>
      </c>
      <c r="B14" s="73"/>
      <c r="C14" s="74"/>
      <c r="D14" s="6" t="s">
        <v>20</v>
      </c>
      <c r="E14" s="82"/>
      <c r="F14" s="83"/>
      <c r="G14" s="84"/>
    </row>
    <row r="15" spans="1:8" x14ac:dyDescent="0.2">
      <c r="A15" s="6" t="s">
        <v>578</v>
      </c>
      <c r="B15" s="87"/>
      <c r="C15" s="75"/>
      <c r="D15" s="6" t="s">
        <v>573</v>
      </c>
      <c r="E15" s="67"/>
      <c r="F15" s="6" t="s">
        <v>575</v>
      </c>
      <c r="G15" s="62">
        <f>(E15/VLOOKUP(E13,L:O,4,FALSE))</f>
        <v>0</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17"/>
      <c r="C19" s="38"/>
      <c r="D19" s="25"/>
      <c r="E19" s="25"/>
      <c r="F19" s="79"/>
      <c r="G19" s="81"/>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17"/>
      <c r="C23" s="38"/>
      <c r="D23" s="25"/>
      <c r="E23" s="88"/>
      <c r="F23" s="88"/>
      <c r="G23" s="88"/>
    </row>
    <row r="24" spans="1:7" x14ac:dyDescent="0.2">
      <c r="A24" s="78"/>
      <c r="B24" s="9" t="s">
        <v>362</v>
      </c>
      <c r="C24" s="9" t="s">
        <v>363</v>
      </c>
      <c r="D24" s="9" t="s">
        <v>364</v>
      </c>
      <c r="E24" s="9" t="s">
        <v>393</v>
      </c>
      <c r="F24" s="9"/>
      <c r="G24" s="5"/>
    </row>
    <row r="25" spans="1:7" x14ac:dyDescent="0.2">
      <c r="A25" s="36"/>
      <c r="B25" s="79"/>
      <c r="C25" s="81"/>
      <c r="D25" s="79"/>
      <c r="E25" s="81"/>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25"/>
      <c r="C28" s="40"/>
      <c r="D28" s="79"/>
      <c r="E28" s="80"/>
      <c r="F28" s="80"/>
      <c r="G28" s="81"/>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25"/>
      <c r="C31" s="113"/>
      <c r="D31" s="114"/>
      <c r="E31" s="115"/>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17"/>
      <c r="C36" s="38"/>
      <c r="D36" s="17"/>
      <c r="E36" s="38"/>
      <c r="F36" s="25"/>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17"/>
      <c r="C39" s="25"/>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69"/>
      <c r="C46" s="70"/>
      <c r="D46" s="70"/>
      <c r="E46" s="71" t="str">
        <f>IF(OR(B46="110000",B46=0),VLOOKUP(C46,Q:R,2,FALSE),IF(COUNTIF(U:U,B46)&gt;0,VLOOKUP(B46,U:V,2,FALSE),VLOOKUP(C46,Q:R,2,FALSE)))</f>
        <v/>
      </c>
      <c r="F46" s="72"/>
      <c r="G46" s="27" t="e">
        <f>VLOOKUP($D46,$L$165:$M$176,2,FALSE)</f>
        <v>#N/A</v>
      </c>
    </row>
    <row r="47" spans="1:7" x14ac:dyDescent="0.2">
      <c r="A47" s="120"/>
      <c r="B47" s="69"/>
      <c r="C47" s="70"/>
      <c r="D47" s="70"/>
      <c r="E47" s="71" t="str">
        <f>IF(OR(B47="110000",B47=0),VLOOKUP(C47,Q:R,2,FALSE),IF(COUNTIF(U:U,B47)&gt;0,VLOOKUP(B47,U:V,2,FALSE),VLOOKUP(C47,Q:R,2,FALSE)))</f>
        <v/>
      </c>
      <c r="F47" s="72"/>
      <c r="G47" s="27" t="e">
        <f>VLOOKUP($D47,$L$165:$M$176,2,FALSE)</f>
        <v>#N/A</v>
      </c>
    </row>
    <row r="48" spans="1:7" x14ac:dyDescent="0.2">
      <c r="A48" s="120"/>
      <c r="B48" s="69"/>
      <c r="C48" s="70"/>
      <c r="D48" s="70"/>
      <c r="E48" s="71" t="str">
        <f>IF(OR(B48="110000",B48=0),VLOOKUP(C48,Q:R,2,FALSE),IF(COUNTIF(U:U,B48)&gt;0,VLOOKUP(B48,U:V,2,FALSE),VLOOKUP(C48,Q:R,2,FALSE)))</f>
        <v/>
      </c>
      <c r="F48" s="72"/>
      <c r="G48" s="27" t="e">
        <f>VLOOKUP($D48,$L$165:$M$176,2,FALSE)</f>
        <v>#N/A</v>
      </c>
    </row>
    <row r="49" spans="1:7" x14ac:dyDescent="0.2">
      <c r="A49" s="120"/>
      <c r="B49" s="70"/>
      <c r="C49" s="70"/>
      <c r="D49" s="70"/>
      <c r="E49" s="71" t="str">
        <f>IF(OR(B49="110000",B49=0),VLOOKUP(C49,Q:R,2,FALSE),IF(COUNTIF(U:U,B49)&gt;0,VLOOKUP(B49,U:V,2,FALSE),VLOOKUP(C49,Q:R,2,FALSE)))</f>
        <v/>
      </c>
      <c r="F49" s="72"/>
      <c r="G49" s="27" t="e">
        <f>VLOOKUP($D49,$L$165:$M$176,2,FALSE)</f>
        <v>#N/A</v>
      </c>
    </row>
    <row r="50" spans="1:7" x14ac:dyDescent="0.2">
      <c r="A50" s="5"/>
      <c r="B50" s="14"/>
      <c r="C50" s="14"/>
      <c r="D50" s="14"/>
      <c r="E50" s="18" t="s">
        <v>372</v>
      </c>
      <c r="F50" s="19">
        <f>SUM(F46:F49)</f>
        <v>0</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87"/>
      <c r="C53" s="75"/>
      <c r="D53" s="6" t="s">
        <v>374</v>
      </c>
      <c r="E53" s="104"/>
      <c r="F53" s="105"/>
      <c r="G53" s="5"/>
    </row>
    <row r="54" spans="1:7" x14ac:dyDescent="0.2">
      <c r="A54" s="5"/>
      <c r="B54" s="106" t="s">
        <v>474</v>
      </c>
      <c r="C54" s="106"/>
      <c r="D54" s="6" t="s">
        <v>375</v>
      </c>
      <c r="E54" s="75"/>
      <c r="F54" s="75"/>
      <c r="G54" s="5"/>
    </row>
    <row r="55" spans="1:7" x14ac:dyDescent="0.2">
      <c r="A55" s="5"/>
      <c r="B55" s="107"/>
      <c r="C55" s="107"/>
      <c r="D55" s="5"/>
      <c r="E55" s="5"/>
      <c r="F55" s="5"/>
      <c r="G55" s="5"/>
    </row>
    <row r="56" spans="1:7" x14ac:dyDescent="0.2">
      <c r="A56" s="6" t="s">
        <v>0</v>
      </c>
      <c r="B56" s="89"/>
      <c r="C56" s="90"/>
      <c r="D56" s="90"/>
      <c r="E56" s="90"/>
      <c r="F56" s="90"/>
      <c r="G56" s="91"/>
    </row>
    <row r="57" spans="1:7" x14ac:dyDescent="0.2">
      <c r="A57" s="5"/>
      <c r="B57" s="92"/>
      <c r="C57" s="93"/>
      <c r="D57" s="93"/>
      <c r="E57" s="93"/>
      <c r="F57" s="93"/>
      <c r="G57" s="94"/>
    </row>
    <row r="58" spans="1:7" x14ac:dyDescent="0.2">
      <c r="A58" s="5"/>
      <c r="B58" s="92"/>
      <c r="C58" s="93"/>
      <c r="D58" s="93"/>
      <c r="E58" s="93"/>
      <c r="F58" s="93"/>
      <c r="G58" s="94"/>
    </row>
    <row r="59" spans="1:7" x14ac:dyDescent="0.2">
      <c r="A59" s="5"/>
      <c r="B59" s="95"/>
      <c r="C59" s="96"/>
      <c r="D59" s="96"/>
      <c r="E59" s="96"/>
      <c r="F59" s="96"/>
      <c r="G59" s="97"/>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87"/>
      <c r="C63" s="75"/>
      <c r="D63" s="87"/>
      <c r="E63" s="75"/>
      <c r="F63" s="87"/>
      <c r="G63" s="75"/>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51" t="s">
        <v>403</v>
      </c>
      <c r="D71" s="52" t="s">
        <v>407</v>
      </c>
      <c r="E71" s="9" t="s">
        <v>402</v>
      </c>
      <c r="F71" s="9" t="s">
        <v>402</v>
      </c>
      <c r="G71" s="9"/>
    </row>
    <row r="72" spans="1:7" x14ac:dyDescent="0.2">
      <c r="A72" s="5"/>
      <c r="B72" s="24" t="s">
        <v>399</v>
      </c>
      <c r="C72" s="24" t="s">
        <v>404</v>
      </c>
      <c r="D72" s="24" t="s">
        <v>408</v>
      </c>
      <c r="E72" s="24" t="s">
        <v>400</v>
      </c>
      <c r="F72" s="24" t="s">
        <v>405</v>
      </c>
      <c r="G72" s="23"/>
    </row>
    <row r="73" spans="1:7" x14ac:dyDescent="0.2">
      <c r="A73" s="41"/>
      <c r="B73" s="41"/>
      <c r="C73" s="41"/>
      <c r="D73" s="41"/>
      <c r="E73" s="41"/>
      <c r="F73" s="41"/>
      <c r="G73" s="41"/>
    </row>
    <row r="86" spans="3:22" x14ac:dyDescent="0.2">
      <c r="C86" s="63"/>
    </row>
    <row r="89" spans="3:22" x14ac:dyDescent="0.2">
      <c r="C89" s="63"/>
    </row>
    <row r="90" spans="3:22" x14ac:dyDescent="0.2">
      <c r="L90" s="2">
        <v>0</v>
      </c>
      <c r="N90" s="49" t="s">
        <v>553</v>
      </c>
      <c r="O90" s="2">
        <v>37.5</v>
      </c>
      <c r="Q90" s="2">
        <v>0</v>
      </c>
      <c r="R90" s="49" t="s">
        <v>553</v>
      </c>
      <c r="U90" s="2">
        <v>0</v>
      </c>
      <c r="V90" s="49" t="s">
        <v>553</v>
      </c>
    </row>
    <row r="91" spans="3:22" x14ac:dyDescent="0.2">
      <c r="L91" s="2" t="s">
        <v>4</v>
      </c>
      <c r="M91" s="1" t="s">
        <v>12</v>
      </c>
      <c r="N91" s="49" t="s">
        <v>553</v>
      </c>
      <c r="O91" s="1">
        <v>37.5</v>
      </c>
      <c r="P91" t="s">
        <v>25</v>
      </c>
      <c r="Q91">
        <v>11110</v>
      </c>
      <c r="R91">
        <v>61</v>
      </c>
      <c r="T91" s="2" t="s">
        <v>592</v>
      </c>
      <c r="U91" s="2">
        <v>241001</v>
      </c>
      <c r="V91" s="2">
        <v>11</v>
      </c>
    </row>
    <row r="92" spans="3:22" x14ac:dyDescent="0.2">
      <c r="L92" s="2" t="s">
        <v>6</v>
      </c>
      <c r="M92" s="1" t="s">
        <v>361</v>
      </c>
      <c r="N92" s="1" t="s">
        <v>573</v>
      </c>
      <c r="O92" s="1">
        <v>37.5</v>
      </c>
      <c r="P92" t="s">
        <v>26</v>
      </c>
      <c r="Q92">
        <v>11120</v>
      </c>
      <c r="R92">
        <v>61</v>
      </c>
      <c r="T92" s="2" t="s">
        <v>593</v>
      </c>
      <c r="U92" s="2">
        <v>241002</v>
      </c>
      <c r="V92" s="2">
        <v>11</v>
      </c>
    </row>
    <row r="93" spans="3:22" x14ac:dyDescent="0.2">
      <c r="L93" s="2" t="s">
        <v>5</v>
      </c>
      <c r="M93" s="1" t="s">
        <v>12</v>
      </c>
      <c r="N93" s="1" t="s">
        <v>573</v>
      </c>
      <c r="O93" s="1">
        <v>37.5</v>
      </c>
      <c r="P93" t="s">
        <v>27</v>
      </c>
      <c r="Q93">
        <v>11130</v>
      </c>
      <c r="R93">
        <v>61</v>
      </c>
      <c r="T93" s="2" t="s">
        <v>701</v>
      </c>
      <c r="U93" s="2">
        <v>241003</v>
      </c>
      <c r="V93" s="2">
        <v>11</v>
      </c>
    </row>
    <row r="94" spans="3:22" x14ac:dyDescent="0.2">
      <c r="L94" s="2" t="s">
        <v>7</v>
      </c>
      <c r="M94" s="1" t="s">
        <v>361</v>
      </c>
      <c r="N94" s="49" t="s">
        <v>553</v>
      </c>
      <c r="O94" s="1">
        <v>37.5</v>
      </c>
      <c r="P94" t="s">
        <v>559</v>
      </c>
      <c r="Q94">
        <v>11140</v>
      </c>
      <c r="R94">
        <v>61</v>
      </c>
      <c r="T94" s="2" t="s">
        <v>741</v>
      </c>
      <c r="U94" s="2">
        <v>241004</v>
      </c>
      <c r="V94" s="2">
        <v>11</v>
      </c>
    </row>
    <row r="95" spans="3:22" x14ac:dyDescent="0.2">
      <c r="L95" s="2" t="s">
        <v>8</v>
      </c>
      <c r="M95" s="1" t="s">
        <v>361</v>
      </c>
      <c r="N95" s="49" t="s">
        <v>553</v>
      </c>
      <c r="O95" s="1">
        <v>35</v>
      </c>
      <c r="P95" t="s">
        <v>28</v>
      </c>
      <c r="Q95">
        <v>11210</v>
      </c>
      <c r="R95">
        <v>61</v>
      </c>
      <c r="T95" s="2" t="s">
        <v>594</v>
      </c>
      <c r="U95" s="2">
        <v>241005</v>
      </c>
      <c r="V95" s="2">
        <v>11</v>
      </c>
    </row>
    <row r="96" spans="3:22" x14ac:dyDescent="0.2">
      <c r="L96" s="1" t="s">
        <v>377</v>
      </c>
      <c r="M96" s="1" t="s">
        <v>361</v>
      </c>
      <c r="N96" s="1" t="s">
        <v>573</v>
      </c>
      <c r="O96" s="1">
        <v>35</v>
      </c>
      <c r="P96" t="s">
        <v>29</v>
      </c>
      <c r="Q96">
        <v>12110</v>
      </c>
      <c r="R96">
        <v>61</v>
      </c>
      <c r="T96" s="2" t="s">
        <v>595</v>
      </c>
      <c r="U96" s="2">
        <v>241011</v>
      </c>
      <c r="V96" s="2">
        <v>11</v>
      </c>
    </row>
    <row r="97" spans="12:22" x14ac:dyDescent="0.2">
      <c r="L97" s="2" t="s">
        <v>9</v>
      </c>
      <c r="M97" s="1" t="s">
        <v>12</v>
      </c>
      <c r="N97" s="49" t="s">
        <v>553</v>
      </c>
      <c r="O97" s="1">
        <v>37.5</v>
      </c>
      <c r="P97" t="s">
        <v>30</v>
      </c>
      <c r="Q97">
        <v>12120</v>
      </c>
      <c r="R97">
        <v>61</v>
      </c>
      <c r="T97" s="2" t="s">
        <v>596</v>
      </c>
      <c r="U97" s="2">
        <v>241012</v>
      </c>
      <c r="V97" s="2">
        <v>11</v>
      </c>
    </row>
    <row r="98" spans="12:22" x14ac:dyDescent="0.2">
      <c r="L98" s="1" t="s">
        <v>378</v>
      </c>
      <c r="M98" s="1" t="s">
        <v>12</v>
      </c>
      <c r="N98" s="49" t="s">
        <v>553</v>
      </c>
      <c r="O98" s="1">
        <v>37.5</v>
      </c>
      <c r="P98" t="s">
        <v>31</v>
      </c>
      <c r="Q98">
        <v>21110</v>
      </c>
      <c r="R98">
        <v>61</v>
      </c>
      <c r="T98" s="2" t="s">
        <v>702</v>
      </c>
      <c r="U98" s="2">
        <v>241013</v>
      </c>
      <c r="V98" s="2">
        <v>11</v>
      </c>
    </row>
    <row r="99" spans="12:22" x14ac:dyDescent="0.2">
      <c r="L99" s="2" t="s">
        <v>353</v>
      </c>
      <c r="M99" s="1" t="s">
        <v>11</v>
      </c>
      <c r="N99" s="1" t="s">
        <v>573</v>
      </c>
      <c r="O99" s="1">
        <v>40</v>
      </c>
      <c r="P99" t="s">
        <v>32</v>
      </c>
      <c r="Q99">
        <v>21120</v>
      </c>
      <c r="R99">
        <v>61</v>
      </c>
      <c r="T99" s="2" t="s">
        <v>742</v>
      </c>
      <c r="U99" s="2">
        <v>241014</v>
      </c>
      <c r="V99" s="2">
        <v>11</v>
      </c>
    </row>
    <row r="100" spans="12:22" x14ac:dyDescent="0.2">
      <c r="L100" s="2" t="s">
        <v>354</v>
      </c>
      <c r="M100" s="1" t="s">
        <v>11</v>
      </c>
      <c r="N100" s="1" t="s">
        <v>573</v>
      </c>
      <c r="O100" s="1">
        <v>40</v>
      </c>
      <c r="P100" t="s">
        <v>33</v>
      </c>
      <c r="Q100">
        <v>21130</v>
      </c>
      <c r="R100">
        <v>61</v>
      </c>
      <c r="T100" s="2" t="s">
        <v>597</v>
      </c>
      <c r="U100" s="2">
        <v>241015</v>
      </c>
      <c r="V100" s="2">
        <v>11</v>
      </c>
    </row>
    <row r="101" spans="12:22" x14ac:dyDescent="0.2">
      <c r="L101" s="2" t="s">
        <v>355</v>
      </c>
      <c r="M101" s="1" t="s">
        <v>11</v>
      </c>
      <c r="N101" s="1" t="s">
        <v>573</v>
      </c>
      <c r="O101" s="1">
        <v>40</v>
      </c>
      <c r="P101" t="s">
        <v>34</v>
      </c>
      <c r="Q101">
        <v>21140</v>
      </c>
      <c r="R101">
        <v>61</v>
      </c>
      <c r="T101" s="2" t="s">
        <v>598</v>
      </c>
      <c r="U101" s="2">
        <v>241020</v>
      </c>
      <c r="V101" s="2">
        <v>11</v>
      </c>
    </row>
    <row r="102" spans="12:22" x14ac:dyDescent="0.2">
      <c r="L102" s="2" t="s">
        <v>356</v>
      </c>
      <c r="M102" s="1" t="s">
        <v>11</v>
      </c>
      <c r="N102" s="1" t="s">
        <v>573</v>
      </c>
      <c r="O102" s="1">
        <v>40</v>
      </c>
      <c r="P102" t="s">
        <v>35</v>
      </c>
      <c r="Q102">
        <v>21210</v>
      </c>
      <c r="R102">
        <v>41</v>
      </c>
      <c r="T102" s="2" t="s">
        <v>599</v>
      </c>
      <c r="U102" s="2">
        <v>241021</v>
      </c>
      <c r="V102" s="2">
        <v>11</v>
      </c>
    </row>
    <row r="103" spans="12:22" x14ac:dyDescent="0.2">
      <c r="L103" s="2" t="s">
        <v>357</v>
      </c>
      <c r="M103" s="1" t="s">
        <v>11</v>
      </c>
      <c r="N103" s="1" t="s">
        <v>573</v>
      </c>
      <c r="O103" s="1">
        <v>40</v>
      </c>
      <c r="P103" t="s">
        <v>36</v>
      </c>
      <c r="Q103">
        <v>21220</v>
      </c>
      <c r="R103">
        <v>61</v>
      </c>
      <c r="T103" s="2" t="s">
        <v>703</v>
      </c>
      <c r="U103" s="2">
        <v>241022</v>
      </c>
      <c r="V103" s="2">
        <v>11</v>
      </c>
    </row>
    <row r="104" spans="12:22" x14ac:dyDescent="0.2">
      <c r="L104" s="2" t="s">
        <v>358</v>
      </c>
      <c r="M104" s="1" t="s">
        <v>11</v>
      </c>
      <c r="N104" s="1" t="s">
        <v>573</v>
      </c>
      <c r="O104" s="1">
        <v>40</v>
      </c>
      <c r="P104" t="s">
        <v>37</v>
      </c>
      <c r="Q104">
        <v>21230</v>
      </c>
      <c r="R104">
        <v>41</v>
      </c>
      <c r="T104" s="2" t="s">
        <v>743</v>
      </c>
      <c r="U104" s="2">
        <v>241023</v>
      </c>
      <c r="V104" s="2">
        <v>11</v>
      </c>
    </row>
    <row r="105" spans="12:22" x14ac:dyDescent="0.2">
      <c r="L105" s="1" t="s">
        <v>411</v>
      </c>
      <c r="M105" s="1" t="s">
        <v>11</v>
      </c>
      <c r="N105" s="1" t="s">
        <v>573</v>
      </c>
      <c r="O105" s="1">
        <v>37.5</v>
      </c>
      <c r="P105" t="s">
        <v>38</v>
      </c>
      <c r="Q105">
        <v>21310</v>
      </c>
      <c r="R105">
        <v>61</v>
      </c>
      <c r="T105" s="2" t="s">
        <v>600</v>
      </c>
      <c r="U105" s="2">
        <v>241024</v>
      </c>
      <c r="V105" s="2">
        <v>11</v>
      </c>
    </row>
    <row r="106" spans="12:22" x14ac:dyDescent="0.2">
      <c r="L106" s="1" t="s">
        <v>433</v>
      </c>
      <c r="M106" s="1" t="s">
        <v>11</v>
      </c>
      <c r="N106" s="1" t="s">
        <v>573</v>
      </c>
      <c r="O106" s="1">
        <v>37.5</v>
      </c>
      <c r="P106" t="s">
        <v>39</v>
      </c>
      <c r="Q106">
        <v>21410</v>
      </c>
      <c r="R106">
        <v>41</v>
      </c>
      <c r="T106" s="2" t="s">
        <v>601</v>
      </c>
      <c r="U106" s="2">
        <v>241043</v>
      </c>
      <c r="V106" s="2">
        <v>11</v>
      </c>
    </row>
    <row r="107" spans="12:22" x14ac:dyDescent="0.2">
      <c r="L107" s="1" t="s">
        <v>410</v>
      </c>
      <c r="M107" s="1" t="s">
        <v>361</v>
      </c>
      <c r="N107" s="1" t="s">
        <v>573</v>
      </c>
      <c r="O107" s="1">
        <v>37.5</v>
      </c>
      <c r="P107" t="s">
        <v>40</v>
      </c>
      <c r="Q107">
        <v>21420</v>
      </c>
      <c r="R107">
        <v>41</v>
      </c>
      <c r="T107" s="2" t="s">
        <v>602</v>
      </c>
      <c r="U107" s="2">
        <v>241050</v>
      </c>
      <c r="V107" s="2">
        <v>11</v>
      </c>
    </row>
    <row r="108" spans="12:22" x14ac:dyDescent="0.2">
      <c r="L108" s="2" t="s">
        <v>352</v>
      </c>
      <c r="M108" s="1" t="s">
        <v>11</v>
      </c>
      <c r="N108" s="1" t="s">
        <v>573</v>
      </c>
      <c r="O108" s="1">
        <v>37.5</v>
      </c>
      <c r="P108" t="s">
        <v>41</v>
      </c>
      <c r="Q108">
        <v>21430</v>
      </c>
      <c r="R108">
        <v>11</v>
      </c>
      <c r="T108" s="2" t="s">
        <v>603</v>
      </c>
      <c r="U108" s="2">
        <v>241051</v>
      </c>
      <c r="V108" s="2">
        <v>11</v>
      </c>
    </row>
    <row r="109" spans="12:22" x14ac:dyDescent="0.2">
      <c r="L109" s="2" t="s">
        <v>359</v>
      </c>
      <c r="M109" s="1" t="s">
        <v>11</v>
      </c>
      <c r="N109" s="49" t="s">
        <v>553</v>
      </c>
      <c r="O109" s="1">
        <v>37.5</v>
      </c>
      <c r="P109" t="s">
        <v>42</v>
      </c>
      <c r="Q109">
        <v>21510</v>
      </c>
      <c r="R109">
        <v>41</v>
      </c>
      <c r="T109" s="2" t="s">
        <v>704</v>
      </c>
      <c r="U109" s="2">
        <v>241052</v>
      </c>
      <c r="V109" s="2">
        <v>11</v>
      </c>
    </row>
    <row r="110" spans="12:22" x14ac:dyDescent="0.2">
      <c r="P110" t="s">
        <v>43</v>
      </c>
      <c r="Q110">
        <v>21520</v>
      </c>
      <c r="R110">
        <v>41</v>
      </c>
      <c r="T110" s="2" t="s">
        <v>744</v>
      </c>
      <c r="U110" s="2">
        <v>241053</v>
      </c>
      <c r="V110" s="2">
        <v>11</v>
      </c>
    </row>
    <row r="111" spans="12:22" x14ac:dyDescent="0.2">
      <c r="P111" t="s">
        <v>44</v>
      </c>
      <c r="Q111">
        <v>21530</v>
      </c>
      <c r="R111">
        <v>61</v>
      </c>
      <c r="T111" s="2" t="s">
        <v>604</v>
      </c>
      <c r="U111" s="2">
        <v>241054</v>
      </c>
      <c r="V111" s="2">
        <v>11</v>
      </c>
    </row>
    <row r="112" spans="12:22" x14ac:dyDescent="0.2">
      <c r="P112" t="s">
        <v>45</v>
      </c>
      <c r="Q112">
        <v>21540</v>
      </c>
      <c r="R112">
        <v>41</v>
      </c>
      <c r="T112" s="2" t="s">
        <v>605</v>
      </c>
      <c r="U112" s="2">
        <v>241060</v>
      </c>
      <c r="V112" s="2">
        <v>11</v>
      </c>
    </row>
    <row r="113" spans="12:22" x14ac:dyDescent="0.2">
      <c r="P113" t="s">
        <v>46</v>
      </c>
      <c r="Q113">
        <v>21550</v>
      </c>
      <c r="R113">
        <v>41</v>
      </c>
      <c r="T113" s="2" t="s">
        <v>705</v>
      </c>
      <c r="U113" s="2">
        <v>241061</v>
      </c>
      <c r="V113" s="2">
        <v>11</v>
      </c>
    </row>
    <row r="114" spans="12:22" x14ac:dyDescent="0.2">
      <c r="L114" s="2" t="s">
        <v>22</v>
      </c>
      <c r="P114" t="s">
        <v>47</v>
      </c>
      <c r="Q114">
        <v>21560</v>
      </c>
      <c r="R114">
        <v>41</v>
      </c>
      <c r="T114" s="2" t="s">
        <v>745</v>
      </c>
      <c r="U114" s="2">
        <v>241062</v>
      </c>
      <c r="V114" s="2">
        <v>11</v>
      </c>
    </row>
    <row r="115" spans="12:22" x14ac:dyDescent="0.2">
      <c r="L115" s="2" t="s">
        <v>21</v>
      </c>
      <c r="P115" t="s">
        <v>547</v>
      </c>
      <c r="Q115">
        <v>21570</v>
      </c>
      <c r="R115">
        <v>41</v>
      </c>
      <c r="T115" s="2" t="s">
        <v>606</v>
      </c>
      <c r="U115" s="2">
        <v>241064</v>
      </c>
      <c r="V115" s="2">
        <v>11</v>
      </c>
    </row>
    <row r="116" spans="12:22" x14ac:dyDescent="0.2">
      <c r="L116" s="2" t="s">
        <v>729</v>
      </c>
      <c r="P116" t="s">
        <v>730</v>
      </c>
      <c r="Q116">
        <v>21580</v>
      </c>
      <c r="R116">
        <v>41</v>
      </c>
      <c r="T116" s="2" t="s">
        <v>607</v>
      </c>
      <c r="U116" s="2">
        <v>241065</v>
      </c>
      <c r="V116" s="2">
        <v>11</v>
      </c>
    </row>
    <row r="117" spans="12:22" x14ac:dyDescent="0.2">
      <c r="L117" s="2" t="s">
        <v>23</v>
      </c>
      <c r="P117" t="s">
        <v>691</v>
      </c>
      <c r="Q117">
        <v>21610</v>
      </c>
      <c r="R117">
        <v>51</v>
      </c>
      <c r="T117" s="2" t="s">
        <v>608</v>
      </c>
      <c r="U117" s="2">
        <v>241066</v>
      </c>
      <c r="V117" s="2">
        <v>11</v>
      </c>
    </row>
    <row r="118" spans="12:22" x14ac:dyDescent="0.2">
      <c r="L118" s="2" t="s">
        <v>385</v>
      </c>
      <c r="P118" t="s">
        <v>731</v>
      </c>
      <c r="Q118">
        <v>21620</v>
      </c>
      <c r="R118">
        <v>41</v>
      </c>
      <c r="T118" s="2" t="s">
        <v>706</v>
      </c>
      <c r="U118" s="2">
        <v>241067</v>
      </c>
      <c r="V118" s="2">
        <v>11</v>
      </c>
    </row>
    <row r="119" spans="12:22" x14ac:dyDescent="0.2">
      <c r="P119" t="s">
        <v>732</v>
      </c>
      <c r="Q119">
        <v>21630</v>
      </c>
      <c r="R119">
        <v>11</v>
      </c>
      <c r="T119" s="2" t="s">
        <v>746</v>
      </c>
      <c r="U119" s="2">
        <v>241068</v>
      </c>
      <c r="V119" s="2">
        <v>11</v>
      </c>
    </row>
    <row r="120" spans="12:22" x14ac:dyDescent="0.2">
      <c r="P120" t="s">
        <v>692</v>
      </c>
      <c r="Q120">
        <v>21710</v>
      </c>
      <c r="R120">
        <v>51</v>
      </c>
      <c r="T120" s="2" t="s">
        <v>609</v>
      </c>
      <c r="U120" s="2">
        <v>241070</v>
      </c>
      <c r="V120" s="2">
        <v>11</v>
      </c>
    </row>
    <row r="121" spans="12:22" x14ac:dyDescent="0.2">
      <c r="P121" t="s">
        <v>693</v>
      </c>
      <c r="Q121">
        <v>21720</v>
      </c>
      <c r="R121">
        <v>51</v>
      </c>
      <c r="T121" s="2" t="s">
        <v>610</v>
      </c>
      <c r="U121" s="2">
        <v>241071</v>
      </c>
      <c r="V121" s="2">
        <v>11</v>
      </c>
    </row>
    <row r="122" spans="12:22" x14ac:dyDescent="0.2">
      <c r="L122" s="1" t="s">
        <v>429</v>
      </c>
      <c r="P122" t="s">
        <v>694</v>
      </c>
      <c r="Q122">
        <v>21730</v>
      </c>
      <c r="R122">
        <v>51</v>
      </c>
      <c r="T122" s="2" t="s">
        <v>611</v>
      </c>
      <c r="U122" s="2">
        <v>241072</v>
      </c>
      <c r="V122" s="2">
        <v>11</v>
      </c>
    </row>
    <row r="123" spans="12:22" x14ac:dyDescent="0.2">
      <c r="L123" s="1" t="s">
        <v>430</v>
      </c>
      <c r="P123" t="s">
        <v>695</v>
      </c>
      <c r="Q123">
        <v>21740</v>
      </c>
      <c r="R123">
        <v>51</v>
      </c>
      <c r="T123" s="2" t="s">
        <v>707</v>
      </c>
      <c r="U123" s="2">
        <v>241073</v>
      </c>
      <c r="V123" s="2">
        <v>11</v>
      </c>
    </row>
    <row r="124" spans="12:22" x14ac:dyDescent="0.2">
      <c r="L124" s="2" t="s">
        <v>386</v>
      </c>
      <c r="P124" t="s">
        <v>48</v>
      </c>
      <c r="Q124">
        <v>22110</v>
      </c>
      <c r="R124">
        <v>41</v>
      </c>
      <c r="T124" s="2" t="s">
        <v>747</v>
      </c>
      <c r="U124" s="2">
        <v>241074</v>
      </c>
      <c r="V124" s="2">
        <v>11</v>
      </c>
    </row>
    <row r="125" spans="12:22" x14ac:dyDescent="0.2">
      <c r="L125" s="21" t="s">
        <v>390</v>
      </c>
      <c r="P125" t="s">
        <v>733</v>
      </c>
      <c r="Q125">
        <v>22115</v>
      </c>
      <c r="R125">
        <v>41</v>
      </c>
      <c r="T125" s="2" t="s">
        <v>612</v>
      </c>
      <c r="U125" s="2">
        <v>241085</v>
      </c>
      <c r="V125" s="2">
        <v>11</v>
      </c>
    </row>
    <row r="126" spans="12:22" x14ac:dyDescent="0.2">
      <c r="L126" s="1" t="s">
        <v>427</v>
      </c>
      <c r="P126" t="s">
        <v>49</v>
      </c>
      <c r="Q126">
        <v>22120</v>
      </c>
      <c r="R126">
        <v>11</v>
      </c>
      <c r="T126" s="2" t="s">
        <v>748</v>
      </c>
      <c r="U126" s="2">
        <v>241090</v>
      </c>
      <c r="V126" s="2">
        <v>31</v>
      </c>
    </row>
    <row r="127" spans="12:22" x14ac:dyDescent="0.2">
      <c r="L127" s="1" t="s">
        <v>426</v>
      </c>
      <c r="P127" t="s">
        <v>50</v>
      </c>
      <c r="Q127">
        <v>22130</v>
      </c>
      <c r="R127">
        <v>31</v>
      </c>
      <c r="T127" s="2" t="s">
        <v>613</v>
      </c>
      <c r="U127" s="2">
        <v>241091</v>
      </c>
      <c r="V127" s="2">
        <v>11</v>
      </c>
    </row>
    <row r="128" spans="12:22" x14ac:dyDescent="0.2">
      <c r="L128" s="1" t="s">
        <v>428</v>
      </c>
      <c r="P128" t="s">
        <v>51</v>
      </c>
      <c r="Q128">
        <v>22140</v>
      </c>
      <c r="R128">
        <v>31</v>
      </c>
      <c r="T128" s="2" t="s">
        <v>708</v>
      </c>
      <c r="U128" s="2">
        <v>241092</v>
      </c>
      <c r="V128" s="2">
        <v>31</v>
      </c>
    </row>
    <row r="129" spans="12:22" x14ac:dyDescent="0.2">
      <c r="L129" s="2" t="s">
        <v>360</v>
      </c>
      <c r="P129" t="s">
        <v>52</v>
      </c>
      <c r="Q129">
        <v>22150</v>
      </c>
      <c r="R129">
        <v>21</v>
      </c>
      <c r="T129" s="2" t="s">
        <v>614</v>
      </c>
      <c r="U129" s="2">
        <v>241093</v>
      </c>
      <c r="V129" s="2">
        <v>11</v>
      </c>
    </row>
    <row r="130" spans="12:22" x14ac:dyDescent="0.2">
      <c r="L130" s="21" t="s">
        <v>576</v>
      </c>
      <c r="P130" t="s">
        <v>53</v>
      </c>
      <c r="Q130">
        <v>22160</v>
      </c>
      <c r="R130">
        <v>21</v>
      </c>
      <c r="T130" s="2" t="s">
        <v>749</v>
      </c>
      <c r="U130" s="2">
        <v>241113</v>
      </c>
      <c r="V130" s="2">
        <v>11</v>
      </c>
    </row>
    <row r="131" spans="12:22" x14ac:dyDescent="0.2">
      <c r="L131" s="1" t="s">
        <v>432</v>
      </c>
      <c r="P131" t="s">
        <v>54</v>
      </c>
      <c r="Q131">
        <v>22170</v>
      </c>
      <c r="R131">
        <v>31</v>
      </c>
      <c r="T131" s="2" t="s">
        <v>615</v>
      </c>
      <c r="U131" s="2">
        <v>251000</v>
      </c>
      <c r="V131" s="2">
        <v>51</v>
      </c>
    </row>
    <row r="132" spans="12:22" x14ac:dyDescent="0.2">
      <c r="P132" t="s">
        <v>560</v>
      </c>
      <c r="Q132">
        <v>22180</v>
      </c>
      <c r="R132">
        <v>11</v>
      </c>
      <c r="T132" s="2" t="s">
        <v>616</v>
      </c>
      <c r="U132" s="2">
        <v>251001</v>
      </c>
      <c r="V132" s="2">
        <v>51</v>
      </c>
    </row>
    <row r="133" spans="12:22" x14ac:dyDescent="0.2">
      <c r="P133" t="s">
        <v>56</v>
      </c>
      <c r="Q133">
        <v>22190</v>
      </c>
      <c r="R133">
        <v>11</v>
      </c>
      <c r="T133" s="2" t="s">
        <v>709</v>
      </c>
      <c r="U133" s="2">
        <v>251002</v>
      </c>
      <c r="V133" s="2">
        <v>51</v>
      </c>
    </row>
    <row r="134" spans="12:22" x14ac:dyDescent="0.2">
      <c r="P134" t="s">
        <v>57</v>
      </c>
      <c r="Q134">
        <v>22210</v>
      </c>
      <c r="R134">
        <v>11</v>
      </c>
      <c r="T134" s="2" t="s">
        <v>750</v>
      </c>
      <c r="U134" s="2">
        <v>251003</v>
      </c>
      <c r="V134" s="2">
        <v>51</v>
      </c>
    </row>
    <row r="135" spans="12:22" x14ac:dyDescent="0.2">
      <c r="L135" s="1" t="s">
        <v>10</v>
      </c>
      <c r="P135" t="s">
        <v>58</v>
      </c>
      <c r="Q135">
        <v>22220</v>
      </c>
      <c r="R135">
        <v>11</v>
      </c>
      <c r="T135" s="2" t="s">
        <v>617</v>
      </c>
      <c r="U135" s="2">
        <v>251004</v>
      </c>
      <c r="V135" s="2">
        <v>51</v>
      </c>
    </row>
    <row r="136" spans="12:22" x14ac:dyDescent="0.2">
      <c r="L136" s="1" t="s">
        <v>574</v>
      </c>
      <c r="P136" t="s">
        <v>59</v>
      </c>
      <c r="Q136">
        <v>22230</v>
      </c>
      <c r="R136">
        <v>11</v>
      </c>
      <c r="T136" s="2" t="s">
        <v>618</v>
      </c>
      <c r="U136" s="2">
        <v>251100</v>
      </c>
      <c r="V136" s="2">
        <v>81</v>
      </c>
    </row>
    <row r="137" spans="12:22" x14ac:dyDescent="0.2">
      <c r="L137" s="1" t="s">
        <v>11</v>
      </c>
      <c r="P137" t="s">
        <v>60</v>
      </c>
      <c r="Q137">
        <v>22240</v>
      </c>
      <c r="R137">
        <v>11</v>
      </c>
      <c r="T137" s="2" t="s">
        <v>710</v>
      </c>
      <c r="U137" s="2">
        <v>251102</v>
      </c>
      <c r="V137" s="2">
        <v>81</v>
      </c>
    </row>
    <row r="138" spans="12:22" x14ac:dyDescent="0.2">
      <c r="L138" s="1" t="s">
        <v>361</v>
      </c>
      <c r="P138" t="s">
        <v>561</v>
      </c>
      <c r="Q138">
        <v>22310</v>
      </c>
      <c r="R138">
        <v>11</v>
      </c>
      <c r="T138" s="2" t="s">
        <v>751</v>
      </c>
      <c r="U138" s="2">
        <v>251103</v>
      </c>
      <c r="V138" s="2">
        <v>81</v>
      </c>
    </row>
    <row r="139" spans="12:22" x14ac:dyDescent="0.2">
      <c r="L139" s="1" t="s">
        <v>12</v>
      </c>
      <c r="P139" t="s">
        <v>62</v>
      </c>
      <c r="Q139">
        <v>22320</v>
      </c>
      <c r="R139">
        <v>11</v>
      </c>
      <c r="T139" s="2" t="s">
        <v>619</v>
      </c>
      <c r="U139" s="2">
        <v>251104</v>
      </c>
      <c r="V139" s="2">
        <v>81</v>
      </c>
    </row>
    <row r="140" spans="12:22" x14ac:dyDescent="0.2">
      <c r="L140" s="1" t="s">
        <v>13</v>
      </c>
      <c r="P140" t="s">
        <v>63</v>
      </c>
      <c r="Q140">
        <v>22330</v>
      </c>
      <c r="R140">
        <v>11</v>
      </c>
      <c r="T140" s="2" t="s">
        <v>620</v>
      </c>
      <c r="U140" s="2">
        <v>251105</v>
      </c>
      <c r="V140" s="2">
        <v>81</v>
      </c>
    </row>
    <row r="141" spans="12:22" x14ac:dyDescent="0.2">
      <c r="P141" t="s">
        <v>64</v>
      </c>
      <c r="Q141">
        <v>22340</v>
      </c>
      <c r="R141">
        <v>11</v>
      </c>
      <c r="T141" s="2" t="s">
        <v>621</v>
      </c>
      <c r="U141" s="2">
        <v>251106</v>
      </c>
      <c r="V141" s="2">
        <v>81</v>
      </c>
    </row>
    <row r="142" spans="12:22" x14ac:dyDescent="0.2">
      <c r="P142" t="s">
        <v>65</v>
      </c>
      <c r="Q142">
        <v>22410</v>
      </c>
      <c r="R142">
        <v>11</v>
      </c>
      <c r="T142" s="2" t="s">
        <v>622</v>
      </c>
      <c r="U142" s="2">
        <v>251200</v>
      </c>
      <c r="V142" s="2">
        <v>81</v>
      </c>
    </row>
    <row r="143" spans="12:22" x14ac:dyDescent="0.2">
      <c r="P143" t="s">
        <v>66</v>
      </c>
      <c r="Q143">
        <v>22420</v>
      </c>
      <c r="R143">
        <v>11</v>
      </c>
      <c r="T143" s="2" t="s">
        <v>623</v>
      </c>
      <c r="U143" s="2">
        <v>251201</v>
      </c>
      <c r="V143" s="2">
        <v>81</v>
      </c>
    </row>
    <row r="144" spans="12:22" x14ac:dyDescent="0.2">
      <c r="P144" t="s">
        <v>67</v>
      </c>
      <c r="Q144">
        <v>22430</v>
      </c>
      <c r="R144">
        <v>11</v>
      </c>
      <c r="T144" s="2" t="s">
        <v>711</v>
      </c>
      <c r="U144" s="2">
        <v>251202</v>
      </c>
      <c r="V144" s="2">
        <v>81</v>
      </c>
    </row>
    <row r="145" spans="12:22" x14ac:dyDescent="0.2">
      <c r="P145" t="s">
        <v>68</v>
      </c>
      <c r="Q145">
        <v>22510</v>
      </c>
      <c r="R145">
        <v>11</v>
      </c>
      <c r="T145" s="2" t="s">
        <v>752</v>
      </c>
      <c r="U145" s="2">
        <v>251203</v>
      </c>
      <c r="V145" s="2">
        <v>81</v>
      </c>
    </row>
    <row r="146" spans="12:22" x14ac:dyDescent="0.2">
      <c r="P146" t="s">
        <v>69</v>
      </c>
      <c r="Q146">
        <v>22520</v>
      </c>
      <c r="R146">
        <v>11</v>
      </c>
      <c r="T146" s="2" t="s">
        <v>624</v>
      </c>
      <c r="U146" s="2">
        <v>251204</v>
      </c>
      <c r="V146" s="2">
        <v>81</v>
      </c>
    </row>
    <row r="147" spans="12:22" x14ac:dyDescent="0.2">
      <c r="P147" t="s">
        <v>70</v>
      </c>
      <c r="Q147">
        <v>22530</v>
      </c>
      <c r="R147">
        <v>11</v>
      </c>
      <c r="T147" s="2" t="s">
        <v>625</v>
      </c>
      <c r="U147" s="2">
        <v>251301</v>
      </c>
      <c r="V147" s="2">
        <v>81</v>
      </c>
    </row>
    <row r="148" spans="12:22" x14ac:dyDescent="0.2">
      <c r="P148" t="s">
        <v>71</v>
      </c>
      <c r="Q148">
        <v>22610</v>
      </c>
      <c r="R148">
        <v>11</v>
      </c>
      <c r="T148" s="2" t="s">
        <v>626</v>
      </c>
      <c r="U148" s="2">
        <v>251306</v>
      </c>
      <c r="V148" s="2">
        <v>81</v>
      </c>
    </row>
    <row r="149" spans="12:22" x14ac:dyDescent="0.2">
      <c r="P149" t="s">
        <v>72</v>
      </c>
      <c r="Q149">
        <v>22620</v>
      </c>
      <c r="R149">
        <v>11</v>
      </c>
      <c r="T149" s="2" t="s">
        <v>627</v>
      </c>
      <c r="U149" s="2">
        <v>251400</v>
      </c>
      <c r="V149" s="2">
        <v>81</v>
      </c>
    </row>
    <row r="150" spans="12:22" x14ac:dyDescent="0.2">
      <c r="P150" t="s">
        <v>73</v>
      </c>
      <c r="Q150">
        <v>22630</v>
      </c>
      <c r="R150">
        <v>11</v>
      </c>
      <c r="T150" s="2" t="s">
        <v>628</v>
      </c>
      <c r="U150" s="2">
        <v>251500</v>
      </c>
      <c r="V150" s="2">
        <v>81</v>
      </c>
    </row>
    <row r="151" spans="12:22" x14ac:dyDescent="0.2">
      <c r="L151" s="1" t="s">
        <v>412</v>
      </c>
      <c r="P151" t="s">
        <v>74</v>
      </c>
      <c r="Q151">
        <v>22640</v>
      </c>
      <c r="R151">
        <v>11</v>
      </c>
      <c r="T151" s="2" t="s">
        <v>629</v>
      </c>
      <c r="U151" s="2">
        <v>251550</v>
      </c>
      <c r="V151" s="2">
        <v>41</v>
      </c>
    </row>
    <row r="152" spans="12:22" x14ac:dyDescent="0.2">
      <c r="L152" s="2" t="s">
        <v>413</v>
      </c>
      <c r="P152" t="s">
        <v>75</v>
      </c>
      <c r="Q152">
        <v>22710</v>
      </c>
      <c r="R152">
        <v>11</v>
      </c>
      <c r="T152" s="2" t="s">
        <v>630</v>
      </c>
      <c r="U152" s="2">
        <v>251600</v>
      </c>
      <c r="V152" s="2">
        <v>11</v>
      </c>
    </row>
    <row r="153" spans="12:22" x14ac:dyDescent="0.2">
      <c r="L153" s="2" t="s">
        <v>414</v>
      </c>
      <c r="P153" t="s">
        <v>76</v>
      </c>
      <c r="Q153">
        <v>22720</v>
      </c>
      <c r="R153">
        <v>11</v>
      </c>
      <c r="T153" s="2" t="s">
        <v>631</v>
      </c>
      <c r="U153" s="2">
        <v>251601</v>
      </c>
      <c r="V153" s="2">
        <v>11</v>
      </c>
    </row>
    <row r="154" spans="12:22" x14ac:dyDescent="0.2">
      <c r="L154" s="2" t="s">
        <v>415</v>
      </c>
      <c r="P154" t="s">
        <v>77</v>
      </c>
      <c r="Q154">
        <v>22730</v>
      </c>
      <c r="R154">
        <v>11</v>
      </c>
      <c r="T154" s="2" t="s">
        <v>712</v>
      </c>
      <c r="U154" s="2">
        <v>251602</v>
      </c>
      <c r="V154" s="2">
        <v>11</v>
      </c>
    </row>
    <row r="155" spans="12:22" x14ac:dyDescent="0.2">
      <c r="L155" s="2" t="s">
        <v>416</v>
      </c>
      <c r="P155" t="s">
        <v>78</v>
      </c>
      <c r="Q155">
        <v>22740</v>
      </c>
      <c r="R155">
        <v>11</v>
      </c>
      <c r="T155" s="2" t="s">
        <v>632</v>
      </c>
      <c r="U155" s="2">
        <v>260001</v>
      </c>
      <c r="V155" s="2">
        <v>11</v>
      </c>
    </row>
    <row r="156" spans="12:22" x14ac:dyDescent="0.2">
      <c r="L156" s="2" t="s">
        <v>417</v>
      </c>
      <c r="P156" t="s">
        <v>79</v>
      </c>
      <c r="Q156">
        <v>22750</v>
      </c>
      <c r="R156">
        <v>11</v>
      </c>
      <c r="T156" s="2" t="s">
        <v>633</v>
      </c>
      <c r="U156" s="2">
        <v>260004</v>
      </c>
      <c r="V156" s="2">
        <v>11</v>
      </c>
    </row>
    <row r="157" spans="12:22" x14ac:dyDescent="0.2">
      <c r="L157" s="2" t="s">
        <v>418</v>
      </c>
      <c r="P157" t="s">
        <v>80</v>
      </c>
      <c r="Q157">
        <v>22760</v>
      </c>
      <c r="R157">
        <v>11</v>
      </c>
      <c r="T157" s="2" t="s">
        <v>634</v>
      </c>
      <c r="U157" s="2">
        <v>260005</v>
      </c>
      <c r="V157" s="2">
        <v>11</v>
      </c>
    </row>
    <row r="158" spans="12:22" x14ac:dyDescent="0.2">
      <c r="L158" s="2" t="s">
        <v>419</v>
      </c>
      <c r="P158" t="s">
        <v>81</v>
      </c>
      <c r="Q158">
        <v>22810</v>
      </c>
      <c r="R158">
        <v>11</v>
      </c>
      <c r="T158" s="2" t="s">
        <v>635</v>
      </c>
      <c r="U158" s="2">
        <v>260006</v>
      </c>
      <c r="V158" s="2">
        <v>11</v>
      </c>
    </row>
    <row r="159" spans="12:22" x14ac:dyDescent="0.2">
      <c r="L159" s="2" t="s">
        <v>420</v>
      </c>
      <c r="P159" t="s">
        <v>82</v>
      </c>
      <c r="Q159">
        <v>22820</v>
      </c>
      <c r="R159">
        <v>11</v>
      </c>
      <c r="T159" s="2" t="s">
        <v>713</v>
      </c>
      <c r="U159" s="2">
        <v>260102</v>
      </c>
      <c r="V159" s="2">
        <v>11</v>
      </c>
    </row>
    <row r="160" spans="12:22" x14ac:dyDescent="0.2">
      <c r="L160" s="1" t="s">
        <v>421</v>
      </c>
      <c r="P160" t="s">
        <v>83</v>
      </c>
      <c r="Q160">
        <v>22830</v>
      </c>
      <c r="R160">
        <v>11</v>
      </c>
      <c r="T160" s="2" t="s">
        <v>636</v>
      </c>
      <c r="U160" s="2">
        <v>260110</v>
      </c>
      <c r="V160" s="2">
        <v>11</v>
      </c>
    </row>
    <row r="161" spans="12:22" x14ac:dyDescent="0.2">
      <c r="L161" s="1" t="s">
        <v>422</v>
      </c>
      <c r="P161" t="s">
        <v>84</v>
      </c>
      <c r="Q161">
        <v>22840</v>
      </c>
      <c r="R161">
        <v>11</v>
      </c>
      <c r="T161" s="2" t="s">
        <v>637</v>
      </c>
      <c r="U161" s="2">
        <v>260111</v>
      </c>
      <c r="V161" s="2">
        <v>11</v>
      </c>
    </row>
    <row r="162" spans="12:22" x14ac:dyDescent="0.2">
      <c r="L162" s="21" t="s">
        <v>423</v>
      </c>
      <c r="P162" t="s">
        <v>85</v>
      </c>
      <c r="Q162">
        <v>22910</v>
      </c>
      <c r="R162">
        <v>11</v>
      </c>
      <c r="T162" s="2" t="s">
        <v>638</v>
      </c>
      <c r="U162" s="2">
        <v>260112</v>
      </c>
      <c r="V162" s="2">
        <v>11</v>
      </c>
    </row>
    <row r="163" spans="12:22" x14ac:dyDescent="0.2">
      <c r="L163" s="21" t="s">
        <v>431</v>
      </c>
      <c r="P163" t="s">
        <v>86</v>
      </c>
      <c r="Q163">
        <v>22920</v>
      </c>
      <c r="R163">
        <v>11</v>
      </c>
      <c r="T163" s="2" t="s">
        <v>639</v>
      </c>
      <c r="U163" s="2">
        <v>260113</v>
      </c>
      <c r="V163" s="2">
        <v>11</v>
      </c>
    </row>
    <row r="164" spans="12:22" x14ac:dyDescent="0.2">
      <c r="P164" t="s">
        <v>548</v>
      </c>
      <c r="Q164">
        <v>22930</v>
      </c>
      <c r="R164">
        <v>11</v>
      </c>
      <c r="T164" s="2" t="s">
        <v>714</v>
      </c>
      <c r="U164" s="2">
        <v>260121</v>
      </c>
      <c r="V164" s="2">
        <v>11</v>
      </c>
    </row>
    <row r="165" spans="12:22" x14ac:dyDescent="0.2">
      <c r="N165" s="1"/>
      <c r="O165" s="1"/>
      <c r="P165" t="s">
        <v>556</v>
      </c>
      <c r="Q165">
        <v>22935</v>
      </c>
      <c r="R165">
        <v>11</v>
      </c>
      <c r="T165" s="2" t="s">
        <v>715</v>
      </c>
      <c r="U165" s="2">
        <v>260122</v>
      </c>
      <c r="V165" s="2">
        <v>11</v>
      </c>
    </row>
    <row r="166" spans="12:22" x14ac:dyDescent="0.2">
      <c r="L166" s="2">
        <v>610010</v>
      </c>
      <c r="M166" s="1" t="s">
        <v>436</v>
      </c>
      <c r="N166" s="1"/>
      <c r="O166" s="1"/>
      <c r="P166" t="s">
        <v>88</v>
      </c>
      <c r="Q166">
        <v>23110</v>
      </c>
      <c r="R166">
        <v>11</v>
      </c>
      <c r="T166" s="2" t="s">
        <v>753</v>
      </c>
      <c r="U166" s="2">
        <v>260123</v>
      </c>
      <c r="V166" s="2">
        <v>11</v>
      </c>
    </row>
    <row r="167" spans="12:22" x14ac:dyDescent="0.2">
      <c r="L167" s="2">
        <v>610011</v>
      </c>
      <c r="M167" s="1" t="s">
        <v>434</v>
      </c>
      <c r="N167" s="1"/>
      <c r="O167" s="1"/>
      <c r="P167" t="s">
        <v>89</v>
      </c>
      <c r="Q167">
        <v>23120</v>
      </c>
      <c r="R167">
        <v>11</v>
      </c>
      <c r="T167" s="2" t="s">
        <v>716</v>
      </c>
      <c r="U167" s="2">
        <v>260201</v>
      </c>
      <c r="V167" s="2">
        <v>11</v>
      </c>
    </row>
    <row r="168" spans="12:22" x14ac:dyDescent="0.2">
      <c r="L168" s="2">
        <v>610015</v>
      </c>
      <c r="M168" s="1" t="s">
        <v>445</v>
      </c>
      <c r="N168" s="1"/>
      <c r="O168" s="1"/>
      <c r="P168" t="s">
        <v>90</v>
      </c>
      <c r="Q168">
        <v>23130</v>
      </c>
      <c r="R168">
        <v>11</v>
      </c>
      <c r="T168" s="2" t="s">
        <v>754</v>
      </c>
      <c r="U168" s="2">
        <v>260260</v>
      </c>
      <c r="V168" s="2">
        <v>11</v>
      </c>
    </row>
    <row r="169" spans="12:22" x14ac:dyDescent="0.2">
      <c r="L169" s="2">
        <v>610020</v>
      </c>
      <c r="M169" s="1" t="s">
        <v>440</v>
      </c>
      <c r="N169" s="1"/>
      <c r="O169" s="1"/>
      <c r="P169" t="s">
        <v>91</v>
      </c>
      <c r="Q169">
        <v>23140</v>
      </c>
      <c r="R169">
        <v>11</v>
      </c>
      <c r="T169" s="2" t="s">
        <v>755</v>
      </c>
      <c r="U169" s="2">
        <v>260261</v>
      </c>
      <c r="V169" s="2">
        <v>11</v>
      </c>
    </row>
    <row r="170" spans="12:22" x14ac:dyDescent="0.2">
      <c r="L170" s="2">
        <v>610025</v>
      </c>
      <c r="M170" s="1" t="s">
        <v>435</v>
      </c>
      <c r="N170" s="1"/>
      <c r="O170" s="1"/>
      <c r="P170" t="s">
        <v>92</v>
      </c>
      <c r="Q170">
        <v>23150</v>
      </c>
      <c r="R170">
        <v>21</v>
      </c>
      <c r="T170" s="2" t="s">
        <v>640</v>
      </c>
      <c r="U170" s="2">
        <v>270001</v>
      </c>
      <c r="V170" s="2">
        <v>31</v>
      </c>
    </row>
    <row r="171" spans="12:22" x14ac:dyDescent="0.2">
      <c r="L171" s="2">
        <v>610030</v>
      </c>
      <c r="M171" s="1" t="s">
        <v>441</v>
      </c>
      <c r="N171" s="1"/>
      <c r="O171" s="1"/>
      <c r="P171" t="s">
        <v>93</v>
      </c>
      <c r="Q171">
        <v>23210</v>
      </c>
      <c r="R171">
        <v>11</v>
      </c>
      <c r="T171" s="2" t="s">
        <v>756</v>
      </c>
      <c r="U171" s="2">
        <v>270002</v>
      </c>
      <c r="V171" s="2">
        <v>31</v>
      </c>
    </row>
    <row r="172" spans="12:22" x14ac:dyDescent="0.2">
      <c r="L172" s="2">
        <v>611005</v>
      </c>
      <c r="M172" s="1" t="s">
        <v>442</v>
      </c>
      <c r="N172" s="1"/>
      <c r="O172" s="1"/>
      <c r="P172" t="s">
        <v>94</v>
      </c>
      <c r="Q172">
        <v>24110</v>
      </c>
      <c r="R172">
        <v>41</v>
      </c>
      <c r="T172" s="2" t="s">
        <v>757</v>
      </c>
      <c r="U172" s="2">
        <v>270003</v>
      </c>
      <c r="V172" s="2">
        <v>31</v>
      </c>
    </row>
    <row r="173" spans="12:22" x14ac:dyDescent="0.2">
      <c r="L173" s="2">
        <v>611010</v>
      </c>
      <c r="M173" s="1" t="s">
        <v>443</v>
      </c>
      <c r="N173" s="1"/>
      <c r="O173" s="1"/>
      <c r="P173" t="s">
        <v>95</v>
      </c>
      <c r="Q173">
        <v>24120</v>
      </c>
      <c r="R173">
        <v>11</v>
      </c>
      <c r="T173" s="2" t="s">
        <v>717</v>
      </c>
      <c r="U173" s="2">
        <v>270012</v>
      </c>
      <c r="V173" s="2">
        <v>61</v>
      </c>
    </row>
    <row r="174" spans="12:22" x14ac:dyDescent="0.2">
      <c r="L174" s="2">
        <v>611015</v>
      </c>
      <c r="M174" s="1" t="s">
        <v>444</v>
      </c>
      <c r="N174" s="1"/>
      <c r="O174" s="1"/>
      <c r="P174" t="s">
        <v>580</v>
      </c>
      <c r="Q174">
        <v>24130</v>
      </c>
      <c r="R174">
        <v>11</v>
      </c>
      <c r="T174" s="2" t="s">
        <v>641</v>
      </c>
      <c r="U174" s="2">
        <v>270030</v>
      </c>
      <c r="V174" s="2">
        <v>81</v>
      </c>
    </row>
    <row r="175" spans="12:22" x14ac:dyDescent="0.2">
      <c r="L175" s="2">
        <v>611030</v>
      </c>
      <c r="M175" s="1" t="s">
        <v>437</v>
      </c>
      <c r="N175" s="1"/>
      <c r="O175" s="1"/>
      <c r="P175" t="s">
        <v>97</v>
      </c>
      <c r="Q175">
        <v>24310</v>
      </c>
      <c r="R175">
        <v>11</v>
      </c>
      <c r="T175" s="2" t="s">
        <v>642</v>
      </c>
      <c r="U175" s="2">
        <v>270031</v>
      </c>
      <c r="V175" s="2">
        <v>81</v>
      </c>
    </row>
    <row r="176" spans="12:22" x14ac:dyDescent="0.2">
      <c r="L176" s="2">
        <v>611035</v>
      </c>
      <c r="M176" s="1" t="s">
        <v>438</v>
      </c>
      <c r="N176" s="1"/>
      <c r="O176" s="1"/>
      <c r="P176" t="s">
        <v>98</v>
      </c>
      <c r="Q176">
        <v>24410</v>
      </c>
      <c r="R176">
        <v>11</v>
      </c>
      <c r="T176" s="2" t="s">
        <v>643</v>
      </c>
      <c r="U176" s="2">
        <v>270032</v>
      </c>
      <c r="V176" s="2">
        <v>81</v>
      </c>
    </row>
    <row r="177" spans="12:22" x14ac:dyDescent="0.2">
      <c r="L177" s="2">
        <v>611040</v>
      </c>
      <c r="M177" s="1" t="s">
        <v>439</v>
      </c>
      <c r="P177" t="s">
        <v>581</v>
      </c>
      <c r="Q177">
        <v>24610</v>
      </c>
      <c r="R177">
        <v>11</v>
      </c>
      <c r="T177" s="2" t="s">
        <v>718</v>
      </c>
      <c r="U177" s="2">
        <v>270033</v>
      </c>
      <c r="V177" s="2">
        <v>81</v>
      </c>
    </row>
    <row r="178" spans="12:22" ht="12.75" customHeight="1" x14ac:dyDescent="0.2">
      <c r="P178" t="s">
        <v>562</v>
      </c>
      <c r="Q178">
        <v>24620</v>
      </c>
      <c r="R178">
        <v>11</v>
      </c>
      <c r="T178" s="2" t="s">
        <v>644</v>
      </c>
      <c r="U178" s="2">
        <v>270034</v>
      </c>
      <c r="V178" s="2">
        <v>12</v>
      </c>
    </row>
    <row r="179" spans="12:22" ht="12.75" customHeight="1" x14ac:dyDescent="0.2">
      <c r="P179" t="s">
        <v>563</v>
      </c>
      <c r="Q179">
        <v>24630</v>
      </c>
      <c r="R179">
        <v>11</v>
      </c>
      <c r="T179" s="2" t="s">
        <v>645</v>
      </c>
      <c r="U179" s="2">
        <v>270107</v>
      </c>
      <c r="V179" s="2">
        <v>11</v>
      </c>
    </row>
    <row r="180" spans="12:22" x14ac:dyDescent="0.2">
      <c r="P180" t="s">
        <v>582</v>
      </c>
      <c r="Q180">
        <v>24640</v>
      </c>
      <c r="R180">
        <v>11</v>
      </c>
      <c r="T180" s="2" t="s">
        <v>646</v>
      </c>
      <c r="U180" s="2">
        <v>270109</v>
      </c>
      <c r="V180" s="2">
        <v>41</v>
      </c>
    </row>
    <row r="181" spans="12:22" x14ac:dyDescent="0.2">
      <c r="L181" s="64"/>
      <c r="P181" t="s">
        <v>564</v>
      </c>
      <c r="Q181">
        <v>24650</v>
      </c>
      <c r="R181">
        <v>11</v>
      </c>
      <c r="T181" s="2" t="s">
        <v>647</v>
      </c>
      <c r="U181" s="2">
        <v>271030</v>
      </c>
      <c r="V181" s="2">
        <v>31</v>
      </c>
    </row>
    <row r="182" spans="12:22" x14ac:dyDescent="0.2">
      <c r="L182" s="64"/>
      <c r="P182" t="s">
        <v>583</v>
      </c>
      <c r="Q182">
        <v>24710</v>
      </c>
      <c r="R182">
        <v>11</v>
      </c>
      <c r="T182" s="2" t="s">
        <v>648</v>
      </c>
      <c r="U182" s="2">
        <v>271031</v>
      </c>
      <c r="V182" s="2">
        <v>31</v>
      </c>
    </row>
    <row r="183" spans="12:22" x14ac:dyDescent="0.2">
      <c r="L183" s="1"/>
      <c r="P183" t="s">
        <v>565</v>
      </c>
      <c r="Q183">
        <v>24720</v>
      </c>
      <c r="R183">
        <v>11</v>
      </c>
      <c r="T183" s="2" t="s">
        <v>649</v>
      </c>
      <c r="U183" s="2">
        <v>271032</v>
      </c>
      <c r="V183" s="2">
        <v>31</v>
      </c>
    </row>
    <row r="184" spans="12:22" x14ac:dyDescent="0.2">
      <c r="L184" s="1"/>
      <c r="P184" t="s">
        <v>566</v>
      </c>
      <c r="Q184">
        <v>24730</v>
      </c>
      <c r="R184">
        <v>11</v>
      </c>
      <c r="T184" s="2" t="s">
        <v>719</v>
      </c>
      <c r="U184" s="2">
        <v>271040</v>
      </c>
      <c r="V184" s="2">
        <v>31</v>
      </c>
    </row>
    <row r="185" spans="12:22" x14ac:dyDescent="0.2">
      <c r="P185" t="s">
        <v>567</v>
      </c>
      <c r="Q185">
        <v>24740</v>
      </c>
      <c r="R185">
        <v>11</v>
      </c>
      <c r="T185" s="2" t="s">
        <v>758</v>
      </c>
      <c r="U185" s="2">
        <v>271041</v>
      </c>
      <c r="V185" s="2">
        <v>31</v>
      </c>
    </row>
    <row r="186" spans="12:22" x14ac:dyDescent="0.2">
      <c r="P186" t="s">
        <v>568</v>
      </c>
      <c r="Q186">
        <v>24750</v>
      </c>
      <c r="R186">
        <v>11</v>
      </c>
      <c r="T186" s="2" t="s">
        <v>650</v>
      </c>
      <c r="U186" s="2">
        <v>271042</v>
      </c>
      <c r="V186" s="2">
        <v>31</v>
      </c>
    </row>
    <row r="187" spans="12:22" x14ac:dyDescent="0.2">
      <c r="P187" t="s">
        <v>569</v>
      </c>
      <c r="Q187">
        <v>24760</v>
      </c>
      <c r="R187">
        <v>11</v>
      </c>
      <c r="T187" s="2" t="s">
        <v>651</v>
      </c>
      <c r="U187" s="2">
        <v>271043</v>
      </c>
      <c r="V187" s="2">
        <v>31</v>
      </c>
    </row>
    <row r="188" spans="12:22" x14ac:dyDescent="0.2">
      <c r="P188" t="s">
        <v>104</v>
      </c>
      <c r="Q188">
        <v>25110</v>
      </c>
      <c r="R188">
        <v>41</v>
      </c>
      <c r="T188" s="2" t="s">
        <v>759</v>
      </c>
      <c r="U188" s="2">
        <v>271050</v>
      </c>
      <c r="V188" s="2">
        <v>31</v>
      </c>
    </row>
    <row r="189" spans="12:22" x14ac:dyDescent="0.2">
      <c r="P189" t="s">
        <v>105</v>
      </c>
      <c r="Q189">
        <v>25210</v>
      </c>
      <c r="R189">
        <v>11</v>
      </c>
      <c r="T189" s="2" t="s">
        <v>720</v>
      </c>
      <c r="U189" s="2">
        <v>271051</v>
      </c>
      <c r="V189" s="2">
        <v>31</v>
      </c>
    </row>
    <row r="190" spans="12:22" x14ac:dyDescent="0.2">
      <c r="P190" t="s">
        <v>106</v>
      </c>
      <c r="Q190">
        <v>25310</v>
      </c>
      <c r="R190">
        <v>11</v>
      </c>
      <c r="T190" s="2" t="s">
        <v>721</v>
      </c>
      <c r="U190" s="2">
        <v>271060</v>
      </c>
      <c r="V190" s="2">
        <v>31</v>
      </c>
    </row>
    <row r="191" spans="12:22" x14ac:dyDescent="0.2">
      <c r="P191" t="s">
        <v>734</v>
      </c>
      <c r="Q191">
        <v>25410</v>
      </c>
      <c r="R191">
        <v>11</v>
      </c>
      <c r="T191" s="2" t="s">
        <v>760</v>
      </c>
      <c r="U191" s="2">
        <v>271061</v>
      </c>
      <c r="V191" s="2">
        <v>31</v>
      </c>
    </row>
    <row r="192" spans="12:22" x14ac:dyDescent="0.2">
      <c r="P192" t="s">
        <v>735</v>
      </c>
      <c r="Q192">
        <v>25420</v>
      </c>
      <c r="R192">
        <v>11</v>
      </c>
      <c r="T192" s="2" t="s">
        <v>652</v>
      </c>
      <c r="U192" s="2">
        <v>271062</v>
      </c>
      <c r="V192" s="2">
        <v>31</v>
      </c>
    </row>
    <row r="193" spans="16:22" x14ac:dyDescent="0.2">
      <c r="P193" t="s">
        <v>736</v>
      </c>
      <c r="Q193">
        <v>25430</v>
      </c>
      <c r="R193">
        <v>11</v>
      </c>
      <c r="T193" s="2" t="s">
        <v>653</v>
      </c>
      <c r="U193" s="2">
        <v>271063</v>
      </c>
      <c r="V193" s="2">
        <v>31</v>
      </c>
    </row>
    <row r="194" spans="16:22" x14ac:dyDescent="0.2">
      <c r="P194" t="s">
        <v>110</v>
      </c>
      <c r="Q194">
        <v>25510</v>
      </c>
      <c r="R194">
        <v>11</v>
      </c>
      <c r="T194" s="2" t="s">
        <v>654</v>
      </c>
      <c r="U194" s="2">
        <v>271200</v>
      </c>
      <c r="V194" s="2">
        <v>31</v>
      </c>
    </row>
    <row r="195" spans="16:22" x14ac:dyDescent="0.2">
      <c r="P195" t="s">
        <v>111</v>
      </c>
      <c r="Q195">
        <v>25520</v>
      </c>
      <c r="R195">
        <v>11</v>
      </c>
      <c r="T195" s="2" t="s">
        <v>655</v>
      </c>
      <c r="U195" s="2">
        <v>271203</v>
      </c>
      <c r="V195" s="2">
        <v>31</v>
      </c>
    </row>
    <row r="196" spans="16:22" x14ac:dyDescent="0.2">
      <c r="P196" t="s">
        <v>112</v>
      </c>
      <c r="Q196">
        <v>25530</v>
      </c>
      <c r="R196">
        <v>31</v>
      </c>
      <c r="T196" s="2" t="s">
        <v>656</v>
      </c>
      <c r="U196" s="2">
        <v>280083</v>
      </c>
      <c r="V196" s="2">
        <v>41</v>
      </c>
    </row>
    <row r="197" spans="16:22" x14ac:dyDescent="0.2">
      <c r="P197" t="s">
        <v>113</v>
      </c>
      <c r="Q197">
        <v>25610</v>
      </c>
      <c r="R197">
        <v>11</v>
      </c>
      <c r="T197" s="2" t="s">
        <v>657</v>
      </c>
      <c r="U197" s="2">
        <v>290001</v>
      </c>
      <c r="V197" s="2">
        <v>11</v>
      </c>
    </row>
    <row r="198" spans="16:22" x14ac:dyDescent="0.2">
      <c r="P198" t="s">
        <v>114</v>
      </c>
      <c r="Q198">
        <v>25710</v>
      </c>
      <c r="R198">
        <v>11</v>
      </c>
      <c r="T198" s="2" t="s">
        <v>658</v>
      </c>
      <c r="U198" s="2">
        <v>290003</v>
      </c>
      <c r="V198" s="2">
        <v>31</v>
      </c>
    </row>
    <row r="199" spans="16:22" x14ac:dyDescent="0.2">
      <c r="P199" t="s">
        <v>115</v>
      </c>
      <c r="Q199">
        <v>25810</v>
      </c>
      <c r="R199">
        <v>11</v>
      </c>
      <c r="T199" s="2" t="s">
        <v>659</v>
      </c>
      <c r="U199" s="2">
        <v>290004</v>
      </c>
      <c r="V199" s="2">
        <v>21</v>
      </c>
    </row>
    <row r="200" spans="16:22" x14ac:dyDescent="0.2">
      <c r="P200" t="s">
        <v>116</v>
      </c>
      <c r="Q200">
        <v>25820</v>
      </c>
      <c r="R200">
        <v>11</v>
      </c>
      <c r="T200" s="2" t="s">
        <v>660</v>
      </c>
      <c r="U200" s="2">
        <v>290005</v>
      </c>
      <c r="V200" s="2">
        <v>21</v>
      </c>
    </row>
    <row r="201" spans="16:22" x14ac:dyDescent="0.2">
      <c r="P201" t="s">
        <v>117</v>
      </c>
      <c r="Q201">
        <v>25910</v>
      </c>
      <c r="R201">
        <v>11</v>
      </c>
      <c r="T201" s="2" t="s">
        <v>761</v>
      </c>
      <c r="U201" s="2">
        <v>290006</v>
      </c>
      <c r="V201" s="2">
        <v>11</v>
      </c>
    </row>
    <row r="202" spans="16:22" x14ac:dyDescent="0.2">
      <c r="P202" t="s">
        <v>118</v>
      </c>
      <c r="Q202">
        <v>26110</v>
      </c>
      <c r="R202">
        <v>41</v>
      </c>
      <c r="T202" s="2" t="s">
        <v>762</v>
      </c>
      <c r="U202" s="2">
        <v>290010</v>
      </c>
      <c r="V202" s="2">
        <v>11</v>
      </c>
    </row>
    <row r="203" spans="16:22" x14ac:dyDescent="0.2">
      <c r="P203" t="s">
        <v>119</v>
      </c>
      <c r="Q203">
        <v>26120</v>
      </c>
      <c r="R203">
        <v>51</v>
      </c>
      <c r="T203" s="2" t="s">
        <v>661</v>
      </c>
      <c r="U203" s="2">
        <v>290011</v>
      </c>
      <c r="V203" s="2">
        <v>11</v>
      </c>
    </row>
    <row r="204" spans="16:22" x14ac:dyDescent="0.2">
      <c r="P204" t="s">
        <v>120</v>
      </c>
      <c r="Q204">
        <v>26210</v>
      </c>
      <c r="R204">
        <v>11</v>
      </c>
      <c r="T204" s="2" t="s">
        <v>662</v>
      </c>
      <c r="U204" s="2">
        <v>290012</v>
      </c>
      <c r="V204" s="2">
        <v>11</v>
      </c>
    </row>
    <row r="205" spans="16:22" x14ac:dyDescent="0.2">
      <c r="P205" t="s">
        <v>570</v>
      </c>
      <c r="Q205">
        <v>26215</v>
      </c>
      <c r="R205">
        <v>11</v>
      </c>
      <c r="T205" s="2" t="s">
        <v>663</v>
      </c>
      <c r="U205" s="2">
        <v>290013</v>
      </c>
      <c r="V205" s="2">
        <v>11</v>
      </c>
    </row>
    <row r="206" spans="16:22" x14ac:dyDescent="0.2">
      <c r="P206" t="s">
        <v>122</v>
      </c>
      <c r="Q206">
        <v>26216</v>
      </c>
      <c r="R206">
        <v>11</v>
      </c>
      <c r="T206" s="2" t="s">
        <v>664</v>
      </c>
      <c r="U206" s="2">
        <v>290014</v>
      </c>
      <c r="V206" s="2">
        <v>31</v>
      </c>
    </row>
    <row r="207" spans="16:22" x14ac:dyDescent="0.2">
      <c r="P207" t="s">
        <v>123</v>
      </c>
      <c r="Q207">
        <v>26220</v>
      </c>
      <c r="R207">
        <v>11</v>
      </c>
      <c r="T207" s="2" t="s">
        <v>665</v>
      </c>
      <c r="U207" s="2">
        <v>290020</v>
      </c>
      <c r="V207" s="2">
        <v>11</v>
      </c>
    </row>
    <row r="208" spans="16:22" x14ac:dyDescent="0.2">
      <c r="P208" t="s">
        <v>124</v>
      </c>
      <c r="Q208">
        <v>26221</v>
      </c>
      <c r="R208">
        <v>11</v>
      </c>
      <c r="T208" s="2" t="s">
        <v>666</v>
      </c>
      <c r="U208" s="2">
        <v>290021</v>
      </c>
      <c r="V208" s="2">
        <v>11</v>
      </c>
    </row>
    <row r="209" spans="16:22" x14ac:dyDescent="0.2">
      <c r="P209" t="s">
        <v>125</v>
      </c>
      <c r="Q209">
        <v>26222</v>
      </c>
      <c r="R209">
        <v>11</v>
      </c>
      <c r="T209" s="2" t="s">
        <v>667</v>
      </c>
      <c r="U209" s="2">
        <v>290030</v>
      </c>
      <c r="V209" s="2">
        <v>11</v>
      </c>
    </row>
    <row r="210" spans="16:22" x14ac:dyDescent="0.2">
      <c r="P210" t="s">
        <v>126</v>
      </c>
      <c r="Q210">
        <v>26230</v>
      </c>
      <c r="R210">
        <v>11</v>
      </c>
      <c r="T210" s="2" t="s">
        <v>668</v>
      </c>
      <c r="U210" s="2">
        <v>290031</v>
      </c>
      <c r="V210" s="2">
        <v>11</v>
      </c>
    </row>
    <row r="211" spans="16:22" x14ac:dyDescent="0.2">
      <c r="P211" t="s">
        <v>127</v>
      </c>
      <c r="Q211">
        <v>26240</v>
      </c>
      <c r="R211">
        <v>11</v>
      </c>
      <c r="T211" s="2" t="s">
        <v>669</v>
      </c>
      <c r="U211" s="2">
        <v>290032</v>
      </c>
      <c r="V211" s="2">
        <v>31</v>
      </c>
    </row>
    <row r="212" spans="16:22" x14ac:dyDescent="0.2">
      <c r="P212" t="s">
        <v>128</v>
      </c>
      <c r="Q212">
        <v>26250</v>
      </c>
      <c r="R212">
        <v>11</v>
      </c>
      <c r="T212" s="2" t="s">
        <v>670</v>
      </c>
      <c r="U212" s="2">
        <v>290033</v>
      </c>
      <c r="V212" s="2">
        <v>11</v>
      </c>
    </row>
    <row r="213" spans="16:22" x14ac:dyDescent="0.2">
      <c r="P213" t="s">
        <v>129</v>
      </c>
      <c r="Q213">
        <v>26260</v>
      </c>
      <c r="R213">
        <v>11</v>
      </c>
      <c r="T213" s="2" t="s">
        <v>671</v>
      </c>
      <c r="U213" s="2">
        <v>290034</v>
      </c>
      <c r="V213" s="2">
        <v>31</v>
      </c>
    </row>
    <row r="214" spans="16:22" x14ac:dyDescent="0.2">
      <c r="P214" t="s">
        <v>130</v>
      </c>
      <c r="Q214">
        <v>26270</v>
      </c>
      <c r="R214">
        <v>11</v>
      </c>
      <c r="T214" s="2" t="s">
        <v>672</v>
      </c>
      <c r="U214" s="2">
        <v>290041</v>
      </c>
      <c r="V214" s="2">
        <v>11</v>
      </c>
    </row>
    <row r="215" spans="16:22" x14ac:dyDescent="0.2">
      <c r="P215" t="s">
        <v>557</v>
      </c>
      <c r="Q215">
        <v>26280</v>
      </c>
      <c r="R215">
        <v>11</v>
      </c>
      <c r="T215" s="2" t="s">
        <v>673</v>
      </c>
      <c r="U215" s="2">
        <v>290042</v>
      </c>
      <c r="V215" s="2">
        <v>11</v>
      </c>
    </row>
    <row r="216" spans="16:22" x14ac:dyDescent="0.2">
      <c r="P216" t="s">
        <v>131</v>
      </c>
      <c r="Q216">
        <v>26310</v>
      </c>
      <c r="R216">
        <v>11</v>
      </c>
      <c r="T216" s="2" t="s">
        <v>674</v>
      </c>
      <c r="U216" s="2">
        <v>290061</v>
      </c>
      <c r="V216" s="2">
        <v>21</v>
      </c>
    </row>
    <row r="217" spans="16:22" x14ac:dyDescent="0.2">
      <c r="P217" t="s">
        <v>132</v>
      </c>
      <c r="Q217">
        <v>26320</v>
      </c>
      <c r="R217">
        <v>11</v>
      </c>
      <c r="T217" s="2" t="s">
        <v>675</v>
      </c>
      <c r="U217" s="2">
        <v>290075</v>
      </c>
      <c r="V217" s="2">
        <v>11</v>
      </c>
    </row>
    <row r="218" spans="16:22" x14ac:dyDescent="0.2">
      <c r="P218" t="s">
        <v>133</v>
      </c>
      <c r="Q218">
        <v>26330</v>
      </c>
      <c r="R218">
        <v>11</v>
      </c>
      <c r="T218" s="2" t="s">
        <v>722</v>
      </c>
      <c r="U218" s="2">
        <v>290080</v>
      </c>
      <c r="V218" s="2">
        <v>31</v>
      </c>
    </row>
    <row r="219" spans="16:22" x14ac:dyDescent="0.2">
      <c r="P219" t="s">
        <v>134</v>
      </c>
      <c r="Q219">
        <v>26340</v>
      </c>
      <c r="R219">
        <v>11</v>
      </c>
      <c r="T219" s="2" t="s">
        <v>676</v>
      </c>
      <c r="U219" s="2">
        <v>291005</v>
      </c>
      <c r="V219" s="2">
        <v>11</v>
      </c>
    </row>
    <row r="220" spans="16:22" x14ac:dyDescent="0.2">
      <c r="P220" t="s">
        <v>135</v>
      </c>
      <c r="Q220">
        <v>27110</v>
      </c>
      <c r="R220">
        <v>41</v>
      </c>
      <c r="T220" s="2" t="s">
        <v>763</v>
      </c>
      <c r="U220" s="2">
        <v>291006</v>
      </c>
      <c r="V220" s="2">
        <v>11</v>
      </c>
    </row>
    <row r="221" spans="16:22" x14ac:dyDescent="0.2">
      <c r="P221" t="s">
        <v>136</v>
      </c>
      <c r="Q221">
        <v>27120</v>
      </c>
      <c r="R221">
        <v>21</v>
      </c>
      <c r="T221" s="2" t="s">
        <v>677</v>
      </c>
      <c r="U221" s="2">
        <v>292002</v>
      </c>
      <c r="V221" s="2">
        <v>31</v>
      </c>
    </row>
    <row r="222" spans="16:22" x14ac:dyDescent="0.2">
      <c r="P222" t="s">
        <v>137</v>
      </c>
      <c r="Q222">
        <v>27210</v>
      </c>
      <c r="R222">
        <v>11</v>
      </c>
      <c r="T222" s="2" t="s">
        <v>723</v>
      </c>
      <c r="U222" s="2">
        <v>293002</v>
      </c>
      <c r="V222" s="2">
        <v>11</v>
      </c>
    </row>
    <row r="223" spans="16:22" x14ac:dyDescent="0.2">
      <c r="P223" t="s">
        <v>138</v>
      </c>
      <c r="Q223">
        <v>27310</v>
      </c>
      <c r="R223">
        <v>11</v>
      </c>
      <c r="T223" s="2" t="s">
        <v>678</v>
      </c>
      <c r="U223" s="2">
        <v>293003</v>
      </c>
      <c r="V223" s="2">
        <v>11</v>
      </c>
    </row>
    <row r="224" spans="16:22" x14ac:dyDescent="0.2">
      <c r="P224" t="s">
        <v>139</v>
      </c>
      <c r="Q224">
        <v>27410</v>
      </c>
      <c r="R224">
        <v>11</v>
      </c>
      <c r="T224" s="2" t="s">
        <v>764</v>
      </c>
      <c r="U224" s="2">
        <v>293004</v>
      </c>
      <c r="V224" s="2">
        <v>11</v>
      </c>
    </row>
    <row r="225" spans="16:22" x14ac:dyDescent="0.2">
      <c r="P225" t="s">
        <v>140</v>
      </c>
      <c r="Q225">
        <v>27510</v>
      </c>
      <c r="R225">
        <v>11</v>
      </c>
      <c r="T225" s="2" t="s">
        <v>679</v>
      </c>
      <c r="U225" s="2">
        <v>293005</v>
      </c>
      <c r="V225" s="2">
        <v>11</v>
      </c>
    </row>
    <row r="226" spans="16:22" x14ac:dyDescent="0.2">
      <c r="P226" t="s">
        <v>141</v>
      </c>
      <c r="Q226">
        <v>27610</v>
      </c>
      <c r="R226">
        <v>11</v>
      </c>
      <c r="T226" s="2" t="s">
        <v>724</v>
      </c>
      <c r="U226" s="2">
        <v>293006</v>
      </c>
      <c r="V226" s="2">
        <v>11</v>
      </c>
    </row>
    <row r="227" spans="16:22" x14ac:dyDescent="0.2">
      <c r="P227" t="s">
        <v>142</v>
      </c>
      <c r="Q227">
        <v>27710</v>
      </c>
      <c r="R227">
        <v>11</v>
      </c>
      <c r="T227" s="2" t="s">
        <v>680</v>
      </c>
      <c r="U227" s="2">
        <v>293011</v>
      </c>
      <c r="V227" s="2">
        <v>41</v>
      </c>
    </row>
    <row r="228" spans="16:22" x14ac:dyDescent="0.2">
      <c r="P228" t="s">
        <v>143</v>
      </c>
      <c r="Q228">
        <v>27810</v>
      </c>
      <c r="R228">
        <v>11</v>
      </c>
      <c r="T228" s="2" t="s">
        <v>725</v>
      </c>
      <c r="U228" s="2">
        <v>293013</v>
      </c>
      <c r="V228" s="2">
        <v>51</v>
      </c>
    </row>
    <row r="229" spans="16:22" x14ac:dyDescent="0.2">
      <c r="P229" t="s">
        <v>144</v>
      </c>
      <c r="Q229">
        <v>27910</v>
      </c>
      <c r="R229">
        <v>11</v>
      </c>
      <c r="T229" s="2" t="s">
        <v>681</v>
      </c>
      <c r="U229" s="2">
        <v>293014</v>
      </c>
      <c r="V229" s="2">
        <v>11</v>
      </c>
    </row>
    <row r="230" spans="16:22" x14ac:dyDescent="0.2">
      <c r="P230" t="s">
        <v>145</v>
      </c>
      <c r="Q230">
        <v>28110</v>
      </c>
      <c r="R230">
        <v>41</v>
      </c>
      <c r="T230" s="2" t="s">
        <v>682</v>
      </c>
      <c r="U230" s="2">
        <v>293015</v>
      </c>
      <c r="V230" s="2">
        <v>51</v>
      </c>
    </row>
    <row r="231" spans="16:22" x14ac:dyDescent="0.2">
      <c r="P231" t="s">
        <v>146</v>
      </c>
      <c r="Q231">
        <v>28210</v>
      </c>
      <c r="R231">
        <v>41</v>
      </c>
      <c r="T231" s="2" t="s">
        <v>765</v>
      </c>
      <c r="U231" s="2">
        <v>293021</v>
      </c>
      <c r="V231" s="2">
        <v>11</v>
      </c>
    </row>
    <row r="232" spans="16:22" x14ac:dyDescent="0.2">
      <c r="P232" t="s">
        <v>147</v>
      </c>
      <c r="Q232">
        <v>28310</v>
      </c>
      <c r="R232">
        <v>41</v>
      </c>
      <c r="T232" s="2" t="s">
        <v>683</v>
      </c>
      <c r="U232" s="2">
        <v>293023</v>
      </c>
      <c r="V232" s="2">
        <v>31</v>
      </c>
    </row>
    <row r="233" spans="16:22" x14ac:dyDescent="0.2">
      <c r="P233" t="s">
        <v>148</v>
      </c>
      <c r="Q233">
        <v>28410</v>
      </c>
      <c r="R233">
        <v>41</v>
      </c>
      <c r="T233" s="2" t="s">
        <v>684</v>
      </c>
      <c r="U233" s="2">
        <v>294002</v>
      </c>
      <c r="V233" s="2">
        <v>21</v>
      </c>
    </row>
    <row r="234" spans="16:22" x14ac:dyDescent="0.2">
      <c r="P234" t="s">
        <v>149</v>
      </c>
      <c r="Q234">
        <v>28510</v>
      </c>
      <c r="R234">
        <v>41</v>
      </c>
      <c r="T234" s="2" t="s">
        <v>726</v>
      </c>
      <c r="U234" s="2">
        <v>294003</v>
      </c>
      <c r="V234" s="2">
        <v>31</v>
      </c>
    </row>
    <row r="235" spans="16:22" x14ac:dyDescent="0.2">
      <c r="P235" t="s">
        <v>150</v>
      </c>
      <c r="Q235">
        <v>28610</v>
      </c>
      <c r="R235">
        <v>41</v>
      </c>
      <c r="T235" s="2" t="s">
        <v>727</v>
      </c>
      <c r="U235" s="2">
        <v>294007</v>
      </c>
      <c r="V235" s="2">
        <v>31</v>
      </c>
    </row>
    <row r="236" spans="16:22" x14ac:dyDescent="0.2">
      <c r="P236" t="s">
        <v>549</v>
      </c>
      <c r="Q236">
        <v>29110</v>
      </c>
      <c r="R236">
        <v>41</v>
      </c>
      <c r="T236" s="2" t="s">
        <v>766</v>
      </c>
      <c r="U236" s="2">
        <v>294009</v>
      </c>
      <c r="V236" s="2">
        <v>31</v>
      </c>
    </row>
    <row r="237" spans="16:22" x14ac:dyDescent="0.2">
      <c r="P237" t="s">
        <v>571</v>
      </c>
      <c r="Q237">
        <v>29120</v>
      </c>
      <c r="R237">
        <v>11</v>
      </c>
      <c r="T237" s="2" t="s">
        <v>685</v>
      </c>
      <c r="U237" s="2">
        <v>294011</v>
      </c>
      <c r="V237" s="2">
        <v>31</v>
      </c>
    </row>
    <row r="238" spans="16:22" x14ac:dyDescent="0.2">
      <c r="P238" t="s">
        <v>572</v>
      </c>
      <c r="Q238">
        <v>29130</v>
      </c>
      <c r="R238">
        <v>11</v>
      </c>
      <c r="T238" s="2" t="s">
        <v>686</v>
      </c>
      <c r="U238" s="2">
        <v>294018</v>
      </c>
      <c r="V238" s="2">
        <v>21</v>
      </c>
    </row>
    <row r="239" spans="16:22" x14ac:dyDescent="0.2">
      <c r="P239" t="s">
        <v>151</v>
      </c>
      <c r="Q239">
        <v>31110</v>
      </c>
      <c r="R239">
        <v>61</v>
      </c>
      <c r="T239" s="2" t="s">
        <v>728</v>
      </c>
      <c r="U239" s="2">
        <v>294019</v>
      </c>
      <c r="V239" s="2">
        <v>31</v>
      </c>
    </row>
    <row r="240" spans="16:22" x14ac:dyDescent="0.2">
      <c r="P240" t="s">
        <v>152</v>
      </c>
      <c r="Q240">
        <v>32110</v>
      </c>
      <c r="R240">
        <v>61</v>
      </c>
      <c r="T240" s="2" t="s">
        <v>687</v>
      </c>
      <c r="U240" s="2">
        <v>294020</v>
      </c>
      <c r="V240" s="2">
        <v>21</v>
      </c>
    </row>
    <row r="241" spans="16:22" x14ac:dyDescent="0.2">
      <c r="P241" t="s">
        <v>153</v>
      </c>
      <c r="Q241">
        <v>32210</v>
      </c>
      <c r="R241">
        <v>61</v>
      </c>
      <c r="T241" s="2" t="s">
        <v>688</v>
      </c>
      <c r="U241" s="2">
        <v>297001</v>
      </c>
      <c r="V241" s="2">
        <v>71</v>
      </c>
    </row>
    <row r="242" spans="16:22" x14ac:dyDescent="0.2">
      <c r="P242" t="s">
        <v>154</v>
      </c>
      <c r="Q242">
        <v>33110</v>
      </c>
      <c r="R242">
        <v>61</v>
      </c>
    </row>
    <row r="243" spans="16:22" x14ac:dyDescent="0.2">
      <c r="P243" t="s">
        <v>155</v>
      </c>
      <c r="Q243">
        <v>34110</v>
      </c>
      <c r="R243">
        <v>61</v>
      </c>
    </row>
    <row r="244" spans="16:22" x14ac:dyDescent="0.2">
      <c r="P244" t="s">
        <v>156</v>
      </c>
      <c r="Q244">
        <v>34120</v>
      </c>
      <c r="R244">
        <v>61</v>
      </c>
    </row>
    <row r="245" spans="16:22" x14ac:dyDescent="0.2">
      <c r="P245" t="s">
        <v>157</v>
      </c>
      <c r="Q245">
        <v>34130</v>
      </c>
      <c r="R245">
        <v>61</v>
      </c>
    </row>
    <row r="246" spans="16:22" x14ac:dyDescent="0.2">
      <c r="P246" t="s">
        <v>158</v>
      </c>
      <c r="Q246">
        <v>34135</v>
      </c>
      <c r="R246">
        <v>61</v>
      </c>
    </row>
    <row r="247" spans="16:22" x14ac:dyDescent="0.2">
      <c r="P247" t="s">
        <v>159</v>
      </c>
      <c r="Q247">
        <v>34140</v>
      </c>
      <c r="R247">
        <v>61</v>
      </c>
    </row>
    <row r="248" spans="16:22" x14ac:dyDescent="0.2">
      <c r="P248" t="s">
        <v>160</v>
      </c>
      <c r="Q248">
        <v>34145</v>
      </c>
      <c r="R248">
        <v>61</v>
      </c>
    </row>
    <row r="249" spans="16:22" x14ac:dyDescent="0.2">
      <c r="P249" t="s">
        <v>161</v>
      </c>
      <c r="Q249">
        <v>34210</v>
      </c>
      <c r="R249">
        <v>61</v>
      </c>
    </row>
    <row r="250" spans="16:22" x14ac:dyDescent="0.2">
      <c r="P250" t="s">
        <v>162</v>
      </c>
      <c r="Q250">
        <v>34310</v>
      </c>
      <c r="R250">
        <v>61</v>
      </c>
    </row>
    <row r="251" spans="16:22" x14ac:dyDescent="0.2">
      <c r="P251" t="s">
        <v>163</v>
      </c>
      <c r="Q251">
        <v>34320</v>
      </c>
      <c r="R251">
        <v>61</v>
      </c>
    </row>
    <row r="252" spans="16:22" x14ac:dyDescent="0.2">
      <c r="P252" t="s">
        <v>164</v>
      </c>
      <c r="Q252">
        <v>35110</v>
      </c>
      <c r="R252">
        <v>71</v>
      </c>
    </row>
    <row r="253" spans="16:22" x14ac:dyDescent="0.2">
      <c r="P253" t="s">
        <v>165</v>
      </c>
      <c r="Q253">
        <v>35210</v>
      </c>
      <c r="R253">
        <v>71</v>
      </c>
    </row>
    <row r="254" spans="16:22" x14ac:dyDescent="0.2">
      <c r="P254" t="s">
        <v>166</v>
      </c>
      <c r="Q254">
        <v>35220</v>
      </c>
      <c r="R254">
        <v>71</v>
      </c>
    </row>
    <row r="255" spans="16:22" x14ac:dyDescent="0.2">
      <c r="P255" t="s">
        <v>167</v>
      </c>
      <c r="Q255">
        <v>35230</v>
      </c>
      <c r="R255">
        <v>71</v>
      </c>
    </row>
    <row r="256" spans="16:22" x14ac:dyDescent="0.2">
      <c r="P256" t="s">
        <v>168</v>
      </c>
      <c r="Q256">
        <v>35240</v>
      </c>
      <c r="R256">
        <v>71</v>
      </c>
    </row>
    <row r="257" spans="16:18" x14ac:dyDescent="0.2">
      <c r="P257" t="s">
        <v>169</v>
      </c>
      <c r="Q257">
        <v>35250</v>
      </c>
      <c r="R257">
        <v>91</v>
      </c>
    </row>
    <row r="258" spans="16:18" x14ac:dyDescent="0.2">
      <c r="P258" t="s">
        <v>696</v>
      </c>
      <c r="Q258">
        <v>35260</v>
      </c>
      <c r="R258">
        <v>71</v>
      </c>
    </row>
    <row r="259" spans="16:18" x14ac:dyDescent="0.2">
      <c r="P259" t="s">
        <v>170</v>
      </c>
      <c r="Q259">
        <v>35310</v>
      </c>
      <c r="R259">
        <v>71</v>
      </c>
    </row>
    <row r="260" spans="16:18" x14ac:dyDescent="0.2">
      <c r="P260" t="s">
        <v>171</v>
      </c>
      <c r="Q260">
        <v>35410</v>
      </c>
      <c r="R260">
        <v>71</v>
      </c>
    </row>
    <row r="261" spans="16:18" x14ac:dyDescent="0.2">
      <c r="P261" t="s">
        <v>172</v>
      </c>
      <c r="Q261">
        <v>35420</v>
      </c>
      <c r="R261">
        <v>61</v>
      </c>
    </row>
    <row r="262" spans="16:18" x14ac:dyDescent="0.2">
      <c r="P262" t="s">
        <v>173</v>
      </c>
      <c r="Q262">
        <v>35421</v>
      </c>
      <c r="R262">
        <v>61</v>
      </c>
    </row>
    <row r="263" spans="16:18" x14ac:dyDescent="0.2">
      <c r="P263" t="s">
        <v>174</v>
      </c>
      <c r="Q263">
        <v>35422</v>
      </c>
      <c r="R263">
        <v>61</v>
      </c>
    </row>
    <row r="264" spans="16:18" x14ac:dyDescent="0.2">
      <c r="P264" t="s">
        <v>175</v>
      </c>
      <c r="Q264">
        <v>35430</v>
      </c>
      <c r="R264">
        <v>51</v>
      </c>
    </row>
    <row r="265" spans="16:18" x14ac:dyDescent="0.2">
      <c r="P265" t="s">
        <v>176</v>
      </c>
      <c r="Q265">
        <v>35510</v>
      </c>
      <c r="R265">
        <v>91</v>
      </c>
    </row>
    <row r="266" spans="16:18" x14ac:dyDescent="0.2">
      <c r="P266" t="s">
        <v>178</v>
      </c>
      <c r="Q266">
        <v>35530</v>
      </c>
      <c r="R266">
        <v>91</v>
      </c>
    </row>
    <row r="267" spans="16:18" x14ac:dyDescent="0.2">
      <c r="P267" t="s">
        <v>179</v>
      </c>
      <c r="Q267">
        <v>35550</v>
      </c>
      <c r="R267">
        <v>91</v>
      </c>
    </row>
    <row r="268" spans="16:18" x14ac:dyDescent="0.2">
      <c r="P268" t="s">
        <v>180</v>
      </c>
      <c r="Q268">
        <v>39110</v>
      </c>
      <c r="R268">
        <v>61</v>
      </c>
    </row>
    <row r="269" spans="16:18" x14ac:dyDescent="0.2">
      <c r="P269" t="s">
        <v>181</v>
      </c>
      <c r="Q269">
        <v>39120</v>
      </c>
      <c r="R269">
        <v>91</v>
      </c>
    </row>
    <row r="270" spans="16:18" x14ac:dyDescent="0.2">
      <c r="P270" t="s">
        <v>182</v>
      </c>
      <c r="Q270">
        <v>39130</v>
      </c>
      <c r="R270">
        <v>71</v>
      </c>
    </row>
    <row r="271" spans="16:18" x14ac:dyDescent="0.2">
      <c r="P271" t="s">
        <v>183</v>
      </c>
      <c r="Q271">
        <v>39140</v>
      </c>
      <c r="R271">
        <v>61</v>
      </c>
    </row>
    <row r="272" spans="16:18" x14ac:dyDescent="0.2">
      <c r="P272" t="s">
        <v>184</v>
      </c>
      <c r="Q272">
        <v>39150</v>
      </c>
      <c r="R272">
        <v>61</v>
      </c>
    </row>
    <row r="273" spans="16:18" x14ac:dyDescent="0.2">
      <c r="P273" t="s">
        <v>185</v>
      </c>
      <c r="Q273">
        <v>39210</v>
      </c>
      <c r="R273">
        <v>11</v>
      </c>
    </row>
    <row r="274" spans="16:18" x14ac:dyDescent="0.2">
      <c r="P274" t="s">
        <v>186</v>
      </c>
      <c r="Q274">
        <v>39220</v>
      </c>
      <c r="R274">
        <v>11</v>
      </c>
    </row>
    <row r="275" spans="16:18" x14ac:dyDescent="0.2">
      <c r="P275" t="s">
        <v>187</v>
      </c>
      <c r="Q275">
        <v>39230</v>
      </c>
      <c r="R275">
        <v>11</v>
      </c>
    </row>
    <row r="276" spans="16:18" x14ac:dyDescent="0.2">
      <c r="P276" t="s">
        <v>188</v>
      </c>
      <c r="Q276">
        <v>39240</v>
      </c>
      <c r="R276">
        <v>11</v>
      </c>
    </row>
    <row r="277" spans="16:18" x14ac:dyDescent="0.2">
      <c r="P277" t="s">
        <v>189</v>
      </c>
      <c r="Q277">
        <v>39250</v>
      </c>
      <c r="R277">
        <v>11</v>
      </c>
    </row>
    <row r="278" spans="16:18" x14ac:dyDescent="0.2">
      <c r="P278" t="s">
        <v>190</v>
      </c>
      <c r="Q278">
        <v>39260</v>
      </c>
      <c r="R278">
        <v>11</v>
      </c>
    </row>
    <row r="279" spans="16:18" x14ac:dyDescent="0.2">
      <c r="P279" t="s">
        <v>191</v>
      </c>
      <c r="Q279">
        <v>39265</v>
      </c>
      <c r="R279">
        <v>11</v>
      </c>
    </row>
    <row r="280" spans="16:18" x14ac:dyDescent="0.2">
      <c r="P280" t="s">
        <v>192</v>
      </c>
      <c r="Q280">
        <v>39270</v>
      </c>
      <c r="R280">
        <v>11</v>
      </c>
    </row>
    <row r="281" spans="16:18" x14ac:dyDescent="0.2">
      <c r="P281" t="s">
        <v>193</v>
      </c>
      <c r="Q281">
        <v>39280</v>
      </c>
      <c r="R281">
        <v>11</v>
      </c>
    </row>
    <row r="282" spans="16:18" x14ac:dyDescent="0.2">
      <c r="P282" t="s">
        <v>194</v>
      </c>
      <c r="Q282">
        <v>39290</v>
      </c>
      <c r="R282">
        <v>11</v>
      </c>
    </row>
    <row r="283" spans="16:18" x14ac:dyDescent="0.2">
      <c r="P283" t="s">
        <v>195</v>
      </c>
      <c r="Q283">
        <v>39310</v>
      </c>
      <c r="R283">
        <v>61</v>
      </c>
    </row>
    <row r="284" spans="16:18" x14ac:dyDescent="0.2">
      <c r="P284" t="s">
        <v>196</v>
      </c>
      <c r="Q284">
        <v>39320</v>
      </c>
      <c r="R284">
        <v>61</v>
      </c>
    </row>
    <row r="285" spans="16:18" x14ac:dyDescent="0.2">
      <c r="P285" t="s">
        <v>197</v>
      </c>
      <c r="Q285">
        <v>39330</v>
      </c>
      <c r="R285">
        <v>61</v>
      </c>
    </row>
    <row r="286" spans="16:18" x14ac:dyDescent="0.2">
      <c r="P286" t="s">
        <v>558</v>
      </c>
      <c r="Q286">
        <v>39340</v>
      </c>
      <c r="R286">
        <v>61</v>
      </c>
    </row>
    <row r="287" spans="16:18" x14ac:dyDescent="0.2">
      <c r="P287" t="s">
        <v>198</v>
      </c>
      <c r="Q287">
        <v>39410</v>
      </c>
      <c r="R287">
        <v>61</v>
      </c>
    </row>
    <row r="288" spans="16:18" x14ac:dyDescent="0.2">
      <c r="P288" t="s">
        <v>737</v>
      </c>
      <c r="Q288">
        <v>39500</v>
      </c>
      <c r="R288">
        <v>61</v>
      </c>
    </row>
    <row r="289" spans="16:18" x14ac:dyDescent="0.2">
      <c r="P289" t="s">
        <v>199</v>
      </c>
      <c r="Q289">
        <v>41110</v>
      </c>
      <c r="R289">
        <v>61</v>
      </c>
    </row>
    <row r="290" spans="16:18" x14ac:dyDescent="0.2">
      <c r="P290" t="s">
        <v>200</v>
      </c>
      <c r="Q290">
        <v>41210</v>
      </c>
      <c r="R290">
        <v>61</v>
      </c>
    </row>
    <row r="291" spans="16:18" x14ac:dyDescent="0.2">
      <c r="P291" t="s">
        <v>201</v>
      </c>
      <c r="Q291">
        <v>41220</v>
      </c>
      <c r="R291">
        <v>51</v>
      </c>
    </row>
    <row r="292" spans="16:18" x14ac:dyDescent="0.2">
      <c r="P292" t="s">
        <v>202</v>
      </c>
      <c r="Q292">
        <v>41310</v>
      </c>
      <c r="R292">
        <v>61</v>
      </c>
    </row>
    <row r="293" spans="16:18" x14ac:dyDescent="0.2">
      <c r="P293" t="s">
        <v>203</v>
      </c>
      <c r="Q293">
        <v>41410</v>
      </c>
      <c r="R293">
        <v>61</v>
      </c>
    </row>
    <row r="294" spans="16:18" x14ac:dyDescent="0.2">
      <c r="P294" t="s">
        <v>204</v>
      </c>
      <c r="Q294">
        <v>41510</v>
      </c>
      <c r="R294">
        <v>61</v>
      </c>
    </row>
    <row r="295" spans="16:18" x14ac:dyDescent="0.2">
      <c r="P295" t="s">
        <v>205</v>
      </c>
      <c r="Q295">
        <v>41610</v>
      </c>
      <c r="R295">
        <v>61</v>
      </c>
    </row>
    <row r="296" spans="16:18" x14ac:dyDescent="0.2">
      <c r="P296" t="s">
        <v>206</v>
      </c>
      <c r="Q296">
        <v>45110</v>
      </c>
      <c r="R296">
        <v>61</v>
      </c>
    </row>
    <row r="297" spans="16:18" x14ac:dyDescent="0.2">
      <c r="P297" t="s">
        <v>207</v>
      </c>
      <c r="Q297">
        <v>45210</v>
      </c>
      <c r="R297">
        <v>61</v>
      </c>
    </row>
    <row r="298" spans="16:18" x14ac:dyDescent="0.2">
      <c r="P298" t="s">
        <v>208</v>
      </c>
      <c r="Q298">
        <v>45220</v>
      </c>
      <c r="R298">
        <v>61</v>
      </c>
    </row>
    <row r="299" spans="16:18" x14ac:dyDescent="0.2">
      <c r="P299" t="s">
        <v>209</v>
      </c>
      <c r="Q299">
        <v>45230</v>
      </c>
      <c r="R299">
        <v>61</v>
      </c>
    </row>
    <row r="300" spans="16:18" x14ac:dyDescent="0.2">
      <c r="P300" t="s">
        <v>210</v>
      </c>
      <c r="Q300">
        <v>45240</v>
      </c>
      <c r="R300">
        <v>61</v>
      </c>
    </row>
    <row r="301" spans="16:18" x14ac:dyDescent="0.2">
      <c r="P301" t="s">
        <v>211</v>
      </c>
      <c r="Q301">
        <v>45310</v>
      </c>
      <c r="R301">
        <v>61</v>
      </c>
    </row>
    <row r="302" spans="16:18" x14ac:dyDescent="0.2">
      <c r="P302" t="s">
        <v>212</v>
      </c>
      <c r="Q302">
        <v>45320</v>
      </c>
      <c r="R302">
        <v>61</v>
      </c>
    </row>
    <row r="303" spans="16:18" x14ac:dyDescent="0.2">
      <c r="P303" t="s">
        <v>213</v>
      </c>
      <c r="Q303">
        <v>45330</v>
      </c>
      <c r="R303">
        <v>61</v>
      </c>
    </row>
    <row r="304" spans="16:18" x14ac:dyDescent="0.2">
      <c r="P304" t="s">
        <v>214</v>
      </c>
      <c r="Q304">
        <v>45340</v>
      </c>
      <c r="R304">
        <v>61</v>
      </c>
    </row>
    <row r="305" spans="16:18" x14ac:dyDescent="0.2">
      <c r="P305" t="s">
        <v>215</v>
      </c>
      <c r="Q305">
        <v>45410</v>
      </c>
      <c r="R305">
        <v>61</v>
      </c>
    </row>
    <row r="306" spans="16:18" x14ac:dyDescent="0.2">
      <c r="P306" t="s">
        <v>216</v>
      </c>
      <c r="Q306">
        <v>51110</v>
      </c>
      <c r="R306">
        <v>61</v>
      </c>
    </row>
    <row r="307" spans="16:18" x14ac:dyDescent="0.2">
      <c r="P307" t="s">
        <v>218</v>
      </c>
      <c r="Q307">
        <v>51220</v>
      </c>
      <c r="R307">
        <v>61</v>
      </c>
    </row>
    <row r="308" spans="16:18" x14ac:dyDescent="0.2">
      <c r="P308" t="s">
        <v>219</v>
      </c>
      <c r="Q308">
        <v>51230</v>
      </c>
      <c r="R308">
        <v>41</v>
      </c>
    </row>
    <row r="309" spans="16:18" x14ac:dyDescent="0.2">
      <c r="P309" t="s">
        <v>220</v>
      </c>
      <c r="Q309">
        <v>51310</v>
      </c>
      <c r="R309">
        <v>61</v>
      </c>
    </row>
    <row r="310" spans="16:18" x14ac:dyDescent="0.2">
      <c r="P310" t="s">
        <v>221</v>
      </c>
      <c r="Q310">
        <v>51320</v>
      </c>
      <c r="R310">
        <v>61</v>
      </c>
    </row>
    <row r="311" spans="16:18" x14ac:dyDescent="0.2">
      <c r="P311" t="s">
        <v>222</v>
      </c>
      <c r="Q311">
        <v>51330</v>
      </c>
      <c r="R311">
        <v>61</v>
      </c>
    </row>
    <row r="312" spans="16:18" x14ac:dyDescent="0.2">
      <c r="P312" t="s">
        <v>223</v>
      </c>
      <c r="Q312">
        <v>51340</v>
      </c>
      <c r="R312">
        <v>61</v>
      </c>
    </row>
    <row r="313" spans="16:18" x14ac:dyDescent="0.2">
      <c r="P313" t="s">
        <v>738</v>
      </c>
      <c r="Q313">
        <v>51350</v>
      </c>
      <c r="R313">
        <v>61</v>
      </c>
    </row>
    <row r="314" spans="16:18" x14ac:dyDescent="0.2">
      <c r="P314" t="s">
        <v>225</v>
      </c>
      <c r="Q314">
        <v>51410</v>
      </c>
      <c r="R314">
        <v>61</v>
      </c>
    </row>
    <row r="315" spans="16:18" x14ac:dyDescent="0.2">
      <c r="P315" t="s">
        <v>226</v>
      </c>
      <c r="Q315">
        <v>51420</v>
      </c>
      <c r="R315">
        <v>61</v>
      </c>
    </row>
    <row r="316" spans="16:18" x14ac:dyDescent="0.2">
      <c r="P316" t="s">
        <v>550</v>
      </c>
      <c r="Q316">
        <v>51510</v>
      </c>
      <c r="R316">
        <v>61</v>
      </c>
    </row>
    <row r="317" spans="16:18" x14ac:dyDescent="0.2">
      <c r="P317" t="s">
        <v>228</v>
      </c>
      <c r="Q317">
        <v>52110</v>
      </c>
      <c r="R317">
        <v>61</v>
      </c>
    </row>
    <row r="318" spans="16:18" x14ac:dyDescent="0.2">
      <c r="P318" t="s">
        <v>229</v>
      </c>
      <c r="Q318">
        <v>52210</v>
      </c>
      <c r="R318">
        <v>61</v>
      </c>
    </row>
    <row r="319" spans="16:18" x14ac:dyDescent="0.2">
      <c r="P319" t="s">
        <v>230</v>
      </c>
      <c r="Q319">
        <v>52310</v>
      </c>
      <c r="R319">
        <v>61</v>
      </c>
    </row>
    <row r="320" spans="16:18" x14ac:dyDescent="0.2">
      <c r="P320" t="s">
        <v>231</v>
      </c>
      <c r="Q320">
        <v>53110</v>
      </c>
      <c r="R320">
        <v>61</v>
      </c>
    </row>
    <row r="321" spans="16:18" x14ac:dyDescent="0.2">
      <c r="P321" t="s">
        <v>232</v>
      </c>
      <c r="Q321">
        <v>54110</v>
      </c>
      <c r="R321">
        <v>61</v>
      </c>
    </row>
    <row r="322" spans="16:18" x14ac:dyDescent="0.2">
      <c r="P322" t="s">
        <v>233</v>
      </c>
      <c r="Q322">
        <v>54120</v>
      </c>
      <c r="R322">
        <v>61</v>
      </c>
    </row>
    <row r="323" spans="16:18" x14ac:dyDescent="0.2">
      <c r="P323" t="s">
        <v>234</v>
      </c>
      <c r="Q323">
        <v>54130</v>
      </c>
      <c r="R323">
        <v>61</v>
      </c>
    </row>
    <row r="324" spans="16:18" x14ac:dyDescent="0.2">
      <c r="P324" t="s">
        <v>235</v>
      </c>
      <c r="Q324">
        <v>54140</v>
      </c>
      <c r="R324">
        <v>61</v>
      </c>
    </row>
    <row r="325" spans="16:18" x14ac:dyDescent="0.2">
      <c r="P325" t="s">
        <v>236</v>
      </c>
      <c r="Q325">
        <v>54210</v>
      </c>
      <c r="R325">
        <v>61</v>
      </c>
    </row>
    <row r="326" spans="16:18" x14ac:dyDescent="0.2">
      <c r="P326" t="s">
        <v>237</v>
      </c>
      <c r="Q326">
        <v>54220</v>
      </c>
      <c r="R326">
        <v>61</v>
      </c>
    </row>
    <row r="327" spans="16:18" x14ac:dyDescent="0.2">
      <c r="P327" t="s">
        <v>238</v>
      </c>
      <c r="Q327">
        <v>54310</v>
      </c>
      <c r="R327">
        <v>61</v>
      </c>
    </row>
    <row r="328" spans="16:18" x14ac:dyDescent="0.2">
      <c r="P328" t="s">
        <v>239</v>
      </c>
      <c r="Q328">
        <v>54410</v>
      </c>
      <c r="R328">
        <v>61</v>
      </c>
    </row>
    <row r="329" spans="16:18" x14ac:dyDescent="0.2">
      <c r="P329" t="s">
        <v>240</v>
      </c>
      <c r="Q329">
        <v>54510</v>
      </c>
      <c r="R329">
        <v>61</v>
      </c>
    </row>
    <row r="330" spans="16:18" x14ac:dyDescent="0.2">
      <c r="P330" t="s">
        <v>241</v>
      </c>
      <c r="Q330">
        <v>54610</v>
      </c>
      <c r="R330">
        <v>61</v>
      </c>
    </row>
    <row r="331" spans="16:18" x14ac:dyDescent="0.2">
      <c r="P331" t="s">
        <v>242</v>
      </c>
      <c r="Q331">
        <v>61110</v>
      </c>
      <c r="R331">
        <v>61</v>
      </c>
    </row>
    <row r="332" spans="16:18" x14ac:dyDescent="0.2">
      <c r="P332" t="s">
        <v>243</v>
      </c>
      <c r="Q332">
        <v>62110</v>
      </c>
      <c r="R332">
        <v>61</v>
      </c>
    </row>
    <row r="333" spans="16:18" x14ac:dyDescent="0.2">
      <c r="P333" t="s">
        <v>244</v>
      </c>
      <c r="Q333">
        <v>63110</v>
      </c>
      <c r="R333">
        <v>61</v>
      </c>
    </row>
    <row r="334" spans="16:18" x14ac:dyDescent="0.2">
      <c r="P334" t="s">
        <v>584</v>
      </c>
      <c r="Q334">
        <v>63210</v>
      </c>
      <c r="R334">
        <v>61</v>
      </c>
    </row>
    <row r="335" spans="16:18" x14ac:dyDescent="0.2">
      <c r="P335" t="s">
        <v>585</v>
      </c>
      <c r="Q335">
        <v>63220</v>
      </c>
      <c r="R335">
        <v>61</v>
      </c>
    </row>
    <row r="336" spans="16:18" x14ac:dyDescent="0.2">
      <c r="P336" t="s">
        <v>586</v>
      </c>
      <c r="Q336">
        <v>63230</v>
      </c>
      <c r="R336">
        <v>61</v>
      </c>
    </row>
    <row r="337" spans="16:18" x14ac:dyDescent="0.2">
      <c r="P337" t="s">
        <v>587</v>
      </c>
      <c r="Q337">
        <v>63240</v>
      </c>
      <c r="R337">
        <v>61</v>
      </c>
    </row>
    <row r="338" spans="16:18" x14ac:dyDescent="0.2">
      <c r="P338" t="s">
        <v>588</v>
      </c>
      <c r="Q338">
        <v>63250</v>
      </c>
      <c r="R338">
        <v>61</v>
      </c>
    </row>
    <row r="339" spans="16:18" x14ac:dyDescent="0.2">
      <c r="P339" t="s">
        <v>589</v>
      </c>
      <c r="Q339">
        <v>63260</v>
      </c>
      <c r="R339">
        <v>61</v>
      </c>
    </row>
    <row r="340" spans="16:18" x14ac:dyDescent="0.2">
      <c r="P340" t="s">
        <v>590</v>
      </c>
      <c r="Q340">
        <v>63270</v>
      </c>
      <c r="R340">
        <v>61</v>
      </c>
    </row>
    <row r="341" spans="16:18" x14ac:dyDescent="0.2">
      <c r="P341" t="s">
        <v>591</v>
      </c>
      <c r="Q341">
        <v>63280</v>
      </c>
      <c r="R341">
        <v>61</v>
      </c>
    </row>
    <row r="342" spans="16:18" x14ac:dyDescent="0.2">
      <c r="P342" t="s">
        <v>697</v>
      </c>
      <c r="Q342">
        <v>63290</v>
      </c>
      <c r="R342">
        <v>61</v>
      </c>
    </row>
    <row r="343" spans="16:18" x14ac:dyDescent="0.2">
      <c r="P343" t="s">
        <v>253</v>
      </c>
      <c r="Q343">
        <v>63310</v>
      </c>
      <c r="R343">
        <v>61</v>
      </c>
    </row>
    <row r="344" spans="16:18" x14ac:dyDescent="0.2">
      <c r="P344" t="s">
        <v>254</v>
      </c>
      <c r="Q344">
        <v>63410</v>
      </c>
      <c r="R344">
        <v>61</v>
      </c>
    </row>
    <row r="345" spans="16:18" x14ac:dyDescent="0.2">
      <c r="P345" t="s">
        <v>255</v>
      </c>
      <c r="Q345">
        <v>64110</v>
      </c>
      <c r="R345">
        <v>61</v>
      </c>
    </row>
    <row r="346" spans="16:18" x14ac:dyDescent="0.2">
      <c r="P346" t="s">
        <v>256</v>
      </c>
      <c r="Q346">
        <v>64120</v>
      </c>
      <c r="R346">
        <v>61</v>
      </c>
    </row>
    <row r="347" spans="16:18" x14ac:dyDescent="0.2">
      <c r="P347" t="s">
        <v>257</v>
      </c>
      <c r="Q347">
        <v>64130</v>
      </c>
      <c r="R347">
        <v>61</v>
      </c>
    </row>
    <row r="348" spans="16:18" x14ac:dyDescent="0.2">
      <c r="P348" t="s">
        <v>258</v>
      </c>
      <c r="Q348">
        <v>64140</v>
      </c>
      <c r="R348">
        <v>61</v>
      </c>
    </row>
    <row r="349" spans="16:18" x14ac:dyDescent="0.2">
      <c r="P349" t="s">
        <v>259</v>
      </c>
      <c r="Q349">
        <v>64210</v>
      </c>
      <c r="R349">
        <v>61</v>
      </c>
    </row>
    <row r="350" spans="16:18" x14ac:dyDescent="0.2">
      <c r="P350" t="s">
        <v>260</v>
      </c>
      <c r="Q350">
        <v>64220</v>
      </c>
      <c r="R350">
        <v>61</v>
      </c>
    </row>
    <row r="351" spans="16:18" x14ac:dyDescent="0.2">
      <c r="P351" t="s">
        <v>261</v>
      </c>
      <c r="Q351">
        <v>64230</v>
      </c>
      <c r="R351">
        <v>61</v>
      </c>
    </row>
    <row r="352" spans="16:18" x14ac:dyDescent="0.2">
      <c r="P352" t="s">
        <v>262</v>
      </c>
      <c r="Q352">
        <v>64240</v>
      </c>
      <c r="R352">
        <v>61</v>
      </c>
    </row>
    <row r="353" spans="16:18" x14ac:dyDescent="0.2">
      <c r="P353" t="s">
        <v>263</v>
      </c>
      <c r="Q353">
        <v>64250</v>
      </c>
      <c r="R353">
        <v>61</v>
      </c>
    </row>
    <row r="354" spans="16:18" x14ac:dyDescent="0.2">
      <c r="P354" t="s">
        <v>264</v>
      </c>
      <c r="Q354">
        <v>64260</v>
      </c>
      <c r="R354">
        <v>61</v>
      </c>
    </row>
    <row r="355" spans="16:18" x14ac:dyDescent="0.2">
      <c r="P355" t="s">
        <v>698</v>
      </c>
      <c r="Q355">
        <v>64270</v>
      </c>
      <c r="R355">
        <v>61</v>
      </c>
    </row>
    <row r="356" spans="16:18" x14ac:dyDescent="0.2">
      <c r="P356" t="s">
        <v>265</v>
      </c>
      <c r="Q356">
        <v>71110</v>
      </c>
      <c r="R356">
        <v>51</v>
      </c>
    </row>
    <row r="357" spans="16:18" x14ac:dyDescent="0.2">
      <c r="P357" t="s">
        <v>266</v>
      </c>
      <c r="Q357">
        <v>71210</v>
      </c>
      <c r="R357">
        <v>61</v>
      </c>
    </row>
    <row r="358" spans="16:18" x14ac:dyDescent="0.2">
      <c r="P358" t="s">
        <v>267</v>
      </c>
      <c r="Q358">
        <v>72110</v>
      </c>
      <c r="R358">
        <v>51</v>
      </c>
    </row>
    <row r="359" spans="16:18" x14ac:dyDescent="0.2">
      <c r="P359" t="s">
        <v>268</v>
      </c>
      <c r="Q359">
        <v>72210</v>
      </c>
      <c r="R359">
        <v>51</v>
      </c>
    </row>
    <row r="360" spans="16:18" x14ac:dyDescent="0.2">
      <c r="P360" t="s">
        <v>269</v>
      </c>
      <c r="Q360">
        <v>72220</v>
      </c>
      <c r="R360">
        <v>51</v>
      </c>
    </row>
    <row r="361" spans="16:18" x14ac:dyDescent="0.2">
      <c r="P361" t="s">
        <v>270</v>
      </c>
      <c r="Q361">
        <v>72230</v>
      </c>
      <c r="R361">
        <v>51</v>
      </c>
    </row>
    <row r="362" spans="16:18" x14ac:dyDescent="0.2">
      <c r="P362" t="s">
        <v>271</v>
      </c>
      <c r="Q362">
        <v>72240</v>
      </c>
      <c r="R362">
        <v>51</v>
      </c>
    </row>
    <row r="363" spans="16:18" x14ac:dyDescent="0.2">
      <c r="P363" t="s">
        <v>272</v>
      </c>
      <c r="Q363">
        <v>72250</v>
      </c>
      <c r="R363">
        <v>51</v>
      </c>
    </row>
    <row r="364" spans="16:18" x14ac:dyDescent="0.2">
      <c r="P364" t="s">
        <v>273</v>
      </c>
      <c r="Q364">
        <v>72260</v>
      </c>
      <c r="R364">
        <v>51</v>
      </c>
    </row>
    <row r="365" spans="16:18" x14ac:dyDescent="0.2">
      <c r="P365" t="s">
        <v>274</v>
      </c>
      <c r="Q365">
        <v>72270</v>
      </c>
      <c r="R365">
        <v>51</v>
      </c>
    </row>
    <row r="366" spans="16:18" x14ac:dyDescent="0.2">
      <c r="P366" t="s">
        <v>275</v>
      </c>
      <c r="Q366">
        <v>72280</v>
      </c>
      <c r="R366">
        <v>51</v>
      </c>
    </row>
    <row r="367" spans="16:18" x14ac:dyDescent="0.2">
      <c r="P367" t="s">
        <v>699</v>
      </c>
      <c r="Q367">
        <v>72310</v>
      </c>
      <c r="R367">
        <v>51</v>
      </c>
    </row>
    <row r="368" spans="16:18" x14ac:dyDescent="0.2">
      <c r="P368" t="s">
        <v>277</v>
      </c>
      <c r="Q368">
        <v>72320</v>
      </c>
      <c r="R368">
        <v>51</v>
      </c>
    </row>
    <row r="369" spans="16:18" x14ac:dyDescent="0.2">
      <c r="P369" t="s">
        <v>278</v>
      </c>
      <c r="Q369">
        <v>72330</v>
      </c>
      <c r="R369">
        <v>51</v>
      </c>
    </row>
    <row r="370" spans="16:18" x14ac:dyDescent="0.2">
      <c r="P370" t="s">
        <v>279</v>
      </c>
      <c r="Q370">
        <v>72410</v>
      </c>
      <c r="R370">
        <v>51</v>
      </c>
    </row>
    <row r="371" spans="16:18" x14ac:dyDescent="0.2">
      <c r="P371" t="s">
        <v>280</v>
      </c>
      <c r="Q371">
        <v>72420</v>
      </c>
      <c r="R371">
        <v>51</v>
      </c>
    </row>
    <row r="372" spans="16:18" x14ac:dyDescent="0.2">
      <c r="P372" t="s">
        <v>281</v>
      </c>
      <c r="Q372">
        <v>72430</v>
      </c>
      <c r="R372">
        <v>81</v>
      </c>
    </row>
    <row r="373" spans="16:18" x14ac:dyDescent="0.2">
      <c r="P373" t="s">
        <v>282</v>
      </c>
      <c r="Q373">
        <v>72510</v>
      </c>
      <c r="R373">
        <v>51</v>
      </c>
    </row>
    <row r="374" spans="16:18" x14ac:dyDescent="0.2">
      <c r="P374" t="s">
        <v>283</v>
      </c>
      <c r="Q374">
        <v>72520</v>
      </c>
      <c r="R374">
        <v>51</v>
      </c>
    </row>
    <row r="375" spans="16:18" x14ac:dyDescent="0.2">
      <c r="P375" t="s">
        <v>284</v>
      </c>
      <c r="Q375">
        <v>72530</v>
      </c>
      <c r="R375">
        <v>51</v>
      </c>
    </row>
    <row r="376" spans="16:18" x14ac:dyDescent="0.2">
      <c r="P376" t="s">
        <v>285</v>
      </c>
      <c r="Q376">
        <v>72540</v>
      </c>
      <c r="R376">
        <v>51</v>
      </c>
    </row>
    <row r="377" spans="16:18" x14ac:dyDescent="0.2">
      <c r="P377" t="s">
        <v>286</v>
      </c>
      <c r="Q377">
        <v>72550</v>
      </c>
      <c r="R377">
        <v>51</v>
      </c>
    </row>
    <row r="378" spans="16:18" x14ac:dyDescent="0.2">
      <c r="P378" t="s">
        <v>287</v>
      </c>
      <c r="Q378">
        <v>72610</v>
      </c>
      <c r="R378">
        <v>51</v>
      </c>
    </row>
    <row r="379" spans="16:18" x14ac:dyDescent="0.2">
      <c r="P379" t="s">
        <v>288</v>
      </c>
      <c r="Q379">
        <v>72620</v>
      </c>
      <c r="R379">
        <v>51</v>
      </c>
    </row>
    <row r="380" spans="16:18" x14ac:dyDescent="0.2">
      <c r="P380" t="s">
        <v>289</v>
      </c>
      <c r="Q380">
        <v>72630</v>
      </c>
      <c r="R380">
        <v>51</v>
      </c>
    </row>
    <row r="381" spans="16:18" x14ac:dyDescent="0.2">
      <c r="P381" t="s">
        <v>290</v>
      </c>
      <c r="Q381">
        <v>72640</v>
      </c>
      <c r="R381">
        <v>51</v>
      </c>
    </row>
    <row r="382" spans="16:18" x14ac:dyDescent="0.2">
      <c r="P382" t="s">
        <v>291</v>
      </c>
      <c r="Q382">
        <v>73110</v>
      </c>
      <c r="R382">
        <v>51</v>
      </c>
    </row>
    <row r="383" spans="16:18" x14ac:dyDescent="0.2">
      <c r="P383" t="s">
        <v>292</v>
      </c>
      <c r="Q383">
        <v>73210</v>
      </c>
      <c r="R383">
        <v>51</v>
      </c>
    </row>
    <row r="384" spans="16:18" x14ac:dyDescent="0.2">
      <c r="P384" t="s">
        <v>293</v>
      </c>
      <c r="Q384">
        <v>73220</v>
      </c>
      <c r="R384">
        <v>51</v>
      </c>
    </row>
    <row r="385" spans="16:18" x14ac:dyDescent="0.2">
      <c r="P385" t="s">
        <v>294</v>
      </c>
      <c r="Q385">
        <v>73230</v>
      </c>
      <c r="R385">
        <v>51</v>
      </c>
    </row>
    <row r="386" spans="16:18" x14ac:dyDescent="0.2">
      <c r="P386" t="s">
        <v>295</v>
      </c>
      <c r="Q386">
        <v>73240</v>
      </c>
      <c r="R386">
        <v>51</v>
      </c>
    </row>
    <row r="387" spans="16:18" x14ac:dyDescent="0.2">
      <c r="P387" t="s">
        <v>296</v>
      </c>
      <c r="Q387">
        <v>73241</v>
      </c>
      <c r="R387">
        <v>51</v>
      </c>
    </row>
    <row r="388" spans="16:18" x14ac:dyDescent="0.2">
      <c r="P388" t="s">
        <v>297</v>
      </c>
      <c r="Q388">
        <v>73310</v>
      </c>
      <c r="R388">
        <v>51</v>
      </c>
    </row>
    <row r="389" spans="16:18" x14ac:dyDescent="0.2">
      <c r="P389" t="s">
        <v>298</v>
      </c>
      <c r="Q389">
        <v>73320</v>
      </c>
      <c r="R389">
        <v>51</v>
      </c>
    </row>
    <row r="390" spans="16:18" x14ac:dyDescent="0.2">
      <c r="P390" t="s">
        <v>299</v>
      </c>
      <c r="Q390">
        <v>73330</v>
      </c>
      <c r="R390">
        <v>51</v>
      </c>
    </row>
    <row r="391" spans="16:18" x14ac:dyDescent="0.2">
      <c r="P391" t="s">
        <v>300</v>
      </c>
      <c r="Q391">
        <v>73340</v>
      </c>
      <c r="R391">
        <v>51</v>
      </c>
    </row>
    <row r="392" spans="16:18" x14ac:dyDescent="0.2">
      <c r="P392" t="s">
        <v>301</v>
      </c>
      <c r="Q392">
        <v>73350</v>
      </c>
      <c r="R392">
        <v>51</v>
      </c>
    </row>
    <row r="393" spans="16:18" x14ac:dyDescent="0.2">
      <c r="P393" t="s">
        <v>302</v>
      </c>
      <c r="Q393">
        <v>73351</v>
      </c>
      <c r="R393">
        <v>51</v>
      </c>
    </row>
    <row r="394" spans="16:18" x14ac:dyDescent="0.2">
      <c r="P394" t="s">
        <v>303</v>
      </c>
      <c r="Q394">
        <v>73352</v>
      </c>
      <c r="R394">
        <v>51</v>
      </c>
    </row>
    <row r="395" spans="16:18" x14ac:dyDescent="0.2">
      <c r="P395" t="s">
        <v>304</v>
      </c>
      <c r="Q395">
        <v>73353</v>
      </c>
      <c r="R395">
        <v>51</v>
      </c>
    </row>
    <row r="396" spans="16:18" x14ac:dyDescent="0.2">
      <c r="P396" t="s">
        <v>305</v>
      </c>
      <c r="Q396">
        <v>73354</v>
      </c>
      <c r="R396">
        <v>51</v>
      </c>
    </row>
    <row r="397" spans="16:18" x14ac:dyDescent="0.2">
      <c r="P397" t="s">
        <v>306</v>
      </c>
      <c r="Q397">
        <v>73355</v>
      </c>
      <c r="R397">
        <v>51</v>
      </c>
    </row>
    <row r="398" spans="16:18" x14ac:dyDescent="0.2">
      <c r="P398" t="s">
        <v>307</v>
      </c>
      <c r="Q398">
        <v>73360</v>
      </c>
      <c r="R398">
        <v>51</v>
      </c>
    </row>
    <row r="399" spans="16:18" x14ac:dyDescent="0.2">
      <c r="P399" t="s">
        <v>308</v>
      </c>
      <c r="Q399">
        <v>73370</v>
      </c>
      <c r="R399">
        <v>51</v>
      </c>
    </row>
    <row r="400" spans="16:18" x14ac:dyDescent="0.2">
      <c r="P400" t="s">
        <v>309</v>
      </c>
      <c r="Q400">
        <v>73410</v>
      </c>
      <c r="R400">
        <v>51</v>
      </c>
    </row>
    <row r="401" spans="16:18" x14ac:dyDescent="0.2">
      <c r="P401" t="s">
        <v>310</v>
      </c>
      <c r="Q401">
        <v>73420</v>
      </c>
      <c r="R401">
        <v>51</v>
      </c>
    </row>
    <row r="402" spans="16:18" x14ac:dyDescent="0.2">
      <c r="P402" t="s">
        <v>311</v>
      </c>
      <c r="Q402">
        <v>73430</v>
      </c>
      <c r="R402">
        <v>51</v>
      </c>
    </row>
    <row r="403" spans="16:18" x14ac:dyDescent="0.2">
      <c r="P403" t="s">
        <v>312</v>
      </c>
      <c r="Q403">
        <v>73440</v>
      </c>
      <c r="R403">
        <v>51</v>
      </c>
    </row>
    <row r="404" spans="16:18" x14ac:dyDescent="0.2">
      <c r="P404" t="s">
        <v>313</v>
      </c>
      <c r="Q404">
        <v>73510</v>
      </c>
      <c r="R404">
        <v>51</v>
      </c>
    </row>
    <row r="405" spans="16:18" x14ac:dyDescent="0.2">
      <c r="P405" t="s">
        <v>314</v>
      </c>
      <c r="Q405">
        <v>73610</v>
      </c>
      <c r="R405">
        <v>91</v>
      </c>
    </row>
    <row r="406" spans="16:18" x14ac:dyDescent="0.2">
      <c r="P406" t="s">
        <v>315</v>
      </c>
      <c r="Q406">
        <v>73620</v>
      </c>
      <c r="R406">
        <v>91</v>
      </c>
    </row>
    <row r="407" spans="16:18" x14ac:dyDescent="0.2">
      <c r="P407" t="s">
        <v>551</v>
      </c>
      <c r="Q407">
        <v>73630</v>
      </c>
      <c r="R407">
        <v>91</v>
      </c>
    </row>
    <row r="408" spans="16:18" x14ac:dyDescent="0.2">
      <c r="P408" t="s">
        <v>317</v>
      </c>
      <c r="Q408">
        <v>73640</v>
      </c>
      <c r="R408">
        <v>91</v>
      </c>
    </row>
    <row r="409" spans="16:18" x14ac:dyDescent="0.2">
      <c r="P409" t="s">
        <v>739</v>
      </c>
      <c r="Q409">
        <v>73650</v>
      </c>
      <c r="R409">
        <v>91</v>
      </c>
    </row>
    <row r="410" spans="16:18" x14ac:dyDescent="0.2">
      <c r="P410" t="s">
        <v>318</v>
      </c>
      <c r="Q410">
        <v>73710</v>
      </c>
      <c r="R410">
        <v>51</v>
      </c>
    </row>
    <row r="411" spans="16:18" x14ac:dyDescent="0.2">
      <c r="P411" t="s">
        <v>740</v>
      </c>
      <c r="Q411">
        <v>73720</v>
      </c>
      <c r="R411">
        <v>51</v>
      </c>
    </row>
    <row r="412" spans="16:18" x14ac:dyDescent="0.2">
      <c r="P412" t="s">
        <v>700</v>
      </c>
      <c r="Q412">
        <v>81110</v>
      </c>
      <c r="R412">
        <v>61</v>
      </c>
    </row>
    <row r="413" spans="16:18" x14ac:dyDescent="0.2">
      <c r="P413" t="s">
        <v>320</v>
      </c>
      <c r="Q413">
        <v>81120</v>
      </c>
      <c r="R413">
        <v>31</v>
      </c>
    </row>
    <row r="414" spans="16:18" x14ac:dyDescent="0.2">
      <c r="P414" t="s">
        <v>321</v>
      </c>
      <c r="Q414">
        <v>81310</v>
      </c>
      <c r="R414">
        <v>51</v>
      </c>
    </row>
    <row r="415" spans="16:18" x14ac:dyDescent="0.2">
      <c r="P415" t="s">
        <v>322</v>
      </c>
      <c r="Q415">
        <v>81320</v>
      </c>
      <c r="R415">
        <v>51</v>
      </c>
    </row>
    <row r="416" spans="16:18" x14ac:dyDescent="0.2">
      <c r="P416" t="s">
        <v>323</v>
      </c>
      <c r="Q416">
        <v>81330</v>
      </c>
      <c r="R416">
        <v>51</v>
      </c>
    </row>
    <row r="417" spans="16:18" x14ac:dyDescent="0.2">
      <c r="P417" t="s">
        <v>324</v>
      </c>
      <c r="Q417">
        <v>81340</v>
      </c>
      <c r="R417">
        <v>51</v>
      </c>
    </row>
    <row r="418" spans="16:18" x14ac:dyDescent="0.2">
      <c r="P418" t="s">
        <v>325</v>
      </c>
      <c r="Q418">
        <v>81350</v>
      </c>
      <c r="R418">
        <v>51</v>
      </c>
    </row>
    <row r="419" spans="16:18" x14ac:dyDescent="0.2">
      <c r="P419" t="s">
        <v>326</v>
      </c>
      <c r="Q419">
        <v>81360</v>
      </c>
      <c r="R419">
        <v>51</v>
      </c>
    </row>
    <row r="420" spans="16:18" x14ac:dyDescent="0.2">
      <c r="P420" t="s">
        <v>552</v>
      </c>
      <c r="Q420">
        <v>91110</v>
      </c>
      <c r="R420">
        <v>99</v>
      </c>
    </row>
    <row r="421" spans="16:18" x14ac:dyDescent="0.2">
      <c r="P421" t="s">
        <v>328</v>
      </c>
      <c r="Q421">
        <v>92110</v>
      </c>
      <c r="R421">
        <v>99</v>
      </c>
    </row>
    <row r="422" spans="16:18" x14ac:dyDescent="0.2">
      <c r="P422" t="s">
        <v>329</v>
      </c>
      <c r="Q422">
        <v>92210</v>
      </c>
      <c r="R422">
        <v>99</v>
      </c>
    </row>
    <row r="423" spans="16:18" x14ac:dyDescent="0.2">
      <c r="P423" t="s">
        <v>330</v>
      </c>
      <c r="Q423">
        <v>93110</v>
      </c>
      <c r="R423">
        <v>99</v>
      </c>
    </row>
    <row r="424" spans="16:18" x14ac:dyDescent="0.2">
      <c r="P424" t="s">
        <v>331</v>
      </c>
      <c r="Q424">
        <v>93210</v>
      </c>
      <c r="R424">
        <v>99</v>
      </c>
    </row>
    <row r="425" spans="16:18" x14ac:dyDescent="0.2">
      <c r="P425" t="s">
        <v>332</v>
      </c>
      <c r="Q425">
        <v>93220</v>
      </c>
      <c r="R425">
        <v>99</v>
      </c>
    </row>
    <row r="426" spans="16:18" x14ac:dyDescent="0.2">
      <c r="P426" t="s">
        <v>333</v>
      </c>
      <c r="Q426">
        <v>93230</v>
      </c>
      <c r="R426">
        <v>99</v>
      </c>
    </row>
    <row r="427" spans="16:18" x14ac:dyDescent="0.2">
      <c r="P427" t="s">
        <v>334</v>
      </c>
      <c r="Q427">
        <v>93240</v>
      </c>
      <c r="R427">
        <v>99</v>
      </c>
    </row>
    <row r="428" spans="16:18" x14ac:dyDescent="0.2">
      <c r="P428" t="s">
        <v>335</v>
      </c>
      <c r="Q428">
        <v>93310</v>
      </c>
      <c r="R428">
        <v>99</v>
      </c>
    </row>
    <row r="429" spans="16:18" x14ac:dyDescent="0.2">
      <c r="P429" t="s">
        <v>336</v>
      </c>
      <c r="Q429">
        <v>93320</v>
      </c>
      <c r="R429">
        <v>99</v>
      </c>
    </row>
    <row r="430" spans="16:18" x14ac:dyDescent="0.2">
      <c r="P430" t="s">
        <v>337</v>
      </c>
      <c r="Q430">
        <v>93325</v>
      </c>
      <c r="R430">
        <v>99</v>
      </c>
    </row>
    <row r="431" spans="16:18" x14ac:dyDescent="0.2">
      <c r="P431" t="s">
        <v>338</v>
      </c>
      <c r="Q431">
        <v>93330</v>
      </c>
      <c r="R431">
        <v>99</v>
      </c>
    </row>
    <row r="432" spans="16:18" x14ac:dyDescent="0.2">
      <c r="P432" t="s">
        <v>339</v>
      </c>
      <c r="Q432">
        <v>93335</v>
      </c>
      <c r="R432">
        <v>99</v>
      </c>
    </row>
    <row r="433" spans="16:18" x14ac:dyDescent="0.2">
      <c r="P433" t="s">
        <v>340</v>
      </c>
      <c r="Q433">
        <v>93340</v>
      </c>
      <c r="R433">
        <v>99</v>
      </c>
    </row>
    <row r="434" spans="16:18" x14ac:dyDescent="0.2">
      <c r="P434" t="s">
        <v>341</v>
      </c>
      <c r="Q434">
        <v>93345</v>
      </c>
      <c r="R434">
        <v>99</v>
      </c>
    </row>
    <row r="435" spans="16:18" x14ac:dyDescent="0.2">
      <c r="P435" s="2" t="s">
        <v>342</v>
      </c>
      <c r="Q435" s="2">
        <v>93350</v>
      </c>
      <c r="R435" s="2">
        <v>99</v>
      </c>
    </row>
    <row r="436" spans="16:18" x14ac:dyDescent="0.2">
      <c r="P436" s="2" t="s">
        <v>343</v>
      </c>
      <c r="Q436" s="2">
        <v>93355</v>
      </c>
      <c r="R436" s="2">
        <v>99</v>
      </c>
    </row>
    <row r="437" spans="16:18" x14ac:dyDescent="0.2">
      <c r="P437" s="2" t="s">
        <v>344</v>
      </c>
      <c r="Q437" s="2">
        <v>93360</v>
      </c>
      <c r="R437" s="2">
        <v>99</v>
      </c>
    </row>
    <row r="438" spans="16:18" x14ac:dyDescent="0.2">
      <c r="P438" s="2" t="s">
        <v>345</v>
      </c>
      <c r="Q438" s="2">
        <v>93365</v>
      </c>
      <c r="R438" s="2">
        <v>99</v>
      </c>
    </row>
    <row r="439" spans="16:18" x14ac:dyDescent="0.2">
      <c r="P439" s="2" t="s">
        <v>346</v>
      </c>
      <c r="Q439" s="2">
        <v>94110</v>
      </c>
      <c r="R439" s="2">
        <v>99</v>
      </c>
    </row>
    <row r="440" spans="16:18" x14ac:dyDescent="0.2">
      <c r="P440" s="2" t="s">
        <v>347</v>
      </c>
      <c r="Q440" s="2">
        <v>94120</v>
      </c>
      <c r="R440" s="2">
        <v>99</v>
      </c>
    </row>
    <row r="441" spans="16:18" x14ac:dyDescent="0.2">
      <c r="P441" s="2" t="s">
        <v>348</v>
      </c>
      <c r="Q441" s="2">
        <v>94130</v>
      </c>
      <c r="R441" s="2">
        <v>99</v>
      </c>
    </row>
    <row r="442" spans="16:18" x14ac:dyDescent="0.2">
      <c r="P442" s="2" t="s">
        <v>349</v>
      </c>
      <c r="Q442" s="2">
        <v>94210</v>
      </c>
      <c r="R442" s="2">
        <v>99</v>
      </c>
    </row>
    <row r="443" spans="16:18" x14ac:dyDescent="0.2">
      <c r="P443" s="2" t="s">
        <v>350</v>
      </c>
      <c r="Q443" s="2">
        <v>94310</v>
      </c>
      <c r="R443" s="2">
        <v>99</v>
      </c>
    </row>
    <row r="444" spans="16:18" x14ac:dyDescent="0.2">
      <c r="P444" s="2" t="s">
        <v>351</v>
      </c>
      <c r="Q444" s="2">
        <v>95110</v>
      </c>
      <c r="R444" s="2">
        <v>99</v>
      </c>
    </row>
  </sheetData>
  <sheetProtection password="D332" sheet="1" objects="1" scenarios="1"/>
  <mergeCells count="50">
    <mergeCell ref="F1:G2"/>
    <mergeCell ref="A3:G4"/>
    <mergeCell ref="A61:G61"/>
    <mergeCell ref="A64:A65"/>
    <mergeCell ref="B64:C65"/>
    <mergeCell ref="D64:E65"/>
    <mergeCell ref="F64:G65"/>
    <mergeCell ref="A31:A32"/>
    <mergeCell ref="C31:E31"/>
    <mergeCell ref="A34:G34"/>
    <mergeCell ref="A39:A40"/>
    <mergeCell ref="D39:F39"/>
    <mergeCell ref="B41:G41"/>
    <mergeCell ref="B44:F44"/>
    <mergeCell ref="A46:A49"/>
    <mergeCell ref="A23:A24"/>
    <mergeCell ref="B53:C53"/>
    <mergeCell ref="E53:F53"/>
    <mergeCell ref="B54:C55"/>
    <mergeCell ref="E54:F54"/>
    <mergeCell ref="D25:E25"/>
    <mergeCell ref="B26:C26"/>
    <mergeCell ref="B56:G59"/>
    <mergeCell ref="B69:C69"/>
    <mergeCell ref="B62:C62"/>
    <mergeCell ref="D62:E62"/>
    <mergeCell ref="F62:G62"/>
    <mergeCell ref="B63:C63"/>
    <mergeCell ref="D63:E63"/>
    <mergeCell ref="F63:G63"/>
    <mergeCell ref="D67:G68"/>
    <mergeCell ref="A28:A29"/>
    <mergeCell ref="D28:G28"/>
    <mergeCell ref="E12:G12"/>
    <mergeCell ref="E13:G13"/>
    <mergeCell ref="A17:G17"/>
    <mergeCell ref="A19:A20"/>
    <mergeCell ref="F19:G19"/>
    <mergeCell ref="F20:G20"/>
    <mergeCell ref="B14:C14"/>
    <mergeCell ref="E14:G14"/>
    <mergeCell ref="B15:C15"/>
    <mergeCell ref="B25:C25"/>
    <mergeCell ref="E23:G23"/>
    <mergeCell ref="B11:C11"/>
    <mergeCell ref="E11:F11"/>
    <mergeCell ref="A6:B6"/>
    <mergeCell ref="C6:F6"/>
    <mergeCell ref="A8:G8"/>
    <mergeCell ref="B10:C10"/>
  </mergeCells>
  <conditionalFormatting sqref="G46">
    <cfRule type="expression" dxfId="116" priority="16" stopIfTrue="1">
      <formula>ISERROR($G$46)</formula>
    </cfRule>
  </conditionalFormatting>
  <conditionalFormatting sqref="G47">
    <cfRule type="expression" dxfId="115" priority="15" stopIfTrue="1">
      <formula>ISERROR($G$47)</formula>
    </cfRule>
  </conditionalFormatting>
  <conditionalFormatting sqref="G48">
    <cfRule type="expression" dxfId="114" priority="14" stopIfTrue="1">
      <formula>ISERROR($G$48)</formula>
    </cfRule>
  </conditionalFormatting>
  <conditionalFormatting sqref="G49">
    <cfRule type="expression" dxfId="113" priority="13" stopIfTrue="1">
      <formula>ISERROR($G$49)</formula>
    </cfRule>
  </conditionalFormatting>
  <conditionalFormatting sqref="B10:C11 B12:B13 B14:C15 E11:F11 E12:G14 B63:G63 B53:C53 E53:F54 E15">
    <cfRule type="cellIs" dxfId="112" priority="12" stopIfTrue="1" operator="notEqual">
      <formula>$A$1</formula>
    </cfRule>
  </conditionalFormatting>
  <conditionalFormatting sqref="E10">
    <cfRule type="cellIs" dxfId="111" priority="11" stopIfTrue="1" operator="notEqual">
      <formula>$A$1</formula>
    </cfRule>
  </conditionalFormatting>
  <conditionalFormatting sqref="B46:B49">
    <cfRule type="expression" dxfId="110" priority="10" stopIfTrue="1">
      <formula>IF(SUM($B$46:$B$49)&lt;&gt;0,TRUE,FALSE)</formula>
    </cfRule>
  </conditionalFormatting>
  <conditionalFormatting sqref="C46:C49">
    <cfRule type="expression" dxfId="109" priority="9" stopIfTrue="1">
      <formula>IF(SUM($C$46:$C$49)&lt;&gt;0,TRUE,FALSE)</formula>
    </cfRule>
  </conditionalFormatting>
  <conditionalFormatting sqref="D46:D49">
    <cfRule type="expression" dxfId="108" priority="8" stopIfTrue="1">
      <formula>IF(SUM($D$46:$D$49)&lt;&gt;0,TRUE,FALSE)</formula>
    </cfRule>
  </conditionalFormatting>
  <conditionalFormatting sqref="E46:E49">
    <cfRule type="expression" dxfId="107" priority="7" stopIfTrue="1">
      <formula>IF(SUM($E$46:$E$49)&lt;&gt;0,TRUE,FALSE)</formula>
    </cfRule>
  </conditionalFormatting>
  <conditionalFormatting sqref="F46:F49">
    <cfRule type="expression" dxfId="106" priority="6" stopIfTrue="1">
      <formula>IF(SUM($F$46:$F$49)&lt;&gt;0,TRUE,FALSE)</formula>
    </cfRule>
  </conditionalFormatting>
  <conditionalFormatting sqref="A2:E2">
    <cfRule type="cellIs" dxfId="105" priority="4" stopIfTrue="1" operator="equal">
      <formula>$L$183</formula>
    </cfRule>
  </conditionalFormatting>
  <dataValidations count="8">
    <dataValidation type="list" allowBlank="1" showInputMessage="1" showErrorMessage="1" sqref="D46:D49">
      <formula1>$L$166:$L$177</formula1>
    </dataValidation>
    <dataValidation type="list" allowBlank="1" showInputMessage="1" showErrorMessage="1" sqref="C31:E31">
      <formula1>$L$151:$L$163</formula1>
    </dataValidation>
    <dataValidation type="list" allowBlank="1" showInputMessage="1" showErrorMessage="1" sqref="E13">
      <formula1>$L$91:$L$109</formula1>
    </dataValidation>
    <dataValidation type="list" allowBlank="1" showInputMessage="1" showErrorMessage="1" sqref="C36 E36 C23 C19">
      <formula1>$L$135:$L$140</formula1>
    </dataValidation>
    <dataValidation type="list" allowBlank="1" showInputMessage="1" showErrorMessage="1" sqref="E14">
      <formula1>$L$122:$L$131</formula1>
    </dataValidation>
    <dataValidation type="list" allowBlank="1" showInputMessage="1" showErrorMessage="1" sqref="E12:G12">
      <formula1>$P$91:$P$444</formula1>
    </dataValidation>
    <dataValidation type="list" allowBlank="1" showInputMessage="1" showErrorMessage="1" sqref="E23">
      <formula1>$P$91:$P$432</formula1>
    </dataValidation>
    <dataValidation type="list" allowBlank="1" showInputMessage="1" showErrorMessage="1" sqref="E11:F11">
      <formula1>$L$114:$L$118</formula1>
    </dataValidation>
  </dataValidations>
  <hyperlinks>
    <hyperlink ref="B44:F44" r:id="rId1" display="POSITION FUNDING"/>
  </hyperlinks>
  <pageMargins left="0.5" right="0.5" top="0.5" bottom="0.5" header="0.3" footer="0.3"/>
  <pageSetup scale="9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478</v>
      </c>
      <c r="C10" s="141"/>
      <c r="D10" s="6" t="s">
        <v>18</v>
      </c>
      <c r="E10" s="16">
        <f ca="1">TODAY()</f>
        <v>41199</v>
      </c>
      <c r="F10" s="5"/>
      <c r="G10" s="5"/>
    </row>
    <row r="11" spans="1:8" x14ac:dyDescent="0.2">
      <c r="A11" s="6" t="s">
        <v>15</v>
      </c>
      <c r="B11" s="140" t="s">
        <v>479</v>
      </c>
      <c r="C11" s="141"/>
      <c r="D11" s="6" t="s">
        <v>384</v>
      </c>
      <c r="E11" s="122" t="s">
        <v>22</v>
      </c>
      <c r="F11" s="122"/>
      <c r="G11" s="7"/>
    </row>
    <row r="12" spans="1:8" x14ac:dyDescent="0.2">
      <c r="A12" s="6" t="s">
        <v>16</v>
      </c>
      <c r="B12" s="54" t="s">
        <v>476</v>
      </c>
      <c r="C12" s="22" t="s">
        <v>394</v>
      </c>
      <c r="D12" s="6" t="s">
        <v>17</v>
      </c>
      <c r="E12" s="122" t="s">
        <v>31</v>
      </c>
      <c r="F12" s="122"/>
      <c r="G12" s="122"/>
    </row>
    <row r="13" spans="1:8" x14ac:dyDescent="0.2">
      <c r="A13" s="6" t="s">
        <v>513</v>
      </c>
      <c r="B13" s="55">
        <v>1907</v>
      </c>
      <c r="C13" s="22" t="s">
        <v>689</v>
      </c>
      <c r="D13" s="6" t="s">
        <v>19</v>
      </c>
      <c r="E13" s="142" t="s">
        <v>4</v>
      </c>
      <c r="F13" s="143"/>
      <c r="G13" s="144"/>
    </row>
    <row r="14" spans="1:8" x14ac:dyDescent="0.2">
      <c r="A14" s="6" t="s">
        <v>577</v>
      </c>
      <c r="B14" s="140" t="s">
        <v>477</v>
      </c>
      <c r="C14" s="141"/>
      <c r="D14" s="6" t="s">
        <v>20</v>
      </c>
      <c r="E14" s="142" t="s">
        <v>429</v>
      </c>
      <c r="F14" s="143"/>
      <c r="G14" s="144"/>
    </row>
    <row r="15" spans="1:8" x14ac:dyDescent="0.2">
      <c r="A15" s="6" t="s">
        <v>578</v>
      </c>
      <c r="B15" s="121" t="s">
        <v>480</v>
      </c>
      <c r="C15" s="122"/>
      <c r="D15" s="6" t="s">
        <v>573</v>
      </c>
      <c r="E15" s="53">
        <v>37.5</v>
      </c>
      <c r="F15" s="6" t="s">
        <v>575</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35000</v>
      </c>
      <c r="C19" s="53" t="s">
        <v>10</v>
      </c>
      <c r="D19" s="57">
        <f ca="1">TODAY()+15</f>
        <v>41214</v>
      </c>
      <c r="E19" s="57"/>
      <c r="F19" s="134" t="s">
        <v>481</v>
      </c>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21110</v>
      </c>
      <c r="D46" s="50">
        <v>611005</v>
      </c>
      <c r="E46" s="50">
        <v>61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480</v>
      </c>
      <c r="C53" s="122"/>
      <c r="D53" s="6" t="s">
        <v>374</v>
      </c>
      <c r="E53" s="123">
        <v>3123410123</v>
      </c>
      <c r="F53" s="124"/>
      <c r="G53" s="5"/>
    </row>
    <row r="54" spans="1:7" ht="12.75" customHeight="1" x14ac:dyDescent="0.2">
      <c r="A54" s="5"/>
      <c r="B54" s="106" t="s">
        <v>474</v>
      </c>
      <c r="C54" s="106"/>
      <c r="D54" s="6" t="s">
        <v>375</v>
      </c>
      <c r="E54" s="122" t="s">
        <v>482</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480</v>
      </c>
      <c r="C63" s="122"/>
      <c r="D63" s="121" t="s">
        <v>531</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04" priority="21" stopIfTrue="1">
      <formula>ISERROR($G$46)</formula>
    </cfRule>
  </conditionalFormatting>
  <conditionalFormatting sqref="G47">
    <cfRule type="expression" dxfId="103" priority="20" stopIfTrue="1">
      <formula>ISERROR($G$47)</formula>
    </cfRule>
  </conditionalFormatting>
  <conditionalFormatting sqref="G48">
    <cfRule type="expression" dxfId="102" priority="19" stopIfTrue="1">
      <formula>ISERROR($G$48)</formula>
    </cfRule>
  </conditionalFormatting>
  <conditionalFormatting sqref="G49">
    <cfRule type="expression" dxfId="101" priority="18" stopIfTrue="1">
      <formula>ISERROR($G$49)</formula>
    </cfRule>
  </conditionalFormatting>
  <conditionalFormatting sqref="B10 E10 B11 E11 B12 E12 B13 E13 B14 E14 B15 B46:F49 B53 E53 E54 B63 D63 F63">
    <cfRule type="cellIs" dxfId="100" priority="17" stopIfTrue="1" operator="notEqual">
      <formula>$A$1</formula>
    </cfRule>
  </conditionalFormatting>
  <conditionalFormatting sqref="B46">
    <cfRule type="expression" dxfId="99" priority="16" stopIfTrue="1">
      <formula>IF(SUM($B$46:$B$49)&lt;&gt;0,TRUE,FALSE)</formula>
    </cfRule>
  </conditionalFormatting>
  <conditionalFormatting sqref="B46:B49">
    <cfRule type="expression" dxfId="98" priority="15" stopIfTrue="1">
      <formula>IF(SUM($B$46:$B$49)&lt;&gt;0,TRUE,FALSE)</formula>
    </cfRule>
  </conditionalFormatting>
  <conditionalFormatting sqref="C46:C49">
    <cfRule type="expression" dxfId="97" priority="14" stopIfTrue="1">
      <formula>IF(SUM($C$46:$C$49)&lt;&gt;0,TRUE,FALSE)</formula>
    </cfRule>
  </conditionalFormatting>
  <conditionalFormatting sqref="D46:D49">
    <cfRule type="expression" dxfId="96" priority="13" stopIfTrue="1">
      <formula>IF(SUM($D$46:$D$49)&lt;&gt;0,TRUE,FALSE)</formula>
    </cfRule>
  </conditionalFormatting>
  <conditionalFormatting sqref="E46:E49">
    <cfRule type="expression" dxfId="95" priority="12" stopIfTrue="1">
      <formula>IF(SUM($E$46:$E$49)&lt;&gt;0,TRUE,FALSE)</formula>
    </cfRule>
  </conditionalFormatting>
  <conditionalFormatting sqref="F46:F49">
    <cfRule type="expression" dxfId="94" priority="11" stopIfTrue="1">
      <formula>IF(SUM($F$46:$F$49)&lt;&gt;0,TRUE,FALSE)</formula>
    </cfRule>
  </conditionalFormatting>
  <conditionalFormatting sqref="B46:B49">
    <cfRule type="expression" dxfId="93" priority="10" stopIfTrue="1">
      <formula>IF(SUM($B$46:$B$49)&lt;&gt;0,TRUE,FALSE)</formula>
    </cfRule>
  </conditionalFormatting>
  <conditionalFormatting sqref="C46:C49">
    <cfRule type="expression" dxfId="92" priority="9" stopIfTrue="1">
      <formula>IF(SUM($C$46:$C$49)&lt;&gt;0,TRUE,FALSE)</formula>
    </cfRule>
  </conditionalFormatting>
  <conditionalFormatting sqref="D46:D49">
    <cfRule type="expression" dxfId="91" priority="8" stopIfTrue="1">
      <formula>IF(SUM($D$46:$D$49)&lt;&gt;0,TRUE,FALSE)</formula>
    </cfRule>
  </conditionalFormatting>
  <conditionalFormatting sqref="E46:E49">
    <cfRule type="expression" dxfId="90" priority="7" stopIfTrue="1">
      <formula>IF(SUM($E$46:$E$49)&lt;&gt;0,TRUE,FALSE)</formula>
    </cfRule>
  </conditionalFormatting>
  <conditionalFormatting sqref="F46:F49">
    <cfRule type="expression" dxfId="89" priority="6" stopIfTrue="1">
      <formula>IF(SUM($F$46:$F$49)&lt;&gt;0,TRUE,FALSE)</formula>
    </cfRule>
  </conditionalFormatting>
  <conditionalFormatting sqref="B10:C11 B12:B13 B14:C15">
    <cfRule type="cellIs" dxfId="88" priority="5" stopIfTrue="1" operator="notEqual">
      <formula>$A$1</formula>
    </cfRule>
  </conditionalFormatting>
  <conditionalFormatting sqref="E11:F11 E12:G14">
    <cfRule type="cellIs" dxfId="87" priority="4" stopIfTrue="1" operator="notEqual">
      <formula>$A$1</formula>
    </cfRule>
  </conditionalFormatting>
  <conditionalFormatting sqref="E10">
    <cfRule type="cellIs" dxfId="86" priority="3" stopIfTrue="1" operator="notEqual">
      <formula>$A$1</formula>
    </cfRule>
  </conditionalFormatting>
  <conditionalFormatting sqref="B53:C53 E53:F54">
    <cfRule type="cellIs" dxfId="85" priority="2" stopIfTrue="1" operator="notEqual">
      <formula>$A$1</formula>
    </cfRule>
  </conditionalFormatting>
  <conditionalFormatting sqref="B63:G63">
    <cfRule type="cellIs" dxfId="8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B44:F44" r:id="rId1" display="POSITION FUNDING"/>
  </hyperlinks>
  <pageMargins left="0.5" right="0.5" top="0.5" bottom="0.5" header="0.3" footer="0.3"/>
  <pageSetup scale="94"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520</v>
      </c>
      <c r="C10" s="141"/>
      <c r="D10" s="6" t="s">
        <v>18</v>
      </c>
      <c r="E10" s="16">
        <f ca="1">TODAY()</f>
        <v>41199</v>
      </c>
      <c r="F10" s="5"/>
      <c r="G10" s="5"/>
    </row>
    <row r="11" spans="1:8" x14ac:dyDescent="0.2">
      <c r="A11" s="6" t="s">
        <v>15</v>
      </c>
      <c r="B11" s="140" t="s">
        <v>532</v>
      </c>
      <c r="C11" s="141"/>
      <c r="D11" s="6" t="s">
        <v>384</v>
      </c>
      <c r="E11" s="122" t="s">
        <v>22</v>
      </c>
      <c r="F11" s="122"/>
      <c r="G11" s="7"/>
    </row>
    <row r="12" spans="1:8" x14ac:dyDescent="0.2">
      <c r="A12" s="6" t="s">
        <v>16</v>
      </c>
      <c r="B12" s="54" t="s">
        <v>476</v>
      </c>
      <c r="C12" s="22" t="s">
        <v>394</v>
      </c>
      <c r="D12" s="6" t="s">
        <v>17</v>
      </c>
      <c r="E12" s="122" t="s">
        <v>291</v>
      </c>
      <c r="F12" s="122"/>
      <c r="G12" s="122"/>
    </row>
    <row r="13" spans="1:8" x14ac:dyDescent="0.2">
      <c r="A13" s="6" t="s">
        <v>513</v>
      </c>
      <c r="B13" s="55">
        <v>9830</v>
      </c>
      <c r="C13" s="22" t="s">
        <v>689</v>
      </c>
      <c r="D13" s="6" t="s">
        <v>19</v>
      </c>
      <c r="E13" s="142" t="s">
        <v>4</v>
      </c>
      <c r="F13" s="143"/>
      <c r="G13" s="144"/>
    </row>
    <row r="14" spans="1:8" x14ac:dyDescent="0.2">
      <c r="A14" s="6" t="s">
        <v>577</v>
      </c>
      <c r="B14" s="140" t="s">
        <v>521</v>
      </c>
      <c r="C14" s="141"/>
      <c r="D14" s="6" t="s">
        <v>20</v>
      </c>
      <c r="E14" s="142" t="s">
        <v>429</v>
      </c>
      <c r="F14" s="143"/>
      <c r="G14" s="144"/>
    </row>
    <row r="15" spans="1:8" x14ac:dyDescent="0.2">
      <c r="A15" s="6" t="s">
        <v>578</v>
      </c>
      <c r="B15" s="121" t="s">
        <v>480</v>
      </c>
      <c r="C15" s="122"/>
      <c r="D15" s="6" t="s">
        <v>573</v>
      </c>
      <c r="E15" s="53">
        <v>37.5</v>
      </c>
      <c r="F15" s="6" t="s">
        <v>575</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37000</v>
      </c>
      <c r="C19" s="61" t="s">
        <v>10</v>
      </c>
      <c r="D19" s="57">
        <f ca="1">TODAY()+15</f>
        <v>41214</v>
      </c>
      <c r="E19" s="57"/>
      <c r="F19" s="134" t="s">
        <v>533</v>
      </c>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241054</v>
      </c>
      <c r="C46" s="50">
        <v>73110</v>
      </c>
      <c r="D46" s="50">
        <v>611005</v>
      </c>
      <c r="E46" s="50">
        <v>11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480</v>
      </c>
      <c r="C53" s="122"/>
      <c r="D53" s="6" t="s">
        <v>374</v>
      </c>
      <c r="E53" s="123">
        <v>3123410123</v>
      </c>
      <c r="F53" s="124"/>
      <c r="G53" s="5"/>
    </row>
    <row r="54" spans="1:7" ht="12.75" customHeight="1" x14ac:dyDescent="0.2">
      <c r="A54" s="5"/>
      <c r="B54" s="106" t="s">
        <v>474</v>
      </c>
      <c r="C54" s="106"/>
      <c r="D54" s="6" t="s">
        <v>375</v>
      </c>
      <c r="E54" s="122" t="s">
        <v>482</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480</v>
      </c>
      <c r="C63" s="122"/>
      <c r="D63" s="121" t="s">
        <v>531</v>
      </c>
      <c r="E63" s="122"/>
      <c r="F63" s="121" t="s">
        <v>519</v>
      </c>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83" priority="14" stopIfTrue="1">
      <formula>ISERROR($G$46)</formula>
    </cfRule>
  </conditionalFormatting>
  <conditionalFormatting sqref="G47">
    <cfRule type="expression" dxfId="82" priority="13" stopIfTrue="1">
      <formula>ISERROR($G$47)</formula>
    </cfRule>
  </conditionalFormatting>
  <conditionalFormatting sqref="G48">
    <cfRule type="expression" dxfId="81" priority="12" stopIfTrue="1">
      <formula>ISERROR($G$48)</formula>
    </cfRule>
  </conditionalFormatting>
  <conditionalFormatting sqref="G49">
    <cfRule type="expression" dxfId="80" priority="11" stopIfTrue="1">
      <formula>ISERROR($G$49)</formula>
    </cfRule>
  </conditionalFormatting>
  <conditionalFormatting sqref="B46:B49">
    <cfRule type="expression" dxfId="79" priority="10" stopIfTrue="1">
      <formula>IF(SUM($B$46:$B$49)&lt;&gt;0,TRUE,FALSE)</formula>
    </cfRule>
  </conditionalFormatting>
  <conditionalFormatting sqref="C46:C49">
    <cfRule type="expression" dxfId="78" priority="9" stopIfTrue="1">
      <formula>IF(SUM($C$46:$C$49)&lt;&gt;0,TRUE,FALSE)</formula>
    </cfRule>
  </conditionalFormatting>
  <conditionalFormatting sqref="D46:D49">
    <cfRule type="expression" dxfId="77" priority="8" stopIfTrue="1">
      <formula>IF(SUM($D$46:$D$49)&lt;&gt;0,TRUE,FALSE)</formula>
    </cfRule>
  </conditionalFormatting>
  <conditionalFormatting sqref="E46:E49">
    <cfRule type="expression" dxfId="76" priority="7" stopIfTrue="1">
      <formula>IF(SUM($E$46:$E$49)&lt;&gt;0,TRUE,FALSE)</formula>
    </cfRule>
  </conditionalFormatting>
  <conditionalFormatting sqref="F46:F49">
    <cfRule type="expression" dxfId="75" priority="6" stopIfTrue="1">
      <formula>IF(SUM($F$46:$F$49)&lt;&gt;0,TRUE,FALSE)</formula>
    </cfRule>
  </conditionalFormatting>
  <conditionalFormatting sqref="B10:C11 B12:B13 B14:C15">
    <cfRule type="cellIs" dxfId="74" priority="5" stopIfTrue="1" operator="notEqual">
      <formula>$A$1</formula>
    </cfRule>
  </conditionalFormatting>
  <conditionalFormatting sqref="E11:F11 E12:G14">
    <cfRule type="cellIs" dxfId="73" priority="4" stopIfTrue="1" operator="notEqual">
      <formula>$A$1</formula>
    </cfRule>
  </conditionalFormatting>
  <conditionalFormatting sqref="E10">
    <cfRule type="cellIs" dxfId="72" priority="3" stopIfTrue="1" operator="notEqual">
      <formula>$A$1</formula>
    </cfRule>
  </conditionalFormatting>
  <conditionalFormatting sqref="B53:C53 E53:F54">
    <cfRule type="cellIs" dxfId="71" priority="2" stopIfTrue="1" operator="notEqual">
      <formula>$A$1</formula>
    </cfRule>
  </conditionalFormatting>
  <conditionalFormatting sqref="B63:G63">
    <cfRule type="cellIs" dxfId="7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483</v>
      </c>
      <c r="C10" s="141"/>
      <c r="D10" s="6" t="s">
        <v>18</v>
      </c>
      <c r="E10" s="16">
        <f ca="1">TODAY()</f>
        <v>41199</v>
      </c>
      <c r="F10" s="5"/>
      <c r="G10" s="5"/>
    </row>
    <row r="11" spans="1:8" x14ac:dyDescent="0.2">
      <c r="A11" s="6" t="s">
        <v>15</v>
      </c>
      <c r="B11" s="140" t="s">
        <v>484</v>
      </c>
      <c r="C11" s="141"/>
      <c r="D11" s="6" t="s">
        <v>384</v>
      </c>
      <c r="E11" s="122" t="s">
        <v>23</v>
      </c>
      <c r="F11" s="122"/>
      <c r="G11" s="7"/>
    </row>
    <row r="12" spans="1:8" x14ac:dyDescent="0.2">
      <c r="A12" s="6" t="s">
        <v>16</v>
      </c>
      <c r="B12" s="54">
        <v>960934210</v>
      </c>
      <c r="C12" s="22" t="s">
        <v>394</v>
      </c>
      <c r="D12" s="6" t="s">
        <v>17</v>
      </c>
      <c r="E12" s="122" t="s">
        <v>271</v>
      </c>
      <c r="F12" s="122"/>
      <c r="G12" s="122"/>
    </row>
    <row r="13" spans="1:8" x14ac:dyDescent="0.2">
      <c r="A13" s="6" t="s">
        <v>513</v>
      </c>
      <c r="B13" s="55">
        <v>2231</v>
      </c>
      <c r="C13" s="22" t="s">
        <v>689</v>
      </c>
      <c r="D13" s="6" t="s">
        <v>19</v>
      </c>
      <c r="E13" s="142" t="s">
        <v>7</v>
      </c>
      <c r="F13" s="143"/>
      <c r="G13" s="144"/>
    </row>
    <row r="14" spans="1:8" x14ac:dyDescent="0.2">
      <c r="A14" s="6" t="s">
        <v>577</v>
      </c>
      <c r="B14" s="140" t="s">
        <v>485</v>
      </c>
      <c r="C14" s="141"/>
      <c r="D14" s="6" t="s">
        <v>20</v>
      </c>
      <c r="E14" s="142" t="s">
        <v>386</v>
      </c>
      <c r="F14" s="143"/>
      <c r="G14" s="144"/>
    </row>
    <row r="15" spans="1:8" x14ac:dyDescent="0.2">
      <c r="A15" s="6" t="s">
        <v>578</v>
      </c>
      <c r="B15" s="121" t="s">
        <v>534</v>
      </c>
      <c r="C15" s="122"/>
      <c r="D15" s="6" t="s">
        <v>573</v>
      </c>
      <c r="E15" s="53">
        <v>37.5</v>
      </c>
      <c r="F15" s="6" t="s">
        <v>575</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v>26000</v>
      </c>
      <c r="C23" s="61" t="s">
        <v>10</v>
      </c>
      <c r="D23" s="57">
        <f ca="1">TODAY()+15</f>
        <v>41214</v>
      </c>
      <c r="E23" s="112" t="s">
        <v>277</v>
      </c>
      <c r="F23" s="112"/>
      <c r="G23" s="112"/>
    </row>
    <row r="24" spans="1:7" x14ac:dyDescent="0.2">
      <c r="A24" s="78"/>
      <c r="B24" s="9" t="s">
        <v>362</v>
      </c>
      <c r="C24" s="9" t="s">
        <v>363</v>
      </c>
      <c r="D24" s="9" t="s">
        <v>364</v>
      </c>
      <c r="E24" s="9" t="s">
        <v>393</v>
      </c>
      <c r="F24" s="9"/>
      <c r="G24" s="5"/>
    </row>
    <row r="25" spans="1:7" x14ac:dyDescent="0.2">
      <c r="A25" s="36"/>
      <c r="B25" s="134" t="s">
        <v>535</v>
      </c>
      <c r="C25" s="136"/>
      <c r="D25" s="134" t="s">
        <v>523</v>
      </c>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72240</v>
      </c>
      <c r="D46" s="50">
        <v>611010</v>
      </c>
      <c r="E46" s="50">
        <v>51</v>
      </c>
      <c r="F46" s="60">
        <v>1</v>
      </c>
      <c r="G46" s="27" t="str">
        <f>VLOOKUP($D46,$L$163:$M$174,2,FALSE)</f>
        <v>Clerical</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536</v>
      </c>
      <c r="C53" s="122"/>
      <c r="D53" s="6" t="s">
        <v>374</v>
      </c>
      <c r="E53" s="123">
        <v>3123410012</v>
      </c>
      <c r="F53" s="124"/>
      <c r="G53" s="5"/>
    </row>
    <row r="54" spans="1:7" ht="12.75" customHeight="1" x14ac:dyDescent="0.2">
      <c r="A54" s="5"/>
      <c r="B54" s="106" t="s">
        <v>474</v>
      </c>
      <c r="C54" s="106"/>
      <c r="D54" s="6" t="s">
        <v>375</v>
      </c>
      <c r="E54" s="122" t="s">
        <v>537</v>
      </c>
      <c r="F54" s="122"/>
      <c r="G54" s="5"/>
    </row>
    <row r="55" spans="1:7" x14ac:dyDescent="0.2">
      <c r="A55" s="5"/>
      <c r="B55" s="107"/>
      <c r="C55" s="107"/>
      <c r="D55" s="5"/>
      <c r="E55" s="5"/>
      <c r="F55" s="5"/>
      <c r="G55" s="5"/>
    </row>
    <row r="56" spans="1:7" x14ac:dyDescent="0.2">
      <c r="A56" s="6" t="s">
        <v>0</v>
      </c>
      <c r="B56" s="125" t="s">
        <v>486</v>
      </c>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534</v>
      </c>
      <c r="C63" s="122"/>
      <c r="D63" s="121" t="s">
        <v>536</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69" priority="14" stopIfTrue="1">
      <formula>ISERROR($G$46)</formula>
    </cfRule>
  </conditionalFormatting>
  <conditionalFormatting sqref="G47">
    <cfRule type="expression" dxfId="68" priority="13" stopIfTrue="1">
      <formula>ISERROR($G$47)</formula>
    </cfRule>
  </conditionalFormatting>
  <conditionalFormatting sqref="G48">
    <cfRule type="expression" dxfId="67" priority="12" stopIfTrue="1">
      <formula>ISERROR($G$48)</formula>
    </cfRule>
  </conditionalFormatting>
  <conditionalFormatting sqref="G49">
    <cfRule type="expression" dxfId="66" priority="11" stopIfTrue="1">
      <formula>ISERROR($G$49)</formula>
    </cfRule>
  </conditionalFormatting>
  <conditionalFormatting sqref="B46:B49">
    <cfRule type="expression" dxfId="65" priority="10" stopIfTrue="1">
      <formula>IF(SUM($B$46:$B$49)&lt;&gt;0,TRUE,FALSE)</formula>
    </cfRule>
  </conditionalFormatting>
  <conditionalFormatting sqref="C46:C49">
    <cfRule type="expression" dxfId="64" priority="9" stopIfTrue="1">
      <formula>IF(SUM($C$46:$C$49)&lt;&gt;0,TRUE,FALSE)</formula>
    </cfRule>
  </conditionalFormatting>
  <conditionalFormatting sqref="D46:D49">
    <cfRule type="expression" dxfId="63" priority="8" stopIfTrue="1">
      <formula>IF(SUM($D$46:$D$49)&lt;&gt;0,TRUE,FALSE)</formula>
    </cfRule>
  </conditionalFormatting>
  <conditionalFormatting sqref="E46:E49">
    <cfRule type="expression" dxfId="62" priority="7" stopIfTrue="1">
      <formula>IF(SUM($E$46:$E$49)&lt;&gt;0,TRUE,FALSE)</formula>
    </cfRule>
  </conditionalFormatting>
  <conditionalFormatting sqref="F46:F49">
    <cfRule type="expression" dxfId="61" priority="6" stopIfTrue="1">
      <formula>IF(SUM($F$46:$F$49)&lt;&gt;0,TRUE,FALSE)</formula>
    </cfRule>
  </conditionalFormatting>
  <conditionalFormatting sqref="B10:C11 B12:B13 B14:C15">
    <cfRule type="cellIs" dxfId="60" priority="5" stopIfTrue="1" operator="notEqual">
      <formula>$A$1</formula>
    </cfRule>
  </conditionalFormatting>
  <conditionalFormatting sqref="E11:F11 E12:G14">
    <cfRule type="cellIs" dxfId="59" priority="4" stopIfTrue="1" operator="notEqual">
      <formula>$A$1</formula>
    </cfRule>
  </conditionalFormatting>
  <conditionalFormatting sqref="E10">
    <cfRule type="cellIs" dxfId="58" priority="3" stopIfTrue="1" operator="notEqual">
      <formula>$A$1</formula>
    </cfRule>
  </conditionalFormatting>
  <conditionalFormatting sqref="B53:C53 E53:F54">
    <cfRule type="cellIs" dxfId="57" priority="2" stopIfTrue="1" operator="notEqual">
      <formula>$A$1</formula>
    </cfRule>
  </conditionalFormatting>
  <conditionalFormatting sqref="B63:G63">
    <cfRule type="cellIs" dxfId="56"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487</v>
      </c>
      <c r="C10" s="141"/>
      <c r="D10" s="6" t="s">
        <v>18</v>
      </c>
      <c r="E10" s="16">
        <f ca="1">TODAY()</f>
        <v>41199</v>
      </c>
      <c r="F10" s="5"/>
      <c r="G10" s="5"/>
    </row>
    <row r="11" spans="1:8" x14ac:dyDescent="0.2">
      <c r="A11" s="6" t="s">
        <v>15</v>
      </c>
      <c r="B11" s="140" t="s">
        <v>488</v>
      </c>
      <c r="C11" s="141"/>
      <c r="D11" s="6" t="s">
        <v>384</v>
      </c>
      <c r="E11" s="122" t="s">
        <v>21</v>
      </c>
      <c r="F11" s="122"/>
      <c r="G11" s="7"/>
    </row>
    <row r="12" spans="1:8" x14ac:dyDescent="0.2">
      <c r="A12" s="6" t="s">
        <v>16</v>
      </c>
      <c r="B12" s="54">
        <v>960902192</v>
      </c>
      <c r="C12" s="22" t="s">
        <v>394</v>
      </c>
      <c r="D12" s="6" t="s">
        <v>17</v>
      </c>
      <c r="E12" s="122" t="s">
        <v>94</v>
      </c>
      <c r="F12" s="122"/>
      <c r="G12" s="122"/>
    </row>
    <row r="13" spans="1:8" x14ac:dyDescent="0.2">
      <c r="A13" s="6" t="s">
        <v>513</v>
      </c>
      <c r="B13" s="55">
        <v>5573</v>
      </c>
      <c r="C13" s="22" t="s">
        <v>689</v>
      </c>
      <c r="D13" s="6" t="s">
        <v>19</v>
      </c>
      <c r="E13" s="142" t="s">
        <v>5</v>
      </c>
      <c r="F13" s="143"/>
      <c r="G13" s="144"/>
    </row>
    <row r="14" spans="1:8" x14ac:dyDescent="0.2">
      <c r="A14" s="6" t="s">
        <v>577</v>
      </c>
      <c r="B14" s="140" t="s">
        <v>491</v>
      </c>
      <c r="C14" s="141"/>
      <c r="D14" s="6" t="s">
        <v>20</v>
      </c>
      <c r="E14" s="142" t="s">
        <v>427</v>
      </c>
      <c r="F14" s="143"/>
      <c r="G14" s="144"/>
    </row>
    <row r="15" spans="1:8" x14ac:dyDescent="0.2">
      <c r="A15" s="6" t="s">
        <v>578</v>
      </c>
      <c r="B15" s="121" t="s">
        <v>489</v>
      </c>
      <c r="C15" s="122"/>
      <c r="D15" s="6" t="s">
        <v>573</v>
      </c>
      <c r="E15" s="53">
        <v>20</v>
      </c>
      <c r="F15" s="6" t="s">
        <v>575</v>
      </c>
      <c r="G15" s="62">
        <v>0.53300000000000003</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f ca="1">TODAY()+15</f>
        <v>41214</v>
      </c>
      <c r="C31" s="137" t="s">
        <v>415</v>
      </c>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24110</v>
      </c>
      <c r="D46" s="50">
        <v>611005</v>
      </c>
      <c r="E46" s="50">
        <v>41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489</v>
      </c>
      <c r="C53" s="122"/>
      <c r="D53" s="6" t="s">
        <v>374</v>
      </c>
      <c r="E53" s="123">
        <v>3123410055</v>
      </c>
      <c r="F53" s="124"/>
      <c r="G53" s="5"/>
    </row>
    <row r="54" spans="1:7" ht="12.75" customHeight="1" x14ac:dyDescent="0.2">
      <c r="A54" s="5"/>
      <c r="B54" s="106" t="s">
        <v>474</v>
      </c>
      <c r="C54" s="106"/>
      <c r="D54" s="6" t="s">
        <v>375</v>
      </c>
      <c r="E54" s="122" t="s">
        <v>490</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489</v>
      </c>
      <c r="C63" s="122"/>
      <c r="D63" s="121" t="s">
        <v>538</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55" priority="14" stopIfTrue="1">
      <formula>ISERROR($G$46)</formula>
    </cfRule>
  </conditionalFormatting>
  <conditionalFormatting sqref="G47">
    <cfRule type="expression" dxfId="54" priority="13" stopIfTrue="1">
      <formula>ISERROR($G$47)</formula>
    </cfRule>
  </conditionalFormatting>
  <conditionalFormatting sqref="G48">
    <cfRule type="expression" dxfId="53" priority="12" stopIfTrue="1">
      <formula>ISERROR($G$48)</formula>
    </cfRule>
  </conditionalFormatting>
  <conditionalFormatting sqref="G49">
    <cfRule type="expression" dxfId="52" priority="11" stopIfTrue="1">
      <formula>ISERROR($G$49)</formula>
    </cfRule>
  </conditionalFormatting>
  <conditionalFormatting sqref="B46:B49">
    <cfRule type="expression" dxfId="51" priority="10" stopIfTrue="1">
      <formula>IF(SUM($B$46:$B$49)&lt;&gt;0,TRUE,FALSE)</formula>
    </cfRule>
  </conditionalFormatting>
  <conditionalFormatting sqref="C46:C49">
    <cfRule type="expression" dxfId="50" priority="9" stopIfTrue="1">
      <formula>IF(SUM($C$46:$C$49)&lt;&gt;0,TRUE,FALSE)</formula>
    </cfRule>
  </conditionalFormatting>
  <conditionalFormatting sqref="D46:D49">
    <cfRule type="expression" dxfId="49" priority="8" stopIfTrue="1">
      <formula>IF(SUM($D$46:$D$49)&lt;&gt;0,TRUE,FALSE)</formula>
    </cfRule>
  </conditionalFormatting>
  <conditionalFormatting sqref="E46:E49">
    <cfRule type="expression" dxfId="48" priority="7" stopIfTrue="1">
      <formula>IF(SUM($E$46:$E$49)&lt;&gt;0,TRUE,FALSE)</formula>
    </cfRule>
  </conditionalFormatting>
  <conditionalFormatting sqref="F46:F49">
    <cfRule type="expression" dxfId="47" priority="6" stopIfTrue="1">
      <formula>IF(SUM($F$46:$F$49)&lt;&gt;0,TRUE,FALSE)</formula>
    </cfRule>
  </conditionalFormatting>
  <conditionalFormatting sqref="B10:C11 B12:B13 B14:C15">
    <cfRule type="cellIs" dxfId="46" priority="5" stopIfTrue="1" operator="notEqual">
      <formula>$A$1</formula>
    </cfRule>
  </conditionalFormatting>
  <conditionalFormatting sqref="E11:F11 E12:G14">
    <cfRule type="cellIs" dxfId="45" priority="4" stopIfTrue="1" operator="notEqual">
      <formula>$A$1</formula>
    </cfRule>
  </conditionalFormatting>
  <conditionalFormatting sqref="E10">
    <cfRule type="cellIs" dxfId="44" priority="3" stopIfTrue="1" operator="notEqual">
      <formula>$A$1</formula>
    </cfRule>
  </conditionalFormatting>
  <conditionalFormatting sqref="B53:C53 E53:F54">
    <cfRule type="cellIs" dxfId="43" priority="2" stopIfTrue="1" operator="notEqual">
      <formula>$A$1</formula>
    </cfRule>
  </conditionalFormatting>
  <conditionalFormatting sqref="B63:G63">
    <cfRule type="cellIs" dxfId="42"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492</v>
      </c>
      <c r="C10" s="141"/>
      <c r="D10" s="6" t="s">
        <v>18</v>
      </c>
      <c r="E10" s="16">
        <f ca="1">TODAY()</f>
        <v>41199</v>
      </c>
      <c r="F10" s="5"/>
      <c r="G10" s="5"/>
    </row>
    <row r="11" spans="1:8" x14ac:dyDescent="0.2">
      <c r="A11" s="6" t="s">
        <v>15</v>
      </c>
      <c r="B11" s="140" t="s">
        <v>493</v>
      </c>
      <c r="C11" s="141"/>
      <c r="D11" s="6" t="s">
        <v>384</v>
      </c>
      <c r="E11" s="122" t="s">
        <v>22</v>
      </c>
      <c r="F11" s="122"/>
      <c r="G11" s="7"/>
    </row>
    <row r="12" spans="1:8" x14ac:dyDescent="0.2">
      <c r="A12" s="6" t="s">
        <v>16</v>
      </c>
      <c r="B12" s="54">
        <v>960965524</v>
      </c>
      <c r="C12" s="22" t="s">
        <v>394</v>
      </c>
      <c r="D12" s="6" t="s">
        <v>17</v>
      </c>
      <c r="E12" s="122" t="s">
        <v>163</v>
      </c>
      <c r="F12" s="122"/>
      <c r="G12" s="122"/>
    </row>
    <row r="13" spans="1:8" x14ac:dyDescent="0.2">
      <c r="A13" s="6" t="s">
        <v>513</v>
      </c>
      <c r="B13" s="55">
        <v>6098</v>
      </c>
      <c r="C13" s="22" t="s">
        <v>689</v>
      </c>
      <c r="D13" s="6" t="s">
        <v>19</v>
      </c>
      <c r="E13" s="142" t="s">
        <v>411</v>
      </c>
      <c r="F13" s="143"/>
      <c r="G13" s="144"/>
    </row>
    <row r="14" spans="1:8" x14ac:dyDescent="0.2">
      <c r="A14" s="6" t="s">
        <v>577</v>
      </c>
      <c r="B14" s="140" t="s">
        <v>495</v>
      </c>
      <c r="C14" s="141"/>
      <c r="D14" s="6" t="s">
        <v>20</v>
      </c>
      <c r="E14" s="142" t="s">
        <v>428</v>
      </c>
      <c r="F14" s="143"/>
      <c r="G14" s="144"/>
    </row>
    <row r="15" spans="1:8" x14ac:dyDescent="0.2">
      <c r="A15" s="6" t="s">
        <v>578</v>
      </c>
      <c r="B15" s="121" t="s">
        <v>494</v>
      </c>
      <c r="C15" s="122"/>
      <c r="D15" s="6" t="s">
        <v>573</v>
      </c>
      <c r="E15" s="53">
        <v>17</v>
      </c>
      <c r="F15" s="6" t="s">
        <v>575</v>
      </c>
      <c r="G15" s="62">
        <v>0.45300000000000001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v>11</v>
      </c>
      <c r="C36" s="61" t="s">
        <v>11</v>
      </c>
      <c r="D36" s="56">
        <v>12</v>
      </c>
      <c r="E36" s="61" t="s">
        <v>11</v>
      </c>
      <c r="F36" s="57">
        <f ca="1">TODAY()+15</f>
        <v>41214</v>
      </c>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34320</v>
      </c>
      <c r="D46" s="50">
        <v>611035</v>
      </c>
      <c r="E46" s="50">
        <v>61</v>
      </c>
      <c r="F46" s="60">
        <v>1</v>
      </c>
      <c r="G46" s="27" t="str">
        <f>VLOOKUP($D46,$L$163:$M$174,2,FALSE)</f>
        <v>Student</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539</v>
      </c>
      <c r="C53" s="122"/>
      <c r="D53" s="6" t="s">
        <v>374</v>
      </c>
      <c r="E53" s="123">
        <v>3123410300</v>
      </c>
      <c r="F53" s="124"/>
      <c r="G53" s="5"/>
    </row>
    <row r="54" spans="1:7" ht="12.75" customHeight="1" x14ac:dyDescent="0.2">
      <c r="A54" s="5"/>
      <c r="B54" s="106" t="s">
        <v>474</v>
      </c>
      <c r="C54" s="106"/>
      <c r="D54" s="6" t="s">
        <v>375</v>
      </c>
      <c r="E54" s="122" t="s">
        <v>540</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494</v>
      </c>
      <c r="C63" s="122"/>
      <c r="D63" s="121" t="s">
        <v>539</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41" priority="14" stopIfTrue="1">
      <formula>ISERROR($G$46)</formula>
    </cfRule>
  </conditionalFormatting>
  <conditionalFormatting sqref="G47">
    <cfRule type="expression" dxfId="40" priority="13" stopIfTrue="1">
      <formula>ISERROR($G$47)</formula>
    </cfRule>
  </conditionalFormatting>
  <conditionalFormatting sqref="G48">
    <cfRule type="expression" dxfId="39" priority="12" stopIfTrue="1">
      <formula>ISERROR($G$48)</formula>
    </cfRule>
  </conditionalFormatting>
  <conditionalFormatting sqref="G49">
    <cfRule type="expression" dxfId="38" priority="11" stopIfTrue="1">
      <formula>ISERROR($G$49)</formula>
    </cfRule>
  </conditionalFormatting>
  <conditionalFormatting sqref="B46:B49">
    <cfRule type="expression" dxfId="37" priority="10" stopIfTrue="1">
      <formula>IF(SUM($B$46:$B$49)&lt;&gt;0,TRUE,FALSE)</formula>
    </cfRule>
  </conditionalFormatting>
  <conditionalFormatting sqref="C46:C49">
    <cfRule type="expression" dxfId="36" priority="9" stopIfTrue="1">
      <formula>IF(SUM($C$46:$C$49)&lt;&gt;0,TRUE,FALSE)</formula>
    </cfRule>
  </conditionalFormatting>
  <conditionalFormatting sqref="D46:D49">
    <cfRule type="expression" dxfId="35" priority="8" stopIfTrue="1">
      <formula>IF(SUM($D$46:$D$49)&lt;&gt;0,TRUE,FALSE)</formula>
    </cfRule>
  </conditionalFormatting>
  <conditionalFormatting sqref="E46:E49">
    <cfRule type="expression" dxfId="34" priority="7" stopIfTrue="1">
      <formula>IF(SUM($E$46:$E$49)&lt;&gt;0,TRUE,FALSE)</formula>
    </cfRule>
  </conditionalFormatting>
  <conditionalFormatting sqref="F46:F49">
    <cfRule type="expression" dxfId="33" priority="6" stopIfTrue="1">
      <formula>IF(SUM($F$46:$F$49)&lt;&gt;0,TRUE,FALSE)</formula>
    </cfRule>
  </conditionalFormatting>
  <conditionalFormatting sqref="B10:C11 B12:B13 B14:C15">
    <cfRule type="cellIs" dxfId="32" priority="5" stopIfTrue="1" operator="notEqual">
      <formula>$A$1</formula>
    </cfRule>
  </conditionalFormatting>
  <conditionalFormatting sqref="E11:F11 E12:G14">
    <cfRule type="cellIs" dxfId="31" priority="4" stopIfTrue="1" operator="notEqual">
      <formula>$A$1</formula>
    </cfRule>
  </conditionalFormatting>
  <conditionalFormatting sqref="E10">
    <cfRule type="cellIs" dxfId="30" priority="3" stopIfTrue="1" operator="notEqual">
      <formula>$A$1</formula>
    </cfRule>
  </conditionalFormatting>
  <conditionalFormatting sqref="B53:C53 E53:F54">
    <cfRule type="cellIs" dxfId="29" priority="2" stopIfTrue="1" operator="notEqual">
      <formula>$A$1</formula>
    </cfRule>
  </conditionalFormatting>
  <conditionalFormatting sqref="B63:G63">
    <cfRule type="cellIs" dxfId="28"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500</v>
      </c>
      <c r="C10" s="141"/>
      <c r="D10" s="6" t="s">
        <v>18</v>
      </c>
      <c r="E10" s="16">
        <f ca="1">TODAY()</f>
        <v>41199</v>
      </c>
      <c r="F10" s="5"/>
      <c r="G10" s="5"/>
    </row>
    <row r="11" spans="1:8" x14ac:dyDescent="0.2">
      <c r="A11" s="6" t="s">
        <v>15</v>
      </c>
      <c r="B11" s="140" t="s">
        <v>501</v>
      </c>
      <c r="C11" s="141"/>
      <c r="D11" s="6" t="s">
        <v>384</v>
      </c>
      <c r="E11" s="122" t="s">
        <v>22</v>
      </c>
      <c r="F11" s="122"/>
      <c r="G11" s="7"/>
    </row>
    <row r="12" spans="1:8" x14ac:dyDescent="0.2">
      <c r="A12" s="6" t="s">
        <v>16</v>
      </c>
      <c r="B12" s="54">
        <v>900110555</v>
      </c>
      <c r="C12" s="22" t="s">
        <v>394</v>
      </c>
      <c r="D12" s="6" t="s">
        <v>17</v>
      </c>
      <c r="E12" s="122" t="s">
        <v>60</v>
      </c>
      <c r="F12" s="122"/>
      <c r="G12" s="122"/>
    </row>
    <row r="13" spans="1:8" x14ac:dyDescent="0.2">
      <c r="A13" s="6" t="s">
        <v>513</v>
      </c>
      <c r="B13" s="55">
        <v>1955</v>
      </c>
      <c r="C13" s="22" t="s">
        <v>689</v>
      </c>
      <c r="D13" s="6" t="s">
        <v>19</v>
      </c>
      <c r="E13" s="142" t="s">
        <v>378</v>
      </c>
      <c r="F13" s="143"/>
      <c r="G13" s="144"/>
    </row>
    <row r="14" spans="1:8" x14ac:dyDescent="0.2">
      <c r="A14" s="6" t="s">
        <v>577</v>
      </c>
      <c r="B14" s="140" t="s">
        <v>502</v>
      </c>
      <c r="C14" s="141"/>
      <c r="D14" s="6" t="s">
        <v>20</v>
      </c>
      <c r="E14" s="142" t="s">
        <v>360</v>
      </c>
      <c r="F14" s="143"/>
      <c r="G14" s="144"/>
    </row>
    <row r="15" spans="1:8" x14ac:dyDescent="0.2">
      <c r="A15" s="6" t="s">
        <v>578</v>
      </c>
      <c r="B15" s="121" t="s">
        <v>503</v>
      </c>
      <c r="C15" s="122"/>
      <c r="D15" s="6" t="s">
        <v>573</v>
      </c>
      <c r="E15" s="53">
        <v>37.5</v>
      </c>
      <c r="F15" s="6" t="s">
        <v>575</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v>300</v>
      </c>
      <c r="C39" s="57">
        <f ca="1">TODAY()+15</f>
        <v>41214</v>
      </c>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22240</v>
      </c>
      <c r="D46" s="50">
        <v>610025</v>
      </c>
      <c r="E46" s="50">
        <v>11</v>
      </c>
      <c r="F46" s="60">
        <v>1</v>
      </c>
      <c r="G46" s="27" t="str">
        <f>VLOOKUP($D46,$L$163:$M$174,2,FALSE)</f>
        <v>Fac Stipend</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503</v>
      </c>
      <c r="C53" s="122"/>
      <c r="D53" s="6" t="s">
        <v>374</v>
      </c>
      <c r="E53" s="123">
        <v>3123415505</v>
      </c>
      <c r="F53" s="124"/>
      <c r="G53" s="5"/>
    </row>
    <row r="54" spans="1:7" ht="12.75" customHeight="1" x14ac:dyDescent="0.2">
      <c r="A54" s="5"/>
      <c r="B54" s="106" t="s">
        <v>474</v>
      </c>
      <c r="C54" s="106"/>
      <c r="D54" s="6" t="s">
        <v>375</v>
      </c>
      <c r="E54" s="122" t="s">
        <v>541</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503</v>
      </c>
      <c r="C63" s="122"/>
      <c r="D63" s="121" t="s">
        <v>542</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27" priority="14" stopIfTrue="1">
      <formula>ISERROR($G$46)</formula>
    </cfRule>
  </conditionalFormatting>
  <conditionalFormatting sqref="G47">
    <cfRule type="expression" dxfId="26" priority="13" stopIfTrue="1">
      <formula>ISERROR($G$47)</formula>
    </cfRule>
  </conditionalFormatting>
  <conditionalFormatting sqref="G48">
    <cfRule type="expression" dxfId="25" priority="12" stopIfTrue="1">
      <formula>ISERROR($G$48)</formula>
    </cfRule>
  </conditionalFormatting>
  <conditionalFormatting sqref="G49">
    <cfRule type="expression" dxfId="24" priority="11" stopIfTrue="1">
      <formula>ISERROR($G$49)</formula>
    </cfRule>
  </conditionalFormatting>
  <conditionalFormatting sqref="B46:B49">
    <cfRule type="expression" dxfId="23" priority="10" stopIfTrue="1">
      <formula>IF(SUM($B$46:$B$49)&lt;&gt;0,TRUE,FALSE)</formula>
    </cfRule>
  </conditionalFormatting>
  <conditionalFormatting sqref="C46:C49">
    <cfRule type="expression" dxfId="22" priority="9" stopIfTrue="1">
      <formula>IF(SUM($C$46:$C$49)&lt;&gt;0,TRUE,FALSE)</formula>
    </cfRule>
  </conditionalFormatting>
  <conditionalFormatting sqref="D46:D49">
    <cfRule type="expression" dxfId="21" priority="8" stopIfTrue="1">
      <formula>IF(SUM($D$46:$D$49)&lt;&gt;0,TRUE,FALSE)</formula>
    </cfRule>
  </conditionalFormatting>
  <conditionalFormatting sqref="E46:E49">
    <cfRule type="expression" dxfId="20" priority="7" stopIfTrue="1">
      <formula>IF(SUM($E$46:$E$49)&lt;&gt;0,TRUE,FALSE)</formula>
    </cfRule>
  </conditionalFormatting>
  <conditionalFormatting sqref="F46:F49">
    <cfRule type="expression" dxfId="19" priority="6" stopIfTrue="1">
      <formula>IF(SUM($F$46:$F$49)&lt;&gt;0,TRUE,FALSE)</formula>
    </cfRule>
  </conditionalFormatting>
  <conditionalFormatting sqref="B10:C11 B12:B13 B14:C15">
    <cfRule type="cellIs" dxfId="18" priority="5" stopIfTrue="1" operator="notEqual">
      <formula>$A$1</formula>
    </cfRule>
  </conditionalFormatting>
  <conditionalFormatting sqref="E11:F11 E12:G14">
    <cfRule type="cellIs" dxfId="17" priority="4" stopIfTrue="1" operator="notEqual">
      <formula>$A$1</formula>
    </cfRule>
  </conditionalFormatting>
  <conditionalFormatting sqref="E10">
    <cfRule type="cellIs" dxfId="16" priority="3" stopIfTrue="1" operator="notEqual">
      <formula>$A$1</formula>
    </cfRule>
  </conditionalFormatting>
  <conditionalFormatting sqref="B53:C53 E53:F54">
    <cfRule type="cellIs" dxfId="15" priority="2" stopIfTrue="1" operator="notEqual">
      <formula>$A$1</formula>
    </cfRule>
  </conditionalFormatting>
  <conditionalFormatting sqref="B63:G63">
    <cfRule type="cellIs" dxfId="1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471</v>
      </c>
      <c r="B8" s="77"/>
      <c r="C8" s="77"/>
      <c r="D8" s="77"/>
      <c r="E8" s="77"/>
      <c r="F8" s="77"/>
      <c r="G8" s="77"/>
    </row>
    <row r="9" spans="1:8" ht="6" customHeight="1" x14ac:dyDescent="0.2">
      <c r="A9" s="35"/>
      <c r="B9" s="35"/>
      <c r="C9" s="35"/>
      <c r="D9" s="35"/>
      <c r="E9" s="35"/>
      <c r="F9" s="35"/>
      <c r="G9" s="35"/>
    </row>
    <row r="10" spans="1:8" x14ac:dyDescent="0.2">
      <c r="A10" s="6" t="s">
        <v>14</v>
      </c>
      <c r="B10" s="140" t="s">
        <v>496</v>
      </c>
      <c r="C10" s="141"/>
      <c r="D10" s="6" t="s">
        <v>18</v>
      </c>
      <c r="E10" s="16">
        <f ca="1">TODAY()</f>
        <v>41199</v>
      </c>
      <c r="F10" s="5"/>
      <c r="G10" s="5"/>
    </row>
    <row r="11" spans="1:8" x14ac:dyDescent="0.2">
      <c r="A11" s="6" t="s">
        <v>15</v>
      </c>
      <c r="B11" s="140" t="s">
        <v>497</v>
      </c>
      <c r="C11" s="141"/>
      <c r="D11" s="6" t="s">
        <v>384</v>
      </c>
      <c r="E11" s="122" t="s">
        <v>23</v>
      </c>
      <c r="F11" s="122"/>
      <c r="G11" s="7"/>
    </row>
    <row r="12" spans="1:8" x14ac:dyDescent="0.2">
      <c r="A12" s="6" t="s">
        <v>16</v>
      </c>
      <c r="B12" s="54">
        <v>960687123</v>
      </c>
      <c r="C12" s="22" t="s">
        <v>394</v>
      </c>
      <c r="D12" s="6" t="s">
        <v>17</v>
      </c>
      <c r="E12" s="122" t="s">
        <v>149</v>
      </c>
      <c r="F12" s="122"/>
      <c r="G12" s="122"/>
    </row>
    <row r="13" spans="1:8" x14ac:dyDescent="0.2">
      <c r="A13" s="6" t="s">
        <v>513</v>
      </c>
      <c r="B13" s="55">
        <v>9053</v>
      </c>
      <c r="C13" s="22" t="s">
        <v>689</v>
      </c>
      <c r="D13" s="6" t="s">
        <v>19</v>
      </c>
      <c r="E13" s="142" t="s">
        <v>411</v>
      </c>
      <c r="F13" s="143"/>
      <c r="G13" s="144"/>
    </row>
    <row r="14" spans="1:8" x14ac:dyDescent="0.2">
      <c r="A14" s="6" t="s">
        <v>577</v>
      </c>
      <c r="B14" s="140" t="s">
        <v>498</v>
      </c>
      <c r="C14" s="141"/>
      <c r="D14" s="6" t="s">
        <v>20</v>
      </c>
      <c r="E14" s="142" t="s">
        <v>430</v>
      </c>
      <c r="F14" s="143"/>
      <c r="G14" s="144"/>
    </row>
    <row r="15" spans="1:8" x14ac:dyDescent="0.2">
      <c r="A15" s="6" t="s">
        <v>578</v>
      </c>
      <c r="B15" s="121" t="s">
        <v>504</v>
      </c>
      <c r="C15" s="122"/>
      <c r="D15" s="6" t="s">
        <v>573</v>
      </c>
      <c r="E15" s="53">
        <v>10</v>
      </c>
      <c r="F15" s="6" t="s">
        <v>575</v>
      </c>
      <c r="G15" s="62">
        <v>0.26700000000000002</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8.25</v>
      </c>
      <c r="C19" s="61" t="s">
        <v>11</v>
      </c>
      <c r="D19" s="57">
        <f ca="1">TODAY()+15</f>
        <v>41214</v>
      </c>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518</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522</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516</v>
      </c>
      <c r="E39" s="117"/>
      <c r="F39" s="117"/>
      <c r="G39" s="5"/>
    </row>
    <row r="40" spans="1:7" x14ac:dyDescent="0.2">
      <c r="A40" s="78"/>
      <c r="B40" s="9" t="s">
        <v>365</v>
      </c>
      <c r="C40" s="9" t="s">
        <v>366</v>
      </c>
      <c r="D40" s="34" t="s">
        <v>473</v>
      </c>
      <c r="E40" s="5"/>
      <c r="F40" s="5"/>
      <c r="G40" s="5"/>
    </row>
    <row r="41" spans="1:7" x14ac:dyDescent="0.2">
      <c r="A41" s="36"/>
      <c r="B41" s="118" t="s">
        <v>514</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28510</v>
      </c>
      <c r="D46" s="50">
        <v>611035</v>
      </c>
      <c r="E46" s="50">
        <v>41</v>
      </c>
      <c r="F46" s="60">
        <v>1</v>
      </c>
      <c r="G46" s="27" t="str">
        <f>VLOOKUP($D46,$L$163:$M$174,2,FALSE)</f>
        <v>Student</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504</v>
      </c>
      <c r="C53" s="122"/>
      <c r="D53" s="6" t="s">
        <v>374</v>
      </c>
      <c r="E53" s="123">
        <v>3123410345</v>
      </c>
      <c r="F53" s="124"/>
      <c r="G53" s="5"/>
    </row>
    <row r="54" spans="1:7" ht="12.75" customHeight="1" x14ac:dyDescent="0.2">
      <c r="A54" s="5"/>
      <c r="B54" s="106" t="s">
        <v>474</v>
      </c>
      <c r="C54" s="106"/>
      <c r="D54" s="6" t="s">
        <v>375</v>
      </c>
      <c r="E54" s="122" t="s">
        <v>505</v>
      </c>
      <c r="F54" s="122"/>
      <c r="G54" s="5"/>
    </row>
    <row r="55" spans="1:7" x14ac:dyDescent="0.2">
      <c r="A55" s="5"/>
      <c r="B55" s="107"/>
      <c r="C55" s="107"/>
      <c r="D55" s="5"/>
      <c r="E55" s="5"/>
      <c r="F55" s="5"/>
      <c r="G55" s="5"/>
    </row>
    <row r="56" spans="1:7" x14ac:dyDescent="0.2">
      <c r="A56" s="6" t="s">
        <v>0</v>
      </c>
      <c r="B56" s="125" t="s">
        <v>499</v>
      </c>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517</v>
      </c>
      <c r="B61" s="85"/>
      <c r="C61" s="85"/>
      <c r="D61" s="85"/>
      <c r="E61" s="85"/>
      <c r="F61" s="85"/>
      <c r="G61" s="85"/>
    </row>
    <row r="62" spans="1:7" ht="15.75" x14ac:dyDescent="0.25">
      <c r="A62" s="6"/>
      <c r="B62" s="99" t="s">
        <v>2</v>
      </c>
      <c r="C62" s="99"/>
      <c r="D62" s="100" t="s">
        <v>398</v>
      </c>
      <c r="E62" s="100"/>
      <c r="F62" s="101" t="s">
        <v>525</v>
      </c>
      <c r="G62" s="101"/>
    </row>
    <row r="63" spans="1:7" x14ac:dyDescent="0.2">
      <c r="A63" s="6" t="s">
        <v>515</v>
      </c>
      <c r="B63" s="121" t="s">
        <v>504</v>
      </c>
      <c r="C63" s="122"/>
      <c r="D63" s="121" t="s">
        <v>543</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526</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579</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3" priority="14" stopIfTrue="1">
      <formula>ISERROR($G$46)</formula>
    </cfRule>
  </conditionalFormatting>
  <conditionalFormatting sqref="G47">
    <cfRule type="expression" dxfId="12" priority="13" stopIfTrue="1">
      <formula>ISERROR($G$47)</formula>
    </cfRule>
  </conditionalFormatting>
  <conditionalFormatting sqref="G48">
    <cfRule type="expression" dxfId="11" priority="12" stopIfTrue="1">
      <formula>ISERROR($G$48)</formula>
    </cfRule>
  </conditionalFormatting>
  <conditionalFormatting sqref="G49">
    <cfRule type="expression" dxfId="10" priority="11" stopIfTrue="1">
      <formula>ISERROR($G$49)</formula>
    </cfRule>
  </conditionalFormatting>
  <conditionalFormatting sqref="B46:B49">
    <cfRule type="expression" dxfId="9" priority="10" stopIfTrue="1">
      <formula>IF(SUM($B$46:$B$49)&lt;&gt;0,TRUE,FALSE)</formula>
    </cfRule>
  </conditionalFormatting>
  <conditionalFormatting sqref="C46:C49">
    <cfRule type="expression" dxfId="8" priority="9" stopIfTrue="1">
      <formula>IF(SUM($C$46:$C$49)&lt;&gt;0,TRUE,FALSE)</formula>
    </cfRule>
  </conditionalFormatting>
  <conditionalFormatting sqref="D46:D49">
    <cfRule type="expression" dxfId="7" priority="8" stopIfTrue="1">
      <formula>IF(SUM($D$46:$D$49)&lt;&gt;0,TRUE,FALSE)</formula>
    </cfRule>
  </conditionalFormatting>
  <conditionalFormatting sqref="E46:E49">
    <cfRule type="expression" dxfId="6" priority="7" stopIfTrue="1">
      <formula>IF(SUM($E$46:$E$49)&lt;&gt;0,TRUE,FALSE)</formula>
    </cfRule>
  </conditionalFormatting>
  <conditionalFormatting sqref="F46:F49">
    <cfRule type="expression" dxfId="5" priority="6" stopIfTrue="1">
      <formula>IF(SUM($F$46:$F$49)&lt;&gt;0,TRUE,FALSE)</formula>
    </cfRule>
  </conditionalFormatting>
  <conditionalFormatting sqref="B10:C11 B12:B13 B14:C15">
    <cfRule type="cellIs" dxfId="4" priority="5" stopIfTrue="1" operator="notEqual">
      <formula>$A$1</formula>
    </cfRule>
  </conditionalFormatting>
  <conditionalFormatting sqref="E11:F11 E12:G14">
    <cfRule type="cellIs" dxfId="3" priority="4" stopIfTrue="1" operator="notEqual">
      <formula>$A$1</formula>
    </cfRule>
  </conditionalFormatting>
  <conditionalFormatting sqref="E10">
    <cfRule type="cellIs" dxfId="2" priority="3" stopIfTrue="1" operator="notEqual">
      <formula>$A$1</formula>
    </cfRule>
  </conditionalFormatting>
  <conditionalFormatting sqref="B53:C53 E53:F54">
    <cfRule type="cellIs" dxfId="1" priority="2" stopIfTrue="1" operator="notEqual">
      <formula>$A$1</formula>
    </cfRule>
  </conditionalFormatting>
  <conditionalFormatting sqref="B63:G63">
    <cfRule type="cellIs" dxfId="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Directions</vt:lpstr>
      <vt:lpstr>PAF</vt:lpstr>
      <vt:lpstr>New Hire</vt:lpstr>
      <vt:lpstr>Grant</vt:lpstr>
      <vt:lpstr>Promotion</vt:lpstr>
      <vt:lpstr>Termination</vt:lpstr>
      <vt:lpstr>Pay Change</vt:lpstr>
      <vt:lpstr>Single Payment</vt:lpstr>
      <vt:lpstr>Student Reclassification</vt:lpstr>
      <vt:lpstr>Directions!Print_Area</vt:lpstr>
      <vt:lpstr>Grant!Print_Area</vt:lpstr>
      <vt:lpstr>'New Hire'!Print_Area</vt:lpstr>
      <vt:lpstr>PAF!Print_Area</vt:lpstr>
      <vt:lpstr>'Pay Change'!Print_Area</vt:lpstr>
      <vt:lpstr>Promotion!Print_Area</vt:lpstr>
      <vt:lpstr>'Single Payment'!Print_Area</vt:lpstr>
      <vt:lpstr>'Student Reclassification'!Print_Area</vt:lpstr>
      <vt:lpstr>Termination!Print_Area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Eric Kieft</cp:lastModifiedBy>
  <cp:lastPrinted>2010-02-08T15:34:13Z</cp:lastPrinted>
  <dcterms:created xsi:type="dcterms:W3CDTF">2006-03-21T21:32:19Z</dcterms:created>
  <dcterms:modified xsi:type="dcterms:W3CDTF">2012-10-17T20:00:47Z</dcterms:modified>
</cp:coreProperties>
</file>