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15405" windowHeight="4080" tabRatio="668"/>
  </bookViews>
  <sheets>
    <sheet name="Definitions" sheetId="10" r:id="rId1"/>
    <sheet name="Charter Lite" sheetId="9" r:id="rId2"/>
    <sheet name="Project Directory" sheetId="16" r:id="rId3"/>
    <sheet name="Communications Plan" sheetId="11" r:id="rId4"/>
    <sheet name="Schedule" sheetId="12" r:id="rId5"/>
    <sheet name="Risks" sheetId="15" r:id="rId6"/>
    <sheet name="Action Items" sheetId="1" r:id="rId7"/>
    <sheet name="Issues" sheetId="8" r:id="rId8"/>
    <sheet name="Decisions" sheetId="3" r:id="rId9"/>
    <sheet name="Changes" sheetId="6" r:id="rId10"/>
    <sheet name="Parking Lot" sheetId="14" r:id="rId11"/>
    <sheet name="Quality (Optional)" sheetId="13" r:id="rId12"/>
  </sheets>
  <definedNames>
    <definedName name="_xlnm._FilterDatabase" localSheetId="6" hidden="1">'Action Items'!$A$4:$H$28</definedName>
    <definedName name="_xlnm.Print_Area" localSheetId="6">'Action Items'!$A$1:$H$28</definedName>
    <definedName name="_xlnm.Print_Area" localSheetId="7">Issues!$A$1:$H$28</definedName>
    <definedName name="_xlnm.Print_Area" localSheetId="5">Risks!$A$1:$G$20</definedName>
  </definedNames>
  <calcPr calcId="145621"/>
</workbook>
</file>

<file path=xl/calcChain.xml><?xml version="1.0" encoding="utf-8"?>
<calcChain xmlns="http://schemas.openxmlformats.org/spreadsheetml/2006/main">
  <c r="D2" i="16" l="1"/>
  <c r="D1" i="16"/>
  <c r="B2" i="16"/>
  <c r="B1" i="16"/>
  <c r="G2" i="1" l="1"/>
  <c r="J2" i="13"/>
  <c r="C2" i="13"/>
  <c r="J1" i="13"/>
  <c r="C1" i="13"/>
  <c r="G2" i="14"/>
  <c r="C2" i="14"/>
  <c r="G1" i="14"/>
  <c r="C1" i="14"/>
  <c r="G2" i="6"/>
  <c r="G1" i="6"/>
  <c r="C2" i="6"/>
  <c r="C1" i="6"/>
  <c r="E2" i="3"/>
  <c r="E1" i="3"/>
  <c r="C2" i="3"/>
  <c r="C1" i="3"/>
  <c r="G2" i="8"/>
  <c r="G1" i="8"/>
  <c r="C2" i="8"/>
  <c r="C1" i="8"/>
  <c r="G1" i="1"/>
  <c r="C2" i="1"/>
  <c r="C1" i="1"/>
  <c r="E2" i="15"/>
  <c r="E1" i="15"/>
  <c r="C2" i="15"/>
  <c r="C1" i="15"/>
  <c r="G2" i="12"/>
  <c r="G1" i="12"/>
  <c r="C2" i="12"/>
  <c r="C1" i="12"/>
  <c r="E2" i="11"/>
  <c r="E1" i="11"/>
  <c r="C2" i="11"/>
  <c r="C1" i="11"/>
  <c r="D27" i="15"/>
  <c r="D26" i="15"/>
  <c r="D25" i="15"/>
  <c r="D24" i="15"/>
  <c r="F32" i="14"/>
  <c r="F31" i="14"/>
  <c r="A6" i="12"/>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M44" i="13"/>
  <c r="L44" i="13"/>
  <c r="K44" i="13"/>
  <c r="J44" i="13"/>
  <c r="I44" i="13"/>
  <c r="H44" i="13"/>
  <c r="G44" i="13"/>
  <c r="F44" i="13"/>
  <c r="E44" i="13"/>
  <c r="D44" i="13"/>
  <c r="C44" i="13"/>
  <c r="B44" i="13"/>
  <c r="M43" i="13"/>
  <c r="L43" i="13"/>
  <c r="K43" i="13"/>
  <c r="J43" i="13"/>
  <c r="I43" i="13"/>
  <c r="H43" i="13"/>
  <c r="G43" i="13"/>
  <c r="F43" i="13"/>
  <c r="E43" i="13"/>
  <c r="D43" i="13"/>
  <c r="C43" i="13"/>
  <c r="B43" i="13"/>
  <c r="M42" i="13"/>
  <c r="L42" i="13"/>
  <c r="K42" i="13"/>
  <c r="J42" i="13"/>
  <c r="I42" i="13"/>
  <c r="H42" i="13"/>
  <c r="G42" i="13"/>
  <c r="F42" i="13"/>
  <c r="E42" i="13"/>
  <c r="D42" i="13"/>
  <c r="C42" i="13"/>
  <c r="B42" i="13"/>
  <c r="M24" i="13"/>
  <c r="L24" i="13"/>
  <c r="K24" i="13"/>
  <c r="J24" i="13"/>
  <c r="I24" i="13"/>
  <c r="H24" i="13"/>
  <c r="G24" i="13"/>
  <c r="F24" i="13"/>
  <c r="E24" i="13"/>
  <c r="D24" i="13"/>
  <c r="C24" i="13"/>
  <c r="B24" i="13"/>
  <c r="M23" i="13"/>
  <c r="L23" i="13"/>
  <c r="K23" i="13"/>
  <c r="J23" i="13"/>
  <c r="I23" i="13"/>
  <c r="H23" i="13"/>
  <c r="G23" i="13"/>
  <c r="F23" i="13"/>
  <c r="E23" i="13"/>
  <c r="D23" i="13"/>
  <c r="C23" i="13"/>
  <c r="B23" i="13"/>
  <c r="M22" i="13"/>
  <c r="L22" i="13"/>
  <c r="K22" i="13"/>
  <c r="J22" i="13"/>
  <c r="I22" i="13"/>
  <c r="H22" i="13"/>
  <c r="G22" i="13"/>
  <c r="F22" i="13"/>
  <c r="E22" i="13"/>
  <c r="D22" i="13"/>
  <c r="C22" i="13"/>
  <c r="B22" i="13"/>
</calcChain>
</file>

<file path=xl/sharedStrings.xml><?xml version="1.0" encoding="utf-8"?>
<sst xmlns="http://schemas.openxmlformats.org/spreadsheetml/2006/main" count="206" uniqueCount="113">
  <si>
    <t>ID</t>
  </si>
  <si>
    <t>Date Opened</t>
  </si>
  <si>
    <t>Date Closed</t>
  </si>
  <si>
    <t>Notes</t>
  </si>
  <si>
    <t>Status</t>
  </si>
  <si>
    <t>Description</t>
  </si>
  <si>
    <t>Assigned To</t>
  </si>
  <si>
    <t>Priority (L/M/H)</t>
  </si>
  <si>
    <t>Date Reported</t>
  </si>
  <si>
    <t>Requested By</t>
  </si>
  <si>
    <t>Resolution/Comments</t>
  </si>
  <si>
    <t>Made by</t>
  </si>
  <si>
    <t>Due Date</t>
  </si>
  <si>
    <t>Date Made</t>
  </si>
  <si>
    <t>Decision Made</t>
  </si>
  <si>
    <t>The project workbook allows project managers, team members, sponsors, and stakeholders to easily track and monitor project activities. Any of these worksheets can easily be broken out into separate documents.</t>
  </si>
  <si>
    <t>Suggested Sheets for All Projects</t>
  </si>
  <si>
    <t>Risks</t>
  </si>
  <si>
    <t>The Risk Management Matrix sheet allows you to identify, qualify, quantify, and prioritize risks (events that might happen; the uncertainty of a project), create mitigation and contingency plans, and assign risks owners.</t>
  </si>
  <si>
    <t>Issues</t>
  </si>
  <si>
    <t>The Issues Log sheet allows you to identify and monitor project issues (unplanned events that have happened).</t>
  </si>
  <si>
    <t>The Action Items sheet allows you to track and monitor action items assigned to team members. Action items are tasks that must be done but are too insignificant from a time perspective to track in your project schedule.</t>
  </si>
  <si>
    <t>The Decision Log sheet allows you to track all major decisions made during the course of the project.</t>
  </si>
  <si>
    <t>The Communication Plan sheet allows you to detail your communication plan: how you are going to communicate, whom you will be communicating with, how often, in what format, etc.</t>
  </si>
  <si>
    <t>Communication Plan</t>
  </si>
  <si>
    <t>Project</t>
  </si>
  <si>
    <t>Project manager</t>
  </si>
  <si>
    <t>Sponsor</t>
  </si>
  <si>
    <t>Updated</t>
  </si>
  <si>
    <t>Background</t>
  </si>
  <si>
    <t>Business need and business benefits</t>
  </si>
  <si>
    <t>Objectives</t>
  </si>
  <si>
    <t>Scope</t>
  </si>
  <si>
    <t>In Scope</t>
  </si>
  <si>
    <t>Out of Scope</t>
  </si>
  <si>
    <t>Deliverables</t>
  </si>
  <si>
    <t>Assumptions &amp; Constraints</t>
  </si>
  <si>
    <t>Success criteria</t>
  </si>
  <si>
    <t>1 -</t>
  </si>
  <si>
    <t xml:space="preserve">2 - </t>
  </si>
  <si>
    <t xml:space="preserve">3 - </t>
  </si>
  <si>
    <t>Signatures</t>
  </si>
  <si>
    <t>Signature</t>
  </si>
  <si>
    <t>Printed name</t>
  </si>
  <si>
    <t>Date</t>
  </si>
  <si>
    <t>Project Manager</t>
  </si>
  <si>
    <t>Key Considerations</t>
  </si>
  <si>
    <t>Date Updated</t>
  </si>
  <si>
    <t>Communication</t>
  </si>
  <si>
    <t>Frequency</t>
  </si>
  <si>
    <t>Format</t>
  </si>
  <si>
    <t>Owner</t>
  </si>
  <si>
    <t>Recipient/ Attendees</t>
  </si>
  <si>
    <t>Project Name</t>
  </si>
  <si>
    <t>Charter Lite</t>
  </si>
  <si>
    <t>Schedule</t>
  </si>
  <si>
    <t>Name</t>
  </si>
  <si>
    <t>Planned Start</t>
  </si>
  <si>
    <t>Planned Finish</t>
  </si>
  <si>
    <t>Responsibility</t>
  </si>
  <si>
    <t>Actual Start</t>
  </si>
  <si>
    <t>Actual Finish</t>
  </si>
  <si>
    <t>The schedule sheet contains a list of activities to be worked in order to fulfill the need expressed in the charter.  Included in this sheet are  Planned Start, Planned Finish, Actual Start, Actual Finish dates and a Responsibility field to designate who is responsible for making sure the work is completed for that activity.</t>
  </si>
  <si>
    <t>Software Defects</t>
  </si>
  <si>
    <t>Months</t>
  </si>
  <si>
    <t>System Test</t>
  </si>
  <si>
    <t>Severity High</t>
  </si>
  <si>
    <t>High - Open</t>
  </si>
  <si>
    <t>High - Closed</t>
  </si>
  <si>
    <t>High - Total</t>
  </si>
  <si>
    <t>Severity Medium</t>
  </si>
  <si>
    <t>Medium - Open</t>
  </si>
  <si>
    <t>Medium - Closed</t>
  </si>
  <si>
    <t>Medium - Total</t>
  </si>
  <si>
    <t>Severity Low</t>
  </si>
  <si>
    <t>Low - Open</t>
  </si>
  <si>
    <t>Low - Closed</t>
  </si>
  <si>
    <t>Low - Total</t>
  </si>
  <si>
    <t>Total Open</t>
  </si>
  <si>
    <t>Total Closed</t>
  </si>
  <si>
    <t>Total Defects</t>
  </si>
  <si>
    <t>Acceptance Test</t>
  </si>
  <si>
    <t>Count</t>
  </si>
  <si>
    <t>Closed</t>
  </si>
  <si>
    <t>On-Hold</t>
  </si>
  <si>
    <t>Requestor</t>
  </si>
  <si>
    <t>Mitigation</t>
  </si>
  <si>
    <t>Area</t>
  </si>
  <si>
    <t>Budget</t>
  </si>
  <si>
    <t>Technology</t>
  </si>
  <si>
    <t>Action Items</t>
  </si>
  <si>
    <t>Decisions</t>
  </si>
  <si>
    <t>Changes</t>
  </si>
  <si>
    <t>The Changes Log sheet allows you to track the changes that have been approved for the project.</t>
  </si>
  <si>
    <t>Parking Lot</t>
  </si>
  <si>
    <t>The Parking Lot Log sheet allows you to track things to be discussed at a later date.</t>
  </si>
  <si>
    <t>Quality</t>
  </si>
  <si>
    <t>The Project Charter Lite sheet can be used as a charter for small projects or a summarization of a full charter for larger projects.</t>
  </si>
  <si>
    <t>The Quality Log sheet allows you to track quality metrics for your project.  This is an optional tab and can be used at the project manager's discretion.</t>
  </si>
  <si>
    <t>Project Log - Level 3 Projects</t>
  </si>
  <si>
    <t>Risk Owner</t>
  </si>
  <si>
    <t>Role</t>
  </si>
  <si>
    <t>Agency</t>
  </si>
  <si>
    <t>Phone</t>
  </si>
  <si>
    <t>Email</t>
  </si>
  <si>
    <t>Project Directory</t>
  </si>
  <si>
    <t>The Project Directory is a sheet to be used to capture information about people that will participate in the project.</t>
  </si>
  <si>
    <t>What type of communication is this?</t>
  </si>
  <si>
    <t>What is the description of the contents/purpose of this communication?</t>
  </si>
  <si>
    <t>How often?</t>
  </si>
  <si>
    <t>Email, Report</t>
  </si>
  <si>
    <t>Who sends?</t>
  </si>
  <si>
    <t>Who gets?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</si>
</sst>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
    <numFmt numFmtId="165" formatCode="[$-409]mmmm\ d\,\ yyyy;@"/>
  </numFmts>
  <fonts count="18" x14ac:knownFonts="1">
    <font>
      <sz val="11"/>
      <color theme="1"/>
      <name val="Calibri"/>
      <family val="2"/>
      <scheme val="minor"/>
    </font>
    <font>
      <sz val="10"/>
      <color theme="1"/>
      <name val="Verdana"/>
      <family val="2"/>
    </font>
    <font>
      <b/>
      <sz val="10"/>
      <color theme="1"/>
      <name val="Verdana"/>
      <family val="2"/>
    </font>
    <font>
      <b/>
      <sz val="10"/>
      <name val="Verdana"/>
      <family val="2"/>
    </font>
    <font>
      <sz val="10"/>
      <name val="Verdana"/>
      <family val="2"/>
    </font>
    <font>
      <sz val="10"/>
      <name val="Times New Roman"/>
      <family val="1"/>
    </font>
    <font>
      <b/>
      <sz val="9"/>
      <name val="Verdana"/>
      <family val="2"/>
    </font>
    <font>
      <sz val="11"/>
      <color theme="1"/>
      <name val="Verdana"/>
      <family val="2"/>
    </font>
    <font>
      <sz val="10"/>
      <color theme="1"/>
      <name val="Calibri"/>
      <family val="2"/>
      <scheme val="minor"/>
    </font>
    <font>
      <sz val="14"/>
      <color theme="1"/>
      <name val="Calibri"/>
      <family val="2"/>
      <scheme val="minor"/>
    </font>
    <font>
      <b/>
      <sz val="14"/>
      <name val="Verdana"/>
      <family val="2"/>
    </font>
    <font>
      <b/>
      <sz val="11"/>
      <color theme="1"/>
      <name val="Calibri"/>
      <family val="2"/>
      <scheme val="minor"/>
    </font>
    <font>
      <b/>
      <sz val="12"/>
      <color theme="1"/>
      <name val="Calibri"/>
      <family val="2"/>
      <scheme val="minor"/>
    </font>
    <font>
      <b/>
      <sz val="11"/>
      <name val="Calibri"/>
      <family val="2"/>
      <scheme val="minor"/>
    </font>
    <font>
      <sz val="8"/>
      <name val="Arial"/>
      <family val="2"/>
    </font>
    <font>
      <sz val="8"/>
      <color theme="1"/>
      <name val="Arial"/>
      <family val="2"/>
    </font>
    <font>
      <sz val="9"/>
      <name val="Verdana"/>
      <family val="2"/>
    </font>
    <font>
      <b/>
      <sz val="11"/>
      <color rgb="FF000000"/>
      <name val="Verdana"/>
      <family val="2"/>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FF99"/>
        <bgColor indexed="64"/>
      </patternFill>
    </fill>
    <fill>
      <patternFill patternType="solid">
        <fgColor rgb="FFE0E0E0"/>
        <bgColor indexed="64"/>
      </patternFill>
    </fill>
  </fills>
  <borders count="1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s>
  <cellStyleXfs count="1">
    <xf numFmtId="0" fontId="0" fillId="0" borderId="0"/>
  </cellStyleXfs>
  <cellXfs count="175">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xf numFmtId="0" fontId="1" fillId="0" borderId="2" xfId="0" applyFont="1" applyBorder="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1" fillId="0" borderId="1" xfId="0" applyFont="1" applyBorder="1" applyAlignment="1">
      <alignment horizontal="center"/>
    </xf>
    <xf numFmtId="0" fontId="1" fillId="0" borderId="1" xfId="0" applyFont="1" applyBorder="1" applyAlignment="1">
      <alignment wrapText="1"/>
    </xf>
    <xf numFmtId="0" fontId="1" fillId="0" borderId="1" xfId="0" applyFont="1" applyBorder="1"/>
    <xf numFmtId="14" fontId="1" fillId="0" borderId="1" xfId="0" applyNumberFormat="1" applyFont="1" applyBorder="1"/>
    <xf numFmtId="0" fontId="2" fillId="2" borderId="1" xfId="0" applyFont="1" applyFill="1" applyBorder="1" applyAlignment="1">
      <alignment horizontal="center" wrapText="1"/>
    </xf>
    <xf numFmtId="0" fontId="1" fillId="0" borderId="0" xfId="0" applyFont="1" applyBorder="1" applyAlignment="1">
      <alignment wrapText="1"/>
    </xf>
    <xf numFmtId="0" fontId="5" fillId="0" borderId="2" xfId="0" applyFont="1" applyBorder="1" applyAlignment="1">
      <alignment wrapText="1"/>
    </xf>
    <xf numFmtId="0" fontId="4" fillId="0" borderId="2" xfId="0" applyFont="1" applyBorder="1" applyAlignment="1">
      <alignment wrapText="1"/>
    </xf>
    <xf numFmtId="0" fontId="3" fillId="0" borderId="2" xfId="0" applyFont="1" applyFill="1" applyBorder="1"/>
    <xf numFmtId="0" fontId="4" fillId="0" borderId="2" xfId="0" applyFont="1" applyBorder="1"/>
    <xf numFmtId="0" fontId="6" fillId="2" borderId="2" xfId="0" applyFont="1" applyFill="1" applyBorder="1"/>
    <xf numFmtId="0" fontId="6" fillId="2" borderId="2" xfId="0" applyFont="1" applyFill="1" applyBorder="1" applyAlignment="1">
      <alignment vertical="top" wrapText="1"/>
    </xf>
    <xf numFmtId="0" fontId="6" fillId="2" borderId="2" xfId="0" applyFont="1" applyFill="1" applyBorder="1" applyAlignment="1">
      <alignment vertical="top"/>
    </xf>
    <xf numFmtId="0" fontId="4" fillId="0" borderId="2" xfId="0" applyFont="1" applyFill="1" applyBorder="1"/>
    <xf numFmtId="0" fontId="6" fillId="2" borderId="9" xfId="0" applyFont="1" applyFill="1" applyBorder="1" applyAlignment="1"/>
    <xf numFmtId="0" fontId="5" fillId="0" borderId="2" xfId="0" applyFont="1" applyBorder="1" applyAlignment="1">
      <alignment horizontal="center"/>
    </xf>
    <xf numFmtId="0" fontId="5" fillId="0" borderId="2" xfId="0" applyFont="1" applyBorder="1" applyAlignment="1">
      <alignment horizontal="center" wrapText="1"/>
    </xf>
    <xf numFmtId="0" fontId="3" fillId="2" borderId="2" xfId="0" applyFont="1" applyFill="1" applyBorder="1"/>
    <xf numFmtId="0" fontId="8" fillId="0" borderId="2" xfId="0" applyFont="1" applyBorder="1"/>
    <xf numFmtId="0" fontId="6" fillId="2" borderId="2" xfId="0" applyFont="1" applyFill="1" applyBorder="1" applyAlignment="1">
      <alignment wrapText="1"/>
    </xf>
    <xf numFmtId="0" fontId="4" fillId="0" borderId="2" xfId="0" applyFont="1" applyBorder="1" applyAlignment="1">
      <alignment wrapText="1"/>
    </xf>
    <xf numFmtId="0" fontId="3" fillId="2" borderId="2" xfId="0" applyFont="1" applyFill="1" applyBorder="1" applyAlignment="1">
      <alignment horizontal="center" wrapText="1"/>
    </xf>
    <xf numFmtId="0" fontId="4" fillId="0" borderId="2" xfId="0" applyFont="1" applyBorder="1" applyAlignment="1">
      <alignment horizontal="center"/>
    </xf>
    <xf numFmtId="0" fontId="4" fillId="0" borderId="2" xfId="0" applyFont="1" applyBorder="1" applyAlignment="1">
      <alignment horizontal="center" wrapText="1"/>
    </xf>
    <xf numFmtId="0" fontId="4" fillId="0" borderId="2" xfId="0" applyFont="1" applyBorder="1" applyAlignment="1">
      <alignment wrapText="1"/>
    </xf>
    <xf numFmtId="0" fontId="6" fillId="2" borderId="2" xfId="0" applyFont="1" applyFill="1" applyBorder="1" applyAlignment="1">
      <alignment wrapText="1"/>
    </xf>
    <xf numFmtId="0" fontId="9" fillId="0" borderId="0" xfId="0" applyFont="1"/>
    <xf numFmtId="0" fontId="10" fillId="2" borderId="0" xfId="0" applyFont="1" applyFill="1" applyBorder="1" applyAlignment="1">
      <alignment horizontal="center"/>
    </xf>
    <xf numFmtId="0" fontId="10" fillId="2" borderId="3" xfId="0" applyFont="1" applyFill="1" applyBorder="1" applyAlignment="1">
      <alignment horizontal="center"/>
    </xf>
    <xf numFmtId="0" fontId="11" fillId="2" borderId="2" xfId="0" applyFont="1" applyFill="1" applyBorder="1" applyAlignment="1">
      <alignment horizontal="center"/>
    </xf>
    <xf numFmtId="164" fontId="0" fillId="0" borderId="0" xfId="0" applyNumberFormat="1"/>
    <xf numFmtId="0" fontId="0" fillId="0" borderId="2" xfId="0" applyBorder="1" applyAlignment="1">
      <alignment horizontal="center"/>
    </xf>
    <xf numFmtId="0" fontId="0" fillId="0" borderId="2" xfId="0" applyBorder="1"/>
    <xf numFmtId="0" fontId="12" fillId="2" borderId="2" xfId="0" applyFont="1" applyFill="1" applyBorder="1" applyAlignment="1">
      <alignment vertical="top" wrapText="1"/>
    </xf>
    <xf numFmtId="17" fontId="11" fillId="4" borderId="2" xfId="0" applyNumberFormat="1" applyFont="1" applyFill="1" applyBorder="1" applyAlignment="1">
      <alignment horizontal="center" vertical="top" wrapText="1"/>
    </xf>
    <xf numFmtId="0" fontId="11" fillId="4" borderId="2" xfId="0" applyFont="1" applyFill="1" applyBorder="1" applyAlignment="1">
      <alignment horizontal="center" vertical="top" wrapText="1"/>
    </xf>
    <xf numFmtId="0" fontId="11" fillId="4" borderId="2" xfId="0" applyFont="1" applyFill="1" applyBorder="1" applyAlignment="1">
      <alignment horizontal="center" vertical="top"/>
    </xf>
    <xf numFmtId="0" fontId="0" fillId="4" borderId="2" xfId="0" applyFill="1" applyBorder="1" applyAlignment="1">
      <alignment horizontal="center" vertical="top"/>
    </xf>
    <xf numFmtId="0" fontId="11" fillId="0" borderId="2" xfId="0" applyFont="1" applyFill="1" applyBorder="1" applyAlignment="1">
      <alignment vertical="top" wrapText="1"/>
    </xf>
    <xf numFmtId="17" fontId="11" fillId="0" borderId="2" xfId="0" applyNumberFormat="1" applyFont="1" applyFill="1" applyBorder="1" applyAlignment="1">
      <alignment horizontal="center" vertical="top" wrapText="1"/>
    </xf>
    <xf numFmtId="0" fontId="11" fillId="0" borderId="2" xfId="0" applyFont="1" applyFill="1" applyBorder="1" applyAlignment="1">
      <alignment horizontal="center" vertical="top" wrapText="1"/>
    </xf>
    <xf numFmtId="0" fontId="11" fillId="0" borderId="2" xfId="0" applyFont="1" applyFill="1" applyBorder="1" applyAlignment="1">
      <alignment horizontal="center" vertical="top"/>
    </xf>
    <xf numFmtId="0" fontId="0" fillId="0" borderId="2" xfId="0" applyBorder="1" applyAlignment="1">
      <alignment horizontal="center" vertical="top"/>
    </xf>
    <xf numFmtId="0" fontId="0" fillId="0" borderId="2" xfId="0" applyFont="1" applyBorder="1" applyAlignment="1">
      <alignment vertical="top"/>
    </xf>
    <xf numFmtId="0" fontId="0" fillId="0" borderId="2" xfId="0" applyBorder="1" applyAlignment="1">
      <alignment vertical="top"/>
    </xf>
    <xf numFmtId="0" fontId="11" fillId="0" borderId="2" xfId="0" applyFont="1" applyBorder="1" applyAlignment="1">
      <alignment vertical="top"/>
    </xf>
    <xf numFmtId="0" fontId="12" fillId="4" borderId="2" xfId="0" applyFont="1" applyFill="1" applyBorder="1" applyAlignment="1">
      <alignment vertical="top" wrapText="1"/>
    </xf>
    <xf numFmtId="0" fontId="11" fillId="2" borderId="2" xfId="0" applyNumberFormat="1" applyFont="1" applyFill="1" applyBorder="1" applyAlignment="1">
      <alignment horizontal="center" vertical="top" wrapText="1"/>
    </xf>
    <xf numFmtId="164" fontId="0" fillId="5" borderId="2" xfId="0" applyNumberFormat="1" applyFill="1" applyBorder="1"/>
    <xf numFmtId="164" fontId="0" fillId="6" borderId="2" xfId="0" applyNumberFormat="1" applyFill="1" applyBorder="1"/>
    <xf numFmtId="0" fontId="4" fillId="0" borderId="2" xfId="0" applyFont="1" applyBorder="1" applyAlignment="1">
      <alignment wrapText="1"/>
    </xf>
    <xf numFmtId="0" fontId="6" fillId="2" borderId="2" xfId="0" applyFont="1" applyFill="1" applyBorder="1" applyAlignment="1">
      <alignment wrapText="1"/>
    </xf>
    <xf numFmtId="0" fontId="6" fillId="2" borderId="9" xfId="0" applyFont="1" applyFill="1" applyBorder="1" applyAlignment="1">
      <alignment horizontal="left"/>
    </xf>
    <xf numFmtId="0" fontId="1" fillId="0" borderId="1" xfId="0" applyFont="1" applyBorder="1" applyAlignment="1">
      <alignment horizontal="left"/>
    </xf>
    <xf numFmtId="0" fontId="1" fillId="0" borderId="1" xfId="0" applyFont="1" applyBorder="1" applyAlignment="1">
      <alignment horizontal="center" vertical="top"/>
    </xf>
    <xf numFmtId="0" fontId="1" fillId="0" borderId="1" xfId="0" applyFont="1" applyBorder="1" applyAlignment="1">
      <alignment vertical="top" wrapText="1"/>
    </xf>
    <xf numFmtId="14" fontId="1" fillId="0" borderId="1" xfId="0" applyNumberFormat="1" applyFont="1" applyBorder="1" applyAlignment="1">
      <alignment vertical="top"/>
    </xf>
    <xf numFmtId="0" fontId="1" fillId="0" borderId="1" xfId="0" applyFont="1" applyBorder="1" applyAlignment="1">
      <alignment vertical="top"/>
    </xf>
    <xf numFmtId="0" fontId="13" fillId="2" borderId="1" xfId="0" applyFont="1" applyFill="1" applyBorder="1" applyAlignment="1">
      <alignment horizontal="center"/>
    </xf>
    <xf numFmtId="0" fontId="13" fillId="2" borderId="1" xfId="0" applyFont="1" applyFill="1" applyBorder="1" applyAlignment="1">
      <alignment horizontal="center" wrapText="1"/>
    </xf>
    <xf numFmtId="0" fontId="14" fillId="7" borderId="2" xfId="0" applyFont="1" applyFill="1" applyBorder="1" applyAlignment="1">
      <alignment horizontal="center" vertical="center"/>
    </xf>
    <xf numFmtId="0" fontId="14" fillId="0" borderId="2" xfId="0" applyFont="1" applyBorder="1" applyAlignment="1">
      <alignment vertical="center" wrapText="1"/>
    </xf>
    <xf numFmtId="164" fontId="14" fillId="0" borderId="2" xfId="0" applyNumberFormat="1" applyFont="1" applyBorder="1" applyAlignment="1">
      <alignment horizontal="center" vertical="center"/>
    </xf>
    <xf numFmtId="1" fontId="14" fillId="0" borderId="2" xfId="0" applyNumberFormat="1" applyFont="1" applyBorder="1" applyAlignment="1">
      <alignment vertical="center" wrapText="1"/>
    </xf>
    <xf numFmtId="0" fontId="14" fillId="0" borderId="0" xfId="0" applyFont="1" applyAlignment="1">
      <alignment vertical="center" wrapText="1"/>
    </xf>
    <xf numFmtId="0" fontId="15" fillId="0" borderId="1" xfId="0" applyFont="1" applyBorder="1" applyAlignment="1">
      <alignment vertical="center" wrapText="1"/>
    </xf>
    <xf numFmtId="164" fontId="15" fillId="0" borderId="1" xfId="0" applyNumberFormat="1" applyFont="1" applyBorder="1" applyAlignment="1">
      <alignment horizontal="center"/>
    </xf>
    <xf numFmtId="0" fontId="15" fillId="0" borderId="1" xfId="0" applyFont="1" applyBorder="1" applyAlignment="1">
      <alignment wrapText="1"/>
    </xf>
    <xf numFmtId="0" fontId="0" fillId="7" borderId="1" xfId="0" applyFill="1" applyBorder="1" applyAlignment="1">
      <alignment horizontal="center" vertical="center"/>
    </xf>
    <xf numFmtId="14" fontId="15" fillId="0" borderId="1" xfId="0" quotePrefix="1" applyNumberFormat="1" applyFont="1" applyBorder="1" applyAlignment="1">
      <alignment wrapText="1"/>
    </xf>
    <xf numFmtId="14" fontId="15" fillId="0" borderId="1" xfId="0" applyNumberFormat="1" applyFont="1" applyBorder="1" applyAlignment="1">
      <alignment vertical="center" wrapText="1"/>
    </xf>
    <xf numFmtId="14" fontId="15" fillId="0" borderId="1" xfId="0" applyNumberFormat="1" applyFont="1" applyBorder="1" applyAlignment="1">
      <alignment wrapText="1"/>
    </xf>
    <xf numFmtId="0" fontId="15" fillId="0" borderId="1" xfId="0" applyFont="1" applyBorder="1" applyAlignment="1">
      <alignment horizontal="left" vertical="center" wrapText="1"/>
    </xf>
    <xf numFmtId="0" fontId="0" fillId="7" borderId="1" xfId="0" applyFill="1" applyBorder="1" applyAlignment="1">
      <alignment horizontal="center"/>
    </xf>
    <xf numFmtId="0" fontId="12" fillId="2" borderId="2" xfId="0" applyFont="1" applyFill="1" applyBorder="1" applyAlignment="1">
      <alignment horizontal="center"/>
    </xf>
    <xf numFmtId="0" fontId="4" fillId="0" borderId="9" xfId="0" applyFont="1" applyFill="1" applyBorder="1" applyAlignment="1"/>
    <xf numFmtId="0" fontId="1" fillId="0" borderId="2" xfId="0" applyFont="1" applyBorder="1" applyAlignment="1">
      <alignment horizontal="left" wrapText="1"/>
    </xf>
    <xf numFmtId="0" fontId="4" fillId="0" borderId="2" xfId="0" applyFont="1" applyBorder="1" applyAlignment="1">
      <alignment horizontal="left" wrapText="1"/>
    </xf>
    <xf numFmtId="0" fontId="16" fillId="0" borderId="2" xfId="0" applyFont="1" applyFill="1" applyBorder="1" applyAlignment="1">
      <alignment horizontal="left"/>
    </xf>
    <xf numFmtId="0" fontId="1" fillId="0" borderId="1" xfId="0" applyFont="1" applyBorder="1" applyAlignment="1">
      <alignment horizontal="left" wrapText="1"/>
    </xf>
    <xf numFmtId="0" fontId="0" fillId="0" borderId="0" xfId="0" applyBorder="1" applyAlignment="1"/>
    <xf numFmtId="0" fontId="0" fillId="0" borderId="2" xfId="0" applyBorder="1" applyAlignment="1"/>
    <xf numFmtId="165" fontId="1" fillId="0" borderId="2" xfId="0" applyNumberFormat="1" applyFont="1" applyBorder="1" applyAlignment="1">
      <alignment horizontal="left" wrapText="1"/>
    </xf>
    <xf numFmtId="165" fontId="4" fillId="0" borderId="2" xfId="0" applyNumberFormat="1" applyFont="1" applyFill="1" applyBorder="1" applyAlignment="1">
      <alignment horizontal="left"/>
    </xf>
    <xf numFmtId="165" fontId="16" fillId="0" borderId="2" xfId="0" applyNumberFormat="1" applyFont="1" applyFill="1" applyBorder="1" applyAlignment="1">
      <alignment horizontal="left"/>
    </xf>
    <xf numFmtId="165" fontId="1" fillId="0" borderId="1" xfId="0" applyNumberFormat="1" applyFont="1" applyBorder="1" applyAlignment="1">
      <alignment horizontal="left" wrapText="1"/>
    </xf>
    <xf numFmtId="165" fontId="0" fillId="0" borderId="2" xfId="0" applyNumberFormat="1" applyBorder="1" applyAlignment="1">
      <alignment horizontal="left"/>
    </xf>
    <xf numFmtId="0" fontId="1" fillId="0" borderId="0" xfId="0" applyFont="1" applyAlignment="1">
      <alignment horizontal="center" vertical="center"/>
    </xf>
    <xf numFmtId="0" fontId="3"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 vertical="center"/>
    </xf>
    <xf numFmtId="0" fontId="13" fillId="2" borderId="18" xfId="0" applyFont="1" applyFill="1" applyBorder="1" applyAlignment="1">
      <alignment horizontal="center"/>
    </xf>
    <xf numFmtId="1" fontId="14" fillId="0" borderId="9" xfId="0" applyNumberFormat="1" applyFont="1" applyBorder="1" applyAlignment="1">
      <alignment vertical="center" wrapText="1"/>
    </xf>
    <xf numFmtId="1" fontId="14" fillId="0" borderId="9" xfId="0" applyNumberFormat="1" applyFont="1" applyBorder="1" applyAlignment="1">
      <alignment vertical="center"/>
    </xf>
    <xf numFmtId="0" fontId="15" fillId="0" borderId="18" xfId="0" applyFont="1" applyBorder="1" applyAlignment="1">
      <alignment wrapText="1"/>
    </xf>
    <xf numFmtId="0" fontId="13" fillId="2" borderId="2" xfId="0" applyFont="1" applyFill="1" applyBorder="1" applyAlignment="1">
      <alignment horizontal="center"/>
    </xf>
    <xf numFmtId="0" fontId="6" fillId="2" borderId="2" xfId="0" applyFont="1" applyFill="1" applyBorder="1" applyAlignment="1">
      <alignment wrapText="1"/>
    </xf>
    <xf numFmtId="0" fontId="4" fillId="0" borderId="2" xfId="0" applyFont="1" applyBorder="1" applyAlignment="1">
      <alignment wrapText="1"/>
    </xf>
    <xf numFmtId="0" fontId="17" fillId="8" borderId="2" xfId="0" applyFont="1" applyFill="1" applyBorder="1" applyAlignment="1">
      <alignment horizontal="center" vertical="center" wrapText="1"/>
    </xf>
    <xf numFmtId="0" fontId="0" fillId="0" borderId="2" xfId="0" applyBorder="1" applyAlignment="1">
      <alignment vertical="top" wrapText="1"/>
    </xf>
    <xf numFmtId="0" fontId="0" fillId="0" borderId="2" xfId="0" applyBorder="1" applyAlignment="1">
      <alignment wrapText="1"/>
    </xf>
    <xf numFmtId="0" fontId="6" fillId="2" borderId="6" xfId="0" applyFont="1" applyFill="1" applyBorder="1" applyAlignment="1">
      <alignment horizontal="left"/>
    </xf>
    <xf numFmtId="0" fontId="4" fillId="0" borderId="2" xfId="0" applyFont="1" applyBorder="1" applyAlignment="1">
      <alignment wrapText="1"/>
    </xf>
    <xf numFmtId="0" fontId="4" fillId="0" borderId="1" xfId="0" applyFont="1" applyBorder="1" applyAlignment="1">
      <alignment horizontal="center" vertical="center"/>
    </xf>
    <xf numFmtId="0" fontId="10" fillId="2" borderId="0" xfId="0" applyFont="1" applyFill="1" applyBorder="1" applyAlignment="1">
      <alignment horizontal="center"/>
    </xf>
    <xf numFmtId="0" fontId="10" fillId="2" borderId="3" xfId="0" applyFont="1" applyFill="1" applyBorder="1" applyAlignment="1">
      <alignment horizontal="center"/>
    </xf>
    <xf numFmtId="0" fontId="4" fillId="2" borderId="0" xfId="0" applyFont="1" applyFill="1" applyBorder="1" applyAlignment="1">
      <alignment wrapText="1"/>
    </xf>
    <xf numFmtId="0" fontId="4" fillId="2" borderId="3" xfId="0" applyFont="1" applyFill="1" applyBorder="1" applyAlignment="1">
      <alignment wrapText="1"/>
    </xf>
    <xf numFmtId="0" fontId="3" fillId="2" borderId="4" xfId="0" applyFont="1" applyFill="1" applyBorder="1" applyAlignment="1">
      <alignment horizontal="center"/>
    </xf>
    <xf numFmtId="0" fontId="3" fillId="2" borderId="5" xfId="0" applyFont="1" applyFill="1" applyBorder="1" applyAlignment="1">
      <alignment horizontal="center"/>
    </xf>
    <xf numFmtId="0" fontId="7" fillId="0" borderId="2" xfId="0" applyFont="1" applyBorder="1" applyAlignment="1"/>
    <xf numFmtId="0" fontId="6" fillId="2" borderId="6" xfId="0" applyFont="1" applyFill="1" applyBorder="1" applyAlignment="1">
      <alignment horizontal="right" vertical="top" wrapText="1"/>
    </xf>
    <xf numFmtId="0" fontId="6" fillId="2" borderId="7" xfId="0" applyFont="1" applyFill="1" applyBorder="1" applyAlignment="1">
      <alignment horizontal="right" vertical="top" wrapText="1"/>
    </xf>
    <xf numFmtId="0" fontId="6" fillId="2" borderId="8" xfId="0" applyFont="1" applyFill="1" applyBorder="1" applyAlignment="1">
      <alignment horizontal="right" vertical="top" wrapText="1"/>
    </xf>
    <xf numFmtId="0" fontId="7" fillId="0" borderId="11" xfId="0" applyFont="1" applyBorder="1" applyAlignment="1"/>
    <xf numFmtId="0" fontId="7" fillId="0" borderId="12" xfId="0" applyFont="1" applyBorder="1" applyAlignment="1"/>
    <xf numFmtId="0" fontId="7" fillId="0" borderId="13" xfId="0" applyFont="1" applyBorder="1" applyAlignment="1"/>
    <xf numFmtId="0" fontId="7" fillId="0" borderId="14" xfId="0" applyFont="1" applyBorder="1" applyAlignment="1"/>
    <xf numFmtId="0" fontId="7" fillId="0" borderId="4" xfId="0" applyFont="1" applyBorder="1" applyAlignment="1"/>
    <xf numFmtId="0" fontId="7" fillId="0" borderId="5" xfId="0" applyFont="1" applyBorder="1" applyAlignment="1"/>
    <xf numFmtId="0" fontId="4" fillId="0" borderId="2" xfId="0" applyFont="1" applyBorder="1" applyAlignment="1"/>
    <xf numFmtId="0" fontId="7" fillId="0" borderId="9" xfId="0" applyFont="1" applyBorder="1" applyAlignment="1">
      <alignment horizontal="left"/>
    </xf>
    <xf numFmtId="0" fontId="7" fillId="0" borderId="15" xfId="0" applyFont="1" applyBorder="1" applyAlignment="1">
      <alignment horizontal="left"/>
    </xf>
    <xf numFmtId="0" fontId="7" fillId="0" borderId="10" xfId="0" applyFont="1" applyBorder="1" applyAlignment="1">
      <alignment horizontal="left"/>
    </xf>
    <xf numFmtId="0" fontId="4" fillId="0" borderId="2" xfId="0" applyFont="1" applyFill="1" applyBorder="1" applyAlignment="1">
      <alignment horizontal="left"/>
    </xf>
    <xf numFmtId="0" fontId="6" fillId="2" borderId="6" xfId="0" applyFont="1" applyFill="1" applyBorder="1" applyAlignment="1">
      <alignment vertical="top" wrapText="1"/>
    </xf>
    <xf numFmtId="0" fontId="6" fillId="2" borderId="7" xfId="0" applyFont="1" applyFill="1" applyBorder="1" applyAlignment="1">
      <alignment vertical="top" wrapText="1"/>
    </xf>
    <xf numFmtId="0" fontId="6" fillId="2" borderId="8" xfId="0" applyFont="1" applyFill="1" applyBorder="1" applyAlignment="1">
      <alignment vertical="top" wrapText="1"/>
    </xf>
    <xf numFmtId="0" fontId="6" fillId="2" borderId="6" xfId="0" applyFont="1" applyFill="1" applyBorder="1" applyAlignment="1">
      <alignment vertical="top"/>
    </xf>
    <xf numFmtId="0" fontId="6" fillId="2" borderId="7" xfId="0" applyFont="1" applyFill="1" applyBorder="1" applyAlignment="1">
      <alignment vertical="top"/>
    </xf>
    <xf numFmtId="0" fontId="4" fillId="0" borderId="2" xfId="0" applyFont="1" applyBorder="1" applyAlignment="1">
      <alignment horizontal="left"/>
    </xf>
    <xf numFmtId="0" fontId="6" fillId="2" borderId="9" xfId="0" applyFont="1" applyFill="1" applyBorder="1" applyAlignment="1">
      <alignment horizontal="left"/>
    </xf>
    <xf numFmtId="0" fontId="6" fillId="2" borderId="15" xfId="0" applyFont="1" applyFill="1" applyBorder="1" applyAlignment="1">
      <alignment horizontal="left"/>
    </xf>
    <xf numFmtId="0" fontId="6" fillId="2" borderId="10" xfId="0" applyFont="1" applyFill="1" applyBorder="1" applyAlignment="1">
      <alignment horizontal="left"/>
    </xf>
    <xf numFmtId="0" fontId="6" fillId="0" borderId="9" xfId="0" applyFont="1" applyFill="1" applyBorder="1" applyAlignment="1">
      <alignment horizontal="center"/>
    </xf>
    <xf numFmtId="0" fontId="6" fillId="0" borderId="15" xfId="0" applyFont="1" applyFill="1" applyBorder="1" applyAlignment="1">
      <alignment horizontal="center"/>
    </xf>
    <xf numFmtId="0" fontId="6" fillId="0" borderId="10" xfId="0" applyFont="1" applyFill="1" applyBorder="1" applyAlignment="1">
      <alignment horizontal="center"/>
    </xf>
    <xf numFmtId="0" fontId="6" fillId="2" borderId="7" xfId="0" applyFont="1" applyFill="1" applyBorder="1" applyAlignment="1">
      <alignment horizontal="left" vertical="top"/>
    </xf>
    <xf numFmtId="0" fontId="6" fillId="2" borderId="8" xfId="0" applyFont="1" applyFill="1" applyBorder="1" applyAlignment="1">
      <alignment horizontal="left" vertical="top"/>
    </xf>
    <xf numFmtId="0" fontId="6" fillId="2" borderId="2" xfId="0" applyFont="1" applyFill="1" applyBorder="1" applyAlignment="1">
      <alignment wrapText="1"/>
    </xf>
    <xf numFmtId="0" fontId="7" fillId="2" borderId="2" xfId="0" applyFont="1" applyFill="1" applyBorder="1" applyAlignment="1">
      <alignment wrapText="1"/>
    </xf>
    <xf numFmtId="0" fontId="3" fillId="0" borderId="2" xfId="0" applyFont="1" applyFill="1" applyBorder="1" applyAlignment="1">
      <alignment wrapText="1"/>
    </xf>
    <xf numFmtId="0" fontId="4" fillId="0" borderId="2"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165" fontId="4" fillId="0" borderId="2" xfId="0" applyNumberFormat="1" applyFont="1" applyFill="1" applyBorder="1" applyAlignment="1">
      <alignment horizontal="left"/>
    </xf>
    <xf numFmtId="0" fontId="3" fillId="0" borderId="2" xfId="0" applyFont="1" applyFill="1" applyBorder="1" applyAlignment="1"/>
    <xf numFmtId="0" fontId="1" fillId="0" borderId="2" xfId="0" applyFont="1" applyFill="1" applyBorder="1" applyAlignment="1"/>
    <xf numFmtId="0" fontId="4" fillId="3" borderId="9" xfId="0" applyFont="1" applyFill="1" applyBorder="1" applyAlignment="1">
      <alignment horizontal="left"/>
    </xf>
    <xf numFmtId="0" fontId="4" fillId="3" borderId="15" xfId="0" applyFont="1" applyFill="1" applyBorder="1" applyAlignment="1">
      <alignment horizontal="left"/>
    </xf>
    <xf numFmtId="0" fontId="4" fillId="3" borderId="10" xfId="0" applyFont="1" applyFill="1" applyBorder="1" applyAlignment="1">
      <alignment horizontal="left"/>
    </xf>
    <xf numFmtId="165" fontId="4" fillId="3" borderId="9" xfId="0" applyNumberFormat="1" applyFont="1" applyFill="1" applyBorder="1" applyAlignment="1">
      <alignment horizontal="left"/>
    </xf>
    <xf numFmtId="165" fontId="4" fillId="3" borderId="15" xfId="0" applyNumberFormat="1" applyFont="1" applyFill="1" applyBorder="1" applyAlignment="1">
      <alignment horizontal="left"/>
    </xf>
    <xf numFmtId="165" fontId="4" fillId="3" borderId="10" xfId="0" applyNumberFormat="1" applyFont="1" applyFill="1" applyBorder="1" applyAlignment="1">
      <alignment horizontal="left"/>
    </xf>
    <xf numFmtId="165" fontId="6" fillId="2" borderId="9" xfId="0" applyNumberFormat="1" applyFont="1" applyFill="1" applyBorder="1" applyAlignment="1">
      <alignment horizontal="left"/>
    </xf>
    <xf numFmtId="165" fontId="6" fillId="2" borderId="10" xfId="0" applyNumberFormat="1" applyFont="1" applyFill="1" applyBorder="1" applyAlignment="1">
      <alignment horizontal="left"/>
    </xf>
    <xf numFmtId="0" fontId="1" fillId="0" borderId="16" xfId="0" applyFont="1" applyBorder="1" applyAlignment="1">
      <alignment horizontal="left" wrapText="1"/>
    </xf>
    <xf numFmtId="0" fontId="1" fillId="0" borderId="17" xfId="0" applyFont="1" applyBorder="1" applyAlignment="1">
      <alignment horizontal="left" wrapText="1"/>
    </xf>
    <xf numFmtId="0" fontId="0" fillId="0" borderId="10" xfId="0" applyBorder="1"/>
    <xf numFmtId="165" fontId="1" fillId="0" borderId="16" xfId="0" applyNumberFormat="1" applyFont="1" applyBorder="1" applyAlignment="1">
      <alignment horizontal="left" wrapText="1"/>
    </xf>
    <xf numFmtId="165" fontId="1" fillId="0" borderId="17" xfId="0" applyNumberFormat="1" applyFont="1" applyBorder="1" applyAlignment="1">
      <alignment horizontal="left" wrapText="1"/>
    </xf>
    <xf numFmtId="0" fontId="0" fillId="0" borderId="2" xfId="0" applyBorder="1" applyAlignment="1">
      <alignment horizontal="left"/>
    </xf>
    <xf numFmtId="165" fontId="0" fillId="0" borderId="2" xfId="0" applyNumberFormat="1" applyBorder="1" applyAlignment="1">
      <alignment horizontal="left"/>
    </xf>
    <xf numFmtId="0" fontId="1" fillId="0" borderId="2" xfId="0" applyFont="1" applyBorder="1" applyAlignment="1">
      <alignment horizontal="left" wrapText="1"/>
    </xf>
    <xf numFmtId="0" fontId="6" fillId="2" borderId="2" xfId="0" applyFont="1" applyFill="1" applyBorder="1" applyAlignment="1">
      <alignment horizontal="left"/>
    </xf>
    <xf numFmtId="0" fontId="11" fillId="2" borderId="2" xfId="0" applyFont="1" applyFill="1" applyBorder="1" applyAlignment="1">
      <alignment horizontal="center" vertical="top"/>
    </xf>
    <xf numFmtId="17" fontId="2" fillId="4" borderId="2" xfId="0" applyNumberFormat="1" applyFont="1" applyFill="1" applyBorder="1" applyAlignment="1">
      <alignment horizontal="left" vertical="center" wrapText="1"/>
    </xf>
  </cellXfs>
  <cellStyles count="1">
    <cellStyle name="Normal" xfId="0" builtinId="0"/>
  </cellStyles>
  <dxfs count="28">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ndense val="0"/>
        <extend val="0"/>
        <color rgb="FF9C0006"/>
      </font>
      <fill>
        <patternFill>
          <bgColor rgb="FFFFC7CE"/>
        </patternFill>
      </fill>
    </dxf>
    <dxf>
      <font>
        <color auto="1"/>
      </font>
      <fill>
        <patternFill>
          <bgColor theme="9" tint="0.39994506668294322"/>
        </patternFill>
      </fill>
    </dxf>
    <dxf>
      <font>
        <condense val="0"/>
        <extend val="0"/>
        <color rgb="FF9C0006"/>
      </font>
      <fill>
        <patternFill>
          <bgColor rgb="FFFFC7CE"/>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tabSelected="1" workbookViewId="0">
      <selection sqref="A1:B1"/>
    </sheetView>
  </sheetViews>
  <sheetFormatPr defaultRowHeight="15" x14ac:dyDescent="0.25"/>
  <cols>
    <col min="1" max="1" width="19.28515625" customWidth="1"/>
    <col min="2" max="2" width="108.42578125" customWidth="1"/>
  </cols>
  <sheetData>
    <row r="1" spans="1:2" s="33" customFormat="1" ht="28.5" customHeight="1" x14ac:dyDescent="0.3">
      <c r="A1" s="112" t="s">
        <v>99</v>
      </c>
      <c r="B1" s="113"/>
    </row>
    <row r="2" spans="1:2" s="33" customFormat="1" ht="28.5" customHeight="1" x14ac:dyDescent="0.3">
      <c r="A2" s="34"/>
      <c r="B2" s="35"/>
    </row>
    <row r="3" spans="1:2" ht="25.5" customHeight="1" x14ac:dyDescent="0.25">
      <c r="A3" s="114" t="s">
        <v>15</v>
      </c>
      <c r="B3" s="115"/>
    </row>
    <row r="4" spans="1:2" x14ac:dyDescent="0.25">
      <c r="A4" s="114"/>
      <c r="B4" s="115"/>
    </row>
    <row r="5" spans="1:2" x14ac:dyDescent="0.25">
      <c r="A5" s="116" t="s">
        <v>16</v>
      </c>
      <c r="B5" s="117"/>
    </row>
    <row r="6" spans="1:2" ht="29.25" customHeight="1" x14ac:dyDescent="0.25">
      <c r="A6" s="26" t="s">
        <v>54</v>
      </c>
      <c r="B6" s="57" t="s">
        <v>97</v>
      </c>
    </row>
    <row r="7" spans="1:2" ht="29.25" customHeight="1" x14ac:dyDescent="0.25">
      <c r="A7" s="104" t="s">
        <v>105</v>
      </c>
      <c r="B7" s="105" t="s">
        <v>106</v>
      </c>
    </row>
    <row r="8" spans="1:2" ht="30" customHeight="1" x14ac:dyDescent="0.25">
      <c r="A8" s="26" t="s">
        <v>24</v>
      </c>
      <c r="B8" s="27" t="s">
        <v>23</v>
      </c>
    </row>
    <row r="9" spans="1:2" ht="39" x14ac:dyDescent="0.25">
      <c r="A9" s="32" t="s">
        <v>55</v>
      </c>
      <c r="B9" s="31" t="s">
        <v>62</v>
      </c>
    </row>
    <row r="10" spans="1:2" ht="39" x14ac:dyDescent="0.25">
      <c r="A10" s="26" t="s">
        <v>17</v>
      </c>
      <c r="B10" s="27" t="s">
        <v>18</v>
      </c>
    </row>
    <row r="11" spans="1:2" ht="39" x14ac:dyDescent="0.25">
      <c r="A11" s="58" t="s">
        <v>90</v>
      </c>
      <c r="B11" s="27" t="s">
        <v>21</v>
      </c>
    </row>
    <row r="12" spans="1:2" ht="26.25" x14ac:dyDescent="0.25">
      <c r="A12" s="26" t="s">
        <v>19</v>
      </c>
      <c r="B12" s="27" t="s">
        <v>20</v>
      </c>
    </row>
    <row r="13" spans="1:2" ht="21.75" customHeight="1" x14ac:dyDescent="0.25">
      <c r="A13" s="58" t="s">
        <v>91</v>
      </c>
      <c r="B13" s="27" t="s">
        <v>22</v>
      </c>
    </row>
    <row r="14" spans="1:2" ht="21.75" customHeight="1" x14ac:dyDescent="0.25">
      <c r="A14" s="58" t="s">
        <v>92</v>
      </c>
      <c r="B14" s="57" t="s">
        <v>93</v>
      </c>
    </row>
    <row r="15" spans="1:2" ht="21.75" customHeight="1" x14ac:dyDescent="0.25">
      <c r="A15" s="58" t="s">
        <v>94</v>
      </c>
      <c r="B15" s="57" t="s">
        <v>95</v>
      </c>
    </row>
    <row r="16" spans="1:2" ht="30.75" customHeight="1" x14ac:dyDescent="0.25">
      <c r="A16" s="58" t="s">
        <v>96</v>
      </c>
      <c r="B16" s="57" t="s">
        <v>98</v>
      </c>
    </row>
  </sheetData>
  <mergeCells count="4">
    <mergeCell ref="A1:B1"/>
    <mergeCell ref="A4:B4"/>
    <mergeCell ref="A5:B5"/>
    <mergeCell ref="A3:B3"/>
  </mergeCells>
  <pageMargins left="0.25" right="0.25" top="1.25" bottom="0.75" header="0.3" footer="0.3"/>
  <pageSetup orientation="landscape" horizontalDpi="300" verticalDpi="300" r:id="rId1"/>
  <headerFooter>
    <oddHeader>&amp;L&amp;G&amp;R&amp;"-,Bold"&amp;18Definitions</oddHeader>
    <oddFooter>&amp;C&amp;P&amp;R&amp;D</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zoomScaleNormal="100" workbookViewId="0"/>
  </sheetViews>
  <sheetFormatPr defaultRowHeight="15" x14ac:dyDescent="0.25"/>
  <cols>
    <col min="1" max="1" width="18.42578125" customWidth="1"/>
    <col min="2" max="2" width="54.5703125" customWidth="1"/>
    <col min="3" max="3" width="16.85546875" customWidth="1"/>
    <col min="4" max="4" width="36.7109375" customWidth="1"/>
  </cols>
  <sheetData>
    <row r="1" spans="1:4" x14ac:dyDescent="0.25">
      <c r="A1" s="17" t="s">
        <v>25</v>
      </c>
      <c r="B1" s="20"/>
      <c r="C1" s="17" t="s">
        <v>27</v>
      </c>
      <c r="D1" s="20"/>
    </row>
    <row r="2" spans="1:4" x14ac:dyDescent="0.25">
      <c r="A2" s="17" t="s">
        <v>45</v>
      </c>
      <c r="B2" s="20"/>
      <c r="C2" s="17" t="s">
        <v>47</v>
      </c>
      <c r="D2" s="90"/>
    </row>
    <row r="3" spans="1:4" x14ac:dyDescent="0.25">
      <c r="A3" s="17" t="s">
        <v>29</v>
      </c>
      <c r="B3" s="151"/>
      <c r="C3" s="151"/>
      <c r="D3" s="152"/>
    </row>
    <row r="4" spans="1:4" ht="33.75" x14ac:dyDescent="0.25">
      <c r="A4" s="18" t="s">
        <v>30</v>
      </c>
      <c r="B4" s="150"/>
      <c r="C4" s="150"/>
      <c r="D4" s="150"/>
    </row>
    <row r="5" spans="1:4" x14ac:dyDescent="0.25">
      <c r="A5" s="19" t="s">
        <v>31</v>
      </c>
      <c r="B5" s="150"/>
      <c r="C5" s="150"/>
      <c r="D5" s="150"/>
    </row>
    <row r="6" spans="1:4" x14ac:dyDescent="0.25">
      <c r="A6" s="133" t="s">
        <v>32</v>
      </c>
      <c r="B6" s="17" t="s">
        <v>33</v>
      </c>
      <c r="C6" s="147" t="s">
        <v>34</v>
      </c>
      <c r="D6" s="148"/>
    </row>
    <row r="7" spans="1:4" x14ac:dyDescent="0.25">
      <c r="A7" s="134"/>
      <c r="B7" s="15"/>
      <c r="C7" s="149"/>
      <c r="D7" s="150"/>
    </row>
    <row r="8" spans="1:4" x14ac:dyDescent="0.25">
      <c r="A8" s="134"/>
      <c r="B8" s="15"/>
      <c r="C8" s="149"/>
      <c r="D8" s="150"/>
    </row>
    <row r="9" spans="1:4" x14ac:dyDescent="0.25">
      <c r="A9" s="135"/>
      <c r="B9" s="16"/>
      <c r="C9" s="150"/>
      <c r="D9" s="150"/>
    </row>
    <row r="10" spans="1:4" x14ac:dyDescent="0.25">
      <c r="A10" s="133" t="s">
        <v>35</v>
      </c>
      <c r="B10" s="17" t="s">
        <v>35</v>
      </c>
      <c r="C10" s="147" t="s">
        <v>12</v>
      </c>
      <c r="D10" s="148"/>
    </row>
    <row r="11" spans="1:4" x14ac:dyDescent="0.25">
      <c r="A11" s="134"/>
      <c r="B11" s="15"/>
      <c r="C11" s="149"/>
      <c r="D11" s="150"/>
    </row>
    <row r="12" spans="1:4" x14ac:dyDescent="0.25">
      <c r="A12" s="134"/>
      <c r="B12" s="15"/>
      <c r="C12" s="149"/>
      <c r="D12" s="150"/>
    </row>
    <row r="13" spans="1:4" x14ac:dyDescent="0.25">
      <c r="A13" s="135"/>
      <c r="B13" s="16"/>
      <c r="C13" s="150"/>
      <c r="D13" s="150"/>
    </row>
    <row r="14" spans="1:4" x14ac:dyDescent="0.25">
      <c r="A14" s="133" t="s">
        <v>46</v>
      </c>
      <c r="B14" s="139" t="s">
        <v>36</v>
      </c>
      <c r="C14" s="140"/>
      <c r="D14" s="141"/>
    </row>
    <row r="15" spans="1:4" x14ac:dyDescent="0.25">
      <c r="A15" s="134"/>
      <c r="B15" s="142"/>
      <c r="C15" s="143"/>
      <c r="D15" s="144"/>
    </row>
    <row r="16" spans="1:4" x14ac:dyDescent="0.25">
      <c r="A16" s="134"/>
      <c r="B16" s="142"/>
      <c r="C16" s="143"/>
      <c r="D16" s="144"/>
    </row>
    <row r="17" spans="1:4" x14ac:dyDescent="0.25">
      <c r="A17" s="134"/>
      <c r="B17" s="142"/>
      <c r="C17" s="143"/>
      <c r="D17" s="144"/>
    </row>
    <row r="18" spans="1:4" x14ac:dyDescent="0.25">
      <c r="A18" s="135"/>
      <c r="B18" s="142"/>
      <c r="C18" s="143"/>
      <c r="D18" s="144"/>
    </row>
    <row r="19" spans="1:4" x14ac:dyDescent="0.25">
      <c r="A19" s="136" t="s">
        <v>37</v>
      </c>
      <c r="B19" s="138" t="s">
        <v>38</v>
      </c>
      <c r="C19" s="138"/>
      <c r="D19" s="138"/>
    </row>
    <row r="20" spans="1:4" x14ac:dyDescent="0.25">
      <c r="A20" s="137"/>
      <c r="B20" s="138" t="s">
        <v>39</v>
      </c>
      <c r="C20" s="138"/>
      <c r="D20" s="138"/>
    </row>
    <row r="21" spans="1:4" x14ac:dyDescent="0.25">
      <c r="A21" s="137"/>
      <c r="B21" s="138" t="s">
        <v>40</v>
      </c>
      <c r="C21" s="138"/>
      <c r="D21" s="138"/>
    </row>
    <row r="22" spans="1:4" x14ac:dyDescent="0.25">
      <c r="A22" s="109" t="s">
        <v>41</v>
      </c>
      <c r="B22" s="128" t="s">
        <v>42</v>
      </c>
      <c r="C22" s="128"/>
      <c r="D22" s="128"/>
    </row>
    <row r="23" spans="1:4" x14ac:dyDescent="0.25">
      <c r="A23" s="145" t="s">
        <v>27</v>
      </c>
      <c r="B23" s="128"/>
      <c r="C23" s="128"/>
      <c r="D23" s="128"/>
    </row>
    <row r="24" spans="1:4" x14ac:dyDescent="0.25">
      <c r="A24" s="145"/>
      <c r="B24" s="132" t="s">
        <v>43</v>
      </c>
      <c r="C24" s="132"/>
      <c r="D24" s="132"/>
    </row>
    <row r="25" spans="1:4" x14ac:dyDescent="0.25">
      <c r="A25" s="145"/>
      <c r="B25" s="118"/>
      <c r="C25" s="118"/>
      <c r="D25" s="118"/>
    </row>
    <row r="26" spans="1:4" x14ac:dyDescent="0.25">
      <c r="A26" s="145"/>
      <c r="B26" s="128" t="s">
        <v>44</v>
      </c>
      <c r="C26" s="128"/>
      <c r="D26" s="128"/>
    </row>
    <row r="27" spans="1:4" x14ac:dyDescent="0.25">
      <c r="A27" s="146"/>
      <c r="B27" s="118"/>
      <c r="C27" s="118"/>
      <c r="D27" s="118"/>
    </row>
    <row r="28" spans="1:4" ht="15" hidden="1" customHeight="1" x14ac:dyDescent="0.25">
      <c r="A28" s="119" t="s">
        <v>45</v>
      </c>
      <c r="B28" s="122"/>
      <c r="C28" s="123"/>
      <c r="D28" s="124"/>
    </row>
    <row r="29" spans="1:4" x14ac:dyDescent="0.25">
      <c r="A29" s="120"/>
      <c r="B29" s="125"/>
      <c r="C29" s="126"/>
      <c r="D29" s="127"/>
    </row>
    <row r="30" spans="1:4" x14ac:dyDescent="0.25">
      <c r="A30" s="120"/>
      <c r="B30" s="128" t="s">
        <v>42</v>
      </c>
      <c r="C30" s="128"/>
      <c r="D30" s="128"/>
    </row>
    <row r="31" spans="1:4" x14ac:dyDescent="0.25">
      <c r="A31" s="120"/>
      <c r="B31" s="129"/>
      <c r="C31" s="130"/>
      <c r="D31" s="131"/>
    </row>
    <row r="32" spans="1:4" x14ac:dyDescent="0.25">
      <c r="A32" s="120"/>
      <c r="B32" s="132" t="s">
        <v>43</v>
      </c>
      <c r="C32" s="132"/>
      <c r="D32" s="132"/>
    </row>
    <row r="33" spans="1:4" x14ac:dyDescent="0.25">
      <c r="A33" s="120"/>
      <c r="B33" s="118"/>
      <c r="C33" s="118"/>
      <c r="D33" s="118"/>
    </row>
    <row r="34" spans="1:4" x14ac:dyDescent="0.25">
      <c r="A34" s="121"/>
      <c r="B34" s="128" t="s">
        <v>44</v>
      </c>
      <c r="C34" s="128"/>
      <c r="D34" s="128"/>
    </row>
  </sheetData>
  <mergeCells count="37">
    <mergeCell ref="B3:D3"/>
    <mergeCell ref="B4:D4"/>
    <mergeCell ref="B5:D5"/>
    <mergeCell ref="A6:A9"/>
    <mergeCell ref="C6:D6"/>
    <mergeCell ref="C7:D7"/>
    <mergeCell ref="C8:D8"/>
    <mergeCell ref="C9:D9"/>
    <mergeCell ref="A10:A13"/>
    <mergeCell ref="C10:D10"/>
    <mergeCell ref="C11:D11"/>
    <mergeCell ref="C12:D12"/>
    <mergeCell ref="C13:D13"/>
    <mergeCell ref="B22:D22"/>
    <mergeCell ref="B23:D23"/>
    <mergeCell ref="A14:A18"/>
    <mergeCell ref="A19:A21"/>
    <mergeCell ref="B19:D19"/>
    <mergeCell ref="B20:D20"/>
    <mergeCell ref="B21:D21"/>
    <mergeCell ref="B14:D14"/>
    <mergeCell ref="B18:D18"/>
    <mergeCell ref="B15:D15"/>
    <mergeCell ref="B16:D16"/>
    <mergeCell ref="B17:D17"/>
    <mergeCell ref="A23:A27"/>
    <mergeCell ref="B24:D24"/>
    <mergeCell ref="B25:D25"/>
    <mergeCell ref="B26:D26"/>
    <mergeCell ref="B27:D27"/>
    <mergeCell ref="A28:A34"/>
    <mergeCell ref="B28:D29"/>
    <mergeCell ref="B30:D30"/>
    <mergeCell ref="B31:D31"/>
    <mergeCell ref="B32:D32"/>
    <mergeCell ref="B33:D33"/>
    <mergeCell ref="B34:D34"/>
  </mergeCells>
  <pageMargins left="0.25" right="0.25" top="1.25" bottom="0.75" header="0.3" footer="0.3"/>
  <pageSetup scale="93" orientation="landscape" horizontalDpi="300" verticalDpi="300" r:id="rId1"/>
  <headerFooter>
    <oddHeader>&amp;L&amp;G&amp;R&amp;"-,Bold"&amp;18Charter Lite</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
  <sheetViews>
    <sheetView zoomScaleNormal="100" workbookViewId="0">
      <selection activeCell="A4" sqref="A4"/>
    </sheetView>
  </sheetViews>
  <sheetFormatPr defaultRowHeight="15" x14ac:dyDescent="0.25"/>
  <cols>
    <col min="1" max="4" width="25.42578125" customWidth="1"/>
    <col min="5" max="5" width="26.85546875" customWidth="1"/>
  </cols>
  <sheetData>
    <row r="1" spans="1:5" x14ac:dyDescent="0.25">
      <c r="A1" s="17" t="s">
        <v>25</v>
      </c>
      <c r="B1" s="84">
        <f>'Charter Lite'!B1</f>
        <v>0</v>
      </c>
      <c r="C1" s="17" t="s">
        <v>27</v>
      </c>
      <c r="D1" s="132">
        <f>'Charter Lite'!D1</f>
        <v>0</v>
      </c>
      <c r="E1" s="132"/>
    </row>
    <row r="2" spans="1:5" x14ac:dyDescent="0.25">
      <c r="A2" s="17" t="s">
        <v>45</v>
      </c>
      <c r="B2" s="84">
        <f>'Charter Lite'!B2</f>
        <v>0</v>
      </c>
      <c r="C2" s="17" t="s">
        <v>47</v>
      </c>
      <c r="D2" s="153">
        <f>'Charter Lite'!D2</f>
        <v>0</v>
      </c>
      <c r="E2" s="153"/>
    </row>
    <row r="5" spans="1:5" x14ac:dyDescent="0.25">
      <c r="A5" s="106" t="s">
        <v>56</v>
      </c>
      <c r="B5" s="106" t="s">
        <v>101</v>
      </c>
      <c r="C5" s="106" t="s">
        <v>102</v>
      </c>
      <c r="D5" s="106" t="s">
        <v>103</v>
      </c>
      <c r="E5" s="106" t="s">
        <v>104</v>
      </c>
    </row>
    <row r="6" spans="1:5" x14ac:dyDescent="0.25">
      <c r="A6" s="107"/>
      <c r="B6" s="108"/>
      <c r="C6" s="108"/>
      <c r="D6" s="107"/>
      <c r="E6" s="107"/>
    </row>
    <row r="7" spans="1:5" x14ac:dyDescent="0.25">
      <c r="A7" s="107"/>
      <c r="B7" s="108"/>
      <c r="C7" s="108"/>
      <c r="D7" s="107"/>
      <c r="E7" s="107"/>
    </row>
    <row r="8" spans="1:5" x14ac:dyDescent="0.25">
      <c r="A8" s="107"/>
      <c r="B8" s="108"/>
      <c r="C8" s="108"/>
      <c r="D8" s="107"/>
      <c r="E8" s="107"/>
    </row>
    <row r="9" spans="1:5" x14ac:dyDescent="0.25">
      <c r="A9" s="107"/>
      <c r="B9" s="108"/>
      <c r="C9" s="108"/>
      <c r="D9" s="107"/>
      <c r="E9" s="107"/>
    </row>
    <row r="10" spans="1:5" x14ac:dyDescent="0.25">
      <c r="A10" s="107"/>
      <c r="B10" s="108"/>
      <c r="C10" s="108"/>
      <c r="D10" s="107"/>
      <c r="E10" s="107"/>
    </row>
    <row r="11" spans="1:5" x14ac:dyDescent="0.25">
      <c r="A11" s="107"/>
      <c r="B11" s="108"/>
      <c r="C11" s="108"/>
      <c r="D11" s="107"/>
      <c r="E11" s="107"/>
    </row>
    <row r="12" spans="1:5" x14ac:dyDescent="0.25">
      <c r="A12" s="107"/>
      <c r="B12" s="108"/>
      <c r="C12" s="108"/>
      <c r="D12" s="107"/>
      <c r="E12" s="107"/>
    </row>
    <row r="13" spans="1:5" x14ac:dyDescent="0.25">
      <c r="A13" s="107"/>
      <c r="B13" s="108"/>
      <c r="C13" s="108"/>
      <c r="D13" s="107"/>
      <c r="E13" s="107"/>
    </row>
    <row r="14" spans="1:5" x14ac:dyDescent="0.25">
      <c r="A14" s="107"/>
      <c r="B14" s="108"/>
      <c r="C14" s="108"/>
      <c r="D14" s="107"/>
      <c r="E14" s="107"/>
    </row>
    <row r="15" spans="1:5" x14ac:dyDescent="0.25">
      <c r="A15" s="107"/>
      <c r="B15" s="108"/>
      <c r="C15" s="108"/>
      <c r="D15" s="107"/>
      <c r="E15" s="107"/>
    </row>
    <row r="16" spans="1:5" x14ac:dyDescent="0.25">
      <c r="A16" s="107"/>
      <c r="B16" s="108"/>
      <c r="C16" s="108"/>
      <c r="D16" s="107"/>
      <c r="E16" s="107"/>
    </row>
    <row r="17" spans="1:5" x14ac:dyDescent="0.25">
      <c r="A17" s="107"/>
      <c r="B17" s="108"/>
      <c r="C17" s="108"/>
      <c r="D17" s="107"/>
      <c r="E17" s="107"/>
    </row>
    <row r="18" spans="1:5" x14ac:dyDescent="0.25">
      <c r="A18" s="107"/>
      <c r="B18" s="108"/>
      <c r="C18" s="108"/>
      <c r="D18" s="107"/>
      <c r="E18" s="107"/>
    </row>
    <row r="19" spans="1:5" x14ac:dyDescent="0.25">
      <c r="A19" s="107"/>
      <c r="B19" s="108"/>
      <c r="C19" s="108"/>
      <c r="D19" s="107"/>
      <c r="E19" s="107"/>
    </row>
    <row r="20" spans="1:5" x14ac:dyDescent="0.25">
      <c r="A20" s="107"/>
      <c r="B20" s="108"/>
      <c r="C20" s="108"/>
      <c r="D20" s="107"/>
      <c r="E20" s="107"/>
    </row>
  </sheetData>
  <mergeCells count="2">
    <mergeCell ref="D1:E1"/>
    <mergeCell ref="D2:E2"/>
  </mergeCells>
  <pageMargins left="0.25" right="0.25" top="1.25" bottom="0.75" header="0.3" footer="0.3"/>
  <pageSetup fitToHeight="2" orientation="landscape" horizontalDpi="300" verticalDpi="300" r:id="rId1"/>
  <headerFooter>
    <oddHeader>&amp;L&amp;G&amp;R&amp;"-,Bold"&amp;18Project Directory</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zoomScaleNormal="100" workbookViewId="0">
      <selection activeCell="A5" sqref="A5:G5"/>
    </sheetView>
  </sheetViews>
  <sheetFormatPr defaultRowHeight="15" x14ac:dyDescent="0.25"/>
  <cols>
    <col min="1" max="1" width="5" customWidth="1"/>
    <col min="2" max="2" width="37.42578125" customWidth="1"/>
    <col min="3" max="3" width="36" customWidth="1"/>
    <col min="4" max="4" width="12.7109375" customWidth="1"/>
    <col min="5" max="6" width="11.42578125" customWidth="1"/>
    <col min="7" max="7" width="15.42578125" customWidth="1"/>
  </cols>
  <sheetData>
    <row r="1" spans="1:7" x14ac:dyDescent="0.25">
      <c r="A1" s="24" t="s">
        <v>25</v>
      </c>
      <c r="B1" s="24"/>
      <c r="C1" s="84">
        <f>'Charter Lite'!B1</f>
        <v>0</v>
      </c>
      <c r="D1" s="24" t="s">
        <v>27</v>
      </c>
      <c r="E1" s="156">
        <f>'Charter Lite'!D1</f>
        <v>0</v>
      </c>
      <c r="F1" s="157"/>
      <c r="G1" s="158"/>
    </row>
    <row r="2" spans="1:7" x14ac:dyDescent="0.25">
      <c r="A2" s="24" t="s">
        <v>26</v>
      </c>
      <c r="B2" s="24"/>
      <c r="C2" s="84">
        <f>'Charter Lite'!B2</f>
        <v>0</v>
      </c>
      <c r="D2" s="24" t="s">
        <v>28</v>
      </c>
      <c r="E2" s="159">
        <f>'Charter Lite'!D2</f>
        <v>0</v>
      </c>
      <c r="F2" s="160"/>
      <c r="G2" s="161"/>
    </row>
    <row r="3" spans="1:7" x14ac:dyDescent="0.25">
      <c r="A3" s="154"/>
      <c r="B3" s="155"/>
      <c r="C3" s="155"/>
      <c r="D3" s="155"/>
      <c r="E3" s="155"/>
      <c r="F3" s="155"/>
      <c r="G3" s="4"/>
    </row>
    <row r="4" spans="1:7" ht="26.25" x14ac:dyDescent="0.25">
      <c r="A4" s="28" t="s">
        <v>0</v>
      </c>
      <c r="B4" s="28" t="s">
        <v>48</v>
      </c>
      <c r="C4" s="28" t="s">
        <v>5</v>
      </c>
      <c r="D4" s="28" t="s">
        <v>49</v>
      </c>
      <c r="E4" s="28" t="s">
        <v>50</v>
      </c>
      <c r="F4" s="28" t="s">
        <v>51</v>
      </c>
      <c r="G4" s="28" t="s">
        <v>52</v>
      </c>
    </row>
    <row r="5" spans="1:7" ht="39" x14ac:dyDescent="0.25">
      <c r="A5" s="29">
        <v>1</v>
      </c>
      <c r="B5" s="110" t="s">
        <v>107</v>
      </c>
      <c r="C5" s="110" t="s">
        <v>108</v>
      </c>
      <c r="D5" s="30" t="s">
        <v>109</v>
      </c>
      <c r="E5" s="110" t="s">
        <v>110</v>
      </c>
      <c r="F5" s="30" t="s">
        <v>111</v>
      </c>
      <c r="G5" s="110" t="s">
        <v>112</v>
      </c>
    </row>
    <row r="6" spans="1:7" x14ac:dyDescent="0.25">
      <c r="A6" s="29"/>
      <c r="B6" s="14"/>
      <c r="C6" s="14"/>
      <c r="D6" s="30"/>
      <c r="E6" s="14"/>
      <c r="F6" s="30"/>
      <c r="G6" s="4"/>
    </row>
    <row r="7" spans="1:7" x14ac:dyDescent="0.25">
      <c r="A7" s="29"/>
      <c r="B7" s="14"/>
      <c r="C7" s="14"/>
      <c r="D7" s="30"/>
      <c r="E7" s="14"/>
      <c r="F7" s="30"/>
      <c r="G7" s="4"/>
    </row>
    <row r="8" spans="1:7" x14ac:dyDescent="0.25">
      <c r="A8" s="29"/>
      <c r="B8" s="14"/>
      <c r="C8" s="14"/>
      <c r="D8" s="30"/>
      <c r="E8" s="14"/>
      <c r="F8" s="30"/>
      <c r="G8" s="4"/>
    </row>
    <row r="9" spans="1:7" x14ac:dyDescent="0.25">
      <c r="A9" s="29"/>
      <c r="B9" s="14"/>
      <c r="C9" s="14"/>
      <c r="D9" s="30"/>
      <c r="E9" s="14"/>
      <c r="F9" s="30"/>
      <c r="G9" s="4"/>
    </row>
    <row r="10" spans="1:7" x14ac:dyDescent="0.25">
      <c r="A10" s="29"/>
      <c r="B10" s="14"/>
      <c r="C10" s="14"/>
      <c r="D10" s="30"/>
      <c r="E10" s="14"/>
      <c r="F10" s="30"/>
      <c r="G10" s="4"/>
    </row>
    <row r="11" spans="1:7" x14ac:dyDescent="0.25">
      <c r="A11" s="29"/>
      <c r="B11" s="14"/>
      <c r="C11" s="14"/>
      <c r="D11" s="30"/>
      <c r="E11" s="14"/>
      <c r="F11" s="30"/>
      <c r="G11" s="4"/>
    </row>
    <row r="12" spans="1:7" x14ac:dyDescent="0.25">
      <c r="A12" s="29"/>
      <c r="B12" s="14"/>
      <c r="C12" s="14"/>
      <c r="D12" s="30"/>
      <c r="E12" s="14"/>
      <c r="F12" s="30"/>
      <c r="G12" s="4"/>
    </row>
    <row r="13" spans="1:7" x14ac:dyDescent="0.25">
      <c r="A13" s="29"/>
      <c r="B13" s="14"/>
      <c r="C13" s="14"/>
      <c r="D13" s="30"/>
      <c r="E13" s="14"/>
      <c r="F13" s="30"/>
      <c r="G13" s="4"/>
    </row>
    <row r="14" spans="1:7" x14ac:dyDescent="0.25">
      <c r="A14" s="29"/>
      <c r="B14" s="14"/>
      <c r="C14" s="14"/>
      <c r="D14" s="30"/>
      <c r="E14" s="14"/>
      <c r="F14" s="30"/>
      <c r="G14" s="4"/>
    </row>
    <row r="15" spans="1:7" x14ac:dyDescent="0.25">
      <c r="A15" s="29"/>
      <c r="B15" s="14"/>
      <c r="C15" s="14"/>
      <c r="D15" s="30"/>
      <c r="E15" s="14"/>
      <c r="F15" s="30"/>
      <c r="G15" s="4"/>
    </row>
    <row r="16" spans="1:7" x14ac:dyDescent="0.25">
      <c r="A16" s="29"/>
      <c r="B16" s="14"/>
      <c r="C16" s="14"/>
      <c r="D16" s="30"/>
      <c r="E16" s="14"/>
      <c r="F16" s="30"/>
      <c r="G16" s="4"/>
    </row>
    <row r="17" spans="1:7" x14ac:dyDescent="0.25">
      <c r="A17" s="29"/>
      <c r="B17" s="14"/>
      <c r="C17" s="14"/>
      <c r="D17" s="30"/>
      <c r="E17" s="14"/>
      <c r="F17" s="30"/>
      <c r="G17" s="4"/>
    </row>
    <row r="18" spans="1:7" x14ac:dyDescent="0.25">
      <c r="A18" s="29"/>
      <c r="B18" s="14"/>
      <c r="C18" s="14"/>
      <c r="D18" s="30"/>
      <c r="E18" s="14"/>
      <c r="F18" s="30"/>
      <c r="G18" s="4"/>
    </row>
    <row r="19" spans="1:7" x14ac:dyDescent="0.25">
      <c r="A19" s="29"/>
      <c r="B19" s="14"/>
      <c r="C19" s="14"/>
      <c r="D19" s="30"/>
      <c r="E19" s="14"/>
      <c r="F19" s="30"/>
      <c r="G19" s="4"/>
    </row>
    <row r="20" spans="1:7" x14ac:dyDescent="0.25">
      <c r="A20" s="29"/>
      <c r="B20" s="14"/>
      <c r="C20" s="14"/>
      <c r="D20" s="30"/>
      <c r="E20" s="14"/>
      <c r="F20" s="30"/>
      <c r="G20" s="4"/>
    </row>
    <row r="21" spans="1:7" x14ac:dyDescent="0.25">
      <c r="A21" s="29"/>
      <c r="B21" s="14"/>
      <c r="C21" s="14"/>
      <c r="D21" s="30"/>
      <c r="E21" s="14"/>
      <c r="F21" s="30"/>
      <c r="G21" s="4"/>
    </row>
    <row r="22" spans="1:7" x14ac:dyDescent="0.25">
      <c r="A22" s="29"/>
      <c r="B22" s="14"/>
      <c r="C22" s="14"/>
      <c r="D22" s="30"/>
      <c r="E22" s="14"/>
      <c r="F22" s="30"/>
      <c r="G22" s="4"/>
    </row>
    <row r="23" spans="1:7" x14ac:dyDescent="0.25">
      <c r="A23" s="29"/>
      <c r="B23" s="14"/>
      <c r="C23" s="14"/>
      <c r="D23" s="30"/>
      <c r="E23" s="14"/>
      <c r="F23" s="30"/>
      <c r="G23" s="4"/>
    </row>
    <row r="24" spans="1:7" x14ac:dyDescent="0.25">
      <c r="A24" s="29"/>
      <c r="B24" s="14"/>
      <c r="C24" s="14"/>
      <c r="D24" s="30"/>
      <c r="E24" s="14"/>
      <c r="F24" s="30"/>
      <c r="G24" s="4"/>
    </row>
    <row r="25" spans="1:7" x14ac:dyDescent="0.25">
      <c r="A25" s="29"/>
      <c r="B25" s="14"/>
      <c r="C25" s="14"/>
      <c r="D25" s="30"/>
      <c r="E25" s="14"/>
      <c r="F25" s="30"/>
      <c r="G25" s="4"/>
    </row>
    <row r="26" spans="1:7" x14ac:dyDescent="0.25">
      <c r="A26" s="29"/>
      <c r="B26" s="14"/>
      <c r="C26" s="14"/>
      <c r="D26" s="30"/>
      <c r="E26" s="14"/>
      <c r="F26" s="30"/>
      <c r="G26" s="4"/>
    </row>
    <row r="27" spans="1:7" x14ac:dyDescent="0.25">
      <c r="A27" s="29"/>
      <c r="B27" s="14"/>
      <c r="C27" s="14"/>
      <c r="D27" s="30"/>
      <c r="E27" s="14"/>
      <c r="F27" s="30"/>
      <c r="G27" s="4"/>
    </row>
    <row r="28" spans="1:7" x14ac:dyDescent="0.25">
      <c r="A28" s="29"/>
      <c r="B28" s="14"/>
      <c r="C28" s="14"/>
      <c r="D28" s="30"/>
      <c r="E28" s="14"/>
      <c r="F28" s="30"/>
      <c r="G28" s="4"/>
    </row>
    <row r="29" spans="1:7" x14ac:dyDescent="0.25">
      <c r="A29" s="29"/>
      <c r="B29" s="14"/>
      <c r="C29" s="14"/>
      <c r="D29" s="30"/>
      <c r="E29" s="14"/>
      <c r="F29" s="30"/>
      <c r="G29" s="4"/>
    </row>
    <row r="30" spans="1:7" x14ac:dyDescent="0.25">
      <c r="A30" s="29"/>
      <c r="B30" s="14"/>
      <c r="C30" s="14"/>
      <c r="D30" s="30"/>
      <c r="E30" s="14"/>
      <c r="F30" s="30"/>
      <c r="G30" s="4"/>
    </row>
    <row r="31" spans="1:7" x14ac:dyDescent="0.25">
      <c r="A31" s="22"/>
      <c r="B31" s="13"/>
      <c r="C31" s="13"/>
      <c r="D31" s="23"/>
      <c r="E31" s="13"/>
      <c r="F31" s="23"/>
      <c r="G31" s="25"/>
    </row>
  </sheetData>
  <mergeCells count="3">
    <mergeCell ref="A3:F3"/>
    <mergeCell ref="E1:G1"/>
    <mergeCell ref="E2:G2"/>
  </mergeCells>
  <pageMargins left="0.25" right="0.25" top="1.25" bottom="0.75" header="0.3" footer="0.3"/>
  <pageSetup scale="96" orientation="landscape" horizontalDpi="300" verticalDpi="300" r:id="rId1"/>
  <headerFooter>
    <oddHeader>&amp;L&amp;G&amp;R&amp;"-,Bold"&amp;18Communication Plan</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sqref="A1:B1"/>
    </sheetView>
  </sheetViews>
  <sheetFormatPr defaultRowHeight="15" x14ac:dyDescent="0.25"/>
  <cols>
    <col min="1" max="1" width="6.7109375" customWidth="1"/>
    <col min="2" max="2" width="36.5703125" customWidth="1"/>
    <col min="3" max="6" width="14.42578125" customWidth="1"/>
    <col min="7" max="7" width="29.7109375" customWidth="1"/>
    <col min="8" max="8" width="18.5703125" customWidth="1"/>
  </cols>
  <sheetData>
    <row r="1" spans="1:8" x14ac:dyDescent="0.25">
      <c r="A1" s="139" t="s">
        <v>53</v>
      </c>
      <c r="B1" s="141"/>
      <c r="C1" s="164">
        <f>'Charter Lite'!B1</f>
        <v>0</v>
      </c>
      <c r="D1" s="165"/>
      <c r="E1" s="139" t="s">
        <v>27</v>
      </c>
      <c r="F1" s="141"/>
      <c r="G1" s="83">
        <f>'Charter Lite'!D1</f>
        <v>0</v>
      </c>
      <c r="H1" s="12"/>
    </row>
    <row r="2" spans="1:8" x14ac:dyDescent="0.25">
      <c r="A2" s="139" t="s">
        <v>45</v>
      </c>
      <c r="B2" s="141"/>
      <c r="C2" s="164">
        <f>'Charter Lite'!B2</f>
        <v>0</v>
      </c>
      <c r="D2" s="165"/>
      <c r="E2" s="162" t="s">
        <v>47</v>
      </c>
      <c r="F2" s="163"/>
      <c r="G2" s="89">
        <f>'Charter Lite'!D2</f>
        <v>0</v>
      </c>
      <c r="H2" s="12"/>
    </row>
    <row r="4" spans="1:8" x14ac:dyDescent="0.25">
      <c r="A4" s="36" t="s">
        <v>0</v>
      </c>
      <c r="B4" s="36" t="s">
        <v>56</v>
      </c>
      <c r="C4" s="36" t="s">
        <v>57</v>
      </c>
      <c r="D4" s="36" t="s">
        <v>58</v>
      </c>
      <c r="E4" s="36" t="s">
        <v>60</v>
      </c>
      <c r="F4" s="36" t="s">
        <v>61</v>
      </c>
      <c r="G4" s="36" t="s">
        <v>59</v>
      </c>
    </row>
    <row r="5" spans="1:8" x14ac:dyDescent="0.25">
      <c r="A5" s="38">
        <v>1</v>
      </c>
      <c r="B5" s="39"/>
      <c r="C5" s="55"/>
      <c r="D5" s="55"/>
      <c r="E5" s="56"/>
      <c r="F5" s="56"/>
      <c r="G5" s="39"/>
    </row>
    <row r="6" spans="1:8" x14ac:dyDescent="0.25">
      <c r="A6" s="38">
        <f>A5+1</f>
        <v>2</v>
      </c>
      <c r="B6" s="39"/>
      <c r="C6" s="55"/>
      <c r="D6" s="55"/>
      <c r="E6" s="56"/>
      <c r="F6" s="56"/>
      <c r="G6" s="39"/>
    </row>
    <row r="7" spans="1:8" x14ac:dyDescent="0.25">
      <c r="A7" s="38">
        <f>A6+1</f>
        <v>3</v>
      </c>
      <c r="B7" s="39"/>
      <c r="C7" s="55"/>
      <c r="D7" s="55"/>
      <c r="E7" s="56"/>
      <c r="F7" s="56"/>
      <c r="G7" s="39"/>
    </row>
    <row r="8" spans="1:8" x14ac:dyDescent="0.25">
      <c r="A8" s="38">
        <f t="shared" ref="A8:A34" si="0">A7+1</f>
        <v>4</v>
      </c>
      <c r="B8" s="39"/>
      <c r="C8" s="55"/>
      <c r="D8" s="55"/>
      <c r="E8" s="56"/>
      <c r="F8" s="56"/>
      <c r="G8" s="39"/>
    </row>
    <row r="9" spans="1:8" x14ac:dyDescent="0.25">
      <c r="A9" s="38">
        <f t="shared" si="0"/>
        <v>5</v>
      </c>
      <c r="B9" s="39"/>
      <c r="C9" s="55"/>
      <c r="D9" s="55"/>
      <c r="E9" s="56"/>
      <c r="F9" s="56"/>
      <c r="G9" s="39"/>
    </row>
    <row r="10" spans="1:8" x14ac:dyDescent="0.25">
      <c r="A10" s="38">
        <f t="shared" si="0"/>
        <v>6</v>
      </c>
      <c r="B10" s="39"/>
      <c r="C10" s="55"/>
      <c r="D10" s="55"/>
      <c r="E10" s="56"/>
      <c r="F10" s="56"/>
      <c r="G10" s="39"/>
    </row>
    <row r="11" spans="1:8" x14ac:dyDescent="0.25">
      <c r="A11" s="38">
        <f t="shared" si="0"/>
        <v>7</v>
      </c>
      <c r="B11" s="39"/>
      <c r="C11" s="55"/>
      <c r="D11" s="55"/>
      <c r="E11" s="56"/>
      <c r="F11" s="56"/>
      <c r="G11" s="39"/>
    </row>
    <row r="12" spans="1:8" x14ac:dyDescent="0.25">
      <c r="A12" s="38">
        <f t="shared" si="0"/>
        <v>8</v>
      </c>
      <c r="B12" s="39"/>
      <c r="C12" s="55"/>
      <c r="D12" s="55"/>
      <c r="E12" s="56"/>
      <c r="F12" s="56"/>
      <c r="G12" s="39"/>
    </row>
    <row r="13" spans="1:8" x14ac:dyDescent="0.25">
      <c r="A13" s="38">
        <f t="shared" si="0"/>
        <v>9</v>
      </c>
      <c r="B13" s="39"/>
      <c r="C13" s="55"/>
      <c r="D13" s="55"/>
      <c r="E13" s="56"/>
      <c r="F13" s="56"/>
      <c r="G13" s="39"/>
    </row>
    <row r="14" spans="1:8" x14ac:dyDescent="0.25">
      <c r="A14" s="38">
        <f t="shared" si="0"/>
        <v>10</v>
      </c>
      <c r="B14" s="39"/>
      <c r="C14" s="55"/>
      <c r="D14" s="55"/>
      <c r="E14" s="56"/>
      <c r="F14" s="56"/>
      <c r="G14" s="39"/>
    </row>
    <row r="15" spans="1:8" x14ac:dyDescent="0.25">
      <c r="A15" s="38">
        <f t="shared" si="0"/>
        <v>11</v>
      </c>
      <c r="B15" s="39"/>
      <c r="C15" s="55"/>
      <c r="D15" s="55"/>
      <c r="E15" s="56"/>
      <c r="F15" s="56"/>
      <c r="G15" s="39"/>
    </row>
    <row r="16" spans="1:8" x14ac:dyDescent="0.25">
      <c r="A16" s="38">
        <f t="shared" si="0"/>
        <v>12</v>
      </c>
      <c r="B16" s="39"/>
      <c r="C16" s="55"/>
      <c r="D16" s="55"/>
      <c r="E16" s="56"/>
      <c r="F16" s="56"/>
      <c r="G16" s="39"/>
    </row>
    <row r="17" spans="1:7" x14ac:dyDescent="0.25">
      <c r="A17" s="38">
        <f t="shared" si="0"/>
        <v>13</v>
      </c>
      <c r="B17" s="39"/>
      <c r="C17" s="55"/>
      <c r="D17" s="55"/>
      <c r="E17" s="56"/>
      <c r="F17" s="56"/>
      <c r="G17" s="39"/>
    </row>
    <row r="18" spans="1:7" x14ac:dyDescent="0.25">
      <c r="A18" s="38">
        <f t="shared" si="0"/>
        <v>14</v>
      </c>
      <c r="B18" s="39"/>
      <c r="C18" s="55"/>
      <c r="D18" s="55"/>
      <c r="E18" s="56"/>
      <c r="F18" s="56"/>
      <c r="G18" s="39"/>
    </row>
    <row r="19" spans="1:7" x14ac:dyDescent="0.25">
      <c r="A19" s="38">
        <f t="shared" si="0"/>
        <v>15</v>
      </c>
      <c r="B19" s="39"/>
      <c r="C19" s="55"/>
      <c r="D19" s="55"/>
      <c r="E19" s="56"/>
      <c r="F19" s="56"/>
      <c r="G19" s="39"/>
    </row>
    <row r="20" spans="1:7" x14ac:dyDescent="0.25">
      <c r="A20" s="38">
        <f t="shared" si="0"/>
        <v>16</v>
      </c>
      <c r="B20" s="39"/>
      <c r="C20" s="55"/>
      <c r="D20" s="55"/>
      <c r="E20" s="56"/>
      <c r="F20" s="56"/>
      <c r="G20" s="39"/>
    </row>
    <row r="21" spans="1:7" x14ac:dyDescent="0.25">
      <c r="A21" s="38">
        <f t="shared" si="0"/>
        <v>17</v>
      </c>
      <c r="B21" s="39"/>
      <c r="C21" s="55"/>
      <c r="D21" s="55"/>
      <c r="E21" s="56"/>
      <c r="F21" s="56"/>
      <c r="G21" s="39"/>
    </row>
    <row r="22" spans="1:7" x14ac:dyDescent="0.25">
      <c r="A22" s="38">
        <f t="shared" si="0"/>
        <v>18</v>
      </c>
      <c r="B22" s="39"/>
      <c r="C22" s="55"/>
      <c r="D22" s="55"/>
      <c r="E22" s="56"/>
      <c r="F22" s="56"/>
      <c r="G22" s="39"/>
    </row>
    <row r="23" spans="1:7" x14ac:dyDescent="0.25">
      <c r="A23" s="38">
        <f t="shared" si="0"/>
        <v>19</v>
      </c>
      <c r="B23" s="39"/>
      <c r="C23" s="55"/>
      <c r="D23" s="55"/>
      <c r="E23" s="56"/>
      <c r="F23" s="56"/>
      <c r="G23" s="39"/>
    </row>
    <row r="24" spans="1:7" x14ac:dyDescent="0.25">
      <c r="A24" s="38">
        <f t="shared" si="0"/>
        <v>20</v>
      </c>
      <c r="B24" s="39"/>
      <c r="C24" s="55"/>
      <c r="D24" s="55"/>
      <c r="E24" s="56"/>
      <c r="F24" s="56"/>
      <c r="G24" s="39"/>
    </row>
    <row r="25" spans="1:7" x14ac:dyDescent="0.25">
      <c r="A25" s="38">
        <f t="shared" si="0"/>
        <v>21</v>
      </c>
      <c r="B25" s="39"/>
      <c r="C25" s="55"/>
      <c r="D25" s="55"/>
      <c r="E25" s="56"/>
      <c r="F25" s="56"/>
      <c r="G25" s="39"/>
    </row>
    <row r="26" spans="1:7" x14ac:dyDescent="0.25">
      <c r="A26" s="38">
        <f t="shared" si="0"/>
        <v>22</v>
      </c>
      <c r="B26" s="39"/>
      <c r="C26" s="55"/>
      <c r="D26" s="55"/>
      <c r="E26" s="56"/>
      <c r="F26" s="56"/>
      <c r="G26" s="39"/>
    </row>
    <row r="27" spans="1:7" x14ac:dyDescent="0.25">
      <c r="A27" s="38">
        <f t="shared" si="0"/>
        <v>23</v>
      </c>
      <c r="B27" s="39"/>
      <c r="C27" s="55"/>
      <c r="D27" s="55"/>
      <c r="E27" s="56"/>
      <c r="F27" s="56"/>
      <c r="G27" s="39"/>
    </row>
    <row r="28" spans="1:7" x14ac:dyDescent="0.25">
      <c r="A28" s="38">
        <f t="shared" si="0"/>
        <v>24</v>
      </c>
      <c r="B28" s="39"/>
      <c r="C28" s="55"/>
      <c r="D28" s="55"/>
      <c r="E28" s="56"/>
      <c r="F28" s="56"/>
      <c r="G28" s="39"/>
    </row>
    <row r="29" spans="1:7" x14ac:dyDescent="0.25">
      <c r="A29" s="38">
        <f t="shared" si="0"/>
        <v>25</v>
      </c>
      <c r="B29" s="39"/>
      <c r="C29" s="55"/>
      <c r="D29" s="55"/>
      <c r="E29" s="56"/>
      <c r="F29" s="56"/>
      <c r="G29" s="39"/>
    </row>
    <row r="30" spans="1:7" x14ac:dyDescent="0.25">
      <c r="A30" s="38">
        <f t="shared" si="0"/>
        <v>26</v>
      </c>
      <c r="B30" s="39"/>
      <c r="C30" s="55"/>
      <c r="D30" s="55"/>
      <c r="E30" s="56"/>
      <c r="F30" s="56"/>
      <c r="G30" s="39"/>
    </row>
    <row r="31" spans="1:7" x14ac:dyDescent="0.25">
      <c r="A31" s="38">
        <f t="shared" si="0"/>
        <v>27</v>
      </c>
      <c r="B31" s="39"/>
      <c r="C31" s="55"/>
      <c r="D31" s="55"/>
      <c r="E31" s="56"/>
      <c r="F31" s="56"/>
      <c r="G31" s="39"/>
    </row>
    <row r="32" spans="1:7" x14ac:dyDescent="0.25">
      <c r="A32" s="38">
        <f t="shared" si="0"/>
        <v>28</v>
      </c>
      <c r="B32" s="39"/>
      <c r="C32" s="55"/>
      <c r="D32" s="55"/>
      <c r="E32" s="56"/>
      <c r="F32" s="56"/>
      <c r="G32" s="39"/>
    </row>
    <row r="33" spans="1:7" x14ac:dyDescent="0.25">
      <c r="A33" s="38">
        <f t="shared" si="0"/>
        <v>29</v>
      </c>
      <c r="B33" s="39"/>
      <c r="C33" s="55"/>
      <c r="D33" s="55"/>
      <c r="E33" s="56"/>
      <c r="F33" s="56"/>
      <c r="G33" s="39"/>
    </row>
    <row r="34" spans="1:7" x14ac:dyDescent="0.25">
      <c r="A34" s="38">
        <f t="shared" si="0"/>
        <v>30</v>
      </c>
      <c r="B34" s="39"/>
      <c r="C34" s="55"/>
      <c r="D34" s="55"/>
      <c r="E34" s="56"/>
      <c r="F34" s="56"/>
      <c r="G34" s="39"/>
    </row>
    <row r="35" spans="1:7" x14ac:dyDescent="0.25">
      <c r="C35" s="37"/>
      <c r="D35" s="37"/>
      <c r="E35" s="37"/>
      <c r="F35" s="37"/>
    </row>
    <row r="36" spans="1:7" x14ac:dyDescent="0.25">
      <c r="C36" s="37"/>
      <c r="D36" s="37"/>
      <c r="E36" s="37"/>
      <c r="F36" s="37"/>
    </row>
    <row r="37" spans="1:7" x14ac:dyDescent="0.25">
      <c r="C37" s="37"/>
      <c r="D37" s="37"/>
      <c r="E37" s="37"/>
      <c r="F37" s="37"/>
    </row>
  </sheetData>
  <mergeCells count="6">
    <mergeCell ref="E2:F2"/>
    <mergeCell ref="C2:D2"/>
    <mergeCell ref="E1:F1"/>
    <mergeCell ref="C1:D1"/>
    <mergeCell ref="A1:B1"/>
    <mergeCell ref="A2:B2"/>
  </mergeCells>
  <pageMargins left="0.25" right="0.25" top="1.25" bottom="0.75" header="0.3" footer="0.3"/>
  <pageSetup scale="94" orientation="landscape" horizontalDpi="300" verticalDpi="300" r:id="rId1"/>
  <headerFooter>
    <oddHeader>&amp;L&amp;G&amp;R&amp;"-,Bold"&amp;18Schedule</oddHeader>
    <oddFooter>&amp;C&amp;P&amp;R&amp;D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zoomScaleNormal="100" workbookViewId="0">
      <selection activeCell="B5" sqref="B5"/>
    </sheetView>
  </sheetViews>
  <sheetFormatPr defaultRowHeight="15" x14ac:dyDescent="0.25"/>
  <cols>
    <col min="1" max="1" width="4" customWidth="1"/>
    <col min="2" max="2" width="26.7109375" customWidth="1"/>
    <col min="3" max="3" width="26.42578125" customWidth="1"/>
    <col min="4" max="4" width="28.28515625" customWidth="1"/>
    <col min="5" max="5" width="25.28515625" customWidth="1"/>
    <col min="6" max="7" width="22" customWidth="1"/>
  </cols>
  <sheetData>
    <row r="1" spans="1:7" x14ac:dyDescent="0.25">
      <c r="A1" s="139" t="s">
        <v>53</v>
      </c>
      <c r="B1" s="166"/>
      <c r="C1" s="82">
        <f>'Charter Lite'!B1</f>
        <v>0</v>
      </c>
      <c r="D1" s="59" t="s">
        <v>27</v>
      </c>
      <c r="E1" s="85">
        <f>'Charter Lite'!D1</f>
        <v>0</v>
      </c>
      <c r="F1" s="12"/>
      <c r="G1" s="12"/>
    </row>
    <row r="2" spans="1:7" x14ac:dyDescent="0.25">
      <c r="A2" s="139" t="s">
        <v>45</v>
      </c>
      <c r="B2" s="166"/>
      <c r="C2" s="82">
        <f>'Charter Lite'!B2</f>
        <v>0</v>
      </c>
      <c r="D2" s="59" t="s">
        <v>47</v>
      </c>
      <c r="E2" s="91">
        <f>'Charter Lite'!D2</f>
        <v>0</v>
      </c>
      <c r="F2" s="12"/>
      <c r="G2" s="12"/>
    </row>
    <row r="4" spans="1:7" x14ac:dyDescent="0.25">
      <c r="A4" s="65" t="s">
        <v>0</v>
      </c>
      <c r="B4" s="65" t="s">
        <v>5</v>
      </c>
      <c r="C4" s="66" t="s">
        <v>1</v>
      </c>
      <c r="D4" s="66" t="s">
        <v>86</v>
      </c>
      <c r="E4" s="99" t="s">
        <v>100</v>
      </c>
      <c r="F4" s="99" t="s">
        <v>3</v>
      </c>
      <c r="G4" s="103" t="s">
        <v>87</v>
      </c>
    </row>
    <row r="5" spans="1:7" x14ac:dyDescent="0.25">
      <c r="A5" s="67">
        <v>1</v>
      </c>
      <c r="B5" s="68"/>
      <c r="C5" s="69"/>
      <c r="D5" s="70"/>
      <c r="E5" s="100"/>
      <c r="F5" s="100"/>
      <c r="G5" s="39"/>
    </row>
    <row r="6" spans="1:7" x14ac:dyDescent="0.25">
      <c r="A6" s="67">
        <v>2</v>
      </c>
      <c r="B6" s="68"/>
      <c r="C6" s="69"/>
      <c r="D6" s="71"/>
      <c r="E6" s="101"/>
      <c r="F6" s="101"/>
      <c r="G6" s="39"/>
    </row>
    <row r="7" spans="1:7" x14ac:dyDescent="0.25">
      <c r="A7" s="67">
        <v>3</v>
      </c>
      <c r="B7" s="72"/>
      <c r="C7" s="73"/>
      <c r="D7" s="74"/>
      <c r="E7" s="102"/>
      <c r="F7" s="102"/>
      <c r="G7" s="39"/>
    </row>
    <row r="8" spans="1:7" x14ac:dyDescent="0.25">
      <c r="A8" s="75">
        <v>4</v>
      </c>
      <c r="B8" s="72"/>
      <c r="C8" s="73"/>
      <c r="D8" s="74"/>
      <c r="E8" s="102"/>
      <c r="F8" s="102"/>
      <c r="G8" s="39"/>
    </row>
    <row r="9" spans="1:7" x14ac:dyDescent="0.25">
      <c r="A9" s="75">
        <v>5</v>
      </c>
      <c r="B9" s="72"/>
      <c r="C9" s="73"/>
      <c r="D9" s="74"/>
      <c r="E9" s="102"/>
      <c r="F9" s="102"/>
      <c r="G9" s="39"/>
    </row>
    <row r="10" spans="1:7" x14ac:dyDescent="0.25">
      <c r="A10" s="75">
        <v>6</v>
      </c>
      <c r="B10" s="72"/>
      <c r="C10" s="73"/>
      <c r="D10" s="74"/>
      <c r="E10" s="102"/>
      <c r="F10" s="102"/>
      <c r="G10" s="39"/>
    </row>
    <row r="11" spans="1:7" x14ac:dyDescent="0.25">
      <c r="A11" s="75">
        <v>7</v>
      </c>
      <c r="B11" s="72"/>
      <c r="C11" s="73"/>
      <c r="D11" s="76"/>
      <c r="E11" s="102"/>
      <c r="F11" s="102"/>
      <c r="G11" s="39"/>
    </row>
    <row r="12" spans="1:7" x14ac:dyDescent="0.25">
      <c r="A12" s="75">
        <v>8</v>
      </c>
      <c r="B12" s="72"/>
      <c r="C12" s="73"/>
      <c r="D12" s="74"/>
      <c r="E12" s="102"/>
      <c r="F12" s="102"/>
      <c r="G12" s="39"/>
    </row>
    <row r="13" spans="1:7" x14ac:dyDescent="0.25">
      <c r="A13" s="75">
        <v>9</v>
      </c>
      <c r="B13" s="72"/>
      <c r="C13" s="73"/>
      <c r="D13" s="77"/>
      <c r="E13" s="102"/>
      <c r="F13" s="102"/>
      <c r="G13" s="39"/>
    </row>
    <row r="14" spans="1:7" x14ac:dyDescent="0.25">
      <c r="A14" s="75">
        <v>10</v>
      </c>
      <c r="B14" s="72"/>
      <c r="C14" s="73"/>
      <c r="D14" s="78"/>
      <c r="E14" s="102"/>
      <c r="F14" s="102"/>
      <c r="G14" s="39"/>
    </row>
    <row r="15" spans="1:7" x14ac:dyDescent="0.25">
      <c r="A15" s="75">
        <v>11</v>
      </c>
      <c r="B15" s="72"/>
      <c r="C15" s="73"/>
      <c r="D15" s="78"/>
      <c r="E15" s="102"/>
      <c r="F15" s="102"/>
      <c r="G15" s="39"/>
    </row>
    <row r="16" spans="1:7" x14ac:dyDescent="0.25">
      <c r="A16" s="75">
        <v>12</v>
      </c>
      <c r="B16" s="72"/>
      <c r="C16" s="73"/>
      <c r="D16" s="74"/>
      <c r="E16" s="102"/>
      <c r="F16" s="102"/>
      <c r="G16" s="39"/>
    </row>
    <row r="17" spans="1:7" x14ac:dyDescent="0.25">
      <c r="A17" s="75">
        <v>13</v>
      </c>
      <c r="B17" s="72"/>
      <c r="C17" s="73"/>
      <c r="D17" s="79"/>
      <c r="E17" s="102"/>
      <c r="F17" s="102"/>
      <c r="G17" s="39"/>
    </row>
    <row r="18" spans="1:7" x14ac:dyDescent="0.25">
      <c r="A18" s="80">
        <v>14</v>
      </c>
      <c r="B18" s="74"/>
      <c r="C18" s="73"/>
      <c r="D18" s="74"/>
      <c r="E18" s="102"/>
      <c r="F18" s="102"/>
      <c r="G18" s="39"/>
    </row>
    <row r="19" spans="1:7" x14ac:dyDescent="0.25">
      <c r="A19" s="80">
        <v>15</v>
      </c>
      <c r="B19" s="74"/>
      <c r="C19" s="73"/>
      <c r="D19" s="78"/>
      <c r="E19" s="102"/>
      <c r="F19" s="102"/>
      <c r="G19" s="39"/>
    </row>
    <row r="20" spans="1:7" x14ac:dyDescent="0.25">
      <c r="A20" s="80">
        <v>16</v>
      </c>
      <c r="B20" s="74"/>
      <c r="C20" s="73"/>
      <c r="D20" s="78"/>
      <c r="E20" s="102"/>
      <c r="F20" s="102"/>
      <c r="G20" s="39"/>
    </row>
    <row r="21" spans="1:7" x14ac:dyDescent="0.25">
      <c r="A21" s="1"/>
      <c r="C21" s="1"/>
    </row>
    <row r="22" spans="1:7" x14ac:dyDescent="0.25">
      <c r="A22" s="1"/>
      <c r="C22" s="1"/>
    </row>
    <row r="23" spans="1:7" ht="15.75" x14ac:dyDescent="0.25">
      <c r="A23" s="1"/>
      <c r="C23" s="81" t="s">
        <v>87</v>
      </c>
      <c r="D23" s="81" t="s">
        <v>82</v>
      </c>
    </row>
    <row r="24" spans="1:7" x14ac:dyDescent="0.25">
      <c r="A24" s="1"/>
      <c r="C24" s="39" t="s">
        <v>32</v>
      </c>
      <c r="D24" s="38">
        <f>COUNTIF(F5:F798, "Scope")</f>
        <v>0</v>
      </c>
    </row>
    <row r="25" spans="1:7" x14ac:dyDescent="0.25">
      <c r="A25" s="1"/>
      <c r="C25" s="39" t="s">
        <v>55</v>
      </c>
      <c r="D25" s="38">
        <f>COUNTIF(F5:F908,"Schedule")</f>
        <v>0</v>
      </c>
    </row>
    <row r="26" spans="1:7" x14ac:dyDescent="0.25">
      <c r="A26" s="1"/>
      <c r="C26" s="39" t="s">
        <v>88</v>
      </c>
      <c r="D26" s="38">
        <f>COUNTIF(F5:F901,"Budget")</f>
        <v>0</v>
      </c>
    </row>
    <row r="27" spans="1:7" x14ac:dyDescent="0.25">
      <c r="A27" s="1"/>
      <c r="C27" s="39" t="s">
        <v>89</v>
      </c>
      <c r="D27" s="38">
        <f>COUNTIF(F5:F895,"Technology")</f>
        <v>0</v>
      </c>
    </row>
    <row r="28" spans="1:7" x14ac:dyDescent="0.25">
      <c r="A28" s="1"/>
      <c r="C28" s="1"/>
    </row>
  </sheetData>
  <mergeCells count="2">
    <mergeCell ref="A1:B1"/>
    <mergeCell ref="A2:B2"/>
  </mergeCells>
  <dataValidations count="1">
    <dataValidation type="list" allowBlank="1" showInputMessage="1" showErrorMessage="1" sqref="G5:G20">
      <formula1>$C$24:$C$27</formula1>
    </dataValidation>
  </dataValidations>
  <pageMargins left="0.7" right="0.7" top="1.25" bottom="0.75" header="0.3" footer="0.3"/>
  <pageSetup scale="79" orientation="landscape" horizontalDpi="300" verticalDpi="300" r:id="rId1"/>
  <headerFooter>
    <oddHeader>&amp;L&amp;G&amp;R&amp;"-,Bold"&amp;18Risks</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B5" sqref="B5"/>
    </sheetView>
  </sheetViews>
  <sheetFormatPr defaultRowHeight="15" x14ac:dyDescent="0.25"/>
  <cols>
    <col min="1" max="1" width="4.85546875" style="1" customWidth="1"/>
    <col min="2" max="2" width="31.85546875" customWidth="1"/>
    <col min="3" max="3" width="16" customWidth="1"/>
    <col min="4" max="4" width="12.7109375" bestFit="1" customWidth="1"/>
    <col min="5" max="5" width="12.7109375" customWidth="1"/>
    <col min="6" max="6" width="9.85546875" customWidth="1"/>
    <col min="7" max="7" width="11.85546875" customWidth="1"/>
    <col min="8" max="8" width="34.140625" customWidth="1"/>
    <col min="9" max="9" width="18.28515625" customWidth="1"/>
  </cols>
  <sheetData>
    <row r="1" spans="1:8" x14ac:dyDescent="0.25">
      <c r="A1" s="139" t="s">
        <v>53</v>
      </c>
      <c r="B1" s="141"/>
      <c r="C1" s="164">
        <f>'Charter Lite'!B1</f>
        <v>0</v>
      </c>
      <c r="D1" s="165"/>
      <c r="E1" s="139" t="s">
        <v>27</v>
      </c>
      <c r="F1" s="141"/>
      <c r="G1" s="164">
        <f>'Charter Lite'!D1</f>
        <v>0</v>
      </c>
      <c r="H1" s="165"/>
    </row>
    <row r="2" spans="1:8" x14ac:dyDescent="0.25">
      <c r="A2" s="139" t="s">
        <v>45</v>
      </c>
      <c r="B2" s="141"/>
      <c r="C2" s="164">
        <f>'Charter Lite'!B2</f>
        <v>0</v>
      </c>
      <c r="D2" s="165"/>
      <c r="E2" s="139" t="s">
        <v>47</v>
      </c>
      <c r="F2" s="141"/>
      <c r="G2" s="167">
        <f>'Charter Lite'!D2</f>
        <v>0</v>
      </c>
      <c r="H2" s="168"/>
    </row>
    <row r="3" spans="1:8" x14ac:dyDescent="0.25">
      <c r="A3" s="2"/>
      <c r="B3" s="3"/>
      <c r="C3" s="3"/>
      <c r="D3" s="3"/>
      <c r="E3" s="3"/>
      <c r="F3" s="3"/>
      <c r="G3" s="3"/>
      <c r="H3" s="3"/>
    </row>
    <row r="4" spans="1:8" ht="26.25" x14ac:dyDescent="0.25">
      <c r="A4" s="5" t="s">
        <v>0</v>
      </c>
      <c r="B4" s="5" t="s">
        <v>5</v>
      </c>
      <c r="C4" s="5" t="s">
        <v>6</v>
      </c>
      <c r="D4" s="6" t="s">
        <v>1</v>
      </c>
      <c r="E4" s="6" t="s">
        <v>12</v>
      </c>
      <c r="F4" s="6" t="s">
        <v>2</v>
      </c>
      <c r="G4" s="5" t="s">
        <v>4</v>
      </c>
      <c r="H4" s="5" t="s">
        <v>3</v>
      </c>
    </row>
    <row r="5" spans="1:8" x14ac:dyDescent="0.25">
      <c r="A5" s="7">
        <v>1</v>
      </c>
      <c r="B5" s="8"/>
      <c r="C5" s="9"/>
      <c r="D5" s="10"/>
      <c r="E5" s="10"/>
      <c r="F5" s="10"/>
      <c r="G5" s="111"/>
      <c r="H5" s="8"/>
    </row>
    <row r="6" spans="1:8" x14ac:dyDescent="0.25">
      <c r="A6" s="7">
        <v>2</v>
      </c>
      <c r="B6" s="8"/>
      <c r="C6" s="9"/>
      <c r="D6" s="10"/>
      <c r="E6" s="10"/>
      <c r="F6" s="9"/>
      <c r="G6" s="111"/>
      <c r="H6" s="8"/>
    </row>
    <row r="7" spans="1:8" x14ac:dyDescent="0.25">
      <c r="A7" s="7">
        <v>3</v>
      </c>
      <c r="B7" s="8"/>
      <c r="C7" s="9"/>
      <c r="D7" s="10"/>
      <c r="E7" s="10"/>
      <c r="F7" s="9"/>
      <c r="G7" s="111"/>
      <c r="H7" s="8"/>
    </row>
    <row r="8" spans="1:8" x14ac:dyDescent="0.25">
      <c r="A8" s="7">
        <v>4</v>
      </c>
      <c r="B8" s="8"/>
      <c r="C8" s="9"/>
      <c r="D8" s="10"/>
      <c r="E8" s="10"/>
      <c r="F8" s="9"/>
      <c r="G8" s="111"/>
      <c r="H8" s="8"/>
    </row>
    <row r="9" spans="1:8" x14ac:dyDescent="0.25">
      <c r="A9" s="7">
        <v>5</v>
      </c>
      <c r="B9" s="8"/>
      <c r="C9" s="9"/>
      <c r="D9" s="10"/>
      <c r="E9" s="10"/>
      <c r="F9" s="9"/>
      <c r="G9" s="111"/>
      <c r="H9" s="8"/>
    </row>
    <row r="10" spans="1:8" x14ac:dyDescent="0.25">
      <c r="A10" s="7">
        <v>6</v>
      </c>
      <c r="B10" s="8"/>
      <c r="C10" s="9"/>
      <c r="D10" s="10"/>
      <c r="E10" s="10"/>
      <c r="F10" s="9"/>
      <c r="G10" s="111"/>
      <c r="H10" s="8"/>
    </row>
    <row r="11" spans="1:8" x14ac:dyDescent="0.25">
      <c r="A11" s="7">
        <v>7</v>
      </c>
      <c r="B11" s="8"/>
      <c r="C11" s="9"/>
      <c r="D11" s="10"/>
      <c r="E11" s="10"/>
      <c r="F11" s="9"/>
      <c r="G11" s="111"/>
      <c r="H11" s="8"/>
    </row>
    <row r="12" spans="1:8" x14ac:dyDescent="0.25">
      <c r="A12" s="7">
        <v>8</v>
      </c>
      <c r="B12" s="8"/>
      <c r="C12" s="9"/>
      <c r="D12" s="10"/>
      <c r="E12" s="10"/>
      <c r="F12" s="9"/>
      <c r="G12" s="111"/>
      <c r="H12" s="8"/>
    </row>
    <row r="13" spans="1:8" x14ac:dyDescent="0.25">
      <c r="A13" s="7">
        <v>9</v>
      </c>
      <c r="B13" s="8"/>
      <c r="C13" s="9"/>
      <c r="D13" s="10"/>
      <c r="E13" s="10"/>
      <c r="F13" s="9"/>
      <c r="G13" s="111"/>
      <c r="H13" s="8"/>
    </row>
    <row r="14" spans="1:8" x14ac:dyDescent="0.25">
      <c r="A14" s="7">
        <v>10</v>
      </c>
      <c r="B14" s="8"/>
      <c r="C14" s="9"/>
      <c r="D14" s="10"/>
      <c r="E14" s="10"/>
      <c r="F14" s="9"/>
      <c r="G14" s="111"/>
      <c r="H14" s="8"/>
    </row>
    <row r="15" spans="1:8" x14ac:dyDescent="0.25">
      <c r="A15" s="7">
        <v>11</v>
      </c>
      <c r="B15" s="8"/>
      <c r="C15" s="9"/>
      <c r="D15" s="10"/>
      <c r="E15" s="10"/>
      <c r="F15" s="10"/>
      <c r="G15" s="111"/>
      <c r="H15" s="8"/>
    </row>
    <row r="16" spans="1:8" x14ac:dyDescent="0.25">
      <c r="A16" s="7">
        <v>12</v>
      </c>
      <c r="B16" s="8"/>
      <c r="C16" s="9"/>
      <c r="D16" s="10"/>
      <c r="E16" s="10"/>
      <c r="F16" s="10"/>
      <c r="G16" s="111"/>
      <c r="H16" s="8"/>
    </row>
    <row r="17" spans="1:8" x14ac:dyDescent="0.25">
      <c r="A17" s="7">
        <v>13</v>
      </c>
      <c r="B17" s="8"/>
      <c r="C17" s="9"/>
      <c r="D17" s="10"/>
      <c r="E17" s="10"/>
      <c r="F17" s="10"/>
      <c r="G17" s="111"/>
      <c r="H17" s="8"/>
    </row>
    <row r="18" spans="1:8" x14ac:dyDescent="0.25">
      <c r="A18" s="7">
        <v>14</v>
      </c>
      <c r="B18" s="8"/>
      <c r="C18" s="9"/>
      <c r="D18" s="10"/>
      <c r="E18" s="10"/>
      <c r="F18" s="9"/>
      <c r="G18" s="111"/>
      <c r="H18" s="8"/>
    </row>
    <row r="19" spans="1:8" x14ac:dyDescent="0.25">
      <c r="A19" s="7">
        <v>15</v>
      </c>
      <c r="B19" s="8"/>
      <c r="C19" s="9"/>
      <c r="D19" s="10"/>
      <c r="E19" s="10"/>
      <c r="F19" s="9"/>
      <c r="G19" s="111"/>
      <c r="H19" s="8"/>
    </row>
    <row r="20" spans="1:8" x14ac:dyDescent="0.25">
      <c r="A20" s="7">
        <v>16</v>
      </c>
      <c r="B20" s="8"/>
      <c r="C20" s="9"/>
      <c r="D20" s="10"/>
      <c r="E20" s="10"/>
      <c r="F20" s="9"/>
      <c r="G20" s="111"/>
      <c r="H20" s="8"/>
    </row>
    <row r="21" spans="1:8" x14ac:dyDescent="0.25">
      <c r="A21" s="7">
        <v>17</v>
      </c>
      <c r="B21" s="8"/>
      <c r="C21" s="9"/>
      <c r="D21" s="10"/>
      <c r="E21" s="10"/>
      <c r="F21" s="10"/>
      <c r="G21" s="111"/>
      <c r="H21" s="8"/>
    </row>
    <row r="22" spans="1:8" x14ac:dyDescent="0.25">
      <c r="A22" s="7">
        <v>18</v>
      </c>
      <c r="B22" s="8"/>
      <c r="C22" s="9"/>
      <c r="D22" s="10"/>
      <c r="E22" s="10"/>
      <c r="F22" s="10"/>
      <c r="G22" s="111"/>
      <c r="H22" s="8"/>
    </row>
    <row r="23" spans="1:8" x14ac:dyDescent="0.25">
      <c r="A23" s="7">
        <v>19</v>
      </c>
      <c r="B23" s="8"/>
      <c r="C23" s="9"/>
      <c r="D23" s="10"/>
      <c r="E23" s="10"/>
      <c r="F23" s="10"/>
      <c r="G23" s="111"/>
      <c r="H23" s="8"/>
    </row>
    <row r="24" spans="1:8" x14ac:dyDescent="0.25">
      <c r="A24" s="7">
        <v>20</v>
      </c>
      <c r="B24" s="8"/>
      <c r="C24" s="9"/>
      <c r="D24" s="10"/>
      <c r="E24" s="10"/>
      <c r="F24" s="10"/>
      <c r="G24" s="111"/>
      <c r="H24" s="8"/>
    </row>
    <row r="25" spans="1:8" x14ac:dyDescent="0.25">
      <c r="A25" s="7">
        <v>21</v>
      </c>
      <c r="B25" s="8"/>
      <c r="C25" s="9"/>
      <c r="D25" s="10"/>
      <c r="E25" s="10"/>
      <c r="F25" s="10"/>
      <c r="G25" s="111"/>
      <c r="H25" s="8"/>
    </row>
    <row r="26" spans="1:8" x14ac:dyDescent="0.25">
      <c r="A26" s="7">
        <v>22</v>
      </c>
      <c r="B26" s="8"/>
      <c r="C26" s="9"/>
      <c r="D26" s="10"/>
      <c r="E26" s="10"/>
      <c r="F26" s="10"/>
      <c r="G26" s="111"/>
      <c r="H26" s="8"/>
    </row>
    <row r="27" spans="1:8" x14ac:dyDescent="0.25">
      <c r="A27" s="7">
        <v>23</v>
      </c>
      <c r="B27" s="8"/>
      <c r="C27" s="9"/>
      <c r="D27" s="10"/>
      <c r="E27" s="10"/>
      <c r="F27" s="10"/>
      <c r="G27" s="111"/>
      <c r="H27" s="8"/>
    </row>
    <row r="28" spans="1:8" x14ac:dyDescent="0.25">
      <c r="A28" s="7">
        <v>24</v>
      </c>
      <c r="B28" s="8"/>
      <c r="C28" s="8"/>
      <c r="D28" s="10"/>
      <c r="E28" s="10"/>
      <c r="F28" s="10"/>
      <c r="G28" s="111"/>
      <c r="H28" s="8"/>
    </row>
  </sheetData>
  <autoFilter ref="A4:H28"/>
  <mergeCells count="8">
    <mergeCell ref="G1:H1"/>
    <mergeCell ref="G2:H2"/>
    <mergeCell ref="A1:B1"/>
    <mergeCell ref="A2:B2"/>
    <mergeCell ref="E1:F1"/>
    <mergeCell ref="E2:F2"/>
    <mergeCell ref="C1:D1"/>
    <mergeCell ref="C2:D2"/>
  </mergeCells>
  <conditionalFormatting sqref="G5">
    <cfRule type="containsText" dxfId="27" priority="12" operator="containsText" text="In-Progress">
      <formula>NOT(ISERROR(SEARCH("In-Progress",G5)))</formula>
    </cfRule>
  </conditionalFormatting>
  <conditionalFormatting sqref="G5">
    <cfRule type="containsText" dxfId="26" priority="11" operator="containsText" text="Closed">
      <formula>NOT(ISERROR(SEARCH("Closed",G5)))</formula>
    </cfRule>
  </conditionalFormatting>
  <conditionalFormatting sqref="G5">
    <cfRule type="containsText" dxfId="25" priority="10" operator="containsText" text="On-Hold">
      <formula>NOT(ISERROR(SEARCH("On-Hold",G5)))</formula>
    </cfRule>
  </conditionalFormatting>
  <conditionalFormatting sqref="G5">
    <cfRule type="cellIs" dxfId="24" priority="9" operator="equal">
      <formula>"Closed"</formula>
    </cfRule>
  </conditionalFormatting>
  <conditionalFormatting sqref="G6:G28">
    <cfRule type="containsText" dxfId="23" priority="4" operator="containsText" text="In-Progress">
      <formula>NOT(ISERROR(SEARCH("In-Progress",G6)))</formula>
    </cfRule>
  </conditionalFormatting>
  <conditionalFormatting sqref="G6:G28">
    <cfRule type="containsText" dxfId="22" priority="3" operator="containsText" text="Closed">
      <formula>NOT(ISERROR(SEARCH("Closed",G6)))</formula>
    </cfRule>
  </conditionalFormatting>
  <conditionalFormatting sqref="G6:G28">
    <cfRule type="containsText" dxfId="21" priority="2" operator="containsText" text="On-Hold">
      <formula>NOT(ISERROR(SEARCH("On-Hold",G6)))</formula>
    </cfRule>
  </conditionalFormatting>
  <conditionalFormatting sqref="G6:G28">
    <cfRule type="cellIs" dxfId="20" priority="1" operator="equal">
      <formula>"Closed"</formula>
    </cfRule>
  </conditionalFormatting>
  <dataValidations count="2">
    <dataValidation type="list" allowBlank="1" showInputMessage="1" showErrorMessage="1" sqref="K5">
      <formula1>#REF!</formula1>
    </dataValidation>
    <dataValidation type="list" allowBlank="1" showInputMessage="1" showErrorMessage="1" sqref="G5:G28">
      <formula1>"In-Progress,Closed,On-Hold"</formula1>
    </dataValidation>
  </dataValidations>
  <pageMargins left="0.25" right="0.25" top="1.25" bottom="0.75" header="0.3" footer="0.3"/>
  <pageSetup orientation="landscape" horizontalDpi="300" verticalDpi="300" r:id="rId1"/>
  <headerFooter>
    <oddHeader>&amp;L&amp;G&amp;R&amp;"-,Bold"&amp;18Action Items</oddHeader>
    <oddFooter>&amp;C&amp;P&amp;R&amp;D</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B5" sqref="B5"/>
    </sheetView>
  </sheetViews>
  <sheetFormatPr defaultRowHeight="15" x14ac:dyDescent="0.25"/>
  <cols>
    <col min="1" max="1" width="4.85546875" style="1" customWidth="1"/>
    <col min="2" max="2" width="31.85546875" customWidth="1"/>
    <col min="3" max="3" width="16" customWidth="1"/>
    <col min="4" max="4" width="12.7109375" bestFit="1" customWidth="1"/>
    <col min="5" max="5" width="12.7109375" customWidth="1"/>
    <col min="6" max="6" width="9.85546875" customWidth="1"/>
    <col min="7" max="7" width="11" customWidth="1"/>
    <col min="8" max="8" width="34.140625" customWidth="1"/>
  </cols>
  <sheetData>
    <row r="1" spans="1:8" x14ac:dyDescent="0.25">
      <c r="A1" s="139" t="s">
        <v>53</v>
      </c>
      <c r="B1" s="141"/>
      <c r="C1" s="164">
        <f>'Charter Lite'!B1</f>
        <v>0</v>
      </c>
      <c r="D1" s="165"/>
      <c r="E1" s="139" t="s">
        <v>27</v>
      </c>
      <c r="F1" s="141"/>
      <c r="G1" s="164">
        <f>'Charter Lite'!D1</f>
        <v>0</v>
      </c>
      <c r="H1" s="165"/>
    </row>
    <row r="2" spans="1:8" x14ac:dyDescent="0.25">
      <c r="A2" s="139" t="s">
        <v>45</v>
      </c>
      <c r="B2" s="141"/>
      <c r="C2" s="164">
        <f>'Charter Lite'!B2</f>
        <v>0</v>
      </c>
      <c r="D2" s="165"/>
      <c r="E2" s="139" t="s">
        <v>47</v>
      </c>
      <c r="F2" s="141"/>
      <c r="G2" s="167">
        <f>'Charter Lite'!D2</f>
        <v>0</v>
      </c>
      <c r="H2" s="168"/>
    </row>
    <row r="3" spans="1:8" x14ac:dyDescent="0.25">
      <c r="A3" s="2"/>
      <c r="B3" s="3"/>
      <c r="C3" s="3"/>
      <c r="D3" s="3"/>
      <c r="E3" s="3"/>
      <c r="F3" s="3"/>
      <c r="G3" s="3"/>
      <c r="H3" s="3"/>
    </row>
    <row r="4" spans="1:8" ht="26.25" x14ac:dyDescent="0.25">
      <c r="A4" s="5" t="s">
        <v>0</v>
      </c>
      <c r="B4" s="5" t="s">
        <v>5</v>
      </c>
      <c r="C4" s="5" t="s">
        <v>6</v>
      </c>
      <c r="D4" s="6" t="s">
        <v>1</v>
      </c>
      <c r="E4" s="6" t="s">
        <v>12</v>
      </c>
      <c r="F4" s="6" t="s">
        <v>2</v>
      </c>
      <c r="G4" s="5" t="s">
        <v>4</v>
      </c>
      <c r="H4" s="5" t="s">
        <v>3</v>
      </c>
    </row>
    <row r="5" spans="1:8" x14ac:dyDescent="0.25">
      <c r="A5" s="7">
        <v>1</v>
      </c>
      <c r="B5" s="8"/>
      <c r="C5" s="9"/>
      <c r="D5" s="10"/>
      <c r="E5" s="10"/>
      <c r="F5" s="10"/>
      <c r="G5" s="111"/>
      <c r="H5" s="8"/>
    </row>
    <row r="6" spans="1:8" x14ac:dyDescent="0.25">
      <c r="A6" s="7">
        <v>2</v>
      </c>
      <c r="B6" s="8"/>
      <c r="C6" s="9"/>
      <c r="D6" s="10"/>
      <c r="E6" s="10"/>
      <c r="F6" s="9"/>
      <c r="G6" s="111"/>
      <c r="H6" s="8"/>
    </row>
    <row r="7" spans="1:8" x14ac:dyDescent="0.25">
      <c r="A7" s="7">
        <v>3</v>
      </c>
      <c r="B7" s="8"/>
      <c r="C7" s="9"/>
      <c r="D7" s="10"/>
      <c r="E7" s="10"/>
      <c r="F7" s="9"/>
      <c r="G7" s="111"/>
      <c r="H7" s="8"/>
    </row>
    <row r="8" spans="1:8" x14ac:dyDescent="0.25">
      <c r="A8" s="7">
        <v>4</v>
      </c>
      <c r="B8" s="8"/>
      <c r="C8" s="9"/>
      <c r="D8" s="10"/>
      <c r="E8" s="10"/>
      <c r="F8" s="9"/>
      <c r="G8" s="111"/>
      <c r="H8" s="8"/>
    </row>
    <row r="9" spans="1:8" x14ac:dyDescent="0.25">
      <c r="A9" s="7">
        <v>5</v>
      </c>
      <c r="B9" s="8"/>
      <c r="C9" s="9"/>
      <c r="D9" s="10"/>
      <c r="E9" s="10"/>
      <c r="F9" s="9"/>
      <c r="G9" s="111"/>
      <c r="H9" s="8"/>
    </row>
    <row r="10" spans="1:8" x14ac:dyDescent="0.25">
      <c r="A10" s="7">
        <v>6</v>
      </c>
      <c r="B10" s="8"/>
      <c r="C10" s="9"/>
      <c r="D10" s="10"/>
      <c r="E10" s="10"/>
      <c r="F10" s="9"/>
      <c r="G10" s="111"/>
      <c r="H10" s="8"/>
    </row>
    <row r="11" spans="1:8" x14ac:dyDescent="0.25">
      <c r="A11" s="7">
        <v>7</v>
      </c>
      <c r="B11" s="8"/>
      <c r="C11" s="9"/>
      <c r="D11" s="10"/>
      <c r="E11" s="10"/>
      <c r="F11" s="9"/>
      <c r="G11" s="111"/>
      <c r="H11" s="8"/>
    </row>
    <row r="12" spans="1:8" x14ac:dyDescent="0.25">
      <c r="A12" s="7">
        <v>8</v>
      </c>
      <c r="B12" s="8"/>
      <c r="C12" s="9"/>
      <c r="D12" s="10"/>
      <c r="E12" s="10"/>
      <c r="F12" s="9"/>
      <c r="G12" s="111"/>
      <c r="H12" s="8"/>
    </row>
    <row r="13" spans="1:8" x14ac:dyDescent="0.25">
      <c r="A13" s="7">
        <v>9</v>
      </c>
      <c r="B13" s="8"/>
      <c r="C13" s="9"/>
      <c r="D13" s="10"/>
      <c r="E13" s="10"/>
      <c r="F13" s="9"/>
      <c r="G13" s="111"/>
      <c r="H13" s="8"/>
    </row>
    <row r="14" spans="1:8" x14ac:dyDescent="0.25">
      <c r="A14" s="7">
        <v>10</v>
      </c>
      <c r="B14" s="8"/>
      <c r="C14" s="9"/>
      <c r="D14" s="10"/>
      <c r="E14" s="10"/>
      <c r="F14" s="9"/>
      <c r="G14" s="111"/>
      <c r="H14" s="8"/>
    </row>
    <row r="15" spans="1:8" x14ac:dyDescent="0.25">
      <c r="A15" s="7">
        <v>11</v>
      </c>
      <c r="B15" s="8"/>
      <c r="C15" s="9"/>
      <c r="D15" s="10"/>
      <c r="E15" s="10"/>
      <c r="F15" s="10"/>
      <c r="G15" s="111"/>
      <c r="H15" s="8"/>
    </row>
    <row r="16" spans="1:8" x14ac:dyDescent="0.25">
      <c r="A16" s="7">
        <v>12</v>
      </c>
      <c r="B16" s="8"/>
      <c r="C16" s="9"/>
      <c r="D16" s="10"/>
      <c r="E16" s="10"/>
      <c r="F16" s="10"/>
      <c r="G16" s="111"/>
      <c r="H16" s="8"/>
    </row>
    <row r="17" spans="1:8" x14ac:dyDescent="0.25">
      <c r="A17" s="7">
        <v>13</v>
      </c>
      <c r="B17" s="8"/>
      <c r="C17" s="9"/>
      <c r="D17" s="10"/>
      <c r="E17" s="10"/>
      <c r="F17" s="10"/>
      <c r="G17" s="111"/>
      <c r="H17" s="8"/>
    </row>
    <row r="18" spans="1:8" x14ac:dyDescent="0.25">
      <c r="A18" s="7">
        <v>14</v>
      </c>
      <c r="B18" s="8"/>
      <c r="C18" s="9"/>
      <c r="D18" s="10"/>
      <c r="E18" s="10"/>
      <c r="F18" s="9"/>
      <c r="G18" s="111"/>
      <c r="H18" s="8"/>
    </row>
    <row r="19" spans="1:8" x14ac:dyDescent="0.25">
      <c r="A19" s="7">
        <v>15</v>
      </c>
      <c r="B19" s="8"/>
      <c r="C19" s="9"/>
      <c r="D19" s="10"/>
      <c r="E19" s="10"/>
      <c r="F19" s="9"/>
      <c r="G19" s="111"/>
      <c r="H19" s="8"/>
    </row>
    <row r="20" spans="1:8" x14ac:dyDescent="0.25">
      <c r="A20" s="7">
        <v>16</v>
      </c>
      <c r="B20" s="8"/>
      <c r="C20" s="9"/>
      <c r="D20" s="10"/>
      <c r="E20" s="10"/>
      <c r="F20" s="9"/>
      <c r="G20" s="111"/>
      <c r="H20" s="8"/>
    </row>
    <row r="21" spans="1:8" x14ac:dyDescent="0.25">
      <c r="A21" s="7">
        <v>17</v>
      </c>
      <c r="B21" s="8"/>
      <c r="C21" s="9"/>
      <c r="D21" s="10"/>
      <c r="E21" s="10"/>
      <c r="F21" s="10"/>
      <c r="G21" s="111"/>
      <c r="H21" s="8"/>
    </row>
    <row r="22" spans="1:8" x14ac:dyDescent="0.25">
      <c r="A22" s="7">
        <v>18</v>
      </c>
      <c r="B22" s="8"/>
      <c r="C22" s="9"/>
      <c r="D22" s="10"/>
      <c r="E22" s="10"/>
      <c r="F22" s="10"/>
      <c r="G22" s="111"/>
      <c r="H22" s="8"/>
    </row>
    <row r="23" spans="1:8" x14ac:dyDescent="0.25">
      <c r="A23" s="7">
        <v>19</v>
      </c>
      <c r="B23" s="8"/>
      <c r="C23" s="9"/>
      <c r="D23" s="10"/>
      <c r="E23" s="10"/>
      <c r="F23" s="10"/>
      <c r="G23" s="111"/>
      <c r="H23" s="8"/>
    </row>
    <row r="24" spans="1:8" x14ac:dyDescent="0.25">
      <c r="A24" s="7">
        <v>20</v>
      </c>
      <c r="B24" s="8"/>
      <c r="C24" s="9"/>
      <c r="D24" s="10"/>
      <c r="E24" s="10"/>
      <c r="F24" s="10"/>
      <c r="G24" s="111"/>
      <c r="H24" s="8"/>
    </row>
    <row r="25" spans="1:8" x14ac:dyDescent="0.25">
      <c r="A25" s="7">
        <v>21</v>
      </c>
      <c r="B25" s="8"/>
      <c r="C25" s="9"/>
      <c r="D25" s="10"/>
      <c r="E25" s="10"/>
      <c r="F25" s="10"/>
      <c r="G25" s="111"/>
      <c r="H25" s="8"/>
    </row>
    <row r="26" spans="1:8" x14ac:dyDescent="0.25">
      <c r="A26" s="7">
        <v>22</v>
      </c>
      <c r="B26" s="8"/>
      <c r="C26" s="9"/>
      <c r="D26" s="10"/>
      <c r="E26" s="10"/>
      <c r="F26" s="10"/>
      <c r="G26" s="111"/>
      <c r="H26" s="8"/>
    </row>
    <row r="27" spans="1:8" x14ac:dyDescent="0.25">
      <c r="A27" s="7">
        <v>23</v>
      </c>
      <c r="B27" s="8"/>
      <c r="C27" s="9"/>
      <c r="D27" s="10"/>
      <c r="E27" s="10"/>
      <c r="F27" s="10"/>
      <c r="G27" s="111"/>
      <c r="H27" s="8"/>
    </row>
    <row r="28" spans="1:8" x14ac:dyDescent="0.25">
      <c r="A28" s="7">
        <v>24</v>
      </c>
      <c r="B28" s="8"/>
      <c r="C28" s="8"/>
      <c r="D28" s="10"/>
      <c r="E28" s="10"/>
      <c r="F28" s="10"/>
      <c r="G28" s="111"/>
      <c r="H28" s="8"/>
    </row>
  </sheetData>
  <mergeCells count="8">
    <mergeCell ref="G1:H1"/>
    <mergeCell ref="G2:H2"/>
    <mergeCell ref="A1:B1"/>
    <mergeCell ref="A2:B2"/>
    <mergeCell ref="E1:F1"/>
    <mergeCell ref="E2:F2"/>
    <mergeCell ref="C1:D1"/>
    <mergeCell ref="C2:D2"/>
  </mergeCells>
  <conditionalFormatting sqref="G5:G28">
    <cfRule type="containsText" dxfId="19" priority="4" operator="containsText" text="In-Progress">
      <formula>NOT(ISERROR(SEARCH("In-Progress",G5)))</formula>
    </cfRule>
  </conditionalFormatting>
  <conditionalFormatting sqref="G5:G28">
    <cfRule type="containsText" dxfId="18" priority="3" operator="containsText" text="Closed">
      <formula>NOT(ISERROR(SEARCH("Closed",G5)))</formula>
    </cfRule>
  </conditionalFormatting>
  <conditionalFormatting sqref="G5:G28">
    <cfRule type="containsText" dxfId="17" priority="2" operator="containsText" text="On-Hold">
      <formula>NOT(ISERROR(SEARCH("On-Hold",G5)))</formula>
    </cfRule>
  </conditionalFormatting>
  <conditionalFormatting sqref="G5:G28">
    <cfRule type="cellIs" dxfId="16" priority="1" operator="equal">
      <formula>"Closed"</formula>
    </cfRule>
  </conditionalFormatting>
  <dataValidations count="1">
    <dataValidation type="list" allowBlank="1" showInputMessage="1" showErrorMessage="1" sqref="G5:G28">
      <formula1>"In-Progress,Closed,On-Hold"</formula1>
    </dataValidation>
  </dataValidations>
  <pageMargins left="0.25" right="0.25" top="1.25" bottom="0.75" header="0.3" footer="0.3"/>
  <pageSetup orientation="landscape" horizontalDpi="300" verticalDpi="300" r:id="rId1"/>
  <headerFooter>
    <oddHeader>&amp;L&amp;G&amp;R&amp;"-,Bold"&amp;18Issues</oddHeader>
    <oddFooter>&amp;C&amp;P&amp;R&amp;D</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zoomScaleNormal="100" workbookViewId="0">
      <selection activeCell="A5" sqref="A5"/>
    </sheetView>
  </sheetViews>
  <sheetFormatPr defaultRowHeight="15" x14ac:dyDescent="0.25"/>
  <cols>
    <col min="1" max="1" width="4.85546875" style="98" customWidth="1"/>
    <col min="2" max="2" width="35.42578125" customWidth="1"/>
    <col min="3" max="3" width="21.85546875" customWidth="1"/>
    <col min="4" max="4" width="18.140625" customWidth="1"/>
    <col min="5" max="5" width="41.5703125" customWidth="1"/>
    <col min="6" max="6" width="18.28515625" customWidth="1"/>
  </cols>
  <sheetData>
    <row r="1" spans="1:5" x14ac:dyDescent="0.25">
      <c r="A1" s="139" t="s">
        <v>53</v>
      </c>
      <c r="B1" s="141"/>
      <c r="C1" s="86">
        <f>'Charter Lite'!B1</f>
        <v>0</v>
      </c>
      <c r="D1" s="21" t="s">
        <v>27</v>
      </c>
      <c r="E1" s="86">
        <f>'Charter Lite'!D1</f>
        <v>0</v>
      </c>
    </row>
    <row r="2" spans="1:5" x14ac:dyDescent="0.25">
      <c r="A2" s="139" t="s">
        <v>45</v>
      </c>
      <c r="B2" s="141"/>
      <c r="C2" s="86">
        <f>'Charter Lite'!B2</f>
        <v>0</v>
      </c>
      <c r="D2" s="21" t="s">
        <v>47</v>
      </c>
      <c r="E2" s="92">
        <f>'Charter Lite'!D2</f>
        <v>0</v>
      </c>
    </row>
    <row r="3" spans="1:5" x14ac:dyDescent="0.25">
      <c r="A3" s="94"/>
      <c r="B3" s="3"/>
      <c r="C3" s="3"/>
      <c r="D3" s="3"/>
      <c r="E3" s="3"/>
    </row>
    <row r="4" spans="1:5" x14ac:dyDescent="0.25">
      <c r="A4" s="95" t="s">
        <v>0</v>
      </c>
      <c r="B4" s="5" t="s">
        <v>14</v>
      </c>
      <c r="C4" s="5" t="s">
        <v>11</v>
      </c>
      <c r="D4" s="6" t="s">
        <v>13</v>
      </c>
      <c r="E4" s="5" t="s">
        <v>3</v>
      </c>
    </row>
    <row r="5" spans="1:5" x14ac:dyDescent="0.25">
      <c r="A5" s="96">
        <v>1</v>
      </c>
      <c r="B5" s="8"/>
      <c r="C5" s="9"/>
      <c r="D5" s="10"/>
      <c r="E5" s="8"/>
    </row>
    <row r="6" spans="1:5" x14ac:dyDescent="0.25">
      <c r="A6" s="96">
        <v>2</v>
      </c>
      <c r="B6" s="8"/>
      <c r="C6" s="9"/>
      <c r="D6" s="10"/>
      <c r="E6" s="8"/>
    </row>
    <row r="7" spans="1:5" x14ac:dyDescent="0.25">
      <c r="A7" s="96">
        <v>3</v>
      </c>
      <c r="B7" s="8"/>
      <c r="C7" s="9"/>
      <c r="D7" s="10"/>
      <c r="E7" s="8"/>
    </row>
    <row r="8" spans="1:5" x14ac:dyDescent="0.25">
      <c r="A8" s="96">
        <v>4</v>
      </c>
      <c r="B8" s="8"/>
      <c r="C8" s="9"/>
      <c r="D8" s="10"/>
      <c r="E8" s="8"/>
    </row>
    <row r="9" spans="1:5" x14ac:dyDescent="0.25">
      <c r="A9" s="96">
        <v>5</v>
      </c>
      <c r="B9" s="8"/>
      <c r="C9" s="9"/>
      <c r="D9" s="10"/>
      <c r="E9" s="8"/>
    </row>
    <row r="10" spans="1:5" x14ac:dyDescent="0.25">
      <c r="A10" s="96">
        <v>6</v>
      </c>
      <c r="B10" s="8"/>
      <c r="C10" s="9"/>
      <c r="D10" s="10"/>
      <c r="E10" s="8"/>
    </row>
    <row r="11" spans="1:5" x14ac:dyDescent="0.25">
      <c r="A11" s="97">
        <v>7</v>
      </c>
      <c r="B11" s="8"/>
      <c r="C11" s="9"/>
      <c r="D11" s="10"/>
      <c r="E11" s="8"/>
    </row>
    <row r="12" spans="1:5" x14ac:dyDescent="0.25">
      <c r="A12" s="97">
        <v>8</v>
      </c>
      <c r="B12" s="8"/>
      <c r="C12" s="9"/>
      <c r="D12" s="10"/>
      <c r="E12" s="8"/>
    </row>
    <row r="13" spans="1:5" x14ac:dyDescent="0.25">
      <c r="A13" s="97">
        <v>9</v>
      </c>
      <c r="B13" s="8"/>
      <c r="C13" s="9"/>
      <c r="D13" s="10"/>
      <c r="E13" s="8"/>
    </row>
    <row r="14" spans="1:5" x14ac:dyDescent="0.25">
      <c r="A14" s="97"/>
      <c r="B14" s="8"/>
      <c r="C14" s="9"/>
      <c r="D14" s="10"/>
      <c r="E14" s="8"/>
    </row>
    <row r="15" spans="1:5" x14ac:dyDescent="0.25">
      <c r="A15" s="97"/>
      <c r="B15" s="8"/>
      <c r="C15" s="9"/>
      <c r="D15" s="10"/>
      <c r="E15" s="8"/>
    </row>
    <row r="16" spans="1:5" x14ac:dyDescent="0.25">
      <c r="A16" s="97"/>
      <c r="B16" s="8"/>
      <c r="C16" s="9"/>
      <c r="D16" s="10"/>
      <c r="E16" s="8"/>
    </row>
    <row r="17" spans="1:5" x14ac:dyDescent="0.25">
      <c r="A17" s="97"/>
      <c r="B17" s="8"/>
      <c r="C17" s="9"/>
      <c r="D17" s="10"/>
      <c r="E17" s="8"/>
    </row>
    <row r="18" spans="1:5" x14ac:dyDescent="0.25">
      <c r="A18" s="97"/>
      <c r="B18" s="8"/>
      <c r="C18" s="9"/>
      <c r="D18" s="10"/>
      <c r="E18" s="8"/>
    </row>
    <row r="19" spans="1:5" x14ac:dyDescent="0.25">
      <c r="A19" s="97"/>
      <c r="B19" s="8"/>
      <c r="C19" s="9"/>
      <c r="D19" s="10"/>
      <c r="E19" s="8"/>
    </row>
    <row r="20" spans="1:5" x14ac:dyDescent="0.25">
      <c r="A20" s="97"/>
      <c r="B20" s="8"/>
      <c r="C20" s="9"/>
      <c r="D20" s="10"/>
      <c r="E20" s="8"/>
    </row>
    <row r="21" spans="1:5" x14ac:dyDescent="0.25">
      <c r="A21" s="97"/>
      <c r="B21" s="8"/>
      <c r="C21" s="9"/>
      <c r="D21" s="10"/>
      <c r="E21" s="8"/>
    </row>
    <row r="22" spans="1:5" x14ac:dyDescent="0.25">
      <c r="A22" s="97"/>
      <c r="B22" s="8"/>
      <c r="C22" s="9"/>
      <c r="D22" s="10"/>
      <c r="E22" s="8"/>
    </row>
    <row r="23" spans="1:5" x14ac:dyDescent="0.25">
      <c r="A23" s="97"/>
      <c r="B23" s="8"/>
      <c r="C23" s="9"/>
      <c r="D23" s="10"/>
      <c r="E23" s="8"/>
    </row>
    <row r="24" spans="1:5" x14ac:dyDescent="0.25">
      <c r="A24" s="97"/>
      <c r="B24" s="8"/>
      <c r="C24" s="9"/>
      <c r="D24" s="10"/>
      <c r="E24" s="8"/>
    </row>
    <row r="25" spans="1:5" x14ac:dyDescent="0.25">
      <c r="A25" s="97"/>
      <c r="B25" s="8"/>
      <c r="C25" s="9"/>
      <c r="D25" s="10"/>
      <c r="E25" s="8"/>
    </row>
    <row r="26" spans="1:5" x14ac:dyDescent="0.25">
      <c r="A26" s="97"/>
      <c r="B26" s="8"/>
      <c r="C26" s="9"/>
      <c r="D26" s="10"/>
      <c r="E26" s="8"/>
    </row>
    <row r="27" spans="1:5" x14ac:dyDescent="0.25">
      <c r="A27" s="97"/>
      <c r="B27" s="8"/>
      <c r="C27" s="9"/>
      <c r="D27" s="10"/>
      <c r="E27" s="8"/>
    </row>
    <row r="28" spans="1:5" x14ac:dyDescent="0.25">
      <c r="A28" s="97"/>
      <c r="B28" s="8"/>
      <c r="C28" s="9"/>
      <c r="D28" s="10"/>
      <c r="E28" s="8"/>
    </row>
    <row r="29" spans="1:5" x14ac:dyDescent="0.25">
      <c r="A29" s="97"/>
      <c r="B29" s="8"/>
      <c r="C29" s="9"/>
      <c r="D29" s="10"/>
      <c r="E29" s="8"/>
    </row>
    <row r="30" spans="1:5" x14ac:dyDescent="0.25">
      <c r="A30" s="97"/>
      <c r="B30" s="8"/>
      <c r="C30" s="9"/>
      <c r="D30" s="10"/>
      <c r="E30" s="8"/>
    </row>
    <row r="31" spans="1:5" x14ac:dyDescent="0.25">
      <c r="A31" s="97"/>
      <c r="B31" s="8"/>
      <c r="C31" s="9"/>
      <c r="D31" s="10"/>
      <c r="E31" s="8"/>
    </row>
    <row r="32" spans="1:5" x14ac:dyDescent="0.25">
      <c r="A32" s="97"/>
      <c r="B32" s="8"/>
      <c r="C32" s="9"/>
      <c r="D32" s="10"/>
      <c r="E32" s="8"/>
    </row>
  </sheetData>
  <mergeCells count="2">
    <mergeCell ref="A1:B1"/>
    <mergeCell ref="A2:B2"/>
  </mergeCells>
  <pageMargins left="0.25" right="0.25" top="1.25" bottom="0.75" header="0.3" footer="0.3"/>
  <pageSetup orientation="landscape" horizontalDpi="300" verticalDpi="300" r:id="rId1"/>
  <headerFooter>
    <oddHeader>&amp;L&amp;G&amp;R&amp;"-,Bold"&amp;18Decisions</oddHeader>
    <oddFooter>&amp;C&amp;P&amp;R&amp;D</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zoomScaleNormal="100" workbookViewId="0">
      <selection activeCell="A6" sqref="A6"/>
    </sheetView>
  </sheetViews>
  <sheetFormatPr defaultRowHeight="15" x14ac:dyDescent="0.25"/>
  <cols>
    <col min="1" max="1" width="5.85546875" customWidth="1"/>
    <col min="2" max="2" width="27.85546875" customWidth="1"/>
    <col min="3" max="4" width="17.28515625" customWidth="1"/>
    <col min="5" max="5" width="14.28515625" customWidth="1"/>
    <col min="6" max="6" width="11.7109375" customWidth="1"/>
    <col min="7" max="7" width="12.28515625" customWidth="1"/>
    <col min="8" max="8" width="10.28515625" customWidth="1"/>
    <col min="9" max="9" width="25.140625" customWidth="1"/>
  </cols>
  <sheetData>
    <row r="1" spans="1:9" x14ac:dyDescent="0.25">
      <c r="A1" s="139" t="s">
        <v>53</v>
      </c>
      <c r="B1" s="141"/>
      <c r="C1" s="171">
        <f>'Charter Lite'!B1</f>
        <v>0</v>
      </c>
      <c r="D1" s="171"/>
      <c r="E1" s="172" t="s">
        <v>27</v>
      </c>
      <c r="F1" s="172"/>
      <c r="G1" s="169">
        <f>'Charter Lite'!D1</f>
        <v>0</v>
      </c>
      <c r="H1" s="169"/>
      <c r="I1" s="169"/>
    </row>
    <row r="2" spans="1:9" x14ac:dyDescent="0.25">
      <c r="A2" s="139" t="s">
        <v>45</v>
      </c>
      <c r="B2" s="141"/>
      <c r="C2" s="171">
        <f>'Charter Lite'!B2</f>
        <v>0</v>
      </c>
      <c r="D2" s="171"/>
      <c r="E2" s="172" t="s">
        <v>47</v>
      </c>
      <c r="F2" s="172"/>
      <c r="G2" s="170">
        <f>'Charter Lite'!D2</f>
        <v>0</v>
      </c>
      <c r="H2" s="170"/>
      <c r="I2" s="170"/>
    </row>
    <row r="3" spans="1:9" x14ac:dyDescent="0.25">
      <c r="A3" s="3"/>
      <c r="B3" s="3"/>
      <c r="C3" s="3"/>
      <c r="D3" s="3"/>
      <c r="E3" s="3"/>
      <c r="F3" s="3"/>
      <c r="G3" s="3"/>
      <c r="H3" s="3"/>
      <c r="I3" s="3"/>
    </row>
    <row r="4" spans="1:9" x14ac:dyDescent="0.25">
      <c r="A4" s="3"/>
      <c r="B4" s="3"/>
      <c r="C4" s="3"/>
      <c r="D4" s="3"/>
      <c r="E4" s="3"/>
      <c r="F4" s="3"/>
      <c r="G4" s="3"/>
      <c r="H4" s="3"/>
      <c r="I4" s="3"/>
    </row>
    <row r="5" spans="1:9" ht="26.25" x14ac:dyDescent="0.25">
      <c r="A5" s="11" t="s">
        <v>0</v>
      </c>
      <c r="B5" s="11" t="s">
        <v>5</v>
      </c>
      <c r="C5" s="11" t="s">
        <v>7</v>
      </c>
      <c r="D5" s="11" t="s">
        <v>8</v>
      </c>
      <c r="E5" s="11" t="s">
        <v>9</v>
      </c>
      <c r="F5" s="11" t="s">
        <v>4</v>
      </c>
      <c r="G5" s="11" t="s">
        <v>6</v>
      </c>
      <c r="H5" s="11" t="s">
        <v>2</v>
      </c>
      <c r="I5" s="11" t="s">
        <v>10</v>
      </c>
    </row>
    <row r="6" spans="1:9" x14ac:dyDescent="0.25">
      <c r="A6" s="8"/>
      <c r="B6" s="8"/>
      <c r="C6" s="8"/>
      <c r="D6" s="8"/>
      <c r="E6" s="8"/>
      <c r="F6" s="111"/>
      <c r="G6" s="8"/>
      <c r="H6" s="8"/>
      <c r="I6" s="8"/>
    </row>
    <row r="7" spans="1:9" x14ac:dyDescent="0.25">
      <c r="A7" s="8"/>
      <c r="B7" s="8"/>
      <c r="C7" s="8"/>
      <c r="D7" s="8"/>
      <c r="E7" s="8"/>
      <c r="F7" s="111"/>
      <c r="G7" s="8"/>
      <c r="H7" s="8"/>
      <c r="I7" s="8"/>
    </row>
    <row r="8" spans="1:9" x14ac:dyDescent="0.25">
      <c r="A8" s="8"/>
      <c r="B8" s="8"/>
      <c r="C8" s="8"/>
      <c r="D8" s="8"/>
      <c r="E8" s="8"/>
      <c r="F8" s="111"/>
      <c r="G8" s="8"/>
      <c r="H8" s="8"/>
      <c r="I8" s="8"/>
    </row>
    <row r="9" spans="1:9" x14ac:dyDescent="0.25">
      <c r="A9" s="8"/>
      <c r="B9" s="8"/>
      <c r="C9" s="8"/>
      <c r="D9" s="8"/>
      <c r="E9" s="8"/>
      <c r="F9" s="111"/>
      <c r="G9" s="8"/>
      <c r="H9" s="8"/>
      <c r="I9" s="8"/>
    </row>
    <row r="10" spans="1:9" x14ac:dyDescent="0.25">
      <c r="A10" s="8"/>
      <c r="B10" s="8"/>
      <c r="C10" s="8"/>
      <c r="D10" s="8"/>
      <c r="E10" s="8"/>
      <c r="F10" s="111"/>
      <c r="G10" s="8"/>
      <c r="H10" s="8"/>
      <c r="I10" s="8"/>
    </row>
    <row r="11" spans="1:9" x14ac:dyDescent="0.25">
      <c r="A11" s="8"/>
      <c r="B11" s="8"/>
      <c r="C11" s="8"/>
      <c r="D11" s="8"/>
      <c r="E11" s="8"/>
      <c r="F11" s="111"/>
      <c r="G11" s="8"/>
      <c r="H11" s="8"/>
      <c r="I11" s="8"/>
    </row>
    <row r="12" spans="1:9" x14ac:dyDescent="0.25">
      <c r="A12" s="8"/>
      <c r="B12" s="8"/>
      <c r="C12" s="8"/>
      <c r="D12" s="8"/>
      <c r="E12" s="8"/>
      <c r="F12" s="111"/>
      <c r="G12" s="8"/>
      <c r="H12" s="8"/>
      <c r="I12" s="8"/>
    </row>
    <row r="13" spans="1:9" x14ac:dyDescent="0.25">
      <c r="A13" s="8"/>
      <c r="B13" s="8"/>
      <c r="C13" s="8"/>
      <c r="D13" s="8"/>
      <c r="E13" s="8"/>
      <c r="F13" s="111"/>
      <c r="G13" s="8"/>
      <c r="H13" s="8"/>
      <c r="I13" s="8"/>
    </row>
    <row r="14" spans="1:9" x14ac:dyDescent="0.25">
      <c r="A14" s="8"/>
      <c r="B14" s="8"/>
      <c r="C14" s="8"/>
      <c r="D14" s="8"/>
      <c r="E14" s="8"/>
      <c r="F14" s="111"/>
      <c r="G14" s="8"/>
      <c r="H14" s="8"/>
      <c r="I14" s="8"/>
    </row>
    <row r="15" spans="1:9" x14ac:dyDescent="0.25">
      <c r="A15" s="8"/>
      <c r="B15" s="8"/>
      <c r="C15" s="8"/>
      <c r="D15" s="8"/>
      <c r="E15" s="8"/>
      <c r="F15" s="111"/>
      <c r="G15" s="8"/>
      <c r="H15" s="8"/>
      <c r="I15" s="8"/>
    </row>
    <row r="16" spans="1:9" x14ac:dyDescent="0.25">
      <c r="A16" s="8"/>
      <c r="B16" s="8"/>
      <c r="C16" s="8"/>
      <c r="D16" s="8"/>
      <c r="E16" s="8"/>
      <c r="F16" s="111"/>
      <c r="G16" s="8"/>
      <c r="H16" s="8"/>
      <c r="I16" s="8"/>
    </row>
    <row r="17" spans="1:9" x14ac:dyDescent="0.25">
      <c r="A17" s="8"/>
      <c r="B17" s="8"/>
      <c r="C17" s="8"/>
      <c r="D17" s="8"/>
      <c r="E17" s="8"/>
      <c r="F17" s="111"/>
      <c r="G17" s="8"/>
      <c r="H17" s="8"/>
      <c r="I17" s="8"/>
    </row>
    <row r="18" spans="1:9" x14ac:dyDescent="0.25">
      <c r="A18" s="8"/>
      <c r="B18" s="8"/>
      <c r="C18" s="8"/>
      <c r="D18" s="8"/>
      <c r="E18" s="8"/>
      <c r="F18" s="111"/>
      <c r="G18" s="8"/>
      <c r="H18" s="8"/>
      <c r="I18" s="8"/>
    </row>
    <row r="19" spans="1:9" x14ac:dyDescent="0.25">
      <c r="A19" s="8"/>
      <c r="B19" s="8"/>
      <c r="C19" s="8"/>
      <c r="D19" s="8"/>
      <c r="E19" s="8"/>
      <c r="F19" s="111"/>
      <c r="G19" s="8"/>
      <c r="H19" s="8"/>
      <c r="I19" s="8"/>
    </row>
    <row r="20" spans="1:9" x14ac:dyDescent="0.25">
      <c r="A20" s="8"/>
      <c r="B20" s="8"/>
      <c r="C20" s="8"/>
      <c r="D20" s="8"/>
      <c r="E20" s="8"/>
      <c r="F20" s="111"/>
      <c r="G20" s="8"/>
      <c r="H20" s="8"/>
      <c r="I20" s="8"/>
    </row>
    <row r="21" spans="1:9" x14ac:dyDescent="0.25">
      <c r="A21" s="8"/>
      <c r="B21" s="8"/>
      <c r="C21" s="8"/>
      <c r="D21" s="8"/>
      <c r="E21" s="8"/>
      <c r="F21" s="111"/>
      <c r="G21" s="8"/>
      <c r="H21" s="8"/>
      <c r="I21" s="8"/>
    </row>
    <row r="22" spans="1:9" x14ac:dyDescent="0.25">
      <c r="A22" s="8"/>
      <c r="B22" s="8"/>
      <c r="C22" s="8"/>
      <c r="D22" s="8"/>
      <c r="E22" s="8"/>
      <c r="F22" s="111"/>
      <c r="G22" s="8"/>
      <c r="H22" s="8"/>
      <c r="I22" s="8"/>
    </row>
    <row r="23" spans="1:9" x14ac:dyDescent="0.25">
      <c r="A23" s="8"/>
      <c r="B23" s="8"/>
      <c r="C23" s="8"/>
      <c r="D23" s="8"/>
      <c r="E23" s="8"/>
      <c r="F23" s="111"/>
      <c r="G23" s="8"/>
      <c r="H23" s="8"/>
      <c r="I23" s="8"/>
    </row>
    <row r="24" spans="1:9" x14ac:dyDescent="0.25">
      <c r="A24" s="8"/>
      <c r="B24" s="8"/>
      <c r="C24" s="8"/>
      <c r="D24" s="8"/>
      <c r="E24" s="8"/>
      <c r="F24" s="111"/>
      <c r="G24" s="8"/>
      <c r="H24" s="8"/>
      <c r="I24" s="8"/>
    </row>
    <row r="25" spans="1:9" x14ac:dyDescent="0.25">
      <c r="A25" s="8"/>
      <c r="B25" s="8"/>
      <c r="C25" s="8"/>
      <c r="D25" s="8"/>
      <c r="E25" s="8"/>
      <c r="F25" s="111"/>
      <c r="G25" s="8"/>
      <c r="H25" s="8"/>
      <c r="I25" s="8"/>
    </row>
    <row r="26" spans="1:9" x14ac:dyDescent="0.25">
      <c r="A26" s="8"/>
      <c r="B26" s="8"/>
      <c r="C26" s="8"/>
      <c r="D26" s="8"/>
      <c r="E26" s="8"/>
      <c r="F26" s="111"/>
      <c r="G26" s="8"/>
      <c r="H26" s="8"/>
      <c r="I26" s="8"/>
    </row>
    <row r="27" spans="1:9" x14ac:dyDescent="0.25">
      <c r="A27" s="8"/>
      <c r="B27" s="8"/>
      <c r="C27" s="8"/>
      <c r="D27" s="8"/>
      <c r="E27" s="8"/>
      <c r="F27" s="111"/>
      <c r="G27" s="8"/>
      <c r="H27" s="8"/>
      <c r="I27" s="8"/>
    </row>
    <row r="28" spans="1:9" x14ac:dyDescent="0.25">
      <c r="A28" s="8"/>
      <c r="B28" s="8"/>
      <c r="C28" s="8"/>
      <c r="D28" s="8"/>
      <c r="E28" s="8"/>
      <c r="F28" s="111"/>
      <c r="G28" s="8"/>
      <c r="H28" s="8"/>
      <c r="I28" s="8"/>
    </row>
    <row r="29" spans="1:9" x14ac:dyDescent="0.25">
      <c r="A29" s="8"/>
      <c r="B29" s="8"/>
      <c r="C29" s="8"/>
      <c r="D29" s="8"/>
      <c r="E29" s="8"/>
      <c r="F29" s="111"/>
      <c r="G29" s="8"/>
      <c r="H29" s="8"/>
      <c r="I29" s="8"/>
    </row>
    <row r="30" spans="1:9" x14ac:dyDescent="0.25">
      <c r="A30" s="8"/>
      <c r="B30" s="8"/>
      <c r="C30" s="8"/>
      <c r="D30" s="8"/>
      <c r="E30" s="8"/>
      <c r="F30" s="111"/>
      <c r="G30" s="8"/>
      <c r="H30" s="8"/>
      <c r="I30" s="8"/>
    </row>
    <row r="31" spans="1:9" x14ac:dyDescent="0.25">
      <c r="A31" s="8"/>
      <c r="B31" s="8"/>
      <c r="C31" s="8"/>
      <c r="D31" s="8"/>
      <c r="E31" s="8"/>
      <c r="F31" s="111"/>
      <c r="G31" s="8"/>
      <c r="H31" s="8"/>
      <c r="I31" s="8"/>
    </row>
  </sheetData>
  <mergeCells count="8">
    <mergeCell ref="G1:I1"/>
    <mergeCell ref="G2:I2"/>
    <mergeCell ref="A1:B1"/>
    <mergeCell ref="A2:B2"/>
    <mergeCell ref="C1:D1"/>
    <mergeCell ref="C2:D2"/>
    <mergeCell ref="E1:F1"/>
    <mergeCell ref="E2:F2"/>
  </mergeCells>
  <conditionalFormatting sqref="F6:F31">
    <cfRule type="containsText" dxfId="15" priority="4" operator="containsText" text="In-Progress">
      <formula>NOT(ISERROR(SEARCH("In-Progress",F6)))</formula>
    </cfRule>
  </conditionalFormatting>
  <conditionalFormatting sqref="F6:F31">
    <cfRule type="containsText" dxfId="14" priority="3" operator="containsText" text="Closed">
      <formula>NOT(ISERROR(SEARCH("Closed",F6)))</formula>
    </cfRule>
  </conditionalFormatting>
  <conditionalFormatting sqref="F6:F31">
    <cfRule type="containsText" dxfId="13" priority="2" operator="containsText" text="On-Hold">
      <formula>NOT(ISERROR(SEARCH("On-Hold",F6)))</formula>
    </cfRule>
  </conditionalFormatting>
  <conditionalFormatting sqref="F6:F31">
    <cfRule type="cellIs" dxfId="12" priority="1" operator="equal">
      <formula>"Closed"</formula>
    </cfRule>
  </conditionalFormatting>
  <dataValidations count="2">
    <dataValidation type="list" allowBlank="1" showInputMessage="1" showErrorMessage="1" sqref="C6">
      <formula1>#REF!</formula1>
    </dataValidation>
    <dataValidation type="list" allowBlank="1" showInputMessage="1" showErrorMessage="1" sqref="F6:F31">
      <formula1>"In-Progress,Closed,On-Hold"</formula1>
    </dataValidation>
  </dataValidations>
  <pageMargins left="0.25" right="0.25" top="1.25" bottom="0.75" header="0.3" footer="0.3"/>
  <pageSetup scale="94" orientation="landscape" r:id="rId1"/>
  <headerFooter>
    <oddHeader>&amp;L&amp;G&amp;R&amp;"-,Bold"&amp;18Changes</oddHeader>
    <oddFooter>&amp;C&amp;P&amp;R&amp;D</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zoomScaleNormal="100" workbookViewId="0">
      <selection activeCell="B7" sqref="B7"/>
    </sheetView>
  </sheetViews>
  <sheetFormatPr defaultRowHeight="15" x14ac:dyDescent="0.25"/>
  <cols>
    <col min="1" max="1" width="3.5703125" bestFit="1" customWidth="1"/>
    <col min="2" max="2" width="36.140625" customWidth="1"/>
    <col min="3" max="3" width="21.5703125" customWidth="1"/>
    <col min="4" max="5" width="11.85546875" customWidth="1"/>
    <col min="6" max="6" width="28.42578125" customWidth="1"/>
    <col min="7" max="7" width="24.42578125" customWidth="1"/>
  </cols>
  <sheetData>
    <row r="1" spans="1:9" x14ac:dyDescent="0.25">
      <c r="A1" s="139" t="s">
        <v>53</v>
      </c>
      <c r="B1" s="141"/>
      <c r="C1" s="171">
        <f>'Charter Lite'!B1</f>
        <v>0</v>
      </c>
      <c r="D1" s="171"/>
      <c r="E1" s="172" t="s">
        <v>27</v>
      </c>
      <c r="F1" s="172"/>
      <c r="G1" s="88">
        <f>'Charter Lite'!D1</f>
        <v>0</v>
      </c>
      <c r="H1" s="87"/>
      <c r="I1" s="87"/>
    </row>
    <row r="2" spans="1:9" x14ac:dyDescent="0.25">
      <c r="A2" s="139" t="s">
        <v>45</v>
      </c>
      <c r="B2" s="141"/>
      <c r="C2" s="171">
        <f>'Charter Lite'!B2</f>
        <v>0</v>
      </c>
      <c r="D2" s="171"/>
      <c r="E2" s="172" t="s">
        <v>47</v>
      </c>
      <c r="F2" s="172"/>
      <c r="G2" s="93">
        <f>'Charter Lite'!D2</f>
        <v>0</v>
      </c>
      <c r="H2" s="87"/>
      <c r="I2" s="87"/>
    </row>
    <row r="3" spans="1:9" x14ac:dyDescent="0.25">
      <c r="A3" s="2"/>
      <c r="B3" s="3"/>
      <c r="C3" s="3"/>
      <c r="D3" s="3"/>
      <c r="G3" s="3"/>
    </row>
    <row r="4" spans="1:9" x14ac:dyDescent="0.25">
      <c r="A4" s="2"/>
      <c r="B4" s="3"/>
      <c r="C4" s="3"/>
      <c r="D4" s="3"/>
      <c r="G4" s="3"/>
    </row>
    <row r="5" spans="1:9" x14ac:dyDescent="0.25">
      <c r="A5" s="2"/>
      <c r="B5" s="3"/>
      <c r="C5" s="3"/>
      <c r="D5" s="3"/>
      <c r="E5" s="3"/>
      <c r="F5" s="3"/>
      <c r="G5" s="3"/>
    </row>
    <row r="6" spans="1:9" ht="26.25" x14ac:dyDescent="0.25">
      <c r="A6" s="5" t="s">
        <v>0</v>
      </c>
      <c r="B6" s="5" t="s">
        <v>5</v>
      </c>
      <c r="C6" s="5" t="s">
        <v>85</v>
      </c>
      <c r="D6" s="6" t="s">
        <v>1</v>
      </c>
      <c r="E6" s="6" t="s">
        <v>2</v>
      </c>
      <c r="F6" s="5" t="s">
        <v>3</v>
      </c>
      <c r="G6" s="5" t="s">
        <v>4</v>
      </c>
    </row>
    <row r="7" spans="1:9" x14ac:dyDescent="0.25">
      <c r="A7" s="61">
        <v>1</v>
      </c>
      <c r="B7" s="62"/>
      <c r="C7" s="62"/>
      <c r="D7" s="63"/>
      <c r="E7" s="64"/>
      <c r="F7" s="62"/>
      <c r="G7" s="111"/>
    </row>
    <row r="8" spans="1:9" x14ac:dyDescent="0.25">
      <c r="A8" s="7">
        <v>2</v>
      </c>
      <c r="B8" s="8"/>
      <c r="C8" s="8"/>
      <c r="D8" s="10"/>
      <c r="E8" s="9"/>
      <c r="F8" s="8"/>
      <c r="G8" s="111"/>
    </row>
    <row r="9" spans="1:9" x14ac:dyDescent="0.25">
      <c r="A9" s="7">
        <v>3</v>
      </c>
      <c r="B9" s="8"/>
      <c r="C9" s="8"/>
      <c r="D9" s="10"/>
      <c r="E9" s="10"/>
      <c r="F9" s="8"/>
      <c r="G9" s="111"/>
    </row>
    <row r="10" spans="1:9" x14ac:dyDescent="0.25">
      <c r="A10" s="7"/>
      <c r="B10" s="8"/>
      <c r="C10" s="8"/>
      <c r="D10" s="10"/>
      <c r="E10" s="10"/>
      <c r="F10" s="8"/>
      <c r="G10" s="111"/>
    </row>
    <row r="11" spans="1:9" x14ac:dyDescent="0.25">
      <c r="A11" s="7"/>
      <c r="B11" s="8"/>
      <c r="C11" s="8"/>
      <c r="D11" s="10"/>
      <c r="E11" s="9"/>
      <c r="F11" s="8"/>
      <c r="G11" s="111"/>
    </row>
    <row r="12" spans="1:9" x14ac:dyDescent="0.25">
      <c r="A12" s="7"/>
      <c r="B12" s="8"/>
      <c r="C12" s="8"/>
      <c r="D12" s="10"/>
      <c r="E12" s="9"/>
      <c r="F12" s="8"/>
      <c r="G12" s="111"/>
    </row>
    <row r="13" spans="1:9" x14ac:dyDescent="0.25">
      <c r="A13" s="7"/>
      <c r="B13" s="8"/>
      <c r="C13" s="8"/>
      <c r="D13" s="10"/>
      <c r="E13" s="10"/>
      <c r="F13" s="8"/>
      <c r="G13" s="111"/>
    </row>
    <row r="14" spans="1:9" x14ac:dyDescent="0.25">
      <c r="A14" s="7"/>
      <c r="B14" s="8"/>
      <c r="C14" s="8"/>
      <c r="D14" s="10"/>
      <c r="E14" s="10"/>
      <c r="F14" s="8"/>
      <c r="G14" s="111"/>
    </row>
    <row r="15" spans="1:9" x14ac:dyDescent="0.25">
      <c r="A15" s="7"/>
      <c r="B15" s="8"/>
      <c r="C15" s="8"/>
      <c r="D15" s="10"/>
      <c r="E15" s="10"/>
      <c r="F15" s="8"/>
      <c r="G15" s="111"/>
    </row>
    <row r="16" spans="1:9" x14ac:dyDescent="0.25">
      <c r="A16" s="7"/>
      <c r="B16" s="8"/>
      <c r="C16" s="8"/>
      <c r="D16" s="10"/>
      <c r="E16" s="9"/>
      <c r="F16" s="8"/>
      <c r="G16" s="111"/>
    </row>
    <row r="17" spans="1:7" x14ac:dyDescent="0.25">
      <c r="A17" s="7"/>
      <c r="B17" s="8"/>
      <c r="C17" s="8"/>
      <c r="D17" s="10"/>
      <c r="E17" s="10"/>
      <c r="F17" s="8"/>
      <c r="G17" s="111"/>
    </row>
    <row r="18" spans="1:7" x14ac:dyDescent="0.25">
      <c r="A18" s="7"/>
      <c r="B18" s="8"/>
      <c r="C18" s="8"/>
      <c r="D18" s="10"/>
      <c r="E18" s="10"/>
      <c r="F18" s="8"/>
      <c r="G18" s="111"/>
    </row>
    <row r="19" spans="1:7" x14ac:dyDescent="0.25">
      <c r="A19" s="7"/>
      <c r="B19" s="8"/>
      <c r="C19" s="8"/>
      <c r="D19" s="10"/>
      <c r="E19" s="10"/>
      <c r="F19" s="8"/>
      <c r="G19" s="111"/>
    </row>
    <row r="20" spans="1:7" x14ac:dyDescent="0.25">
      <c r="A20" s="7"/>
      <c r="B20" s="8"/>
      <c r="C20" s="8"/>
      <c r="D20" s="10"/>
      <c r="E20" s="9"/>
      <c r="F20" s="8"/>
      <c r="G20" s="111"/>
    </row>
    <row r="21" spans="1:7" x14ac:dyDescent="0.25">
      <c r="A21" s="7"/>
      <c r="B21" s="8"/>
      <c r="C21" s="8"/>
      <c r="D21" s="10"/>
      <c r="E21" s="9"/>
      <c r="F21" s="8"/>
      <c r="G21" s="111"/>
    </row>
    <row r="22" spans="1:7" x14ac:dyDescent="0.25">
      <c r="A22" s="7"/>
      <c r="B22" s="8"/>
      <c r="C22" s="8"/>
      <c r="D22" s="10"/>
      <c r="E22" s="9"/>
      <c r="F22" s="8"/>
      <c r="G22" s="111"/>
    </row>
    <row r="23" spans="1:7" x14ac:dyDescent="0.25">
      <c r="A23" s="7"/>
      <c r="B23" s="8"/>
      <c r="C23" s="8"/>
      <c r="D23" s="10"/>
      <c r="E23" s="10"/>
      <c r="F23" s="8"/>
      <c r="G23" s="111"/>
    </row>
    <row r="24" spans="1:7" x14ac:dyDescent="0.25">
      <c r="A24" s="7"/>
      <c r="B24" s="8"/>
      <c r="C24" s="8"/>
      <c r="D24" s="10"/>
      <c r="E24" s="10"/>
      <c r="F24" s="8"/>
      <c r="G24" s="111"/>
    </row>
    <row r="25" spans="1:7" x14ac:dyDescent="0.25">
      <c r="A25" s="7"/>
      <c r="B25" s="8"/>
      <c r="C25" s="8"/>
      <c r="D25" s="10"/>
      <c r="E25" s="10"/>
      <c r="F25" s="8"/>
      <c r="G25" s="111"/>
    </row>
    <row r="26" spans="1:7" x14ac:dyDescent="0.25">
      <c r="A26" s="7"/>
      <c r="B26" s="8"/>
      <c r="C26" s="8"/>
      <c r="D26" s="10"/>
      <c r="E26" s="10"/>
      <c r="F26" s="8"/>
      <c r="G26" s="111"/>
    </row>
    <row r="27" spans="1:7" x14ac:dyDescent="0.25">
      <c r="A27" s="7"/>
      <c r="B27" s="8"/>
      <c r="C27" s="8"/>
      <c r="D27" s="10"/>
      <c r="E27" s="10"/>
      <c r="F27" s="8"/>
      <c r="G27" s="111"/>
    </row>
    <row r="30" spans="1:7" x14ac:dyDescent="0.25">
      <c r="E30" s="5" t="s">
        <v>4</v>
      </c>
      <c r="F30" s="5" t="s">
        <v>82</v>
      </c>
    </row>
    <row r="31" spans="1:7" x14ac:dyDescent="0.25">
      <c r="E31" s="9" t="s">
        <v>83</v>
      </c>
      <c r="F31" s="60">
        <f>COUNTIF(G7:G826,"Closed")</f>
        <v>0</v>
      </c>
    </row>
    <row r="32" spans="1:7" x14ac:dyDescent="0.25">
      <c r="E32" s="9" t="s">
        <v>84</v>
      </c>
      <c r="F32" s="60">
        <f>COUNTIF(G7:G798,"On-Hold")</f>
        <v>0</v>
      </c>
    </row>
  </sheetData>
  <mergeCells count="6">
    <mergeCell ref="A1:B1"/>
    <mergeCell ref="C1:D1"/>
    <mergeCell ref="E1:F1"/>
    <mergeCell ref="A2:B2"/>
    <mergeCell ref="C2:D2"/>
    <mergeCell ref="E2:F2"/>
  </mergeCells>
  <conditionalFormatting sqref="F10">
    <cfRule type="containsText" dxfId="11" priority="16" operator="containsText" text="In-Progress">
      <formula>NOT(ISERROR(SEARCH("In-Progress",F10)))</formula>
    </cfRule>
  </conditionalFormatting>
  <conditionalFormatting sqref="F10">
    <cfRule type="containsText" dxfId="10" priority="15" operator="containsText" text="Closed">
      <formula>NOT(ISERROR(SEARCH("Closed",F10)))</formula>
    </cfRule>
  </conditionalFormatting>
  <conditionalFormatting sqref="F10">
    <cfRule type="containsText" dxfId="9" priority="14" operator="containsText" text="On-Hold">
      <formula>NOT(ISERROR(SEARCH("On-Hold",F10)))</formula>
    </cfRule>
  </conditionalFormatting>
  <conditionalFormatting sqref="F10">
    <cfRule type="cellIs" dxfId="8" priority="13" operator="equal">
      <formula>"Closed"</formula>
    </cfRule>
  </conditionalFormatting>
  <conditionalFormatting sqref="G7">
    <cfRule type="containsText" dxfId="7" priority="12" operator="containsText" text="In-Progress">
      <formula>NOT(ISERROR(SEARCH("In-Progress",G7)))</formula>
    </cfRule>
  </conditionalFormatting>
  <conditionalFormatting sqref="G7">
    <cfRule type="containsText" dxfId="6" priority="11" operator="containsText" text="Closed">
      <formula>NOT(ISERROR(SEARCH("Closed",G7)))</formula>
    </cfRule>
  </conditionalFormatting>
  <conditionalFormatting sqref="G7">
    <cfRule type="containsText" dxfId="5" priority="10" operator="containsText" text="On-Hold">
      <formula>NOT(ISERROR(SEARCH("On-Hold",G7)))</formula>
    </cfRule>
  </conditionalFormatting>
  <conditionalFormatting sqref="G7">
    <cfRule type="cellIs" dxfId="4" priority="9" operator="equal">
      <formula>"Closed"</formula>
    </cfRule>
  </conditionalFormatting>
  <conditionalFormatting sqref="G8:G27">
    <cfRule type="containsText" dxfId="3" priority="4" operator="containsText" text="In-Progress">
      <formula>NOT(ISERROR(SEARCH("In-Progress",G8)))</formula>
    </cfRule>
  </conditionalFormatting>
  <conditionalFormatting sqref="G8:G27">
    <cfRule type="containsText" dxfId="2" priority="3" operator="containsText" text="Closed">
      <formula>NOT(ISERROR(SEARCH("Closed",G8)))</formula>
    </cfRule>
  </conditionalFormatting>
  <conditionalFormatting sqref="G8:G27">
    <cfRule type="containsText" dxfId="1" priority="2" operator="containsText" text="On-Hold">
      <formula>NOT(ISERROR(SEARCH("On-Hold",G8)))</formula>
    </cfRule>
  </conditionalFormatting>
  <conditionalFormatting sqref="G8:G27">
    <cfRule type="cellIs" dxfId="0" priority="1" operator="equal">
      <formula>"Closed"</formula>
    </cfRule>
  </conditionalFormatting>
  <dataValidations count="1">
    <dataValidation type="list" allowBlank="1" showInputMessage="1" showErrorMessage="1" sqref="G7:G27">
      <formula1>"Closed,On-Hold"</formula1>
    </dataValidation>
  </dataValidations>
  <pageMargins left="0.7" right="0.7" top="1.25" bottom="0.75" header="0.3" footer="0.3"/>
  <pageSetup scale="88" orientation="landscape" r:id="rId1"/>
  <headerFooter>
    <oddHeader>&amp;L&amp;G&amp;R&amp;"-,Bold"&amp;18Parking Lot</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zoomScaleNormal="100" workbookViewId="0">
      <selection sqref="A1:B1"/>
    </sheetView>
  </sheetViews>
  <sheetFormatPr defaultRowHeight="15" x14ac:dyDescent="0.25"/>
  <cols>
    <col min="1" max="1" width="20.85546875" customWidth="1"/>
  </cols>
  <sheetData>
    <row r="1" spans="1:13" x14ac:dyDescent="0.25">
      <c r="A1" s="172" t="s">
        <v>53</v>
      </c>
      <c r="B1" s="172"/>
      <c r="C1" s="171">
        <f>'Charter Lite'!B1</f>
        <v>0</v>
      </c>
      <c r="D1" s="171"/>
      <c r="E1" s="171"/>
      <c r="F1" s="171"/>
      <c r="G1" s="171"/>
      <c r="H1" s="172" t="s">
        <v>27</v>
      </c>
      <c r="I1" s="172"/>
      <c r="J1" s="169">
        <f>'Charter Lite'!D1</f>
        <v>0</v>
      </c>
      <c r="K1" s="169"/>
      <c r="L1" s="169"/>
      <c r="M1" s="169"/>
    </row>
    <row r="2" spans="1:13" x14ac:dyDescent="0.25">
      <c r="A2" s="172" t="s">
        <v>45</v>
      </c>
      <c r="B2" s="172"/>
      <c r="C2" s="171">
        <f>'Charter Lite'!B2</f>
        <v>0</v>
      </c>
      <c r="D2" s="171"/>
      <c r="E2" s="171"/>
      <c r="F2" s="171"/>
      <c r="G2" s="171"/>
      <c r="H2" s="172" t="s">
        <v>47</v>
      </c>
      <c r="I2" s="172"/>
      <c r="J2" s="170">
        <f>'Charter Lite'!D2</f>
        <v>0</v>
      </c>
      <c r="K2" s="170"/>
      <c r="L2" s="170"/>
      <c r="M2" s="170"/>
    </row>
    <row r="4" spans="1:13" x14ac:dyDescent="0.25">
      <c r="A4" s="174" t="s">
        <v>63</v>
      </c>
      <c r="B4" s="173" t="s">
        <v>64</v>
      </c>
      <c r="C4" s="173"/>
      <c r="D4" s="173"/>
      <c r="E4" s="173"/>
      <c r="F4" s="173"/>
      <c r="G4" s="173"/>
      <c r="H4" s="173"/>
      <c r="I4" s="173"/>
      <c r="J4" s="173"/>
      <c r="K4" s="173"/>
      <c r="L4" s="173"/>
      <c r="M4" s="173"/>
    </row>
    <row r="5" spans="1:13" x14ac:dyDescent="0.25">
      <c r="A5" s="174"/>
      <c r="B5" s="54">
        <v>1</v>
      </c>
      <c r="C5" s="54">
        <v>2</v>
      </c>
      <c r="D5" s="54">
        <v>3</v>
      </c>
      <c r="E5" s="54">
        <v>4</v>
      </c>
      <c r="F5" s="54">
        <v>5</v>
      </c>
      <c r="G5" s="54">
        <v>6</v>
      </c>
      <c r="H5" s="54">
        <v>7</v>
      </c>
      <c r="I5" s="54">
        <v>8</v>
      </c>
      <c r="J5" s="54">
        <v>9</v>
      </c>
      <c r="K5" s="54">
        <v>10</v>
      </c>
      <c r="L5" s="54">
        <v>11</v>
      </c>
      <c r="M5" s="54">
        <v>12</v>
      </c>
    </row>
    <row r="6" spans="1:13" ht="15.75" x14ac:dyDescent="0.25">
      <c r="A6" s="40" t="s">
        <v>65</v>
      </c>
      <c r="B6" s="41"/>
      <c r="C6" s="42"/>
      <c r="D6" s="42"/>
      <c r="E6" s="42"/>
      <c r="F6" s="43"/>
      <c r="G6" s="42"/>
      <c r="H6" s="43"/>
      <c r="I6" s="43"/>
      <c r="J6" s="44"/>
      <c r="K6" s="44"/>
      <c r="L6" s="44"/>
      <c r="M6" s="44"/>
    </row>
    <row r="7" spans="1:13" x14ac:dyDescent="0.25">
      <c r="A7" s="45" t="s">
        <v>66</v>
      </c>
      <c r="B7" s="46"/>
      <c r="C7" s="47"/>
      <c r="D7" s="47"/>
      <c r="E7" s="47"/>
      <c r="F7" s="48"/>
      <c r="G7" s="47"/>
      <c r="H7" s="48"/>
      <c r="I7" s="48"/>
      <c r="J7" s="49"/>
      <c r="K7" s="49"/>
      <c r="L7" s="49"/>
      <c r="M7" s="49"/>
    </row>
    <row r="8" spans="1:13" x14ac:dyDescent="0.25">
      <c r="A8" s="50" t="s">
        <v>67</v>
      </c>
      <c r="B8" s="49"/>
      <c r="C8" s="49"/>
      <c r="D8" s="49"/>
      <c r="E8" s="49"/>
      <c r="F8" s="49"/>
      <c r="G8" s="49"/>
      <c r="H8" s="49"/>
      <c r="I8" s="49"/>
      <c r="J8" s="49"/>
      <c r="K8" s="49"/>
      <c r="L8" s="49"/>
      <c r="M8" s="49"/>
    </row>
    <row r="9" spans="1:13" x14ac:dyDescent="0.25">
      <c r="A9" s="50" t="s">
        <v>68</v>
      </c>
      <c r="B9" s="49"/>
      <c r="C9" s="49"/>
      <c r="D9" s="49"/>
      <c r="E9" s="49"/>
      <c r="F9" s="49"/>
      <c r="G9" s="49"/>
      <c r="H9" s="49"/>
      <c r="I9" s="49"/>
      <c r="J9" s="49"/>
      <c r="K9" s="49"/>
      <c r="L9" s="49"/>
      <c r="M9" s="49"/>
    </row>
    <row r="10" spans="1:13" x14ac:dyDescent="0.25">
      <c r="A10" s="50" t="s">
        <v>69</v>
      </c>
      <c r="B10" s="49"/>
      <c r="C10" s="49"/>
      <c r="D10" s="49"/>
      <c r="E10" s="49"/>
      <c r="F10" s="49"/>
      <c r="G10" s="49"/>
      <c r="H10" s="49"/>
      <c r="I10" s="49"/>
      <c r="J10" s="49"/>
      <c r="K10" s="49"/>
      <c r="L10" s="49"/>
      <c r="M10" s="49"/>
    </row>
    <row r="11" spans="1:13" x14ac:dyDescent="0.25">
      <c r="A11" s="50"/>
      <c r="B11" s="49"/>
      <c r="C11" s="49"/>
      <c r="D11" s="49"/>
      <c r="E11" s="49"/>
      <c r="F11" s="49"/>
      <c r="G11" s="49"/>
      <c r="H11" s="49"/>
      <c r="I11" s="49"/>
      <c r="J11" s="49"/>
      <c r="K11" s="49"/>
      <c r="L11" s="49"/>
      <c r="M11" s="49"/>
    </row>
    <row r="12" spans="1:13" x14ac:dyDescent="0.25">
      <c r="A12" s="45" t="s">
        <v>70</v>
      </c>
      <c r="B12" s="49"/>
      <c r="C12" s="49"/>
      <c r="D12" s="49"/>
      <c r="E12" s="49"/>
      <c r="F12" s="49"/>
      <c r="G12" s="49"/>
      <c r="H12" s="49"/>
      <c r="I12" s="49"/>
      <c r="J12" s="49"/>
      <c r="K12" s="49"/>
      <c r="L12" s="49"/>
      <c r="M12" s="49"/>
    </row>
    <row r="13" spans="1:13" x14ac:dyDescent="0.25">
      <c r="A13" s="51" t="s">
        <v>71</v>
      </c>
      <c r="B13" s="49"/>
      <c r="C13" s="49"/>
      <c r="D13" s="49"/>
      <c r="E13" s="49"/>
      <c r="F13" s="49"/>
      <c r="G13" s="49"/>
      <c r="H13" s="49"/>
      <c r="I13" s="49"/>
      <c r="J13" s="49"/>
      <c r="K13" s="49"/>
      <c r="L13" s="49"/>
      <c r="M13" s="49"/>
    </row>
    <row r="14" spans="1:13" x14ac:dyDescent="0.25">
      <c r="A14" s="51" t="s">
        <v>72</v>
      </c>
      <c r="B14" s="49"/>
      <c r="C14" s="49"/>
      <c r="D14" s="49"/>
      <c r="E14" s="49"/>
      <c r="F14" s="49"/>
      <c r="G14" s="49"/>
      <c r="H14" s="49"/>
      <c r="I14" s="49"/>
      <c r="J14" s="49"/>
      <c r="K14" s="49"/>
      <c r="L14" s="49"/>
      <c r="M14" s="49"/>
    </row>
    <row r="15" spans="1:13" x14ac:dyDescent="0.25">
      <c r="A15" s="51" t="s">
        <v>73</v>
      </c>
      <c r="B15" s="49"/>
      <c r="C15" s="49"/>
      <c r="D15" s="49"/>
      <c r="E15" s="49"/>
      <c r="F15" s="49"/>
      <c r="G15" s="49"/>
      <c r="H15" s="49"/>
      <c r="I15" s="49"/>
      <c r="J15" s="49"/>
      <c r="K15" s="49"/>
      <c r="L15" s="49"/>
      <c r="M15" s="49"/>
    </row>
    <row r="16" spans="1:13" x14ac:dyDescent="0.25">
      <c r="A16" s="50"/>
      <c r="B16" s="49"/>
      <c r="C16" s="49"/>
      <c r="D16" s="49"/>
      <c r="E16" s="49"/>
      <c r="F16" s="49"/>
      <c r="G16" s="49"/>
      <c r="H16" s="49"/>
      <c r="I16" s="49"/>
      <c r="J16" s="49"/>
      <c r="K16" s="49"/>
      <c r="L16" s="49"/>
      <c r="M16" s="49"/>
    </row>
    <row r="17" spans="1:13" x14ac:dyDescent="0.25">
      <c r="A17" s="45" t="s">
        <v>74</v>
      </c>
      <c r="B17" s="49"/>
      <c r="C17" s="49"/>
      <c r="D17" s="49"/>
      <c r="E17" s="49"/>
      <c r="F17" s="49"/>
      <c r="G17" s="49"/>
      <c r="H17" s="49"/>
      <c r="I17" s="49"/>
      <c r="J17" s="49"/>
      <c r="K17" s="49"/>
      <c r="L17" s="49"/>
      <c r="M17" s="49"/>
    </row>
    <row r="18" spans="1:13" x14ac:dyDescent="0.25">
      <c r="A18" s="51" t="s">
        <v>75</v>
      </c>
      <c r="B18" s="49"/>
      <c r="C18" s="49"/>
      <c r="D18" s="49"/>
      <c r="E18" s="49"/>
      <c r="F18" s="49"/>
      <c r="G18" s="49"/>
      <c r="H18" s="49"/>
      <c r="I18" s="49"/>
      <c r="J18" s="49"/>
      <c r="K18" s="49"/>
      <c r="L18" s="49"/>
      <c r="M18" s="49"/>
    </row>
    <row r="19" spans="1:13" x14ac:dyDescent="0.25">
      <c r="A19" s="51" t="s">
        <v>76</v>
      </c>
      <c r="B19" s="49"/>
      <c r="C19" s="49"/>
      <c r="D19" s="49"/>
      <c r="E19" s="49"/>
      <c r="F19" s="49"/>
      <c r="G19" s="49"/>
      <c r="H19" s="49"/>
      <c r="I19" s="49"/>
      <c r="J19" s="49"/>
      <c r="K19" s="49"/>
      <c r="L19" s="49"/>
      <c r="M19" s="49"/>
    </row>
    <row r="20" spans="1:13" x14ac:dyDescent="0.25">
      <c r="A20" s="51" t="s">
        <v>77</v>
      </c>
      <c r="B20" s="49"/>
      <c r="C20" s="49"/>
      <c r="D20" s="49"/>
      <c r="E20" s="49"/>
      <c r="F20" s="49"/>
      <c r="G20" s="49"/>
      <c r="H20" s="49"/>
      <c r="I20" s="49"/>
      <c r="J20" s="49"/>
      <c r="K20" s="49"/>
      <c r="L20" s="49"/>
      <c r="M20" s="49"/>
    </row>
    <row r="21" spans="1:13" x14ac:dyDescent="0.25">
      <c r="A21" s="50"/>
      <c r="B21" s="49"/>
      <c r="C21" s="49"/>
      <c r="D21" s="49"/>
      <c r="E21" s="49"/>
      <c r="F21" s="49"/>
      <c r="G21" s="49"/>
      <c r="H21" s="49"/>
      <c r="I21" s="49"/>
      <c r="J21" s="49"/>
      <c r="K21" s="49"/>
      <c r="L21" s="49"/>
      <c r="M21" s="49"/>
    </row>
    <row r="22" spans="1:13" x14ac:dyDescent="0.25">
      <c r="A22" s="52" t="s">
        <v>78</v>
      </c>
      <c r="B22" s="49">
        <f>B8+B13+B18</f>
        <v>0</v>
      </c>
      <c r="C22" s="49">
        <f t="shared" ref="C22:M22" si="0">C8+C13+C18</f>
        <v>0</v>
      </c>
      <c r="D22" s="49">
        <f t="shared" si="0"/>
        <v>0</v>
      </c>
      <c r="E22" s="49">
        <f t="shared" si="0"/>
        <v>0</v>
      </c>
      <c r="F22" s="49">
        <f t="shared" si="0"/>
        <v>0</v>
      </c>
      <c r="G22" s="49">
        <f t="shared" si="0"/>
        <v>0</v>
      </c>
      <c r="H22" s="49">
        <f t="shared" si="0"/>
        <v>0</v>
      </c>
      <c r="I22" s="49">
        <f t="shared" si="0"/>
        <v>0</v>
      </c>
      <c r="J22" s="49">
        <f t="shared" si="0"/>
        <v>0</v>
      </c>
      <c r="K22" s="49">
        <f t="shared" si="0"/>
        <v>0</v>
      </c>
      <c r="L22" s="49">
        <f t="shared" si="0"/>
        <v>0</v>
      </c>
      <c r="M22" s="49">
        <f t="shared" si="0"/>
        <v>0</v>
      </c>
    </row>
    <row r="23" spans="1:13" x14ac:dyDescent="0.25">
      <c r="A23" s="52" t="s">
        <v>79</v>
      </c>
      <c r="B23" s="49">
        <f t="shared" ref="B23:M23" si="1">B9+B14+B19</f>
        <v>0</v>
      </c>
      <c r="C23" s="49">
        <f t="shared" si="1"/>
        <v>0</v>
      </c>
      <c r="D23" s="49">
        <f t="shared" si="1"/>
        <v>0</v>
      </c>
      <c r="E23" s="49">
        <f t="shared" si="1"/>
        <v>0</v>
      </c>
      <c r="F23" s="49">
        <f t="shared" si="1"/>
        <v>0</v>
      </c>
      <c r="G23" s="49">
        <f t="shared" si="1"/>
        <v>0</v>
      </c>
      <c r="H23" s="49">
        <f t="shared" si="1"/>
        <v>0</v>
      </c>
      <c r="I23" s="49">
        <f t="shared" si="1"/>
        <v>0</v>
      </c>
      <c r="J23" s="49">
        <f t="shared" si="1"/>
        <v>0</v>
      </c>
      <c r="K23" s="49">
        <f t="shared" si="1"/>
        <v>0</v>
      </c>
      <c r="L23" s="49">
        <f t="shared" si="1"/>
        <v>0</v>
      </c>
      <c r="M23" s="49">
        <f t="shared" si="1"/>
        <v>0</v>
      </c>
    </row>
    <row r="24" spans="1:13" x14ac:dyDescent="0.25">
      <c r="A24" s="52" t="s">
        <v>80</v>
      </c>
      <c r="B24" s="49">
        <f t="shared" ref="B24:M24" si="2">B10+B15+B20</f>
        <v>0</v>
      </c>
      <c r="C24" s="49">
        <f t="shared" si="2"/>
        <v>0</v>
      </c>
      <c r="D24" s="49">
        <f t="shared" si="2"/>
        <v>0</v>
      </c>
      <c r="E24" s="49">
        <f t="shared" si="2"/>
        <v>0</v>
      </c>
      <c r="F24" s="49">
        <f t="shared" si="2"/>
        <v>0</v>
      </c>
      <c r="G24" s="49">
        <f t="shared" si="2"/>
        <v>0</v>
      </c>
      <c r="H24" s="49">
        <f t="shared" si="2"/>
        <v>0</v>
      </c>
      <c r="I24" s="49">
        <f t="shared" si="2"/>
        <v>0</v>
      </c>
      <c r="J24" s="49">
        <f t="shared" si="2"/>
        <v>0</v>
      </c>
      <c r="K24" s="49">
        <f t="shared" si="2"/>
        <v>0</v>
      </c>
      <c r="L24" s="49">
        <f t="shared" si="2"/>
        <v>0</v>
      </c>
      <c r="M24" s="49">
        <f t="shared" si="2"/>
        <v>0</v>
      </c>
    </row>
    <row r="25" spans="1:13" x14ac:dyDescent="0.25">
      <c r="A25" s="51"/>
      <c r="B25" s="49"/>
      <c r="C25" s="49"/>
      <c r="D25" s="49"/>
      <c r="E25" s="49"/>
      <c r="F25" s="49"/>
      <c r="G25" s="49"/>
      <c r="H25" s="49"/>
      <c r="I25" s="49"/>
      <c r="J25" s="49"/>
      <c r="K25" s="49"/>
      <c r="L25" s="49"/>
      <c r="M25" s="49"/>
    </row>
    <row r="26" spans="1:13" ht="15.75" x14ac:dyDescent="0.25">
      <c r="A26" s="53" t="s">
        <v>81</v>
      </c>
      <c r="B26" s="42"/>
      <c r="C26" s="42"/>
      <c r="D26" s="42"/>
      <c r="E26" s="42"/>
      <c r="F26" s="43"/>
      <c r="G26" s="42"/>
      <c r="H26" s="43"/>
      <c r="I26" s="43"/>
      <c r="J26" s="44"/>
      <c r="K26" s="44"/>
      <c r="L26" s="44"/>
      <c r="M26" s="44"/>
    </row>
    <row r="27" spans="1:13" x14ac:dyDescent="0.25">
      <c r="A27" s="45" t="s">
        <v>66</v>
      </c>
      <c r="B27" s="49"/>
      <c r="C27" s="49"/>
      <c r="D27" s="49"/>
      <c r="E27" s="49"/>
      <c r="F27" s="49"/>
      <c r="G27" s="49"/>
      <c r="H27" s="49"/>
      <c r="I27" s="49"/>
      <c r="J27" s="49"/>
      <c r="K27" s="49"/>
      <c r="L27" s="49"/>
      <c r="M27" s="49"/>
    </row>
    <row r="28" spans="1:13" x14ac:dyDescent="0.25">
      <c r="A28" s="50" t="s">
        <v>67</v>
      </c>
      <c r="B28" s="49"/>
      <c r="C28" s="49"/>
      <c r="D28" s="49"/>
      <c r="E28" s="49"/>
      <c r="F28" s="49"/>
      <c r="G28" s="49"/>
      <c r="H28" s="49"/>
      <c r="I28" s="49"/>
      <c r="J28" s="49"/>
      <c r="K28" s="49"/>
      <c r="L28" s="49"/>
      <c r="M28" s="49"/>
    </row>
    <row r="29" spans="1:13" x14ac:dyDescent="0.25">
      <c r="A29" s="50" t="s">
        <v>68</v>
      </c>
      <c r="B29" s="49"/>
      <c r="C29" s="49"/>
      <c r="D29" s="49"/>
      <c r="E29" s="49"/>
      <c r="F29" s="49"/>
      <c r="G29" s="49"/>
      <c r="H29" s="49"/>
      <c r="I29" s="49"/>
      <c r="J29" s="49"/>
      <c r="K29" s="49"/>
      <c r="L29" s="49"/>
      <c r="M29" s="49"/>
    </row>
    <row r="30" spans="1:13" x14ac:dyDescent="0.25">
      <c r="A30" s="50" t="s">
        <v>69</v>
      </c>
      <c r="B30" s="49"/>
      <c r="C30" s="49"/>
      <c r="D30" s="49"/>
      <c r="E30" s="49"/>
      <c r="F30" s="49"/>
      <c r="G30" s="49"/>
      <c r="H30" s="49"/>
      <c r="I30" s="49"/>
      <c r="J30" s="49"/>
      <c r="K30" s="49"/>
      <c r="L30" s="49"/>
      <c r="M30" s="49"/>
    </row>
    <row r="31" spans="1:13" x14ac:dyDescent="0.25">
      <c r="A31" s="50"/>
      <c r="B31" s="49"/>
      <c r="C31" s="49"/>
      <c r="D31" s="49"/>
      <c r="E31" s="49"/>
      <c r="F31" s="49"/>
      <c r="G31" s="49"/>
      <c r="H31" s="49"/>
      <c r="I31" s="49"/>
      <c r="J31" s="49"/>
      <c r="K31" s="49"/>
      <c r="L31" s="49"/>
      <c r="M31" s="49"/>
    </row>
    <row r="32" spans="1:13" x14ac:dyDescent="0.25">
      <c r="A32" s="45" t="s">
        <v>70</v>
      </c>
      <c r="B32" s="49"/>
      <c r="C32" s="49"/>
      <c r="D32" s="49"/>
      <c r="E32" s="49"/>
      <c r="F32" s="49"/>
      <c r="G32" s="49"/>
      <c r="H32" s="49"/>
      <c r="I32" s="49"/>
      <c r="J32" s="49"/>
      <c r="K32" s="49"/>
      <c r="L32" s="49"/>
      <c r="M32" s="49"/>
    </row>
    <row r="33" spans="1:13" x14ac:dyDescent="0.25">
      <c r="A33" s="51" t="s">
        <v>71</v>
      </c>
      <c r="B33" s="49"/>
      <c r="C33" s="49"/>
      <c r="D33" s="49"/>
      <c r="E33" s="49"/>
      <c r="F33" s="49"/>
      <c r="G33" s="49"/>
      <c r="H33" s="49"/>
      <c r="I33" s="49"/>
      <c r="J33" s="49"/>
      <c r="K33" s="49"/>
      <c r="L33" s="49"/>
      <c r="M33" s="49"/>
    </row>
    <row r="34" spans="1:13" x14ac:dyDescent="0.25">
      <c r="A34" s="51" t="s">
        <v>72</v>
      </c>
      <c r="B34" s="49"/>
      <c r="C34" s="49"/>
      <c r="D34" s="49"/>
      <c r="E34" s="49"/>
      <c r="F34" s="49"/>
      <c r="G34" s="49"/>
      <c r="H34" s="49"/>
      <c r="I34" s="49"/>
      <c r="J34" s="49"/>
      <c r="K34" s="49"/>
      <c r="L34" s="49"/>
      <c r="M34" s="49"/>
    </row>
    <row r="35" spans="1:13" x14ac:dyDescent="0.25">
      <c r="A35" s="51" t="s">
        <v>73</v>
      </c>
      <c r="B35" s="49"/>
      <c r="C35" s="49"/>
      <c r="D35" s="49"/>
      <c r="E35" s="49"/>
      <c r="F35" s="49"/>
      <c r="G35" s="49"/>
      <c r="H35" s="49"/>
      <c r="I35" s="49"/>
      <c r="J35" s="49"/>
      <c r="K35" s="49"/>
      <c r="L35" s="49"/>
      <c r="M35" s="49"/>
    </row>
    <row r="36" spans="1:13" x14ac:dyDescent="0.25">
      <c r="A36" s="50"/>
      <c r="B36" s="49"/>
      <c r="C36" s="49"/>
      <c r="D36" s="49"/>
      <c r="E36" s="49"/>
      <c r="F36" s="49"/>
      <c r="G36" s="49"/>
      <c r="H36" s="49"/>
      <c r="I36" s="49"/>
      <c r="J36" s="49"/>
      <c r="K36" s="49"/>
      <c r="L36" s="49"/>
      <c r="M36" s="49"/>
    </row>
    <row r="37" spans="1:13" x14ac:dyDescent="0.25">
      <c r="A37" s="45" t="s">
        <v>74</v>
      </c>
      <c r="B37" s="49"/>
      <c r="C37" s="49"/>
      <c r="D37" s="49"/>
      <c r="E37" s="49"/>
      <c r="F37" s="49"/>
      <c r="G37" s="49"/>
      <c r="H37" s="49"/>
      <c r="I37" s="49"/>
      <c r="J37" s="49"/>
      <c r="K37" s="49"/>
      <c r="L37" s="49"/>
      <c r="M37" s="49"/>
    </row>
    <row r="38" spans="1:13" x14ac:dyDescent="0.25">
      <c r="A38" s="51" t="s">
        <v>75</v>
      </c>
      <c r="B38" s="49"/>
      <c r="C38" s="49"/>
      <c r="D38" s="49"/>
      <c r="E38" s="49"/>
      <c r="F38" s="49"/>
      <c r="G38" s="49"/>
      <c r="H38" s="49"/>
      <c r="I38" s="49"/>
      <c r="J38" s="49"/>
      <c r="K38" s="49"/>
      <c r="L38" s="49"/>
      <c r="M38" s="49"/>
    </row>
    <row r="39" spans="1:13" x14ac:dyDescent="0.25">
      <c r="A39" s="51" t="s">
        <v>76</v>
      </c>
      <c r="B39" s="49"/>
      <c r="C39" s="49"/>
      <c r="D39" s="49"/>
      <c r="E39" s="49"/>
      <c r="F39" s="49"/>
      <c r="G39" s="49"/>
      <c r="H39" s="49"/>
      <c r="I39" s="49"/>
      <c r="J39" s="49"/>
      <c r="K39" s="49"/>
      <c r="L39" s="49"/>
      <c r="M39" s="49"/>
    </row>
    <row r="40" spans="1:13" x14ac:dyDescent="0.25">
      <c r="A40" s="51" t="s">
        <v>77</v>
      </c>
      <c r="B40" s="49"/>
      <c r="C40" s="49"/>
      <c r="D40" s="49"/>
      <c r="E40" s="49"/>
      <c r="F40" s="49"/>
      <c r="G40" s="49"/>
      <c r="H40" s="49"/>
      <c r="I40" s="49"/>
      <c r="J40" s="49"/>
      <c r="K40" s="49"/>
      <c r="L40" s="49"/>
      <c r="M40" s="49"/>
    </row>
    <row r="41" spans="1:13" x14ac:dyDescent="0.25">
      <c r="A41" s="50"/>
      <c r="B41" s="49"/>
      <c r="C41" s="49"/>
      <c r="D41" s="49"/>
      <c r="E41" s="49"/>
      <c r="F41" s="49"/>
      <c r="G41" s="49"/>
      <c r="H41" s="49"/>
      <c r="I41" s="49"/>
      <c r="J41" s="49"/>
      <c r="K41" s="49"/>
      <c r="L41" s="49"/>
      <c r="M41" s="49"/>
    </row>
    <row r="42" spans="1:13" x14ac:dyDescent="0.25">
      <c r="A42" s="52" t="s">
        <v>78</v>
      </c>
      <c r="B42" s="49">
        <f>B28+B33+B38</f>
        <v>0</v>
      </c>
      <c r="C42" s="49">
        <f t="shared" ref="C42:M42" si="3">C28+C33+C38</f>
        <v>0</v>
      </c>
      <c r="D42" s="49">
        <f t="shared" si="3"/>
        <v>0</v>
      </c>
      <c r="E42" s="49">
        <f t="shared" si="3"/>
        <v>0</v>
      </c>
      <c r="F42" s="49">
        <f t="shared" si="3"/>
        <v>0</v>
      </c>
      <c r="G42" s="49">
        <f t="shared" si="3"/>
        <v>0</v>
      </c>
      <c r="H42" s="49">
        <f t="shared" si="3"/>
        <v>0</v>
      </c>
      <c r="I42" s="49">
        <f t="shared" si="3"/>
        <v>0</v>
      </c>
      <c r="J42" s="49">
        <f t="shared" si="3"/>
        <v>0</v>
      </c>
      <c r="K42" s="49">
        <f t="shared" si="3"/>
        <v>0</v>
      </c>
      <c r="L42" s="49">
        <f t="shared" si="3"/>
        <v>0</v>
      </c>
      <c r="M42" s="49">
        <f t="shared" si="3"/>
        <v>0</v>
      </c>
    </row>
    <row r="43" spans="1:13" x14ac:dyDescent="0.25">
      <c r="A43" s="52" t="s">
        <v>79</v>
      </c>
      <c r="B43" s="49">
        <f t="shared" ref="B43:M43" si="4">B29+B34+B39</f>
        <v>0</v>
      </c>
      <c r="C43" s="49">
        <f t="shared" si="4"/>
        <v>0</v>
      </c>
      <c r="D43" s="49">
        <f t="shared" si="4"/>
        <v>0</v>
      </c>
      <c r="E43" s="49">
        <f t="shared" si="4"/>
        <v>0</v>
      </c>
      <c r="F43" s="49">
        <f t="shared" si="4"/>
        <v>0</v>
      </c>
      <c r="G43" s="49">
        <f t="shared" si="4"/>
        <v>0</v>
      </c>
      <c r="H43" s="49">
        <f t="shared" si="4"/>
        <v>0</v>
      </c>
      <c r="I43" s="49">
        <f t="shared" si="4"/>
        <v>0</v>
      </c>
      <c r="J43" s="49">
        <f t="shared" si="4"/>
        <v>0</v>
      </c>
      <c r="K43" s="49">
        <f t="shared" si="4"/>
        <v>0</v>
      </c>
      <c r="L43" s="49">
        <f t="shared" si="4"/>
        <v>0</v>
      </c>
      <c r="M43" s="49">
        <f t="shared" si="4"/>
        <v>0</v>
      </c>
    </row>
    <row r="44" spans="1:13" x14ac:dyDescent="0.25">
      <c r="A44" s="52" t="s">
        <v>80</v>
      </c>
      <c r="B44" s="49">
        <f t="shared" ref="B44:M44" si="5">B30+B35+B40</f>
        <v>0</v>
      </c>
      <c r="C44" s="49">
        <f t="shared" si="5"/>
        <v>0</v>
      </c>
      <c r="D44" s="49">
        <f t="shared" si="5"/>
        <v>0</v>
      </c>
      <c r="E44" s="49">
        <f t="shared" si="5"/>
        <v>0</v>
      </c>
      <c r="F44" s="49">
        <f t="shared" si="5"/>
        <v>0</v>
      </c>
      <c r="G44" s="49">
        <f t="shared" si="5"/>
        <v>0</v>
      </c>
      <c r="H44" s="49">
        <f t="shared" si="5"/>
        <v>0</v>
      </c>
      <c r="I44" s="49">
        <f t="shared" si="5"/>
        <v>0</v>
      </c>
      <c r="J44" s="49">
        <f t="shared" si="5"/>
        <v>0</v>
      </c>
      <c r="K44" s="49">
        <f t="shared" si="5"/>
        <v>0</v>
      </c>
      <c r="L44" s="49">
        <f t="shared" si="5"/>
        <v>0</v>
      </c>
      <c r="M44" s="49">
        <f t="shared" si="5"/>
        <v>0</v>
      </c>
    </row>
  </sheetData>
  <mergeCells count="10">
    <mergeCell ref="B4:M4"/>
    <mergeCell ref="A4:A5"/>
    <mergeCell ref="A1:B1"/>
    <mergeCell ref="H1:I1"/>
    <mergeCell ref="A2:B2"/>
    <mergeCell ref="H2:I2"/>
    <mergeCell ref="C1:G1"/>
    <mergeCell ref="C2:G2"/>
    <mergeCell ref="J1:M1"/>
    <mergeCell ref="J2:M2"/>
  </mergeCells>
  <pageMargins left="0.7" right="0.7" top="1.25" bottom="0.75" header="0.3" footer="0.3"/>
  <pageSetup scale="69" orientation="portrait" r:id="rId1"/>
  <headerFooter>
    <oddHeader>&amp;L&amp;G&amp;R&amp;"-,Bold"&amp;18Quality</oddHeader>
    <oddFooter>&amp;C&amp;P&amp;R&amp;D</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3C7B56A43EB04E9C936EB39FF43E0F" ma:contentTypeVersion="0" ma:contentTypeDescription="Create a new document." ma:contentTypeScope="" ma:versionID="7550cc251b88f01741de72a5858834c7">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493C759-954C-4E58-BD65-442C52B18ACF}">
  <ds:schemaRefs>
    <ds:schemaRef ds:uri="http://schemas.microsoft.com/sharepoint/v3/contenttype/forms"/>
  </ds:schemaRefs>
</ds:datastoreItem>
</file>

<file path=customXml/itemProps2.xml><?xml version="1.0" encoding="utf-8"?>
<ds:datastoreItem xmlns:ds="http://schemas.openxmlformats.org/officeDocument/2006/customXml" ds:itemID="{DE9E63F7-1030-4884-9664-7E4DB170E2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6D3D8D-2C79-4182-96A4-9E5D39EC413C}">
  <ds:schemaRefs>
    <ds:schemaRef ds:uri="http://purl.org/dc/terms/"/>
    <ds:schemaRef ds:uri="http://www.w3.org/XML/1998/namespace"/>
    <ds:schemaRef ds:uri="http://schemas.microsoft.com/office/2006/metadata/propertie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Definitions</vt:lpstr>
      <vt:lpstr>Charter Lite</vt:lpstr>
      <vt:lpstr>Project Directory</vt:lpstr>
      <vt:lpstr>Communications Plan</vt:lpstr>
      <vt:lpstr>Schedule</vt:lpstr>
      <vt:lpstr>Risks</vt:lpstr>
      <vt:lpstr>Action Items</vt:lpstr>
      <vt:lpstr>Issues</vt:lpstr>
      <vt:lpstr>Decisions</vt:lpstr>
      <vt:lpstr>Changes</vt:lpstr>
      <vt:lpstr>Parking Lot</vt:lpstr>
      <vt:lpstr>Quality (Optional)</vt:lpstr>
      <vt:lpstr>'Action Items'!Print_Area</vt:lpstr>
      <vt:lpstr>Issues!Print_Area</vt:lpstr>
      <vt:lpstr>Risks!Print_Area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dc:title>
  <dc:creator>mhoke</dc:creator>
  <cp:lastModifiedBy>Allen, Eric</cp:lastModifiedBy>
  <cp:lastPrinted>2013-10-22T18:27:45Z</cp:lastPrinted>
  <dcterms:created xsi:type="dcterms:W3CDTF">2011-05-18T02:56:46Z</dcterms:created>
  <dcterms:modified xsi:type="dcterms:W3CDTF">2013-11-05T17:04:25Z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0x010100893C7B56A43EB04E9C936EB39FF43E0F</vt:lpwstr>
  </property>
</Properties>
</file>