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" windowWidth="19320" windowHeight="9855" firstSheet="1" activeTab="1"/>
  </bookViews>
  <sheets>
    <sheet name="2000-2010" sheetId="16" state="hidden" r:id="rId1"/>
    <sheet name="2000-2012" sheetId="15" r:id="rId2"/>
  </sheets>
  <definedNames>
    <definedName name="_xlnm.Print_Area" localSheetId="0">'2000-2010'!$A$1:$M$39</definedName>
    <definedName name="_xlnm.Print_Area" localSheetId="1">'2000-2012'!$A$1:$O$43</definedName>
  </definedNames>
  <calcPr calcId="145621"/>
</workbook>
</file>

<file path=xl/calcChain.xml><?xml version="1.0" encoding="utf-8"?>
<calcChain xmlns="http://schemas.openxmlformats.org/spreadsheetml/2006/main">
  <c r="O32" i="15" l="1"/>
  <c r="N9" i="15" l="1"/>
  <c r="O38" i="15"/>
  <c r="N34" i="15"/>
  <c r="O33" i="15"/>
  <c r="O30" i="15"/>
  <c r="O29" i="15"/>
  <c r="O28" i="15"/>
  <c r="O27" i="15"/>
  <c r="N25" i="15" l="1"/>
  <c r="O12" i="15"/>
  <c r="O13" i="15"/>
  <c r="O18" i="15"/>
  <c r="O22" i="15"/>
  <c r="O24" i="15"/>
  <c r="N36" i="15" l="1"/>
  <c r="N41" i="15"/>
  <c r="M31" i="15"/>
  <c r="O31" i="15" s="1"/>
  <c r="O34" i="15" s="1"/>
  <c r="M15" i="15" l="1"/>
  <c r="M11" i="15" l="1"/>
  <c r="M39" i="15" l="1"/>
  <c r="O39" i="15" s="1"/>
  <c r="M16" i="15" l="1"/>
  <c r="O16" i="15" s="1"/>
  <c r="M9" i="15"/>
  <c r="O9" i="15" s="1"/>
  <c r="M35" i="16" l="1"/>
  <c r="M34" i="16"/>
  <c r="L30" i="16"/>
  <c r="K30" i="16"/>
  <c r="J30" i="16"/>
  <c r="I30" i="16"/>
  <c r="H30" i="16"/>
  <c r="G30" i="16"/>
  <c r="F30" i="16"/>
  <c r="E30" i="16"/>
  <c r="D30" i="16"/>
  <c r="C30" i="16"/>
  <c r="B30" i="16"/>
  <c r="M29" i="16"/>
  <c r="M28" i="16"/>
  <c r="J24" i="16"/>
  <c r="G24" i="16"/>
  <c r="G37" i="16" s="1"/>
  <c r="E24" i="16"/>
  <c r="D24" i="16"/>
  <c r="C24" i="16"/>
  <c r="C37" i="16" s="1"/>
  <c r="B24" i="16"/>
  <c r="M23" i="16"/>
  <c r="I22" i="16"/>
  <c r="M22" i="16" s="1"/>
  <c r="M21" i="16"/>
  <c r="M20" i="16"/>
  <c r="M19" i="16"/>
  <c r="H18" i="16"/>
  <c r="H24" i="16" s="1"/>
  <c r="M17" i="16"/>
  <c r="M16" i="16"/>
  <c r="M15" i="16"/>
  <c r="K15" i="16"/>
  <c r="L14" i="16"/>
  <c r="L24" i="16" s="1"/>
  <c r="K14" i="16"/>
  <c r="M13" i="16"/>
  <c r="M12" i="16"/>
  <c r="K11" i="16"/>
  <c r="F10" i="16"/>
  <c r="F24" i="16" s="1"/>
  <c r="M9" i="16"/>
  <c r="M10" i="16" l="1"/>
  <c r="K24" i="16"/>
  <c r="K37" i="16" s="1"/>
  <c r="F37" i="16"/>
  <c r="M14" i="16"/>
  <c r="B37" i="16"/>
  <c r="M11" i="16"/>
  <c r="E37" i="16"/>
  <c r="D37" i="16"/>
  <c r="J37" i="16"/>
  <c r="H37" i="16"/>
  <c r="H32" i="16"/>
  <c r="L37" i="16"/>
  <c r="L32" i="16"/>
  <c r="B32" i="16"/>
  <c r="F32" i="16"/>
  <c r="J32" i="16"/>
  <c r="I24" i="16"/>
  <c r="E32" i="16"/>
  <c r="M18" i="16"/>
  <c r="M26" i="16"/>
  <c r="M30" i="16" s="1"/>
  <c r="D32" i="16"/>
  <c r="C32" i="16"/>
  <c r="G32" i="16"/>
  <c r="K32" i="16" l="1"/>
  <c r="M24" i="16"/>
  <c r="M32" i="16" s="1"/>
  <c r="M37" i="16" s="1"/>
  <c r="I37" i="16"/>
  <c r="I32" i="16"/>
  <c r="M20" i="15"/>
  <c r="O20" i="15" s="1"/>
  <c r="M10" i="15"/>
  <c r="M21" i="15"/>
  <c r="O21" i="15" s="1"/>
  <c r="M34" i="15"/>
  <c r="M17" i="15"/>
  <c r="O17" i="15" s="1"/>
  <c r="H19" i="15"/>
  <c r="O19" i="15" s="1"/>
  <c r="F10" i="15"/>
  <c r="O10" i="15" s="1"/>
  <c r="C34" i="15"/>
  <c r="D34" i="15"/>
  <c r="E34" i="15"/>
  <c r="F34" i="15"/>
  <c r="G34" i="15"/>
  <c r="H34" i="15"/>
  <c r="I34" i="15"/>
  <c r="J34" i="15"/>
  <c r="K34" i="15"/>
  <c r="L34" i="15"/>
  <c r="B34" i="15"/>
  <c r="K11" i="15"/>
  <c r="O11" i="15" s="1"/>
  <c r="K14" i="15"/>
  <c r="O14" i="15" s="1"/>
  <c r="L14" i="15"/>
  <c r="L25" i="15" s="1"/>
  <c r="K15" i="15"/>
  <c r="O15" i="15" s="1"/>
  <c r="I23" i="15"/>
  <c r="O23" i="15" s="1"/>
  <c r="B25" i="15"/>
  <c r="C25" i="15"/>
  <c r="D25" i="15"/>
  <c r="E25" i="15"/>
  <c r="G25" i="15"/>
  <c r="J25" i="15"/>
  <c r="H25" i="15"/>
  <c r="G36" i="15" l="1"/>
  <c r="B41" i="15"/>
  <c r="E36" i="15"/>
  <c r="H41" i="15"/>
  <c r="D36" i="15"/>
  <c r="L41" i="15"/>
  <c r="D41" i="15"/>
  <c r="J36" i="15"/>
  <c r="I25" i="15"/>
  <c r="I36" i="15" s="1"/>
  <c r="G41" i="15"/>
  <c r="E41" i="15"/>
  <c r="O25" i="15"/>
  <c r="O36" i="15" s="1"/>
  <c r="F25" i="15"/>
  <c r="F36" i="15" s="1"/>
  <c r="L36" i="15"/>
  <c r="H36" i="15"/>
  <c r="B36" i="15"/>
  <c r="C36" i="15"/>
  <c r="J41" i="15"/>
  <c r="M25" i="15"/>
  <c r="M41" i="15" s="1"/>
  <c r="C41" i="15"/>
  <c r="K25" i="15"/>
  <c r="F41" i="15" l="1"/>
  <c r="I41" i="15"/>
  <c r="M36" i="15"/>
  <c r="K41" i="15"/>
  <c r="K36" i="15"/>
  <c r="O41" i="15" l="1"/>
</calcChain>
</file>

<file path=xl/comments1.xml><?xml version="1.0" encoding="utf-8"?>
<comments xmlns="http://schemas.openxmlformats.org/spreadsheetml/2006/main">
  <authors>
    <author>mlam</author>
  </authors>
  <commentList>
    <comment ref="A33" authorId="0">
      <text>
        <r>
          <rPr>
            <b/>
            <sz val="9"/>
            <color indexed="81"/>
            <rFont val="Tahoma"/>
            <family val="2"/>
          </rPr>
          <t>mlam:</t>
        </r>
        <r>
          <rPr>
            <sz val="9"/>
            <color indexed="81"/>
            <rFont val="Tahoma"/>
            <family val="2"/>
          </rPr>
          <t xml:space="preserve">
From Fabrice's worksheet, rows 18, 19 &amp; 30:  Other private + LaCaixa </t>
        </r>
      </text>
    </comment>
  </commentList>
</comments>
</file>

<file path=xl/sharedStrings.xml><?xml version="1.0" encoding="utf-8"?>
<sst xmlns="http://schemas.openxmlformats.org/spreadsheetml/2006/main" count="66" uniqueCount="37">
  <si>
    <t>Total</t>
  </si>
  <si>
    <t>Australia</t>
  </si>
  <si>
    <t>Canada</t>
  </si>
  <si>
    <t>Denmark</t>
  </si>
  <si>
    <t>European Commission (EC)</t>
  </si>
  <si>
    <t>France</t>
  </si>
  <si>
    <t>Germany</t>
  </si>
  <si>
    <t>Ireland</t>
  </si>
  <si>
    <t>Luxembourg</t>
  </si>
  <si>
    <t>Netherlands</t>
  </si>
  <si>
    <t xml:space="preserve">Sweden </t>
  </si>
  <si>
    <t>United Kingdom</t>
  </si>
  <si>
    <t>United States</t>
  </si>
  <si>
    <t>Spain</t>
  </si>
  <si>
    <t>Donations recorded on a cash basis</t>
  </si>
  <si>
    <t>Total contributions</t>
  </si>
  <si>
    <t>Other private</t>
  </si>
  <si>
    <t>Bill &amp; Melinda Gates Foundation</t>
  </si>
  <si>
    <t>AMC funds</t>
  </si>
  <si>
    <t>IFFIm to GFA transfers</t>
  </si>
  <si>
    <t>Sub-total</t>
  </si>
  <si>
    <t xml:space="preserve">Norway </t>
  </si>
  <si>
    <t>Republic of Korea</t>
  </si>
  <si>
    <t>Donor Governments and EC</t>
  </si>
  <si>
    <t>Private Contributions</t>
  </si>
  <si>
    <t>"la Caixa" Foundation</t>
  </si>
  <si>
    <t xml:space="preserve">millions US$ </t>
  </si>
  <si>
    <t>His Highness Sheikh Mohammed bin Zayed Al Nahyan</t>
  </si>
  <si>
    <t>GAVI Alliance</t>
  </si>
  <si>
    <t>Cash received 2000-2010</t>
  </si>
  <si>
    <t>Japan</t>
  </si>
  <si>
    <t xml:space="preserve">as of 31 December 2010 </t>
  </si>
  <si>
    <t>JP Morgan</t>
  </si>
  <si>
    <t>Anglo Amercian plc</t>
  </si>
  <si>
    <t>Cash received 2000-2012</t>
  </si>
  <si>
    <t>as of 31 March 2012</t>
  </si>
  <si>
    <t>The Children’s Investment Fund Foundation (UK)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</si>
</sst>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_-* #,##0_-;\-* #,##0_-;_-* &quot;-&quot;??_-;_-@_-"/>
    <numFmt numFmtId="166" formatCode="#,##0.0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b/>
      <sz val="16"/>
      <color rgb="FF000000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B065A"/>
        <bgColor indexed="64"/>
      </patternFill>
    </fill>
    <fill>
      <patternFill patternType="solid">
        <fgColor rgb="FFB3071B"/>
        <bgColor indexed="64"/>
      </patternFill>
    </fill>
    <fill>
      <patternFill patternType="solid">
        <fgColor rgb="FF51A025"/>
        <bgColor indexed="64"/>
      </patternFill>
    </fill>
    <fill>
      <patternFill patternType="solid">
        <fgColor rgb="FF003B7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/>
      <top/>
      <bottom style="medium">
        <color theme="0" tint="-0.14996795556505021"/>
      </bottom>
      <diagonal/>
    </border>
    <border>
      <left/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 style="medium">
        <color theme="0" tint="-0.14996795556505021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0">
    <xf numFmtId="0" fontId="0" fillId="0" borderId="0" xfId="0"/>
    <xf numFmtId="0" fontId="9" fillId="0" borderId="0" xfId="0" applyFont="1"/>
    <xf numFmtId="3" fontId="0" fillId="0" borderId="0" xfId="0" applyNumberFormat="1"/>
    <xf numFmtId="0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left" vertical="center"/>
    </xf>
    <xf numFmtId="3" fontId="3" fillId="0" borderId="7" xfId="0" applyNumberFormat="1" applyFont="1" applyFill="1" applyBorder="1" applyAlignment="1">
      <alignment horizontal="left" vertical="center"/>
    </xf>
    <xf numFmtId="0" fontId="3" fillId="0" borderId="0" xfId="0" applyFont="1"/>
    <xf numFmtId="1" fontId="0" fillId="0" borderId="0" xfId="0" applyNumberFormat="1"/>
    <xf numFmtId="3" fontId="5" fillId="2" borderId="1" xfId="0" applyNumberFormat="1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left" vertical="center"/>
    </xf>
    <xf numFmtId="0" fontId="0" fillId="0" borderId="0" xfId="0" applyFill="1"/>
    <xf numFmtId="3" fontId="5" fillId="0" borderId="0" xfId="0" applyNumberFormat="1" applyFont="1" applyFill="1" applyBorder="1" applyAlignment="1">
      <alignment horizontal="left" vertical="center"/>
    </xf>
    <xf numFmtId="0" fontId="0" fillId="0" borderId="0" xfId="0" applyFill="1" applyBorder="1"/>
    <xf numFmtId="3" fontId="3" fillId="0" borderId="3" xfId="0" applyNumberFormat="1" applyFont="1" applyBorder="1" applyAlignment="1">
      <alignment horizontal="left" vertical="center"/>
    </xf>
    <xf numFmtId="3" fontId="5" fillId="0" borderId="0" xfId="0" applyNumberFormat="1" applyFont="1" applyFill="1" applyBorder="1" applyAlignment="1">
      <alignment horizontal="left" vertical="center" wrapText="1"/>
    </xf>
    <xf numFmtId="3" fontId="10" fillId="3" borderId="1" xfId="0" applyNumberFormat="1" applyFont="1" applyFill="1" applyBorder="1" applyAlignment="1">
      <alignment horizontal="left" vertical="center"/>
    </xf>
    <xf numFmtId="3" fontId="5" fillId="3" borderId="1" xfId="0" applyNumberFormat="1" applyFont="1" applyFill="1" applyBorder="1" applyAlignment="1">
      <alignment horizontal="left" vertical="center"/>
    </xf>
    <xf numFmtId="3" fontId="3" fillId="0" borderId="8" xfId="0" applyNumberFormat="1" applyFont="1" applyBorder="1" applyAlignment="1">
      <alignment horizontal="left" vertical="center"/>
    </xf>
    <xf numFmtId="166" fontId="6" fillId="0" borderId="2" xfId="0" applyNumberFormat="1" applyFont="1" applyBorder="1" applyAlignment="1">
      <alignment horizontal="right" vertical="center"/>
    </xf>
    <xf numFmtId="166" fontId="6" fillId="0" borderId="9" xfId="0" applyNumberFormat="1" applyFont="1" applyBorder="1" applyAlignment="1">
      <alignment horizontal="right" vertical="center"/>
    </xf>
    <xf numFmtId="166" fontId="6" fillId="0" borderId="9" xfId="0" applyNumberFormat="1" applyFont="1" applyFill="1" applyBorder="1" applyAlignment="1">
      <alignment horizontal="right" vertical="center"/>
    </xf>
    <xf numFmtId="166" fontId="6" fillId="0" borderId="9" xfId="1" applyNumberFormat="1" applyFont="1" applyFill="1" applyBorder="1" applyAlignment="1">
      <alignment horizontal="right" vertical="center"/>
    </xf>
    <xf numFmtId="166" fontId="6" fillId="0" borderId="9" xfId="0" applyNumberFormat="1" applyFont="1" applyFill="1" applyBorder="1"/>
    <xf numFmtId="166" fontId="7" fillId="0" borderId="9" xfId="0" applyNumberFormat="1" applyFont="1" applyBorder="1" applyAlignment="1">
      <alignment horizontal="right" vertical="center"/>
    </xf>
    <xf numFmtId="166" fontId="6" fillId="0" borderId="7" xfId="1" applyNumberFormat="1" applyFont="1" applyFill="1" applyBorder="1" applyAlignment="1">
      <alignment horizontal="right" vertical="center"/>
    </xf>
    <xf numFmtId="166" fontId="6" fillId="0" borderId="7" xfId="0" applyNumberFormat="1" applyFont="1" applyBorder="1" applyAlignment="1">
      <alignment horizontal="right" vertical="center"/>
    </xf>
    <xf numFmtId="166" fontId="6" fillId="0" borderId="7" xfId="0" applyNumberFormat="1" applyFont="1" applyFill="1" applyBorder="1" applyAlignment="1">
      <alignment horizontal="right" vertical="center"/>
    </xf>
    <xf numFmtId="166" fontId="6" fillId="0" borderId="10" xfId="0" applyNumberFormat="1" applyFont="1" applyBorder="1" applyAlignment="1">
      <alignment horizontal="right" vertical="center"/>
    </xf>
    <xf numFmtId="166" fontId="6" fillId="0" borderId="7" xfId="0" applyNumberFormat="1" applyFont="1" applyFill="1" applyBorder="1"/>
    <xf numFmtId="166" fontId="6" fillId="0" borderId="11" xfId="0" applyNumberFormat="1" applyFont="1" applyBorder="1" applyAlignment="1">
      <alignment horizontal="right" vertical="center"/>
    </xf>
    <xf numFmtId="166" fontId="6" fillId="0" borderId="12" xfId="0" applyNumberFormat="1" applyFont="1" applyBorder="1" applyAlignment="1">
      <alignment horizontal="right" vertical="center"/>
    </xf>
    <xf numFmtId="166" fontId="6" fillId="0" borderId="11" xfId="0" applyNumberFormat="1" applyFont="1" applyFill="1" applyBorder="1" applyAlignment="1">
      <alignment horizontal="right" vertical="center"/>
    </xf>
    <xf numFmtId="166" fontId="6" fillId="0" borderId="12" xfId="2" applyNumberFormat="1" applyFont="1" applyBorder="1" applyAlignment="1">
      <alignment horizontal="right" vertical="center"/>
    </xf>
    <xf numFmtId="166" fontId="6" fillId="4" borderId="7" xfId="0" applyNumberFormat="1" applyFont="1" applyFill="1" applyBorder="1" applyAlignment="1">
      <alignment horizontal="right" vertical="center"/>
    </xf>
    <xf numFmtId="166" fontId="6" fillId="0" borderId="7" xfId="0" applyNumberFormat="1" applyFont="1" applyBorder="1"/>
    <xf numFmtId="166" fontId="6" fillId="0" borderId="4" xfId="0" applyNumberFormat="1" applyFont="1" applyBorder="1" applyAlignment="1">
      <alignment horizontal="right" vertical="center"/>
    </xf>
    <xf numFmtId="166" fontId="6" fillId="0" borderId="5" xfId="0" applyNumberFormat="1" applyFont="1" applyBorder="1" applyAlignment="1">
      <alignment horizontal="right" vertical="center"/>
    </xf>
    <xf numFmtId="166" fontId="6" fillId="0" borderId="8" xfId="0" applyNumberFormat="1" applyFont="1" applyFill="1" applyBorder="1" applyAlignment="1">
      <alignment horizontal="right" vertical="center"/>
    </xf>
    <xf numFmtId="166" fontId="6" fillId="0" borderId="8" xfId="1" applyNumberFormat="1" applyFont="1" applyFill="1" applyBorder="1" applyAlignment="1">
      <alignment horizontal="right" vertical="center"/>
    </xf>
    <xf numFmtId="166" fontId="6" fillId="0" borderId="8" xfId="0" applyNumberFormat="1" applyFont="1" applyFill="1" applyBorder="1"/>
    <xf numFmtId="166" fontId="7" fillId="2" borderId="1" xfId="0" applyNumberFormat="1" applyFont="1" applyFill="1" applyBorder="1" applyAlignment="1">
      <alignment horizontal="right" vertical="center"/>
    </xf>
    <xf numFmtId="166" fontId="7" fillId="0" borderId="0" xfId="0" applyNumberFormat="1" applyFont="1" applyFill="1" applyBorder="1" applyAlignment="1">
      <alignment horizontal="right" vertical="center"/>
    </xf>
    <xf numFmtId="166" fontId="7" fillId="0" borderId="0" xfId="2" applyNumberFormat="1" applyFont="1" applyFill="1" applyBorder="1" applyAlignment="1">
      <alignment horizontal="right" vertical="center"/>
    </xf>
    <xf numFmtId="166" fontId="11" fillId="3" borderId="1" xfId="2" applyNumberFormat="1" applyFont="1" applyFill="1" applyBorder="1" applyAlignment="1">
      <alignment horizontal="right" vertical="center"/>
    </xf>
    <xf numFmtId="166" fontId="11" fillId="3" borderId="1" xfId="0" applyNumberFormat="1" applyFont="1" applyFill="1" applyBorder="1" applyAlignment="1">
      <alignment horizontal="right" vertical="center"/>
    </xf>
    <xf numFmtId="166" fontId="7" fillId="2" borderId="9" xfId="0" applyNumberFormat="1" applyFont="1" applyFill="1" applyBorder="1" applyAlignment="1">
      <alignment horizontal="right" vertical="center"/>
    </xf>
    <xf numFmtId="166" fontId="7" fillId="3" borderId="1" xfId="0" applyNumberFormat="1" applyFont="1" applyFill="1" applyBorder="1" applyAlignment="1">
      <alignment horizontal="right" vertical="center"/>
    </xf>
    <xf numFmtId="0" fontId="5" fillId="0" borderId="0" xfId="0" applyFont="1"/>
    <xf numFmtId="0" fontId="8" fillId="0" borderId="0" xfId="0" applyFont="1"/>
    <xf numFmtId="3" fontId="3" fillId="0" borderId="9" xfId="0" applyNumberFormat="1" applyFont="1" applyBorder="1" applyAlignment="1">
      <alignment horizontal="left" vertical="center"/>
    </xf>
    <xf numFmtId="166" fontId="6" fillId="0" borderId="3" xfId="2" applyNumberFormat="1" applyFont="1" applyBorder="1" applyAlignment="1">
      <alignment vertical="center"/>
    </xf>
    <xf numFmtId="166" fontId="7" fillId="0" borderId="9" xfId="0" applyNumberFormat="1" applyFont="1" applyBorder="1" applyAlignment="1">
      <alignment vertical="center"/>
    </xf>
    <xf numFmtId="166" fontId="6" fillId="0" borderId="2" xfId="2" applyNumberFormat="1" applyFont="1" applyBorder="1" applyAlignment="1">
      <alignment vertical="center"/>
    </xf>
    <xf numFmtId="166" fontId="3" fillId="0" borderId="7" xfId="0" applyNumberFormat="1" applyFont="1" applyBorder="1" applyAlignment="1">
      <alignment vertical="center"/>
    </xf>
    <xf numFmtId="166" fontId="7" fillId="0" borderId="3" xfId="0" applyNumberFormat="1" applyFont="1" applyBorder="1" applyAlignment="1">
      <alignment vertical="center"/>
    </xf>
    <xf numFmtId="166" fontId="7" fillId="2" borderId="1" xfId="2" applyNumberFormat="1" applyFont="1" applyFill="1" applyBorder="1" applyAlignment="1">
      <alignment vertical="center"/>
    </xf>
    <xf numFmtId="166" fontId="3" fillId="4" borderId="7" xfId="0" applyNumberFormat="1" applyFont="1" applyFill="1" applyBorder="1" applyAlignment="1">
      <alignment vertical="center"/>
    </xf>
    <xf numFmtId="166" fontId="3" fillId="4" borderId="7" xfId="1" applyNumberFormat="1" applyFont="1" applyFill="1" applyBorder="1" applyAlignment="1">
      <alignment vertical="center"/>
    </xf>
    <xf numFmtId="166" fontId="6" fillId="4" borderId="2" xfId="2" applyNumberFormat="1" applyFont="1" applyFill="1" applyBorder="1" applyAlignment="1">
      <alignment vertical="center"/>
    </xf>
    <xf numFmtId="3" fontId="2" fillId="0" borderId="7" xfId="0" applyNumberFormat="1" applyFont="1" applyBorder="1" applyAlignment="1">
      <alignment horizontal="left" vertical="center"/>
    </xf>
    <xf numFmtId="166" fontId="7" fillId="2" borderId="6" xfId="0" applyNumberFormat="1" applyFont="1" applyFill="1" applyBorder="1" applyAlignment="1">
      <alignment horizontal="right" vertical="center"/>
    </xf>
    <xf numFmtId="166" fontId="7" fillId="2" borderId="1" xfId="0" applyNumberFormat="1" applyFont="1" applyFill="1" applyBorder="1" applyAlignment="1">
      <alignment vertical="center"/>
    </xf>
    <xf numFmtId="0" fontId="12" fillId="0" borderId="0" xfId="0" applyFont="1"/>
    <xf numFmtId="166" fontId="0" fillId="0" borderId="0" xfId="0" applyNumberFormat="1"/>
    <xf numFmtId="3" fontId="2" fillId="0" borderId="7" xfId="0" applyNumberFormat="1" applyFont="1" applyBorder="1" applyAlignment="1">
      <alignment horizontal="left" vertical="center" wrapText="1"/>
    </xf>
    <xf numFmtId="0" fontId="14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5" fillId="0" borderId="0" xfId="0" applyFont="1"/>
    <xf numFmtId="3" fontId="13" fillId="0" borderId="1" xfId="0" applyNumberFormat="1" applyFont="1" applyBorder="1"/>
    <xf numFmtId="0" fontId="16" fillId="0" borderId="0" xfId="0" applyFont="1"/>
    <xf numFmtId="3" fontId="13" fillId="0" borderId="0" xfId="0" applyNumberFormat="1" applyFont="1"/>
    <xf numFmtId="166" fontId="17" fillId="0" borderId="7" xfId="0" applyNumberFormat="1" applyFont="1" applyFill="1" applyBorder="1" applyAlignment="1">
      <alignment horizontal="right" vertical="center"/>
    </xf>
    <xf numFmtId="166" fontId="2" fillId="4" borderId="7" xfId="1" applyNumberFormat="1" applyFont="1" applyFill="1" applyBorder="1" applyAlignment="1">
      <alignment vertical="center"/>
    </xf>
    <xf numFmtId="3" fontId="2" fillId="0" borderId="8" xfId="0" applyNumberFormat="1" applyFont="1" applyBorder="1" applyAlignment="1">
      <alignment horizontal="left" vertical="center"/>
    </xf>
    <xf numFmtId="166" fontId="2" fillId="0" borderId="7" xfId="1" applyNumberFormat="1" applyFont="1" applyFill="1" applyBorder="1" applyAlignment="1">
      <alignment vertical="center"/>
    </xf>
    <xf numFmtId="4" fontId="6" fillId="0" borderId="2" xfId="2" applyNumberFormat="1" applyFont="1" applyBorder="1" applyAlignment="1">
      <alignment vertical="center"/>
    </xf>
    <xf numFmtId="3" fontId="2" fillId="0" borderId="9" xfId="0" applyNumberFormat="1" applyFont="1" applyBorder="1" applyAlignment="1">
      <alignment horizontal="left" vertical="center"/>
    </xf>
    <xf numFmtId="166" fontId="6" fillId="0" borderId="13" xfId="0" applyNumberFormat="1" applyFont="1" applyFill="1" applyBorder="1" applyAlignment="1">
      <alignment horizontal="right" vertical="center"/>
    </xf>
    <xf numFmtId="166" fontId="17" fillId="0" borderId="13" xfId="0" applyNumberFormat="1" applyFont="1" applyFill="1" applyBorder="1" applyAlignment="1">
      <alignment horizontal="right" vertical="center"/>
    </xf>
    <xf numFmtId="166" fontId="6" fillId="0" borderId="13" xfId="0" applyNumberFormat="1" applyFont="1" applyBorder="1"/>
    <xf numFmtId="166" fontId="6" fillId="0" borderId="2" xfId="0" applyNumberFormat="1" applyFont="1" applyFill="1" applyBorder="1" applyAlignment="1">
      <alignment horizontal="right" vertical="center"/>
    </xf>
    <xf numFmtId="166" fontId="7" fillId="2" borderId="3" xfId="0" applyNumberFormat="1" applyFont="1" applyFill="1" applyBorder="1" applyAlignment="1">
      <alignment horizontal="right" vertical="center"/>
    </xf>
    <xf numFmtId="3" fontId="2" fillId="0" borderId="8" xfId="0" applyNumberFormat="1" applyFont="1" applyBorder="1" applyAlignment="1">
      <alignment horizontal="left" vertical="center" wrapText="1"/>
    </xf>
  </cellXfs>
  <cellStyles count="5">
    <cellStyle name="Comma" xfId="1" builtinId="3"/>
    <cellStyle name="Comma 2" xfId="4"/>
    <cellStyle name="Comma_Sheet1" xfId="2"/>
    <cellStyle name="Normal" xfId="0" builtinId="0"/>
    <cellStyle name="Normal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0"/>
  <sheetViews>
    <sheetView showGridLines="0" zoomScaleNormal="100" zoomScaleSheetLayoutView="110" workbookViewId="0">
      <selection activeCell="L21" sqref="L21"/>
    </sheetView>
  </sheetViews>
  <sheetFormatPr defaultColWidth="10.28515625" defaultRowHeight="12.75" x14ac:dyDescent="0.2"/>
  <cols>
    <col min="1" max="1" width="29.28515625" customWidth="1"/>
    <col min="2" max="12" width="7.7109375" customWidth="1"/>
    <col min="13" max="13" width="13.85546875" customWidth="1"/>
  </cols>
  <sheetData>
    <row r="1" spans="1:14" x14ac:dyDescent="0.2">
      <c r="A1" s="69"/>
      <c r="B1" s="69"/>
      <c r="C1" s="69"/>
      <c r="D1" s="69"/>
      <c r="E1" s="69"/>
      <c r="F1" s="69"/>
      <c r="G1" s="69"/>
      <c r="H1" s="69"/>
      <c r="I1" s="69"/>
      <c r="J1" s="70"/>
      <c r="K1" s="71"/>
      <c r="L1" s="72"/>
      <c r="M1" s="73"/>
    </row>
    <row r="2" spans="1:14" ht="23.25" x14ac:dyDescent="0.35">
      <c r="A2" s="74" t="s">
        <v>28</v>
      </c>
      <c r="B2" s="74"/>
    </row>
    <row r="3" spans="1:14" ht="12" customHeight="1" x14ac:dyDescent="0.35">
      <c r="A3" s="76"/>
      <c r="B3" s="74"/>
    </row>
    <row r="4" spans="1:14" ht="21" x14ac:dyDescent="0.35">
      <c r="A4" s="1" t="s">
        <v>29</v>
      </c>
      <c r="L4" s="10"/>
    </row>
    <row r="5" spans="1:14" ht="15.75" x14ac:dyDescent="0.25">
      <c r="A5" s="66" t="s">
        <v>31</v>
      </c>
      <c r="L5" s="10"/>
    </row>
    <row r="6" spans="1:14" ht="15.75" x14ac:dyDescent="0.25">
      <c r="A6" s="77" t="s">
        <v>26</v>
      </c>
      <c r="B6" s="2"/>
      <c r="C6" s="2"/>
      <c r="D6" s="2"/>
      <c r="E6" s="2"/>
      <c r="F6" s="2"/>
      <c r="G6" s="2"/>
      <c r="H6" s="2"/>
      <c r="I6" s="2"/>
    </row>
    <row r="7" spans="1:14" ht="16.5" thickBot="1" x14ac:dyDescent="0.3">
      <c r="A7" s="77"/>
      <c r="B7" s="2"/>
      <c r="C7" s="2"/>
      <c r="D7" s="2"/>
      <c r="E7" s="2"/>
      <c r="F7" s="2"/>
      <c r="G7" s="2"/>
      <c r="H7" s="2"/>
      <c r="I7" s="2"/>
    </row>
    <row r="8" spans="1:14" ht="16.5" thickBot="1" x14ac:dyDescent="0.3">
      <c r="A8" s="75"/>
      <c r="B8" s="3">
        <v>2000</v>
      </c>
      <c r="C8" s="3">
        <v>2001</v>
      </c>
      <c r="D8" s="3">
        <v>2002</v>
      </c>
      <c r="E8" s="3">
        <v>2003</v>
      </c>
      <c r="F8" s="3">
        <v>2004</v>
      </c>
      <c r="G8" s="4">
        <v>2005</v>
      </c>
      <c r="H8" s="5">
        <v>2006</v>
      </c>
      <c r="I8" s="4">
        <v>2007</v>
      </c>
      <c r="J8" s="5">
        <v>2008</v>
      </c>
      <c r="K8" s="4">
        <v>2009</v>
      </c>
      <c r="L8" s="4">
        <v>2010</v>
      </c>
      <c r="M8" s="6" t="s">
        <v>0</v>
      </c>
    </row>
    <row r="9" spans="1:14" ht="13.5" thickBot="1" x14ac:dyDescent="0.25">
      <c r="A9" s="17" t="s">
        <v>1</v>
      </c>
      <c r="B9" s="29"/>
      <c r="C9" s="29"/>
      <c r="D9" s="29"/>
      <c r="E9" s="29"/>
      <c r="F9" s="29"/>
      <c r="G9" s="23"/>
      <c r="H9" s="24">
        <v>5</v>
      </c>
      <c r="I9" s="25">
        <v>5</v>
      </c>
      <c r="J9" s="26">
        <v>5</v>
      </c>
      <c r="K9" s="24">
        <v>5</v>
      </c>
      <c r="L9" s="24">
        <v>8.6</v>
      </c>
      <c r="M9" s="27">
        <f t="shared" ref="M9:M23" si="0">SUM(B9:L9)</f>
        <v>28.6</v>
      </c>
      <c r="N9" s="67"/>
    </row>
    <row r="10" spans="1:14" ht="13.5" thickBot="1" x14ac:dyDescent="0.25">
      <c r="A10" s="8" t="s">
        <v>2</v>
      </c>
      <c r="B10" s="29"/>
      <c r="C10" s="29"/>
      <c r="D10" s="29">
        <v>1.88035602</v>
      </c>
      <c r="E10" s="29">
        <v>4.7554213499999998</v>
      </c>
      <c r="F10" s="29">
        <f>6.03283512+3.02989913</f>
        <v>9.0627342500000001</v>
      </c>
      <c r="G10" s="31">
        <v>130.86864059999999</v>
      </c>
      <c r="H10" s="30">
        <v>5.1903114199999996</v>
      </c>
      <c r="I10" s="30"/>
      <c r="J10" s="32"/>
      <c r="K10" s="30"/>
      <c r="L10" s="30"/>
      <c r="M10" s="27">
        <f t="shared" si="0"/>
        <v>151.75746364</v>
      </c>
      <c r="N10" s="67"/>
    </row>
    <row r="11" spans="1:14" ht="13.5" thickBot="1" x14ac:dyDescent="0.25">
      <c r="A11" s="8" t="s">
        <v>3</v>
      </c>
      <c r="B11" s="29"/>
      <c r="C11" s="33">
        <v>1.1474074299999999</v>
      </c>
      <c r="D11" s="29"/>
      <c r="E11" s="29"/>
      <c r="F11" s="33">
        <v>3.3388792199999999</v>
      </c>
      <c r="G11" s="34">
        <v>3.4161073900000001</v>
      </c>
      <c r="H11" s="30">
        <v>4.4112623400000004</v>
      </c>
      <c r="I11" s="30">
        <v>4.7375400000000001</v>
      </c>
      <c r="J11" s="32"/>
      <c r="K11" s="30">
        <f>4.40179593+4.69659966</f>
        <v>9.0983955899999991</v>
      </c>
      <c r="L11" s="30">
        <v>1.807207</v>
      </c>
      <c r="M11" s="27">
        <f t="shared" si="0"/>
        <v>27.956798970000001</v>
      </c>
      <c r="N11" s="67"/>
    </row>
    <row r="12" spans="1:14" ht="13.5" thickBot="1" x14ac:dyDescent="0.25">
      <c r="A12" s="8" t="s">
        <v>4</v>
      </c>
      <c r="B12" s="29"/>
      <c r="C12" s="29"/>
      <c r="D12" s="29"/>
      <c r="E12" s="33">
        <v>1.26</v>
      </c>
      <c r="F12" s="29"/>
      <c r="G12" s="34"/>
      <c r="H12" s="30"/>
      <c r="I12" s="30">
        <v>4.84964</v>
      </c>
      <c r="J12" s="32">
        <v>23.129114000000001</v>
      </c>
      <c r="K12" s="30">
        <v>28.630130000000001</v>
      </c>
      <c r="L12" s="30"/>
      <c r="M12" s="27">
        <f t="shared" si="0"/>
        <v>57.868884000000001</v>
      </c>
      <c r="N12" s="67"/>
    </row>
    <row r="13" spans="1:14" ht="13.5" thickBot="1" x14ac:dyDescent="0.25">
      <c r="A13" s="8" t="s">
        <v>5</v>
      </c>
      <c r="B13" s="29"/>
      <c r="C13" s="29"/>
      <c r="D13" s="29"/>
      <c r="E13" s="29"/>
      <c r="F13" s="33">
        <v>6.0291139200000003</v>
      </c>
      <c r="G13" s="34"/>
      <c r="H13" s="30">
        <v>12.63</v>
      </c>
      <c r="I13" s="30"/>
      <c r="J13" s="32"/>
      <c r="K13" s="30"/>
      <c r="L13" s="30"/>
      <c r="M13" s="27">
        <f t="shared" si="0"/>
        <v>18.659113920000003</v>
      </c>
      <c r="N13" s="67"/>
    </row>
    <row r="14" spans="1:14" ht="13.5" thickBot="1" x14ac:dyDescent="0.25">
      <c r="A14" s="9" t="s">
        <v>6</v>
      </c>
      <c r="B14" s="29"/>
      <c r="C14" s="29"/>
      <c r="D14" s="29"/>
      <c r="E14" s="29"/>
      <c r="F14" s="29"/>
      <c r="G14" s="34"/>
      <c r="H14" s="30">
        <v>5.2603999999999997</v>
      </c>
      <c r="I14" s="30">
        <v>5.9480000000000004</v>
      </c>
      <c r="J14" s="32"/>
      <c r="K14" s="30">
        <f>2.81518+2.9062</f>
        <v>5.7213799999999999</v>
      </c>
      <c r="L14" s="30">
        <f>2.45078+2.6852</f>
        <v>5.13598</v>
      </c>
      <c r="M14" s="27">
        <f t="shared" si="0"/>
        <v>22.065760000000001</v>
      </c>
      <c r="N14" s="67"/>
    </row>
    <row r="15" spans="1:14" ht="13.5" thickBot="1" x14ac:dyDescent="0.25">
      <c r="A15" s="8" t="s">
        <v>7</v>
      </c>
      <c r="B15" s="29"/>
      <c r="C15" s="29"/>
      <c r="D15" s="33">
        <v>0.51075000000000004</v>
      </c>
      <c r="E15" s="33">
        <v>0.62375000000000003</v>
      </c>
      <c r="F15" s="33">
        <v>0.65</v>
      </c>
      <c r="G15" s="34">
        <v>0.83145999999999998</v>
      </c>
      <c r="H15" s="30">
        <v>7.9020000000000001</v>
      </c>
      <c r="I15" s="28">
        <v>8.3111999999999995</v>
      </c>
      <c r="J15" s="32">
        <v>3.8413200000000001</v>
      </c>
      <c r="K15" s="30">
        <f>2.076+1.464</f>
        <v>3.54</v>
      </c>
      <c r="L15" s="30">
        <v>3.6308630000000002</v>
      </c>
      <c r="M15" s="27">
        <f t="shared" si="0"/>
        <v>29.841343000000002</v>
      </c>
      <c r="N15" s="67"/>
    </row>
    <row r="16" spans="1:14" ht="13.5" thickBot="1" x14ac:dyDescent="0.25">
      <c r="A16" s="8" t="s">
        <v>8</v>
      </c>
      <c r="B16" s="29"/>
      <c r="C16" s="29"/>
      <c r="D16" s="33"/>
      <c r="E16" s="33"/>
      <c r="F16" s="35"/>
      <c r="G16" s="36">
        <v>0.64515</v>
      </c>
      <c r="H16" s="30">
        <v>1.318775</v>
      </c>
      <c r="I16" s="28">
        <v>0.81184000000000001</v>
      </c>
      <c r="J16" s="32">
        <v>1.4229000000000001</v>
      </c>
      <c r="K16" s="30">
        <v>1.1912400000000001</v>
      </c>
      <c r="L16" s="30">
        <v>1.1004400000000001</v>
      </c>
      <c r="M16" s="27">
        <f t="shared" si="0"/>
        <v>6.4903450000000005</v>
      </c>
      <c r="N16" s="67"/>
    </row>
    <row r="17" spans="1:14" ht="13.5" thickBot="1" x14ac:dyDescent="0.25">
      <c r="A17" s="8" t="s">
        <v>9</v>
      </c>
      <c r="B17" s="29"/>
      <c r="C17" s="29">
        <v>24.060334619999999</v>
      </c>
      <c r="D17" s="29">
        <v>13.375171870000001</v>
      </c>
      <c r="E17" s="29">
        <v>16.492641949999999</v>
      </c>
      <c r="F17" s="33">
        <v>17.329866450000001</v>
      </c>
      <c r="G17" s="34">
        <v>15.85941435</v>
      </c>
      <c r="H17" s="30"/>
      <c r="I17" s="28">
        <v>33.547469</v>
      </c>
      <c r="J17" s="32">
        <v>38.885300999999998</v>
      </c>
      <c r="K17" s="30">
        <v>31.20579</v>
      </c>
      <c r="L17" s="30">
        <v>25.1113845</v>
      </c>
      <c r="M17" s="27">
        <f t="shared" si="0"/>
        <v>215.86737374000001</v>
      </c>
      <c r="N17" s="67"/>
    </row>
    <row r="18" spans="1:14" ht="13.5" thickBot="1" x14ac:dyDescent="0.25">
      <c r="A18" s="8" t="s">
        <v>21</v>
      </c>
      <c r="B18" s="29"/>
      <c r="C18" s="33">
        <v>17.894689750000001</v>
      </c>
      <c r="D18" s="33">
        <v>21.325656089999999</v>
      </c>
      <c r="E18" s="33">
        <v>21.791086740000001</v>
      </c>
      <c r="F18" s="33">
        <v>40.92459264</v>
      </c>
      <c r="G18" s="34">
        <v>39.53459411</v>
      </c>
      <c r="H18" s="30">
        <f>64.9793137+2.4</f>
        <v>67.379313700000012</v>
      </c>
      <c r="I18" s="37">
        <v>86.156761000000003</v>
      </c>
      <c r="J18" s="32">
        <v>65.449483259999994</v>
      </c>
      <c r="K18" s="30">
        <v>82.800324709999998</v>
      </c>
      <c r="L18" s="30">
        <v>76.483608000000004</v>
      </c>
      <c r="M18" s="27">
        <f t="shared" si="0"/>
        <v>519.74010999999996</v>
      </c>
      <c r="N18" s="67"/>
    </row>
    <row r="19" spans="1:14" ht="13.5" thickBot="1" x14ac:dyDescent="0.25">
      <c r="A19" s="9" t="s">
        <v>22</v>
      </c>
      <c r="B19" s="29"/>
      <c r="C19" s="33"/>
      <c r="D19" s="33"/>
      <c r="E19" s="33"/>
      <c r="F19" s="33"/>
      <c r="G19" s="34"/>
      <c r="H19" s="30"/>
      <c r="I19" s="30"/>
      <c r="J19" s="32"/>
      <c r="K19" s="30"/>
      <c r="L19" s="30">
        <v>0.4</v>
      </c>
      <c r="M19" s="27">
        <f t="shared" si="0"/>
        <v>0.4</v>
      </c>
      <c r="N19" s="67"/>
    </row>
    <row r="20" spans="1:14" ht="13.5" thickBot="1" x14ac:dyDescent="0.25">
      <c r="A20" s="8" t="s">
        <v>13</v>
      </c>
      <c r="B20" s="29"/>
      <c r="C20" s="29"/>
      <c r="D20" s="29"/>
      <c r="E20" s="29"/>
      <c r="F20" s="29"/>
      <c r="G20" s="34"/>
      <c r="H20" s="29"/>
      <c r="I20" s="29"/>
      <c r="J20" s="32">
        <v>40.536200000000001</v>
      </c>
      <c r="K20" s="30"/>
      <c r="L20" s="30"/>
      <c r="M20" s="27">
        <f t="shared" si="0"/>
        <v>40.536200000000001</v>
      </c>
      <c r="N20" s="67"/>
    </row>
    <row r="21" spans="1:14" ht="13.5" thickBot="1" x14ac:dyDescent="0.25">
      <c r="A21" s="8" t="s">
        <v>10</v>
      </c>
      <c r="B21" s="29"/>
      <c r="C21" s="33">
        <v>1.8921325899999999</v>
      </c>
      <c r="D21" s="33">
        <v>1.1147999799999999</v>
      </c>
      <c r="E21" s="33">
        <v>2.38518169</v>
      </c>
      <c r="F21" s="33">
        <v>4.9314298799999996</v>
      </c>
      <c r="G21" s="34">
        <v>12.66340061</v>
      </c>
      <c r="H21" s="30">
        <v>14.593975029999999</v>
      </c>
      <c r="I21" s="30">
        <v>15.514976000000001</v>
      </c>
      <c r="J21" s="32">
        <v>19.151976000000001</v>
      </c>
      <c r="K21" s="30">
        <v>13.80099952</v>
      </c>
      <c r="L21" s="30">
        <v>36.487497500000003</v>
      </c>
      <c r="M21" s="27">
        <f t="shared" si="0"/>
        <v>122.53636880000002</v>
      </c>
      <c r="N21" s="67"/>
    </row>
    <row r="22" spans="1:14" ht="13.5" thickBot="1" x14ac:dyDescent="0.25">
      <c r="A22" s="8" t="s">
        <v>11</v>
      </c>
      <c r="B22" s="29">
        <v>4.4634</v>
      </c>
      <c r="C22" s="29"/>
      <c r="D22" s="33">
        <v>15.048249999999999</v>
      </c>
      <c r="E22" s="29">
        <v>5.60595</v>
      </c>
      <c r="F22" s="33">
        <v>18.491534999999999</v>
      </c>
      <c r="G22" s="34">
        <v>6.6251490000000004</v>
      </c>
      <c r="H22" s="30">
        <v>23.214072000000002</v>
      </c>
      <c r="I22" s="28">
        <f>19.611+28.502952</f>
        <v>48.113951999999998</v>
      </c>
      <c r="J22" s="32"/>
      <c r="K22" s="30"/>
      <c r="L22" s="38">
        <v>15.883044</v>
      </c>
      <c r="M22" s="27">
        <f t="shared" si="0"/>
        <v>137.44535199999999</v>
      </c>
      <c r="N22" s="67"/>
    </row>
    <row r="23" spans="1:14" ht="13.5" thickBot="1" x14ac:dyDescent="0.25">
      <c r="A23" s="7" t="s">
        <v>12</v>
      </c>
      <c r="B23" s="22"/>
      <c r="C23" s="39">
        <v>48.091999999999999</v>
      </c>
      <c r="D23" s="39">
        <v>53</v>
      </c>
      <c r="E23" s="39">
        <v>58</v>
      </c>
      <c r="F23" s="39">
        <v>59.64</v>
      </c>
      <c r="G23" s="40">
        <v>64.48</v>
      </c>
      <c r="H23" s="41">
        <v>69.3</v>
      </c>
      <c r="I23" s="42">
        <v>69.3</v>
      </c>
      <c r="J23" s="43">
        <v>71.912999999999997</v>
      </c>
      <c r="K23" s="41">
        <v>75</v>
      </c>
      <c r="L23" s="41">
        <v>78</v>
      </c>
      <c r="M23" s="27">
        <f t="shared" si="0"/>
        <v>646.72500000000002</v>
      </c>
      <c r="N23" s="67"/>
    </row>
    <row r="24" spans="1:14" ht="13.5" thickBot="1" x14ac:dyDescent="0.25">
      <c r="A24" s="12" t="s">
        <v>23</v>
      </c>
      <c r="B24" s="44">
        <f t="shared" ref="B24:J24" si="1">SUM(B9:B23)</f>
        <v>4.4634</v>
      </c>
      <c r="C24" s="44">
        <f>SUM(C9:C23)</f>
        <v>93.086564390000007</v>
      </c>
      <c r="D24" s="44">
        <f t="shared" si="1"/>
        <v>106.25498396</v>
      </c>
      <c r="E24" s="44">
        <f t="shared" si="1"/>
        <v>110.91403173</v>
      </c>
      <c r="F24" s="44">
        <f t="shared" si="1"/>
        <v>160.39815135999999</v>
      </c>
      <c r="G24" s="44">
        <f t="shared" si="1"/>
        <v>274.92391606000001</v>
      </c>
      <c r="H24" s="44">
        <f t="shared" si="1"/>
        <v>216.20010949000005</v>
      </c>
      <c r="I24" s="44">
        <f t="shared" si="1"/>
        <v>282.29137800000001</v>
      </c>
      <c r="J24" s="44">
        <f t="shared" si="1"/>
        <v>269.32929425999998</v>
      </c>
      <c r="K24" s="44">
        <f>SUM(K9:K23)</f>
        <v>255.98825982</v>
      </c>
      <c r="L24" s="44">
        <f>SUM(L9:L23)</f>
        <v>252.64002400000001</v>
      </c>
      <c r="M24" s="64">
        <f>SUM(M9:M23)</f>
        <v>2026.49011307</v>
      </c>
      <c r="N24" s="67"/>
    </row>
    <row r="25" spans="1:14" s="16" customFormat="1" ht="13.5" thickBot="1" x14ac:dyDescent="0.25">
      <c r="A25" s="18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67"/>
    </row>
    <row r="26" spans="1:14" s="16" customFormat="1" ht="13.5" thickBot="1" x14ac:dyDescent="0.25">
      <c r="A26" s="53" t="s">
        <v>17</v>
      </c>
      <c r="B26" s="54">
        <v>325</v>
      </c>
      <c r="C26" s="54">
        <v>425</v>
      </c>
      <c r="D26" s="54"/>
      <c r="E26" s="54">
        <v>3.5</v>
      </c>
      <c r="F26" s="54">
        <v>5</v>
      </c>
      <c r="G26" s="54">
        <v>154.33799999999999</v>
      </c>
      <c r="H26" s="54"/>
      <c r="I26" s="54">
        <v>75</v>
      </c>
      <c r="J26" s="54">
        <v>75</v>
      </c>
      <c r="K26" s="54">
        <v>75</v>
      </c>
      <c r="L26" s="54">
        <v>75</v>
      </c>
      <c r="M26" s="55">
        <f>SUM(B26:L26)</f>
        <v>1212.838</v>
      </c>
      <c r="N26" s="67"/>
    </row>
    <row r="27" spans="1:14" s="16" customFormat="1" ht="26.25" thickBot="1" x14ac:dyDescent="0.25">
      <c r="A27" s="68" t="s">
        <v>27</v>
      </c>
      <c r="B27" s="57"/>
      <c r="C27" s="57"/>
      <c r="D27" s="57"/>
      <c r="E27" s="57"/>
      <c r="F27" s="57"/>
      <c r="G27" s="57"/>
      <c r="H27" s="57"/>
      <c r="I27" s="60"/>
      <c r="J27" s="61"/>
      <c r="K27" s="61"/>
      <c r="L27" s="61"/>
      <c r="M27" s="55"/>
      <c r="N27" s="67"/>
    </row>
    <row r="28" spans="1:14" ht="13.5" thickBot="1" x14ac:dyDescent="0.25">
      <c r="A28" s="63" t="s">
        <v>25</v>
      </c>
      <c r="B28" s="57"/>
      <c r="C28" s="57"/>
      <c r="D28" s="57"/>
      <c r="E28" s="57"/>
      <c r="F28" s="57"/>
      <c r="G28" s="57"/>
      <c r="H28" s="57"/>
      <c r="I28" s="60"/>
      <c r="J28" s="61">
        <v>5.8</v>
      </c>
      <c r="K28" s="61">
        <v>5.9</v>
      </c>
      <c r="L28" s="61">
        <v>4</v>
      </c>
      <c r="M28" s="55">
        <f>SUM(B28:L28)</f>
        <v>15.7</v>
      </c>
      <c r="N28" s="67"/>
    </row>
    <row r="29" spans="1:14" ht="13.5" thickBot="1" x14ac:dyDescent="0.25">
      <c r="A29" s="21" t="s">
        <v>16</v>
      </c>
      <c r="B29" s="82">
        <v>0.02</v>
      </c>
      <c r="C29" s="56"/>
      <c r="D29" s="56">
        <v>1.6303609999999999</v>
      </c>
      <c r="E29" s="56">
        <v>2.5808469999999999</v>
      </c>
      <c r="F29" s="56">
        <v>1.805051</v>
      </c>
      <c r="G29" s="56">
        <v>0.47348000000000001</v>
      </c>
      <c r="H29" s="56">
        <v>1.904352</v>
      </c>
      <c r="I29" s="62">
        <v>1.1000000000000001</v>
      </c>
      <c r="J29" s="62">
        <v>0.8</v>
      </c>
      <c r="K29" s="62">
        <v>1</v>
      </c>
      <c r="L29" s="62">
        <v>1</v>
      </c>
      <c r="M29" s="58">
        <f>SUM(B29:L29)</f>
        <v>12.314090999999999</v>
      </c>
      <c r="N29" s="67"/>
    </row>
    <row r="30" spans="1:14" ht="13.5" thickBot="1" x14ac:dyDescent="0.25">
      <c r="A30" s="12" t="s">
        <v>24</v>
      </c>
      <c r="B30" s="59">
        <f t="shared" ref="B30:L30" si="2">SUM(B26:B29)</f>
        <v>325.02</v>
      </c>
      <c r="C30" s="59">
        <f t="shared" si="2"/>
        <v>425</v>
      </c>
      <c r="D30" s="59">
        <f t="shared" si="2"/>
        <v>1.6303609999999999</v>
      </c>
      <c r="E30" s="59">
        <f t="shared" si="2"/>
        <v>6.0808470000000003</v>
      </c>
      <c r="F30" s="59">
        <f t="shared" si="2"/>
        <v>6.8050509999999997</v>
      </c>
      <c r="G30" s="59">
        <f t="shared" si="2"/>
        <v>154.81147999999999</v>
      </c>
      <c r="H30" s="59">
        <f t="shared" si="2"/>
        <v>1.904352</v>
      </c>
      <c r="I30" s="59">
        <f t="shared" si="2"/>
        <v>76.099999999999994</v>
      </c>
      <c r="J30" s="59">
        <f t="shared" si="2"/>
        <v>81.599999999999994</v>
      </c>
      <c r="K30" s="59">
        <f t="shared" si="2"/>
        <v>81.900000000000006</v>
      </c>
      <c r="L30" s="59">
        <f t="shared" si="2"/>
        <v>80</v>
      </c>
      <c r="M30" s="65">
        <f>SUM(M26:M29)</f>
        <v>1240.852091</v>
      </c>
      <c r="N30" s="67"/>
    </row>
    <row r="31" spans="1:14" s="16" customFormat="1" ht="13.5" thickBot="1" x14ac:dyDescent="0.25">
      <c r="A31" s="18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5"/>
      <c r="N31" s="67"/>
    </row>
    <row r="32" spans="1:14" ht="13.5" thickBot="1" x14ac:dyDescent="0.25">
      <c r="A32" s="19" t="s">
        <v>20</v>
      </c>
      <c r="B32" s="47">
        <f t="shared" ref="B32:M32" si="3">B24+B30</f>
        <v>329.48339999999996</v>
      </c>
      <c r="C32" s="47">
        <f t="shared" si="3"/>
        <v>518.08656439000004</v>
      </c>
      <c r="D32" s="47">
        <f t="shared" si="3"/>
        <v>107.88534496</v>
      </c>
      <c r="E32" s="47">
        <f t="shared" si="3"/>
        <v>116.99487873000001</v>
      </c>
      <c r="F32" s="47">
        <f t="shared" si="3"/>
        <v>167.20320235999998</v>
      </c>
      <c r="G32" s="47">
        <f t="shared" si="3"/>
        <v>429.73539605999997</v>
      </c>
      <c r="H32" s="47">
        <f t="shared" si="3"/>
        <v>218.10446149000003</v>
      </c>
      <c r="I32" s="47">
        <f t="shared" si="3"/>
        <v>358.39137800000003</v>
      </c>
      <c r="J32" s="47">
        <f t="shared" si="3"/>
        <v>350.92929426000001</v>
      </c>
      <c r="K32" s="47">
        <f t="shared" si="3"/>
        <v>337.88825982000003</v>
      </c>
      <c r="L32" s="47">
        <f t="shared" si="3"/>
        <v>332.64002400000004</v>
      </c>
      <c r="M32" s="48">
        <f t="shared" si="3"/>
        <v>3267.3422040699998</v>
      </c>
      <c r="N32" s="67"/>
    </row>
    <row r="33" spans="1:14" s="14" customFormat="1" ht="13.5" thickBot="1" x14ac:dyDescent="0.25">
      <c r="A33" s="15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67"/>
    </row>
    <row r="34" spans="1:14" ht="13.5" thickBot="1" x14ac:dyDescent="0.25">
      <c r="A34" s="13" t="s">
        <v>19</v>
      </c>
      <c r="B34" s="44"/>
      <c r="C34" s="44"/>
      <c r="D34" s="44"/>
      <c r="E34" s="44"/>
      <c r="F34" s="44"/>
      <c r="G34" s="44"/>
      <c r="H34" s="44">
        <v>524.74928499999999</v>
      </c>
      <c r="I34" s="44">
        <v>428.268866</v>
      </c>
      <c r="J34" s="44">
        <v>272.63813299999998</v>
      </c>
      <c r="K34" s="44">
        <v>330.02699999999999</v>
      </c>
      <c r="L34" s="44">
        <v>320</v>
      </c>
      <c r="M34" s="49">
        <f>SUM(B34:L34)</f>
        <v>1875.683284</v>
      </c>
      <c r="N34" s="67"/>
    </row>
    <row r="35" spans="1:14" ht="13.5" thickBot="1" x14ac:dyDescent="0.25">
      <c r="A35" s="13" t="s">
        <v>18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>
        <v>42.877049999999997</v>
      </c>
      <c r="M35" s="64">
        <f>SUM(B35:L35)</f>
        <v>42.877049999999997</v>
      </c>
      <c r="N35" s="67"/>
    </row>
    <row r="36" spans="1:14" s="16" customFormat="1" ht="13.5" thickBot="1" x14ac:dyDescent="0.25">
      <c r="A36" s="1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67"/>
    </row>
    <row r="37" spans="1:14" ht="13.5" thickBot="1" x14ac:dyDescent="0.25">
      <c r="A37" s="20" t="s">
        <v>15</v>
      </c>
      <c r="B37" s="50">
        <f t="shared" ref="B37:G37" si="4">SUM(B24+B34+B35+B30)</f>
        <v>329.48339999999996</v>
      </c>
      <c r="C37" s="50">
        <f t="shared" si="4"/>
        <v>518.08656439000004</v>
      </c>
      <c r="D37" s="50">
        <f t="shared" si="4"/>
        <v>107.88534496</v>
      </c>
      <c r="E37" s="50">
        <f t="shared" si="4"/>
        <v>116.99487873000001</v>
      </c>
      <c r="F37" s="50">
        <f t="shared" si="4"/>
        <v>167.20320235999998</v>
      </c>
      <c r="G37" s="50">
        <f t="shared" si="4"/>
        <v>429.73539605999997</v>
      </c>
      <c r="H37" s="50">
        <f>SUM(H24+H34+H35+H30)</f>
        <v>742.85374649000005</v>
      </c>
      <c r="I37" s="50">
        <f>SUM(I24+I34+I35+I30)</f>
        <v>786.66024400000003</v>
      </c>
      <c r="J37" s="50">
        <f>SUM(J24+J34+J35+J30)</f>
        <v>623.56742726000004</v>
      </c>
      <c r="K37" s="50">
        <f>SUM(K24+K34+K35+K30)</f>
        <v>667.91525981999996</v>
      </c>
      <c r="L37" s="50">
        <f>SUM(L24+L34+L35+L30)</f>
        <v>695.51707400000009</v>
      </c>
      <c r="M37" s="50">
        <f>SUM(M32:M35)</f>
        <v>5185.9025380699995</v>
      </c>
      <c r="N37" s="67"/>
    </row>
    <row r="38" spans="1:14" x14ac:dyDescent="0.2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4" x14ac:dyDescent="0.2">
      <c r="A39" s="52" t="s">
        <v>14</v>
      </c>
      <c r="C39" s="2"/>
      <c r="D39" s="2"/>
      <c r="F39" s="2"/>
      <c r="G39" s="2"/>
      <c r="H39" s="51"/>
    </row>
    <row r="40" spans="1:14" x14ac:dyDescent="0.2">
      <c r="K40" s="2"/>
      <c r="L40" s="2"/>
    </row>
  </sheetData>
  <pageMargins left="0.7" right="0.7" top="0.75" bottom="0.75" header="0.3" footer="0.3"/>
  <pageSetup paperSize="9" scale="8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44"/>
  <sheetViews>
    <sheetView showGridLines="0" tabSelected="1" zoomScaleNormal="100" zoomScaleSheetLayoutView="110" workbookViewId="0">
      <selection activeCell="R32" sqref="R32"/>
    </sheetView>
  </sheetViews>
  <sheetFormatPr defaultColWidth="10.28515625" defaultRowHeight="12.75" x14ac:dyDescent="0.2"/>
  <cols>
    <col min="1" max="1" width="29.28515625" customWidth="1"/>
    <col min="2" max="12" width="7.7109375" customWidth="1"/>
    <col min="13" max="14" width="9.42578125" customWidth="1"/>
    <col min="15" max="15" width="13.85546875" customWidth="1"/>
  </cols>
  <sheetData>
    <row r="1" spans="1:16" x14ac:dyDescent="0.2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70"/>
      <c r="M1" s="71"/>
      <c r="N1" s="72"/>
      <c r="O1" s="73"/>
    </row>
    <row r="2" spans="1:16" ht="23.25" x14ac:dyDescent="0.35">
      <c r="A2" s="74" t="s">
        <v>28</v>
      </c>
      <c r="B2" s="74"/>
    </row>
    <row r="3" spans="1:16" ht="9" customHeight="1" x14ac:dyDescent="0.35">
      <c r="A3" s="76"/>
      <c r="B3" s="74"/>
    </row>
    <row r="4" spans="1:16" ht="21" x14ac:dyDescent="0.35">
      <c r="A4" s="1" t="s">
        <v>34</v>
      </c>
      <c r="M4" s="10"/>
      <c r="N4" s="10"/>
    </row>
    <row r="5" spans="1:16" ht="15.75" x14ac:dyDescent="0.25">
      <c r="A5" s="66" t="s">
        <v>35</v>
      </c>
      <c r="M5" s="10"/>
      <c r="N5" s="10"/>
    </row>
    <row r="6" spans="1:16" ht="15.75" x14ac:dyDescent="0.25">
      <c r="A6" s="77" t="s">
        <v>26</v>
      </c>
      <c r="B6" s="2"/>
      <c r="C6" s="2"/>
      <c r="D6" s="2"/>
      <c r="E6" s="2"/>
      <c r="F6" s="2"/>
      <c r="G6" s="2"/>
      <c r="H6" s="2"/>
      <c r="I6" s="2"/>
    </row>
    <row r="7" spans="1:16" ht="16.5" thickBot="1" x14ac:dyDescent="0.3">
      <c r="A7" s="77"/>
      <c r="B7" s="2"/>
      <c r="C7" s="2"/>
      <c r="D7" s="2"/>
      <c r="E7" s="2"/>
      <c r="F7" s="2"/>
      <c r="G7" s="2"/>
      <c r="H7" s="2"/>
      <c r="I7" s="2"/>
    </row>
    <row r="8" spans="1:16" ht="16.5" thickBot="1" x14ac:dyDescent="0.3">
      <c r="A8" s="75"/>
      <c r="B8" s="3">
        <v>2000</v>
      </c>
      <c r="C8" s="3">
        <v>2001</v>
      </c>
      <c r="D8" s="3">
        <v>2002</v>
      </c>
      <c r="E8" s="3">
        <v>2003</v>
      </c>
      <c r="F8" s="3">
        <v>2004</v>
      </c>
      <c r="G8" s="4">
        <v>2005</v>
      </c>
      <c r="H8" s="5">
        <v>2006</v>
      </c>
      <c r="I8" s="4">
        <v>2007</v>
      </c>
      <c r="J8" s="5">
        <v>2008</v>
      </c>
      <c r="K8" s="4">
        <v>2009</v>
      </c>
      <c r="L8" s="4">
        <v>2010</v>
      </c>
      <c r="M8" s="4">
        <v>2011</v>
      </c>
      <c r="N8" s="4">
        <v>2012</v>
      </c>
      <c r="O8" s="6" t="s">
        <v>0</v>
      </c>
    </row>
    <row r="9" spans="1:16" ht="13.5" thickBot="1" x14ac:dyDescent="0.25">
      <c r="A9" s="17" t="s">
        <v>1</v>
      </c>
      <c r="B9" s="29"/>
      <c r="C9" s="29"/>
      <c r="D9" s="29"/>
      <c r="E9" s="29"/>
      <c r="F9" s="29"/>
      <c r="G9" s="23"/>
      <c r="H9" s="24">
        <v>5</v>
      </c>
      <c r="I9" s="25">
        <v>5</v>
      </c>
      <c r="J9" s="26">
        <v>5</v>
      </c>
      <c r="K9" s="24">
        <v>5</v>
      </c>
      <c r="L9" s="24">
        <v>8.6</v>
      </c>
      <c r="M9" s="24">
        <f>(21850+12626+14368)/1000</f>
        <v>48.844000000000001</v>
      </c>
      <c r="N9" s="24">
        <f>15.6015</f>
        <v>15.6015</v>
      </c>
      <c r="O9" s="27">
        <f>SUM(B9:N9)</f>
        <v>93.045500000000004</v>
      </c>
      <c r="P9" s="67"/>
    </row>
    <row r="10" spans="1:16" ht="13.5" thickBot="1" x14ac:dyDescent="0.25">
      <c r="A10" s="8" t="s">
        <v>2</v>
      </c>
      <c r="B10" s="29"/>
      <c r="C10" s="29"/>
      <c r="D10" s="29">
        <v>1.88035602</v>
      </c>
      <c r="E10" s="29">
        <v>4.7554213499999998</v>
      </c>
      <c r="F10" s="29">
        <f>6.03283512+3.02989913</f>
        <v>9.0627342500000001</v>
      </c>
      <c r="G10" s="31">
        <v>130.86864059999999</v>
      </c>
      <c r="H10" s="30">
        <v>5.1903114199999996</v>
      </c>
      <c r="I10" s="30"/>
      <c r="J10" s="32"/>
      <c r="K10" s="30"/>
      <c r="L10" s="30"/>
      <c r="M10" s="30">
        <f>20736/1000</f>
        <v>20.736000000000001</v>
      </c>
      <c r="N10" s="84"/>
      <c r="O10" s="27">
        <f t="shared" ref="O10:O24" si="0">SUM(B10:N10)</f>
        <v>172.49346363999999</v>
      </c>
      <c r="P10" s="67"/>
    </row>
    <row r="11" spans="1:16" ht="13.5" thickBot="1" x14ac:dyDescent="0.25">
      <c r="A11" s="8" t="s">
        <v>3</v>
      </c>
      <c r="B11" s="29"/>
      <c r="C11" s="33">
        <v>1.1474074299999999</v>
      </c>
      <c r="D11" s="29"/>
      <c r="E11" s="29"/>
      <c r="F11" s="33">
        <v>3.3388792199999999</v>
      </c>
      <c r="G11" s="34">
        <v>3.4161073900000001</v>
      </c>
      <c r="H11" s="30">
        <v>4.4112623400000004</v>
      </c>
      <c r="I11" s="30">
        <v>4.7375400000000001</v>
      </c>
      <c r="J11" s="32"/>
      <c r="K11" s="30">
        <f>4.40179593+4.69659966</f>
        <v>9.0983955899999991</v>
      </c>
      <c r="L11" s="30">
        <v>1.807207</v>
      </c>
      <c r="M11" s="30">
        <f>4434/1000+4364/1000</f>
        <v>8.798</v>
      </c>
      <c r="N11" s="84"/>
      <c r="O11" s="27">
        <f t="shared" si="0"/>
        <v>36.754798970000003</v>
      </c>
      <c r="P11" s="67"/>
    </row>
    <row r="12" spans="1:16" ht="13.5" thickBot="1" x14ac:dyDescent="0.25">
      <c r="A12" s="8" t="s">
        <v>4</v>
      </c>
      <c r="B12" s="29"/>
      <c r="C12" s="29"/>
      <c r="D12" s="29"/>
      <c r="E12" s="33">
        <v>1.26</v>
      </c>
      <c r="F12" s="29"/>
      <c r="G12" s="34"/>
      <c r="H12" s="30"/>
      <c r="I12" s="30">
        <v>4.84964</v>
      </c>
      <c r="J12" s="32">
        <v>23.129114000000001</v>
      </c>
      <c r="K12" s="30">
        <v>28.630130000000001</v>
      </c>
      <c r="L12" s="30"/>
      <c r="M12" s="78"/>
      <c r="N12" s="85"/>
      <c r="O12" s="27">
        <f t="shared" si="0"/>
        <v>57.868884000000001</v>
      </c>
      <c r="P12" s="67"/>
    </row>
    <row r="13" spans="1:16" ht="13.5" thickBot="1" x14ac:dyDescent="0.25">
      <c r="A13" s="8" t="s">
        <v>5</v>
      </c>
      <c r="B13" s="29"/>
      <c r="C13" s="29"/>
      <c r="D13" s="29"/>
      <c r="E13" s="29"/>
      <c r="F13" s="33">
        <v>6.0291139200000003</v>
      </c>
      <c r="G13" s="34"/>
      <c r="H13" s="30">
        <v>12.63</v>
      </c>
      <c r="I13" s="30"/>
      <c r="J13" s="32"/>
      <c r="K13" s="30"/>
      <c r="L13" s="30"/>
      <c r="M13" s="30">
        <v>34.5</v>
      </c>
      <c r="N13" s="84"/>
      <c r="O13" s="27">
        <f t="shared" si="0"/>
        <v>53.159113920000003</v>
      </c>
      <c r="P13" s="67"/>
    </row>
    <row r="14" spans="1:16" ht="13.5" thickBot="1" x14ac:dyDescent="0.25">
      <c r="A14" s="9" t="s">
        <v>6</v>
      </c>
      <c r="B14" s="29"/>
      <c r="C14" s="29"/>
      <c r="D14" s="29"/>
      <c r="E14" s="29"/>
      <c r="F14" s="29"/>
      <c r="G14" s="34"/>
      <c r="H14" s="30">
        <v>5.2603999999999997</v>
      </c>
      <c r="I14" s="30">
        <v>5.9480000000000004</v>
      </c>
      <c r="J14" s="32"/>
      <c r="K14" s="30">
        <f>2.81518+2.9062</f>
        <v>5.7213799999999999</v>
      </c>
      <c r="L14" s="30">
        <f>2.45078+2.6852</f>
        <v>5.13598</v>
      </c>
      <c r="M14" s="30">
        <v>8.5</v>
      </c>
      <c r="N14" s="84">
        <v>3.2639999999999998</v>
      </c>
      <c r="O14" s="27">
        <f t="shared" si="0"/>
        <v>33.82976</v>
      </c>
      <c r="P14" s="67"/>
    </row>
    <row r="15" spans="1:16" ht="13.5" thickBot="1" x14ac:dyDescent="0.25">
      <c r="A15" s="8" t="s">
        <v>7</v>
      </c>
      <c r="B15" s="29"/>
      <c r="C15" s="29"/>
      <c r="D15" s="33">
        <v>0.51075000000000004</v>
      </c>
      <c r="E15" s="33">
        <v>0.62375000000000003</v>
      </c>
      <c r="F15" s="33">
        <v>0.65</v>
      </c>
      <c r="G15" s="34">
        <v>0.83145999999999998</v>
      </c>
      <c r="H15" s="30">
        <v>7.9020000000000001</v>
      </c>
      <c r="I15" s="28">
        <v>8.3111999999999995</v>
      </c>
      <c r="J15" s="32">
        <v>3.8413200000000001</v>
      </c>
      <c r="K15" s="30">
        <f>2.076+1.464</f>
        <v>3.54</v>
      </c>
      <c r="L15" s="30">
        <v>3.6308630000000002</v>
      </c>
      <c r="M15" s="30">
        <f>4913/1000</f>
        <v>4.9130000000000003</v>
      </c>
      <c r="N15" s="84"/>
      <c r="O15" s="27">
        <f t="shared" si="0"/>
        <v>34.754343000000006</v>
      </c>
      <c r="P15" s="67"/>
    </row>
    <row r="16" spans="1:16" ht="13.5" thickBot="1" x14ac:dyDescent="0.25">
      <c r="A16" s="63" t="s">
        <v>30</v>
      </c>
      <c r="B16" s="29"/>
      <c r="C16" s="29"/>
      <c r="D16" s="33"/>
      <c r="E16" s="33"/>
      <c r="F16" s="33"/>
      <c r="G16" s="34"/>
      <c r="H16" s="30"/>
      <c r="I16" s="28"/>
      <c r="J16" s="32"/>
      <c r="K16" s="30"/>
      <c r="L16" s="30"/>
      <c r="M16" s="30">
        <f>9348/1000</f>
        <v>9.3480000000000008</v>
      </c>
      <c r="N16" s="84"/>
      <c r="O16" s="27">
        <f t="shared" si="0"/>
        <v>9.3480000000000008</v>
      </c>
      <c r="P16" s="67"/>
    </row>
    <row r="17" spans="1:16" ht="13.5" thickBot="1" x14ac:dyDescent="0.25">
      <c r="A17" s="8" t="s">
        <v>8</v>
      </c>
      <c r="B17" s="29"/>
      <c r="C17" s="29"/>
      <c r="D17" s="33"/>
      <c r="E17" s="33"/>
      <c r="F17" s="35"/>
      <c r="G17" s="36">
        <v>0.64515</v>
      </c>
      <c r="H17" s="30">
        <v>1.318775</v>
      </c>
      <c r="I17" s="28">
        <v>0.81184000000000001</v>
      </c>
      <c r="J17" s="32">
        <v>1.4229000000000001</v>
      </c>
      <c r="K17" s="30">
        <v>1.1912400000000001</v>
      </c>
      <c r="L17" s="30">
        <v>1.1004400000000001</v>
      </c>
      <c r="M17" s="30">
        <f>1186/1000</f>
        <v>1.1859999999999999</v>
      </c>
      <c r="N17" s="84"/>
      <c r="O17" s="27">
        <f t="shared" si="0"/>
        <v>7.6763450000000004</v>
      </c>
      <c r="P17" s="67"/>
    </row>
    <row r="18" spans="1:16" ht="13.5" thickBot="1" x14ac:dyDescent="0.25">
      <c r="A18" s="8" t="s">
        <v>9</v>
      </c>
      <c r="B18" s="29"/>
      <c r="C18" s="29">
        <v>24.060334619999999</v>
      </c>
      <c r="D18" s="29">
        <v>13.375171870000001</v>
      </c>
      <c r="E18" s="29">
        <v>16.492641949999999</v>
      </c>
      <c r="F18" s="33">
        <v>17.329866450000001</v>
      </c>
      <c r="G18" s="34">
        <v>15.85941435</v>
      </c>
      <c r="H18" s="30"/>
      <c r="I18" s="28">
        <v>33.547469</v>
      </c>
      <c r="J18" s="32">
        <v>38.885300999999998</v>
      </c>
      <c r="K18" s="30">
        <v>31.20579</v>
      </c>
      <c r="L18" s="30">
        <v>25.1113845</v>
      </c>
      <c r="M18" s="30">
        <v>26.3</v>
      </c>
      <c r="N18" s="84"/>
      <c r="O18" s="27">
        <f t="shared" si="0"/>
        <v>242.16737374000002</v>
      </c>
      <c r="P18" s="67"/>
    </row>
    <row r="19" spans="1:16" ht="13.5" thickBot="1" x14ac:dyDescent="0.25">
      <c r="A19" s="8" t="s">
        <v>21</v>
      </c>
      <c r="B19" s="29"/>
      <c r="C19" s="33">
        <v>17.894689750000001</v>
      </c>
      <c r="D19" s="33">
        <v>21.325656089999999</v>
      </c>
      <c r="E19" s="33">
        <v>21.791086740000001</v>
      </c>
      <c r="F19" s="33">
        <v>40.92459264</v>
      </c>
      <c r="G19" s="34">
        <v>39.53459411</v>
      </c>
      <c r="H19" s="30">
        <f>64.9793137+2.4</f>
        <v>67.379313700000012</v>
      </c>
      <c r="I19" s="37">
        <v>86.156761000000003</v>
      </c>
      <c r="J19" s="32">
        <v>65.449483259999994</v>
      </c>
      <c r="K19" s="30">
        <v>82.800324709999998</v>
      </c>
      <c r="L19" s="30">
        <v>76.483608000000004</v>
      </c>
      <c r="M19" s="30">
        <v>79.2</v>
      </c>
      <c r="N19" s="84"/>
      <c r="O19" s="27">
        <f t="shared" si="0"/>
        <v>598.94011</v>
      </c>
      <c r="P19" s="67"/>
    </row>
    <row r="20" spans="1:16" ht="13.5" thickBot="1" x14ac:dyDescent="0.25">
      <c r="A20" s="9" t="s">
        <v>22</v>
      </c>
      <c r="B20" s="29"/>
      <c r="C20" s="33"/>
      <c r="D20" s="33"/>
      <c r="E20" s="33"/>
      <c r="F20" s="33"/>
      <c r="G20" s="34"/>
      <c r="H20" s="30"/>
      <c r="I20" s="30"/>
      <c r="J20" s="32"/>
      <c r="K20" s="30"/>
      <c r="L20" s="30">
        <v>0.4</v>
      </c>
      <c r="M20" s="30">
        <f>300/1000</f>
        <v>0.3</v>
      </c>
      <c r="N20" s="84"/>
      <c r="O20" s="27">
        <f t="shared" si="0"/>
        <v>0.7</v>
      </c>
      <c r="P20" s="67"/>
    </row>
    <row r="21" spans="1:16" ht="13.5" thickBot="1" x14ac:dyDescent="0.25">
      <c r="A21" s="8" t="s">
        <v>13</v>
      </c>
      <c r="B21" s="29"/>
      <c r="C21" s="29"/>
      <c r="D21" s="29"/>
      <c r="E21" s="29"/>
      <c r="F21" s="29"/>
      <c r="G21" s="34"/>
      <c r="H21" s="29"/>
      <c r="I21" s="29"/>
      <c r="J21" s="32">
        <v>40.536200000000001</v>
      </c>
      <c r="K21" s="30"/>
      <c r="L21" s="30"/>
      <c r="M21" s="30">
        <f>2666/1000</f>
        <v>2.6659999999999999</v>
      </c>
      <c r="N21" s="84"/>
      <c r="O21" s="27">
        <f t="shared" si="0"/>
        <v>43.202199999999998</v>
      </c>
      <c r="P21" s="67"/>
    </row>
    <row r="22" spans="1:16" ht="13.5" thickBot="1" x14ac:dyDescent="0.25">
      <c r="A22" s="8" t="s">
        <v>10</v>
      </c>
      <c r="B22" s="29"/>
      <c r="C22" s="33">
        <v>1.8921325899999999</v>
      </c>
      <c r="D22" s="33">
        <v>1.1147999799999999</v>
      </c>
      <c r="E22" s="33">
        <v>2.38518169</v>
      </c>
      <c r="F22" s="33">
        <v>4.9314298799999996</v>
      </c>
      <c r="G22" s="34">
        <v>12.66340061</v>
      </c>
      <c r="H22" s="30">
        <v>14.593975029999999</v>
      </c>
      <c r="I22" s="30">
        <v>15.514976000000001</v>
      </c>
      <c r="J22" s="32">
        <v>19.151976000000001</v>
      </c>
      <c r="K22" s="30">
        <v>13.80099952</v>
      </c>
      <c r="L22" s="30">
        <v>36.487497500000003</v>
      </c>
      <c r="M22" s="30">
        <v>92.7</v>
      </c>
      <c r="N22" s="84"/>
      <c r="O22" s="27">
        <f t="shared" si="0"/>
        <v>215.23636880000004</v>
      </c>
      <c r="P22" s="67"/>
    </row>
    <row r="23" spans="1:16" ht="13.5" thickBot="1" x14ac:dyDescent="0.25">
      <c r="A23" s="8" t="s">
        <v>11</v>
      </c>
      <c r="B23" s="29">
        <v>4.4634</v>
      </c>
      <c r="C23" s="29"/>
      <c r="D23" s="33">
        <v>15.048249999999999</v>
      </c>
      <c r="E23" s="29">
        <v>5.60595</v>
      </c>
      <c r="F23" s="33">
        <v>18.491534999999999</v>
      </c>
      <c r="G23" s="34">
        <v>6.6251490000000004</v>
      </c>
      <c r="H23" s="30">
        <v>23.214072000000002</v>
      </c>
      <c r="I23" s="28">
        <f>19.611+28.502952</f>
        <v>48.113951999999998</v>
      </c>
      <c r="J23" s="32"/>
      <c r="K23" s="30"/>
      <c r="L23" s="38">
        <v>15.883044</v>
      </c>
      <c r="M23" s="38">
        <v>85.1</v>
      </c>
      <c r="N23" s="86"/>
      <c r="O23" s="27">
        <f t="shared" si="0"/>
        <v>222.54535199999998</v>
      </c>
      <c r="P23" s="67"/>
    </row>
    <row r="24" spans="1:16" ht="13.5" thickBot="1" x14ac:dyDescent="0.25">
      <c r="A24" s="7" t="s">
        <v>12</v>
      </c>
      <c r="B24" s="22"/>
      <c r="C24" s="39">
        <v>48.091999999999999</v>
      </c>
      <c r="D24" s="39">
        <v>53</v>
      </c>
      <c r="E24" s="39">
        <v>58</v>
      </c>
      <c r="F24" s="39">
        <v>59.64</v>
      </c>
      <c r="G24" s="40">
        <v>64.48</v>
      </c>
      <c r="H24" s="41">
        <v>69.3</v>
      </c>
      <c r="I24" s="42">
        <v>69.3</v>
      </c>
      <c r="J24" s="43">
        <v>71.912999999999997</v>
      </c>
      <c r="K24" s="41">
        <v>75</v>
      </c>
      <c r="L24" s="41">
        <v>78</v>
      </c>
      <c r="M24" s="41">
        <v>89.8</v>
      </c>
      <c r="N24" s="87"/>
      <c r="O24" s="27">
        <f t="shared" si="0"/>
        <v>736.52499999999998</v>
      </c>
      <c r="P24" s="67"/>
    </row>
    <row r="25" spans="1:16" ht="13.5" thickBot="1" x14ac:dyDescent="0.25">
      <c r="A25" s="12" t="s">
        <v>23</v>
      </c>
      <c r="B25" s="44">
        <f t="shared" ref="B25:J25" si="1">SUM(B9:B24)</f>
        <v>4.4634</v>
      </c>
      <c r="C25" s="44">
        <f>SUM(C9:C24)</f>
        <v>93.086564390000007</v>
      </c>
      <c r="D25" s="44">
        <f t="shared" si="1"/>
        <v>106.25498396</v>
      </c>
      <c r="E25" s="44">
        <f t="shared" si="1"/>
        <v>110.91403173</v>
      </c>
      <c r="F25" s="44">
        <f t="shared" si="1"/>
        <v>160.39815135999999</v>
      </c>
      <c r="G25" s="44">
        <f t="shared" si="1"/>
        <v>274.92391606000001</v>
      </c>
      <c r="H25" s="44">
        <f t="shared" si="1"/>
        <v>216.20010949000005</v>
      </c>
      <c r="I25" s="44">
        <f t="shared" si="1"/>
        <v>282.29137800000001</v>
      </c>
      <c r="J25" s="44">
        <f t="shared" si="1"/>
        <v>269.32929425999998</v>
      </c>
      <c r="K25" s="44">
        <f>SUM(K9:K24)</f>
        <v>255.98825982</v>
      </c>
      <c r="L25" s="44">
        <f>SUM(L9:L24)</f>
        <v>252.64002400000001</v>
      </c>
      <c r="M25" s="44">
        <f>SUM(M9:M24)</f>
        <v>512.89099999999996</v>
      </c>
      <c r="N25" s="44">
        <f>SUM(N9:N24)</f>
        <v>18.865500000000001</v>
      </c>
      <c r="O25" s="64">
        <f>SUM(O9:O24)</f>
        <v>2558.2466130700004</v>
      </c>
      <c r="P25" s="67"/>
    </row>
    <row r="26" spans="1:16" s="16" customFormat="1" ht="13.5" thickBot="1" x14ac:dyDescent="0.25">
      <c r="A26" s="18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67"/>
    </row>
    <row r="27" spans="1:16" s="16" customFormat="1" ht="13.5" thickBot="1" x14ac:dyDescent="0.25">
      <c r="A27" s="83" t="s">
        <v>33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>
        <v>1</v>
      </c>
      <c r="N27" s="54"/>
      <c r="O27" s="55">
        <f>SUM(B27:N27)</f>
        <v>1</v>
      </c>
      <c r="P27" s="67"/>
    </row>
    <row r="28" spans="1:16" s="16" customFormat="1" ht="13.5" thickBot="1" x14ac:dyDescent="0.25">
      <c r="A28" s="68" t="s">
        <v>17</v>
      </c>
      <c r="B28" s="57">
        <v>325</v>
      </c>
      <c r="C28" s="57">
        <v>425</v>
      </c>
      <c r="D28" s="57"/>
      <c r="E28" s="57">
        <v>3.5</v>
      </c>
      <c r="F28" s="57">
        <v>5</v>
      </c>
      <c r="G28" s="57">
        <v>154.33799999999999</v>
      </c>
      <c r="H28" s="57"/>
      <c r="I28" s="57">
        <v>75</v>
      </c>
      <c r="J28" s="57">
        <v>75</v>
      </c>
      <c r="K28" s="57">
        <v>75</v>
      </c>
      <c r="L28" s="57">
        <v>75</v>
      </c>
      <c r="M28" s="79">
        <v>264.10000000000002</v>
      </c>
      <c r="N28" s="79">
        <v>183.8</v>
      </c>
      <c r="O28" s="55">
        <f t="shared" ref="O28:O33" si="2">SUM(B28:N28)</f>
        <v>1660.7380000000001</v>
      </c>
      <c r="P28" s="67"/>
    </row>
    <row r="29" spans="1:16" s="16" customFormat="1" ht="26.25" thickBot="1" x14ac:dyDescent="0.25">
      <c r="A29" s="68" t="s">
        <v>27</v>
      </c>
      <c r="B29" s="57"/>
      <c r="C29" s="57"/>
      <c r="D29" s="57"/>
      <c r="E29" s="57"/>
      <c r="F29" s="57"/>
      <c r="G29" s="57"/>
      <c r="H29" s="57"/>
      <c r="I29" s="60"/>
      <c r="J29" s="61"/>
      <c r="K29" s="61"/>
      <c r="L29" s="61"/>
      <c r="M29" s="79">
        <v>14.1</v>
      </c>
      <c r="N29" s="79"/>
      <c r="O29" s="55">
        <f t="shared" si="2"/>
        <v>14.1</v>
      </c>
      <c r="P29" s="67"/>
    </row>
    <row r="30" spans="1:16" ht="13.5" thickBot="1" x14ac:dyDescent="0.25">
      <c r="A30" s="63" t="s">
        <v>25</v>
      </c>
      <c r="B30" s="57"/>
      <c r="C30" s="57"/>
      <c r="D30" s="57"/>
      <c r="E30" s="57"/>
      <c r="F30" s="57"/>
      <c r="G30" s="57"/>
      <c r="H30" s="57"/>
      <c r="I30" s="60"/>
      <c r="J30" s="61">
        <v>5.8</v>
      </c>
      <c r="K30" s="61">
        <v>5.9</v>
      </c>
      <c r="L30" s="61">
        <v>4</v>
      </c>
      <c r="M30" s="81">
        <v>3.1</v>
      </c>
      <c r="N30" s="81">
        <v>0.23699999999999999</v>
      </c>
      <c r="O30" s="55">
        <f t="shared" si="2"/>
        <v>19.036999999999999</v>
      </c>
      <c r="P30" s="67"/>
    </row>
    <row r="31" spans="1:16" ht="13.5" thickBot="1" x14ac:dyDescent="0.25">
      <c r="A31" s="80" t="s">
        <v>32</v>
      </c>
      <c r="B31" s="57"/>
      <c r="C31" s="57"/>
      <c r="D31" s="57"/>
      <c r="E31" s="57"/>
      <c r="F31" s="57"/>
      <c r="G31" s="57"/>
      <c r="H31" s="57"/>
      <c r="I31" s="60"/>
      <c r="J31" s="61"/>
      <c r="K31" s="61"/>
      <c r="L31" s="61"/>
      <c r="M31" s="81">
        <f>2361/1000</f>
        <v>2.3610000000000002</v>
      </c>
      <c r="N31" s="81"/>
      <c r="O31" s="55">
        <f t="shared" si="2"/>
        <v>2.3610000000000002</v>
      </c>
      <c r="P31" s="67"/>
    </row>
    <row r="32" spans="1:16" ht="26.25" thickBot="1" x14ac:dyDescent="0.25">
      <c r="A32" s="89" t="s">
        <v>36</v>
      </c>
      <c r="B32" s="57"/>
      <c r="C32" s="57"/>
      <c r="D32" s="57"/>
      <c r="E32" s="57"/>
      <c r="F32" s="57"/>
      <c r="G32" s="57"/>
      <c r="H32" s="57"/>
      <c r="I32" s="60"/>
      <c r="J32" s="61"/>
      <c r="K32" s="61"/>
      <c r="L32" s="61"/>
      <c r="M32" s="81"/>
      <c r="N32" s="81">
        <v>2.1</v>
      </c>
      <c r="O32" s="55">
        <f t="shared" si="2"/>
        <v>2.1</v>
      </c>
      <c r="P32" s="67"/>
    </row>
    <row r="33" spans="1:16" ht="13.5" thickBot="1" x14ac:dyDescent="0.25">
      <c r="A33" s="21" t="s">
        <v>16</v>
      </c>
      <c r="B33" s="82">
        <v>0.02</v>
      </c>
      <c r="C33" s="56"/>
      <c r="D33" s="56">
        <v>1.6303609999999999</v>
      </c>
      <c r="E33" s="56">
        <v>2.5808469999999999</v>
      </c>
      <c r="F33" s="56">
        <v>1.805051</v>
      </c>
      <c r="G33" s="56">
        <v>0.47348000000000001</v>
      </c>
      <c r="H33" s="56">
        <v>1.904352</v>
      </c>
      <c r="I33" s="62">
        <v>1.1000000000000001</v>
      </c>
      <c r="J33" s="62">
        <v>0.8</v>
      </c>
      <c r="K33" s="62">
        <v>1</v>
      </c>
      <c r="L33" s="62">
        <v>1</v>
      </c>
      <c r="M33" s="79">
        <v>0.8</v>
      </c>
      <c r="N33" s="79">
        <v>0.6</v>
      </c>
      <c r="O33" s="55">
        <f t="shared" si="2"/>
        <v>13.714091</v>
      </c>
      <c r="P33" s="67"/>
    </row>
    <row r="34" spans="1:16" ht="13.5" thickBot="1" x14ac:dyDescent="0.25">
      <c r="A34" s="12" t="s">
        <v>24</v>
      </c>
      <c r="B34" s="59">
        <f t="shared" ref="B34:O34" si="3">SUM(B27:B33)</f>
        <v>325.02</v>
      </c>
      <c r="C34" s="59">
        <f t="shared" si="3"/>
        <v>425</v>
      </c>
      <c r="D34" s="59">
        <f t="shared" si="3"/>
        <v>1.6303609999999999</v>
      </c>
      <c r="E34" s="59">
        <f t="shared" si="3"/>
        <v>6.0808470000000003</v>
      </c>
      <c r="F34" s="59">
        <f t="shared" si="3"/>
        <v>6.8050509999999997</v>
      </c>
      <c r="G34" s="59">
        <f t="shared" si="3"/>
        <v>154.81147999999999</v>
      </c>
      <c r="H34" s="59">
        <f t="shared" si="3"/>
        <v>1.904352</v>
      </c>
      <c r="I34" s="59">
        <f t="shared" si="3"/>
        <v>76.099999999999994</v>
      </c>
      <c r="J34" s="59">
        <f t="shared" si="3"/>
        <v>81.599999999999994</v>
      </c>
      <c r="K34" s="59">
        <f t="shared" si="3"/>
        <v>81.900000000000006</v>
      </c>
      <c r="L34" s="59">
        <f t="shared" si="3"/>
        <v>80</v>
      </c>
      <c r="M34" s="59">
        <f t="shared" si="3"/>
        <v>285.46100000000007</v>
      </c>
      <c r="N34" s="59">
        <f t="shared" si="3"/>
        <v>186.73699999999999</v>
      </c>
      <c r="O34" s="65">
        <f t="shared" si="3"/>
        <v>1713.0500910000001</v>
      </c>
      <c r="P34" s="67"/>
    </row>
    <row r="35" spans="1:16" s="16" customFormat="1" ht="13.5" thickBot="1" x14ac:dyDescent="0.25">
      <c r="A35" s="18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5"/>
      <c r="P35" s="67"/>
    </row>
    <row r="36" spans="1:16" ht="13.5" thickBot="1" x14ac:dyDescent="0.25">
      <c r="A36" s="19" t="s">
        <v>20</v>
      </c>
      <c r="B36" s="47">
        <f t="shared" ref="B36:O36" si="4">B25+B34</f>
        <v>329.48339999999996</v>
      </c>
      <c r="C36" s="47">
        <f t="shared" si="4"/>
        <v>518.08656439000004</v>
      </c>
      <c r="D36" s="47">
        <f t="shared" si="4"/>
        <v>107.88534496</v>
      </c>
      <c r="E36" s="47">
        <f t="shared" si="4"/>
        <v>116.99487873000001</v>
      </c>
      <c r="F36" s="47">
        <f t="shared" si="4"/>
        <v>167.20320235999998</v>
      </c>
      <c r="G36" s="47">
        <f t="shared" si="4"/>
        <v>429.73539605999997</v>
      </c>
      <c r="H36" s="47">
        <f t="shared" si="4"/>
        <v>218.10446149000003</v>
      </c>
      <c r="I36" s="47">
        <f t="shared" si="4"/>
        <v>358.39137800000003</v>
      </c>
      <c r="J36" s="47">
        <f t="shared" si="4"/>
        <v>350.92929426000001</v>
      </c>
      <c r="K36" s="47">
        <f t="shared" si="4"/>
        <v>337.88825982000003</v>
      </c>
      <c r="L36" s="47">
        <f t="shared" si="4"/>
        <v>332.64002400000004</v>
      </c>
      <c r="M36" s="47">
        <f t="shared" si="4"/>
        <v>798.35200000000009</v>
      </c>
      <c r="N36" s="47">
        <f t="shared" si="4"/>
        <v>205.60249999999999</v>
      </c>
      <c r="O36" s="48">
        <f t="shared" si="4"/>
        <v>4271.2967040700005</v>
      </c>
      <c r="P36" s="67"/>
    </row>
    <row r="37" spans="1:16" s="14" customFormat="1" ht="13.5" thickBot="1" x14ac:dyDescent="0.25">
      <c r="A37" s="1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67"/>
    </row>
    <row r="38" spans="1:16" ht="13.5" thickBot="1" x14ac:dyDescent="0.25">
      <c r="A38" s="13" t="s">
        <v>19</v>
      </c>
      <c r="B38" s="44"/>
      <c r="C38" s="44"/>
      <c r="D38" s="44"/>
      <c r="E38" s="44"/>
      <c r="F38" s="44"/>
      <c r="G38" s="44"/>
      <c r="H38" s="44">
        <v>524.74928499999999</v>
      </c>
      <c r="I38" s="44">
        <v>428.268866</v>
      </c>
      <c r="J38" s="44">
        <v>272.63813299999998</v>
      </c>
      <c r="K38" s="44">
        <v>330.02699999999999</v>
      </c>
      <c r="L38" s="44">
        <v>320</v>
      </c>
      <c r="M38" s="44">
        <v>300</v>
      </c>
      <c r="N38" s="88"/>
      <c r="O38" s="49">
        <f>SUM(B38:N38)</f>
        <v>2175.6832839999997</v>
      </c>
      <c r="P38" s="67"/>
    </row>
    <row r="39" spans="1:16" ht="13.5" thickBot="1" x14ac:dyDescent="0.25">
      <c r="A39" s="13" t="s">
        <v>18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>
        <v>42.877049999999997</v>
      </c>
      <c r="M39" s="44">
        <f>128165700/1000000</f>
        <v>128.16569999999999</v>
      </c>
      <c r="N39" s="44"/>
      <c r="O39" s="64">
        <f>SUM(B39:N39)</f>
        <v>171.04274999999998</v>
      </c>
      <c r="P39" s="67"/>
    </row>
    <row r="40" spans="1:16" s="16" customFormat="1" ht="13.5" thickBot="1" x14ac:dyDescent="0.25">
      <c r="A40" s="1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67"/>
    </row>
    <row r="41" spans="1:16" ht="13.5" thickBot="1" x14ac:dyDescent="0.25">
      <c r="A41" s="20" t="s">
        <v>15</v>
      </c>
      <c r="B41" s="50">
        <f t="shared" ref="B41:N41" si="5">SUM(B25+B38+B39+B34)</f>
        <v>329.48339999999996</v>
      </c>
      <c r="C41" s="50">
        <f t="shared" si="5"/>
        <v>518.08656439000004</v>
      </c>
      <c r="D41" s="50">
        <f t="shared" si="5"/>
        <v>107.88534496</v>
      </c>
      <c r="E41" s="50">
        <f t="shared" si="5"/>
        <v>116.99487873000001</v>
      </c>
      <c r="F41" s="50">
        <f t="shared" si="5"/>
        <v>167.20320235999998</v>
      </c>
      <c r="G41" s="50">
        <f t="shared" si="5"/>
        <v>429.73539605999997</v>
      </c>
      <c r="H41" s="50">
        <f t="shared" si="5"/>
        <v>742.85374649000005</v>
      </c>
      <c r="I41" s="50">
        <f t="shared" si="5"/>
        <v>786.66024400000003</v>
      </c>
      <c r="J41" s="50">
        <f t="shared" si="5"/>
        <v>623.56742726000004</v>
      </c>
      <c r="K41" s="50">
        <f t="shared" si="5"/>
        <v>667.91525981999996</v>
      </c>
      <c r="L41" s="50">
        <f t="shared" si="5"/>
        <v>695.51707400000009</v>
      </c>
      <c r="M41" s="50">
        <f t="shared" si="5"/>
        <v>1226.5177000000001</v>
      </c>
      <c r="N41" s="50">
        <f t="shared" si="5"/>
        <v>205.60249999999999</v>
      </c>
      <c r="O41" s="50">
        <f>SUM(O36:O39)</f>
        <v>6618.0227380699998</v>
      </c>
      <c r="P41" s="67"/>
    </row>
    <row r="42" spans="1:16" x14ac:dyDescent="0.2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6" x14ac:dyDescent="0.2">
      <c r="A43" s="52" t="s">
        <v>14</v>
      </c>
      <c r="C43" s="2"/>
      <c r="D43" s="2"/>
      <c r="F43" s="2"/>
      <c r="G43" s="2"/>
      <c r="H43" s="51"/>
    </row>
    <row r="44" spans="1:16" x14ac:dyDescent="0.2">
      <c r="K44" s="2"/>
      <c r="L44" s="2"/>
      <c r="M44" s="2"/>
      <c r="N44" s="2"/>
    </row>
  </sheetData>
  <phoneticPr fontId="4" type="noConversion"/>
  <pageMargins left="0.7" right="0.7" top="0.75" bottom="0.75" header="0.3" footer="0.3"/>
  <pageSetup paperSize="9" scale="84" orientation="landscape" r:id="rId1"/>
  <headerFooter alignWithMargins="0"/>
  <ignoredErrors>
    <ignoredError sqref="H25:J25 C25:G25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2000-2010</vt:lpstr>
      <vt:lpstr>2000-2012</vt:lpstr>
      <vt:lpstr>'2000-2010'!Print_Area</vt:lpstr>
      <vt:lpstr>'2000-2012'!Print_Area</vt:lpstr>
    </vt:vector>
  </TitlesOfParts>
  <Company>Solveo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Gavi Alliance</cp:lastModifiedBy>
  <cp:lastPrinted>2011-10-21T08:02:54Z</cp:lastPrinted>
  <dcterms:created xsi:type="dcterms:W3CDTF">2008-01-07T10:15:20Z</dcterms:created>
  <dcterms:modified xsi:type="dcterms:W3CDTF">2012-05-01T09:18:09Z</dcterms:modified>
</cp:coreProperties>
</file>