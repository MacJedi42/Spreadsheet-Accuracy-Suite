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11355" windowHeight="5385"/>
  </bookViews>
  <sheets>
    <sheet name="Rev 3429" sheetId="1" r:id="rId1"/>
    <sheet name="Approp 3429" sheetId="2" r:id="rId2"/>
    <sheet name="Approp 3430" sheetId="3" r:id="rId3"/>
    <sheet name="Rev 3430" sheetId="4" r:id="rId4"/>
  </sheets>
  <calcPr calcId="125725"/>
</workbook>
</file>

<file path=xl/calcChain.xml><?xml version="1.0" encoding="utf-8"?>
<calcChain xmlns="http://schemas.openxmlformats.org/spreadsheetml/2006/main">
  <c r="O49" i="3"/>
  <c r="O41" i="4"/>
  <c r="O55" i="2"/>
  <c r="O41" i="1"/>
</calcChain>
</file>

<file path=xl/sharedStrings.xml><?xml version="1.0" encoding="utf-8"?>
<sst xmlns="http://schemas.openxmlformats.org/spreadsheetml/2006/main" count="197" uniqueCount="37">
  <si>
    <t>REQUEST FOR SUPPLEMENTAL REVENUE</t>
  </si>
  <si>
    <t>CITY  OF  KANSAS  CITY,  MISSOURI</t>
  </si>
  <si>
    <t xml:space="preserve"> </t>
  </si>
  <si>
    <t>DEPARTMENT:</t>
  </si>
  <si>
    <t>Finance</t>
  </si>
  <si>
    <t>BUSINESS UNIT:</t>
  </si>
  <si>
    <t>KCMBU</t>
  </si>
  <si>
    <t>DATE:</t>
  </si>
  <si>
    <t>JOURNAL ID:</t>
  </si>
  <si>
    <t>LEDGER GROUP:</t>
  </si>
  <si>
    <t>REVENUE</t>
  </si>
  <si>
    <t>FUND</t>
  </si>
  <si>
    <t>DEPT ID</t>
  </si>
  <si>
    <t>ACCOUNT</t>
  </si>
  <si>
    <t>PROJECT</t>
  </si>
  <si>
    <t>AMOUNT</t>
  </si>
  <si>
    <t>INC/DEC</t>
  </si>
  <si>
    <t>I</t>
  </si>
  <si>
    <t>TOTAL</t>
  </si>
  <si>
    <t>DESCRIPTION:</t>
  </si>
  <si>
    <t>APPROVED BY:</t>
  </si>
  <si>
    <t>DATE</t>
  </si>
  <si>
    <t>APPROVED BY:  DEPARTMENT HEAD</t>
  </si>
  <si>
    <t>APPROPRIATION TRANSACTION</t>
  </si>
  <si>
    <t>APPROP</t>
  </si>
  <si>
    <t xml:space="preserve">JOURNAL ID:  </t>
  </si>
  <si>
    <t>C</t>
  </si>
  <si>
    <t>(same as above, except</t>
  </si>
  <si>
    <t>ADMIN</t>
  </si>
  <si>
    <t>prefixed by a C)</t>
  </si>
  <si>
    <t>NET</t>
  </si>
  <si>
    <t>AL</t>
  </si>
  <si>
    <t>BUDGET PERIOD:  FY 12</t>
  </si>
  <si>
    <t xml:space="preserve">I </t>
  </si>
  <si>
    <t>Special Obligation 2012B</t>
  </si>
  <si>
    <t>Special Obligtion Bonds, 2012A</t>
  </si>
  <si>
    <t>i</t>
  </si>
</sst>
</file>

<file path=xl/styles.xml><?xml version="1.0" encoding="utf-8"?>
<styleSheet xmlns="http://schemas.openxmlformats.org/spreadsheetml/2006/main">
  <numFmts count="2">
    <numFmt numFmtId="7" formatCode="&quot;$&quot;#,##0.00_);\(&quot;$&quot;#,##0.00\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right"/>
    </xf>
    <xf numFmtId="14" fontId="3" fillId="0" borderId="1" xfId="0" applyNumberFormat="1" applyFont="1" applyBorder="1"/>
    <xf numFmtId="0" fontId="3" fillId="0" borderId="0" xfId="0" applyFont="1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5" fillId="0" borderId="0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7" fontId="0" fillId="0" borderId="1" xfId="0" applyNumberFormat="1" applyBorder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7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left"/>
    </xf>
    <xf numFmtId="0" fontId="0" fillId="0" borderId="0" xfId="0" applyBorder="1"/>
    <xf numFmtId="49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3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43" fontId="0" fillId="0" borderId="0" xfId="0" applyNumberFormat="1" applyBorder="1" applyAlignment="1">
      <alignment horizontal="center"/>
    </xf>
    <xf numFmtId="7" fontId="0" fillId="0" borderId="1" xfId="0" applyNumberFormat="1" applyBorder="1"/>
    <xf numFmtId="0" fontId="5" fillId="0" borderId="0" xfId="0" applyFont="1"/>
    <xf numFmtId="39" fontId="0" fillId="0" borderId="1" xfId="0" applyNumberFormat="1" applyBorder="1" applyAlignment="1">
      <alignment horizontal="right"/>
    </xf>
    <xf numFmtId="39" fontId="0" fillId="0" borderId="0" xfId="0" applyNumberFormat="1" applyAlignment="1">
      <alignment horizontal="right"/>
    </xf>
    <xf numFmtId="0" fontId="0" fillId="0" borderId="1" xfId="0" applyFill="1" applyBorder="1" applyAlignment="1">
      <alignment horizontal="center"/>
    </xf>
    <xf numFmtId="43" fontId="0" fillId="0" borderId="1" xfId="0" applyNumberFormat="1" applyBorder="1"/>
    <xf numFmtId="49" fontId="0" fillId="0" borderId="0" xfId="0" applyNumberFormat="1" applyAlignment="1">
      <alignment horizontal="left"/>
    </xf>
    <xf numFmtId="43" fontId="0" fillId="0" borderId="0" xfId="0" applyNumberFormat="1"/>
    <xf numFmtId="39" fontId="0" fillId="0" borderId="0" xfId="0" applyNumberFormat="1"/>
    <xf numFmtId="0" fontId="4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43" fontId="0" fillId="0" borderId="0" xfId="0" applyNumberFormat="1" applyBorder="1"/>
    <xf numFmtId="0" fontId="6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6" fillId="0" borderId="0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123825</xdr:rowOff>
    </xdr:from>
    <xdr:to>
      <xdr:col>2</xdr:col>
      <xdr:colOff>171450</xdr:colOff>
      <xdr:row>4</xdr:row>
      <xdr:rowOff>76200</xdr:rowOff>
    </xdr:to>
    <xdr:pic>
      <xdr:nvPicPr>
        <xdr:cNvPr id="102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123825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2</xdr:col>
      <xdr:colOff>47625</xdr:colOff>
      <xdr:row>4</xdr:row>
      <xdr:rowOff>66675</xdr:rowOff>
    </xdr:to>
    <xdr:pic>
      <xdr:nvPicPr>
        <xdr:cNvPr id="204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4300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3</xdr:col>
      <xdr:colOff>28575</xdr:colOff>
      <xdr:row>4</xdr:row>
      <xdr:rowOff>66675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4300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123825</xdr:rowOff>
    </xdr:from>
    <xdr:to>
      <xdr:col>4</xdr:col>
      <xdr:colOff>152400</xdr:colOff>
      <xdr:row>4</xdr:row>
      <xdr:rowOff>76200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123825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topLeftCell="A4" zoomScaleNormal="100" workbookViewId="0">
      <selection activeCell="A14" sqref="A14"/>
    </sheetView>
  </sheetViews>
  <sheetFormatPr defaultRowHeight="12.75"/>
  <cols>
    <col min="1" max="1" width="4.42578125" customWidth="1"/>
    <col min="2" max="2" width="1.7109375" customWidth="1"/>
    <col min="3" max="3" width="10.7109375" customWidth="1"/>
    <col min="4" max="4" width="1.7109375" customWidth="1"/>
    <col min="5" max="5" width="14.28515625" customWidth="1"/>
    <col min="6" max="6" width="1.7109375" customWidth="1"/>
    <col min="7" max="7" width="10.7109375" customWidth="1"/>
    <col min="8" max="8" width="1.7109375" customWidth="1"/>
    <col min="9" max="9" width="15.28515625" customWidth="1"/>
    <col min="10" max="10" width="1.7109375" customWidth="1"/>
    <col min="11" max="11" width="21" customWidth="1"/>
    <col min="12" max="12" width="1.7109375" customWidth="1"/>
    <col min="13" max="13" width="10.7109375" customWidth="1"/>
    <col min="14" max="14" width="1.7109375" customWidth="1"/>
    <col min="15" max="15" width="17.5703125" bestFit="1" customWidth="1"/>
    <col min="16" max="16" width="8.85546875" customWidth="1"/>
  </cols>
  <sheetData>
    <row r="1" spans="1:17" ht="20.25">
      <c r="C1" s="42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7" ht="15.75">
      <c r="C2" s="43" t="s">
        <v>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7" ht="15.75">
      <c r="C3" s="43" t="s">
        <v>2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17">
      <c r="D4" s="1" t="s">
        <v>3</v>
      </c>
      <c r="G4" s="2" t="s">
        <v>4</v>
      </c>
      <c r="H4" s="2"/>
      <c r="I4" s="2"/>
      <c r="J4" s="2"/>
      <c r="K4" s="2"/>
      <c r="L4" s="2"/>
      <c r="M4" s="2"/>
    </row>
    <row r="6" spans="1:17" s="3" customFormat="1" ht="15.75">
      <c r="A6" s="3" t="s">
        <v>5</v>
      </c>
      <c r="E6" s="4" t="s">
        <v>6</v>
      </c>
      <c r="G6" s="5" t="s">
        <v>7</v>
      </c>
      <c r="I6" s="6">
        <v>41004</v>
      </c>
      <c r="J6" s="4"/>
      <c r="K6" s="5" t="s">
        <v>8</v>
      </c>
      <c r="M6" s="4"/>
      <c r="N6" s="4"/>
      <c r="O6" s="4"/>
      <c r="P6" s="7"/>
      <c r="Q6" s="7"/>
    </row>
    <row r="8" spans="1:17" s="3" customFormat="1" ht="15.75">
      <c r="A8" s="3" t="s">
        <v>9</v>
      </c>
      <c r="C8" s="7"/>
      <c r="D8" s="4"/>
      <c r="E8" s="4"/>
      <c r="F8" s="4" t="s">
        <v>10</v>
      </c>
      <c r="G8" s="4"/>
      <c r="H8" s="7"/>
      <c r="K8" s="7"/>
      <c r="M8" s="7"/>
    </row>
    <row r="10" spans="1:17" s="1" customFormat="1">
      <c r="C10" s="8" t="s">
        <v>11</v>
      </c>
      <c r="E10" s="8" t="s">
        <v>12</v>
      </c>
      <c r="G10" s="8" t="s">
        <v>13</v>
      </c>
      <c r="I10" s="8" t="s">
        <v>14</v>
      </c>
      <c r="K10" s="8" t="s">
        <v>15</v>
      </c>
      <c r="M10" s="9" t="s">
        <v>16</v>
      </c>
    </row>
    <row r="12" spans="1:17">
      <c r="A12" s="10" t="s">
        <v>31</v>
      </c>
      <c r="C12" s="11">
        <v>3429</v>
      </c>
      <c r="E12" s="11">
        <v>120000</v>
      </c>
      <c r="G12" s="34">
        <v>590000</v>
      </c>
      <c r="I12" s="11"/>
      <c r="K12" s="12">
        <v>2608650</v>
      </c>
      <c r="M12" s="11" t="s">
        <v>17</v>
      </c>
    </row>
    <row r="13" spans="1:17">
      <c r="A13" s="13"/>
      <c r="C13" s="14"/>
      <c r="E13" s="14"/>
      <c r="G13" s="14"/>
      <c r="I13" s="14"/>
      <c r="K13" s="15"/>
    </row>
    <row r="14" spans="1:17">
      <c r="A14" s="10" t="s">
        <v>31</v>
      </c>
      <c r="C14" s="11">
        <v>3429</v>
      </c>
      <c r="E14" s="11">
        <v>120000</v>
      </c>
      <c r="G14" s="11">
        <v>485100</v>
      </c>
      <c r="I14" s="11"/>
      <c r="K14" s="12">
        <v>191404</v>
      </c>
      <c r="M14" s="11" t="s">
        <v>17</v>
      </c>
    </row>
    <row r="15" spans="1:17">
      <c r="A15" s="13"/>
      <c r="C15" s="14"/>
      <c r="E15" s="14"/>
      <c r="G15" s="14"/>
      <c r="I15" s="14"/>
      <c r="K15" s="15"/>
      <c r="M15" s="14"/>
    </row>
    <row r="16" spans="1:17">
      <c r="A16" s="10"/>
      <c r="C16" s="11"/>
      <c r="E16" s="11"/>
      <c r="G16" s="11"/>
      <c r="I16" s="11"/>
      <c r="K16" s="12"/>
      <c r="M16" s="11"/>
    </row>
    <row r="17" spans="1:15">
      <c r="A17" s="16"/>
      <c r="C17" s="14"/>
      <c r="E17" s="14"/>
      <c r="G17" s="14"/>
      <c r="I17" s="14"/>
      <c r="K17" s="15"/>
      <c r="M17" s="14"/>
    </row>
    <row r="18" spans="1:15">
      <c r="A18" s="10"/>
      <c r="C18" s="11"/>
      <c r="E18" s="11"/>
      <c r="G18" s="11"/>
      <c r="I18" s="11"/>
      <c r="K18" s="12"/>
      <c r="M18" s="11"/>
    </row>
    <row r="19" spans="1:15">
      <c r="A19" s="16"/>
      <c r="C19" s="14"/>
      <c r="E19" s="14"/>
      <c r="G19" s="14"/>
      <c r="I19" s="14"/>
      <c r="K19" s="15"/>
      <c r="M19" s="14"/>
    </row>
    <row r="20" spans="1:15">
      <c r="A20" s="10"/>
      <c r="C20" s="11"/>
      <c r="E20" s="11"/>
      <c r="G20" s="11"/>
      <c r="I20" s="11"/>
      <c r="K20" s="12"/>
      <c r="M20" s="11"/>
    </row>
    <row r="21" spans="1:15">
      <c r="A21" s="13"/>
      <c r="C21" s="14"/>
      <c r="E21" s="14"/>
      <c r="G21" s="14"/>
      <c r="I21" s="14"/>
      <c r="K21" s="15"/>
      <c r="M21" s="14"/>
      <c r="O21" s="17"/>
    </row>
    <row r="22" spans="1:15">
      <c r="A22" s="18"/>
      <c r="C22" s="11"/>
      <c r="E22" s="11"/>
      <c r="G22" s="11"/>
      <c r="I22" s="11"/>
      <c r="K22" s="12"/>
      <c r="M22" s="11"/>
      <c r="O22" s="17"/>
    </row>
    <row r="23" spans="1:15">
      <c r="A23" s="19"/>
      <c r="C23" s="14"/>
      <c r="E23" s="14"/>
      <c r="G23" s="14"/>
      <c r="I23" s="14"/>
      <c r="K23" s="15"/>
      <c r="M23" s="14"/>
      <c r="O23" s="17"/>
    </row>
    <row r="24" spans="1:15">
      <c r="A24" s="18"/>
      <c r="C24" s="11"/>
      <c r="E24" s="11"/>
      <c r="G24" s="11"/>
      <c r="I24" s="11"/>
      <c r="K24" s="12"/>
      <c r="M24" s="11"/>
      <c r="O24" s="17"/>
    </row>
    <row r="25" spans="1:15">
      <c r="A25" s="20"/>
      <c r="C25" s="14"/>
      <c r="E25" s="14"/>
      <c r="G25" s="14"/>
      <c r="I25" s="14"/>
      <c r="K25" s="21"/>
      <c r="M25" s="14"/>
      <c r="O25" s="17"/>
    </row>
    <row r="26" spans="1:15">
      <c r="A26" s="20"/>
      <c r="C26" s="22"/>
      <c r="D26" s="17"/>
      <c r="E26" s="22"/>
      <c r="F26" s="17"/>
      <c r="G26" s="22"/>
      <c r="H26" s="17"/>
      <c r="I26" s="22"/>
      <c r="J26" s="17"/>
      <c r="K26" s="23"/>
      <c r="L26" s="17"/>
      <c r="M26" s="22"/>
      <c r="O26" s="17"/>
    </row>
    <row r="27" spans="1:15">
      <c r="A27" s="20"/>
      <c r="C27" s="22"/>
      <c r="D27" s="17"/>
      <c r="E27" s="22"/>
      <c r="F27" s="17"/>
      <c r="G27" s="22"/>
      <c r="H27" s="17"/>
      <c r="I27" s="22"/>
      <c r="J27" s="17"/>
      <c r="K27" s="23"/>
      <c r="L27" s="17"/>
      <c r="M27" s="22"/>
      <c r="O27" s="17"/>
    </row>
    <row r="28" spans="1:15">
      <c r="A28" s="20"/>
      <c r="C28" s="22"/>
      <c r="D28" s="17"/>
      <c r="E28" s="22"/>
      <c r="F28" s="17"/>
      <c r="G28" s="22"/>
      <c r="H28" s="17"/>
      <c r="I28" s="22"/>
      <c r="J28" s="17"/>
      <c r="K28" s="23"/>
      <c r="L28" s="17"/>
      <c r="M28" s="22"/>
      <c r="O28" s="17"/>
    </row>
    <row r="29" spans="1:15">
      <c r="C29" s="17"/>
      <c r="E29" s="17"/>
      <c r="G29" s="17"/>
      <c r="I29" s="17"/>
      <c r="K29" s="17"/>
      <c r="O29" s="17"/>
    </row>
    <row r="30" spans="1:15">
      <c r="C30" s="17"/>
      <c r="E30" s="17"/>
      <c r="G30" s="17"/>
      <c r="I30" s="17"/>
      <c r="K30" s="17"/>
      <c r="O30" s="17"/>
    </row>
    <row r="31" spans="1:15">
      <c r="C31" s="17"/>
      <c r="E31" s="17"/>
      <c r="G31" s="17"/>
      <c r="I31" s="17"/>
      <c r="K31" s="17"/>
      <c r="O31" s="17"/>
    </row>
    <row r="32" spans="1:15">
      <c r="C32" s="17"/>
      <c r="E32" s="17"/>
      <c r="G32" s="17"/>
      <c r="I32" s="17"/>
      <c r="K32" s="17"/>
      <c r="O32" s="17"/>
    </row>
    <row r="33" spans="1:16">
      <c r="C33" s="17"/>
      <c r="E33" s="17"/>
      <c r="G33" s="17"/>
      <c r="I33" s="17"/>
      <c r="K33" s="17"/>
      <c r="O33" s="17"/>
    </row>
    <row r="34" spans="1:16">
      <c r="C34" s="17"/>
      <c r="E34" s="17"/>
      <c r="G34" s="17"/>
      <c r="I34" s="17"/>
      <c r="K34" s="17"/>
      <c r="O34" s="17"/>
    </row>
    <row r="35" spans="1:16">
      <c r="C35" s="17"/>
      <c r="E35" s="17"/>
      <c r="G35" s="17"/>
      <c r="I35" s="17"/>
      <c r="K35" s="17"/>
      <c r="O35" s="17"/>
    </row>
    <row r="36" spans="1:16">
      <c r="C36" s="17"/>
      <c r="E36" s="17"/>
      <c r="G36" s="17"/>
      <c r="I36" s="17"/>
      <c r="K36" s="17"/>
      <c r="O36" s="17"/>
    </row>
    <row r="37" spans="1:16">
      <c r="C37" s="17"/>
      <c r="E37" s="17"/>
      <c r="G37" s="17"/>
      <c r="I37" s="17"/>
      <c r="K37" s="17"/>
      <c r="O37" s="17"/>
    </row>
    <row r="38" spans="1:16">
      <c r="C38" s="17"/>
      <c r="E38" s="17"/>
      <c r="G38" s="17"/>
      <c r="I38" s="17"/>
      <c r="K38" s="17"/>
      <c r="O38" s="17"/>
    </row>
    <row r="39" spans="1:16">
      <c r="C39" s="17"/>
      <c r="E39" s="17"/>
      <c r="G39" s="17"/>
      <c r="I39" s="17"/>
      <c r="K39" s="17"/>
      <c r="O39" s="17"/>
    </row>
    <row r="40" spans="1:16">
      <c r="C40" s="17"/>
      <c r="E40" s="17"/>
      <c r="G40" s="17"/>
      <c r="I40" s="17"/>
      <c r="K40" s="17"/>
      <c r="O40" s="17"/>
    </row>
    <row r="41" spans="1:16">
      <c r="M41" t="s">
        <v>18</v>
      </c>
      <c r="O41" s="24">
        <f>K12+K14+K16+K18+K20</f>
        <v>2800054</v>
      </c>
    </row>
    <row r="42" spans="1:16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7"/>
    </row>
    <row r="44" spans="1:16">
      <c r="A44" s="25" t="s">
        <v>19</v>
      </c>
    </row>
    <row r="45" spans="1:16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7" spans="1:16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9" spans="1:15">
      <c r="A49" t="s">
        <v>20</v>
      </c>
      <c r="G49" t="s">
        <v>21</v>
      </c>
      <c r="I49" t="s">
        <v>22</v>
      </c>
      <c r="O49" t="s">
        <v>21</v>
      </c>
    </row>
    <row r="51" spans="1:15">
      <c r="A51" s="2"/>
      <c r="B51" s="2"/>
      <c r="C51" s="2"/>
      <c r="D51" s="2"/>
      <c r="E51" s="2"/>
      <c r="G51" s="2"/>
      <c r="I51" s="2"/>
      <c r="J51" s="2"/>
      <c r="K51" s="2"/>
      <c r="L51" s="2"/>
      <c r="M51" s="2"/>
      <c r="O51" s="2"/>
    </row>
  </sheetData>
  <mergeCells count="3">
    <mergeCell ref="C1:O1"/>
    <mergeCell ref="C2:O2"/>
    <mergeCell ref="C3:O3"/>
  </mergeCells>
  <phoneticPr fontId="7" type="noConversion"/>
  <pageMargins left="0" right="0" top="0.5" bottom="1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4"/>
  <sheetViews>
    <sheetView topLeftCell="A22" zoomScaleNormal="100" workbookViewId="0">
      <selection activeCell="G35" sqref="G35"/>
    </sheetView>
  </sheetViews>
  <sheetFormatPr defaultRowHeight="12.75"/>
  <cols>
    <col min="1" max="1" width="6.140625" customWidth="1"/>
    <col min="2" max="2" width="1.7109375" customWidth="1"/>
    <col min="3" max="3" width="10.7109375" customWidth="1"/>
    <col min="4" max="4" width="1.7109375" customWidth="1"/>
    <col min="5" max="5" width="14.28515625" customWidth="1"/>
    <col min="6" max="6" width="1.7109375" customWidth="1"/>
    <col min="7" max="7" width="10.7109375" customWidth="1"/>
    <col min="8" max="8" width="1.7109375" customWidth="1"/>
    <col min="9" max="9" width="15.28515625" customWidth="1"/>
    <col min="10" max="10" width="1.7109375" customWidth="1"/>
    <col min="11" max="11" width="24.140625" customWidth="1"/>
    <col min="12" max="12" width="1.7109375" customWidth="1"/>
    <col min="13" max="13" width="10.7109375" customWidth="1"/>
    <col min="14" max="14" width="1.7109375" customWidth="1"/>
    <col min="15" max="15" width="15.140625" bestFit="1" customWidth="1"/>
    <col min="16" max="16" width="8.85546875" customWidth="1"/>
  </cols>
  <sheetData>
    <row r="1" spans="1:17" ht="20.25">
      <c r="C1" s="42" t="s">
        <v>23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7" ht="15.75">
      <c r="C2" s="43" t="s">
        <v>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7" ht="15.75">
      <c r="C3" s="43" t="s">
        <v>2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17">
      <c r="D4" s="1" t="s">
        <v>3</v>
      </c>
      <c r="G4" s="2" t="s">
        <v>4</v>
      </c>
      <c r="H4" s="2"/>
      <c r="I4" s="2"/>
      <c r="J4" s="2"/>
      <c r="K4" s="2"/>
      <c r="L4" s="2"/>
      <c r="M4" s="2"/>
    </row>
    <row r="6" spans="1:17" s="3" customFormat="1" ht="15.75">
      <c r="A6" s="3" t="s">
        <v>5</v>
      </c>
      <c r="E6" s="4" t="s">
        <v>6</v>
      </c>
      <c r="G6" s="5" t="s">
        <v>7</v>
      </c>
      <c r="I6" s="6">
        <v>41004</v>
      </c>
      <c r="J6" s="4"/>
      <c r="K6" s="5" t="s">
        <v>8</v>
      </c>
      <c r="M6" s="4"/>
      <c r="N6" s="4"/>
      <c r="O6" s="4"/>
      <c r="P6" s="7"/>
      <c r="Q6" s="7"/>
    </row>
    <row r="8" spans="1:17" s="3" customFormat="1" ht="15.75">
      <c r="A8" s="3" t="s">
        <v>9</v>
      </c>
      <c r="C8" s="7"/>
      <c r="D8" s="4"/>
      <c r="E8" s="4"/>
      <c r="F8" s="4" t="s">
        <v>24</v>
      </c>
      <c r="G8" s="4"/>
      <c r="H8" s="7"/>
      <c r="K8" s="7"/>
      <c r="M8" s="7"/>
    </row>
    <row r="10" spans="1:17" s="1" customFormat="1">
      <c r="C10" s="8" t="s">
        <v>11</v>
      </c>
      <c r="E10" s="8" t="s">
        <v>12</v>
      </c>
      <c r="G10" s="8" t="s">
        <v>13</v>
      </c>
      <c r="I10" s="8" t="s">
        <v>14</v>
      </c>
      <c r="K10" s="8" t="s">
        <v>15</v>
      </c>
      <c r="M10" s="9" t="s">
        <v>16</v>
      </c>
    </row>
    <row r="12" spans="1:17">
      <c r="A12" s="10" t="s">
        <v>31</v>
      </c>
      <c r="C12" s="11"/>
      <c r="E12" s="11"/>
      <c r="G12" s="34"/>
      <c r="I12" s="11"/>
      <c r="K12" s="26"/>
      <c r="M12" s="2"/>
    </row>
    <row r="13" spans="1:17">
      <c r="C13" s="14"/>
      <c r="E13" s="14"/>
      <c r="G13" s="14"/>
      <c r="I13" s="14"/>
      <c r="K13" s="21"/>
    </row>
    <row r="14" spans="1:17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7"/>
    </row>
    <row r="17" spans="1:17" s="3" customFormat="1" ht="15.75">
      <c r="A17" s="3" t="s">
        <v>5</v>
      </c>
      <c r="E17" s="4" t="s">
        <v>6</v>
      </c>
      <c r="G17" s="5" t="s">
        <v>7</v>
      </c>
      <c r="I17" s="6">
        <v>41004</v>
      </c>
      <c r="J17" s="4"/>
      <c r="K17" s="5" t="s">
        <v>25</v>
      </c>
      <c r="M17" s="4" t="s">
        <v>26</v>
      </c>
      <c r="N17" s="4"/>
      <c r="O17" s="4"/>
      <c r="P17" s="7"/>
      <c r="Q17" s="7"/>
    </row>
    <row r="18" spans="1:17" s="3" customFormat="1" ht="12" customHeight="1">
      <c r="M18" s="1" t="s">
        <v>27</v>
      </c>
    </row>
    <row r="19" spans="1:17" s="3" customFormat="1" ht="15.75">
      <c r="A19" s="3" t="s">
        <v>9</v>
      </c>
      <c r="C19" s="7"/>
      <c r="D19" s="4"/>
      <c r="E19" s="4"/>
      <c r="F19" s="4" t="s">
        <v>28</v>
      </c>
      <c r="G19" s="4"/>
      <c r="H19" s="7"/>
      <c r="I19" s="3" t="s">
        <v>32</v>
      </c>
      <c r="K19" s="4"/>
      <c r="M19" s="1" t="s">
        <v>29</v>
      </c>
    </row>
    <row r="20" spans="1:17" ht="9" customHeight="1"/>
    <row r="21" spans="1:17" s="1" customFormat="1">
      <c r="C21" s="8" t="s">
        <v>11</v>
      </c>
      <c r="E21" s="8" t="s">
        <v>12</v>
      </c>
      <c r="G21" s="8" t="s">
        <v>13</v>
      </c>
      <c r="I21" s="8" t="s">
        <v>14</v>
      </c>
      <c r="K21" s="8" t="s">
        <v>15</v>
      </c>
      <c r="M21" s="9" t="s">
        <v>16</v>
      </c>
    </row>
    <row r="23" spans="1:17">
      <c r="A23" s="10" t="s">
        <v>31</v>
      </c>
      <c r="C23" s="11">
        <v>3429</v>
      </c>
      <c r="E23" s="11">
        <v>129632</v>
      </c>
      <c r="G23" s="11">
        <v>743150</v>
      </c>
      <c r="I23" s="37"/>
      <c r="K23" s="26">
        <v>134075</v>
      </c>
      <c r="M23" s="11" t="s">
        <v>17</v>
      </c>
    </row>
    <row r="24" spans="1:17">
      <c r="A24" s="30"/>
      <c r="C24" s="14"/>
      <c r="E24" s="14"/>
      <c r="G24" s="14"/>
      <c r="I24" s="14"/>
      <c r="K24" s="27"/>
      <c r="M24" s="14"/>
    </row>
    <row r="25" spans="1:17">
      <c r="A25" s="10" t="s">
        <v>31</v>
      </c>
      <c r="C25" s="11">
        <v>3429</v>
      </c>
      <c r="E25" s="28">
        <v>129620</v>
      </c>
      <c r="G25" s="28">
        <v>743050</v>
      </c>
      <c r="I25" s="37"/>
      <c r="K25" s="26">
        <v>61000</v>
      </c>
      <c r="M25" s="11" t="s">
        <v>17</v>
      </c>
    </row>
    <row r="26" spans="1:17">
      <c r="A26" s="10"/>
      <c r="C26" s="22"/>
      <c r="D26" s="17"/>
      <c r="E26" s="22"/>
      <c r="F26" s="17"/>
      <c r="G26" s="22"/>
      <c r="I26" s="14"/>
      <c r="K26" s="27"/>
      <c r="M26" s="14"/>
    </row>
    <row r="27" spans="1:17">
      <c r="A27" s="10" t="s">
        <v>31</v>
      </c>
      <c r="C27" s="11">
        <v>3429</v>
      </c>
      <c r="E27" s="11">
        <v>129631</v>
      </c>
      <c r="G27" s="11">
        <v>743050</v>
      </c>
      <c r="I27" s="11"/>
      <c r="K27" s="26">
        <v>89887</v>
      </c>
      <c r="M27" s="11" t="s">
        <v>17</v>
      </c>
    </row>
    <row r="28" spans="1:17">
      <c r="A28" s="10"/>
      <c r="C28" s="22"/>
      <c r="D28" s="17"/>
      <c r="E28" s="22"/>
      <c r="F28" s="17"/>
      <c r="G28" s="22"/>
      <c r="I28" s="14"/>
      <c r="K28" s="27"/>
      <c r="M28" s="14"/>
    </row>
    <row r="29" spans="1:17">
      <c r="A29" s="10" t="s">
        <v>31</v>
      </c>
      <c r="C29" s="11">
        <v>3429</v>
      </c>
      <c r="E29" s="11">
        <v>129686</v>
      </c>
      <c r="G29" s="11">
        <v>743250</v>
      </c>
      <c r="I29" s="11"/>
      <c r="K29" s="26">
        <v>5000</v>
      </c>
      <c r="M29" s="11" t="s">
        <v>17</v>
      </c>
    </row>
    <row r="30" spans="1:17">
      <c r="A30" s="10"/>
      <c r="C30" s="22"/>
      <c r="D30" s="17"/>
      <c r="E30" s="22"/>
      <c r="F30" s="17"/>
      <c r="G30" s="22"/>
      <c r="I30" s="14"/>
      <c r="K30" s="27"/>
      <c r="M30" s="14"/>
    </row>
    <row r="31" spans="1:17">
      <c r="A31" s="10" t="s">
        <v>31</v>
      </c>
      <c r="C31" s="11">
        <v>3429</v>
      </c>
      <c r="E31" s="37">
        <v>878013</v>
      </c>
      <c r="G31" s="11">
        <v>611060</v>
      </c>
      <c r="I31" s="11">
        <v>87008012</v>
      </c>
      <c r="K31" s="26">
        <v>2002704</v>
      </c>
      <c r="M31" s="11" t="s">
        <v>17</v>
      </c>
    </row>
    <row r="32" spans="1:17">
      <c r="A32" s="10"/>
      <c r="C32" s="22"/>
      <c r="E32" s="22"/>
      <c r="G32" s="22"/>
      <c r="I32" s="14"/>
      <c r="K32" s="27"/>
      <c r="M32" s="14"/>
    </row>
    <row r="33" spans="1:13" ht="15" customHeight="1">
      <c r="A33" s="10" t="s">
        <v>31</v>
      </c>
      <c r="C33" s="11">
        <v>3429</v>
      </c>
      <c r="E33" s="11">
        <v>181320</v>
      </c>
      <c r="G33" s="11">
        <v>611060</v>
      </c>
      <c r="I33" s="37">
        <v>64008045</v>
      </c>
      <c r="K33" s="29">
        <v>24794</v>
      </c>
      <c r="M33" s="37" t="s">
        <v>17</v>
      </c>
    </row>
    <row r="34" spans="1:13">
      <c r="C34" s="14"/>
      <c r="E34" s="14"/>
      <c r="G34" s="14"/>
      <c r="I34" s="14"/>
      <c r="K34" s="31"/>
      <c r="M34" s="14"/>
    </row>
    <row r="35" spans="1:13">
      <c r="A35" s="10" t="s">
        <v>31</v>
      </c>
      <c r="C35" s="11">
        <v>3429</v>
      </c>
      <c r="E35" s="11">
        <v>129998</v>
      </c>
      <c r="G35" s="11">
        <v>901000</v>
      </c>
      <c r="I35" s="40"/>
      <c r="K35" s="29">
        <v>482594</v>
      </c>
      <c r="M35" s="37" t="s">
        <v>17</v>
      </c>
    </row>
    <row r="36" spans="1:13">
      <c r="A36" s="10"/>
      <c r="C36" s="22"/>
      <c r="E36" s="22"/>
      <c r="G36" s="22"/>
      <c r="I36" s="22"/>
      <c r="K36" s="35"/>
      <c r="M36" s="39"/>
    </row>
    <row r="37" spans="1:13">
      <c r="A37" s="10" t="s">
        <v>31</v>
      </c>
      <c r="C37" s="11"/>
      <c r="E37" s="11"/>
      <c r="G37" s="11"/>
      <c r="I37" s="40"/>
      <c r="K37" s="29"/>
      <c r="M37" s="37" t="s">
        <v>17</v>
      </c>
    </row>
    <row r="38" spans="1:13">
      <c r="A38" s="10"/>
      <c r="C38" s="22"/>
      <c r="E38" s="22"/>
      <c r="G38" s="22"/>
      <c r="I38" s="22"/>
      <c r="K38" s="35"/>
      <c r="M38" s="39"/>
    </row>
    <row r="39" spans="1:13">
      <c r="A39" s="10" t="s">
        <v>31</v>
      </c>
      <c r="C39" s="11"/>
      <c r="E39" s="11"/>
      <c r="G39" s="11"/>
      <c r="I39" s="11"/>
      <c r="K39" s="29"/>
      <c r="M39" s="37" t="s">
        <v>17</v>
      </c>
    </row>
    <row r="40" spans="1:13">
      <c r="A40" s="10"/>
      <c r="C40" s="22"/>
      <c r="E40" s="22"/>
      <c r="G40" s="22"/>
      <c r="I40" s="22"/>
      <c r="K40" s="35"/>
      <c r="M40" s="39"/>
    </row>
    <row r="41" spans="1:13">
      <c r="A41" s="10" t="s">
        <v>31</v>
      </c>
      <c r="C41" s="11"/>
      <c r="E41" s="11"/>
      <c r="G41" s="11"/>
      <c r="I41" s="11"/>
      <c r="K41" s="29"/>
      <c r="M41" s="37" t="s">
        <v>17</v>
      </c>
    </row>
    <row r="42" spans="1:13">
      <c r="A42" s="10"/>
      <c r="C42" s="22"/>
      <c r="E42" s="22"/>
      <c r="G42" s="22"/>
      <c r="I42" s="22"/>
      <c r="K42" s="35"/>
      <c r="M42" s="39"/>
    </row>
    <row r="43" spans="1:13">
      <c r="A43" s="10" t="s">
        <v>31</v>
      </c>
      <c r="C43" s="11"/>
      <c r="E43" s="11"/>
      <c r="G43" s="11"/>
      <c r="I43" s="11"/>
      <c r="K43" s="29"/>
      <c r="M43" s="37" t="s">
        <v>17</v>
      </c>
    </row>
    <row r="44" spans="1:13">
      <c r="A44" s="10"/>
      <c r="C44" s="22"/>
      <c r="E44" s="22"/>
      <c r="G44" s="22"/>
      <c r="I44" s="22"/>
      <c r="K44" s="35"/>
      <c r="M44" s="39"/>
    </row>
    <row r="45" spans="1:13">
      <c r="A45" s="10" t="s">
        <v>31</v>
      </c>
      <c r="C45" s="11"/>
      <c r="E45" s="11"/>
      <c r="G45" s="11"/>
      <c r="I45" s="11"/>
      <c r="K45" s="29"/>
      <c r="M45" s="37" t="s">
        <v>17</v>
      </c>
    </row>
    <row r="46" spans="1:13">
      <c r="A46" s="10"/>
      <c r="C46" s="22"/>
      <c r="E46" s="22"/>
      <c r="G46" s="22"/>
      <c r="I46" s="22"/>
      <c r="K46" s="35"/>
      <c r="M46" s="39"/>
    </row>
    <row r="47" spans="1:13">
      <c r="A47" s="10" t="s">
        <v>31</v>
      </c>
      <c r="C47" s="11"/>
      <c r="E47" s="11"/>
      <c r="G47" s="11"/>
      <c r="I47" s="11"/>
      <c r="K47" s="29"/>
      <c r="M47" s="37" t="s">
        <v>17</v>
      </c>
    </row>
    <row r="48" spans="1:13">
      <c r="A48" s="10"/>
      <c r="C48" s="22"/>
      <c r="E48" s="22"/>
      <c r="G48" s="22"/>
      <c r="I48" s="22"/>
      <c r="K48" s="35"/>
      <c r="M48" s="39"/>
    </row>
    <row r="49" spans="1:15">
      <c r="A49" s="10" t="s">
        <v>31</v>
      </c>
      <c r="C49" s="11"/>
      <c r="E49" s="11"/>
      <c r="G49" s="11"/>
      <c r="I49" s="40"/>
      <c r="K49" s="29"/>
      <c r="M49" s="37" t="s">
        <v>17</v>
      </c>
    </row>
    <row r="50" spans="1:15">
      <c r="A50" s="10"/>
      <c r="C50" s="22"/>
      <c r="E50" s="22"/>
      <c r="G50" s="22"/>
      <c r="I50" s="22"/>
      <c r="K50" s="35"/>
      <c r="M50" s="39"/>
    </row>
    <row r="51" spans="1:15">
      <c r="A51" s="10" t="s">
        <v>31</v>
      </c>
      <c r="C51" s="11"/>
      <c r="E51" s="11"/>
      <c r="G51" s="11"/>
      <c r="I51" s="40"/>
      <c r="K51" s="29"/>
      <c r="M51" s="37" t="s">
        <v>17</v>
      </c>
    </row>
    <row r="52" spans="1:15">
      <c r="A52" s="10"/>
      <c r="C52" s="22"/>
      <c r="E52" s="22"/>
      <c r="G52" s="22"/>
      <c r="I52" s="22"/>
      <c r="K52" s="35"/>
      <c r="M52" s="39"/>
    </row>
    <row r="53" spans="1:15">
      <c r="A53" s="10"/>
      <c r="C53" s="11"/>
      <c r="E53" s="11"/>
      <c r="G53" s="11"/>
      <c r="I53" s="11"/>
      <c r="K53" s="29"/>
      <c r="M53" s="37"/>
    </row>
    <row r="54" spans="1:15">
      <c r="A54" s="10"/>
      <c r="C54" s="22"/>
      <c r="E54" s="22"/>
      <c r="G54" s="22"/>
      <c r="I54" s="22"/>
      <c r="K54" s="35"/>
      <c r="M54" s="36"/>
    </row>
    <row r="55" spans="1:15">
      <c r="A55" s="10"/>
      <c r="C55" s="22"/>
      <c r="E55" s="22"/>
      <c r="G55" s="17"/>
      <c r="I55" s="17"/>
      <c r="K55" s="17"/>
      <c r="M55" t="s">
        <v>18</v>
      </c>
      <c r="O55" s="32">
        <f>K23+K25+K27+K29+K31+K33+K35+K37+K39+K41+K43+K45+K47+K49+K51+K53</f>
        <v>2800054</v>
      </c>
    </row>
    <row r="56" spans="1:15">
      <c r="C56" s="17"/>
      <c r="E56" s="22"/>
      <c r="G56" s="17"/>
      <c r="I56" s="17"/>
      <c r="K56" s="17"/>
    </row>
    <row r="57" spans="1:15">
      <c r="A57" s="25" t="s">
        <v>19</v>
      </c>
      <c r="M57" s="33" t="s">
        <v>30</v>
      </c>
    </row>
    <row r="58" spans="1:15">
      <c r="C58" s="38" t="s">
        <v>35</v>
      </c>
      <c r="D58" s="2"/>
      <c r="E58" s="2"/>
      <c r="F58" s="2"/>
      <c r="G58" s="2"/>
      <c r="H58" s="2"/>
      <c r="I58" s="2"/>
      <c r="J58" s="2"/>
      <c r="K58" s="2"/>
      <c r="L58" s="2"/>
      <c r="M58" s="2"/>
      <c r="O58" s="29"/>
    </row>
    <row r="61" spans="1:15">
      <c r="A61" t="s">
        <v>20</v>
      </c>
      <c r="G61" t="s">
        <v>21</v>
      </c>
      <c r="I61" t="s">
        <v>22</v>
      </c>
    </row>
    <row r="62" spans="1:15">
      <c r="A62" s="2"/>
      <c r="B62" s="2"/>
      <c r="C62" s="2"/>
      <c r="D62" s="2"/>
      <c r="E62" s="2"/>
      <c r="G62" s="2"/>
      <c r="I62" s="2"/>
      <c r="J62" s="2"/>
      <c r="K62" s="2"/>
      <c r="L62" s="2"/>
      <c r="M62" s="2"/>
    </row>
    <row r="63" spans="1:15">
      <c r="O63" t="s">
        <v>21</v>
      </c>
    </row>
    <row r="64" spans="1:15">
      <c r="O64" s="2"/>
    </row>
  </sheetData>
  <mergeCells count="3">
    <mergeCell ref="C1:O1"/>
    <mergeCell ref="C2:O2"/>
    <mergeCell ref="C3:O3"/>
  </mergeCells>
  <phoneticPr fontId="7" type="noConversion"/>
  <pageMargins left="0" right="0" top="0.5" bottom="1" header="0.5" footer="0.5"/>
  <pageSetup scale="8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8"/>
  <sheetViews>
    <sheetView topLeftCell="A29" zoomScaleNormal="100" workbookViewId="0">
      <selection activeCell="I40" sqref="I40"/>
    </sheetView>
  </sheetViews>
  <sheetFormatPr defaultRowHeight="12.75"/>
  <cols>
    <col min="1" max="1" width="6.140625" customWidth="1"/>
    <col min="2" max="2" width="1.7109375" customWidth="1"/>
    <col min="3" max="3" width="10.7109375" customWidth="1"/>
    <col min="4" max="4" width="1.7109375" customWidth="1"/>
    <col min="5" max="5" width="14.28515625" customWidth="1"/>
    <col min="6" max="6" width="1.7109375" customWidth="1"/>
    <col min="7" max="7" width="10.7109375" customWidth="1"/>
    <col min="8" max="8" width="1.7109375" customWidth="1"/>
    <col min="9" max="9" width="15.28515625" customWidth="1"/>
    <col min="10" max="10" width="1.7109375" customWidth="1"/>
    <col min="11" max="11" width="24.140625" customWidth="1"/>
    <col min="12" max="12" width="1.7109375" customWidth="1"/>
    <col min="13" max="13" width="10.7109375" customWidth="1"/>
    <col min="14" max="14" width="1.7109375" customWidth="1"/>
    <col min="15" max="15" width="15.140625" bestFit="1" customWidth="1"/>
    <col min="16" max="16" width="8.85546875" customWidth="1"/>
  </cols>
  <sheetData>
    <row r="1" spans="1:17" ht="20.25">
      <c r="C1" s="42" t="s">
        <v>23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7" ht="15.75">
      <c r="C2" s="43" t="s">
        <v>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7" ht="15.75">
      <c r="C3" s="43" t="s">
        <v>2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17">
      <c r="D4" s="1" t="s">
        <v>3</v>
      </c>
      <c r="G4" s="2" t="s">
        <v>4</v>
      </c>
      <c r="H4" s="2"/>
      <c r="I4" s="2"/>
      <c r="J4" s="2"/>
      <c r="K4" s="2"/>
      <c r="L4" s="2"/>
      <c r="M4" s="2"/>
    </row>
    <row r="6" spans="1:17" s="3" customFormat="1" ht="15.75">
      <c r="A6" s="3" t="s">
        <v>5</v>
      </c>
      <c r="E6" s="4" t="s">
        <v>6</v>
      </c>
      <c r="G6" s="5" t="s">
        <v>7</v>
      </c>
      <c r="I6" s="6">
        <v>41004</v>
      </c>
      <c r="J6" s="4"/>
      <c r="K6" s="5" t="s">
        <v>8</v>
      </c>
      <c r="M6" s="4"/>
      <c r="N6" s="4"/>
      <c r="O6" s="4"/>
      <c r="P6" s="7"/>
      <c r="Q6" s="7"/>
    </row>
    <row r="8" spans="1:17" s="3" customFormat="1" ht="15.75">
      <c r="A8" s="3" t="s">
        <v>9</v>
      </c>
      <c r="C8" s="7"/>
      <c r="D8" s="4"/>
      <c r="E8" s="4"/>
      <c r="F8" s="4" t="s">
        <v>24</v>
      </c>
      <c r="G8" s="4"/>
      <c r="H8" s="7"/>
      <c r="K8" s="7"/>
      <c r="M8" s="7"/>
    </row>
    <row r="10" spans="1:17" s="1" customFormat="1">
      <c r="C10" s="8" t="s">
        <v>11</v>
      </c>
      <c r="E10" s="8" t="s">
        <v>12</v>
      </c>
      <c r="G10" s="8" t="s">
        <v>13</v>
      </c>
      <c r="I10" s="8" t="s">
        <v>14</v>
      </c>
      <c r="K10" s="8" t="s">
        <v>15</v>
      </c>
      <c r="M10" s="9" t="s">
        <v>16</v>
      </c>
    </row>
    <row r="12" spans="1:17">
      <c r="A12" s="10" t="s">
        <v>31</v>
      </c>
      <c r="C12" s="11"/>
      <c r="E12" s="11"/>
      <c r="G12" s="34"/>
      <c r="I12" s="11"/>
      <c r="K12" s="26"/>
      <c r="M12" s="2"/>
    </row>
    <row r="13" spans="1:17">
      <c r="C13" s="14"/>
      <c r="E13" s="14"/>
      <c r="G13" s="14"/>
      <c r="I13" s="14"/>
      <c r="K13" s="21"/>
    </row>
    <row r="14" spans="1:17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7"/>
    </row>
    <row r="17" spans="1:17" s="3" customFormat="1" ht="15.75">
      <c r="A17" s="3" t="s">
        <v>5</v>
      </c>
      <c r="E17" s="4" t="s">
        <v>6</v>
      </c>
      <c r="G17" s="5" t="s">
        <v>7</v>
      </c>
      <c r="I17" s="6">
        <v>41004</v>
      </c>
      <c r="J17" s="4"/>
      <c r="K17" s="5" t="s">
        <v>25</v>
      </c>
      <c r="M17" s="4" t="s">
        <v>26</v>
      </c>
      <c r="N17" s="4"/>
      <c r="O17" s="4"/>
      <c r="P17" s="7"/>
      <c r="Q17" s="7"/>
    </row>
    <row r="18" spans="1:17" s="3" customFormat="1" ht="12" customHeight="1">
      <c r="M18" s="1" t="s">
        <v>27</v>
      </c>
    </row>
    <row r="19" spans="1:17" s="3" customFormat="1" ht="15.75">
      <c r="A19" s="3" t="s">
        <v>9</v>
      </c>
      <c r="C19" s="7"/>
      <c r="D19" s="4"/>
      <c r="E19" s="4"/>
      <c r="F19" s="4" t="s">
        <v>28</v>
      </c>
      <c r="G19" s="4"/>
      <c r="H19" s="7"/>
      <c r="I19" s="3" t="s">
        <v>32</v>
      </c>
      <c r="K19" s="4"/>
      <c r="M19" s="1" t="s">
        <v>29</v>
      </c>
    </row>
    <row r="20" spans="1:17" ht="9" customHeight="1"/>
    <row r="21" spans="1:17" s="1" customFormat="1">
      <c r="C21" s="8" t="s">
        <v>11</v>
      </c>
      <c r="E21" s="8" t="s">
        <v>12</v>
      </c>
      <c r="G21" s="8" t="s">
        <v>13</v>
      </c>
      <c r="I21" s="8" t="s">
        <v>14</v>
      </c>
      <c r="K21" s="8" t="s">
        <v>15</v>
      </c>
      <c r="M21" s="9" t="s">
        <v>16</v>
      </c>
    </row>
    <row r="23" spans="1:17">
      <c r="A23" s="10" t="s">
        <v>31</v>
      </c>
      <c r="C23" s="11">
        <v>3430</v>
      </c>
      <c r="E23" s="11">
        <v>129632</v>
      </c>
      <c r="G23" s="11">
        <v>743150</v>
      </c>
      <c r="I23" s="37"/>
      <c r="K23" s="26">
        <v>310603</v>
      </c>
      <c r="M23" s="11" t="s">
        <v>17</v>
      </c>
    </row>
    <row r="24" spans="1:17">
      <c r="A24" s="30"/>
      <c r="C24" s="14"/>
      <c r="E24" s="14"/>
      <c r="G24" s="14"/>
      <c r="I24" s="14"/>
      <c r="K24" s="27"/>
      <c r="M24" s="14"/>
    </row>
    <row r="25" spans="1:17">
      <c r="A25" s="10" t="s">
        <v>31</v>
      </c>
      <c r="C25" s="11">
        <v>3430</v>
      </c>
      <c r="E25" s="28">
        <v>129620</v>
      </c>
      <c r="G25" s="28">
        <v>743050</v>
      </c>
      <c r="I25" s="37"/>
      <c r="K25" s="26">
        <v>211000</v>
      </c>
      <c r="M25" s="11" t="s">
        <v>17</v>
      </c>
    </row>
    <row r="26" spans="1:17">
      <c r="A26" s="10"/>
      <c r="C26" s="22"/>
      <c r="D26" s="17"/>
      <c r="E26" s="22"/>
      <c r="F26" s="17"/>
      <c r="G26" s="22"/>
      <c r="I26" s="14"/>
      <c r="K26" s="27"/>
      <c r="M26" s="14"/>
    </row>
    <row r="27" spans="1:17">
      <c r="A27" s="10" t="s">
        <v>31</v>
      </c>
      <c r="C27" s="11">
        <v>3430</v>
      </c>
      <c r="E27" s="11">
        <v>129631</v>
      </c>
      <c r="G27" s="11">
        <v>743050</v>
      </c>
      <c r="I27" s="11"/>
      <c r="K27" s="26">
        <v>298345</v>
      </c>
      <c r="M27" s="11" t="s">
        <v>17</v>
      </c>
    </row>
    <row r="28" spans="1:17">
      <c r="A28" s="10"/>
      <c r="C28" s="22"/>
      <c r="D28" s="17"/>
      <c r="E28" s="22"/>
      <c r="F28" s="17"/>
      <c r="G28" s="22"/>
      <c r="I28" s="14"/>
      <c r="K28" s="27"/>
      <c r="M28" s="14"/>
    </row>
    <row r="29" spans="1:17">
      <c r="A29" s="10" t="s">
        <v>31</v>
      </c>
      <c r="C29" s="11">
        <v>3430</v>
      </c>
      <c r="E29" s="11">
        <v>129686</v>
      </c>
      <c r="G29" s="11">
        <v>743250</v>
      </c>
      <c r="I29" s="11"/>
      <c r="K29" s="26">
        <v>5000</v>
      </c>
      <c r="M29" s="11" t="s">
        <v>17</v>
      </c>
    </row>
    <row r="30" spans="1:17">
      <c r="A30" s="10"/>
      <c r="C30" s="22"/>
      <c r="D30" s="17"/>
      <c r="E30" s="22"/>
      <c r="F30" s="17"/>
      <c r="G30" s="22"/>
      <c r="I30" s="14"/>
      <c r="K30" s="27"/>
      <c r="M30" s="14"/>
    </row>
    <row r="31" spans="1:17">
      <c r="A31" s="10" t="s">
        <v>31</v>
      </c>
      <c r="C31" s="11">
        <v>3430</v>
      </c>
      <c r="E31" s="41">
        <v>108047</v>
      </c>
      <c r="G31" s="11">
        <v>611060</v>
      </c>
      <c r="I31" s="11">
        <v>10008047</v>
      </c>
      <c r="K31" s="26">
        <v>10001251</v>
      </c>
      <c r="M31" s="11" t="s">
        <v>17</v>
      </c>
    </row>
    <row r="32" spans="1:17">
      <c r="A32" s="10"/>
      <c r="C32" s="22"/>
      <c r="E32" s="22"/>
      <c r="G32" s="22"/>
      <c r="I32" s="14"/>
      <c r="K32" s="27"/>
      <c r="M32" s="14"/>
    </row>
    <row r="33" spans="1:13">
      <c r="A33" s="10" t="s">
        <v>31</v>
      </c>
      <c r="C33" s="11">
        <v>3430</v>
      </c>
      <c r="E33" s="11">
        <v>129671</v>
      </c>
      <c r="G33" s="11">
        <v>749970</v>
      </c>
      <c r="I33" s="37"/>
      <c r="K33" s="29">
        <v>4400000</v>
      </c>
      <c r="M33" s="37" t="s">
        <v>17</v>
      </c>
    </row>
    <row r="34" spans="1:13">
      <c r="C34" s="14"/>
      <c r="E34" s="14"/>
      <c r="G34" s="14"/>
      <c r="I34" s="14"/>
      <c r="K34" s="31"/>
      <c r="M34" s="14"/>
    </row>
    <row r="35" spans="1:13">
      <c r="A35" s="10" t="s">
        <v>31</v>
      </c>
      <c r="C35" s="11">
        <v>3430</v>
      </c>
      <c r="E35" s="11">
        <v>129671</v>
      </c>
      <c r="G35" s="11">
        <v>749970</v>
      </c>
      <c r="I35" s="40"/>
      <c r="K35" s="29">
        <v>11212965</v>
      </c>
      <c r="M35" s="37" t="s">
        <v>17</v>
      </c>
    </row>
    <row r="36" spans="1:13">
      <c r="A36" s="10"/>
      <c r="C36" s="22"/>
      <c r="E36" s="22"/>
      <c r="G36" s="22"/>
      <c r="I36" s="22"/>
      <c r="K36" s="35"/>
      <c r="M36" s="39"/>
    </row>
    <row r="37" spans="1:13">
      <c r="A37" s="10" t="s">
        <v>31</v>
      </c>
      <c r="C37" s="11">
        <v>3430</v>
      </c>
      <c r="E37" s="11">
        <v>129671</v>
      </c>
      <c r="G37" s="11">
        <v>749970</v>
      </c>
      <c r="I37" s="40"/>
      <c r="K37" s="29">
        <v>14640993</v>
      </c>
      <c r="M37" s="37" t="s">
        <v>17</v>
      </c>
    </row>
    <row r="38" spans="1:13">
      <c r="A38" s="10"/>
      <c r="C38" s="22"/>
      <c r="E38" s="22"/>
      <c r="G38" s="22"/>
      <c r="I38" s="22"/>
      <c r="K38" s="35"/>
      <c r="M38" s="39"/>
    </row>
    <row r="39" spans="1:13">
      <c r="A39" s="10" t="s">
        <v>31</v>
      </c>
      <c r="C39" s="11">
        <v>3430</v>
      </c>
      <c r="E39" s="11">
        <v>129671</v>
      </c>
      <c r="G39" s="11">
        <v>749970</v>
      </c>
      <c r="I39" s="11"/>
      <c r="K39" s="29">
        <v>2463261</v>
      </c>
      <c r="M39" s="37" t="s">
        <v>17</v>
      </c>
    </row>
    <row r="40" spans="1:13">
      <c r="A40" s="10"/>
      <c r="C40" s="22"/>
      <c r="E40" s="22"/>
      <c r="G40" s="22"/>
      <c r="I40" s="22"/>
      <c r="K40" s="35"/>
      <c r="M40" s="39"/>
    </row>
    <row r="41" spans="1:13">
      <c r="A41" s="10" t="s">
        <v>31</v>
      </c>
      <c r="C41" s="11">
        <v>3430</v>
      </c>
      <c r="E41" s="11">
        <v>129998</v>
      </c>
      <c r="G41" s="11">
        <v>901000</v>
      </c>
      <c r="I41" s="11"/>
      <c r="K41" s="29">
        <v>1285399</v>
      </c>
      <c r="M41" s="37" t="s">
        <v>17</v>
      </c>
    </row>
    <row r="42" spans="1:13">
      <c r="A42" s="10"/>
      <c r="C42" s="22"/>
      <c r="E42" s="22"/>
      <c r="G42" s="22"/>
      <c r="I42" s="22"/>
      <c r="K42" s="35"/>
      <c r="M42" s="39"/>
    </row>
    <row r="43" spans="1:13">
      <c r="A43" s="10" t="s">
        <v>31</v>
      </c>
      <c r="C43" s="11">
        <v>3430</v>
      </c>
      <c r="E43" s="11">
        <v>648045</v>
      </c>
      <c r="G43" s="11">
        <v>616210</v>
      </c>
      <c r="I43" s="11">
        <v>64008045</v>
      </c>
      <c r="K43" s="29">
        <v>2428</v>
      </c>
      <c r="M43" s="37" t="s">
        <v>17</v>
      </c>
    </row>
    <row r="44" spans="1:13">
      <c r="A44" s="10"/>
      <c r="C44" s="22"/>
      <c r="E44" s="22"/>
      <c r="G44" s="22"/>
      <c r="I44" s="22"/>
      <c r="K44" s="35"/>
      <c r="M44" s="39"/>
    </row>
    <row r="45" spans="1:13">
      <c r="A45" s="10" t="s">
        <v>31</v>
      </c>
      <c r="C45" s="11">
        <v>3980</v>
      </c>
      <c r="E45" s="11">
        <v>129998</v>
      </c>
      <c r="G45" s="11">
        <v>903430</v>
      </c>
      <c r="I45" s="40"/>
      <c r="K45" s="29">
        <v>3006245</v>
      </c>
      <c r="M45" s="37" t="s">
        <v>17</v>
      </c>
    </row>
    <row r="46" spans="1:13">
      <c r="A46" s="10"/>
      <c r="C46" s="22"/>
      <c r="E46" s="22"/>
      <c r="G46" s="22"/>
      <c r="I46" s="22"/>
      <c r="K46" s="35"/>
      <c r="M46" s="39"/>
    </row>
    <row r="47" spans="1:13">
      <c r="A47" s="10" t="s">
        <v>31</v>
      </c>
      <c r="C47" s="11">
        <v>3290</v>
      </c>
      <c r="E47" s="11">
        <v>129998</v>
      </c>
      <c r="G47" s="11">
        <v>903430</v>
      </c>
      <c r="I47" s="11"/>
      <c r="K47" s="29">
        <v>1545000</v>
      </c>
      <c r="M47" s="37" t="s">
        <v>36</v>
      </c>
    </row>
    <row r="48" spans="1:13">
      <c r="A48" s="10"/>
      <c r="C48" s="22"/>
      <c r="E48" s="22"/>
      <c r="G48" s="22"/>
      <c r="I48" s="22"/>
      <c r="K48" s="35"/>
      <c r="M48" s="36"/>
    </row>
    <row r="49" spans="1:15">
      <c r="A49" s="10"/>
      <c r="C49" s="22"/>
      <c r="E49" s="22"/>
      <c r="G49" s="17"/>
      <c r="I49" s="17"/>
      <c r="K49" s="17"/>
      <c r="M49" t="s">
        <v>18</v>
      </c>
      <c r="O49" s="32">
        <f>K23+K25+K27+K29+K31+K33+K35+K37+K39+K41+K43+K45+K47</f>
        <v>49382490</v>
      </c>
    </row>
    <row r="50" spans="1:15">
      <c r="C50" s="17"/>
      <c r="E50" s="22"/>
      <c r="G50" s="17"/>
      <c r="I50" s="17"/>
      <c r="K50" s="17"/>
    </row>
    <row r="51" spans="1:15">
      <c r="A51" s="25" t="s">
        <v>19</v>
      </c>
      <c r="M51" s="33" t="s">
        <v>30</v>
      </c>
    </row>
    <row r="52" spans="1:15">
      <c r="C52" s="38" t="s">
        <v>34</v>
      </c>
      <c r="D52" s="2"/>
      <c r="E52" s="2"/>
      <c r="F52" s="2"/>
      <c r="G52" s="2"/>
      <c r="H52" s="2"/>
      <c r="I52" s="2"/>
      <c r="J52" s="2"/>
      <c r="K52" s="2"/>
      <c r="L52" s="2"/>
      <c r="M52" s="2"/>
      <c r="O52" s="29"/>
    </row>
    <row r="55" spans="1:15">
      <c r="A55" t="s">
        <v>20</v>
      </c>
      <c r="G55" t="s">
        <v>21</v>
      </c>
      <c r="I55" t="s">
        <v>22</v>
      </c>
    </row>
    <row r="56" spans="1:15">
      <c r="A56" s="2"/>
      <c r="B56" s="2"/>
      <c r="C56" s="2"/>
      <c r="D56" s="2"/>
      <c r="E56" s="2"/>
      <c r="G56" s="2"/>
      <c r="I56" s="2"/>
      <c r="J56" s="2"/>
      <c r="K56" s="2"/>
      <c r="L56" s="2"/>
      <c r="M56" s="2"/>
    </row>
    <row r="57" spans="1:15">
      <c r="O57" t="s">
        <v>21</v>
      </c>
    </row>
    <row r="58" spans="1:15">
      <c r="O58" s="2"/>
    </row>
  </sheetData>
  <mergeCells count="3">
    <mergeCell ref="C1:O1"/>
    <mergeCell ref="C2:O2"/>
    <mergeCell ref="C3:O3"/>
  </mergeCells>
  <pageMargins left="0.7" right="0.7" top="0.75" bottom="0.75" header="0.3" footer="0.3"/>
  <pageSetup scale="7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1"/>
  <sheetViews>
    <sheetView topLeftCell="A16" zoomScaleNormal="100" workbookViewId="0">
      <selection activeCell="K17" sqref="K17"/>
    </sheetView>
  </sheetViews>
  <sheetFormatPr defaultRowHeight="12.75"/>
  <cols>
    <col min="1" max="1" width="4.42578125" customWidth="1"/>
    <col min="2" max="2" width="1.7109375" customWidth="1"/>
    <col min="3" max="3" width="10.7109375" customWidth="1"/>
    <col min="4" max="4" width="1.7109375" customWidth="1"/>
    <col min="5" max="5" width="14.28515625" customWidth="1"/>
    <col min="6" max="6" width="1.7109375" customWidth="1"/>
    <col min="7" max="7" width="10.7109375" customWidth="1"/>
    <col min="8" max="8" width="1.7109375" customWidth="1"/>
    <col min="9" max="9" width="15.28515625" customWidth="1"/>
    <col min="10" max="10" width="1.7109375" customWidth="1"/>
    <col min="11" max="11" width="21" customWidth="1"/>
    <col min="12" max="12" width="1.7109375" customWidth="1"/>
    <col min="13" max="13" width="10.7109375" customWidth="1"/>
    <col min="14" max="14" width="1.7109375" customWidth="1"/>
    <col min="15" max="15" width="17.5703125" bestFit="1" customWidth="1"/>
    <col min="16" max="16" width="8.85546875" customWidth="1"/>
  </cols>
  <sheetData>
    <row r="1" spans="1:17" ht="20.25">
      <c r="C1" s="42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7" ht="15.75">
      <c r="C2" s="43" t="s">
        <v>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7" ht="15.75">
      <c r="C3" s="43" t="s">
        <v>2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17">
      <c r="D4" s="1" t="s">
        <v>3</v>
      </c>
      <c r="G4" s="2" t="s">
        <v>4</v>
      </c>
      <c r="H4" s="2"/>
      <c r="I4" s="2"/>
      <c r="J4" s="2"/>
      <c r="K4" s="2"/>
      <c r="L4" s="2"/>
      <c r="M4" s="2"/>
    </row>
    <row r="6" spans="1:17" s="3" customFormat="1" ht="15.75">
      <c r="A6" s="3" t="s">
        <v>5</v>
      </c>
      <c r="E6" s="4" t="s">
        <v>6</v>
      </c>
      <c r="G6" s="5" t="s">
        <v>7</v>
      </c>
      <c r="I6" s="6">
        <v>41004</v>
      </c>
      <c r="J6" s="4"/>
      <c r="K6" s="5" t="s">
        <v>8</v>
      </c>
      <c r="M6" s="4"/>
      <c r="N6" s="4"/>
      <c r="O6" s="4"/>
      <c r="P6" s="7"/>
      <c r="Q6" s="7"/>
    </row>
    <row r="8" spans="1:17" s="3" customFormat="1" ht="15.75">
      <c r="A8" s="3" t="s">
        <v>9</v>
      </c>
      <c r="C8" s="7"/>
      <c r="D8" s="4"/>
      <c r="E8" s="4"/>
      <c r="F8" s="4" t="s">
        <v>10</v>
      </c>
      <c r="G8" s="4"/>
      <c r="H8" s="7"/>
      <c r="K8" s="7"/>
      <c r="M8" s="7"/>
    </row>
    <row r="10" spans="1:17" s="1" customFormat="1">
      <c r="C10" s="8" t="s">
        <v>11</v>
      </c>
      <c r="E10" s="8" t="s">
        <v>12</v>
      </c>
      <c r="G10" s="8" t="s">
        <v>13</v>
      </c>
      <c r="I10" s="8" t="s">
        <v>14</v>
      </c>
      <c r="K10" s="8" t="s">
        <v>15</v>
      </c>
      <c r="M10" s="9" t="s">
        <v>16</v>
      </c>
    </row>
    <row r="12" spans="1:17">
      <c r="A12" s="10" t="s">
        <v>31</v>
      </c>
      <c r="C12" s="11">
        <v>3430</v>
      </c>
      <c r="E12" s="11">
        <v>120000</v>
      </c>
      <c r="G12" s="34">
        <v>590000</v>
      </c>
      <c r="I12" s="11"/>
      <c r="K12" s="12">
        <v>40280000</v>
      </c>
      <c r="M12" s="11" t="s">
        <v>17</v>
      </c>
    </row>
    <row r="13" spans="1:17">
      <c r="A13" s="13"/>
      <c r="C13" s="14"/>
      <c r="E13" s="14"/>
      <c r="G13" s="14"/>
      <c r="I13" s="14"/>
      <c r="K13" s="15"/>
    </row>
    <row r="14" spans="1:17">
      <c r="A14" s="10" t="s">
        <v>31</v>
      </c>
      <c r="C14" s="11">
        <v>3430</v>
      </c>
      <c r="E14" s="11">
        <v>120000</v>
      </c>
      <c r="G14" s="11">
        <v>503290</v>
      </c>
      <c r="I14" s="11"/>
      <c r="K14" s="12">
        <v>1545000</v>
      </c>
      <c r="M14" s="11" t="s">
        <v>17</v>
      </c>
    </row>
    <row r="15" spans="1:17">
      <c r="A15" s="13"/>
      <c r="C15" s="14"/>
      <c r="E15" s="14"/>
      <c r="G15" s="14"/>
      <c r="I15" s="14"/>
      <c r="K15" s="15"/>
      <c r="M15" s="14"/>
    </row>
    <row r="16" spans="1:17">
      <c r="A16" s="10" t="s">
        <v>31</v>
      </c>
      <c r="C16" s="11">
        <v>3430</v>
      </c>
      <c r="E16" s="11">
        <v>120000</v>
      </c>
      <c r="G16" s="11">
        <v>503980</v>
      </c>
      <c r="I16" s="11"/>
      <c r="K16" s="12">
        <v>3006245</v>
      </c>
      <c r="M16" s="11" t="s">
        <v>33</v>
      </c>
    </row>
    <row r="17" spans="1:15">
      <c r="A17" s="16"/>
      <c r="C17" s="14"/>
      <c r="E17" s="14"/>
      <c r="G17" s="14"/>
      <c r="I17" s="14"/>
      <c r="K17" s="15"/>
      <c r="M17" s="14"/>
    </row>
    <row r="18" spans="1:15">
      <c r="A18" s="10" t="s">
        <v>31</v>
      </c>
      <c r="C18" s="11"/>
      <c r="E18" s="11"/>
      <c r="G18" s="11"/>
      <c r="I18" s="11"/>
      <c r="K18" s="12"/>
      <c r="M18" s="11"/>
    </row>
    <row r="19" spans="1:15">
      <c r="A19" s="16"/>
      <c r="C19" s="14"/>
      <c r="E19" s="14"/>
      <c r="G19" s="14"/>
      <c r="I19" s="14"/>
      <c r="K19" s="15"/>
      <c r="M19" s="14"/>
    </row>
    <row r="20" spans="1:15">
      <c r="A20" s="10"/>
      <c r="C20" s="11"/>
      <c r="E20" s="11"/>
      <c r="G20" s="11"/>
      <c r="I20" s="11"/>
      <c r="K20" s="12"/>
      <c r="M20" s="11"/>
    </row>
    <row r="21" spans="1:15">
      <c r="A21" s="13"/>
      <c r="C21" s="14"/>
      <c r="E21" s="14"/>
      <c r="G21" s="14"/>
      <c r="I21" s="14"/>
      <c r="K21" s="15"/>
      <c r="M21" s="14"/>
      <c r="O21" s="17"/>
    </row>
    <row r="22" spans="1:15">
      <c r="A22" s="18"/>
      <c r="C22" s="11"/>
      <c r="E22" s="11"/>
      <c r="G22" s="11"/>
      <c r="I22" s="11"/>
      <c r="K22" s="12"/>
      <c r="M22" s="11"/>
      <c r="O22" s="17"/>
    </row>
    <row r="23" spans="1:15">
      <c r="A23" s="19"/>
      <c r="C23" s="14"/>
      <c r="E23" s="14"/>
      <c r="G23" s="14"/>
      <c r="I23" s="14"/>
      <c r="K23" s="15"/>
      <c r="M23" s="14"/>
      <c r="O23" s="17"/>
    </row>
    <row r="24" spans="1:15">
      <c r="A24" s="18"/>
      <c r="C24" s="11"/>
      <c r="E24" s="11"/>
      <c r="G24" s="11"/>
      <c r="I24" s="11"/>
      <c r="K24" s="12"/>
      <c r="M24" s="11"/>
      <c r="O24" s="17"/>
    </row>
    <row r="25" spans="1:15">
      <c r="A25" s="20"/>
      <c r="C25" s="14"/>
      <c r="E25" s="14"/>
      <c r="G25" s="14"/>
      <c r="I25" s="14"/>
      <c r="K25" s="21"/>
      <c r="M25" s="14"/>
      <c r="O25" s="17"/>
    </row>
    <row r="26" spans="1:15">
      <c r="A26" s="20"/>
      <c r="C26" s="22"/>
      <c r="D26" s="17"/>
      <c r="E26" s="22"/>
      <c r="F26" s="17"/>
      <c r="G26" s="22"/>
      <c r="H26" s="17"/>
      <c r="I26" s="22"/>
      <c r="J26" s="17"/>
      <c r="K26" s="23"/>
      <c r="L26" s="17"/>
      <c r="M26" s="22"/>
      <c r="O26" s="17"/>
    </row>
    <row r="27" spans="1:15">
      <c r="A27" s="20"/>
      <c r="C27" s="22"/>
      <c r="D27" s="17"/>
      <c r="E27" s="22"/>
      <c r="F27" s="17"/>
      <c r="G27" s="22"/>
      <c r="H27" s="17"/>
      <c r="I27" s="22"/>
      <c r="J27" s="17"/>
      <c r="K27" s="23"/>
      <c r="L27" s="17"/>
      <c r="M27" s="22"/>
      <c r="O27" s="17"/>
    </row>
    <row r="28" spans="1:15">
      <c r="A28" s="20"/>
      <c r="C28" s="22"/>
      <c r="D28" s="17"/>
      <c r="E28" s="22"/>
      <c r="F28" s="17"/>
      <c r="G28" s="22"/>
      <c r="H28" s="17"/>
      <c r="I28" s="22"/>
      <c r="J28" s="17"/>
      <c r="K28" s="23"/>
      <c r="L28" s="17"/>
      <c r="M28" s="22"/>
      <c r="O28" s="17"/>
    </row>
    <row r="29" spans="1:15">
      <c r="C29" s="17"/>
      <c r="E29" s="17"/>
      <c r="G29" s="17"/>
      <c r="I29" s="17"/>
      <c r="K29" s="17"/>
      <c r="O29" s="17"/>
    </row>
    <row r="30" spans="1:15">
      <c r="C30" s="17"/>
      <c r="E30" s="17"/>
      <c r="G30" s="17"/>
      <c r="I30" s="17"/>
      <c r="K30" s="17"/>
      <c r="O30" s="17"/>
    </row>
    <row r="31" spans="1:15">
      <c r="C31" s="17"/>
      <c r="E31" s="17"/>
      <c r="G31" s="17"/>
      <c r="I31" s="17"/>
      <c r="K31" s="17"/>
      <c r="O31" s="17"/>
    </row>
    <row r="32" spans="1:15">
      <c r="C32" s="17"/>
      <c r="E32" s="17"/>
      <c r="G32" s="17"/>
      <c r="I32" s="17"/>
      <c r="K32" s="17"/>
      <c r="O32" s="17"/>
    </row>
    <row r="33" spans="1:16">
      <c r="C33" s="17"/>
      <c r="E33" s="17"/>
      <c r="G33" s="17"/>
      <c r="I33" s="17"/>
      <c r="K33" s="17"/>
      <c r="O33" s="17"/>
    </row>
    <row r="34" spans="1:16">
      <c r="C34" s="17"/>
      <c r="E34" s="17"/>
      <c r="G34" s="17"/>
      <c r="I34" s="17"/>
      <c r="K34" s="17"/>
      <c r="O34" s="17"/>
    </row>
    <row r="35" spans="1:16">
      <c r="C35" s="17"/>
      <c r="E35" s="17"/>
      <c r="G35" s="17"/>
      <c r="I35" s="17"/>
      <c r="K35" s="17"/>
      <c r="O35" s="17"/>
    </row>
    <row r="36" spans="1:16">
      <c r="C36" s="17"/>
      <c r="E36" s="17"/>
      <c r="G36" s="17"/>
      <c r="I36" s="17"/>
      <c r="K36" s="17"/>
      <c r="O36" s="17"/>
    </row>
    <row r="37" spans="1:16">
      <c r="C37" s="17"/>
      <c r="E37" s="17"/>
      <c r="G37" s="17"/>
      <c r="I37" s="17"/>
      <c r="K37" s="17"/>
      <c r="O37" s="17"/>
    </row>
    <row r="38" spans="1:16">
      <c r="C38" s="17"/>
      <c r="E38" s="17"/>
      <c r="G38" s="17"/>
      <c r="I38" s="17"/>
      <c r="K38" s="17"/>
      <c r="O38" s="17"/>
    </row>
    <row r="39" spans="1:16">
      <c r="C39" s="17"/>
      <c r="E39" s="17"/>
      <c r="G39" s="17"/>
      <c r="I39" s="17"/>
      <c r="K39" s="17"/>
      <c r="O39" s="17"/>
    </row>
    <row r="40" spans="1:16">
      <c r="C40" s="17"/>
      <c r="E40" s="17"/>
      <c r="G40" s="17"/>
      <c r="I40" s="17"/>
      <c r="K40" s="17"/>
      <c r="O40" s="17"/>
    </row>
    <row r="41" spans="1:16">
      <c r="M41" t="s">
        <v>18</v>
      </c>
      <c r="O41" s="24">
        <f>K12+K14+K16+K18+K20</f>
        <v>44831245</v>
      </c>
    </row>
    <row r="42" spans="1:16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7"/>
    </row>
    <row r="44" spans="1:16">
      <c r="A44" s="25" t="s">
        <v>19</v>
      </c>
    </row>
    <row r="45" spans="1:16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7" spans="1:16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9" spans="1:15">
      <c r="A49" t="s">
        <v>20</v>
      </c>
      <c r="G49" t="s">
        <v>21</v>
      </c>
      <c r="I49" t="s">
        <v>22</v>
      </c>
      <c r="O49" t="s">
        <v>21</v>
      </c>
    </row>
    <row r="51" spans="1:15">
      <c r="A51" s="2"/>
      <c r="B51" s="2"/>
      <c r="C51" s="2"/>
      <c r="D51" s="2"/>
      <c r="E51" s="2"/>
      <c r="G51" s="2"/>
      <c r="I51" s="2"/>
      <c r="J51" s="2"/>
      <c r="K51" s="2"/>
      <c r="L51" s="2"/>
      <c r="M51" s="2"/>
      <c r="O51" s="2"/>
    </row>
  </sheetData>
  <mergeCells count="3">
    <mergeCell ref="C1:O1"/>
    <mergeCell ref="C2:O2"/>
    <mergeCell ref="C3:O3"/>
  </mergeCells>
  <pageMargins left="0.7" right="0.7" top="0.75" bottom="0.75" header="0.3" footer="0.3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 3429</vt:lpstr>
      <vt:lpstr>Approp 3429</vt:lpstr>
      <vt:lpstr>Approp 3430</vt:lpstr>
      <vt:lpstr>Rev 3430</vt:lpstr>
    </vt:vector>
  </TitlesOfParts>
  <Company>ckc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of Kansas City</dc:creator>
  <cp:lastModifiedBy>lkindred</cp:lastModifiedBy>
  <cp:lastPrinted>2012-04-10T13:46:41Z</cp:lastPrinted>
  <dcterms:created xsi:type="dcterms:W3CDTF">2009-07-16T14:16:35Z</dcterms:created>
  <dcterms:modified xsi:type="dcterms:W3CDTF">2012-04-10T13:49:56Z</dcterms:modified>
</cp:coreProperties>
</file>