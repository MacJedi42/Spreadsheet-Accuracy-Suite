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615" yWindow="300" windowWidth="8685" windowHeight="9915" tabRatio="823"/>
  </bookViews>
  <sheets>
    <sheet name="Fee Worksheet" sheetId="5" r:id="rId1"/>
    <sheet name="Occupancy Classifications" sheetId="6" state="hidden" r:id="rId2"/>
    <sheet name="Sheet1" sheetId="7" state="hidden" r:id="rId3"/>
    <sheet name="Sheet2" sheetId="8" r:id="rId4"/>
  </sheets>
  <calcPr calcId="125725"/>
</workbook>
</file>

<file path=xl/calcChain.xml><?xml version="1.0" encoding="utf-8"?>
<calcChain xmlns="http://schemas.openxmlformats.org/spreadsheetml/2006/main">
  <c r="C391" i="5"/>
  <c r="C392"/>
  <c r="A393"/>
  <c r="A392"/>
  <c r="C364"/>
  <c r="C360"/>
  <c r="A389"/>
  <c r="C374"/>
  <c r="C373"/>
  <c r="A390"/>
  <c r="C368"/>
  <c r="C372"/>
  <c r="L358"/>
  <c r="C369"/>
  <c r="B394"/>
  <c r="Q354"/>
  <c r="R354" s="1"/>
  <c r="Q353"/>
  <c r="R353" s="1"/>
  <c r="C371"/>
  <c r="Q350"/>
  <c r="C370" s="1"/>
  <c r="C367"/>
  <c r="C366"/>
  <c r="C365"/>
  <c r="C363"/>
  <c r="C361"/>
  <c r="C362"/>
  <c r="C359"/>
  <c r="S354" l="1"/>
  <c r="S353"/>
  <c r="C389"/>
  <c r="S355" l="1"/>
  <c r="D302"/>
  <c r="D303" s="1"/>
  <c r="D304" s="1"/>
  <c r="A256"/>
  <c r="A255"/>
  <c r="A254"/>
  <c r="A253"/>
  <c r="A252"/>
  <c r="A251"/>
  <c r="A250"/>
  <c r="A249"/>
  <c r="A248"/>
  <c r="A247"/>
  <c r="A246"/>
  <c r="A245"/>
  <c r="A244"/>
  <c r="A237"/>
  <c r="A236"/>
  <c r="A235"/>
  <c r="A234"/>
  <c r="A233"/>
  <c r="A232"/>
  <c r="A227"/>
  <c r="A226"/>
  <c r="A225"/>
  <c r="A224"/>
  <c r="A223"/>
  <c r="A222"/>
  <c r="A221"/>
  <c r="A220"/>
  <c r="A219"/>
  <c r="A218"/>
  <c r="A217"/>
  <c r="A216"/>
  <c r="A215"/>
  <c r="A214"/>
  <c r="A213"/>
  <c r="A212"/>
  <c r="A211"/>
  <c r="A210"/>
  <c r="A209"/>
  <c r="A208"/>
  <c r="A207"/>
  <c r="A206"/>
  <c r="A205"/>
  <c r="A204"/>
  <c r="A203"/>
  <c r="A202"/>
  <c r="A201"/>
  <c r="A200"/>
  <c r="A199"/>
  <c r="A198"/>
  <c r="A191"/>
  <c r="A190"/>
  <c r="A189"/>
  <c r="A188"/>
  <c r="A187"/>
  <c r="A186"/>
  <c r="A185"/>
  <c r="A184"/>
  <c r="A183"/>
  <c r="A182"/>
  <c r="A181"/>
  <c r="A180"/>
  <c r="A179"/>
  <c r="A178"/>
  <c r="A177"/>
  <c r="A176"/>
  <c r="A175"/>
  <c r="A174"/>
  <c r="A173"/>
  <c r="A172"/>
  <c r="A171"/>
  <c r="A170"/>
  <c r="A169"/>
  <c r="A168"/>
  <c r="A167"/>
  <c r="A166"/>
  <c r="A165"/>
  <c r="A164"/>
  <c r="A163"/>
  <c r="A162"/>
  <c r="A161"/>
  <c r="A160"/>
  <c r="A159"/>
  <c r="A158"/>
  <c r="A157"/>
  <c r="A156"/>
  <c r="A155"/>
  <c r="A154"/>
  <c r="A153"/>
  <c r="A152"/>
  <c r="A151"/>
  <c r="A150"/>
  <c r="A149"/>
  <c r="A148"/>
  <c r="A147"/>
  <c r="A146"/>
  <c r="A145"/>
  <c r="A144"/>
  <c r="A143"/>
  <c r="A142"/>
  <c r="A141"/>
  <c r="A140"/>
  <c r="A139"/>
  <c r="A138"/>
  <c r="A137"/>
  <c r="A136"/>
  <c r="A135"/>
  <c r="A134"/>
  <c r="A133"/>
  <c r="A132"/>
  <c r="A131"/>
  <c r="A130"/>
  <c r="A129"/>
  <c r="A128"/>
  <c r="A127"/>
  <c r="A126"/>
  <c r="A125"/>
  <c r="A124"/>
  <c r="A123"/>
  <c r="A122"/>
  <c r="A121"/>
  <c r="A120"/>
  <c r="A119"/>
  <c r="A118"/>
  <c r="A117"/>
  <c r="A116"/>
  <c r="A115"/>
  <c r="A114"/>
  <c r="A113"/>
  <c r="A112"/>
  <c r="A111"/>
  <c r="A110"/>
  <c r="A109"/>
  <c r="A108"/>
  <c r="A107"/>
  <c r="A106"/>
  <c r="A105"/>
  <c r="A104"/>
  <c r="A103"/>
  <c r="A102"/>
  <c r="A101"/>
  <c r="A100"/>
  <c r="A99"/>
  <c r="A98"/>
  <c r="A97"/>
  <c r="A96"/>
  <c r="A95"/>
  <c r="A94"/>
  <c r="A93"/>
  <c r="A92"/>
  <c r="A91"/>
  <c r="A90"/>
  <c r="A89"/>
  <c r="A88"/>
  <c r="A87"/>
  <c r="A86"/>
  <c r="A85"/>
  <c r="A84"/>
  <c r="A83"/>
  <c r="A82"/>
  <c r="A81"/>
  <c r="A80"/>
  <c r="A79"/>
  <c r="A78"/>
  <c r="A77"/>
  <c r="A76"/>
  <c r="A75"/>
  <c r="A74"/>
  <c r="A73"/>
  <c r="A72"/>
  <c r="A71"/>
  <c r="A70"/>
  <c r="A69"/>
  <c r="A68"/>
  <c r="A67"/>
  <c r="A66"/>
  <c r="A65"/>
  <c r="A64"/>
  <c r="A63"/>
  <c r="A62"/>
  <c r="A61"/>
  <c r="A60"/>
  <c r="A59"/>
  <c r="A58"/>
  <c r="A57"/>
  <c r="A56"/>
  <c r="A55"/>
  <c r="A54"/>
  <c r="D305" l="1"/>
  <c r="D306" s="1"/>
  <c r="D307" s="1"/>
  <c r="D308" s="1"/>
  <c r="D309" s="1"/>
  <c r="D310" s="1"/>
  <c r="D311" s="1"/>
  <c r="D312" s="1"/>
  <c r="D313" s="1"/>
  <c r="D314" s="1"/>
  <c r="D315" s="1"/>
  <c r="D316" s="1"/>
  <c r="D317" s="1"/>
  <c r="D318" s="1"/>
  <c r="D319" s="1"/>
  <c r="D320" s="1"/>
  <c r="D321" s="1"/>
  <c r="D322" s="1"/>
  <c r="D323" s="1"/>
  <c r="D324" s="1"/>
  <c r="D325" s="1"/>
  <c r="D326" s="1"/>
  <c r="D327" s="1"/>
  <c r="D328" s="1"/>
  <c r="C304"/>
  <c r="C303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N267"/>
  <c r="D329" l="1"/>
  <c r="D330" s="1"/>
  <c r="C330" s="1"/>
  <c r="C328"/>
  <c r="C305"/>
  <c r="L349"/>
  <c r="L348"/>
  <c r="L344"/>
  <c r="D277"/>
  <c r="C276"/>
  <c r="D278" l="1"/>
  <c r="C277"/>
  <c r="C306"/>
  <c r="C302"/>
  <c r="N348"/>
  <c r="B390" s="1"/>
  <c r="D279" l="1"/>
  <c r="C278"/>
  <c r="C307"/>
  <c r="A261"/>
  <c r="A260"/>
  <c r="A259"/>
  <c r="A258"/>
  <c r="A257"/>
  <c r="D203"/>
  <c r="D202"/>
  <c r="D201"/>
  <c r="D200"/>
  <c r="D199"/>
  <c r="A238"/>
  <c r="D261"/>
  <c r="L261" s="1"/>
  <c r="D260"/>
  <c r="L260" s="1"/>
  <c r="D259"/>
  <c r="L259" s="1"/>
  <c r="D258"/>
  <c r="L258" s="1"/>
  <c r="D257"/>
  <c r="L257" s="1"/>
  <c r="D256"/>
  <c r="L256" s="1"/>
  <c r="D255"/>
  <c r="L255" s="1"/>
  <c r="D254"/>
  <c r="L254" s="1"/>
  <c r="D253"/>
  <c r="L253" s="1"/>
  <c r="D252"/>
  <c r="L252" s="1"/>
  <c r="D251"/>
  <c r="L251" s="1"/>
  <c r="D250"/>
  <c r="L250" s="1"/>
  <c r="D249"/>
  <c r="L249" s="1"/>
  <c r="D248"/>
  <c r="L248" s="1"/>
  <c r="D247"/>
  <c r="L247" s="1"/>
  <c r="D246"/>
  <c r="L246" s="1"/>
  <c r="D245"/>
  <c r="L245" s="1"/>
  <c r="D244"/>
  <c r="L244" s="1"/>
  <c r="D243"/>
  <c r="L243" s="1"/>
  <c r="D242"/>
  <c r="L242" s="1"/>
  <c r="D241"/>
  <c r="L241" s="1"/>
  <c r="D240"/>
  <c r="L240" s="1"/>
  <c r="D239"/>
  <c r="L239" s="1"/>
  <c r="D238"/>
  <c r="L238" s="1"/>
  <c r="D237"/>
  <c r="L237" s="1"/>
  <c r="D236"/>
  <c r="L236" s="1"/>
  <c r="D235"/>
  <c r="L235" s="1"/>
  <c r="D234"/>
  <c r="L234" s="1"/>
  <c r="D233"/>
  <c r="L233" s="1"/>
  <c r="D232"/>
  <c r="L232" s="1"/>
  <c r="N197"/>
  <c r="D227"/>
  <c r="L227" s="1"/>
  <c r="D226"/>
  <c r="L226" s="1"/>
  <c r="D225"/>
  <c r="L225" s="1"/>
  <c r="D224"/>
  <c r="L224" s="1"/>
  <c r="D223"/>
  <c r="L223" s="1"/>
  <c r="D222"/>
  <c r="L222" s="1"/>
  <c r="D221"/>
  <c r="L221" s="1"/>
  <c r="D220"/>
  <c r="L220" s="1"/>
  <c r="D219"/>
  <c r="L219" s="1"/>
  <c r="D218"/>
  <c r="L218" s="1"/>
  <c r="D217"/>
  <c r="L217" s="1"/>
  <c r="D216"/>
  <c r="L216" s="1"/>
  <c r="D215"/>
  <c r="L215" s="1"/>
  <c r="D214"/>
  <c r="L214" s="1"/>
  <c r="D213"/>
  <c r="L213" s="1"/>
  <c r="D212"/>
  <c r="L212" s="1"/>
  <c r="D211"/>
  <c r="L211" s="1"/>
  <c r="D210"/>
  <c r="L210" s="1"/>
  <c r="D209"/>
  <c r="L209" s="1"/>
  <c r="D208"/>
  <c r="L208" s="1"/>
  <c r="D207"/>
  <c r="L207" s="1"/>
  <c r="D206"/>
  <c r="L206" s="1"/>
  <c r="D205"/>
  <c r="L205" s="1"/>
  <c r="D204"/>
  <c r="L204" s="1"/>
  <c r="D198"/>
  <c r="L198" s="1"/>
  <c r="D197"/>
  <c r="D196"/>
  <c r="D195"/>
  <c r="D194"/>
  <c r="D193"/>
  <c r="D192"/>
  <c r="D191"/>
  <c r="L191" s="1"/>
  <c r="D190"/>
  <c r="L190" s="1"/>
  <c r="D189"/>
  <c r="L189" s="1"/>
  <c r="D188"/>
  <c r="L188" s="1"/>
  <c r="D187"/>
  <c r="L187" s="1"/>
  <c r="D186"/>
  <c r="L186" s="1"/>
  <c r="D185"/>
  <c r="L185" s="1"/>
  <c r="D184"/>
  <c r="L184" s="1"/>
  <c r="D183"/>
  <c r="L183" s="1"/>
  <c r="D182"/>
  <c r="L182" s="1"/>
  <c r="D181"/>
  <c r="L181" s="1"/>
  <c r="D180"/>
  <c r="L180" s="1"/>
  <c r="D179"/>
  <c r="L179" s="1"/>
  <c r="D178"/>
  <c r="L178" s="1"/>
  <c r="D177"/>
  <c r="L177" s="1"/>
  <c r="D176"/>
  <c r="L176" s="1"/>
  <c r="D175"/>
  <c r="L175" s="1"/>
  <c r="D174"/>
  <c r="L174" s="1"/>
  <c r="D173"/>
  <c r="L173" s="1"/>
  <c r="D172"/>
  <c r="L172" s="1"/>
  <c r="D171"/>
  <c r="L171" s="1"/>
  <c r="D170"/>
  <c r="L170" s="1"/>
  <c r="D169"/>
  <c r="L169" s="1"/>
  <c r="D168"/>
  <c r="L168" s="1"/>
  <c r="D167"/>
  <c r="L167" s="1"/>
  <c r="D166"/>
  <c r="L166" s="1"/>
  <c r="D165"/>
  <c r="L165" s="1"/>
  <c r="D164"/>
  <c r="L164" s="1"/>
  <c r="D163"/>
  <c r="L163" s="1"/>
  <c r="D162"/>
  <c r="L162" s="1"/>
  <c r="D161"/>
  <c r="L161" s="1"/>
  <c r="D160"/>
  <c r="L160" s="1"/>
  <c r="D159"/>
  <c r="L159" s="1"/>
  <c r="D158"/>
  <c r="L158" s="1"/>
  <c r="D157"/>
  <c r="L157" s="1"/>
  <c r="D156"/>
  <c r="L156" s="1"/>
  <c r="D155"/>
  <c r="L155" s="1"/>
  <c r="D154"/>
  <c r="L154" s="1"/>
  <c r="D153"/>
  <c r="L153" s="1"/>
  <c r="D152"/>
  <c r="L152" s="1"/>
  <c r="D151"/>
  <c r="L151" s="1"/>
  <c r="D150"/>
  <c r="L150" s="1"/>
  <c r="D149"/>
  <c r="L149" s="1"/>
  <c r="D148"/>
  <c r="L148" s="1"/>
  <c r="D147"/>
  <c r="L147" s="1"/>
  <c r="D146"/>
  <c r="L146" s="1"/>
  <c r="D145"/>
  <c r="L145" s="1"/>
  <c r="D144"/>
  <c r="L144" s="1"/>
  <c r="D143"/>
  <c r="L143" s="1"/>
  <c r="D142"/>
  <c r="L142" s="1"/>
  <c r="D141"/>
  <c r="L141" s="1"/>
  <c r="D140"/>
  <c r="L140" s="1"/>
  <c r="D139"/>
  <c r="L139" s="1"/>
  <c r="D138"/>
  <c r="L138" s="1"/>
  <c r="D137"/>
  <c r="L137" s="1"/>
  <c r="D136"/>
  <c r="L136" s="1"/>
  <c r="D135"/>
  <c r="L135" s="1"/>
  <c r="D134"/>
  <c r="L134" s="1"/>
  <c r="D133"/>
  <c r="L133" s="1"/>
  <c r="D132"/>
  <c r="L132" s="1"/>
  <c r="D131"/>
  <c r="L131" s="1"/>
  <c r="D130"/>
  <c r="L130" s="1"/>
  <c r="D129"/>
  <c r="L129" s="1"/>
  <c r="D128"/>
  <c r="L128" s="1"/>
  <c r="D127"/>
  <c r="L127" s="1"/>
  <c r="D126"/>
  <c r="L126" s="1"/>
  <c r="D125"/>
  <c r="L125" s="1"/>
  <c r="D124"/>
  <c r="L124" s="1"/>
  <c r="D123"/>
  <c r="L123" s="1"/>
  <c r="D122"/>
  <c r="L122" s="1"/>
  <c r="D121"/>
  <c r="L121" s="1"/>
  <c r="D120"/>
  <c r="L120" s="1"/>
  <c r="D119"/>
  <c r="L119" s="1"/>
  <c r="D118"/>
  <c r="L118" s="1"/>
  <c r="D117"/>
  <c r="L117" s="1"/>
  <c r="D116"/>
  <c r="L116" s="1"/>
  <c r="D115"/>
  <c r="L115" s="1"/>
  <c r="D114"/>
  <c r="L114" s="1"/>
  <c r="D113"/>
  <c r="L113" s="1"/>
  <c r="D112"/>
  <c r="L112" s="1"/>
  <c r="D111"/>
  <c r="L111" s="1"/>
  <c r="D110"/>
  <c r="L110" s="1"/>
  <c r="D109"/>
  <c r="L109" s="1"/>
  <c r="D108"/>
  <c r="L108" s="1"/>
  <c r="D107"/>
  <c r="L107" s="1"/>
  <c r="D106"/>
  <c r="L106" s="1"/>
  <c r="D105"/>
  <c r="L105" s="1"/>
  <c r="D104"/>
  <c r="L104" s="1"/>
  <c r="D103"/>
  <c r="L103" s="1"/>
  <c r="D102"/>
  <c r="L102" s="1"/>
  <c r="D101"/>
  <c r="L101" s="1"/>
  <c r="D100"/>
  <c r="L100" s="1"/>
  <c r="D99"/>
  <c r="L99" s="1"/>
  <c r="D98"/>
  <c r="L98" s="1"/>
  <c r="D97"/>
  <c r="L97" s="1"/>
  <c r="D96"/>
  <c r="L96" s="1"/>
  <c r="D95"/>
  <c r="L95" s="1"/>
  <c r="D94"/>
  <c r="L94" s="1"/>
  <c r="D93"/>
  <c r="L93" s="1"/>
  <c r="D92"/>
  <c r="L92" s="1"/>
  <c r="D91"/>
  <c r="L91" s="1"/>
  <c r="D90"/>
  <c r="L90" s="1"/>
  <c r="D89"/>
  <c r="L89" s="1"/>
  <c r="D88"/>
  <c r="L88" s="1"/>
  <c r="D87"/>
  <c r="L87" s="1"/>
  <c r="D86"/>
  <c r="L86" s="1"/>
  <c r="D85"/>
  <c r="L85" s="1"/>
  <c r="D84"/>
  <c r="L84" s="1"/>
  <c r="D83"/>
  <c r="L83" s="1"/>
  <c r="D82"/>
  <c r="L82" s="1"/>
  <c r="D81"/>
  <c r="L81" s="1"/>
  <c r="D80"/>
  <c r="L80" s="1"/>
  <c r="D79"/>
  <c r="L79" s="1"/>
  <c r="D78"/>
  <c r="L78" s="1"/>
  <c r="D77"/>
  <c r="L77" s="1"/>
  <c r="D76"/>
  <c r="L76" s="1"/>
  <c r="D75"/>
  <c r="L75" s="1"/>
  <c r="D74"/>
  <c r="L74" s="1"/>
  <c r="D73"/>
  <c r="L73" s="1"/>
  <c r="D72"/>
  <c r="L72" s="1"/>
  <c r="D71"/>
  <c r="L71" s="1"/>
  <c r="D70"/>
  <c r="L70" s="1"/>
  <c r="D69"/>
  <c r="L69" s="1"/>
  <c r="D68"/>
  <c r="L68" s="1"/>
  <c r="D67"/>
  <c r="L67" s="1"/>
  <c r="D66"/>
  <c r="L66" s="1"/>
  <c r="D65"/>
  <c r="L65" s="1"/>
  <c r="D64"/>
  <c r="L64" s="1"/>
  <c r="D63"/>
  <c r="L63" s="1"/>
  <c r="D62"/>
  <c r="L62" s="1"/>
  <c r="D61"/>
  <c r="L61" s="1"/>
  <c r="D60"/>
  <c r="L60" s="1"/>
  <c r="D59"/>
  <c r="L59" s="1"/>
  <c r="D58"/>
  <c r="L58" s="1"/>
  <c r="D57"/>
  <c r="L57" s="1"/>
  <c r="D56"/>
  <c r="L56" s="1"/>
  <c r="D55"/>
  <c r="L55" s="1"/>
  <c r="D54"/>
  <c r="L54" s="1"/>
  <c r="D53"/>
  <c r="L53" s="1"/>
  <c r="D52"/>
  <c r="L52" s="1"/>
  <c r="D51"/>
  <c r="L51" s="1"/>
  <c r="D50"/>
  <c r="L50" s="1"/>
  <c r="D49"/>
  <c r="L49" s="1"/>
  <c r="D48"/>
  <c r="L48" s="1"/>
  <c r="D280" l="1"/>
  <c r="C279"/>
  <c r="C308"/>
  <c r="M199"/>
  <c r="L199"/>
  <c r="M200"/>
  <c r="L200"/>
  <c r="M201"/>
  <c r="L201"/>
  <c r="M202"/>
  <c r="L202"/>
  <c r="M203"/>
  <c r="L203"/>
  <c r="N203"/>
  <c r="N255"/>
  <c r="N237"/>
  <c r="N249"/>
  <c r="N191"/>
  <c r="N209"/>
  <c r="N221"/>
  <c r="N215"/>
  <c r="N125"/>
  <c r="N155"/>
  <c r="N161"/>
  <c r="N119"/>
  <c r="N113"/>
  <c r="N83"/>
  <c r="N59"/>
  <c r="N77"/>
  <c r="N71"/>
  <c r="D281" l="1"/>
  <c r="C280"/>
  <c r="C309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L12" s="1"/>
  <c r="D46"/>
  <c r="L46" s="1"/>
  <c r="D45"/>
  <c r="L45" s="1"/>
  <c r="D44"/>
  <c r="L44" s="1"/>
  <c r="D43"/>
  <c r="L43" s="1"/>
  <c r="D42"/>
  <c r="D41"/>
  <c r="D40"/>
  <c r="D39"/>
  <c r="D38"/>
  <c r="D37"/>
  <c r="D36"/>
  <c r="L36" s="1"/>
  <c r="D35"/>
  <c r="D34"/>
  <c r="D33"/>
  <c r="D32"/>
  <c r="D31"/>
  <c r="D30"/>
  <c r="D47"/>
  <c r="L47" s="1"/>
  <c r="L42"/>
  <c r="A49"/>
  <c r="D282" l="1"/>
  <c r="C281"/>
  <c r="C310"/>
  <c r="N41"/>
  <c r="D283" l="1"/>
  <c r="C282"/>
  <c r="C311"/>
  <c r="L41"/>
  <c r="L40"/>
  <c r="L39"/>
  <c r="L38"/>
  <c r="L37"/>
  <c r="L35"/>
  <c r="L34"/>
  <c r="L33"/>
  <c r="L32"/>
  <c r="L31"/>
  <c r="L30"/>
  <c r="N35" s="1"/>
  <c r="L29"/>
  <c r="L28"/>
  <c r="L27"/>
  <c r="L26"/>
  <c r="L25"/>
  <c r="L24"/>
  <c r="N29" s="1"/>
  <c r="L18"/>
  <c r="L23"/>
  <c r="L22"/>
  <c r="L21"/>
  <c r="L20"/>
  <c r="L19"/>
  <c r="D284" l="1"/>
  <c r="C283"/>
  <c r="C312"/>
  <c r="N23"/>
  <c r="L17"/>
  <c r="L15"/>
  <c r="L16"/>
  <c r="L14"/>
  <c r="L13"/>
  <c r="D285" l="1"/>
  <c r="C284"/>
  <c r="C313"/>
  <c r="N47"/>
  <c r="N17"/>
  <c r="M261"/>
  <c r="M260"/>
  <c r="M259"/>
  <c r="M258"/>
  <c r="M257"/>
  <c r="M256"/>
  <c r="N261"/>
  <c r="M255"/>
  <c r="M254"/>
  <c r="M253"/>
  <c r="M252"/>
  <c r="M251"/>
  <c r="M250"/>
  <c r="M249"/>
  <c r="M248"/>
  <c r="M247"/>
  <c r="M246"/>
  <c r="M245"/>
  <c r="M244"/>
  <c r="M243"/>
  <c r="M242"/>
  <c r="M241"/>
  <c r="M240"/>
  <c r="M239"/>
  <c r="M238"/>
  <c r="M237"/>
  <c r="M236"/>
  <c r="M235"/>
  <c r="M234"/>
  <c r="M233"/>
  <c r="M232"/>
  <c r="M227"/>
  <c r="M226"/>
  <c r="M225"/>
  <c r="M224"/>
  <c r="M223"/>
  <c r="M222"/>
  <c r="N227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198"/>
  <c r="M197"/>
  <c r="L197"/>
  <c r="M196"/>
  <c r="L196"/>
  <c r="M195"/>
  <c r="L195"/>
  <c r="M194"/>
  <c r="L194"/>
  <c r="M193"/>
  <c r="L193"/>
  <c r="M192"/>
  <c r="L192"/>
  <c r="M191"/>
  <c r="M190"/>
  <c r="M189"/>
  <c r="M188"/>
  <c r="M187"/>
  <c r="M186"/>
  <c r="M185"/>
  <c r="M184"/>
  <c r="M183"/>
  <c r="M182"/>
  <c r="M181"/>
  <c r="M180"/>
  <c r="N185"/>
  <c r="M179"/>
  <c r="M178"/>
  <c r="M177"/>
  <c r="M176"/>
  <c r="M175"/>
  <c r="M174"/>
  <c r="N179"/>
  <c r="M173"/>
  <c r="M172"/>
  <c r="M171"/>
  <c r="M170"/>
  <c r="M169"/>
  <c r="M168"/>
  <c r="N173"/>
  <c r="M167"/>
  <c r="M166"/>
  <c r="M165"/>
  <c r="M164"/>
  <c r="M163"/>
  <c r="M162"/>
  <c r="N167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N149"/>
  <c r="M143"/>
  <c r="M142"/>
  <c r="M141"/>
  <c r="M140"/>
  <c r="M139"/>
  <c r="M138"/>
  <c r="N143"/>
  <c r="M137"/>
  <c r="M136"/>
  <c r="M135"/>
  <c r="M134"/>
  <c r="M133"/>
  <c r="M132"/>
  <c r="N137"/>
  <c r="M131"/>
  <c r="M130"/>
  <c r="M129"/>
  <c r="M128"/>
  <c r="M127"/>
  <c r="M126"/>
  <c r="N131"/>
  <c r="M125"/>
  <c r="M124"/>
  <c r="M123"/>
  <c r="M122"/>
  <c r="M121"/>
  <c r="M120"/>
  <c r="M119"/>
  <c r="M118"/>
  <c r="M117"/>
  <c r="M116"/>
  <c r="M115"/>
  <c r="M114"/>
  <c r="M113"/>
  <c r="M112"/>
  <c r="M111"/>
  <c r="M110"/>
  <c r="M109"/>
  <c r="M108"/>
  <c r="M107"/>
  <c r="M106"/>
  <c r="M105"/>
  <c r="M104"/>
  <c r="M103"/>
  <c r="M102"/>
  <c r="N107"/>
  <c r="M101"/>
  <c r="M100"/>
  <c r="M99"/>
  <c r="M98"/>
  <c r="M97"/>
  <c r="M96"/>
  <c r="N101"/>
  <c r="M95"/>
  <c r="M94"/>
  <c r="M93"/>
  <c r="M92"/>
  <c r="M91"/>
  <c r="M90"/>
  <c r="N95"/>
  <c r="M89"/>
  <c r="M88"/>
  <c r="M87"/>
  <c r="M86"/>
  <c r="M85"/>
  <c r="M84"/>
  <c r="N89"/>
  <c r="M83"/>
  <c r="M82"/>
  <c r="M81"/>
  <c r="M80"/>
  <c r="M79"/>
  <c r="M78"/>
  <c r="M77"/>
  <c r="M76"/>
  <c r="M75"/>
  <c r="M74"/>
  <c r="M73"/>
  <c r="M72"/>
  <c r="M71"/>
  <c r="M70"/>
  <c r="M69"/>
  <c r="M68"/>
  <c r="M67"/>
  <c r="M66"/>
  <c r="M65"/>
  <c r="M64"/>
  <c r="M63"/>
  <c r="M62"/>
  <c r="M61"/>
  <c r="M60"/>
  <c r="N65"/>
  <c r="M59"/>
  <c r="M58"/>
  <c r="M57"/>
  <c r="M56"/>
  <c r="M55"/>
  <c r="M54"/>
  <c r="M53"/>
  <c r="M52"/>
  <c r="M51"/>
  <c r="M50"/>
  <c r="M49"/>
  <c r="M48"/>
  <c r="M47"/>
  <c r="M46"/>
  <c r="M45"/>
  <c r="M44"/>
  <c r="M43"/>
  <c r="M42"/>
  <c r="M41"/>
  <c r="M40"/>
  <c r="M39"/>
  <c r="M38"/>
  <c r="M37"/>
  <c r="M36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N268" l="1"/>
  <c r="D286"/>
  <c r="C285"/>
  <c r="C314"/>
  <c r="D287" l="1"/>
  <c r="C286"/>
  <c r="C315"/>
  <c r="D332"/>
  <c r="D333" s="1"/>
  <c r="D288" l="1"/>
  <c r="C287"/>
  <c r="C333"/>
  <c r="D334"/>
  <c r="C316"/>
  <c r="C317" l="1"/>
  <c r="D289"/>
  <c r="C288"/>
  <c r="C334"/>
  <c r="D335"/>
  <c r="C318" l="1"/>
  <c r="D290"/>
  <c r="C289"/>
  <c r="D336"/>
  <c r="C335"/>
  <c r="C319" l="1"/>
  <c r="D291"/>
  <c r="C290"/>
  <c r="D337"/>
  <c r="D338" s="1"/>
  <c r="C336"/>
  <c r="D339" l="1"/>
  <c r="D340" s="1"/>
  <c r="D341" s="1"/>
  <c r="D342" s="1"/>
  <c r="D343" s="1"/>
  <c r="C338"/>
  <c r="C320"/>
  <c r="D292"/>
  <c r="C291"/>
  <c r="C337"/>
  <c r="D344" l="1"/>
  <c r="D345" s="1"/>
  <c r="D346" s="1"/>
  <c r="D347" s="1"/>
  <c r="D348" s="1"/>
  <c r="D349" s="1"/>
  <c r="D350" s="1"/>
  <c r="D351" s="1"/>
  <c r="D352" s="1"/>
  <c r="D353" s="1"/>
  <c r="D354" s="1"/>
  <c r="D355" s="1"/>
  <c r="D356" s="1"/>
  <c r="D357" s="1"/>
  <c r="D358" s="1"/>
  <c r="D359" s="1"/>
  <c r="C343"/>
  <c r="C342"/>
  <c r="C321"/>
  <c r="D293"/>
  <c r="C292"/>
  <c r="C339"/>
  <c r="C355" l="1"/>
  <c r="C356"/>
  <c r="C357"/>
  <c r="C322"/>
  <c r="C341"/>
  <c r="D294"/>
  <c r="C293"/>
  <c r="C340"/>
  <c r="C323" l="1"/>
  <c r="D295"/>
  <c r="C294"/>
  <c r="C344"/>
  <c r="C324" l="1"/>
  <c r="D296"/>
  <c r="C295"/>
  <c r="C345"/>
  <c r="C325" l="1"/>
  <c r="D297"/>
  <c r="C296"/>
  <c r="C346"/>
  <c r="C326" l="1"/>
  <c r="D298"/>
  <c r="C297"/>
  <c r="C347"/>
  <c r="C327" l="1"/>
  <c r="C329"/>
  <c r="D299"/>
  <c r="C298"/>
  <c r="C348"/>
  <c r="C299" l="1"/>
  <c r="D300"/>
  <c r="C300" s="1"/>
  <c r="C349"/>
  <c r="C350" l="1"/>
  <c r="C351" l="1"/>
  <c r="C352" l="1"/>
  <c r="C353" l="1"/>
  <c r="C358" l="1"/>
  <c r="C354"/>
  <c r="C375" l="1"/>
  <c r="B391" s="1"/>
  <c r="B393" l="1"/>
</calcChain>
</file>

<file path=xl/sharedStrings.xml><?xml version="1.0" encoding="utf-8"?>
<sst xmlns="http://schemas.openxmlformats.org/spreadsheetml/2006/main" count="530" uniqueCount="350">
  <si>
    <t>Base Cost @ Threshold Size</t>
  </si>
  <si>
    <t>Theater, Concert Hall</t>
  </si>
  <si>
    <t>Restaurant, Night Club, Bar</t>
  </si>
  <si>
    <t>Arcade, Church, Community Hall</t>
  </si>
  <si>
    <t>Arena, Skating Rink, Tennis Court</t>
  </si>
  <si>
    <t>Amusement Park, Bleacher, Stadium</t>
  </si>
  <si>
    <t>A Occupancy Tenant Improvements</t>
  </si>
  <si>
    <t>Business—Chemicals</t>
  </si>
  <si>
    <t>Business</t>
  </si>
  <si>
    <t>B Occupancy Tenant Improvements</t>
  </si>
  <si>
    <t>Educational—School</t>
  </si>
  <si>
    <t>6+ persons, up to the 12th Grade</t>
  </si>
  <si>
    <t>Educational—Day Care</t>
  </si>
  <si>
    <t>5+ children, older than 2 1/2 yrs</t>
  </si>
  <si>
    <t>E Occupancy Tenant Improvements</t>
  </si>
  <si>
    <t>Factory Industrial—Moderate Hazard</t>
  </si>
  <si>
    <t>Factory Industrial—Low Hazard</t>
  </si>
  <si>
    <t>F Occupancy Tenant Improvements</t>
  </si>
  <si>
    <t>High Hazard Group H-1</t>
  </si>
  <si>
    <t>Pose a detonation hazard</t>
  </si>
  <si>
    <t>High Hazard Group H-2</t>
  </si>
  <si>
    <t>Pose a deflagration hazard</t>
  </si>
  <si>
    <t>High Hazard Group H-3</t>
  </si>
  <si>
    <t>Readily support combustion</t>
  </si>
  <si>
    <t>High Hazard Group H-4</t>
  </si>
  <si>
    <t>Pose health hazards</t>
  </si>
  <si>
    <t>High Hazard Group H-5</t>
  </si>
  <si>
    <t>Semiconductor Fabrication, R&amp;D</t>
  </si>
  <si>
    <t>H Occupancy Tenant Improvements</t>
  </si>
  <si>
    <t>Institutional—17+ persons, ambulatory</t>
  </si>
  <si>
    <t>Institutional—6+ persons, non-ambulatory</t>
  </si>
  <si>
    <t>Institutional—6+ persons, restrained</t>
  </si>
  <si>
    <t>Institutional—6+ persons, day care</t>
  </si>
  <si>
    <t>I Occupancy Tenant Improvements</t>
  </si>
  <si>
    <t>Mercantile</t>
  </si>
  <si>
    <t>M Occupancy Tenant Improvements</t>
  </si>
  <si>
    <t>Residential—Transient</t>
  </si>
  <si>
    <t>Boarding Houses, Hotels, Motels</t>
  </si>
  <si>
    <t>R-2</t>
  </si>
  <si>
    <t>Residential—Permanent, 2+ Dwellings</t>
  </si>
  <si>
    <t>Apartment, Dormitory, Timeshare</t>
  </si>
  <si>
    <t>Residential—Permanent, 2+, Additional Identical Buildings</t>
  </si>
  <si>
    <t>Residential—Assisted Living (6-16 persons)</t>
  </si>
  <si>
    <t>R Occupancy Tenant Improvements</t>
  </si>
  <si>
    <t>Storage</t>
  </si>
  <si>
    <t>S Occupancy Tenant Improvements</t>
  </si>
  <si>
    <t>Accessory</t>
  </si>
  <si>
    <t>Automatic Sprinkler System, 13 Combustible</t>
  </si>
  <si>
    <t>Automatic Sprinkler System, 13 Non-Combustible</t>
  </si>
  <si>
    <t>Automatic Sprinkler System, 13R</t>
  </si>
  <si>
    <t>Multi-family</t>
  </si>
  <si>
    <t>Automatic Sprinkler System, 13D</t>
  </si>
  <si>
    <t>Single Family</t>
  </si>
  <si>
    <t>Fire Alarm System</t>
  </si>
  <si>
    <t>*Each additional 100 square feet, or portion thereof, up to the next highest project size threshold.</t>
  </si>
  <si>
    <r>
      <t xml:space="preserve">Cost for Each Additional 100 sf </t>
    </r>
    <r>
      <rPr>
        <b/>
        <sz val="9"/>
        <color rgb="FFFF0000"/>
        <rFont val="Arial"/>
        <family val="2"/>
      </rPr>
      <t>***</t>
    </r>
  </si>
  <si>
    <r>
      <t>Job Cost</t>
    </r>
    <r>
      <rPr>
        <b/>
        <sz val="9"/>
        <color rgb="FF00B0F0"/>
        <rFont val="Arial"/>
        <family val="2"/>
      </rPr>
      <t>****</t>
    </r>
  </si>
  <si>
    <t xml:space="preserve">Number of components assessed, used for WMFR fee calculation ↓      </t>
  </si>
  <si>
    <t xml:space="preserve">      ↓Square footage, used for SMFR fee calculation </t>
  </si>
  <si>
    <t>↓           ↓           ↓           ↓           Fire Protection/Detection Systems           ↓           ↓          ↓           ↓</t>
  </si>
  <si>
    <t>West Metro Fire Rescue</t>
  </si>
  <si>
    <t>Fee</t>
  </si>
  <si>
    <t>15,000 - 29,999</t>
  </si>
  <si>
    <t>30,000 - 59,999</t>
  </si>
  <si>
    <t>60,000 - 149,999</t>
  </si>
  <si>
    <t>150,000 - 299,999</t>
  </si>
  <si>
    <r>
      <rPr>
        <sz val="8"/>
        <rFont val="Calibri"/>
        <family val="2"/>
      </rPr>
      <t>≤</t>
    </r>
    <r>
      <rPr>
        <sz val="8"/>
        <rFont val="Arial"/>
        <family val="2"/>
      </rPr>
      <t xml:space="preserve"> 14,999</t>
    </r>
  </si>
  <si>
    <r>
      <t xml:space="preserve">Project Size Limits                       </t>
    </r>
    <r>
      <rPr>
        <sz val="8"/>
        <rFont val="Arial"/>
        <family val="2"/>
      </rPr>
      <t>(Square feet)</t>
    </r>
  </si>
  <si>
    <r>
      <t xml:space="preserve">Actual Project size </t>
    </r>
    <r>
      <rPr>
        <sz val="8"/>
        <rFont val="Arial"/>
        <family val="2"/>
      </rPr>
      <t>(Square feet)</t>
    </r>
  </si>
  <si>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 300,000</t>
    </r>
  </si>
  <si>
    <t>≤ 3,749</t>
  </si>
  <si>
    <t>37,500 - 74,999</t>
  </si>
  <si>
    <r>
      <rPr>
        <sz val="8"/>
        <rFont val="Calibri"/>
        <family val="2"/>
      </rPr>
      <t>≥</t>
    </r>
    <r>
      <rPr>
        <sz val="12"/>
        <rFont val="Arial"/>
        <family val="2"/>
      </rPr>
      <t xml:space="preserve"> </t>
    </r>
    <r>
      <rPr>
        <sz val="8"/>
        <rFont val="Arial"/>
        <family val="2"/>
      </rPr>
      <t>75,000</t>
    </r>
  </si>
  <si>
    <t>15,000 - 37,499</t>
  </si>
  <si>
    <t>7,500 - 14,999</t>
  </si>
  <si>
    <t>3,750 - 7,499</t>
  </si>
  <si>
    <t>10,000 - 19,999</t>
  </si>
  <si>
    <r>
      <rPr>
        <sz val="8"/>
        <rFont val="Calibri"/>
        <family val="2"/>
      </rPr>
      <t>≤</t>
    </r>
    <r>
      <rPr>
        <sz val="12"/>
        <rFont val="Arial"/>
        <family val="2"/>
      </rPr>
      <t xml:space="preserve"> 9,999</t>
    </r>
  </si>
  <si>
    <t>20,000 - 39,999</t>
  </si>
  <si>
    <t>40,000 - 99,999</t>
  </si>
  <si>
    <t>100,000 - 199,999</t>
  </si>
  <si>
    <r>
      <rPr>
        <sz val="8"/>
        <rFont val="Calibri"/>
        <family val="2"/>
      </rPr>
      <t>≥</t>
    </r>
    <r>
      <rPr>
        <sz val="12"/>
        <rFont val="Arial"/>
        <family val="2"/>
      </rPr>
      <t xml:space="preserve"> </t>
    </r>
    <r>
      <rPr>
        <sz val="8"/>
        <rFont val="Arial"/>
        <family val="2"/>
      </rPr>
      <t>200,000</t>
    </r>
  </si>
  <si>
    <r>
      <rPr>
        <sz val="8"/>
        <rFont val="Calibri"/>
        <family val="2"/>
      </rPr>
      <t>≤</t>
    </r>
    <r>
      <rPr>
        <sz val="12"/>
        <rFont val="Arial"/>
        <family val="2"/>
      </rPr>
      <t xml:space="preserve"> 7,499</t>
    </r>
  </si>
  <si>
    <t>30,000 - 74,999</t>
  </si>
  <si>
    <r>
      <rPr>
        <sz val="8"/>
        <rFont val="Calibri"/>
        <family val="2"/>
      </rPr>
      <t>≥</t>
    </r>
    <r>
      <rPr>
        <sz val="12"/>
        <rFont val="Arial"/>
        <family val="2"/>
      </rPr>
      <t xml:space="preserve"> </t>
    </r>
    <r>
      <rPr>
        <sz val="8"/>
        <rFont val="Arial"/>
        <family val="2"/>
      </rPr>
      <t>150,000</t>
    </r>
  </si>
  <si>
    <t>75,000 - 149,999</t>
  </si>
  <si>
    <t>≤ 37,499</t>
  </si>
  <si>
    <t>150,000 - 374,999</t>
  </si>
  <si>
    <t>375,000 - 749,999</t>
  </si>
  <si>
    <r>
      <rPr>
        <sz val="8"/>
        <rFont val="Calibri"/>
        <family val="2"/>
      </rPr>
      <t>≥</t>
    </r>
    <r>
      <rPr>
        <sz val="12"/>
        <rFont val="Arial"/>
        <family val="2"/>
      </rPr>
      <t xml:space="preserve"> </t>
    </r>
    <r>
      <rPr>
        <sz val="8"/>
        <rFont val="Arial"/>
        <family val="2"/>
      </rPr>
      <t>750,000</t>
    </r>
  </si>
  <si>
    <r>
      <rPr>
        <sz val="8"/>
        <rFont val="Calibri"/>
        <family val="2"/>
      </rPr>
      <t>≤</t>
    </r>
    <r>
      <rPr>
        <sz val="12"/>
        <rFont val="Arial"/>
        <family val="2"/>
      </rPr>
      <t xml:space="preserve"> 2,499</t>
    </r>
  </si>
  <si>
    <t>2,500 - 4,999</t>
  </si>
  <si>
    <t>5,000 - 9,999</t>
  </si>
  <si>
    <t>10,000 - -24,999</t>
  </si>
  <si>
    <t>25,000 - 49,999</t>
  </si>
  <si>
    <r>
      <rPr>
        <sz val="8"/>
        <rFont val="Calibri"/>
        <family val="2"/>
      </rPr>
      <t>≥</t>
    </r>
    <r>
      <rPr>
        <sz val="12"/>
        <rFont val="Arial"/>
        <family val="2"/>
      </rPr>
      <t xml:space="preserve"> </t>
    </r>
    <r>
      <rPr>
        <sz val="8"/>
        <rFont val="Arial"/>
        <family val="2"/>
      </rPr>
      <t>50,000</t>
    </r>
  </si>
  <si>
    <t>A-5 Assembly—Outdoor Activities</t>
  </si>
  <si>
    <t>A-4 Assembly—Indoor Sport Viewing</t>
  </si>
  <si>
    <t>A-3 Assembly—Worship, Amusement</t>
  </si>
  <si>
    <t>A-2 Assembly—Food &amp; Drink</t>
  </si>
  <si>
    <t>A-1 Assembly—Fixed Seating</t>
  </si>
  <si>
    <t xml:space="preserve">Permit cost = </t>
  </si>
  <si>
    <t>IFC Occupancy Type</t>
  </si>
  <si>
    <t>IFC Class</t>
  </si>
  <si>
    <t>≤ 1499</t>
  </si>
  <si>
    <t>1500 - 2999</t>
  </si>
  <si>
    <t>3000 - 5999</t>
  </si>
  <si>
    <t>≤ 9,999</t>
  </si>
  <si>
    <t>10,000 -19,999</t>
  </si>
  <si>
    <r>
      <rPr>
        <sz val="8"/>
        <rFont val="Calibri"/>
        <family val="2"/>
      </rPr>
      <t>≥</t>
    </r>
    <r>
      <rPr>
        <sz val="8"/>
        <rFont val="Arial"/>
        <family val="2"/>
      </rPr>
      <t>200,000</t>
    </r>
  </si>
  <si>
    <t>1,250 - 2,499</t>
  </si>
  <si>
    <t>5,000 - 12,499</t>
  </si>
  <si>
    <t>12,500 - 24,999</t>
  </si>
  <si>
    <r>
      <rPr>
        <sz val="8"/>
        <rFont val="Calibri"/>
        <family val="2"/>
      </rPr>
      <t>≥</t>
    </r>
    <r>
      <rPr>
        <sz val="9.6"/>
        <rFont val="Arial"/>
        <family val="2"/>
      </rPr>
      <t xml:space="preserve"> </t>
    </r>
    <r>
      <rPr>
        <sz val="8"/>
        <rFont val="Arial"/>
        <family val="2"/>
      </rPr>
      <t>25,000</t>
    </r>
  </si>
  <si>
    <r>
      <rPr>
        <sz val="8"/>
        <rFont val="Calibri"/>
        <family val="2"/>
      </rPr>
      <t>≤</t>
    </r>
    <r>
      <rPr>
        <sz val="9.6"/>
        <rFont val="Arial"/>
        <family val="2"/>
      </rPr>
      <t xml:space="preserve"> 1,249</t>
    </r>
  </si>
  <si>
    <r>
      <rPr>
        <sz val="8"/>
        <rFont val="Calibri"/>
        <family val="2"/>
      </rPr>
      <t>≤</t>
    </r>
    <r>
      <rPr>
        <sz val="9.6"/>
        <rFont val="Arial"/>
        <family val="2"/>
      </rPr>
      <t xml:space="preserve"> 24</t>
    </r>
    <r>
      <rPr>
        <sz val="8"/>
        <rFont val="Arial"/>
        <family val="2"/>
      </rPr>
      <t>,999</t>
    </r>
  </si>
  <si>
    <t>50,000 - 99,999</t>
  </si>
  <si>
    <t>100,000 - 249,999</t>
  </si>
  <si>
    <t>250,000 - 499,999</t>
  </si>
  <si>
    <r>
      <rPr>
        <sz val="8"/>
        <rFont val="Calibri"/>
        <family val="2"/>
      </rPr>
      <t>≥</t>
    </r>
    <r>
      <rPr>
        <sz val="9.6"/>
        <rFont val="Arial"/>
        <family val="2"/>
      </rPr>
      <t xml:space="preserve"> </t>
    </r>
    <r>
      <rPr>
        <sz val="8"/>
        <rFont val="Arial"/>
        <family val="2"/>
      </rPr>
      <t>500,000</t>
    </r>
  </si>
  <si>
    <r>
      <rPr>
        <sz val="8"/>
        <rFont val="Calibri"/>
        <family val="2"/>
      </rPr>
      <t>≤</t>
    </r>
    <r>
      <rPr>
        <sz val="9.6"/>
        <rFont val="Arial"/>
        <family val="2"/>
      </rPr>
      <t xml:space="preserve"> 3,</t>
    </r>
    <r>
      <rPr>
        <sz val="8"/>
        <rFont val="Arial"/>
        <family val="2"/>
      </rPr>
      <t>749</t>
    </r>
  </si>
  <si>
    <r>
      <rPr>
        <sz val="8"/>
        <rFont val="Calibri"/>
        <family val="2"/>
      </rPr>
      <t>≥</t>
    </r>
    <r>
      <rPr>
        <sz val="8"/>
        <rFont val="Arial"/>
        <family val="2"/>
      </rPr>
      <t>75,000</t>
    </r>
  </si>
  <si>
    <r>
      <rPr>
        <sz val="8"/>
        <rFont val="Calibri"/>
        <family val="2"/>
      </rPr>
      <t>≤</t>
    </r>
    <r>
      <rPr>
        <sz val="9.6"/>
        <rFont val="Arial"/>
        <family val="2"/>
      </rPr>
      <t xml:space="preserve"> 4,999</t>
    </r>
  </si>
  <si>
    <t>20,000 - 49,999</t>
  </si>
  <si>
    <r>
      <rPr>
        <sz val="8"/>
        <rFont val="Calibri"/>
        <family val="2"/>
      </rPr>
      <t>≤</t>
    </r>
    <r>
      <rPr>
        <sz val="9.6"/>
        <rFont val="Arial"/>
        <family val="2"/>
      </rPr>
      <t xml:space="preserve"> </t>
    </r>
    <r>
      <rPr>
        <sz val="8"/>
        <rFont val="Arial"/>
        <family val="2"/>
      </rPr>
      <t>100000</t>
    </r>
  </si>
  <si>
    <r>
      <rPr>
        <sz val="8"/>
        <rFont val="Calibri"/>
        <family val="2"/>
      </rPr>
      <t>≤</t>
    </r>
    <r>
      <rPr>
        <sz val="9.6"/>
        <rFont val="Arial"/>
        <family val="2"/>
      </rPr>
      <t xml:space="preserve"> 12,499</t>
    </r>
  </si>
  <si>
    <t>50,000 - 124,999</t>
  </si>
  <si>
    <t>125,000 - 249,999</t>
  </si>
  <si>
    <r>
      <rPr>
        <sz val="8"/>
        <rFont val="Calibri"/>
        <family val="2"/>
      </rPr>
      <t>≥</t>
    </r>
    <r>
      <rPr>
        <sz val="9.6"/>
        <rFont val="Arial"/>
        <family val="2"/>
      </rPr>
      <t xml:space="preserve"> </t>
    </r>
    <r>
      <rPr>
        <sz val="8"/>
        <rFont val="Arial"/>
        <family val="2"/>
      </rPr>
      <t>250,000</t>
    </r>
  </si>
  <si>
    <r>
      <rPr>
        <sz val="8"/>
        <rFont val="Calibri"/>
        <family val="2"/>
      </rPr>
      <t>≥</t>
    </r>
    <r>
      <rPr>
        <sz val="9.6"/>
        <rFont val="Arial"/>
        <family val="2"/>
      </rPr>
      <t xml:space="preserve"> </t>
    </r>
    <r>
      <rPr>
        <sz val="8"/>
        <rFont val="Arial"/>
        <family val="2"/>
      </rPr>
      <t>100,000</t>
    </r>
  </si>
  <si>
    <r>
      <rPr>
        <sz val="8"/>
        <rFont val="Calibri"/>
        <family val="2"/>
      </rPr>
      <t>≤</t>
    </r>
    <r>
      <rPr>
        <sz val="9.6"/>
        <rFont val="Arial"/>
        <family val="2"/>
      </rPr>
      <t xml:space="preserve"> 49,999</t>
    </r>
  </si>
  <si>
    <t>200,000 - 499,999</t>
  </si>
  <si>
    <t>500,000 - 999,999</t>
  </si>
  <si>
    <r>
      <rPr>
        <sz val="8"/>
        <rFont val="Calibri"/>
        <family val="2"/>
      </rPr>
      <t>≥</t>
    </r>
    <r>
      <rPr>
        <sz val="9.6"/>
        <rFont val="Arial"/>
        <family val="2"/>
      </rPr>
      <t xml:space="preserve"> </t>
    </r>
    <r>
      <rPr>
        <sz val="8"/>
        <rFont val="Arial"/>
        <family val="2"/>
      </rPr>
      <t>1,000,000</t>
    </r>
  </si>
  <si>
    <r>
      <rPr>
        <sz val="8"/>
        <rFont val="Calibri"/>
        <family val="2"/>
      </rPr>
      <t>≤</t>
    </r>
    <r>
      <rPr>
        <sz val="9.6"/>
        <rFont val="Arial"/>
        <family val="2"/>
      </rPr>
      <t xml:space="preserve"> 17,499</t>
    </r>
  </si>
  <si>
    <t>17,500 - 34,999</t>
  </si>
  <si>
    <t>35,000 - 69,999</t>
  </si>
  <si>
    <t>70,000 - 174,999</t>
  </si>
  <si>
    <t>175,000 - 349,999</t>
  </si>
  <si>
    <r>
      <rPr>
        <sz val="8"/>
        <rFont val="Calibri"/>
        <family val="2"/>
      </rPr>
      <t>≥</t>
    </r>
    <r>
      <rPr>
        <sz val="9.6"/>
        <rFont val="Arial"/>
        <family val="2"/>
      </rPr>
      <t xml:space="preserve"> </t>
    </r>
    <r>
      <rPr>
        <sz val="8"/>
        <rFont val="Arial"/>
        <family val="2"/>
      </rPr>
      <t>350,000</t>
    </r>
  </si>
  <si>
    <r>
      <rPr>
        <sz val="8"/>
        <rFont val="Calibri"/>
        <family val="2"/>
      </rPr>
      <t xml:space="preserve">≤ </t>
    </r>
    <r>
      <rPr>
        <sz val="9.6"/>
        <rFont val="Arial"/>
        <family val="2"/>
      </rPr>
      <t>6,249</t>
    </r>
  </si>
  <si>
    <t>6,250 - 12,499</t>
  </si>
  <si>
    <t>25,000 - 62,499</t>
  </si>
  <si>
    <t>62,500 - 124,999</t>
  </si>
  <si>
    <r>
      <rPr>
        <sz val="8"/>
        <rFont val="Calibri"/>
        <family val="2"/>
      </rPr>
      <t>≥</t>
    </r>
    <r>
      <rPr>
        <sz val="9.6"/>
        <rFont val="Arial"/>
        <family val="2"/>
      </rPr>
      <t xml:space="preserve"> </t>
    </r>
    <r>
      <rPr>
        <sz val="8"/>
        <rFont val="Arial"/>
        <family val="2"/>
      </rPr>
      <t>125 000</t>
    </r>
  </si>
  <si>
    <r>
      <rPr>
        <sz val="8"/>
        <rFont val="Calibri"/>
        <family val="2"/>
      </rPr>
      <t>≤</t>
    </r>
    <r>
      <rPr>
        <sz val="9.6"/>
        <rFont val="Arial"/>
        <family val="2"/>
      </rPr>
      <t xml:space="preserve"> 2,999</t>
    </r>
  </si>
  <si>
    <t>3,000 - 5,999</t>
  </si>
  <si>
    <t>6,000 - 11,999</t>
  </si>
  <si>
    <t>12,000 - 29,999</t>
  </si>
  <si>
    <r>
      <rPr>
        <sz val="8"/>
        <rFont val="Calibri"/>
        <family val="2"/>
      </rPr>
      <t>≥</t>
    </r>
    <r>
      <rPr>
        <sz val="9.6"/>
        <rFont val="Arial"/>
        <family val="2"/>
      </rPr>
      <t xml:space="preserve"> </t>
    </r>
    <r>
      <rPr>
        <sz val="8"/>
        <rFont val="Arial"/>
        <family val="2"/>
      </rPr>
      <t>60,000</t>
    </r>
  </si>
  <si>
    <t>New Construction...A-1 Assembly—Fixed Seating</t>
  </si>
  <si>
    <t>New Construction...A-2 Assembly—Food &amp; Drink</t>
  </si>
  <si>
    <t>New Construction...A-3 Assembly—Worship, Amusement</t>
  </si>
  <si>
    <t>New Construction...A-4 Assembly—Indoor Sport Viewing</t>
  </si>
  <si>
    <t>New Construction...A-5 Assembly—Outdoor Activities</t>
  </si>
  <si>
    <t>New Construction...Business</t>
  </si>
  <si>
    <t>New Construction...Educational—School 6+ persons, up to the 12th Grade</t>
  </si>
  <si>
    <t>New Construction...Educational—Day Care 5+ children, older than 2 1/2 yrs</t>
  </si>
  <si>
    <t>New Construction...Factory Industrial—Moderate Hazard</t>
  </si>
  <si>
    <t>New Construction...Factory Industrial—Low Hazard</t>
  </si>
  <si>
    <t>New Construction...High Hazard Group H-1 Pose a detonation hazard</t>
  </si>
  <si>
    <t>New Construction...High Hazard Group H-2 Pose a deflagration hazard</t>
  </si>
  <si>
    <t>New Construction...High Hazard Group H-3 Readily support combustion</t>
  </si>
  <si>
    <t>New Construction...High Hazard Group H-4 Pose health hazards</t>
  </si>
  <si>
    <t>New Construction...High Hazard Group H-5 Semiconductor Fabrication, R&amp;D</t>
  </si>
  <si>
    <t>New Construction...Institutional—17+ persons, ambulatory</t>
  </si>
  <si>
    <t>New Construction...Institutional—6+ persons, non-ambulatory</t>
  </si>
  <si>
    <t>New Construction...Institutional—6+ persons, restrained</t>
  </si>
  <si>
    <t>New Construction...Institutional—6+ persons, day care</t>
  </si>
  <si>
    <t>New Construction...Mercantile</t>
  </si>
  <si>
    <t>New Construction...Residential—Transient Boarding Houses, Hotels, Motels</t>
  </si>
  <si>
    <t>New Construction...Residential—Permanent</t>
  </si>
  <si>
    <t>New Construction...Residential—Assisted Living (6-16 persons)</t>
  </si>
  <si>
    <t>New Construction...Storage</t>
  </si>
  <si>
    <t>U Occupancy Tenant Improvements</t>
  </si>
  <si>
    <t>New Construction…U Accessory buildings</t>
  </si>
  <si>
    <t>Work Item</t>
  </si>
  <si>
    <t>FEE</t>
  </si>
  <si>
    <t>Standard Hourly Rate</t>
  </si>
  <si>
    <t>Demolition</t>
  </si>
  <si>
    <t>Fire Protection Underground Fire Line</t>
  </si>
  <si>
    <t>AST or UST Removal</t>
  </si>
  <si>
    <t>Fire Pump</t>
  </si>
  <si>
    <t>AST Installation</t>
  </si>
  <si>
    <t>UST Installation</t>
  </si>
  <si>
    <t>Exit/Access Control Systems</t>
  </si>
  <si>
    <t>Battery System (UPS)</t>
  </si>
  <si>
    <t>Compressed Gas Systems (per system)</t>
  </si>
  <si>
    <t>LP- Gas Installation</t>
  </si>
  <si>
    <t>Water Tanks for Fire Protection</t>
  </si>
  <si>
    <t>LP- Gas Installation Bulk Plant</t>
  </si>
  <si>
    <t>Back Flow preventor</t>
  </si>
  <si>
    <t>Medical Gas System (per system)</t>
  </si>
  <si>
    <t>Vehicle Access Gates</t>
  </si>
  <si>
    <t>Refrigeration System (per system)</t>
  </si>
  <si>
    <t>Automatic Sprinkler System Modification, Add/ Relocation, 13, 1-50 sprinkler heads</t>
  </si>
  <si>
    <t xml:space="preserve">Spray Booths or Spray Rooms </t>
  </si>
  <si>
    <t>Automatic Sprinkler System Modification, Add/ Relocation, 13, 50-300 sprinkler heads</t>
  </si>
  <si>
    <t>Mixing Rooms</t>
  </si>
  <si>
    <t>Automatic Sprinkler System Modification, Add/ Relocation, 13, &gt;300 sprinkler heads</t>
  </si>
  <si>
    <t>Automatic Sprinkler System Modifcation requiring new Hydraulic Design, 13, 1-50 sprinkler heads</t>
  </si>
  <si>
    <t>Automatic Sprinkler System Modification requiring new Hydraulic Design, 13, 50-300 sprinkler heads</t>
  </si>
  <si>
    <t>Automatic Sprinkler System Modification requiring new Hydraulic Design, 13, &gt;300 sprinkler heads</t>
  </si>
  <si>
    <t>Automatic Sprinkler System Modification, 13R</t>
  </si>
  <si>
    <t>Automatic Sprinkler System Modification, 13D</t>
  </si>
  <si>
    <t>Removal of Stop Work Order</t>
  </si>
  <si>
    <t>Fire Alarm System Modification Base Fee</t>
  </si>
  <si>
    <t>Alternative Materials &amp; Methods</t>
  </si>
  <si>
    <t>Alternative Suppression Systems</t>
  </si>
  <si>
    <t>High Piled Combustible Storage Plan</t>
  </si>
  <si>
    <t>Radio Amplification</t>
  </si>
  <si>
    <t>Re-Issue Permit Card or Plan Review Document</t>
  </si>
  <si>
    <t>Smoke Management</t>
  </si>
  <si>
    <t>Fire Watch</t>
  </si>
  <si>
    <t>Hazardous Materials Response, including NG leaks</t>
  </si>
  <si>
    <t>***</t>
  </si>
  <si>
    <t>Fireworks Sales</t>
  </si>
  <si>
    <t>Carnival or Special Amusement Building</t>
  </si>
  <si>
    <t>Explosives manufacturing, storage, sales, or use</t>
  </si>
  <si>
    <t xml:space="preserve"> New Construction…NFPA 13 Sprinkler System</t>
  </si>
  <si>
    <t xml:space="preserve"> New Construction…NFPA 13R Sprinkler System</t>
  </si>
  <si>
    <t xml:space="preserve"> New Construction…NFPA 13D Sprinkler System</t>
  </si>
  <si>
    <t xml:space="preserve"> New Construction…Other Suppression System</t>
  </si>
  <si>
    <t xml:space="preserve"> New Construction…Fire Alarm System</t>
  </si>
  <si>
    <t xml:space="preserve"> New Construction…Access Control</t>
  </si>
  <si>
    <t>Calculate</t>
  </si>
  <si>
    <r>
      <rPr>
        <b/>
        <sz val="10"/>
        <rFont val="Arial"/>
        <family val="2"/>
      </rPr>
      <t xml:space="preserve">Step 1; </t>
    </r>
    <r>
      <rPr>
        <sz val="10"/>
        <rFont val="Arial"/>
        <family val="2"/>
      </rPr>
      <t>From the Drop-down menu select the project type.</t>
    </r>
  </si>
  <si>
    <r>
      <rPr>
        <b/>
        <sz val="10"/>
        <rFont val="Arial"/>
        <family val="2"/>
      </rPr>
      <t xml:space="preserve">Step 2; </t>
    </r>
    <r>
      <rPr>
        <sz val="10"/>
        <rFont val="Arial"/>
        <family val="2"/>
      </rPr>
      <t>Input the Project Size in Square feet.</t>
    </r>
  </si>
  <si>
    <r>
      <rPr>
        <b/>
        <u/>
        <sz val="10"/>
        <rFont val="Arial"/>
        <family val="2"/>
      </rPr>
      <t>NEW</t>
    </r>
    <r>
      <rPr>
        <b/>
        <sz val="10"/>
        <rFont val="Arial"/>
        <family val="2"/>
      </rPr>
      <t xml:space="preserve"> CONSTRUCTION </t>
    </r>
    <r>
      <rPr>
        <b/>
        <vertAlign val="subscript"/>
        <sz val="10"/>
        <rFont val="Arial"/>
        <family val="2"/>
      </rPr>
      <t>(Including Tenant Improvement)</t>
    </r>
    <r>
      <rPr>
        <b/>
        <sz val="10"/>
        <rFont val="Arial"/>
        <family val="2"/>
      </rPr>
      <t xml:space="preserve"> PLAN REVIEW &amp; INSPECTION FEES </t>
    </r>
  </si>
  <si>
    <r>
      <rPr>
        <b/>
        <sz val="10"/>
        <rFont val="Arial"/>
        <family val="2"/>
      </rPr>
      <t>Step 3;</t>
    </r>
    <r>
      <rPr>
        <sz val="10"/>
        <rFont val="Arial"/>
        <family val="2"/>
      </rPr>
      <t xml:space="preserve"> Check here if the plans will be "Walked-through".</t>
    </r>
  </si>
  <si>
    <r>
      <rPr>
        <b/>
        <sz val="10"/>
        <rFont val="Arial"/>
        <family val="2"/>
      </rPr>
      <t>Step 2;</t>
    </r>
    <r>
      <rPr>
        <sz val="10"/>
        <rFont val="Arial"/>
        <family val="2"/>
      </rPr>
      <t xml:space="preserve"> Check here if the plans will be "Walked-through".</t>
    </r>
  </si>
  <si>
    <r>
      <t xml:space="preserve">* </t>
    </r>
    <r>
      <rPr>
        <sz val="10"/>
        <rFont val="Arial"/>
        <family val="2"/>
      </rPr>
      <t>Actual cost.  May be set contractually for some ongoing events.</t>
    </r>
  </si>
  <si>
    <r>
      <t xml:space="preserve">** </t>
    </r>
    <r>
      <rPr>
        <sz val="10"/>
        <rFont val="Arial"/>
        <family val="2"/>
      </rPr>
      <t>Actual cost. May be waived or modified by the Chief for civic events.</t>
    </r>
  </si>
  <si>
    <r>
      <rPr>
        <b/>
        <sz val="10"/>
        <rFont val="Arial"/>
        <family val="2"/>
      </rPr>
      <t>Step 1a;</t>
    </r>
    <r>
      <rPr>
        <sz val="10"/>
        <rFont val="Arial"/>
        <family val="2"/>
      </rPr>
      <t xml:space="preserve"> If prompted, for </t>
    </r>
    <r>
      <rPr>
        <b/>
        <sz val="10"/>
        <rFont val="Arial"/>
        <family val="2"/>
      </rPr>
      <t>Fire Alarm Systems</t>
    </r>
    <r>
      <rPr>
        <sz val="10"/>
        <rFont val="Arial"/>
        <family val="2"/>
      </rPr>
      <t xml:space="preserve"> enter the total number of initiating and notification components.</t>
    </r>
  </si>
  <si>
    <t>Christmas Tree lots</t>
  </si>
  <si>
    <r>
      <rPr>
        <b/>
        <u/>
        <sz val="10"/>
        <rFont val="Arial"/>
        <family val="2"/>
      </rPr>
      <t>NON-NEW</t>
    </r>
    <r>
      <rPr>
        <b/>
        <sz val="10"/>
        <rFont val="Arial"/>
        <family val="2"/>
      </rPr>
      <t xml:space="preserve"> CONSTRUCTION </t>
    </r>
    <r>
      <rPr>
        <b/>
        <vertAlign val="subscript"/>
        <sz val="10"/>
        <rFont val="Arial"/>
        <family val="2"/>
      </rPr>
      <t xml:space="preserve">(and Miscellaneous/Operational) </t>
    </r>
    <r>
      <rPr>
        <b/>
        <sz val="10"/>
        <rFont val="Arial"/>
        <family val="2"/>
      </rPr>
      <t>FEE SCHEDULE</t>
    </r>
  </si>
  <si>
    <r>
      <rPr>
        <b/>
        <sz val="10"/>
        <rFont val="Arial"/>
        <family val="2"/>
      </rPr>
      <t xml:space="preserve">Step 1b; </t>
    </r>
    <r>
      <rPr>
        <sz val="10"/>
        <rFont val="Arial"/>
        <family val="2"/>
      </rPr>
      <t>If prompted, enter the duration of the event in hours.</t>
    </r>
  </si>
  <si>
    <t>Re-Submit Plans</t>
  </si>
  <si>
    <r>
      <rPr>
        <b/>
        <sz val="10"/>
        <rFont val="Arial"/>
        <family val="2"/>
      </rPr>
      <t xml:space="preserve">Step 1; </t>
    </r>
    <r>
      <rPr>
        <sz val="10"/>
        <rFont val="Arial"/>
        <family val="2"/>
      </rPr>
      <t>From the Drop-down menus select the project type.</t>
    </r>
  </si>
  <si>
    <t>Other Operational permit</t>
  </si>
  <si>
    <t>Fire Alarm Silence letter</t>
  </si>
  <si>
    <t>Evacuation Plan</t>
  </si>
  <si>
    <t>Const A344</t>
  </si>
  <si>
    <t>Op E344</t>
  </si>
  <si>
    <t>Misc E347</t>
  </si>
  <si>
    <t>Operational Permits</t>
  </si>
  <si>
    <t>NO OPERATIONAL PERMIT NEEDED</t>
  </si>
  <si>
    <t>NO MISCELLANEOUS PERMIT NEEDED</t>
  </si>
  <si>
    <t>Miscellaneous Permits or Fees</t>
  </si>
  <si>
    <r>
      <t xml:space="preserve"> Input the </t>
    </r>
    <r>
      <rPr>
        <b/>
        <sz val="10"/>
        <color theme="1"/>
        <rFont val="Times New Roman"/>
        <family val="1"/>
      </rPr>
      <t>Project Size</t>
    </r>
    <r>
      <rPr>
        <sz val="10"/>
        <color theme="1"/>
        <rFont val="Times New Roman"/>
        <family val="1"/>
      </rPr>
      <t xml:space="preserve"> →</t>
    </r>
  </si>
  <si>
    <r>
      <t xml:space="preserve">Temporary Membrane Structure </t>
    </r>
    <r>
      <rPr>
        <sz val="10"/>
        <color rgb="FFFF0000"/>
        <rFont val="Arial"/>
        <family val="2"/>
      </rPr>
      <t>****</t>
    </r>
  </si>
  <si>
    <t>Fire Systems Logbook</t>
  </si>
  <si>
    <t>NO NEW CONSTRUCTION PERMIT NEEDED.</t>
  </si>
  <si>
    <t>Non-New Construction Permits</t>
  </si>
  <si>
    <t>New Construction Permits</t>
  </si>
  <si>
    <t>Flush Test-Fire Line</t>
  </si>
  <si>
    <t>Rural Water Supply</t>
  </si>
  <si>
    <t>Additional Plans review</t>
  </si>
  <si>
    <t>Miscellaneous Inspection fee</t>
  </si>
  <si>
    <t>Blasting</t>
  </si>
  <si>
    <t xml:space="preserve"> After hours inspections</t>
  </si>
  <si>
    <t>Assembly</t>
  </si>
  <si>
    <t>Covered Malls</t>
  </si>
  <si>
    <t>High-piled Storage</t>
  </si>
  <si>
    <t>Fireworks fire watch (as required)</t>
  </si>
  <si>
    <t>Fireworks Display Outdoors</t>
  </si>
  <si>
    <t>Fireworks-Indoors--Minor</t>
  </si>
  <si>
    <t>Fireworks--Indoor-Major</t>
  </si>
  <si>
    <t>Tents and Canopies</t>
  </si>
  <si>
    <t>Miscellaneous Combustible Storage</t>
  </si>
  <si>
    <t>Burn Permit - Non-recreational</t>
  </si>
  <si>
    <t>Per burn season per area.</t>
  </si>
  <si>
    <t>Day care Facility/Group home</t>
  </si>
  <si>
    <t>Temporary Access Road Agreement</t>
  </si>
  <si>
    <t>Per event</t>
  </si>
  <si>
    <t>Private Fire Hydrants</t>
  </si>
  <si>
    <t>Private Fire Hydrant</t>
  </si>
  <si>
    <t>ERROR! Choose only one Permit type or fee from the three Drop-down boxes.</t>
  </si>
  <si>
    <t>Tent size =</t>
  </si>
  <si>
    <t>Square Feet</t>
  </si>
  <si>
    <t>Per Booth or Room</t>
  </si>
  <si>
    <t>Per Room</t>
  </si>
  <si>
    <r>
      <rPr>
        <b/>
        <sz val="10"/>
        <color theme="1"/>
        <rFont val="Arial"/>
        <family val="2"/>
      </rPr>
      <t>Step 4;</t>
    </r>
    <r>
      <rPr>
        <sz val="10"/>
        <color theme="1"/>
        <rFont val="Arial"/>
        <family val="2"/>
      </rPr>
      <t xml:space="preserve"> Check here if work has been started or accomplished without a permit?</t>
    </r>
  </si>
  <si>
    <r>
      <rPr>
        <b/>
        <sz val="10"/>
        <rFont val="Arial"/>
        <family val="2"/>
      </rPr>
      <t>Step 5;</t>
    </r>
    <r>
      <rPr>
        <sz val="10"/>
        <rFont val="Arial"/>
        <family val="2"/>
      </rPr>
      <t xml:space="preserve"> Click the </t>
    </r>
    <r>
      <rPr>
        <b/>
        <sz val="10"/>
        <rFont val="Arial"/>
        <family val="2"/>
      </rPr>
      <t xml:space="preserve">Calculate </t>
    </r>
    <r>
      <rPr>
        <sz val="10"/>
        <rFont val="Arial"/>
        <family val="2"/>
      </rPr>
      <t>button.</t>
    </r>
  </si>
  <si>
    <t>Walk thru DON’T INCLUDE</t>
  </si>
  <si>
    <t>NO PERMIT</t>
  </si>
  <si>
    <t>TOTAL&gt;&gt;&gt;&gt;&gt;&gt;&gt;&gt;&gt;&gt;&gt;&gt;&gt;&gt;&gt;&gt;&gt;&gt;&gt;&gt;&gt;&gt;&gt;&gt;&gt;&gt;&gt;&gt;&gt;&gt;</t>
  </si>
  <si>
    <t>HOURS x 82.77</t>
  </si>
  <si>
    <t>Per Site</t>
  </si>
  <si>
    <t>Per Building</t>
  </si>
  <si>
    <t>NO Non-NEW CONSTRUCTION PERMIT NEEDED</t>
  </si>
  <si>
    <t>Other systems not shown</t>
  </si>
  <si>
    <t xml:space="preserve">Job evaluation in dollars = </t>
  </si>
  <si>
    <t>JOB EVALUATION IN DOLLARS</t>
  </si>
  <si>
    <t>FIRE ALARM COMPONENTS COST</t>
  </si>
  <si>
    <t>Minimum of Two Hours</t>
  </si>
  <si>
    <t>Enter the # of components =</t>
  </si>
  <si>
    <t>BDA  Components</t>
  </si>
  <si>
    <t>TENTS</t>
  </si>
  <si>
    <t>Exhibition and Trade Show over 5,000 square feet</t>
  </si>
  <si>
    <t>Per Standpipe</t>
  </si>
  <si>
    <r>
      <rPr>
        <b/>
        <sz val="10"/>
        <color theme="1"/>
        <rFont val="Arial"/>
        <family val="2"/>
      </rPr>
      <t>Step 3;</t>
    </r>
    <r>
      <rPr>
        <sz val="10"/>
        <color theme="1"/>
        <rFont val="Arial"/>
        <family val="2"/>
      </rPr>
      <t xml:space="preserve"> Check here if work has been started or accomplished without a permit?</t>
    </r>
  </si>
  <si>
    <r>
      <rPr>
        <b/>
        <sz val="10"/>
        <color theme="1"/>
        <rFont val="Arial"/>
        <family val="2"/>
      </rPr>
      <t xml:space="preserve">Step 4; </t>
    </r>
    <r>
      <rPr>
        <sz val="10"/>
        <color theme="1"/>
        <rFont val="Arial"/>
        <family val="2"/>
      </rPr>
      <t xml:space="preserve">Click the </t>
    </r>
    <r>
      <rPr>
        <b/>
        <sz val="10"/>
        <color theme="1"/>
        <rFont val="Arial"/>
        <family val="2"/>
      </rPr>
      <t>Calculate</t>
    </r>
    <r>
      <rPr>
        <sz val="10"/>
        <color theme="1"/>
        <rFont val="Arial"/>
        <family val="2"/>
      </rPr>
      <t xml:space="preserve"> button.</t>
    </r>
  </si>
  <si>
    <t xml:space="preserve">Square feet of storage = </t>
  </si>
  <si>
    <t>HIGH PILED CALCULATION</t>
  </si>
  <si>
    <t>Storage of Scrap Tires etc. Initial permit</t>
  </si>
  <si>
    <t>Storage of Scrap Tires etc. Annual permit</t>
  </si>
  <si>
    <t>$50 per 2,500 cubic feet or 10,000 lbs of storage (annual permit).</t>
  </si>
  <si>
    <t>$100 per 2,500 cubic feet or 10,000 lbs of storage (Initial permit).</t>
  </si>
  <si>
    <t>Standpipe</t>
  </si>
  <si>
    <t>STANDPIPES</t>
  </si>
  <si>
    <t xml:space="preserve">Number of Standpipes = </t>
  </si>
  <si>
    <t xml:space="preserve">Number of areas = </t>
  </si>
  <si>
    <t>BURN AREAS</t>
  </si>
  <si>
    <t>$180 daily maximum.</t>
  </si>
  <si>
    <t>Plus $65/Hour Fire Watch.</t>
  </si>
  <si>
    <t>Per Engine Per Hour</t>
  </si>
  <si>
    <t xml:space="preserve">Number of Hours needed = </t>
  </si>
  <si>
    <t>FIREWORKS FIREWATCH</t>
  </si>
  <si>
    <t>FIREWORKS INDOOR MINOR</t>
  </si>
  <si>
    <t>(This Total Permit Fee assumes only one Engine)</t>
  </si>
  <si>
    <t>A minimum of 1 Engine &amp; 4 firefighters for 4 hours.</t>
  </si>
  <si>
    <t>FIREWORKS INDOOR MAJOR</t>
  </si>
  <si>
    <t>FIM</t>
  </si>
  <si>
    <t>Call for fee.</t>
  </si>
  <si>
    <t>Lumber Yards &amp; Woodworking Plants</t>
  </si>
  <si>
    <t>Small Special Events</t>
  </si>
  <si>
    <t>Large Special Event</t>
  </si>
  <si>
    <t>EVA Permit</t>
  </si>
  <si>
    <t>EVA Complex Permit</t>
  </si>
  <si>
    <t>Private Water System</t>
  </si>
  <si>
    <t>Fire flow testing (hydrant flow)</t>
  </si>
  <si>
    <t>Per fire line</t>
  </si>
  <si>
    <t>Per Hood</t>
  </si>
  <si>
    <t xml:space="preserve">Number of Hoods = </t>
  </si>
  <si>
    <t>HOODS</t>
  </si>
  <si>
    <t>Per year</t>
  </si>
  <si>
    <r>
      <t>$75 + 2.5</t>
    </r>
    <r>
      <rPr>
        <sz val="11"/>
        <color theme="1"/>
        <rFont val="Calibri"/>
        <family val="2"/>
      </rPr>
      <t>¢</t>
    </r>
    <r>
      <rPr>
        <sz val="8.8000000000000007"/>
        <color theme="1"/>
        <rFont val="Calibri"/>
        <family val="2"/>
      </rPr>
      <t xml:space="preserve"> per Square foot per year</t>
    </r>
  </si>
  <si>
    <t xml:space="preserve">Cubic feet of storage = </t>
  </si>
  <si>
    <t xml:space="preserve">Pounds of storage = </t>
  </si>
  <si>
    <t xml:space="preserve">Total Permit Fee = </t>
  </si>
  <si>
    <t xml:space="preserve">CFS = </t>
  </si>
  <si>
    <t xml:space="preserve">POS = </t>
  </si>
  <si>
    <t xml:space="preserve">Greater = </t>
  </si>
  <si>
    <t xml:space="preserve">after hours = </t>
  </si>
  <si>
    <t>Plus $25 per building or yard if more than 3 areas.</t>
  </si>
  <si>
    <t xml:space="preserve">Duration of event = </t>
  </si>
  <si>
    <t>LARGE SPECIAL EVENT</t>
  </si>
  <si>
    <t>Kitchen Hood &amp; Duct Fire Protection, per System</t>
  </si>
  <si>
    <t>Construction Trailer</t>
  </si>
</sst>
</file>

<file path=xl/styles.xml><?xml version="1.0" encoding="utf-8"?>
<styleSheet xmlns="http://schemas.openxmlformats.org/spreadsheetml/2006/main">
  <numFmts count="10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164" formatCode="&quot;$&quot;#,##0"/>
    <numFmt numFmtId="165" formatCode="_(* #,##0_);_(* \(#,##0\);_(* &quot;-&quot;??_);_(@_)"/>
    <numFmt numFmtId="166" formatCode="&quot;$&quot;#,##0.0000_);[Red]\(&quot;$&quot;#,##0.0000\)"/>
    <numFmt numFmtId="167" formatCode="&quot;$&quot;#,##0.00"/>
    <numFmt numFmtId="168" formatCode="_(&quot;$&quot;* #,##0_);_(&quot;$&quot;* \(#,##0\);_(&quot;$&quot;* &quot;-&quot;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Helv"/>
    </font>
    <font>
      <b/>
      <sz val="9"/>
      <color rgb="FFFF0000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B0F0"/>
      <name val="Arial"/>
      <family val="2"/>
    </font>
    <font>
      <b/>
      <sz val="10"/>
      <name val="Calibri"/>
      <family val="2"/>
    </font>
    <font>
      <b/>
      <sz val="10"/>
      <name val="Calibri"/>
      <family val="2"/>
      <scheme val="minor"/>
    </font>
    <font>
      <b/>
      <sz val="14"/>
      <name val="Calibri"/>
      <family val="2"/>
    </font>
    <font>
      <b/>
      <sz val="10"/>
      <name val="Arial"/>
      <family val="2"/>
    </font>
    <font>
      <sz val="8"/>
      <name val="Calibri"/>
      <family val="2"/>
    </font>
    <font>
      <sz val="12"/>
      <name val="Arial"/>
      <family val="2"/>
    </font>
    <font>
      <sz val="9.6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8"/>
      <color rgb="FFFF0000"/>
      <name val="Arial"/>
      <family val="2"/>
    </font>
    <font>
      <b/>
      <vertAlign val="subscript"/>
      <sz val="10"/>
      <name val="Arial"/>
      <family val="2"/>
    </font>
    <font>
      <b/>
      <sz val="18"/>
      <name val="Copperplate Gothic Bold"/>
      <family val="2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20"/>
      <color theme="1"/>
      <name val="Times New Roman"/>
      <family val="1"/>
    </font>
    <font>
      <b/>
      <sz val="10"/>
      <color theme="1"/>
      <name val="Arial"/>
      <family val="2"/>
    </font>
    <font>
      <b/>
      <sz val="10"/>
      <color theme="1"/>
      <name val="Times New Roman"/>
      <family val="1"/>
    </font>
    <font>
      <b/>
      <u/>
      <sz val="10"/>
      <name val="Arial"/>
      <family val="2"/>
    </font>
    <font>
      <sz val="8"/>
      <name val="Tahoma"/>
      <family val="2"/>
    </font>
    <font>
      <sz val="10"/>
      <color rgb="FFFF0000"/>
      <name val="Arial"/>
      <family val="2"/>
    </font>
    <font>
      <sz val="10"/>
      <color theme="0"/>
      <name val="Arial"/>
      <family val="2"/>
    </font>
    <font>
      <b/>
      <sz val="12"/>
      <color theme="0"/>
      <name val="Times New Roman"/>
      <family val="1"/>
    </font>
    <font>
      <b/>
      <vertAlign val="subscript"/>
      <sz val="11"/>
      <color theme="1"/>
      <name val="Arial"/>
      <family val="2"/>
    </font>
    <font>
      <b/>
      <sz val="14"/>
      <color rgb="FFFF0000"/>
      <name val="Calibri"/>
      <family val="2"/>
      <scheme val="minor"/>
    </font>
    <font>
      <vertAlign val="subscript"/>
      <sz val="11"/>
      <color theme="1"/>
      <name val="Arial"/>
      <family val="2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  <font>
      <sz val="8.8000000000000007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2" tint="-0.24994659260841701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theme="2" tint="-0.24994659260841701"/>
      </patternFill>
    </fill>
    <fill>
      <patternFill patternType="solid">
        <fgColor rgb="FFFFFF00"/>
        <bgColor theme="2" tint="-0.24994659260841701"/>
      </patternFill>
    </fill>
  </fills>
  <borders count="6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909"/>
      </left>
      <right style="thin">
        <color rgb="FFFF0909"/>
      </right>
      <top style="thin">
        <color rgb="FFFF0909"/>
      </top>
      <bottom style="thin">
        <color rgb="FFFF0909"/>
      </bottom>
      <diagonal/>
    </border>
    <border>
      <left/>
      <right/>
      <top/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thick">
        <color rgb="FFFF0909"/>
      </left>
      <right/>
      <top style="thick">
        <color rgb="FFFF0909"/>
      </top>
      <bottom/>
      <diagonal/>
    </border>
    <border>
      <left/>
      <right/>
      <top style="thick">
        <color rgb="FFFF0909"/>
      </top>
      <bottom/>
      <diagonal/>
    </border>
    <border>
      <left/>
      <right style="thick">
        <color rgb="FFFF0909"/>
      </right>
      <top style="thick">
        <color rgb="FFFF0909"/>
      </top>
      <bottom/>
      <diagonal/>
    </border>
    <border>
      <left style="thick">
        <color rgb="FFFF0909"/>
      </left>
      <right/>
      <top/>
      <bottom style="thick">
        <color rgb="FFFF0909"/>
      </bottom>
      <diagonal/>
    </border>
    <border>
      <left/>
      <right/>
      <top/>
      <bottom style="thick">
        <color rgb="FFFF0909"/>
      </bottom>
      <diagonal/>
    </border>
    <border>
      <left/>
      <right style="thick">
        <color rgb="FFFF0909"/>
      </right>
      <top/>
      <bottom style="thick">
        <color rgb="FFFF0909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10" fontId="5" fillId="0" borderId="0" applyFont="0" applyFill="0" applyBorder="0" applyAlignment="0" applyProtection="0"/>
    <xf numFmtId="0" fontId="1" fillId="0" borderId="0"/>
  </cellStyleXfs>
  <cellXfs count="222">
    <xf numFmtId="0" fontId="0" fillId="0" borderId="0" xfId="0"/>
    <xf numFmtId="0" fontId="20" fillId="0" borderId="0" xfId="0" applyFont="1" applyFill="1" applyBorder="1" applyAlignment="1">
      <alignment horizontal="right" vertical="center"/>
    </xf>
    <xf numFmtId="41" fontId="19" fillId="0" borderId="0" xfId="4" applyNumberFormat="1" applyFont="1" applyFill="1" applyBorder="1" applyAlignment="1">
      <alignment horizontal="right" vertical="center"/>
    </xf>
    <xf numFmtId="0" fontId="20" fillId="0" borderId="0" xfId="0" applyFont="1" applyBorder="1" applyAlignment="1">
      <alignment horizontal="right" vertical="center"/>
    </xf>
    <xf numFmtId="0" fontId="21" fillId="0" borderId="0" xfId="0" applyFont="1" applyBorder="1" applyAlignment="1">
      <alignment horizontal="right" vertical="center"/>
    </xf>
    <xf numFmtId="41" fontId="19" fillId="0" borderId="0" xfId="4" applyNumberFormat="1" applyFont="1" applyFill="1" applyBorder="1" applyAlignment="1">
      <alignment horizontal="left" vertical="center"/>
    </xf>
    <xf numFmtId="0" fontId="20" fillId="0" borderId="0" xfId="0" applyFont="1" applyBorder="1" applyAlignment="1">
      <alignment horizontal="left" vertical="center"/>
    </xf>
    <xf numFmtId="0" fontId="20" fillId="0" borderId="0" xfId="0" applyFont="1" applyFill="1" applyBorder="1" applyAlignment="1">
      <alignment horizontal="left" vertical="center"/>
    </xf>
    <xf numFmtId="41" fontId="7" fillId="0" borderId="0" xfId="4" applyNumberFormat="1" applyFont="1" applyFill="1" applyBorder="1" applyAlignment="1">
      <alignment horizontal="left"/>
    </xf>
    <xf numFmtId="0" fontId="21" fillId="0" borderId="0" xfId="0" applyFont="1" applyBorder="1" applyAlignment="1">
      <alignment horizontal="left" vertical="center"/>
    </xf>
    <xf numFmtId="0" fontId="3" fillId="4" borderId="0" xfId="2" applyFont="1" applyFill="1" applyBorder="1" applyAlignment="1" applyProtection="1">
      <alignment horizontal="centerContinuous"/>
    </xf>
    <xf numFmtId="0" fontId="0" fillId="4" borderId="0" xfId="0" applyFill="1" applyProtection="1">
      <protection locked="0"/>
    </xf>
    <xf numFmtId="0" fontId="0" fillId="3" borderId="0" xfId="0" applyFill="1" applyProtection="1"/>
    <xf numFmtId="0" fontId="0" fillId="3" borderId="0" xfId="0" applyFill="1" applyAlignment="1" applyProtection="1">
      <alignment vertical="center"/>
    </xf>
    <xf numFmtId="0" fontId="0" fillId="5" borderId="0" xfId="0" applyFill="1" applyBorder="1" applyProtection="1"/>
    <xf numFmtId="0" fontId="0" fillId="5" borderId="0" xfId="0" applyFill="1" applyBorder="1" applyAlignment="1" applyProtection="1">
      <alignment vertical="center"/>
    </xf>
    <xf numFmtId="0" fontId="3" fillId="4" borderId="0" xfId="1" applyFont="1" applyFill="1" applyBorder="1" applyAlignment="1" applyProtection="1">
      <alignment horizontal="left" wrapText="1"/>
    </xf>
    <xf numFmtId="168" fontId="3" fillId="4" borderId="0" xfId="2" applyNumberFormat="1" applyFont="1" applyFill="1" applyBorder="1" applyProtection="1"/>
    <xf numFmtId="0" fontId="0" fillId="4" borderId="0" xfId="0" applyFill="1" applyProtection="1"/>
    <xf numFmtId="0" fontId="0" fillId="4" borderId="0" xfId="0" applyFill="1" applyAlignment="1" applyProtection="1">
      <alignment vertical="center"/>
    </xf>
    <xf numFmtId="0" fontId="3" fillId="4" borderId="49" xfId="1" applyFont="1" applyFill="1" applyBorder="1" applyAlignment="1" applyProtection="1">
      <alignment horizontal="center" wrapText="1"/>
    </xf>
    <xf numFmtId="0" fontId="3" fillId="4" borderId="49" xfId="2" applyFont="1" applyFill="1" applyBorder="1" applyAlignment="1" applyProtection="1">
      <alignment horizontal="center" wrapText="1"/>
    </xf>
    <xf numFmtId="0" fontId="3" fillId="4" borderId="0" xfId="2" applyFont="1" applyFill="1" applyBorder="1" applyAlignment="1" applyProtection="1">
      <alignment horizontal="center" wrapText="1"/>
    </xf>
    <xf numFmtId="0" fontId="3" fillId="4" borderId="49" xfId="1" applyFont="1" applyFill="1" applyBorder="1" applyAlignment="1" applyProtection="1">
      <alignment horizontal="right"/>
    </xf>
    <xf numFmtId="44" fontId="3" fillId="4" borderId="49" xfId="2" applyNumberFormat="1" applyFont="1" applyFill="1" applyBorder="1" applyProtection="1"/>
    <xf numFmtId="44" fontId="3" fillId="4" borderId="0" xfId="2" applyNumberFormat="1" applyFont="1" applyFill="1" applyBorder="1" applyProtection="1"/>
    <xf numFmtId="0" fontId="19" fillId="3" borderId="0" xfId="4" applyFont="1" applyFill="1" applyAlignment="1" applyProtection="1">
      <alignment horizontal="left" vertical="center"/>
    </xf>
    <xf numFmtId="0" fontId="20" fillId="4" borderId="0" xfId="0" applyFont="1" applyFill="1" applyProtection="1"/>
    <xf numFmtId="0" fontId="9" fillId="4" borderId="0" xfId="0" applyFont="1" applyFill="1" applyBorder="1" applyAlignment="1" applyProtection="1">
      <alignment vertical="center"/>
    </xf>
    <xf numFmtId="0" fontId="0" fillId="4" borderId="0" xfId="0" applyFill="1" applyAlignment="1" applyProtection="1">
      <alignment horizontal="right" vertical="center"/>
    </xf>
    <xf numFmtId="0" fontId="0" fillId="0" borderId="0" xfId="0" applyProtection="1"/>
    <xf numFmtId="0" fontId="2" fillId="5" borderId="0" xfId="4" applyFont="1" applyFill="1" applyAlignment="1" applyProtection="1">
      <alignment horizontal="center"/>
    </xf>
    <xf numFmtId="0" fontId="0" fillId="5" borderId="0" xfId="0" applyFill="1" applyProtection="1"/>
    <xf numFmtId="0" fontId="15" fillId="3" borderId="0" xfId="4" applyFont="1" applyFill="1" applyAlignment="1" applyProtection="1">
      <alignment horizontal="center"/>
    </xf>
    <xf numFmtId="0" fontId="3" fillId="3" borderId="53" xfId="4" applyFont="1" applyFill="1" applyBorder="1" applyAlignment="1" applyProtection="1">
      <alignment horizontal="center" wrapText="1"/>
    </xf>
    <xf numFmtId="0" fontId="3" fillId="3" borderId="54" xfId="4" applyFont="1" applyFill="1" applyBorder="1" applyAlignment="1" applyProtection="1">
      <alignment horizontal="center" wrapText="1"/>
    </xf>
    <xf numFmtId="164" fontId="3" fillId="3" borderId="54" xfId="4" applyNumberFormat="1" applyFont="1" applyFill="1" applyBorder="1" applyAlignment="1" applyProtection="1">
      <alignment horizontal="center" wrapText="1"/>
    </xf>
    <xf numFmtId="0" fontId="10" fillId="3" borderId="52" xfId="0" applyFont="1" applyFill="1" applyBorder="1" applyAlignment="1" applyProtection="1">
      <alignment horizontal="center" vertical="center" wrapText="1"/>
    </xf>
    <xf numFmtId="0" fontId="0" fillId="3" borderId="55" xfId="0" applyFill="1" applyBorder="1" applyProtection="1"/>
    <xf numFmtId="41" fontId="7" fillId="3" borderId="39" xfId="4" applyNumberFormat="1" applyFont="1" applyFill="1" applyBorder="1" applyProtection="1"/>
    <xf numFmtId="5" fontId="7" fillId="3" borderId="40" xfId="4" applyNumberFormat="1" applyFont="1" applyFill="1" applyBorder="1" applyProtection="1"/>
    <xf numFmtId="37" fontId="7" fillId="3" borderId="41" xfId="4" applyNumberFormat="1" applyFont="1" applyFill="1" applyBorder="1" applyAlignment="1" applyProtection="1">
      <alignment vertical="center"/>
    </xf>
    <xf numFmtId="165" fontId="7" fillId="3" borderId="42" xfId="4" applyNumberFormat="1" applyFont="1" applyFill="1" applyBorder="1" applyAlignment="1" applyProtection="1">
      <alignment horizontal="right" vertical="center"/>
    </xf>
    <xf numFmtId="6" fontId="8" fillId="3" borderId="43" xfId="4" applyNumberFormat="1" applyFont="1" applyFill="1" applyBorder="1" applyAlignment="1" applyProtection="1">
      <alignment horizontal="right"/>
    </xf>
    <xf numFmtId="166" fontId="8" fillId="3" borderId="43" xfId="4" applyNumberFormat="1" applyFont="1" applyFill="1" applyBorder="1" applyAlignment="1" applyProtection="1">
      <alignment horizontal="right"/>
    </xf>
    <xf numFmtId="8" fontId="9" fillId="3" borderId="44" xfId="0" applyNumberFormat="1" applyFont="1" applyFill="1" applyBorder="1" applyAlignment="1" applyProtection="1">
      <alignment horizontal="center" vertical="center" wrapText="1"/>
    </xf>
    <xf numFmtId="167" fontId="9" fillId="3" borderId="45" xfId="0" applyNumberFormat="1" applyFont="1" applyFill="1" applyBorder="1" applyAlignment="1" applyProtection="1">
      <alignment horizontal="right"/>
    </xf>
    <xf numFmtId="41" fontId="7" fillId="3" borderId="1" xfId="4" applyNumberFormat="1" applyFont="1" applyFill="1" applyBorder="1" applyProtection="1"/>
    <xf numFmtId="5" fontId="7" fillId="3" borderId="13" xfId="4" applyNumberFormat="1" applyFont="1" applyFill="1" applyBorder="1" applyProtection="1"/>
    <xf numFmtId="37" fontId="7" fillId="3" borderId="28" xfId="4" applyNumberFormat="1" applyFont="1" applyFill="1" applyBorder="1" applyAlignment="1" applyProtection="1">
      <alignment vertical="center"/>
    </xf>
    <xf numFmtId="165" fontId="7" fillId="3" borderId="30" xfId="4" applyNumberFormat="1" applyFont="1" applyFill="1" applyBorder="1" applyAlignment="1" applyProtection="1">
      <alignment horizontal="right" vertical="center"/>
    </xf>
    <xf numFmtId="6" fontId="8" fillId="3" borderId="29" xfId="4" applyNumberFormat="1" applyFont="1" applyFill="1" applyBorder="1" applyAlignment="1" applyProtection="1">
      <alignment horizontal="right"/>
    </xf>
    <xf numFmtId="166" fontId="8" fillId="3" borderId="29" xfId="4" applyNumberFormat="1" applyFont="1" applyFill="1" applyBorder="1" applyAlignment="1" applyProtection="1">
      <alignment horizontal="right"/>
    </xf>
    <xf numFmtId="8" fontId="9" fillId="3" borderId="31" xfId="0" applyNumberFormat="1" applyFont="1" applyFill="1" applyBorder="1" applyAlignment="1" applyProtection="1">
      <alignment horizontal="center" vertical="center" wrapText="1"/>
    </xf>
    <xf numFmtId="167" fontId="9" fillId="3" borderId="2" xfId="0" applyNumberFormat="1" applyFont="1" applyFill="1" applyBorder="1" applyAlignment="1" applyProtection="1">
      <alignment horizontal="right"/>
    </xf>
    <xf numFmtId="41" fontId="7" fillId="3" borderId="4" xfId="4" applyNumberFormat="1" applyFont="1" applyFill="1" applyBorder="1" applyProtection="1"/>
    <xf numFmtId="5" fontId="7" fillId="3" borderId="14" xfId="4" applyNumberFormat="1" applyFont="1" applyFill="1" applyBorder="1" applyProtection="1"/>
    <xf numFmtId="165" fontId="7" fillId="3" borderId="36" xfId="4" applyNumberFormat="1" applyFont="1" applyFill="1" applyBorder="1" applyAlignment="1" applyProtection="1">
      <alignment horizontal="right" vertical="center"/>
    </xf>
    <xf numFmtId="6" fontId="8" fillId="3" borderId="32" xfId="4" applyNumberFormat="1" applyFont="1" applyFill="1" applyBorder="1" applyAlignment="1" applyProtection="1">
      <alignment horizontal="right"/>
    </xf>
    <xf numFmtId="166" fontId="8" fillId="3" borderId="32" xfId="4" applyNumberFormat="1" applyFont="1" applyFill="1" applyBorder="1" applyAlignment="1" applyProtection="1">
      <alignment horizontal="right"/>
    </xf>
    <xf numFmtId="167" fontId="9" fillId="3" borderId="16" xfId="0" applyNumberFormat="1" applyFont="1" applyFill="1" applyBorder="1" applyAlignment="1" applyProtection="1">
      <alignment horizontal="right"/>
    </xf>
    <xf numFmtId="167" fontId="9" fillId="3" borderId="0" xfId="0" applyNumberFormat="1" applyFont="1" applyFill="1" applyAlignment="1" applyProtection="1">
      <alignment horizontal="left" vertical="center"/>
    </xf>
    <xf numFmtId="41" fontId="7" fillId="3" borderId="3" xfId="4" applyNumberFormat="1" applyFont="1" applyFill="1" applyBorder="1" applyProtection="1"/>
    <xf numFmtId="5" fontId="7" fillId="3" borderId="12" xfId="4" applyNumberFormat="1" applyFont="1" applyFill="1" applyBorder="1" applyProtection="1"/>
    <xf numFmtId="165" fontId="7" fillId="3" borderId="34" xfId="4" applyNumberFormat="1" applyFont="1" applyFill="1" applyBorder="1" applyAlignment="1" applyProtection="1">
      <alignment horizontal="right" vertical="center"/>
    </xf>
    <xf numFmtId="6" fontId="8" fillId="3" borderId="35" xfId="4" applyNumberFormat="1" applyFont="1" applyFill="1" applyBorder="1" applyAlignment="1" applyProtection="1">
      <alignment horizontal="right"/>
    </xf>
    <xf numFmtId="166" fontId="8" fillId="3" borderId="35" xfId="4" applyNumberFormat="1" applyFont="1" applyFill="1" applyBorder="1" applyAlignment="1" applyProtection="1">
      <alignment horizontal="right"/>
    </xf>
    <xf numFmtId="8" fontId="9" fillId="3" borderId="33" xfId="0" applyNumberFormat="1" applyFont="1" applyFill="1" applyBorder="1" applyAlignment="1" applyProtection="1">
      <alignment horizontal="center" vertical="center" wrapText="1"/>
    </xf>
    <xf numFmtId="167" fontId="9" fillId="3" borderId="5" xfId="0" applyNumberFormat="1" applyFont="1" applyFill="1" applyBorder="1" applyAlignment="1" applyProtection="1">
      <alignment horizontal="right"/>
    </xf>
    <xf numFmtId="5" fontId="7" fillId="3" borderId="28" xfId="4" applyNumberFormat="1" applyFont="1" applyFill="1" applyBorder="1" applyProtection="1"/>
    <xf numFmtId="6" fontId="8" fillId="3" borderId="37" xfId="4" applyNumberFormat="1" applyFont="1" applyFill="1" applyBorder="1" applyAlignment="1" applyProtection="1">
      <alignment horizontal="right"/>
    </xf>
    <xf numFmtId="166" fontId="8" fillId="3" borderId="37" xfId="4" applyNumberFormat="1" applyFont="1" applyFill="1" applyBorder="1" applyAlignment="1" applyProtection="1">
      <alignment horizontal="right"/>
    </xf>
    <xf numFmtId="8" fontId="9" fillId="3" borderId="38" xfId="0" applyNumberFormat="1" applyFont="1" applyFill="1" applyBorder="1" applyAlignment="1" applyProtection="1">
      <alignment horizontal="center" vertical="center" wrapText="1"/>
    </xf>
    <xf numFmtId="167" fontId="9" fillId="3" borderId="6" xfId="0" applyNumberFormat="1" applyFont="1" applyFill="1" applyBorder="1" applyAlignment="1" applyProtection="1">
      <alignment horizontal="right"/>
    </xf>
    <xf numFmtId="0" fontId="0" fillId="3" borderId="46" xfId="0" applyFill="1" applyBorder="1" applyProtection="1"/>
    <xf numFmtId="165" fontId="7" fillId="3" borderId="5" xfId="4" applyNumberFormat="1" applyFont="1" applyFill="1" applyBorder="1" applyAlignment="1" applyProtection="1">
      <alignment horizontal="right" vertical="center"/>
    </xf>
    <xf numFmtId="6" fontId="8" fillId="3" borderId="3" xfId="4" applyNumberFormat="1" applyFont="1" applyFill="1" applyBorder="1" applyAlignment="1" applyProtection="1">
      <alignment horizontal="right"/>
    </xf>
    <xf numFmtId="166" fontId="8" fillId="3" borderId="5" xfId="4" applyNumberFormat="1" applyFont="1" applyFill="1" applyBorder="1" applyAlignment="1" applyProtection="1">
      <alignment horizontal="right"/>
    </xf>
    <xf numFmtId="41" fontId="7" fillId="3" borderId="47" xfId="4" applyNumberFormat="1" applyFont="1" applyFill="1" applyBorder="1" applyProtection="1"/>
    <xf numFmtId="165" fontId="7" fillId="3" borderId="2" xfId="4" applyNumberFormat="1" applyFont="1" applyFill="1" applyBorder="1" applyAlignment="1" applyProtection="1">
      <alignment horizontal="right" vertical="center"/>
    </xf>
    <xf numFmtId="6" fontId="8" fillId="3" borderId="1" xfId="4" applyNumberFormat="1" applyFont="1" applyFill="1" applyBorder="1" applyAlignment="1" applyProtection="1">
      <alignment horizontal="right"/>
    </xf>
    <xf numFmtId="166" fontId="8" fillId="3" borderId="2" xfId="4" applyNumberFormat="1" applyFont="1" applyFill="1" applyBorder="1" applyAlignment="1" applyProtection="1">
      <alignment horizontal="right"/>
    </xf>
    <xf numFmtId="41" fontId="7" fillId="3" borderId="48" xfId="4" applyNumberFormat="1" applyFont="1" applyFill="1" applyBorder="1" applyProtection="1"/>
    <xf numFmtId="165" fontId="7" fillId="3" borderId="6" xfId="4" applyNumberFormat="1" applyFont="1" applyFill="1" applyBorder="1" applyAlignment="1" applyProtection="1">
      <alignment horizontal="right" vertical="center"/>
    </xf>
    <xf numFmtId="6" fontId="8" fillId="3" borderId="4" xfId="4" applyNumberFormat="1" applyFont="1" applyFill="1" applyBorder="1" applyAlignment="1" applyProtection="1">
      <alignment horizontal="right"/>
    </xf>
    <xf numFmtId="166" fontId="8" fillId="3" borderId="6" xfId="4" applyNumberFormat="1" applyFont="1" applyFill="1" applyBorder="1" applyAlignment="1" applyProtection="1">
      <alignment horizontal="right"/>
    </xf>
    <xf numFmtId="37" fontId="7" fillId="3" borderId="5" xfId="4" applyNumberFormat="1" applyFont="1" applyFill="1" applyBorder="1" applyAlignment="1" applyProtection="1">
      <alignment horizontal="right" vertical="center"/>
    </xf>
    <xf numFmtId="37" fontId="7" fillId="3" borderId="2" xfId="4" applyNumberFormat="1" applyFont="1" applyFill="1" applyBorder="1" applyAlignment="1" applyProtection="1">
      <alignment horizontal="right" vertical="center"/>
    </xf>
    <xf numFmtId="37" fontId="7" fillId="3" borderId="6" xfId="4" applyNumberFormat="1" applyFont="1" applyFill="1" applyBorder="1" applyAlignment="1" applyProtection="1">
      <alignment horizontal="right" vertical="center"/>
    </xf>
    <xf numFmtId="8" fontId="9" fillId="3" borderId="3" xfId="0" applyNumberFormat="1" applyFont="1" applyFill="1" applyBorder="1" applyAlignment="1" applyProtection="1">
      <alignment horizontal="right" vertical="center" wrapText="1"/>
    </xf>
    <xf numFmtId="8" fontId="9" fillId="3" borderId="1" xfId="0" applyNumberFormat="1" applyFont="1" applyFill="1" applyBorder="1" applyAlignment="1" applyProtection="1">
      <alignment horizontal="right" vertical="center" wrapText="1"/>
    </xf>
    <xf numFmtId="8" fontId="9" fillId="3" borderId="15" xfId="0" applyNumberFormat="1" applyFont="1" applyFill="1" applyBorder="1" applyAlignment="1" applyProtection="1">
      <alignment horizontal="right" vertical="center" wrapText="1"/>
    </xf>
    <xf numFmtId="41" fontId="7" fillId="3" borderId="15" xfId="4" applyNumberFormat="1" applyFont="1" applyFill="1" applyBorder="1" applyProtection="1"/>
    <xf numFmtId="6" fontId="8" fillId="3" borderId="18" xfId="4" applyNumberFormat="1" applyFont="1" applyFill="1" applyBorder="1" applyAlignment="1" applyProtection="1">
      <alignment horizontal="right"/>
    </xf>
    <xf numFmtId="166" fontId="8" fillId="3" borderId="19" xfId="4" applyNumberFormat="1" applyFont="1" applyFill="1" applyBorder="1" applyAlignment="1" applyProtection="1">
      <alignment horizontal="right"/>
    </xf>
    <xf numFmtId="6" fontId="8" fillId="3" borderId="15" xfId="4" applyNumberFormat="1" applyFont="1" applyFill="1" applyBorder="1" applyAlignment="1" applyProtection="1">
      <alignment horizontal="right"/>
    </xf>
    <xf numFmtId="166" fontId="8" fillId="3" borderId="16" xfId="4" applyNumberFormat="1" applyFont="1" applyFill="1" applyBorder="1" applyAlignment="1" applyProtection="1">
      <alignment horizontal="right"/>
    </xf>
    <xf numFmtId="41" fontId="12" fillId="3" borderId="22" xfId="4" applyNumberFormat="1" applyFont="1" applyFill="1" applyBorder="1" applyAlignment="1" applyProtection="1">
      <alignment horizontal="right" vertical="center"/>
    </xf>
    <xf numFmtId="41" fontId="12" fillId="3" borderId="23" xfId="4" applyNumberFormat="1" applyFont="1" applyFill="1" applyBorder="1" applyAlignment="1" applyProtection="1">
      <alignment horizontal="right" vertical="center"/>
    </xf>
    <xf numFmtId="41" fontId="12" fillId="3" borderId="27" xfId="4" applyNumberFormat="1" applyFont="1" applyFill="1" applyBorder="1" applyAlignment="1" applyProtection="1">
      <alignment horizontal="right" vertical="center"/>
    </xf>
    <xf numFmtId="41" fontId="13" fillId="3" borderId="0" xfId="4" applyNumberFormat="1" applyFont="1" applyFill="1" applyBorder="1" applyAlignment="1" applyProtection="1">
      <alignment horizontal="left" vertical="center"/>
    </xf>
    <xf numFmtId="41" fontId="13" fillId="3" borderId="25" xfId="4" applyNumberFormat="1" applyFont="1" applyFill="1" applyBorder="1" applyAlignment="1" applyProtection="1">
      <alignment horizontal="left" vertical="center"/>
    </xf>
    <xf numFmtId="37" fontId="7" fillId="3" borderId="12" xfId="4" applyNumberFormat="1" applyFont="1" applyFill="1" applyBorder="1" applyProtection="1"/>
    <xf numFmtId="37" fontId="7" fillId="3" borderId="13" xfId="4" applyNumberFormat="1" applyFont="1" applyFill="1" applyBorder="1" applyProtection="1"/>
    <xf numFmtId="37" fontId="7" fillId="3" borderId="14" xfId="4" applyNumberFormat="1" applyFont="1" applyFill="1" applyBorder="1" applyProtection="1"/>
    <xf numFmtId="6" fontId="8" fillId="3" borderId="3" xfId="0" applyNumberFormat="1" applyFont="1" applyFill="1" applyBorder="1" applyAlignment="1" applyProtection="1">
      <alignment horizontal="right"/>
    </xf>
    <xf numFmtId="166" fontId="8" fillId="3" borderId="5" xfId="0" applyNumberFormat="1" applyFont="1" applyFill="1" applyBorder="1" applyAlignment="1" applyProtection="1">
      <alignment horizontal="right"/>
    </xf>
    <xf numFmtId="6" fontId="8" fillId="3" borderId="1" xfId="0" applyNumberFormat="1" applyFont="1" applyFill="1" applyBorder="1" applyAlignment="1" applyProtection="1">
      <alignment horizontal="right"/>
    </xf>
    <xf numFmtId="166" fontId="8" fillId="3" borderId="2" xfId="0" applyNumberFormat="1" applyFont="1" applyFill="1" applyBorder="1" applyAlignment="1" applyProtection="1">
      <alignment horizontal="right"/>
    </xf>
    <xf numFmtId="41" fontId="7" fillId="3" borderId="11" xfId="4" applyNumberFormat="1" applyFont="1" applyFill="1" applyBorder="1" applyProtection="1"/>
    <xf numFmtId="37" fontId="7" fillId="3" borderId="17" xfId="4" applyNumberFormat="1" applyFont="1" applyFill="1" applyBorder="1" applyProtection="1"/>
    <xf numFmtId="6" fontId="8" fillId="3" borderId="9" xfId="0" applyNumberFormat="1" applyFont="1" applyFill="1" applyBorder="1" applyAlignment="1" applyProtection="1">
      <alignment horizontal="right"/>
    </xf>
    <xf numFmtId="166" fontId="8" fillId="3" borderId="10" xfId="0" applyNumberFormat="1" applyFont="1" applyFill="1" applyBorder="1" applyAlignment="1" applyProtection="1">
      <alignment horizontal="right"/>
    </xf>
    <xf numFmtId="6" fontId="8" fillId="3" borderId="11" xfId="0" applyNumberFormat="1" applyFont="1" applyFill="1" applyBorder="1" applyAlignment="1" applyProtection="1">
      <alignment horizontal="right"/>
    </xf>
    <xf numFmtId="166" fontId="8" fillId="3" borderId="8" xfId="0" applyNumberFormat="1" applyFont="1" applyFill="1" applyBorder="1" applyAlignment="1" applyProtection="1">
      <alignment horizontal="right"/>
    </xf>
    <xf numFmtId="167" fontId="9" fillId="3" borderId="8" xfId="0" applyNumberFormat="1" applyFont="1" applyFill="1" applyBorder="1" applyAlignment="1" applyProtection="1">
      <alignment horizontal="right"/>
    </xf>
    <xf numFmtId="0" fontId="4" fillId="3" borderId="0" xfId="4" applyFont="1" applyFill="1" applyProtection="1"/>
    <xf numFmtId="0" fontId="4" fillId="3" borderId="0" xfId="4" applyFont="1" applyFill="1" applyAlignment="1" applyProtection="1">
      <alignment vertical="center"/>
    </xf>
    <xf numFmtId="0" fontId="4" fillId="3" borderId="0" xfId="4" applyFont="1" applyFill="1" applyAlignment="1" applyProtection="1">
      <alignment horizontal="center" vertical="center"/>
    </xf>
    <xf numFmtId="0" fontId="4" fillId="3" borderId="0" xfId="4" applyFont="1" applyFill="1" applyAlignment="1" applyProtection="1">
      <alignment horizontal="center"/>
    </xf>
    <xf numFmtId="0" fontId="9" fillId="3" borderId="0" xfId="0" applyFont="1" applyFill="1" applyAlignment="1" applyProtection="1">
      <alignment vertical="center" wrapText="1"/>
    </xf>
    <xf numFmtId="0" fontId="4" fillId="3" borderId="0" xfId="4" applyFont="1" applyFill="1" applyAlignment="1" applyProtection="1">
      <alignment horizontal="left"/>
    </xf>
    <xf numFmtId="0" fontId="0" fillId="3" borderId="0" xfId="0" applyFill="1" applyBorder="1" applyAlignment="1" applyProtection="1">
      <alignment vertical="center"/>
    </xf>
    <xf numFmtId="0" fontId="0" fillId="3" borderId="0" xfId="0" applyFill="1" applyBorder="1" applyProtection="1"/>
    <xf numFmtId="0" fontId="0" fillId="3" borderId="0" xfId="0" applyFill="1" applyBorder="1" applyAlignment="1" applyProtection="1">
      <alignment horizontal="center" vertical="center"/>
    </xf>
    <xf numFmtId="0" fontId="0" fillId="0" borderId="0" xfId="0" applyAlignment="1" applyProtection="1">
      <alignment vertical="center"/>
    </xf>
    <xf numFmtId="0" fontId="15" fillId="3" borderId="0" xfId="4" applyFont="1" applyFill="1" applyAlignment="1" applyProtection="1">
      <alignment horizontal="center"/>
      <protection locked="0"/>
    </xf>
    <xf numFmtId="0" fontId="28" fillId="3" borderId="0" xfId="0" applyFont="1" applyFill="1" applyBorder="1" applyAlignment="1" applyProtection="1">
      <alignment horizontal="center" vertical="center"/>
    </xf>
    <xf numFmtId="0" fontId="33" fillId="4" borderId="0" xfId="0" applyFont="1" applyFill="1" applyProtection="1"/>
    <xf numFmtId="0" fontId="34" fillId="4" borderId="0" xfId="0" applyFont="1" applyFill="1" applyAlignment="1" applyProtection="1">
      <alignment horizontal="right" vertical="center"/>
    </xf>
    <xf numFmtId="0" fontId="35" fillId="4" borderId="0" xfId="0" applyFont="1" applyFill="1" applyAlignment="1" applyProtection="1">
      <alignment horizontal="center" vertical="center"/>
      <protection locked="0"/>
    </xf>
    <xf numFmtId="39" fontId="7" fillId="4" borderId="0" xfId="2" applyNumberFormat="1" applyFont="1" applyFill="1" applyBorder="1" applyProtection="1"/>
    <xf numFmtId="39" fontId="3" fillId="4" borderId="0" xfId="2" applyNumberFormat="1" applyFont="1" applyFill="1" applyBorder="1" applyProtection="1"/>
    <xf numFmtId="0" fontId="0" fillId="4" borderId="0" xfId="0" applyFill="1" applyAlignment="1" applyProtection="1">
      <alignment horizontal="left" vertical="center"/>
    </xf>
    <xf numFmtId="0" fontId="9" fillId="4" borderId="0" xfId="0" applyFont="1" applyFill="1" applyBorder="1" applyAlignment="1" applyProtection="1">
      <alignment vertical="center"/>
      <protection locked="0"/>
    </xf>
    <xf numFmtId="0" fontId="0" fillId="4" borderId="0" xfId="0" applyFill="1" applyAlignment="1" applyProtection="1">
      <alignment vertical="center"/>
      <protection locked="0"/>
    </xf>
    <xf numFmtId="0" fontId="15" fillId="3" borderId="0" xfId="4" applyFont="1" applyFill="1" applyAlignment="1" applyProtection="1">
      <alignment horizontal="center"/>
    </xf>
    <xf numFmtId="0" fontId="19" fillId="3" borderId="0" xfId="4" applyFont="1" applyFill="1" applyAlignment="1" applyProtection="1">
      <alignment horizontal="left" vertical="center"/>
    </xf>
    <xf numFmtId="0" fontId="9" fillId="3" borderId="0" xfId="0" applyFont="1" applyFill="1" applyBorder="1" applyAlignment="1" applyProtection="1">
      <alignment horizontal="right"/>
    </xf>
    <xf numFmtId="0" fontId="9" fillId="3" borderId="0" xfId="0" applyFont="1" applyFill="1" applyBorder="1" applyAlignment="1" applyProtection="1">
      <alignment horizontal="center"/>
      <protection locked="0"/>
    </xf>
    <xf numFmtId="0" fontId="27" fillId="3" borderId="0" xfId="0" applyFont="1" applyFill="1" applyBorder="1" applyAlignment="1" applyProtection="1">
      <alignment horizontal="right"/>
    </xf>
    <xf numFmtId="3" fontId="26" fillId="2" borderId="50" xfId="0" applyNumberFormat="1" applyFont="1" applyFill="1" applyBorder="1" applyAlignment="1" applyProtection="1">
      <alignment horizontal="center"/>
      <protection locked="0"/>
    </xf>
    <xf numFmtId="0" fontId="25" fillId="3" borderId="0" xfId="0" applyFont="1" applyFill="1" applyBorder="1" applyAlignment="1" applyProtection="1"/>
    <xf numFmtId="167" fontId="26" fillId="2" borderId="51" xfId="0" applyNumberFormat="1" applyFont="1" applyFill="1" applyBorder="1" applyAlignment="1" applyProtection="1">
      <alignment horizontal="left"/>
    </xf>
    <xf numFmtId="0" fontId="0" fillId="3" borderId="0" xfId="0" applyFill="1" applyAlignment="1" applyProtection="1"/>
    <xf numFmtId="0" fontId="0" fillId="0" borderId="0" xfId="0" applyAlignment="1" applyProtection="1"/>
    <xf numFmtId="0" fontId="30" fillId="4" borderId="0" xfId="0" applyFont="1" applyFill="1" applyBorder="1" applyAlignment="1" applyProtection="1">
      <alignment horizontal="center"/>
    </xf>
    <xf numFmtId="0" fontId="20" fillId="4" borderId="0" xfId="0" applyFont="1" applyFill="1" applyAlignment="1" applyProtection="1">
      <alignment horizontal="right" vertical="center"/>
    </xf>
    <xf numFmtId="0" fontId="39" fillId="4" borderId="0" xfId="0" applyFont="1" applyFill="1" applyProtection="1"/>
    <xf numFmtId="0" fontId="34" fillId="4" borderId="0" xfId="0" applyFont="1" applyFill="1" applyAlignment="1" applyProtection="1">
      <alignment vertical="center"/>
    </xf>
    <xf numFmtId="2" fontId="3" fillId="4" borderId="24" xfId="1" applyNumberFormat="1" applyFont="1" applyFill="1" applyBorder="1" applyAlignment="1" applyProtection="1">
      <alignment horizontal="center" wrapText="1"/>
    </xf>
    <xf numFmtId="2" fontId="3" fillId="4" borderId="24" xfId="1" applyNumberFormat="1" applyFont="1" applyFill="1" applyBorder="1" applyAlignment="1" applyProtection="1">
      <alignment horizontal="right"/>
    </xf>
    <xf numFmtId="2" fontId="3" fillId="4" borderId="0" xfId="1" applyNumberFormat="1" applyFont="1" applyFill="1" applyBorder="1" applyAlignment="1" applyProtection="1">
      <alignment horizontal="right"/>
    </xf>
    <xf numFmtId="2" fontId="0" fillId="4" borderId="0" xfId="0" applyNumberFormat="1" applyFill="1" applyAlignment="1" applyProtection="1">
      <alignment vertical="center"/>
    </xf>
    <xf numFmtId="2" fontId="0" fillId="4" borderId="0" xfId="0" applyNumberFormat="1" applyFill="1" applyProtection="1"/>
    <xf numFmtId="0" fontId="39" fillId="3" borderId="0" xfId="0" applyFont="1" applyFill="1" applyProtection="1"/>
    <xf numFmtId="0" fontId="36" fillId="4" borderId="0" xfId="0" applyFont="1" applyFill="1" applyAlignment="1" applyProtection="1">
      <alignment horizontal="center"/>
    </xf>
    <xf numFmtId="0" fontId="15" fillId="3" borderId="0" xfId="4" applyFont="1" applyFill="1" applyAlignment="1" applyProtection="1">
      <alignment horizontal="center"/>
    </xf>
    <xf numFmtId="0" fontId="24" fillId="3" borderId="0" xfId="4" applyFont="1" applyFill="1" applyAlignment="1" applyProtection="1">
      <alignment horizontal="center" vertical="center"/>
    </xf>
    <xf numFmtId="0" fontId="15" fillId="4" borderId="0" xfId="1" applyFont="1" applyFill="1" applyAlignment="1" applyProtection="1">
      <alignment horizontal="center"/>
    </xf>
    <xf numFmtId="0" fontId="40" fillId="3" borderId="0" xfId="4" applyFont="1" applyFill="1" applyAlignment="1" applyProtection="1">
      <alignment horizontal="center"/>
      <protection locked="0"/>
    </xf>
    <xf numFmtId="0" fontId="39" fillId="4" borderId="0" xfId="0" applyFont="1" applyFill="1" applyProtection="1">
      <protection locked="0"/>
    </xf>
    <xf numFmtId="0" fontId="19" fillId="4" borderId="64" xfId="1" applyFont="1" applyFill="1" applyBorder="1" applyAlignment="1" applyProtection="1">
      <alignment horizontal="left" wrapText="1"/>
    </xf>
    <xf numFmtId="2" fontId="7" fillId="4" borderId="65" xfId="2" applyNumberFormat="1" applyFont="1" applyFill="1" applyBorder="1" applyProtection="1"/>
    <xf numFmtId="0" fontId="1" fillId="4" borderId="64" xfId="1" applyFont="1" applyFill="1" applyBorder="1" applyAlignment="1" applyProtection="1">
      <alignment horizontal="left" wrapText="1"/>
    </xf>
    <xf numFmtId="0" fontId="19" fillId="4" borderId="64" xfId="1" applyFont="1" applyFill="1" applyBorder="1" applyAlignment="1" applyProtection="1">
      <alignment horizontal="right" wrapText="1"/>
    </xf>
    <xf numFmtId="2" fontId="22" fillId="4" borderId="65" xfId="2" applyNumberFormat="1" applyFont="1" applyFill="1" applyBorder="1" applyAlignment="1" applyProtection="1">
      <alignment horizontal="center"/>
    </xf>
    <xf numFmtId="0" fontId="1" fillId="4" borderId="64" xfId="1" applyFont="1" applyFill="1" applyBorder="1" applyAlignment="1" applyProtection="1">
      <alignment horizontal="right" wrapText="1"/>
    </xf>
    <xf numFmtId="0" fontId="19" fillId="4" borderId="64" xfId="1" applyFont="1" applyFill="1" applyBorder="1" applyAlignment="1" applyProtection="1">
      <alignment horizontal="right" vertical="center" wrapText="1"/>
    </xf>
    <xf numFmtId="0" fontId="1" fillId="4" borderId="64" xfId="1" applyFont="1" applyFill="1" applyBorder="1" applyAlignment="1" applyProtection="1">
      <alignment horizontal="right" vertical="center" wrapText="1"/>
    </xf>
    <xf numFmtId="0" fontId="19" fillId="4" borderId="64" xfId="0" applyFont="1" applyFill="1" applyBorder="1" applyAlignment="1" applyProtection="1">
      <alignment horizontal="left" vertical="center" wrapText="1"/>
    </xf>
    <xf numFmtId="0" fontId="1" fillId="4" borderId="64" xfId="0" applyFont="1" applyFill="1" applyBorder="1" applyAlignment="1" applyProtection="1">
      <alignment horizontal="left" vertical="center" wrapText="1"/>
    </xf>
    <xf numFmtId="0" fontId="15" fillId="0" borderId="64" xfId="0" applyFont="1" applyBorder="1" applyAlignment="1">
      <alignment vertical="top" wrapText="1"/>
    </xf>
    <xf numFmtId="0" fontId="0" fillId="4" borderId="64" xfId="0" applyFill="1" applyBorder="1" applyProtection="1"/>
    <xf numFmtId="2" fontId="0" fillId="4" borderId="65" xfId="0" applyNumberFormat="1" applyFill="1" applyBorder="1" applyProtection="1"/>
    <xf numFmtId="0" fontId="0" fillId="4" borderId="66" xfId="0" applyFill="1" applyBorder="1" applyProtection="1"/>
    <xf numFmtId="2" fontId="0" fillId="4" borderId="67" xfId="0" applyNumberFormat="1" applyFill="1" applyBorder="1" applyProtection="1"/>
    <xf numFmtId="0" fontId="15" fillId="8" borderId="62" xfId="1" applyFont="1" applyFill="1" applyBorder="1" applyAlignment="1" applyProtection="1">
      <alignment horizontal="right"/>
    </xf>
    <xf numFmtId="44" fontId="3" fillId="8" borderId="63" xfId="2" applyNumberFormat="1" applyFont="1" applyFill="1" applyBorder="1" applyProtection="1"/>
    <xf numFmtId="0" fontId="19" fillId="8" borderId="64" xfId="1" applyFont="1" applyFill="1" applyBorder="1" applyAlignment="1" applyProtection="1">
      <alignment horizontal="right" wrapText="1"/>
    </xf>
    <xf numFmtId="2" fontId="22" fillId="8" borderId="65" xfId="2" applyNumberFormat="1" applyFont="1" applyFill="1" applyBorder="1" applyAlignment="1" applyProtection="1">
      <alignment horizontal="center"/>
    </xf>
    <xf numFmtId="0" fontId="19" fillId="8" borderId="64" xfId="1" applyFont="1" applyFill="1" applyBorder="1" applyAlignment="1" applyProtection="1">
      <alignment horizontal="right" vertical="center" wrapText="1"/>
    </xf>
    <xf numFmtId="2" fontId="7" fillId="8" borderId="65" xfId="2" applyNumberFormat="1" applyFont="1" applyFill="1" applyBorder="1" applyProtection="1"/>
    <xf numFmtId="167" fontId="26" fillId="7" borderId="51" xfId="0" applyNumberFormat="1" applyFont="1" applyFill="1" applyBorder="1" applyAlignment="1" applyProtection="1">
      <alignment horizontal="center" vertical="center"/>
    </xf>
    <xf numFmtId="0" fontId="0" fillId="4" borderId="0" xfId="0" applyFill="1" applyAlignment="1" applyProtection="1">
      <alignment horizontal="right"/>
    </xf>
    <xf numFmtId="0" fontId="0" fillId="8" borderId="0" xfId="0" applyFill="1" applyProtection="1"/>
    <xf numFmtId="0" fontId="0" fillId="6" borderId="0" xfId="0" applyFill="1" applyProtection="1"/>
    <xf numFmtId="0" fontId="0" fillId="8" borderId="0" xfId="0" applyFill="1" applyAlignment="1" applyProtection="1">
      <alignment horizontal="right" vertical="center"/>
    </xf>
    <xf numFmtId="0" fontId="0" fillId="8" borderId="0" xfId="0" applyFill="1" applyAlignment="1" applyProtection="1">
      <alignment vertical="center"/>
    </xf>
    <xf numFmtId="0" fontId="0" fillId="8" borderId="0" xfId="0" applyFill="1" applyAlignment="1" applyProtection="1">
      <alignment horizontal="center" vertical="center"/>
    </xf>
    <xf numFmtId="0" fontId="0" fillId="8" borderId="0" xfId="0" applyFill="1" applyAlignment="1" applyProtection="1">
      <alignment horizontal="left" vertical="center"/>
    </xf>
    <xf numFmtId="0" fontId="28" fillId="3" borderId="0" xfId="0" applyFont="1" applyFill="1" applyBorder="1" applyAlignment="1" applyProtection="1">
      <alignment horizontal="center" vertical="center"/>
      <protection locked="0"/>
    </xf>
    <xf numFmtId="167" fontId="35" fillId="4" borderId="0" xfId="0" applyNumberFormat="1" applyFont="1" applyFill="1" applyAlignment="1" applyProtection="1">
      <alignment horizontal="center" vertical="center"/>
    </xf>
    <xf numFmtId="0" fontId="1" fillId="4" borderId="0" xfId="0" applyFont="1" applyFill="1" applyProtection="1"/>
    <xf numFmtId="167" fontId="26" fillId="3" borderId="0" xfId="0" applyNumberFormat="1" applyFont="1" applyFill="1" applyBorder="1" applyAlignment="1" applyProtection="1">
      <alignment horizontal="left"/>
    </xf>
    <xf numFmtId="0" fontId="38" fillId="3" borderId="0" xfId="0" applyFont="1" applyFill="1" applyBorder="1" applyAlignment="1" applyProtection="1">
      <alignment horizontal="center" vertical="center"/>
    </xf>
    <xf numFmtId="0" fontId="41" fillId="4" borderId="0" xfId="0" applyFont="1" applyFill="1" applyAlignment="1" applyProtection="1">
      <alignment horizontal="left" vertical="top" wrapText="1"/>
    </xf>
    <xf numFmtId="0" fontId="15" fillId="3" borderId="0" xfId="4" applyFont="1" applyFill="1" applyAlignment="1" applyProtection="1">
      <alignment horizontal="center"/>
    </xf>
    <xf numFmtId="0" fontId="24" fillId="3" borderId="0" xfId="4" applyFont="1" applyFill="1" applyAlignment="1" applyProtection="1">
      <alignment horizontal="center" vertical="center"/>
    </xf>
    <xf numFmtId="0" fontId="28" fillId="6" borderId="56" xfId="0" applyFont="1" applyFill="1" applyBorder="1" applyAlignment="1" applyProtection="1">
      <alignment horizontal="center" vertical="center"/>
      <protection locked="0"/>
    </xf>
    <xf numFmtId="0" fontId="28" fillId="6" borderId="57" xfId="0" applyFont="1" applyFill="1" applyBorder="1" applyAlignment="1" applyProtection="1">
      <alignment horizontal="center" vertical="center"/>
      <protection locked="0"/>
    </xf>
    <xf numFmtId="0" fontId="28" fillId="6" borderId="58" xfId="0" applyFont="1" applyFill="1" applyBorder="1" applyAlignment="1" applyProtection="1">
      <alignment horizontal="center" vertical="center"/>
      <protection locked="0"/>
    </xf>
    <xf numFmtId="0" fontId="28" fillId="6" borderId="59" xfId="0" applyFont="1" applyFill="1" applyBorder="1" applyAlignment="1" applyProtection="1">
      <alignment horizontal="center" vertical="center"/>
      <protection locked="0"/>
    </xf>
    <xf numFmtId="0" fontId="28" fillId="6" borderId="60" xfId="0" applyFont="1" applyFill="1" applyBorder="1" applyAlignment="1" applyProtection="1">
      <alignment horizontal="center" vertical="center"/>
      <protection locked="0"/>
    </xf>
    <xf numFmtId="0" fontId="28" fillId="6" borderId="61" xfId="0" applyFont="1" applyFill="1" applyBorder="1" applyAlignment="1" applyProtection="1">
      <alignment horizontal="center" vertical="center"/>
      <protection locked="0"/>
    </xf>
    <xf numFmtId="0" fontId="20" fillId="4" borderId="0" xfId="0" applyFont="1" applyFill="1" applyBorder="1" applyAlignment="1" applyProtection="1">
      <alignment horizontal="right" wrapText="1"/>
    </xf>
    <xf numFmtId="0" fontId="15" fillId="4" borderId="0" xfId="1" applyFont="1" applyFill="1" applyAlignment="1" applyProtection="1">
      <alignment horizontal="center"/>
    </xf>
    <xf numFmtId="41" fontId="14" fillId="3" borderId="20" xfId="4" applyNumberFormat="1" applyFont="1" applyFill="1" applyBorder="1" applyAlignment="1" applyProtection="1">
      <alignment horizontal="center" vertical="center"/>
    </xf>
    <xf numFmtId="41" fontId="14" fillId="3" borderId="7" xfId="4" applyNumberFormat="1" applyFont="1" applyFill="1" applyBorder="1" applyAlignment="1" applyProtection="1">
      <alignment horizontal="center" vertical="center"/>
    </xf>
    <xf numFmtId="41" fontId="14" fillId="3" borderId="21" xfId="4" applyNumberFormat="1" applyFont="1" applyFill="1" applyBorder="1" applyAlignment="1" applyProtection="1">
      <alignment horizontal="center" vertical="center"/>
    </xf>
    <xf numFmtId="41" fontId="14" fillId="3" borderId="24" xfId="4" applyNumberFormat="1" applyFont="1" applyFill="1" applyBorder="1" applyAlignment="1" applyProtection="1">
      <alignment horizontal="center" vertical="center"/>
    </xf>
    <xf numFmtId="41" fontId="14" fillId="3" borderId="0" xfId="4" applyNumberFormat="1" applyFont="1" applyFill="1" applyBorder="1" applyAlignment="1" applyProtection="1">
      <alignment horizontal="center" vertical="center"/>
    </xf>
    <xf numFmtId="41" fontId="14" fillId="3" borderId="25" xfId="4" applyNumberFormat="1" applyFont="1" applyFill="1" applyBorder="1" applyAlignment="1" applyProtection="1">
      <alignment horizontal="center" vertical="center"/>
    </xf>
    <xf numFmtId="41" fontId="12" fillId="3" borderId="24" xfId="4" applyNumberFormat="1" applyFont="1" applyFill="1" applyBorder="1" applyAlignment="1" applyProtection="1">
      <alignment horizontal="right" vertical="center"/>
    </xf>
    <xf numFmtId="41" fontId="12" fillId="3" borderId="0" xfId="4" applyNumberFormat="1" applyFont="1" applyFill="1" applyBorder="1" applyAlignment="1" applyProtection="1">
      <alignment horizontal="right" vertical="center"/>
    </xf>
    <xf numFmtId="41" fontId="12" fillId="3" borderId="26" xfId="4" applyNumberFormat="1" applyFont="1" applyFill="1" applyBorder="1" applyAlignment="1" applyProtection="1">
      <alignment horizontal="right" vertical="center"/>
    </xf>
    <xf numFmtId="41" fontId="13" fillId="3" borderId="0" xfId="4" applyNumberFormat="1" applyFont="1" applyFill="1" applyBorder="1" applyAlignment="1" applyProtection="1">
      <alignment horizontal="left" vertical="center"/>
    </xf>
    <xf numFmtId="41" fontId="13" fillId="3" borderId="25" xfId="4" applyNumberFormat="1" applyFont="1" applyFill="1" applyBorder="1" applyAlignment="1" applyProtection="1">
      <alignment horizontal="left" vertical="center"/>
    </xf>
    <xf numFmtId="0" fontId="19" fillId="3" borderId="0" xfId="4" applyFont="1" applyFill="1" applyAlignment="1" applyProtection="1">
      <alignment horizontal="left" vertical="center"/>
    </xf>
    <xf numFmtId="0" fontId="36" fillId="4" borderId="0" xfId="0" applyFont="1" applyFill="1" applyAlignment="1" applyProtection="1">
      <alignment horizontal="center"/>
    </xf>
    <xf numFmtId="0" fontId="37" fillId="4" borderId="0" xfId="0" applyFont="1" applyFill="1" applyAlignment="1" applyProtection="1">
      <alignment horizontal="left" vertical="top" wrapText="1"/>
    </xf>
    <xf numFmtId="0" fontId="30" fillId="4" borderId="0" xfId="0" applyFont="1" applyFill="1" applyBorder="1" applyAlignment="1" applyProtection="1">
      <alignment horizontal="left" vertical="top"/>
    </xf>
  </cellXfs>
  <cellStyles count="5">
    <cellStyle name="Normal" xfId="0" builtinId="0"/>
    <cellStyle name="Normal 2" xfId="1"/>
    <cellStyle name="Normal 3" xfId="2"/>
    <cellStyle name="Normal 4" xfId="4"/>
    <cellStyle name="Percent 3" xfId="3"/>
  </cellStyles>
  <dxfs count="11"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1"/>
      </font>
    </dxf>
    <dxf>
      <font>
        <color theme="0"/>
      </font>
    </dxf>
    <dxf>
      <font>
        <b/>
        <i val="0"/>
        <color theme="1"/>
      </font>
      <fill>
        <patternFill>
          <bgColor theme="0"/>
        </patternFill>
      </fill>
    </dxf>
    <dxf>
      <font>
        <b/>
        <i val="0"/>
      </font>
      <fill>
        <patternFill>
          <bgColor theme="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theme="1"/>
      </font>
    </dxf>
    <dxf>
      <font>
        <color theme="1"/>
      </font>
      <fill>
        <patternFill>
          <bgColor rgb="FFFFFF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theme="1"/>
      </font>
    </dxf>
    <dxf>
      <font>
        <b/>
        <i val="0"/>
        <color theme="1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hair">
          <color rgb="FFFF0000"/>
        </top>
        <bottom style="thin">
          <color rgb="FFFF0000"/>
        </bottom>
      </border>
    </dxf>
    <dxf>
      <font>
        <color theme="1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hair">
          <color rgb="FFFF0000"/>
        </top>
        <bottom style="thin">
          <color rgb="FFFF0000"/>
        </bottom>
      </border>
    </dxf>
    <dxf>
      <border>
        <top style="thin">
          <color rgb="FFFF0000"/>
        </top>
        <vertical/>
        <horizontal/>
      </border>
    </dxf>
  </dxfs>
  <tableStyles count="0" defaultTableStyle="TableStyleMedium9" defaultPivotStyle="PivotStyleLight16"/>
  <colors>
    <mruColors>
      <color rgb="FFFF0909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405"/>
  <sheetViews>
    <sheetView tabSelected="1" zoomScale="80" zoomScaleNormal="80" workbookViewId="0">
      <selection activeCell="L393" sqref="L393:N394"/>
    </sheetView>
  </sheetViews>
  <sheetFormatPr defaultColWidth="9.140625" defaultRowHeight="15"/>
  <cols>
    <col min="1" max="1" width="46.28515625" style="30" customWidth="1"/>
    <col min="2" max="2" width="19.42578125" style="30" customWidth="1"/>
    <col min="3" max="3" width="11.140625" style="30" customWidth="1"/>
    <col min="4" max="4" width="13.7109375" style="125" customWidth="1"/>
    <col min="5" max="5" width="12.7109375" style="125" customWidth="1"/>
    <col min="6" max="6" width="9.140625" style="30" customWidth="1"/>
    <col min="7" max="10" width="9.140625" style="30" hidden="1" customWidth="1"/>
    <col min="11" max="11" width="9" style="30" hidden="1" customWidth="1"/>
    <col min="12" max="12" width="13.28515625" style="125" customWidth="1"/>
    <col min="13" max="13" width="8.28515625" style="30" customWidth="1"/>
    <col min="14" max="15" width="14.5703125" style="30" customWidth="1"/>
    <col min="16" max="16384" width="9.140625" style="30"/>
  </cols>
  <sheetData>
    <row r="1" spans="1:22" ht="25.5" customHeight="1">
      <c r="A1" s="198" t="s">
        <v>60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58"/>
      <c r="P1" s="12"/>
      <c r="Q1" s="12"/>
      <c r="R1" s="12"/>
      <c r="S1" s="12"/>
      <c r="T1" s="12"/>
      <c r="U1" s="12"/>
      <c r="V1" s="12"/>
    </row>
    <row r="2" spans="1:22" ht="5.25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2"/>
      <c r="Q2" s="32"/>
      <c r="R2" s="32"/>
      <c r="S2" s="12"/>
      <c r="T2" s="12"/>
      <c r="U2" s="12"/>
      <c r="V2" s="12"/>
    </row>
    <row r="3" spans="1:22" ht="16.5" customHeight="1">
      <c r="A3" s="197" t="s">
        <v>228</v>
      </c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157"/>
      <c r="P3" s="12"/>
      <c r="Q3" s="12"/>
      <c r="R3" s="12"/>
      <c r="S3" s="12"/>
      <c r="T3" s="12"/>
      <c r="U3" s="12"/>
      <c r="V3" s="12"/>
    </row>
    <row r="4" spans="1:22" ht="8.25" customHeight="1" thickBot="1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157"/>
      <c r="P4" s="12"/>
      <c r="Q4" s="12"/>
      <c r="R4" s="12"/>
      <c r="S4" s="12"/>
      <c r="T4" s="12"/>
      <c r="U4" s="12"/>
      <c r="V4" s="12"/>
    </row>
    <row r="5" spans="1:22" ht="16.5" customHeight="1" thickTop="1">
      <c r="A5" s="26" t="s">
        <v>226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199" t="s">
        <v>225</v>
      </c>
      <c r="M5" s="200"/>
      <c r="N5" s="201"/>
      <c r="O5" s="191"/>
      <c r="P5" s="12"/>
      <c r="Q5" s="12"/>
      <c r="R5" s="12"/>
      <c r="S5" s="12"/>
      <c r="T5" s="12"/>
      <c r="U5" s="12"/>
      <c r="V5" s="12"/>
    </row>
    <row r="6" spans="1:22" ht="16.5" customHeight="1" thickBot="1">
      <c r="A6" s="26" t="s">
        <v>227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202"/>
      <c r="M6" s="203"/>
      <c r="N6" s="204"/>
      <c r="O6" s="191"/>
      <c r="P6" s="12"/>
      <c r="Q6" s="12"/>
      <c r="R6" s="12"/>
      <c r="S6" s="12"/>
      <c r="T6" s="12"/>
      <c r="U6" s="12"/>
      <c r="V6" s="12"/>
    </row>
    <row r="7" spans="1:22" ht="16.5" customHeight="1" thickTop="1">
      <c r="A7" s="218" t="s">
        <v>229</v>
      </c>
      <c r="B7" s="218">
        <v>1</v>
      </c>
      <c r="C7" s="160" t="b">
        <v>0</v>
      </c>
      <c r="D7" s="33"/>
      <c r="E7" s="33"/>
      <c r="F7" s="33"/>
      <c r="G7" s="33"/>
      <c r="H7" s="33"/>
      <c r="I7" s="33"/>
      <c r="J7" s="33"/>
      <c r="K7" s="33"/>
      <c r="L7" s="127"/>
      <c r="M7" s="127"/>
      <c r="N7" s="127"/>
      <c r="O7" s="127"/>
      <c r="P7" s="12"/>
      <c r="Q7" s="12"/>
      <c r="R7" s="12"/>
      <c r="S7" s="12"/>
      <c r="T7" s="12"/>
      <c r="U7" s="12"/>
      <c r="V7" s="12"/>
    </row>
    <row r="8" spans="1:22" ht="16.5" customHeight="1">
      <c r="A8" s="27" t="s">
        <v>282</v>
      </c>
      <c r="B8" s="137"/>
      <c r="C8" s="126"/>
      <c r="D8" s="136"/>
      <c r="E8" s="126" t="b">
        <v>0</v>
      </c>
      <c r="F8" s="136"/>
      <c r="G8" s="136"/>
      <c r="H8" s="136"/>
      <c r="I8" s="136"/>
      <c r="J8" s="136"/>
      <c r="K8" s="136"/>
      <c r="L8" s="127"/>
      <c r="M8" s="127"/>
      <c r="N8" s="127"/>
      <c r="O8" s="127"/>
      <c r="P8" s="12"/>
      <c r="Q8" s="12"/>
      <c r="R8" s="12"/>
      <c r="S8" s="12"/>
      <c r="T8" s="12"/>
      <c r="U8" s="12"/>
      <c r="V8" s="12"/>
    </row>
    <row r="9" spans="1:22" ht="16.5" customHeight="1">
      <c r="A9" s="137" t="s">
        <v>283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157"/>
      <c r="P9" s="12"/>
      <c r="Q9" s="12"/>
      <c r="R9" s="12"/>
      <c r="S9" s="12"/>
      <c r="T9" s="12"/>
      <c r="U9" s="12"/>
      <c r="V9" s="12"/>
    </row>
    <row r="10" spans="1:22" ht="16.5" hidden="1" customHeight="1" thickBot="1">
      <c r="A10" s="26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157"/>
      <c r="P10" s="12"/>
      <c r="Q10" s="12"/>
      <c r="R10" s="12"/>
      <c r="S10" s="12"/>
      <c r="T10" s="12"/>
      <c r="U10" s="12"/>
      <c r="V10" s="12"/>
    </row>
    <row r="11" spans="1:22" ht="50.25" hidden="1" customHeight="1">
      <c r="A11" s="34" t="s">
        <v>103</v>
      </c>
      <c r="B11" s="35" t="s">
        <v>102</v>
      </c>
      <c r="C11" s="35" t="s">
        <v>56</v>
      </c>
      <c r="D11" s="35" t="s">
        <v>68</v>
      </c>
      <c r="E11" s="35" t="s">
        <v>67</v>
      </c>
      <c r="F11" s="36" t="s">
        <v>0</v>
      </c>
      <c r="G11" s="36" t="s">
        <v>55</v>
      </c>
      <c r="H11" s="36" t="s">
        <v>0</v>
      </c>
      <c r="I11" s="36" t="s">
        <v>55</v>
      </c>
      <c r="J11" s="36" t="s">
        <v>0</v>
      </c>
      <c r="K11" s="36" t="s">
        <v>55</v>
      </c>
      <c r="L11" s="35" t="s">
        <v>61</v>
      </c>
      <c r="M11" s="37"/>
      <c r="N11" s="38"/>
      <c r="O11" s="123"/>
      <c r="P11" s="12"/>
      <c r="Q11" s="12"/>
      <c r="R11" s="12"/>
      <c r="S11" s="12"/>
      <c r="T11" s="12"/>
      <c r="U11" s="12"/>
      <c r="V11" s="12"/>
    </row>
    <row r="12" spans="1:22" hidden="1">
      <c r="A12" s="12" t="str">
        <f>IF($B$268=12,"A-1",CHAR(160))</f>
        <v> </v>
      </c>
      <c r="B12" s="39" t="s">
        <v>100</v>
      </c>
      <c r="C12" s="40">
        <v>0</v>
      </c>
      <c r="D12" s="41">
        <f t="shared" ref="D12:D75" si="0">$E$268</f>
        <v>0</v>
      </c>
      <c r="E12" s="42" t="s">
        <v>66</v>
      </c>
      <c r="F12" s="43">
        <v>496.5</v>
      </c>
      <c r="G12" s="44">
        <v>-4.7369515717340012E-16</v>
      </c>
      <c r="H12" s="43">
        <v>185.4</v>
      </c>
      <c r="I12" s="44">
        <v>0.46750000000000003</v>
      </c>
      <c r="J12" s="43">
        <v>681.9</v>
      </c>
      <c r="K12" s="44">
        <v>0.46750000000000003</v>
      </c>
      <c r="L12" s="45" t="str">
        <f>(IF(D12&lt;=14999,(IF(D12=0,CHAR(160),(F12+IF(D12&gt;3000,((D12-3000)/100*G12),0)+H12+IF(D12&gt;3000,(I12*(D12-3000)/100),0)))),0))</f>
        <v> </v>
      </c>
      <c r="M12" s="46">
        <f>IF(D12&gt;=3600,(C12/1000*0.75)+150,75+(C12/1000)*0.75)</f>
        <v>75</v>
      </c>
      <c r="N12" s="12"/>
      <c r="O12" s="12"/>
      <c r="P12" s="12"/>
      <c r="Q12" s="12"/>
      <c r="R12" s="12"/>
      <c r="S12" s="12"/>
      <c r="T12" s="12"/>
      <c r="U12" s="12"/>
      <c r="V12" s="12"/>
    </row>
    <row r="13" spans="1:22" hidden="1">
      <c r="A13" s="12" t="str">
        <f t="shared" ref="A13:A17" si="1">IF($B$268=12,"A-1",CHAR(160))</f>
        <v> </v>
      </c>
      <c r="B13" s="47" t="s">
        <v>1</v>
      </c>
      <c r="C13" s="48">
        <v>0</v>
      </c>
      <c r="D13" s="49">
        <f t="shared" si="0"/>
        <v>0</v>
      </c>
      <c r="E13" s="50" t="s">
        <v>62</v>
      </c>
      <c r="F13" s="51">
        <v>496.5</v>
      </c>
      <c r="G13" s="52">
        <v>1.0000000000000378E-2</v>
      </c>
      <c r="H13" s="51">
        <v>241.5</v>
      </c>
      <c r="I13" s="52">
        <v>0.19</v>
      </c>
      <c r="J13" s="51">
        <v>738</v>
      </c>
      <c r="K13" s="52">
        <v>0.2</v>
      </c>
      <c r="L13" s="53" t="str">
        <f>IF(D13=0,CHAR(160),IF(AND(D13&gt;14999,D13&lt;30000),(F13+IF(D13&gt;15000,((D13-15000)/100*G13),0)+H13+IF(D13&gt;15000,(I13*(D13-15000)/100),0)),"ERROR"))</f>
        <v> </v>
      </c>
      <c r="M13" s="54">
        <f t="shared" ref="M13:M76" si="2">IF(D13&gt;=3600,(C13/1000*0.75)+150,75+(C13/1000)*0.75)</f>
        <v>75</v>
      </c>
      <c r="N13" s="12"/>
      <c r="O13" s="12"/>
      <c r="P13" s="12"/>
      <c r="Q13" s="12"/>
      <c r="R13" s="12"/>
      <c r="S13" s="12"/>
      <c r="T13" s="12"/>
      <c r="U13" s="12"/>
      <c r="V13" s="12"/>
    </row>
    <row r="14" spans="1:22" hidden="1">
      <c r="A14" s="12" t="str">
        <f t="shared" si="1"/>
        <v> </v>
      </c>
      <c r="B14" s="47">
        <v>0</v>
      </c>
      <c r="C14" s="48">
        <v>0</v>
      </c>
      <c r="D14" s="49">
        <f t="shared" si="0"/>
        <v>0</v>
      </c>
      <c r="E14" s="50" t="s">
        <v>63</v>
      </c>
      <c r="F14" s="51">
        <v>498</v>
      </c>
      <c r="G14" s="52">
        <v>1.82</v>
      </c>
      <c r="H14" s="51">
        <v>270</v>
      </c>
      <c r="I14" s="52">
        <v>0.3</v>
      </c>
      <c r="J14" s="51">
        <v>768</v>
      </c>
      <c r="K14" s="52">
        <v>2.12</v>
      </c>
      <c r="L14" s="53" t="str">
        <f>IF(D14=0,CHAR(160),IF(AND(D14&gt;29999,D14&lt;60000),(F14+IF(D14&gt;30000,((D14-30000)/100*G14),0)+H14+IF(D14&gt;30000,(I14*(D14-30000)/100),0)),"ERROR"))</f>
        <v> </v>
      </c>
      <c r="M14" s="54">
        <f t="shared" si="2"/>
        <v>75</v>
      </c>
      <c r="N14" s="12"/>
      <c r="O14" s="12"/>
      <c r="P14" s="12"/>
      <c r="Q14" s="12"/>
      <c r="R14" s="12"/>
      <c r="S14" s="12"/>
      <c r="T14" s="12"/>
      <c r="U14" s="12"/>
      <c r="V14" s="12"/>
    </row>
    <row r="15" spans="1:22" hidden="1">
      <c r="A15" s="12" t="str">
        <f t="shared" si="1"/>
        <v> </v>
      </c>
      <c r="B15" s="47">
        <v>0</v>
      </c>
      <c r="C15" s="48">
        <v>0</v>
      </c>
      <c r="D15" s="49">
        <f t="shared" si="0"/>
        <v>0</v>
      </c>
      <c r="E15" s="50" t="s">
        <v>64</v>
      </c>
      <c r="F15" s="51">
        <v>1044</v>
      </c>
      <c r="G15" s="52">
        <v>0.15666666666666693</v>
      </c>
      <c r="H15" s="51">
        <v>360</v>
      </c>
      <c r="I15" s="52">
        <v>0.2</v>
      </c>
      <c r="J15" s="51">
        <v>1404</v>
      </c>
      <c r="K15" s="52">
        <v>0.35666666666666691</v>
      </c>
      <c r="L15" s="53" t="str">
        <f>IF(D15=0,CHAR(160),IF(AND(D15&gt;59999,D15&lt;150000),(F15+IF(D15&gt;60000,((D15-60000)/100*G15),0)+H15+IF(D15&gt;60000,(I15*(D15-60000)/100),0)),"ERROR"))</f>
        <v> </v>
      </c>
      <c r="M15" s="54">
        <f t="shared" si="2"/>
        <v>75</v>
      </c>
      <c r="N15" s="12"/>
      <c r="O15" s="12"/>
      <c r="P15" s="12"/>
      <c r="Q15" s="12"/>
      <c r="R15" s="12"/>
      <c r="S15" s="12"/>
      <c r="T15" s="12"/>
      <c r="U15" s="12"/>
      <c r="V15" s="12"/>
    </row>
    <row r="16" spans="1:22" hidden="1">
      <c r="A16" s="12" t="str">
        <f t="shared" si="1"/>
        <v> </v>
      </c>
      <c r="B16" s="47">
        <v>0</v>
      </c>
      <c r="C16" s="48">
        <v>0</v>
      </c>
      <c r="D16" s="49">
        <f t="shared" si="0"/>
        <v>0</v>
      </c>
      <c r="E16" s="50" t="s">
        <v>65</v>
      </c>
      <c r="F16" s="51">
        <v>1185</v>
      </c>
      <c r="G16" s="52">
        <v>0.21</v>
      </c>
      <c r="H16" s="51">
        <v>540</v>
      </c>
      <c r="I16" s="52">
        <v>0.12</v>
      </c>
      <c r="J16" s="51">
        <v>1725</v>
      </c>
      <c r="K16" s="52">
        <v>0.33</v>
      </c>
      <c r="L16" s="53" t="str">
        <f>IF(D16=0,CHAR(160),IF(AND(D16&gt;149999,D16&lt;300000),(F16+IF(D16&gt;150000,((D16-150000)/100*G16),0)+H16+IF(D16&gt;150000,(I16*(D16-150000)/100),0)),"ERROR"))</f>
        <v> </v>
      </c>
      <c r="M16" s="54">
        <f t="shared" si="2"/>
        <v>75</v>
      </c>
      <c r="N16" s="12"/>
      <c r="O16" s="12"/>
      <c r="P16" s="12"/>
      <c r="Q16" s="12"/>
      <c r="R16" s="12"/>
      <c r="S16" s="12"/>
      <c r="T16" s="12"/>
      <c r="U16" s="12"/>
      <c r="V16" s="12"/>
    </row>
    <row r="17" spans="1:22" hidden="1">
      <c r="A17" s="12" t="str">
        <f t="shared" si="1"/>
        <v> </v>
      </c>
      <c r="B17" s="55">
        <v>0</v>
      </c>
      <c r="C17" s="56">
        <v>0</v>
      </c>
      <c r="D17" s="49">
        <f t="shared" si="0"/>
        <v>0</v>
      </c>
      <c r="E17" s="57" t="s">
        <v>69</v>
      </c>
      <c r="F17" s="58">
        <v>1500</v>
      </c>
      <c r="G17" s="59">
        <v>0.5</v>
      </c>
      <c r="H17" s="58">
        <v>720</v>
      </c>
      <c r="I17" s="59">
        <v>0.24</v>
      </c>
      <c r="J17" s="58">
        <v>2220</v>
      </c>
      <c r="K17" s="59">
        <v>0.74</v>
      </c>
      <c r="L17" s="53" t="str">
        <f>IF(D17=0,CHAR(160),IF(D17&gt;=300000,(F17+IF(D17&gt;300000,((D17-300000)/100*G17),0)+H17+IF(D17&gt;300000,(I17*(D17-300000)/100),0)),"ERROR"))</f>
        <v> </v>
      </c>
      <c r="M17" s="60">
        <f t="shared" si="2"/>
        <v>75</v>
      </c>
      <c r="N17" s="61">
        <f>SUMIFS(L12:L17,A12:A17,"=A-1",L12:L17,"&gt;0")</f>
        <v>0</v>
      </c>
      <c r="O17" s="61"/>
      <c r="P17" s="12"/>
      <c r="Q17" s="12"/>
      <c r="R17" s="12"/>
      <c r="S17" s="12"/>
      <c r="T17" s="12"/>
      <c r="U17" s="12"/>
      <c r="V17" s="12"/>
    </row>
    <row r="18" spans="1:22" hidden="1">
      <c r="A18" s="12" t="str">
        <f>IF($B$268=13,"A-2",CHAR(160))</f>
        <v> </v>
      </c>
      <c r="B18" s="62" t="s">
        <v>99</v>
      </c>
      <c r="C18" s="63">
        <v>0</v>
      </c>
      <c r="D18" s="49">
        <f t="shared" si="0"/>
        <v>0</v>
      </c>
      <c r="E18" s="64" t="s">
        <v>70</v>
      </c>
      <c r="F18" s="65">
        <v>496.65</v>
      </c>
      <c r="G18" s="66">
        <v>-5.0000000000030315E-3</v>
      </c>
      <c r="H18" s="65">
        <v>152.25</v>
      </c>
      <c r="I18" s="66">
        <v>1.5249999999999999</v>
      </c>
      <c r="J18" s="65">
        <v>648.9</v>
      </c>
      <c r="K18" s="66">
        <v>1.52</v>
      </c>
      <c r="L18" s="67" t="str">
        <f>(IF(D18&lt;=3749,(IF(D18&lt;=0,CHAR(160),(F18+IF(D18&gt;750,((D18-750)/100*G18),0)+H18+IF(D18&gt;750,(I18*(D18-750)/100),0)))),"ERROR"))</f>
        <v> </v>
      </c>
      <c r="M18" s="68">
        <f t="shared" si="2"/>
        <v>75</v>
      </c>
      <c r="N18" s="12"/>
      <c r="O18" s="12"/>
      <c r="P18" s="12"/>
      <c r="Q18" s="12"/>
      <c r="R18" s="12"/>
      <c r="S18" s="12"/>
      <c r="T18" s="12"/>
      <c r="U18" s="12"/>
      <c r="V18" s="12"/>
    </row>
    <row r="19" spans="1:22" hidden="1">
      <c r="A19" s="12" t="str">
        <f t="shared" ref="A19:A23" si="3">IF($B$268=13,"A-2",CHAR(160))</f>
        <v> </v>
      </c>
      <c r="B19" s="47" t="s">
        <v>2</v>
      </c>
      <c r="C19" s="48">
        <v>50000</v>
      </c>
      <c r="D19" s="49">
        <f t="shared" si="0"/>
        <v>0</v>
      </c>
      <c r="E19" s="50" t="s">
        <v>75</v>
      </c>
      <c r="F19" s="65">
        <v>496.5</v>
      </c>
      <c r="G19" s="66">
        <v>0</v>
      </c>
      <c r="H19" s="65">
        <v>198</v>
      </c>
      <c r="I19" s="66">
        <v>0.6</v>
      </c>
      <c r="J19" s="51">
        <v>694.5</v>
      </c>
      <c r="K19" s="52">
        <v>0.6</v>
      </c>
      <c r="L19" s="53" t="str">
        <f>IF(D19=0,CHAR(160),IF(AND(D19&gt;3799,D19&lt;7500),(F19+IF(D19&gt;3750,((D19-3750)/100*G19),0)+H19+IF(D19&gt;3750,(I19*(D19-3750)/100),0)),"ERROR"))</f>
        <v> </v>
      </c>
      <c r="M19" s="54">
        <f t="shared" si="2"/>
        <v>112.5</v>
      </c>
      <c r="N19" s="12"/>
      <c r="O19" s="12"/>
      <c r="P19" s="12"/>
      <c r="Q19" s="12"/>
      <c r="R19" s="12"/>
      <c r="S19" s="12"/>
      <c r="T19" s="12"/>
      <c r="U19" s="12"/>
      <c r="V19" s="12"/>
    </row>
    <row r="20" spans="1:22" hidden="1">
      <c r="A20" s="12" t="str">
        <f t="shared" si="3"/>
        <v> </v>
      </c>
      <c r="B20" s="47">
        <v>0</v>
      </c>
      <c r="C20" s="48">
        <v>0</v>
      </c>
      <c r="D20" s="49">
        <f t="shared" si="0"/>
        <v>0</v>
      </c>
      <c r="E20" s="50" t="s">
        <v>74</v>
      </c>
      <c r="F20" s="65">
        <v>496.5</v>
      </c>
      <c r="G20" s="66">
        <v>7.28</v>
      </c>
      <c r="H20" s="65">
        <v>220.5</v>
      </c>
      <c r="I20" s="66">
        <v>1.02</v>
      </c>
      <c r="J20" s="51">
        <v>717</v>
      </c>
      <c r="K20" s="52">
        <v>8.3000000000000007</v>
      </c>
      <c r="L20" s="53" t="str">
        <f>IF(D20=0,CHAR(160),IF(AND(D20&gt;7499,D20&lt;15000),(F20+IF(D20&gt;7500,((D20-7500)/100*G20),0)+H20+IF(D20&gt;7500,(I20*(D20-7500)/100),0)),"ERROR"))</f>
        <v> </v>
      </c>
      <c r="M20" s="54">
        <f t="shared" si="2"/>
        <v>75</v>
      </c>
      <c r="N20" s="12"/>
      <c r="O20" s="12"/>
      <c r="P20" s="12"/>
      <c r="Q20" s="12"/>
      <c r="R20" s="12"/>
      <c r="S20" s="12"/>
      <c r="T20" s="12"/>
      <c r="U20" s="12"/>
      <c r="V20" s="12"/>
    </row>
    <row r="21" spans="1:22" hidden="1">
      <c r="A21" s="12" t="str">
        <f t="shared" si="3"/>
        <v> </v>
      </c>
      <c r="B21" s="47">
        <v>0</v>
      </c>
      <c r="C21" s="48">
        <v>0</v>
      </c>
      <c r="D21" s="49">
        <f t="shared" si="0"/>
        <v>0</v>
      </c>
      <c r="E21" s="50" t="s">
        <v>73</v>
      </c>
      <c r="F21" s="65">
        <v>1042.5</v>
      </c>
      <c r="G21" s="66">
        <v>0.66666666666666663</v>
      </c>
      <c r="H21" s="65">
        <v>297</v>
      </c>
      <c r="I21" s="66">
        <v>0.64666666666666661</v>
      </c>
      <c r="J21" s="51">
        <v>1339.5</v>
      </c>
      <c r="K21" s="52">
        <v>1.3133333333333332</v>
      </c>
      <c r="L21" s="53" t="str">
        <f>IF(D21=0,CHAR(160),IF(AND(D21&gt;14999,D21&lt;37500),(F21+IF(D21&gt;15000,((D21-15000)/100*G21),0)+H21+IF(D21&gt;15000,(I21*(D21-15000)/100),0)),"ERROR"))</f>
        <v> </v>
      </c>
      <c r="M21" s="54">
        <f t="shared" si="2"/>
        <v>75</v>
      </c>
      <c r="N21" s="12"/>
      <c r="O21" s="12"/>
      <c r="P21" s="12"/>
      <c r="Q21" s="12"/>
      <c r="R21" s="12"/>
      <c r="S21" s="12"/>
      <c r="T21" s="12"/>
      <c r="U21" s="12"/>
      <c r="V21" s="12"/>
    </row>
    <row r="22" spans="1:22" hidden="1">
      <c r="A22" s="12" t="str">
        <f t="shared" si="3"/>
        <v> </v>
      </c>
      <c r="B22" s="47">
        <v>0</v>
      </c>
      <c r="C22" s="48">
        <v>0</v>
      </c>
      <c r="D22" s="49">
        <f t="shared" si="0"/>
        <v>0</v>
      </c>
      <c r="E22" s="50" t="s">
        <v>71</v>
      </c>
      <c r="F22" s="65">
        <v>1192.5</v>
      </c>
      <c r="G22" s="66">
        <v>0.8</v>
      </c>
      <c r="H22" s="65">
        <v>442.5</v>
      </c>
      <c r="I22" s="66">
        <v>0.4</v>
      </c>
      <c r="J22" s="51">
        <v>1635</v>
      </c>
      <c r="K22" s="52">
        <v>1.2</v>
      </c>
      <c r="L22" s="53" t="str">
        <f>IF(D22=0,CHAR(160),IF(AND(D22&gt;37499,D22&lt;75000),(F22+IF(D22&gt;37500,((D22-37500)/100*G22),0)+H22+IF(D22&gt;37500,(I22*(D22-37500)/100),0)),"ERROR"))</f>
        <v> </v>
      </c>
      <c r="M22" s="54">
        <f t="shared" si="2"/>
        <v>75</v>
      </c>
      <c r="N22" s="12"/>
      <c r="O22" s="12"/>
      <c r="P22" s="12"/>
      <c r="Q22" s="12"/>
      <c r="R22" s="12"/>
      <c r="S22" s="12"/>
      <c r="T22" s="12"/>
      <c r="U22" s="12"/>
      <c r="V22" s="12"/>
    </row>
    <row r="23" spans="1:22" hidden="1">
      <c r="A23" s="12" t="str">
        <f t="shared" si="3"/>
        <v> </v>
      </c>
      <c r="B23" s="55">
        <v>0</v>
      </c>
      <c r="C23" s="69">
        <v>0</v>
      </c>
      <c r="D23" s="49">
        <f t="shared" si="0"/>
        <v>0</v>
      </c>
      <c r="E23" s="57" t="s">
        <v>72</v>
      </c>
      <c r="F23" s="70">
        <v>1492.5</v>
      </c>
      <c r="G23" s="71">
        <v>1.99</v>
      </c>
      <c r="H23" s="70">
        <v>592.5</v>
      </c>
      <c r="I23" s="71">
        <v>0.79</v>
      </c>
      <c r="J23" s="58">
        <v>2085</v>
      </c>
      <c r="K23" s="59">
        <v>2.78</v>
      </c>
      <c r="L23" s="72" t="str">
        <f>IF(D23=0,CHAR(160),IF(D23&gt;=75000,(F23+IF(D23&gt;75000,((D23-75000)/100*G23),0)+H23+IF(D23&gt;75000,(I23*(D23-75000)/100),0)),"ERROR"))</f>
        <v> </v>
      </c>
      <c r="M23" s="73">
        <f t="shared" si="2"/>
        <v>75</v>
      </c>
      <c r="N23" s="61">
        <f>SUMIFS(L18:L23,A18:A23,"=A-2",L18:L23,"&gt;0")</f>
        <v>0</v>
      </c>
      <c r="O23" s="61"/>
      <c r="P23" s="12"/>
      <c r="Q23" s="12"/>
      <c r="R23" s="12"/>
      <c r="S23" s="12"/>
      <c r="T23" s="12"/>
      <c r="U23" s="12"/>
      <c r="V23" s="12"/>
    </row>
    <row r="24" spans="1:22" hidden="1">
      <c r="A24" s="12" t="str">
        <f>IF($B$268=14,"A-3",CHAR(160))</f>
        <v> </v>
      </c>
      <c r="B24" s="62" t="s">
        <v>98</v>
      </c>
      <c r="C24" s="63">
        <v>0</v>
      </c>
      <c r="D24" s="49">
        <f t="shared" si="0"/>
        <v>0</v>
      </c>
      <c r="E24" s="64" t="s">
        <v>77</v>
      </c>
      <c r="F24" s="65">
        <v>496.6</v>
      </c>
      <c r="G24" s="66">
        <v>5.000000000000426E-3</v>
      </c>
      <c r="H24" s="65">
        <v>185.6</v>
      </c>
      <c r="I24" s="66">
        <v>0.6925</v>
      </c>
      <c r="J24" s="65">
        <v>682.2</v>
      </c>
      <c r="K24" s="66">
        <v>0.69750000000000056</v>
      </c>
      <c r="L24" s="67" t="str">
        <f>(IF(D24&lt;=9999,(IF(D24&lt;=0,CHAR(160),(F24+IF(D24&gt;2000,((D24-2000)/100*G24),0)+H24+IF(D24&gt;2000,(I24*(D24-2000)/100),0)))),"ERROR"))</f>
        <v> </v>
      </c>
      <c r="M24" s="68">
        <f t="shared" si="2"/>
        <v>75</v>
      </c>
      <c r="N24" s="12"/>
      <c r="O24" s="12"/>
      <c r="P24" s="12"/>
      <c r="Q24" s="12"/>
      <c r="R24" s="12"/>
      <c r="S24" s="12"/>
      <c r="T24" s="12"/>
      <c r="U24" s="12"/>
      <c r="V24" s="12"/>
    </row>
    <row r="25" spans="1:22" hidden="1">
      <c r="A25" s="12" t="str">
        <f t="shared" ref="A25:A29" si="4">IF($B$268=14,"A-3",CHAR(160))</f>
        <v> </v>
      </c>
      <c r="B25" s="47" t="s">
        <v>3</v>
      </c>
      <c r="C25" s="48">
        <v>0</v>
      </c>
      <c r="D25" s="49">
        <f t="shared" si="0"/>
        <v>0</v>
      </c>
      <c r="E25" s="50" t="s">
        <v>76</v>
      </c>
      <c r="F25" s="65">
        <v>497</v>
      </c>
      <c r="G25" s="66">
        <v>-0.01</v>
      </c>
      <c r="H25" s="65">
        <v>241</v>
      </c>
      <c r="I25" s="66">
        <v>0.28999999999999998</v>
      </c>
      <c r="J25" s="51">
        <v>738</v>
      </c>
      <c r="K25" s="52">
        <v>0.28000000000000003</v>
      </c>
      <c r="L25" s="53" t="str">
        <f>IF(D25=0,CHAR(160),IF(AND(D25&gt;9999,D25&lt;20000),(F25+IF(D25&gt;10000,((D25-10000)/100*G25),0)+H25+IF(D25&gt;10000,(I25*(D25-10000)/100),0)),"ERROR"))</f>
        <v> </v>
      </c>
      <c r="M25" s="54">
        <f t="shared" si="2"/>
        <v>75</v>
      </c>
      <c r="N25" s="12"/>
      <c r="O25" s="12"/>
      <c r="P25" s="12"/>
      <c r="Q25" s="12"/>
      <c r="R25" s="12"/>
      <c r="S25" s="12"/>
      <c r="T25" s="12"/>
      <c r="U25" s="12"/>
      <c r="V25" s="12"/>
    </row>
    <row r="26" spans="1:22" hidden="1">
      <c r="A26" s="12" t="str">
        <f t="shared" si="4"/>
        <v> </v>
      </c>
      <c r="B26" s="47">
        <v>0</v>
      </c>
      <c r="C26" s="48">
        <v>0</v>
      </c>
      <c r="D26" s="49">
        <f t="shared" si="0"/>
        <v>0</v>
      </c>
      <c r="E26" s="50" t="s">
        <v>78</v>
      </c>
      <c r="F26" s="65">
        <v>496</v>
      </c>
      <c r="G26" s="66">
        <v>2.74</v>
      </c>
      <c r="H26" s="65">
        <v>270</v>
      </c>
      <c r="I26" s="66">
        <v>0.45</v>
      </c>
      <c r="J26" s="51">
        <v>766</v>
      </c>
      <c r="K26" s="52">
        <v>3.19</v>
      </c>
      <c r="L26" s="53" t="str">
        <f>IF(D26=0,CHAR(160),IF(AND(D26&gt;19999,D26&lt;40000),(F26+IF(D26&gt;20000,((D26-20000)/100*G26),0)+H26+IF(D26&gt;20000,(I26*(D26-20000)/100),0)),"ERROR"))</f>
        <v> </v>
      </c>
      <c r="M26" s="54">
        <f t="shared" si="2"/>
        <v>75</v>
      </c>
      <c r="N26" s="12"/>
      <c r="O26" s="12"/>
      <c r="P26" s="12"/>
      <c r="Q26" s="12"/>
      <c r="R26" s="12"/>
      <c r="S26" s="12"/>
      <c r="T26" s="12"/>
      <c r="U26" s="12"/>
      <c r="V26" s="12"/>
    </row>
    <row r="27" spans="1:22" hidden="1">
      <c r="A27" s="12" t="str">
        <f t="shared" si="4"/>
        <v> </v>
      </c>
      <c r="B27" s="47">
        <v>0</v>
      </c>
      <c r="C27" s="48">
        <v>0</v>
      </c>
      <c r="D27" s="49">
        <f t="shared" si="0"/>
        <v>0</v>
      </c>
      <c r="E27" s="50" t="s">
        <v>79</v>
      </c>
      <c r="F27" s="65">
        <v>1044</v>
      </c>
      <c r="G27" s="66">
        <v>0.24333333333333335</v>
      </c>
      <c r="H27" s="65">
        <v>360</v>
      </c>
      <c r="I27" s="66">
        <v>0.3</v>
      </c>
      <c r="J27" s="51">
        <v>1404</v>
      </c>
      <c r="K27" s="52">
        <v>0.54333333333333333</v>
      </c>
      <c r="L27" s="53" t="str">
        <f>IF(D27=0,CHAR(160),IF(AND(D27&gt;39999,D27&lt;100000),(F27+IF(D27&gt;40000,((D27-40000)/100*G27),0)+H27+IF(D27&gt;40000,(I27*(D27-40000)/100),0)),"ERROR"))</f>
        <v> </v>
      </c>
      <c r="M27" s="54">
        <f t="shared" si="2"/>
        <v>75</v>
      </c>
      <c r="N27" s="12"/>
      <c r="O27" s="12"/>
      <c r="P27" s="12"/>
      <c r="Q27" s="12"/>
      <c r="R27" s="12"/>
      <c r="S27" s="12"/>
      <c r="T27" s="12"/>
      <c r="U27" s="12"/>
      <c r="V27" s="12"/>
    </row>
    <row r="28" spans="1:22" hidden="1">
      <c r="A28" s="12" t="str">
        <f t="shared" si="4"/>
        <v> </v>
      </c>
      <c r="B28" s="47">
        <v>0</v>
      </c>
      <c r="C28" s="48">
        <v>0</v>
      </c>
      <c r="D28" s="49">
        <f t="shared" si="0"/>
        <v>0</v>
      </c>
      <c r="E28" s="50" t="s">
        <v>80</v>
      </c>
      <c r="F28" s="65">
        <v>1190</v>
      </c>
      <c r="G28" s="66">
        <v>0.28999999999999998</v>
      </c>
      <c r="H28" s="65">
        <v>540</v>
      </c>
      <c r="I28" s="66">
        <v>0.18</v>
      </c>
      <c r="J28" s="51">
        <v>1730</v>
      </c>
      <c r="K28" s="52">
        <v>0.47</v>
      </c>
      <c r="L28" s="53" t="str">
        <f>IF(D28=0,CHAR(160),IF(AND(D28&gt;99999,D28&lt;200000),(F28+IF(D28&gt;100000,((D28-100000)/100*G28),0)+H28+IF(D28&gt;37500,(I28*(D28-100000)/100),0)),"ERROR"))</f>
        <v> </v>
      </c>
      <c r="M28" s="54">
        <f t="shared" si="2"/>
        <v>75</v>
      </c>
      <c r="N28" s="12"/>
      <c r="O28" s="12"/>
      <c r="P28" s="12"/>
      <c r="Q28" s="12"/>
      <c r="R28" s="12"/>
      <c r="S28" s="12"/>
      <c r="T28" s="12"/>
      <c r="U28" s="12"/>
      <c r="V28" s="12"/>
    </row>
    <row r="29" spans="1:22" hidden="1">
      <c r="A29" s="12" t="str">
        <f t="shared" si="4"/>
        <v> </v>
      </c>
      <c r="B29" s="55">
        <v>0</v>
      </c>
      <c r="C29" s="56">
        <v>0</v>
      </c>
      <c r="D29" s="49">
        <f t="shared" si="0"/>
        <v>0</v>
      </c>
      <c r="E29" s="57" t="s">
        <v>81</v>
      </c>
      <c r="F29" s="70">
        <v>1480</v>
      </c>
      <c r="G29" s="71">
        <v>0.74</v>
      </c>
      <c r="H29" s="70">
        <v>720</v>
      </c>
      <c r="I29" s="71">
        <v>0.36</v>
      </c>
      <c r="J29" s="58">
        <v>2200</v>
      </c>
      <c r="K29" s="59">
        <v>1.1000000000000001</v>
      </c>
      <c r="L29" s="72" t="str">
        <f>IF(D29=0,CHAR(160),IF(D29&gt;=200000,(F29+IF(D29&gt;200000,((D29-200000)/100*G29),0)+H29+IF(D29&gt;200000,(I29*(D29-200000)/100),0)),"ERROR"))</f>
        <v> </v>
      </c>
      <c r="M29" s="60">
        <f t="shared" si="2"/>
        <v>75</v>
      </c>
      <c r="N29" s="61">
        <f>SUMIFS(L24:L29,A24:A29,"=A-3",L24:L29,"&gt;0")</f>
        <v>0</v>
      </c>
      <c r="O29" s="61"/>
      <c r="P29" s="12"/>
      <c r="Q29" s="12"/>
      <c r="R29" s="12"/>
      <c r="S29" s="12"/>
      <c r="T29" s="12"/>
      <c r="U29" s="12"/>
      <c r="V29" s="12"/>
    </row>
    <row r="30" spans="1:22" hidden="1">
      <c r="A30" s="12" t="str">
        <f>IF($B$268=15,"A-4",CHAR(160))</f>
        <v> </v>
      </c>
      <c r="B30" s="62" t="s">
        <v>97</v>
      </c>
      <c r="C30" s="63">
        <v>0</v>
      </c>
      <c r="D30" s="49">
        <f t="shared" si="0"/>
        <v>0</v>
      </c>
      <c r="E30" s="64" t="s">
        <v>82</v>
      </c>
      <c r="F30" s="65">
        <v>496.65</v>
      </c>
      <c r="G30" s="66">
        <v>-2.5000000000015158E-3</v>
      </c>
      <c r="H30" s="65">
        <v>152.25</v>
      </c>
      <c r="I30" s="66">
        <v>0.76249999999999996</v>
      </c>
      <c r="J30" s="65">
        <v>648.9</v>
      </c>
      <c r="K30" s="66">
        <v>0.75999999999999845</v>
      </c>
      <c r="L30" s="67" t="str">
        <f>(IF(D30&lt;=7499,(IF(D30&lt;=0,CHAR(160),(F30+IF(D30&gt;1500,((D30-1500)/100*G30),0)+H30+IF(D30&gt;1500,(I30*(D30-1500)/100),0)))),"ERROR"))</f>
        <v> </v>
      </c>
      <c r="M30" s="68">
        <f t="shared" si="2"/>
        <v>75</v>
      </c>
      <c r="N30" s="12"/>
      <c r="O30" s="12"/>
      <c r="P30" s="12"/>
      <c r="Q30" s="12"/>
      <c r="R30" s="12"/>
      <c r="S30" s="12"/>
      <c r="T30" s="12"/>
      <c r="U30" s="12"/>
      <c r="V30" s="12"/>
    </row>
    <row r="31" spans="1:22" hidden="1">
      <c r="A31" s="12" t="str">
        <f t="shared" ref="A31:A35" si="5">IF($B$268=15,"A-4",CHAR(160))</f>
        <v> </v>
      </c>
      <c r="B31" s="47" t="s">
        <v>4</v>
      </c>
      <c r="C31" s="48">
        <v>0</v>
      </c>
      <c r="D31" s="49">
        <f t="shared" si="0"/>
        <v>0</v>
      </c>
      <c r="E31" s="50" t="s">
        <v>74</v>
      </c>
      <c r="F31" s="65">
        <v>496.5</v>
      </c>
      <c r="G31" s="66">
        <v>0</v>
      </c>
      <c r="H31" s="65">
        <v>198</v>
      </c>
      <c r="I31" s="66">
        <v>0.3</v>
      </c>
      <c r="J31" s="51">
        <v>694.5</v>
      </c>
      <c r="K31" s="52">
        <v>0.3</v>
      </c>
      <c r="L31" s="53" t="str">
        <f>IF(D31=0,CHAR(160),IF(AND(D31&gt;7499,D31&lt;15000),(F31+IF(D31&gt;7500,((D31-7500)/100*G31),0)+H31+IF(D31&gt;7500,(I31*(D31-7500)/100),0)),"ERROR"))</f>
        <v> </v>
      </c>
      <c r="M31" s="54">
        <f t="shared" si="2"/>
        <v>75</v>
      </c>
      <c r="N31" s="12"/>
      <c r="O31" s="12"/>
      <c r="P31" s="12"/>
      <c r="Q31" s="12"/>
      <c r="R31" s="12"/>
      <c r="S31" s="12"/>
      <c r="T31" s="12"/>
      <c r="U31" s="12"/>
      <c r="V31" s="12"/>
    </row>
    <row r="32" spans="1:22" hidden="1">
      <c r="A32" s="12" t="str">
        <f t="shared" si="5"/>
        <v> </v>
      </c>
      <c r="B32" s="47">
        <v>0</v>
      </c>
      <c r="C32" s="48">
        <v>0</v>
      </c>
      <c r="D32" s="49">
        <f t="shared" si="0"/>
        <v>0</v>
      </c>
      <c r="E32" s="50" t="s">
        <v>62</v>
      </c>
      <c r="F32" s="65">
        <v>496.5</v>
      </c>
      <c r="G32" s="66">
        <v>3.65</v>
      </c>
      <c r="H32" s="65">
        <v>220.5</v>
      </c>
      <c r="I32" s="66">
        <v>0.51</v>
      </c>
      <c r="J32" s="51">
        <v>717</v>
      </c>
      <c r="K32" s="52">
        <v>4.16</v>
      </c>
      <c r="L32" s="53" t="str">
        <f>IF(D32=0,CHAR(160),IF(AND(D32&gt;14999,D32&lt;30000),(F32+IF(D32&gt;15000,((D32-15000)/100*G32),0)+H32+IF(D32&gt;15000,(I32*(D32-15000)/100),0)),"ERROR"))</f>
        <v> </v>
      </c>
      <c r="M32" s="54">
        <f t="shared" si="2"/>
        <v>75</v>
      </c>
      <c r="N32" s="12"/>
      <c r="O32" s="12"/>
      <c r="P32" s="12"/>
      <c r="Q32" s="12"/>
      <c r="R32" s="12"/>
      <c r="S32" s="12"/>
      <c r="T32" s="12"/>
      <c r="U32" s="12"/>
      <c r="V32" s="12"/>
    </row>
    <row r="33" spans="1:22" hidden="1">
      <c r="A33" s="12" t="str">
        <f t="shared" si="5"/>
        <v> </v>
      </c>
      <c r="B33" s="47">
        <v>0</v>
      </c>
      <c r="C33" s="48">
        <v>0</v>
      </c>
      <c r="D33" s="49">
        <f t="shared" si="0"/>
        <v>0</v>
      </c>
      <c r="E33" s="50" t="s">
        <v>83</v>
      </c>
      <c r="F33" s="65">
        <v>1044</v>
      </c>
      <c r="G33" s="66">
        <v>0.33</v>
      </c>
      <c r="H33" s="65">
        <v>297</v>
      </c>
      <c r="I33" s="66">
        <v>0.32333333333333331</v>
      </c>
      <c r="J33" s="51">
        <v>1341</v>
      </c>
      <c r="K33" s="52">
        <v>0.65333333333333332</v>
      </c>
      <c r="L33" s="53" t="str">
        <f>IF(D33=0,CHAR(160),IF(AND(D33&gt;29999,D33&lt;75000),(F33+IF(D33&gt;30000,((D33-30000)/100*G33),0)+H33+IF(D33&gt;30000,(I33*(D33-30000)/100),0)),"ERROR"))</f>
        <v> </v>
      </c>
      <c r="M33" s="54">
        <f t="shared" si="2"/>
        <v>75</v>
      </c>
      <c r="N33" s="12"/>
      <c r="O33" s="12"/>
      <c r="P33" s="12"/>
      <c r="Q33" s="12"/>
      <c r="R33" s="12"/>
      <c r="S33" s="12"/>
      <c r="T33" s="12"/>
      <c r="U33" s="12"/>
      <c r="V33" s="12"/>
    </row>
    <row r="34" spans="1:22" hidden="1">
      <c r="A34" s="12" t="str">
        <f t="shared" si="5"/>
        <v> </v>
      </c>
      <c r="B34" s="47">
        <v>0</v>
      </c>
      <c r="C34" s="48">
        <v>0</v>
      </c>
      <c r="D34" s="49">
        <f t="shared" si="0"/>
        <v>0</v>
      </c>
      <c r="E34" s="50" t="s">
        <v>85</v>
      </c>
      <c r="F34" s="65">
        <v>1192.5</v>
      </c>
      <c r="G34" s="66">
        <v>0.39</v>
      </c>
      <c r="H34" s="65">
        <v>442.5</v>
      </c>
      <c r="I34" s="66">
        <v>0.21</v>
      </c>
      <c r="J34" s="51">
        <v>1635</v>
      </c>
      <c r="K34" s="52">
        <v>0.6</v>
      </c>
      <c r="L34" s="53" t="str">
        <f>IF(D34=0,CHAR(160),IF(AND(D34&gt;74999,D34&lt;149999),(F34+IF(D34&gt;75000,((D34-75000)/100*G34),0)+H34+IF(D34&gt;75000,(I34*(D34-75000)/100),0)),"ERROR"))</f>
        <v> </v>
      </c>
      <c r="M34" s="54">
        <f t="shared" si="2"/>
        <v>75</v>
      </c>
      <c r="N34" s="12"/>
      <c r="O34" s="12"/>
      <c r="P34" s="12"/>
      <c r="Q34" s="12"/>
      <c r="R34" s="12"/>
      <c r="S34" s="12"/>
      <c r="T34" s="12"/>
      <c r="U34" s="12"/>
      <c r="V34" s="12"/>
    </row>
    <row r="35" spans="1:22" hidden="1">
      <c r="A35" s="12" t="str">
        <f t="shared" si="5"/>
        <v> </v>
      </c>
      <c r="B35" s="55">
        <v>0</v>
      </c>
      <c r="C35" s="56">
        <v>0</v>
      </c>
      <c r="D35" s="49">
        <f t="shared" si="0"/>
        <v>0</v>
      </c>
      <c r="E35" s="57" t="s">
        <v>84</v>
      </c>
      <c r="F35" s="70">
        <v>1485</v>
      </c>
      <c r="G35" s="71">
        <v>0.99</v>
      </c>
      <c r="H35" s="70">
        <v>600</v>
      </c>
      <c r="I35" s="71">
        <v>0.4</v>
      </c>
      <c r="J35" s="58">
        <v>2085</v>
      </c>
      <c r="K35" s="59">
        <v>1.39</v>
      </c>
      <c r="L35" s="72" t="str">
        <f>IF(D35=0,CHAR(160),IF(D35&gt;=150000,(F35+IF(D35&gt;150000,((D35-150000)/100*G35),0)+H35+IF(D35&gt;150000,(I35*(D35-150000)/100),0)),"ERROR"))</f>
        <v> </v>
      </c>
      <c r="M35" s="60">
        <f t="shared" si="2"/>
        <v>75</v>
      </c>
      <c r="N35" s="61">
        <f>SUMIFS(L30:L35,A30:A35,"=A-4",L30:L35,"&gt;0")</f>
        <v>0</v>
      </c>
      <c r="O35" s="61"/>
      <c r="P35" s="12"/>
      <c r="Q35" s="12"/>
      <c r="R35" s="12"/>
      <c r="S35" s="12"/>
      <c r="T35" s="12"/>
      <c r="U35" s="12"/>
      <c r="V35" s="12"/>
    </row>
    <row r="36" spans="1:22" hidden="1">
      <c r="A36" s="12" t="str">
        <f>IF($B$268=16,"A-5",CHAR(160))</f>
        <v> </v>
      </c>
      <c r="B36" s="62" t="s">
        <v>96</v>
      </c>
      <c r="C36" s="63">
        <v>0</v>
      </c>
      <c r="D36" s="49">
        <f t="shared" si="0"/>
        <v>0</v>
      </c>
      <c r="E36" s="64" t="s">
        <v>86</v>
      </c>
      <c r="F36" s="65">
        <v>496.5</v>
      </c>
      <c r="G36" s="66">
        <v>-4.9999999999998102E-3</v>
      </c>
      <c r="H36" s="65">
        <v>213.75</v>
      </c>
      <c r="I36" s="66">
        <v>0.21249999999999999</v>
      </c>
      <c r="J36" s="65">
        <v>710.25</v>
      </c>
      <c r="K36" s="66">
        <v>0.20749999999999999</v>
      </c>
      <c r="L36" s="67" t="str">
        <f>(IF(D36&lt;=37499,(IF(D36&lt;=0,CHAR(160),(F36+IF(D36&gt;7500,((D36-7500)/100*G36),0)+H36+IF(D36&gt;7500,(I36*(D36-7500)/100),0)))),0))</f>
        <v> </v>
      </c>
      <c r="M36" s="68">
        <f t="shared" si="2"/>
        <v>75</v>
      </c>
      <c r="N36" s="12"/>
      <c r="O36" s="12"/>
      <c r="P36" s="12"/>
      <c r="Q36" s="12"/>
      <c r="R36" s="12"/>
      <c r="S36" s="12"/>
      <c r="T36" s="12"/>
      <c r="U36" s="12"/>
      <c r="V36" s="12"/>
    </row>
    <row r="37" spans="1:22" hidden="1">
      <c r="A37" s="12" t="str">
        <f t="shared" ref="A37:A41" si="6">IF($B$268=16,"A-5",CHAR(160))</f>
        <v> </v>
      </c>
      <c r="B37" s="47" t="s">
        <v>5</v>
      </c>
      <c r="C37" s="48">
        <v>0</v>
      </c>
      <c r="D37" s="49">
        <f t="shared" si="0"/>
        <v>0</v>
      </c>
      <c r="E37" s="50" t="s">
        <v>71</v>
      </c>
      <c r="F37" s="65">
        <v>495</v>
      </c>
      <c r="G37" s="66">
        <v>0</v>
      </c>
      <c r="H37" s="65">
        <v>277.5</v>
      </c>
      <c r="I37" s="66">
        <v>0.08</v>
      </c>
      <c r="J37" s="51">
        <v>772.5</v>
      </c>
      <c r="K37" s="52">
        <v>0.08</v>
      </c>
      <c r="L37" s="53" t="str">
        <f>IF(D37=0,CHAR(160),IF(AND(D37&gt;37499,D37&lt;75000),(F37+IF(D37&gt;37500,((D37-37500)/100*G37),0)+H37+IF(D37&gt;37500,(I37*(D37-37500)/100),0)),"ERROR"))</f>
        <v> </v>
      </c>
      <c r="M37" s="54">
        <f t="shared" si="2"/>
        <v>75</v>
      </c>
      <c r="N37" s="12"/>
      <c r="O37" s="12"/>
      <c r="P37" s="12"/>
      <c r="Q37" s="12"/>
      <c r="R37" s="12"/>
      <c r="S37" s="12"/>
      <c r="T37" s="12"/>
      <c r="U37" s="12"/>
      <c r="V37" s="12"/>
    </row>
    <row r="38" spans="1:22" hidden="1">
      <c r="A38" s="12" t="str">
        <f t="shared" si="6"/>
        <v> </v>
      </c>
      <c r="B38" s="47">
        <v>0</v>
      </c>
      <c r="C38" s="48">
        <v>0</v>
      </c>
      <c r="D38" s="49">
        <f t="shared" si="0"/>
        <v>0</v>
      </c>
      <c r="E38" s="50" t="s">
        <v>85</v>
      </c>
      <c r="F38" s="65">
        <v>495</v>
      </c>
      <c r="G38" s="66">
        <v>0.74</v>
      </c>
      <c r="H38" s="65">
        <v>307.5</v>
      </c>
      <c r="I38" s="66">
        <v>0.15</v>
      </c>
      <c r="J38" s="51">
        <v>802.5</v>
      </c>
      <c r="K38" s="52">
        <v>0.89</v>
      </c>
      <c r="L38" s="53" t="str">
        <f>IF(D38=0,CHAR(160),IF(AND(D38&gt;74999,D38&lt;150000),(F38+IF(D38&gt;75000,((D38-75000)/100*G38),0)+H38+IF(D38&gt;75000,(I38*(D38-75000)/100),0)),"ERROR"))</f>
        <v> </v>
      </c>
      <c r="M38" s="54">
        <f t="shared" si="2"/>
        <v>75</v>
      </c>
      <c r="N38" s="12"/>
      <c r="O38" s="12"/>
      <c r="P38" s="12"/>
      <c r="Q38" s="12"/>
      <c r="R38" s="12"/>
      <c r="S38" s="12"/>
      <c r="T38" s="12"/>
      <c r="U38" s="12"/>
      <c r="V38" s="12"/>
    </row>
    <row r="39" spans="1:22" hidden="1">
      <c r="A39" s="12" t="str">
        <f t="shared" si="6"/>
        <v> </v>
      </c>
      <c r="B39" s="47">
        <v>0</v>
      </c>
      <c r="C39" s="48">
        <v>0</v>
      </c>
      <c r="D39" s="49">
        <f t="shared" si="0"/>
        <v>0</v>
      </c>
      <c r="E39" s="50" t="s">
        <v>87</v>
      </c>
      <c r="F39" s="65">
        <v>1050</v>
      </c>
      <c r="G39" s="66">
        <v>6.6666666666666666E-2</v>
      </c>
      <c r="H39" s="65">
        <v>420</v>
      </c>
      <c r="I39" s="66">
        <v>9.6666666666666665E-2</v>
      </c>
      <c r="J39" s="51">
        <v>1470</v>
      </c>
      <c r="K39" s="52">
        <v>0.16333333333333333</v>
      </c>
      <c r="L39" s="53" t="str">
        <f>IF(D39=0,CHAR(160),IF(AND(D39&gt;149999,D39&lt;375000),(F39+IF(D39&gt;150000,((D39-150000)/100*G39),0)+H39+IF(D39&gt;150000,(I39*(D39-150000)/100),0)),"ERROR"))</f>
        <v> </v>
      </c>
      <c r="M39" s="54">
        <f t="shared" si="2"/>
        <v>75</v>
      </c>
      <c r="N39" s="12"/>
      <c r="O39" s="12"/>
      <c r="P39" s="12"/>
      <c r="Q39" s="12"/>
      <c r="R39" s="12"/>
      <c r="S39" s="12"/>
      <c r="T39" s="12"/>
      <c r="U39" s="12"/>
      <c r="V39" s="12"/>
    </row>
    <row r="40" spans="1:22" hidden="1">
      <c r="A40" s="12" t="str">
        <f t="shared" si="6"/>
        <v> </v>
      </c>
      <c r="B40" s="47">
        <v>0</v>
      </c>
      <c r="C40" s="48">
        <v>0</v>
      </c>
      <c r="D40" s="49">
        <f t="shared" si="0"/>
        <v>0</v>
      </c>
      <c r="E40" s="50" t="s">
        <v>88</v>
      </c>
      <c r="F40" s="65">
        <v>1200</v>
      </c>
      <c r="G40" s="66">
        <v>0.08</v>
      </c>
      <c r="H40" s="65">
        <v>637.5</v>
      </c>
      <c r="I40" s="66">
        <v>0.05</v>
      </c>
      <c r="J40" s="51">
        <v>1837.5</v>
      </c>
      <c r="K40" s="52">
        <v>0.13</v>
      </c>
      <c r="L40" s="53" t="str">
        <f>IF(D40=0,CHAR(160),IF(AND(D40&gt;374999,D40&lt;750000),(F40+IF(D40&gt;375000,((D40-375000)/100*G40),0)+H40+IF(D40&gt;375000,(I40*(D40-375000)/100),0)),"ERROR"))</f>
        <v> </v>
      </c>
      <c r="M40" s="54">
        <f t="shared" si="2"/>
        <v>75</v>
      </c>
      <c r="N40" s="12"/>
      <c r="O40" s="12"/>
      <c r="P40" s="12"/>
      <c r="Q40" s="12"/>
      <c r="R40" s="12"/>
      <c r="S40" s="12"/>
      <c r="T40" s="12"/>
      <c r="U40" s="12"/>
      <c r="V40" s="12"/>
    </row>
    <row r="41" spans="1:22" hidden="1">
      <c r="A41" s="12" t="str">
        <f t="shared" si="6"/>
        <v> </v>
      </c>
      <c r="B41" s="55">
        <v>0</v>
      </c>
      <c r="C41" s="56">
        <v>0</v>
      </c>
      <c r="D41" s="49">
        <f t="shared" si="0"/>
        <v>0</v>
      </c>
      <c r="E41" s="57" t="s">
        <v>89</v>
      </c>
      <c r="F41" s="70">
        <v>1500</v>
      </c>
      <c r="G41" s="71">
        <v>0.2</v>
      </c>
      <c r="H41" s="70">
        <v>825</v>
      </c>
      <c r="I41" s="71">
        <v>0.11</v>
      </c>
      <c r="J41" s="58">
        <v>2325</v>
      </c>
      <c r="K41" s="59">
        <v>0.31</v>
      </c>
      <c r="L41" s="72" t="str">
        <f>IF(D41=0,CHAR(160),IF(D41&gt;=750000,(F41+IF(D41&gt;750000,((D41-750000)/100*G41),0)+H41+IF(D41&gt;750000,(I41*(D41-750000)/100),0)),"ERROR"))</f>
        <v> </v>
      </c>
      <c r="M41" s="60">
        <f t="shared" si="2"/>
        <v>75</v>
      </c>
      <c r="N41" s="61">
        <f>SUMIFS(L36:L41,A36:A41,"=A-5",L36:L41,"&gt;0")</f>
        <v>0</v>
      </c>
      <c r="O41" s="61"/>
      <c r="P41" s="12"/>
      <c r="Q41" s="12"/>
      <c r="R41" s="12"/>
      <c r="S41" s="12"/>
      <c r="T41" s="12"/>
      <c r="U41" s="12"/>
      <c r="V41" s="12"/>
    </row>
    <row r="42" spans="1:22" hidden="1">
      <c r="A42" s="12" t="str">
        <f>IF($B$268=2,"A-TI",CHAR(160))</f>
        <v> </v>
      </c>
      <c r="B42" s="62" t="s">
        <v>6</v>
      </c>
      <c r="C42" s="63">
        <v>0</v>
      </c>
      <c r="D42" s="49">
        <f t="shared" si="0"/>
        <v>0</v>
      </c>
      <c r="E42" s="64" t="s">
        <v>90</v>
      </c>
      <c r="F42" s="65">
        <v>206.9</v>
      </c>
      <c r="G42" s="66">
        <v>4.9999999999997156E-3</v>
      </c>
      <c r="H42" s="65">
        <v>61.85</v>
      </c>
      <c r="I42" s="66">
        <v>0.9325</v>
      </c>
      <c r="J42" s="65">
        <v>268.75</v>
      </c>
      <c r="K42" s="66">
        <v>0.9375</v>
      </c>
      <c r="L42" s="67">
        <f>(IF(D42&lt;=2499,(IF(D42&lt;=0,0,(F42+IF(D42&gt;500,((D42-500)/100*G42),0)+H42+IF(D42&gt;500,(I42*(D42-500)/100),0)))),0))</f>
        <v>0</v>
      </c>
      <c r="M42" s="68">
        <f t="shared" si="2"/>
        <v>75</v>
      </c>
      <c r="N42" s="12"/>
      <c r="O42" s="12"/>
      <c r="P42" s="12"/>
      <c r="Q42" s="12"/>
      <c r="R42" s="12"/>
      <c r="S42" s="12"/>
      <c r="T42" s="12"/>
      <c r="U42" s="12"/>
      <c r="V42" s="12"/>
    </row>
    <row r="43" spans="1:22" hidden="1">
      <c r="A43" s="12" t="str">
        <f t="shared" ref="A43:A47" si="7">IF($B$268=2,"A-TI",CHAR(160))</f>
        <v> </v>
      </c>
      <c r="B43" s="47">
        <v>0</v>
      </c>
      <c r="C43" s="48">
        <v>0</v>
      </c>
      <c r="D43" s="49">
        <f t="shared" si="0"/>
        <v>0</v>
      </c>
      <c r="E43" s="50" t="s">
        <v>91</v>
      </c>
      <c r="F43" s="65">
        <v>207</v>
      </c>
      <c r="G43" s="66">
        <v>0</v>
      </c>
      <c r="H43" s="65">
        <v>80.5</v>
      </c>
      <c r="I43" s="66">
        <v>0.36</v>
      </c>
      <c r="J43" s="51">
        <v>287.5</v>
      </c>
      <c r="K43" s="52">
        <v>0.36</v>
      </c>
      <c r="L43" s="53">
        <f>IF(D43=0,0,IF(AND(D43&gt;2499,D43&lt;5000),(F43+IF(D43&gt;2500,((D43-2500)/100*G43),0)+H43+IF(D43&gt;2500,(I43*(D43-2500)/100),0)),0))</f>
        <v>0</v>
      </c>
      <c r="M43" s="54">
        <f t="shared" si="2"/>
        <v>75</v>
      </c>
      <c r="N43" s="12"/>
      <c r="O43" s="12"/>
      <c r="P43" s="12"/>
      <c r="Q43" s="12"/>
      <c r="R43" s="12"/>
      <c r="S43" s="12"/>
      <c r="T43" s="12"/>
      <c r="U43" s="12"/>
      <c r="V43" s="12"/>
    </row>
    <row r="44" spans="1:22" hidden="1">
      <c r="A44" s="12" t="str">
        <f t="shared" si="7"/>
        <v> </v>
      </c>
      <c r="B44" s="47">
        <v>0</v>
      </c>
      <c r="C44" s="48">
        <v>0</v>
      </c>
      <c r="D44" s="49">
        <f t="shared" si="0"/>
        <v>0</v>
      </c>
      <c r="E44" s="50" t="s">
        <v>92</v>
      </c>
      <c r="F44" s="65">
        <v>207</v>
      </c>
      <c r="G44" s="66">
        <v>4.5599999999999996</v>
      </c>
      <c r="H44" s="65">
        <v>89.5</v>
      </c>
      <c r="I44" s="66">
        <v>0.63</v>
      </c>
      <c r="J44" s="51">
        <v>296.5</v>
      </c>
      <c r="K44" s="52">
        <v>5.19</v>
      </c>
      <c r="L44" s="53" t="str">
        <f>IF(D44=0,CHAR(160),IF(AND(D44&gt;4999,D44&lt;10000),(F44+IF(D44&gt;5000,((D44-5000)/100*G44),0)+H44+IF(D44&gt;5000,(I44*(D44-5000)/100),0)),0))</f>
        <v> </v>
      </c>
      <c r="M44" s="54">
        <f t="shared" si="2"/>
        <v>75</v>
      </c>
      <c r="N44" s="12"/>
      <c r="O44" s="12"/>
      <c r="P44" s="12"/>
      <c r="Q44" s="12"/>
      <c r="R44" s="12"/>
      <c r="S44" s="12"/>
      <c r="T44" s="12"/>
      <c r="U44" s="12"/>
      <c r="V44" s="12"/>
    </row>
    <row r="45" spans="1:22" hidden="1">
      <c r="A45" s="12" t="str">
        <f t="shared" si="7"/>
        <v> </v>
      </c>
      <c r="B45" s="47">
        <v>0</v>
      </c>
      <c r="C45" s="48">
        <v>0</v>
      </c>
      <c r="D45" s="49">
        <f t="shared" si="0"/>
        <v>0</v>
      </c>
      <c r="E45" s="50" t="s">
        <v>93</v>
      </c>
      <c r="F45" s="65">
        <v>435</v>
      </c>
      <c r="G45" s="66">
        <v>0.41666666666666702</v>
      </c>
      <c r="H45" s="65">
        <v>121</v>
      </c>
      <c r="I45" s="66">
        <v>0.39333333333333331</v>
      </c>
      <c r="J45" s="51">
        <v>556</v>
      </c>
      <c r="K45" s="52">
        <v>0.81</v>
      </c>
      <c r="L45" s="53" t="str">
        <f>IF(D45=0,CHAR(160),IF(AND(D45&gt;9999,D45&lt;25000),(F45+IF(D45&gt;10000,((D45-10000)/100*G45),0)+H45+IF(D45&gt;10000,(I45*(D45-10000)/100),0)),0))</f>
        <v> </v>
      </c>
      <c r="M45" s="54">
        <f t="shared" si="2"/>
        <v>75</v>
      </c>
      <c r="N45" s="12"/>
      <c r="O45" s="12"/>
      <c r="P45" s="12"/>
      <c r="Q45" s="12"/>
      <c r="R45" s="12"/>
      <c r="S45" s="12"/>
      <c r="T45" s="12"/>
      <c r="U45" s="12"/>
      <c r="V45" s="12"/>
    </row>
    <row r="46" spans="1:22" hidden="1">
      <c r="A46" s="12" t="str">
        <f t="shared" si="7"/>
        <v> </v>
      </c>
      <c r="B46" s="47">
        <v>0</v>
      </c>
      <c r="C46" s="48">
        <v>0</v>
      </c>
      <c r="D46" s="49">
        <f t="shared" si="0"/>
        <v>0</v>
      </c>
      <c r="E46" s="50" t="s">
        <v>94</v>
      </c>
      <c r="F46" s="65">
        <v>497.5</v>
      </c>
      <c r="G46" s="66">
        <v>0.49</v>
      </c>
      <c r="H46" s="65">
        <v>180</v>
      </c>
      <c r="I46" s="66">
        <v>0.24</v>
      </c>
      <c r="J46" s="51">
        <v>677.5</v>
      </c>
      <c r="K46" s="52">
        <v>0.73</v>
      </c>
      <c r="L46" s="53" t="str">
        <f>IF(D46=0,CHAR(160),IF(AND(D46&gt;24999,D46&lt;50000),(F46+IF(D46&gt;25000,((D46-25000)/100*G46),0)+H46+IF(D46&gt;25000,(I46*(D46-25000)/100),0)),0))</f>
        <v> </v>
      </c>
      <c r="M46" s="54">
        <f t="shared" si="2"/>
        <v>75</v>
      </c>
      <c r="N46" s="12"/>
      <c r="O46" s="12"/>
      <c r="P46" s="12"/>
      <c r="Q46" s="12"/>
      <c r="R46" s="12"/>
      <c r="S46" s="12"/>
      <c r="T46" s="12"/>
      <c r="U46" s="12"/>
      <c r="V46" s="12"/>
    </row>
    <row r="47" spans="1:22" hidden="1">
      <c r="A47" s="12" t="str">
        <f t="shared" si="7"/>
        <v> </v>
      </c>
      <c r="B47" s="55">
        <v>0</v>
      </c>
      <c r="C47" s="69">
        <v>0</v>
      </c>
      <c r="D47" s="49">
        <f t="shared" si="0"/>
        <v>0</v>
      </c>
      <c r="E47" s="57" t="s">
        <v>95</v>
      </c>
      <c r="F47" s="70">
        <v>620</v>
      </c>
      <c r="G47" s="71">
        <v>1.24</v>
      </c>
      <c r="H47" s="70">
        <v>240</v>
      </c>
      <c r="I47" s="71">
        <v>0.48</v>
      </c>
      <c r="J47" s="58">
        <v>860</v>
      </c>
      <c r="K47" s="59">
        <v>1.72</v>
      </c>
      <c r="L47" s="72" t="str">
        <f>IF(D47=0,CHAR(160),IF(D47&gt;=50000,(F47+IF(D47&gt;50000,((D47-50000)/100*G47),0)+H47+IF(D47&gt;50000,(I47*(D47-50000)/100),0)),0))</f>
        <v> </v>
      </c>
      <c r="M47" s="73">
        <f t="shared" si="2"/>
        <v>75</v>
      </c>
      <c r="N47" s="61">
        <f>SUMIFS(L12:L47,A12:A47,"=A-ti",L12:L47,"&gt;0")</f>
        <v>0</v>
      </c>
      <c r="O47" s="61"/>
      <c r="P47" s="12"/>
      <c r="Q47" s="12"/>
      <c r="R47" s="12"/>
      <c r="S47" s="12"/>
      <c r="T47" s="12"/>
      <c r="U47" s="12"/>
      <c r="V47" s="12"/>
    </row>
    <row r="48" spans="1:22" hidden="1">
      <c r="A48" s="74"/>
      <c r="B48" s="62" t="s">
        <v>7</v>
      </c>
      <c r="C48" s="63">
        <v>0</v>
      </c>
      <c r="D48" s="49">
        <f t="shared" si="0"/>
        <v>0</v>
      </c>
      <c r="E48" s="75" t="s">
        <v>104</v>
      </c>
      <c r="F48" s="76">
        <v>496.62</v>
      </c>
      <c r="G48" s="77">
        <v>2.5000000000024634E-3</v>
      </c>
      <c r="H48" s="76">
        <v>180.75</v>
      </c>
      <c r="I48" s="77">
        <v>4.5250000000000004</v>
      </c>
      <c r="J48" s="76">
        <v>677.37</v>
      </c>
      <c r="K48" s="77">
        <v>4.5274999999999999</v>
      </c>
      <c r="L48" s="67">
        <f>(IF(D48&lt;=1499,(IF(D48&lt;=0,0,(F48+IF(D48&gt;300,((D48-300)/100*G48),0)+H48+IF(D48&gt;300,(I48*(D48-300)/100),0)))),0))</f>
        <v>0</v>
      </c>
      <c r="M48" s="68">
        <f t="shared" si="2"/>
        <v>75</v>
      </c>
      <c r="N48" s="12"/>
      <c r="O48" s="12"/>
      <c r="P48" s="12"/>
      <c r="Q48" s="12"/>
      <c r="R48" s="12"/>
      <c r="S48" s="12"/>
      <c r="T48" s="12"/>
      <c r="U48" s="12"/>
      <c r="V48" s="12"/>
    </row>
    <row r="49" spans="1:22" hidden="1">
      <c r="A49" s="78">
        <f>A269</f>
        <v>0</v>
      </c>
      <c r="B49" s="47">
        <v>0</v>
      </c>
      <c r="C49" s="48">
        <v>0</v>
      </c>
      <c r="D49" s="49">
        <f t="shared" si="0"/>
        <v>0</v>
      </c>
      <c r="E49" s="79" t="s">
        <v>105</v>
      </c>
      <c r="F49" s="76">
        <v>496.65</v>
      </c>
      <c r="G49" s="77">
        <v>-1.0000000000002274E-2</v>
      </c>
      <c r="H49" s="76">
        <v>235.05</v>
      </c>
      <c r="I49" s="77">
        <v>1.81</v>
      </c>
      <c r="J49" s="80">
        <v>731.7</v>
      </c>
      <c r="K49" s="81">
        <v>1.8</v>
      </c>
      <c r="L49" s="53">
        <f>IF(D49=0,0,IF(AND(D49&gt;1499,D49&lt;3000),(F49+IF(D49&gt;1500,((D49-1500)/100*G49),0)+H49+IF(D49&gt;1500,(I49*(D49-1500)/100),0)),0))</f>
        <v>0</v>
      </c>
      <c r="M49" s="54">
        <f t="shared" si="2"/>
        <v>75</v>
      </c>
      <c r="N49" s="12"/>
      <c r="O49" s="12"/>
      <c r="P49" s="12"/>
      <c r="Q49" s="12"/>
      <c r="R49" s="12"/>
      <c r="S49" s="12"/>
      <c r="T49" s="12"/>
      <c r="U49" s="12"/>
      <c r="V49" s="12"/>
    </row>
    <row r="50" spans="1:22" hidden="1">
      <c r="A50" s="78">
        <v>0</v>
      </c>
      <c r="B50" s="47">
        <v>0</v>
      </c>
      <c r="C50" s="48">
        <v>0</v>
      </c>
      <c r="D50" s="49">
        <f t="shared" si="0"/>
        <v>0</v>
      </c>
      <c r="E50" s="79" t="s">
        <v>106</v>
      </c>
      <c r="F50" s="76">
        <v>496.5</v>
      </c>
      <c r="G50" s="77">
        <v>18.21</v>
      </c>
      <c r="H50" s="76">
        <v>262.2</v>
      </c>
      <c r="I50" s="77">
        <v>3</v>
      </c>
      <c r="J50" s="80">
        <v>758.7</v>
      </c>
      <c r="K50" s="81">
        <v>21.21</v>
      </c>
      <c r="L50" s="53" t="str">
        <f>IF(D50=0,CHAR(160),IF(AND(D50&gt;2999,D50&lt;6000),(F50+IF(D50&gt;3000,((D50-3000)/100*G50),0)+H50+IF(D50&gt;3000,(I50*(D50-3000)/100),0)),0))</f>
        <v> </v>
      </c>
      <c r="M50" s="54">
        <f t="shared" si="2"/>
        <v>75</v>
      </c>
      <c r="N50" s="12"/>
      <c r="O50" s="12"/>
      <c r="P50" s="12"/>
      <c r="Q50" s="12"/>
      <c r="R50" s="12"/>
      <c r="S50" s="12"/>
      <c r="T50" s="12"/>
      <c r="U50" s="12"/>
      <c r="V50" s="12"/>
    </row>
    <row r="51" spans="1:22" hidden="1">
      <c r="A51" s="78">
        <v>0</v>
      </c>
      <c r="B51" s="47">
        <v>0</v>
      </c>
      <c r="C51" s="48">
        <v>0</v>
      </c>
      <c r="D51" s="49">
        <f t="shared" si="0"/>
        <v>0</v>
      </c>
      <c r="E51" s="79">
        <v>6000</v>
      </c>
      <c r="F51" s="76">
        <v>1042.8</v>
      </c>
      <c r="G51" s="77">
        <v>1.6633333333333338</v>
      </c>
      <c r="H51" s="76">
        <v>352.2</v>
      </c>
      <c r="I51" s="77">
        <v>1.9033333333333335</v>
      </c>
      <c r="J51" s="80">
        <v>1395</v>
      </c>
      <c r="K51" s="81">
        <v>3.5666666666666673</v>
      </c>
      <c r="L51" s="53" t="str">
        <f>IF(D51=0,CHAR(160),IF(AND(D51&gt;9999,D51&lt;25000),(F51+IF(D51&gt;10000,((D51-10000)/100*G51),0)+H51+IF(D51&gt;10000,(I51*(D51-10000)/100),0)),0))</f>
        <v> </v>
      </c>
      <c r="M51" s="54">
        <f t="shared" si="2"/>
        <v>75</v>
      </c>
      <c r="N51" s="12"/>
      <c r="O51" s="12"/>
      <c r="P51" s="12"/>
      <c r="Q51" s="12"/>
      <c r="R51" s="12"/>
      <c r="S51" s="12"/>
      <c r="T51" s="12"/>
      <c r="U51" s="12"/>
      <c r="V51" s="12"/>
    </row>
    <row r="52" spans="1:22" hidden="1">
      <c r="A52" s="78">
        <v>0</v>
      </c>
      <c r="B52" s="47">
        <v>0</v>
      </c>
      <c r="C52" s="48">
        <v>0</v>
      </c>
      <c r="D52" s="49">
        <f t="shared" si="0"/>
        <v>0</v>
      </c>
      <c r="E52" s="79">
        <v>15000</v>
      </c>
      <c r="F52" s="76">
        <v>1192.5</v>
      </c>
      <c r="G52" s="77">
        <v>1.99</v>
      </c>
      <c r="H52" s="76">
        <v>523.5</v>
      </c>
      <c r="I52" s="77">
        <v>1.21</v>
      </c>
      <c r="J52" s="80">
        <v>1716</v>
      </c>
      <c r="K52" s="81">
        <v>3.2</v>
      </c>
      <c r="L52" s="53" t="str">
        <f>IF(D52=0,CHAR(160),IF(AND(D52&gt;24999,D52&lt;50000),(F52+IF(D52&gt;25000,((D52-25000)/100*G52),0)+H52+IF(D52&gt;25000,(I52*(D52-25000)/100),0)),0))</f>
        <v> </v>
      </c>
      <c r="M52" s="54">
        <f t="shared" si="2"/>
        <v>75</v>
      </c>
      <c r="N52" s="12"/>
      <c r="O52" s="12"/>
      <c r="P52" s="12"/>
      <c r="Q52" s="12"/>
      <c r="R52" s="12"/>
      <c r="S52" s="12"/>
      <c r="T52" s="12"/>
      <c r="U52" s="12"/>
      <c r="V52" s="12"/>
    </row>
    <row r="53" spans="1:22" hidden="1">
      <c r="A53" s="82">
        <v>0</v>
      </c>
      <c r="B53" s="55">
        <v>0</v>
      </c>
      <c r="C53" s="56">
        <v>0</v>
      </c>
      <c r="D53" s="49">
        <f t="shared" si="0"/>
        <v>0</v>
      </c>
      <c r="E53" s="83">
        <v>30000</v>
      </c>
      <c r="F53" s="76">
        <v>1491</v>
      </c>
      <c r="G53" s="77">
        <v>4.97</v>
      </c>
      <c r="H53" s="76">
        <v>705</v>
      </c>
      <c r="I53" s="77">
        <v>2.35</v>
      </c>
      <c r="J53" s="84">
        <v>2196</v>
      </c>
      <c r="K53" s="85">
        <v>7.32</v>
      </c>
      <c r="L53" s="72" t="str">
        <f>IF(D53=0,CHAR(160),IF(D53&gt;=50000,(F53+IF(D53&gt;50000,((D53-50000)/100*G53),0)+H53+IF(D53&gt;50000,(I53*(D53-50000)/100),0)),0))</f>
        <v> </v>
      </c>
      <c r="M53" s="60">
        <f t="shared" si="2"/>
        <v>75</v>
      </c>
      <c r="N53" s="61"/>
      <c r="O53" s="61"/>
      <c r="P53" s="12"/>
      <c r="Q53" s="12"/>
      <c r="R53" s="12"/>
      <c r="S53" s="12"/>
      <c r="T53" s="12"/>
      <c r="U53" s="12"/>
      <c r="V53" s="12"/>
    </row>
    <row r="54" spans="1:22" hidden="1">
      <c r="A54" s="12" t="str">
        <f>IF($B$268=17,"B",CHAR(160))</f>
        <v> </v>
      </c>
      <c r="B54" s="62" t="s">
        <v>8</v>
      </c>
      <c r="C54" s="63">
        <v>0</v>
      </c>
      <c r="D54" s="49">
        <f t="shared" si="0"/>
        <v>0</v>
      </c>
      <c r="E54" s="86" t="s">
        <v>107</v>
      </c>
      <c r="F54" s="76">
        <v>207</v>
      </c>
      <c r="G54" s="77">
        <v>0</v>
      </c>
      <c r="H54" s="76">
        <v>138</v>
      </c>
      <c r="I54" s="77">
        <v>0.51249999999999996</v>
      </c>
      <c r="J54" s="76">
        <v>345</v>
      </c>
      <c r="K54" s="77">
        <v>0.51249999999999996</v>
      </c>
      <c r="L54" s="67">
        <f>(IF(D54&lt;=9999,(IF(D54&lt;=0,0,(F54+IF(D54&gt;2000,((D54-2000)/100*G54),0)+H54+IF(D54&gt;2000,(I54*(D54-2000)/100),0)))),0))</f>
        <v>0</v>
      </c>
      <c r="M54" s="68">
        <f t="shared" si="2"/>
        <v>75</v>
      </c>
      <c r="N54" s="12"/>
      <c r="O54" s="12"/>
      <c r="P54" s="12"/>
      <c r="Q54" s="12"/>
      <c r="R54" s="12"/>
      <c r="S54" s="12"/>
      <c r="T54" s="12"/>
      <c r="U54" s="12"/>
      <c r="V54" s="12"/>
    </row>
    <row r="55" spans="1:22" hidden="1">
      <c r="A55" s="12" t="str">
        <f t="shared" ref="A55:A59" si="8">IF($B$268=17,"B",CHAR(160))</f>
        <v> </v>
      </c>
      <c r="B55" s="47">
        <v>0</v>
      </c>
      <c r="C55" s="48">
        <v>0</v>
      </c>
      <c r="D55" s="49">
        <f t="shared" si="0"/>
        <v>0</v>
      </c>
      <c r="E55" s="87" t="s">
        <v>108</v>
      </c>
      <c r="F55" s="76">
        <v>207</v>
      </c>
      <c r="G55" s="77">
        <v>-0.01</v>
      </c>
      <c r="H55" s="76">
        <v>179</v>
      </c>
      <c r="I55" s="77">
        <v>0.21</v>
      </c>
      <c r="J55" s="80">
        <v>386</v>
      </c>
      <c r="K55" s="81">
        <v>0.2</v>
      </c>
      <c r="L55" s="53">
        <f>IF(D55=0,0,IF(AND(D55&gt;9999,D55&lt;20000),(F55+IF(D55&gt;10000,((D55-10000)/100*G55),0)+H55+IF(D55&gt;10000,(I55*(D55-10000)/100),0)),0))</f>
        <v>0</v>
      </c>
      <c r="M55" s="54">
        <f t="shared" si="2"/>
        <v>75</v>
      </c>
      <c r="N55" s="12"/>
      <c r="O55" s="12"/>
      <c r="P55" s="12"/>
      <c r="Q55" s="12"/>
      <c r="R55" s="12"/>
      <c r="S55" s="12"/>
      <c r="T55" s="12"/>
      <c r="U55" s="12"/>
      <c r="V55" s="12"/>
    </row>
    <row r="56" spans="1:22" hidden="1">
      <c r="A56" s="12" t="str">
        <f t="shared" si="8"/>
        <v> </v>
      </c>
      <c r="B56" s="47">
        <v>0</v>
      </c>
      <c r="C56" s="48">
        <v>0</v>
      </c>
      <c r="D56" s="49">
        <f t="shared" si="0"/>
        <v>0</v>
      </c>
      <c r="E56" s="87" t="s">
        <v>78</v>
      </c>
      <c r="F56" s="76">
        <v>206</v>
      </c>
      <c r="G56" s="77">
        <v>1.1499999999999999</v>
      </c>
      <c r="H56" s="76">
        <v>200</v>
      </c>
      <c r="I56" s="77">
        <v>0.34</v>
      </c>
      <c r="J56" s="80">
        <v>406</v>
      </c>
      <c r="K56" s="81">
        <v>1.49</v>
      </c>
      <c r="L56" s="53" t="str">
        <f>IF(D56=0,CHAR(160),IF(AND(D56&gt;19999,D56&lt;40000),(F56+IF(D56&gt;20000,((D56-20000)/100*G56),0)+H56+IF(D56&gt;20000,(I56*(D56-20000)/100),0)),0))</f>
        <v> </v>
      </c>
      <c r="M56" s="54">
        <f t="shared" si="2"/>
        <v>75</v>
      </c>
      <c r="N56" s="12"/>
      <c r="O56" s="12"/>
      <c r="P56" s="12"/>
      <c r="Q56" s="12"/>
      <c r="R56" s="12"/>
      <c r="S56" s="12"/>
      <c r="T56" s="12"/>
      <c r="U56" s="12"/>
      <c r="V56" s="12"/>
    </row>
    <row r="57" spans="1:22" hidden="1">
      <c r="A57" s="12" t="str">
        <f t="shared" si="8"/>
        <v> </v>
      </c>
      <c r="B57" s="47">
        <v>0</v>
      </c>
      <c r="C57" s="48">
        <v>0</v>
      </c>
      <c r="D57" s="49">
        <f t="shared" si="0"/>
        <v>0</v>
      </c>
      <c r="E57" s="87" t="s">
        <v>79</v>
      </c>
      <c r="F57" s="76">
        <v>436</v>
      </c>
      <c r="G57" s="77">
        <v>0.10666666666666667</v>
      </c>
      <c r="H57" s="76">
        <v>268</v>
      </c>
      <c r="I57" s="77">
        <v>0.22</v>
      </c>
      <c r="J57" s="80">
        <v>704</v>
      </c>
      <c r="K57" s="81">
        <v>0.32666666666666666</v>
      </c>
      <c r="L57" s="53" t="str">
        <f>IF(D57=0,CHAR(160),IF(AND(D57&gt;39999,D57&lt;100000),(F57+IF(D57&gt;40000,((D57-40000)/100*G57),0)+H57+IF(D57&gt;40000,(I57*(D57-40000)/100),0)),0))</f>
        <v> </v>
      </c>
      <c r="M57" s="54">
        <f t="shared" si="2"/>
        <v>75</v>
      </c>
      <c r="N57" s="12"/>
      <c r="O57" s="12"/>
      <c r="P57" s="12"/>
      <c r="Q57" s="12"/>
      <c r="R57" s="12"/>
      <c r="S57" s="12"/>
      <c r="T57" s="12"/>
      <c r="U57" s="12"/>
      <c r="V57" s="12"/>
    </row>
    <row r="58" spans="1:22" hidden="1">
      <c r="A58" s="12" t="str">
        <f t="shared" si="8"/>
        <v> </v>
      </c>
      <c r="B58" s="47">
        <v>0</v>
      </c>
      <c r="C58" s="48">
        <v>0</v>
      </c>
      <c r="D58" s="49">
        <f t="shared" si="0"/>
        <v>0</v>
      </c>
      <c r="E58" s="87" t="s">
        <v>80</v>
      </c>
      <c r="F58" s="76">
        <v>500</v>
      </c>
      <c r="G58" s="77">
        <v>0.12</v>
      </c>
      <c r="H58" s="76">
        <v>400</v>
      </c>
      <c r="I58" s="77">
        <v>0.14000000000000001</v>
      </c>
      <c r="J58" s="80">
        <v>900</v>
      </c>
      <c r="K58" s="81">
        <v>0.26</v>
      </c>
      <c r="L58" s="53" t="str">
        <f>IF(D58=0,CHAR(160),IF(AND(D58&gt;99999,D58&lt;200000),(F58+IF(D58&gt;100000,((D58-100000)/100*G58),0)+H58+IF(D58&gt;100000,(I58*(D58-100000)/100),0)),0))</f>
        <v> </v>
      </c>
      <c r="M58" s="54">
        <f t="shared" si="2"/>
        <v>75</v>
      </c>
      <c r="N58" s="12"/>
      <c r="O58" s="12"/>
      <c r="P58" s="12"/>
      <c r="Q58" s="12"/>
      <c r="R58" s="12"/>
      <c r="S58" s="12"/>
      <c r="T58" s="12"/>
      <c r="U58" s="12"/>
      <c r="V58" s="12"/>
    </row>
    <row r="59" spans="1:22" hidden="1">
      <c r="A59" s="12" t="str">
        <f t="shared" si="8"/>
        <v> </v>
      </c>
      <c r="B59" s="55">
        <v>0</v>
      </c>
      <c r="C59" s="56">
        <v>0</v>
      </c>
      <c r="D59" s="49">
        <f t="shared" si="0"/>
        <v>0</v>
      </c>
      <c r="E59" s="88" t="s">
        <v>109</v>
      </c>
      <c r="F59" s="76">
        <v>620</v>
      </c>
      <c r="G59" s="77">
        <v>0.31</v>
      </c>
      <c r="H59" s="76">
        <v>540</v>
      </c>
      <c r="I59" s="77">
        <v>0.27</v>
      </c>
      <c r="J59" s="84">
        <v>1160</v>
      </c>
      <c r="K59" s="85">
        <v>0.57999999999999996</v>
      </c>
      <c r="L59" s="72" t="str">
        <f>IF(D59=0,CHAR(160),IF(D59&gt;=200000,(F59+IF(D59&gt;200000,((D59-200000)/100*G59),0)+H59+IF(D59&gt;200000,(I59*(D59-200000)/100),0)),0))</f>
        <v> </v>
      </c>
      <c r="M59" s="60">
        <f t="shared" si="2"/>
        <v>75</v>
      </c>
      <c r="N59" s="61">
        <f>SUMIFS(L54:L59,A54:A59,"=b",L54:L59,"&gt;0")</f>
        <v>0</v>
      </c>
      <c r="O59" s="61"/>
      <c r="P59" s="12"/>
      <c r="Q59" s="12"/>
      <c r="R59" s="12"/>
      <c r="S59" s="12"/>
      <c r="T59" s="12"/>
      <c r="U59" s="12"/>
      <c r="V59" s="12"/>
    </row>
    <row r="60" spans="1:22" hidden="1">
      <c r="A60" s="12" t="str">
        <f>IF($B$268=3,"B-TI",CHAR(160))</f>
        <v> </v>
      </c>
      <c r="B60" s="62" t="s">
        <v>9</v>
      </c>
      <c r="C60" s="63">
        <v>0</v>
      </c>
      <c r="D60" s="49">
        <f t="shared" si="0"/>
        <v>0</v>
      </c>
      <c r="E60" s="75" t="s">
        <v>114</v>
      </c>
      <c r="F60" s="76">
        <v>206.92500000000001</v>
      </c>
      <c r="G60" s="77">
        <v>-5.0000000000011372E-3</v>
      </c>
      <c r="H60" s="76">
        <v>47.575000000000003</v>
      </c>
      <c r="I60" s="77">
        <v>1.43</v>
      </c>
      <c r="J60" s="76">
        <v>254.5</v>
      </c>
      <c r="K60" s="77">
        <v>1.425</v>
      </c>
      <c r="L60" s="67">
        <f>(IF(D60&lt;=1249,(IF(D60&lt;=0,0,(F60+IF(D60&gt;250,((D60-250)/100*G60),0)+H60+IF(D60&gt;250,(I60*(D60-250)/100),0)))),0))</f>
        <v>0</v>
      </c>
      <c r="M60" s="68">
        <f t="shared" si="2"/>
        <v>75</v>
      </c>
      <c r="N60" s="12"/>
      <c r="O60" s="12"/>
      <c r="P60" s="12"/>
      <c r="Q60" s="12"/>
      <c r="R60" s="12"/>
      <c r="S60" s="12"/>
      <c r="T60" s="12"/>
      <c r="U60" s="12"/>
      <c r="V60" s="12"/>
    </row>
    <row r="61" spans="1:22" hidden="1">
      <c r="A61" s="12" t="str">
        <f t="shared" ref="A61:A65" si="9">IF($B$268=3,"B-TI",CHAR(160))</f>
        <v> </v>
      </c>
      <c r="B61" s="47">
        <v>0</v>
      </c>
      <c r="C61" s="48">
        <v>0</v>
      </c>
      <c r="D61" s="49">
        <f t="shared" si="0"/>
        <v>0</v>
      </c>
      <c r="E61" s="79" t="s">
        <v>110</v>
      </c>
      <c r="F61" s="76">
        <v>206.875</v>
      </c>
      <c r="G61" s="77">
        <v>0.01</v>
      </c>
      <c r="H61" s="76">
        <v>61.875</v>
      </c>
      <c r="I61" s="77">
        <v>0.56999999999999995</v>
      </c>
      <c r="J61" s="80">
        <v>268.75</v>
      </c>
      <c r="K61" s="81">
        <v>0.57999999999999996</v>
      </c>
      <c r="L61" s="53">
        <f>IF(D61=0,0,IF(AND(D61&gt;1249,D61&lt;2500),(F61+IF(D61&gt;1250,((D61-1250)/100*G61),0)+H61+IF(D61&gt;1250,(I61*(D61-1250)/100),0)),0))</f>
        <v>0</v>
      </c>
      <c r="M61" s="54">
        <f t="shared" si="2"/>
        <v>75</v>
      </c>
      <c r="N61" s="12"/>
      <c r="O61" s="12"/>
      <c r="P61" s="12"/>
      <c r="Q61" s="12"/>
      <c r="R61" s="12"/>
      <c r="S61" s="12"/>
      <c r="T61" s="12"/>
      <c r="U61" s="12"/>
      <c r="V61" s="12"/>
    </row>
    <row r="62" spans="1:22" hidden="1">
      <c r="A62" s="12" t="str">
        <f t="shared" si="9"/>
        <v> </v>
      </c>
      <c r="B62" s="47">
        <v>0</v>
      </c>
      <c r="C62" s="48">
        <v>0</v>
      </c>
      <c r="D62" s="49">
        <f t="shared" si="0"/>
        <v>0</v>
      </c>
      <c r="E62" s="79" t="s">
        <v>91</v>
      </c>
      <c r="F62" s="76">
        <v>207</v>
      </c>
      <c r="G62" s="77">
        <v>9.1</v>
      </c>
      <c r="H62" s="76">
        <v>69</v>
      </c>
      <c r="I62" s="77">
        <v>0.95999999999999941</v>
      </c>
      <c r="J62" s="80">
        <v>276</v>
      </c>
      <c r="K62" s="81">
        <v>10.06</v>
      </c>
      <c r="L62" s="53" t="str">
        <f>IF(D62=0,CHAR(160),IF(AND(D62&gt;2499,D62&lt;5000),(F62+IF(D62&gt;2500,((D62-2500)/100*G62),0)+H62+IF(D62&gt;2500,(I62*(D62-2500)/100),0)),0))</f>
        <v> </v>
      </c>
      <c r="M62" s="54">
        <f t="shared" si="2"/>
        <v>75</v>
      </c>
      <c r="N62" s="12"/>
      <c r="O62" s="12"/>
      <c r="P62" s="12"/>
      <c r="Q62" s="12"/>
      <c r="R62" s="12"/>
      <c r="S62" s="12"/>
      <c r="T62" s="12"/>
      <c r="U62" s="12"/>
      <c r="V62" s="12"/>
    </row>
    <row r="63" spans="1:22" hidden="1">
      <c r="A63" s="12" t="str">
        <f t="shared" si="9"/>
        <v> </v>
      </c>
      <c r="B63" s="47">
        <v>0</v>
      </c>
      <c r="C63" s="48">
        <v>0</v>
      </c>
      <c r="D63" s="49">
        <f t="shared" si="0"/>
        <v>0</v>
      </c>
      <c r="E63" s="79" t="s">
        <v>111</v>
      </c>
      <c r="F63" s="76">
        <v>434.5</v>
      </c>
      <c r="G63" s="77">
        <v>0.82333333333333336</v>
      </c>
      <c r="H63" s="76">
        <v>93</v>
      </c>
      <c r="I63" s="77">
        <v>0.59333333333333349</v>
      </c>
      <c r="J63" s="80">
        <v>527.5</v>
      </c>
      <c r="K63" s="81">
        <v>1.416666666666667</v>
      </c>
      <c r="L63" s="53" t="str">
        <f>IF(D63=0,CHAR(160),IF(AND(D63&gt;4999,D63&lt;12500),(F63+IF(D63&gt;5000,((D63-5000)/100*G63),0)+H63+IF(D63&gt;5000,(I63*(D63-5000)/100),0)),0))</f>
        <v> </v>
      </c>
      <c r="M63" s="54">
        <f t="shared" si="2"/>
        <v>75</v>
      </c>
      <c r="N63" s="12"/>
      <c r="O63" s="12"/>
      <c r="P63" s="12"/>
      <c r="Q63" s="12"/>
      <c r="R63" s="12"/>
      <c r="S63" s="12"/>
      <c r="T63" s="12"/>
      <c r="U63" s="12"/>
      <c r="V63" s="12"/>
    </row>
    <row r="64" spans="1:22" hidden="1">
      <c r="A64" s="12" t="str">
        <f t="shared" si="9"/>
        <v> </v>
      </c>
      <c r="B64" s="47">
        <v>0</v>
      </c>
      <c r="C64" s="48">
        <v>0</v>
      </c>
      <c r="D64" s="49">
        <f t="shared" si="0"/>
        <v>0</v>
      </c>
      <c r="E64" s="79" t="s">
        <v>112</v>
      </c>
      <c r="F64" s="76">
        <v>496.25</v>
      </c>
      <c r="G64" s="77">
        <v>0.99</v>
      </c>
      <c r="H64" s="76">
        <v>137.5</v>
      </c>
      <c r="I64" s="77">
        <v>0.38</v>
      </c>
      <c r="J64" s="80">
        <v>633.75</v>
      </c>
      <c r="K64" s="81">
        <v>1.37</v>
      </c>
      <c r="L64" s="53" t="str">
        <f>IF(D64=0,CHAR(160),IF(AND(D64&gt;12499,D64&lt;25000),(F64+IF(D64&gt;12500,((D64-12500)/100*G64),0)+H64+IF(D64&gt;12500,(I64*(D64-12500)/100),0)),0))</f>
        <v> </v>
      </c>
      <c r="M64" s="54">
        <f t="shared" si="2"/>
        <v>75</v>
      </c>
      <c r="N64" s="12"/>
      <c r="O64" s="12"/>
      <c r="P64" s="12"/>
      <c r="Q64" s="12"/>
      <c r="R64" s="12"/>
      <c r="S64" s="12"/>
      <c r="T64" s="12"/>
      <c r="U64" s="12"/>
      <c r="V64" s="12"/>
    </row>
    <row r="65" spans="1:22" hidden="1">
      <c r="A65" s="12" t="str">
        <f t="shared" si="9"/>
        <v> </v>
      </c>
      <c r="B65" s="55">
        <v>0</v>
      </c>
      <c r="C65" s="56">
        <v>0</v>
      </c>
      <c r="D65" s="49">
        <f t="shared" si="0"/>
        <v>0</v>
      </c>
      <c r="E65" s="83" t="s">
        <v>113</v>
      </c>
      <c r="F65" s="76">
        <v>620</v>
      </c>
      <c r="G65" s="77">
        <v>2.48</v>
      </c>
      <c r="H65" s="76">
        <v>185</v>
      </c>
      <c r="I65" s="77">
        <v>0.74</v>
      </c>
      <c r="J65" s="84">
        <v>805</v>
      </c>
      <c r="K65" s="85">
        <v>3.22</v>
      </c>
      <c r="L65" s="72" t="str">
        <f>IF(D65=0,CHAR(160),IF(D65&gt;=25000,(F65+IF(D65&gt;25000,((D65-25000)/100*G65),0)+H65+IF(D65&gt;25000,(I65*(D65-25000)/100),0)),0))</f>
        <v> </v>
      </c>
      <c r="M65" s="60">
        <f t="shared" si="2"/>
        <v>75</v>
      </c>
      <c r="N65" s="61">
        <f>SUMIFS(L60:L65,A60:A65,"=b-ti",L60:L65,"&gt;0")</f>
        <v>0</v>
      </c>
      <c r="O65" s="61"/>
      <c r="P65" s="12"/>
      <c r="Q65" s="12"/>
      <c r="R65" s="12"/>
      <c r="S65" s="12"/>
      <c r="T65" s="12"/>
      <c r="U65" s="12"/>
      <c r="V65" s="12"/>
    </row>
    <row r="66" spans="1:22" hidden="1">
      <c r="A66" s="12" t="str">
        <f>IF($B$268=18,"E-1",CHAR(160))</f>
        <v> </v>
      </c>
      <c r="B66" s="62" t="s">
        <v>10</v>
      </c>
      <c r="C66" s="63">
        <v>0</v>
      </c>
      <c r="D66" s="49">
        <f t="shared" si="0"/>
        <v>0</v>
      </c>
      <c r="E66" s="75" t="s">
        <v>115</v>
      </c>
      <c r="F66" s="76">
        <v>745</v>
      </c>
      <c r="G66" s="77">
        <v>0</v>
      </c>
      <c r="H66" s="76">
        <v>333</v>
      </c>
      <c r="I66" s="77">
        <v>0.4975</v>
      </c>
      <c r="J66" s="76">
        <v>1078</v>
      </c>
      <c r="K66" s="77">
        <v>0.4975</v>
      </c>
      <c r="L66" s="67">
        <f>(IF(D66&lt;=24999,(IF(D66&lt;=0,0,(F66+IF(D66&gt;5000,((D66-5000)/100*G66),0)+H66+IF(D66&gt;5000,(I66*(D66-5000)/100),0)))),0))</f>
        <v>0</v>
      </c>
      <c r="M66" s="68">
        <f t="shared" si="2"/>
        <v>75</v>
      </c>
      <c r="N66" s="12"/>
      <c r="O66" s="12"/>
      <c r="P66" s="12"/>
      <c r="Q66" s="12"/>
      <c r="R66" s="12"/>
      <c r="S66" s="12"/>
      <c r="T66" s="12"/>
      <c r="U66" s="12"/>
      <c r="V66" s="12"/>
    </row>
    <row r="67" spans="1:22" hidden="1">
      <c r="A67" s="12" t="str">
        <f t="shared" ref="A67:A71" si="10">IF($B$268=18,"E-1",CHAR(160))</f>
        <v> </v>
      </c>
      <c r="B67" s="47" t="s">
        <v>11</v>
      </c>
      <c r="C67" s="48">
        <v>0</v>
      </c>
      <c r="D67" s="49">
        <f t="shared" si="0"/>
        <v>0</v>
      </c>
      <c r="E67" s="79" t="s">
        <v>94</v>
      </c>
      <c r="F67" s="76">
        <v>745</v>
      </c>
      <c r="G67" s="77">
        <v>0</v>
      </c>
      <c r="H67" s="76">
        <v>432.5</v>
      </c>
      <c r="I67" s="77">
        <v>0.21</v>
      </c>
      <c r="J67" s="80">
        <v>1177.5</v>
      </c>
      <c r="K67" s="81">
        <v>0.21</v>
      </c>
      <c r="L67" s="53">
        <f>IF(D67=0,0,IF(AND(D67&gt;24999,D67&lt;50000),(F67+IF(D67&gt;25000,((D67-25000)/100*G67),0)+H67+IF(D67&gt;25000,(I67*(D67-25000)/100),0)),0))</f>
        <v>0</v>
      </c>
      <c r="M67" s="54">
        <f t="shared" si="2"/>
        <v>75</v>
      </c>
      <c r="N67" s="12"/>
      <c r="O67" s="12"/>
      <c r="P67" s="12"/>
      <c r="Q67" s="12"/>
      <c r="R67" s="12"/>
      <c r="S67" s="12"/>
      <c r="T67" s="12"/>
      <c r="U67" s="12"/>
      <c r="V67" s="12"/>
    </row>
    <row r="68" spans="1:22" hidden="1">
      <c r="A68" s="12" t="str">
        <f t="shared" si="10"/>
        <v> </v>
      </c>
      <c r="B68" s="47">
        <v>0</v>
      </c>
      <c r="C68" s="48">
        <v>0</v>
      </c>
      <c r="D68" s="49">
        <f t="shared" si="0"/>
        <v>0</v>
      </c>
      <c r="E68" s="79" t="s">
        <v>116</v>
      </c>
      <c r="F68" s="76">
        <v>745</v>
      </c>
      <c r="G68" s="77">
        <v>1.63</v>
      </c>
      <c r="H68" s="76">
        <v>485</v>
      </c>
      <c r="I68" s="77">
        <v>0.33</v>
      </c>
      <c r="J68" s="80">
        <v>1230</v>
      </c>
      <c r="K68" s="81">
        <v>1.96</v>
      </c>
      <c r="L68" s="53" t="str">
        <f>IF(D68=0,CHAR(160),IF(AND(D68&gt;49999,D68&lt;100000),(F68+IF(D68&gt;50000,((D68-50000)/100*G68),0)+H68+IF(D68&gt;50000,(I68*(D68-50000)/100),0)),0))</f>
        <v> </v>
      </c>
      <c r="M68" s="54">
        <f t="shared" si="2"/>
        <v>75</v>
      </c>
      <c r="N68" s="12"/>
      <c r="O68" s="12"/>
      <c r="P68" s="12"/>
      <c r="Q68" s="12"/>
      <c r="R68" s="12"/>
      <c r="S68" s="12"/>
      <c r="T68" s="12"/>
      <c r="U68" s="12"/>
      <c r="V68" s="12"/>
    </row>
    <row r="69" spans="1:22" hidden="1">
      <c r="A69" s="12" t="str">
        <f t="shared" si="10"/>
        <v> </v>
      </c>
      <c r="B69" s="47">
        <v>0</v>
      </c>
      <c r="C69" s="48">
        <v>0</v>
      </c>
      <c r="D69" s="49">
        <f t="shared" si="0"/>
        <v>0</v>
      </c>
      <c r="E69" s="79" t="s">
        <v>117</v>
      </c>
      <c r="F69" s="76">
        <v>1560</v>
      </c>
      <c r="G69" s="77">
        <v>0.16</v>
      </c>
      <c r="H69" s="76">
        <v>650</v>
      </c>
      <c r="I69" s="77">
        <v>0.21666666666666667</v>
      </c>
      <c r="J69" s="80">
        <v>2210</v>
      </c>
      <c r="K69" s="81">
        <v>0.37666666666666671</v>
      </c>
      <c r="L69" s="53" t="str">
        <f>IF(D69=0,CHAR(160),IF(AND(D69&gt;99999,D69&lt;250000),(F69+IF(D69&gt;100000,((D69-100000)/100*G69),0)+H69+IF(D69&gt;100000,(I69*(D69-100000)/100),0)),0))</f>
        <v> </v>
      </c>
      <c r="M69" s="54">
        <f t="shared" si="2"/>
        <v>75</v>
      </c>
      <c r="N69" s="12"/>
      <c r="O69" s="12"/>
      <c r="P69" s="12"/>
      <c r="Q69" s="12"/>
      <c r="R69" s="12"/>
      <c r="S69" s="12"/>
      <c r="T69" s="12"/>
      <c r="U69" s="12"/>
      <c r="V69" s="12"/>
    </row>
    <row r="70" spans="1:22" hidden="1">
      <c r="A70" s="12" t="str">
        <f t="shared" si="10"/>
        <v> </v>
      </c>
      <c r="B70" s="47">
        <v>0</v>
      </c>
      <c r="C70" s="48">
        <v>0</v>
      </c>
      <c r="D70" s="49">
        <f t="shared" si="0"/>
        <v>0</v>
      </c>
      <c r="E70" s="79" t="s">
        <v>118</v>
      </c>
      <c r="F70" s="76">
        <v>1800</v>
      </c>
      <c r="G70" s="77">
        <v>0.18</v>
      </c>
      <c r="H70" s="76">
        <v>975</v>
      </c>
      <c r="I70" s="77">
        <v>0.13</v>
      </c>
      <c r="J70" s="80">
        <v>2775</v>
      </c>
      <c r="K70" s="81">
        <v>0.31</v>
      </c>
      <c r="L70" s="53" t="str">
        <f>IF(D70=0,CHAR(160),IF(AND(D70&gt;249999,D70&lt;500000),(F70+IF(D70&gt;250000,((D70-250000)/100*G70),0)+H70+IF(D70&gt;250000,(I70*(D70-250000)/100),0)),0))</f>
        <v> </v>
      </c>
      <c r="M70" s="54">
        <f t="shared" si="2"/>
        <v>75</v>
      </c>
      <c r="N70" s="12"/>
      <c r="O70" s="12"/>
      <c r="P70" s="12"/>
      <c r="Q70" s="12"/>
      <c r="R70" s="12"/>
      <c r="S70" s="12"/>
      <c r="T70" s="12"/>
      <c r="U70" s="12"/>
      <c r="V70" s="12"/>
    </row>
    <row r="71" spans="1:22" hidden="1">
      <c r="A71" s="12" t="str">
        <f t="shared" si="10"/>
        <v> </v>
      </c>
      <c r="B71" s="55">
        <v>0</v>
      </c>
      <c r="C71" s="48">
        <v>0</v>
      </c>
      <c r="D71" s="49">
        <f t="shared" si="0"/>
        <v>0</v>
      </c>
      <c r="E71" s="83" t="s">
        <v>119</v>
      </c>
      <c r="F71" s="76">
        <v>2250</v>
      </c>
      <c r="G71" s="77">
        <v>0.45</v>
      </c>
      <c r="H71" s="76">
        <v>1300</v>
      </c>
      <c r="I71" s="77">
        <v>0.26</v>
      </c>
      <c r="J71" s="84">
        <v>3550</v>
      </c>
      <c r="K71" s="85">
        <v>0.71</v>
      </c>
      <c r="L71" s="72" t="str">
        <f>IF(D71=0,CHAR(160),IF(D71&gt;=500000,(F71+IF(D71&gt;500000,((D71-500000)/100*G71),0)+H71+IF(D71&gt;500000,(I71*(D71-500000)/100),0)),0))</f>
        <v> </v>
      </c>
      <c r="M71" s="60">
        <f t="shared" si="2"/>
        <v>75</v>
      </c>
      <c r="N71" s="61">
        <f>SUMIFS(L66:L71,A66:A71,"=E-1",L66:L71,"&gt;0")</f>
        <v>0</v>
      </c>
      <c r="O71" s="61"/>
      <c r="P71" s="12"/>
      <c r="Q71" s="12"/>
      <c r="R71" s="12"/>
      <c r="S71" s="12"/>
      <c r="T71" s="12"/>
      <c r="U71" s="12"/>
      <c r="V71" s="12"/>
    </row>
    <row r="72" spans="1:22" hidden="1">
      <c r="A72" s="12" t="str">
        <f>IF($B$268=19,"E-2",CHAR(160))</f>
        <v> </v>
      </c>
      <c r="B72" s="62" t="s">
        <v>12</v>
      </c>
      <c r="C72" s="48">
        <v>0</v>
      </c>
      <c r="D72" s="49">
        <f t="shared" si="0"/>
        <v>0</v>
      </c>
      <c r="E72" s="75" t="s">
        <v>120</v>
      </c>
      <c r="F72" s="76">
        <v>331.05</v>
      </c>
      <c r="G72" s="77">
        <v>2.499999999999621E-3</v>
      </c>
      <c r="H72" s="76">
        <v>109.425</v>
      </c>
      <c r="I72" s="77">
        <v>1.0900000000000001</v>
      </c>
      <c r="J72" s="76">
        <v>440.47500000000002</v>
      </c>
      <c r="K72" s="77">
        <v>1.0925</v>
      </c>
      <c r="L72" s="67">
        <f>(IF(D72&lt;=3749,(IF(D72&lt;=0,0,(F72+IF(D72&gt;750,((D72-750)/100*G72),0)+H72+IF(D72&gt;750,(I72*(D72-750)/100),0)))),0))</f>
        <v>0</v>
      </c>
      <c r="M72" s="68">
        <f t="shared" si="2"/>
        <v>75</v>
      </c>
      <c r="N72" s="12"/>
      <c r="O72" s="12"/>
      <c r="P72" s="12"/>
      <c r="Q72" s="12"/>
      <c r="R72" s="12"/>
      <c r="S72" s="12"/>
      <c r="T72" s="12"/>
      <c r="U72" s="12"/>
      <c r="V72" s="12"/>
    </row>
    <row r="73" spans="1:22" hidden="1">
      <c r="A73" s="12" t="str">
        <f t="shared" ref="A73:A77" si="11">IF($B$268=19,"E-2",CHAR(160))</f>
        <v> </v>
      </c>
      <c r="B73" s="47" t="s">
        <v>13</v>
      </c>
      <c r="C73" s="48">
        <v>0</v>
      </c>
      <c r="D73" s="49">
        <f t="shared" si="0"/>
        <v>0</v>
      </c>
      <c r="E73" s="79" t="s">
        <v>75</v>
      </c>
      <c r="F73" s="76">
        <v>331.125</v>
      </c>
      <c r="G73" s="77">
        <v>-0.01</v>
      </c>
      <c r="H73" s="76">
        <v>142.125</v>
      </c>
      <c r="I73" s="77">
        <v>0.45</v>
      </c>
      <c r="J73" s="80">
        <v>473.25</v>
      </c>
      <c r="K73" s="81">
        <v>0.44</v>
      </c>
      <c r="L73" s="53">
        <f>IF(D73=0,0,IF(AND(D73&gt;3749,D73&lt;7500),(F73+IF(D73&gt;3750,((D73-3750)/100*G73),0)+H73+IF(D73&gt;3750,(I73*(D73-3750)/100),0)),0))</f>
        <v>0</v>
      </c>
      <c r="M73" s="54">
        <f t="shared" si="2"/>
        <v>75</v>
      </c>
      <c r="N73" s="12"/>
      <c r="O73" s="12"/>
      <c r="P73" s="12"/>
      <c r="Q73" s="12"/>
      <c r="R73" s="12"/>
      <c r="S73" s="12"/>
      <c r="T73" s="12"/>
      <c r="U73" s="12"/>
      <c r="V73" s="12"/>
    </row>
    <row r="74" spans="1:22" hidden="1">
      <c r="A74" s="12" t="str">
        <f t="shared" si="11"/>
        <v> </v>
      </c>
      <c r="B74" s="47">
        <v>0</v>
      </c>
      <c r="C74" s="48">
        <v>0</v>
      </c>
      <c r="D74" s="49">
        <f t="shared" si="0"/>
        <v>0</v>
      </c>
      <c r="E74" s="79" t="s">
        <v>74</v>
      </c>
      <c r="F74" s="76">
        <v>330.75</v>
      </c>
      <c r="G74" s="77">
        <v>4.87</v>
      </c>
      <c r="H74" s="76">
        <v>159</v>
      </c>
      <c r="I74" s="77">
        <v>0.72</v>
      </c>
      <c r="J74" s="80">
        <v>489.75</v>
      </c>
      <c r="K74" s="81">
        <v>5.59</v>
      </c>
      <c r="L74" s="53" t="str">
        <f>IF(D74=0,CHAR(160),IF(AND(D74&gt;7499,D74&lt;15000),(F74+IF(D74&gt;7500,((D74-7500)/100*G74),0)+H74+IF(D74&gt;7500,(I74*(D74-7500)/100),0)),0))</f>
        <v> </v>
      </c>
      <c r="M74" s="54">
        <f t="shared" si="2"/>
        <v>75</v>
      </c>
      <c r="N74" s="12"/>
      <c r="O74" s="12"/>
      <c r="P74" s="12"/>
      <c r="Q74" s="12"/>
      <c r="R74" s="12"/>
      <c r="S74" s="12"/>
      <c r="T74" s="12"/>
      <c r="U74" s="12"/>
      <c r="V74" s="12"/>
    </row>
    <row r="75" spans="1:22" hidden="1">
      <c r="A75" s="12" t="str">
        <f t="shared" si="11"/>
        <v> </v>
      </c>
      <c r="B75" s="47">
        <v>0</v>
      </c>
      <c r="C75" s="48">
        <v>0</v>
      </c>
      <c r="D75" s="49">
        <f t="shared" si="0"/>
        <v>0</v>
      </c>
      <c r="E75" s="79" t="s">
        <v>73</v>
      </c>
      <c r="F75" s="76">
        <v>696</v>
      </c>
      <c r="G75" s="77">
        <v>0.44</v>
      </c>
      <c r="H75" s="76">
        <v>213</v>
      </c>
      <c r="I75" s="77">
        <v>0.47</v>
      </c>
      <c r="J75" s="80">
        <v>909</v>
      </c>
      <c r="K75" s="81">
        <v>0.91</v>
      </c>
      <c r="L75" s="53" t="str">
        <f>IF(D75=0,CHAR(160),IF(AND(D75&gt;14999,D75&lt;37500),(F75+IF(D75&gt;15000,((D75-15000)/100*G75),0)+H75+IF(D75&gt;15000,(I75*(D75-15000)/100),0)),0))</f>
        <v> </v>
      </c>
      <c r="M75" s="54">
        <f t="shared" si="2"/>
        <v>75</v>
      </c>
      <c r="N75" s="12"/>
      <c r="O75" s="12"/>
      <c r="P75" s="12"/>
      <c r="Q75" s="12"/>
      <c r="R75" s="12"/>
      <c r="S75" s="12"/>
      <c r="T75" s="12"/>
      <c r="U75" s="12"/>
      <c r="V75" s="12"/>
    </row>
    <row r="76" spans="1:22" hidden="1">
      <c r="A76" s="12" t="str">
        <f t="shared" si="11"/>
        <v> </v>
      </c>
      <c r="B76" s="47">
        <v>0</v>
      </c>
      <c r="C76" s="48">
        <v>0</v>
      </c>
      <c r="D76" s="49">
        <f t="shared" ref="D76:D139" si="12">$E$268</f>
        <v>0</v>
      </c>
      <c r="E76" s="79" t="s">
        <v>71</v>
      </c>
      <c r="F76" s="76">
        <v>795</v>
      </c>
      <c r="G76" s="77">
        <v>0.52</v>
      </c>
      <c r="H76" s="76">
        <v>318.75</v>
      </c>
      <c r="I76" s="77">
        <v>0.28999999999999998</v>
      </c>
      <c r="J76" s="80">
        <v>1113.75</v>
      </c>
      <c r="K76" s="81">
        <v>0.81</v>
      </c>
      <c r="L76" s="53" t="str">
        <f>IF(D76=0,CHAR(160),IF(AND(D76&gt;37499,D76&lt;75000),(F76+IF(D76&gt;37500,((D76-37500)/100*G76),0)+H76+IF(D76&gt;37500,(I76*(D76-37500)/100),0)),0))</f>
        <v> </v>
      </c>
      <c r="M76" s="54">
        <f t="shared" si="2"/>
        <v>75</v>
      </c>
      <c r="N76" s="12"/>
      <c r="O76" s="12"/>
      <c r="P76" s="12"/>
      <c r="Q76" s="12"/>
      <c r="R76" s="12"/>
      <c r="S76" s="12"/>
      <c r="T76" s="12"/>
      <c r="U76" s="12"/>
      <c r="V76" s="12"/>
    </row>
    <row r="77" spans="1:22" hidden="1">
      <c r="A77" s="12" t="str">
        <f t="shared" si="11"/>
        <v> </v>
      </c>
      <c r="B77" s="55">
        <v>0</v>
      </c>
      <c r="C77" s="56">
        <v>0</v>
      </c>
      <c r="D77" s="49">
        <f t="shared" si="12"/>
        <v>0</v>
      </c>
      <c r="E77" s="83" t="s">
        <v>121</v>
      </c>
      <c r="F77" s="76">
        <v>990</v>
      </c>
      <c r="G77" s="77">
        <v>1.32</v>
      </c>
      <c r="H77" s="76">
        <v>427.5</v>
      </c>
      <c r="I77" s="77">
        <v>0.56999999999999995</v>
      </c>
      <c r="J77" s="84">
        <v>1417.5</v>
      </c>
      <c r="K77" s="85">
        <v>1.89</v>
      </c>
      <c r="L77" s="72" t="str">
        <f>IF(D77=0,CHAR(160),IF(D77&gt;=75000,(F77+IF(D77&gt;75000,((D77-75000)/100*G77),0)+H77+IF(D77&gt;75000,(I77*(D77-75000)/100),0)),0))</f>
        <v> </v>
      </c>
      <c r="M77" s="60">
        <f t="shared" ref="M77:M140" si="13">IF(D77&gt;=3600,(C77/1000*0.75)+150,75+(C77/1000)*0.75)</f>
        <v>75</v>
      </c>
      <c r="N77" s="61">
        <f>SUMIFS(L72:L77,A72:A77,"=e-2",L72:L77,"&gt;0")</f>
        <v>0</v>
      </c>
      <c r="O77" s="61"/>
      <c r="P77" s="12"/>
      <c r="Q77" s="12"/>
      <c r="R77" s="12"/>
      <c r="S77" s="12"/>
      <c r="T77" s="12"/>
      <c r="U77" s="12"/>
      <c r="V77" s="12"/>
    </row>
    <row r="78" spans="1:22" hidden="1">
      <c r="A78" s="12" t="str">
        <f>IF($B$268=4,"E-TI",CHAR(160))</f>
        <v> </v>
      </c>
      <c r="B78" s="62" t="s">
        <v>14</v>
      </c>
      <c r="C78" s="63">
        <v>0</v>
      </c>
      <c r="D78" s="49">
        <f t="shared" si="12"/>
        <v>0</v>
      </c>
      <c r="E78" s="75" t="s">
        <v>122</v>
      </c>
      <c r="F78" s="76">
        <v>331.1</v>
      </c>
      <c r="G78" s="77">
        <v>-2.5000000000005686E-3</v>
      </c>
      <c r="H78" s="76">
        <v>76.099999999999994</v>
      </c>
      <c r="I78" s="77">
        <v>0.57250000000000001</v>
      </c>
      <c r="J78" s="76">
        <v>407.2</v>
      </c>
      <c r="K78" s="77">
        <v>0.56999999999999995</v>
      </c>
      <c r="L78" s="67">
        <f>(IF(D78&lt;=4999,(IF(D78&lt;=0,0,(F78+IF(D78&gt;1000,((D78-1000)/100*G78),0)+H78+IF(D78&gt;1000,(I78*(D78-1000)/100),0)))),0))</f>
        <v>0</v>
      </c>
      <c r="M78" s="68">
        <f t="shared" si="13"/>
        <v>75</v>
      </c>
      <c r="N78" s="12"/>
      <c r="O78" s="12"/>
      <c r="P78" s="12"/>
      <c r="Q78" s="12"/>
      <c r="R78" s="12"/>
      <c r="S78" s="12"/>
      <c r="T78" s="12"/>
      <c r="U78" s="12"/>
      <c r="V78" s="12"/>
    </row>
    <row r="79" spans="1:22" hidden="1">
      <c r="A79" s="12" t="str">
        <f t="shared" ref="A79:A83" si="14">IF($B$268=4,"E-TI",CHAR(160))</f>
        <v> </v>
      </c>
      <c r="B79" s="47">
        <v>0</v>
      </c>
      <c r="C79" s="48">
        <v>0</v>
      </c>
      <c r="D79" s="49">
        <f t="shared" si="12"/>
        <v>0</v>
      </c>
      <c r="E79" s="79" t="s">
        <v>92</v>
      </c>
      <c r="F79" s="76">
        <v>331</v>
      </c>
      <c r="G79" s="77">
        <v>0</v>
      </c>
      <c r="H79" s="76">
        <v>99</v>
      </c>
      <c r="I79" s="77">
        <v>0.22</v>
      </c>
      <c r="J79" s="80">
        <v>430</v>
      </c>
      <c r="K79" s="81">
        <v>0.22</v>
      </c>
      <c r="L79" s="53">
        <f>IF(D79=0,0,IF(AND(D79&gt;4999,D79&lt;10000),(F79+IF(D79&gt;5000,((D79-5000)/100*G79),0)+H79+IF(D79&gt;5000,(I79*(D79-5000)/100),0)),0))</f>
        <v>0</v>
      </c>
      <c r="M79" s="54">
        <f t="shared" si="13"/>
        <v>75</v>
      </c>
      <c r="N79" s="12"/>
      <c r="O79" s="12"/>
      <c r="P79" s="12"/>
      <c r="Q79" s="12"/>
      <c r="R79" s="12"/>
      <c r="S79" s="12"/>
      <c r="T79" s="12"/>
      <c r="U79" s="12"/>
      <c r="V79" s="12"/>
    </row>
    <row r="80" spans="1:22" hidden="1">
      <c r="A80" s="12" t="str">
        <f t="shared" si="14"/>
        <v> </v>
      </c>
      <c r="B80" s="47">
        <v>0</v>
      </c>
      <c r="C80" s="48">
        <v>0</v>
      </c>
      <c r="D80" s="49">
        <f t="shared" si="12"/>
        <v>0</v>
      </c>
      <c r="E80" s="79" t="s">
        <v>76</v>
      </c>
      <c r="F80" s="76">
        <v>331</v>
      </c>
      <c r="G80" s="77">
        <v>3.65</v>
      </c>
      <c r="H80" s="76">
        <v>110</v>
      </c>
      <c r="I80" s="77">
        <v>0.38</v>
      </c>
      <c r="J80" s="80">
        <v>441</v>
      </c>
      <c r="K80" s="81">
        <v>4.03</v>
      </c>
      <c r="L80" s="53" t="str">
        <f>IF(D80=0,CHAR(160),IF(AND(D80&gt;9999,D80&lt;20000),(F80+IF(D80&gt;10000,((D80-10000)/100*G80),0)+H80+IF(D80&gt;10000,(I80*(D80-10000)/100),0)),0))</f>
        <v> </v>
      </c>
      <c r="M80" s="54">
        <f t="shared" si="13"/>
        <v>75</v>
      </c>
      <c r="N80" s="12"/>
      <c r="O80" s="12"/>
      <c r="P80" s="12"/>
      <c r="Q80" s="12"/>
      <c r="R80" s="12"/>
      <c r="S80" s="12"/>
      <c r="T80" s="12"/>
      <c r="U80" s="12"/>
      <c r="V80" s="12"/>
    </row>
    <row r="81" spans="1:22" hidden="1">
      <c r="A81" s="12" t="str">
        <f t="shared" si="14"/>
        <v> </v>
      </c>
      <c r="B81" s="47">
        <v>0</v>
      </c>
      <c r="C81" s="48">
        <v>0</v>
      </c>
      <c r="D81" s="49">
        <f t="shared" si="12"/>
        <v>0</v>
      </c>
      <c r="E81" s="79" t="s">
        <v>123</v>
      </c>
      <c r="F81" s="76">
        <v>696</v>
      </c>
      <c r="G81" s="77">
        <v>0.33</v>
      </c>
      <c r="H81" s="76">
        <v>148</v>
      </c>
      <c r="I81" s="77">
        <v>0.24</v>
      </c>
      <c r="J81" s="80">
        <v>844</v>
      </c>
      <c r="K81" s="81">
        <v>0.56999999999999995</v>
      </c>
      <c r="L81" s="53" t="str">
        <f>IF(D81=0,CHAR(160),IF(AND(D81&gt;19999,D81&lt;50000),(F81+IF(D81&gt;20000,((D81-20000)/100*G81),0)+H81+IF(D81&gt;20000,(I81*(D81-20000)/100),0)),0))</f>
        <v> </v>
      </c>
      <c r="M81" s="54">
        <f t="shared" si="13"/>
        <v>75</v>
      </c>
      <c r="N81" s="12"/>
      <c r="O81" s="12"/>
      <c r="P81" s="12"/>
      <c r="Q81" s="12"/>
      <c r="R81" s="12"/>
      <c r="S81" s="12"/>
      <c r="T81" s="12"/>
      <c r="U81" s="12"/>
      <c r="V81" s="12"/>
    </row>
    <row r="82" spans="1:22" hidden="1">
      <c r="A82" s="12" t="str">
        <f t="shared" si="14"/>
        <v> </v>
      </c>
      <c r="B82" s="47">
        <v>0</v>
      </c>
      <c r="C82" s="48">
        <v>0</v>
      </c>
      <c r="D82" s="49">
        <f t="shared" si="12"/>
        <v>0</v>
      </c>
      <c r="E82" s="79" t="s">
        <v>116</v>
      </c>
      <c r="F82" s="76">
        <v>795</v>
      </c>
      <c r="G82" s="77">
        <v>0.39</v>
      </c>
      <c r="H82" s="76">
        <v>220</v>
      </c>
      <c r="I82" s="77">
        <v>0.16</v>
      </c>
      <c r="J82" s="80">
        <v>1015</v>
      </c>
      <c r="K82" s="81">
        <v>0.55000000000000004</v>
      </c>
      <c r="L82" s="53" t="str">
        <f>IF(D82=0,CHAR(160),IF(AND(D82&gt;49999,D82&lt;100000),(F82+IF(D82&gt;50000,((D82-50000)/100*G82),0)+H82+IF(D82&gt;50000,(I82*(D82-50000)/100),0)),0))</f>
        <v> </v>
      </c>
      <c r="M82" s="54">
        <f t="shared" si="13"/>
        <v>75</v>
      </c>
      <c r="N82" s="12"/>
      <c r="O82" s="12"/>
      <c r="P82" s="12"/>
      <c r="Q82" s="12"/>
      <c r="R82" s="12"/>
      <c r="S82" s="12"/>
      <c r="T82" s="12"/>
      <c r="U82" s="12"/>
      <c r="V82" s="12"/>
    </row>
    <row r="83" spans="1:22" hidden="1">
      <c r="A83" s="12" t="str">
        <f t="shared" si="14"/>
        <v> </v>
      </c>
      <c r="B83" s="55">
        <v>0</v>
      </c>
      <c r="C83" s="56">
        <v>0</v>
      </c>
      <c r="D83" s="49">
        <f t="shared" si="12"/>
        <v>0</v>
      </c>
      <c r="E83" s="83" t="s">
        <v>124</v>
      </c>
      <c r="F83" s="76">
        <v>990</v>
      </c>
      <c r="G83" s="77">
        <v>0.99</v>
      </c>
      <c r="H83" s="76">
        <v>300</v>
      </c>
      <c r="I83" s="77">
        <v>0.3</v>
      </c>
      <c r="J83" s="84">
        <v>1290</v>
      </c>
      <c r="K83" s="85">
        <v>1.29</v>
      </c>
      <c r="L83" s="72" t="str">
        <f>IF(D83=0,CHAR(160),IF(D83&gt;=100000,(F83+IF(D83&gt;100000,((D83-100000)/100*G83),0)+H83+IF(D83&gt;100000,(I83*(D83-100000)/100),0)),0))</f>
        <v> </v>
      </c>
      <c r="M83" s="60">
        <f t="shared" si="13"/>
        <v>75</v>
      </c>
      <c r="N83" s="61">
        <f>SUMIFS(L78:L83,A78:A83,"=e-ti",L78:L83,"&gt;0")</f>
        <v>0</v>
      </c>
      <c r="O83" s="61"/>
      <c r="P83" s="12"/>
      <c r="Q83" s="12"/>
      <c r="R83" s="12"/>
      <c r="S83" s="12"/>
      <c r="T83" s="12"/>
      <c r="U83" s="12"/>
      <c r="V83" s="12"/>
    </row>
    <row r="84" spans="1:22" hidden="1">
      <c r="A84" s="12" t="str">
        <f>IF($B$268=20,"F-1",CHAR(160))</f>
        <v> </v>
      </c>
      <c r="B84" s="62" t="s">
        <v>15</v>
      </c>
      <c r="C84" s="63">
        <v>0</v>
      </c>
      <c r="D84" s="49">
        <f t="shared" si="12"/>
        <v>0</v>
      </c>
      <c r="E84" s="75" t="s">
        <v>125</v>
      </c>
      <c r="F84" s="76">
        <v>331</v>
      </c>
      <c r="G84" s="77">
        <v>2.5000000000000001E-3</v>
      </c>
      <c r="H84" s="76">
        <v>179.25</v>
      </c>
      <c r="I84" s="77">
        <v>0.20749999999999999</v>
      </c>
      <c r="J84" s="76">
        <v>510.25</v>
      </c>
      <c r="K84" s="77">
        <v>0.21</v>
      </c>
      <c r="L84" s="67">
        <f>(IF(D84&lt;=12499,(IF(D84&lt;=0,0,(F84+IF(D84&gt;2500,((D84-2500)/100*G84),0)+H84+IF(D84&gt;2500,(I84*(D84-2500)/100),0)))),0))</f>
        <v>0</v>
      </c>
      <c r="M84" s="68">
        <f t="shared" si="13"/>
        <v>75</v>
      </c>
      <c r="N84" s="12"/>
      <c r="O84" s="12"/>
      <c r="P84" s="12"/>
      <c r="Q84" s="12"/>
      <c r="R84" s="12"/>
      <c r="S84" s="12"/>
      <c r="T84" s="12"/>
      <c r="U84" s="12"/>
      <c r="V84" s="12"/>
    </row>
    <row r="85" spans="1:22" hidden="1">
      <c r="A85" s="12" t="str">
        <f t="shared" ref="A85:A89" si="15">IF($B$268=20,"F-1",CHAR(160))</f>
        <v> </v>
      </c>
      <c r="B85" s="47">
        <v>0</v>
      </c>
      <c r="C85" s="48">
        <v>0</v>
      </c>
      <c r="D85" s="49">
        <f t="shared" si="12"/>
        <v>0</v>
      </c>
      <c r="E85" s="79" t="s">
        <v>112</v>
      </c>
      <c r="F85" s="76">
        <v>331.25</v>
      </c>
      <c r="G85" s="77">
        <v>1.33</v>
      </c>
      <c r="H85" s="76">
        <v>200</v>
      </c>
      <c r="I85" s="77">
        <v>0</v>
      </c>
      <c r="J85" s="80">
        <v>531.25</v>
      </c>
      <c r="K85" s="81">
        <v>1.33</v>
      </c>
      <c r="L85" s="53">
        <f>IF(D85=0,0,IF(AND(D85&gt;12499,D85&lt;25000),(F85+IF(D85&gt;12500,((D85-12500)/100*G85),0)+H85+IF(D85&gt;12500,(I85*(D85-12500)/100),0)),0))</f>
        <v>0</v>
      </c>
      <c r="M85" s="54">
        <f t="shared" si="13"/>
        <v>75</v>
      </c>
      <c r="N85" s="12"/>
      <c r="O85" s="12"/>
      <c r="P85" s="12"/>
      <c r="Q85" s="12"/>
      <c r="R85" s="12"/>
      <c r="S85" s="12"/>
      <c r="T85" s="12"/>
      <c r="U85" s="12"/>
      <c r="V85" s="12"/>
    </row>
    <row r="86" spans="1:22" hidden="1">
      <c r="A86" s="12" t="str">
        <f t="shared" si="15"/>
        <v> </v>
      </c>
      <c r="B86" s="47">
        <v>0</v>
      </c>
      <c r="C86" s="48">
        <v>0</v>
      </c>
      <c r="D86" s="49">
        <f t="shared" si="12"/>
        <v>0</v>
      </c>
      <c r="E86" s="79" t="s">
        <v>94</v>
      </c>
      <c r="F86" s="76">
        <v>497.5</v>
      </c>
      <c r="G86" s="77">
        <v>-9.999999999999773E-3</v>
      </c>
      <c r="H86" s="76">
        <v>200</v>
      </c>
      <c r="I86" s="77">
        <v>0.28000000000000003</v>
      </c>
      <c r="J86" s="80">
        <v>697.5</v>
      </c>
      <c r="K86" s="81">
        <v>0.27</v>
      </c>
      <c r="L86" s="53" t="str">
        <f>IF(D86=0,CHAR(160),IF(AND(D86&gt;24999,D86&lt;50000),(F86+IF(D86&gt;25000,((D86-25000)/100*G86),0)+H86+IF(D86&gt;25000,(I86*(D86-25000)/100),0)),0))</f>
        <v> </v>
      </c>
      <c r="M86" s="54">
        <f t="shared" si="13"/>
        <v>75</v>
      </c>
      <c r="N86" s="12"/>
      <c r="O86" s="12"/>
      <c r="P86" s="12"/>
      <c r="Q86" s="12"/>
      <c r="R86" s="12"/>
      <c r="S86" s="12"/>
      <c r="T86" s="12"/>
      <c r="U86" s="12"/>
      <c r="V86" s="12"/>
    </row>
    <row r="87" spans="1:22" hidden="1">
      <c r="A87" s="12" t="str">
        <f t="shared" si="15"/>
        <v> </v>
      </c>
      <c r="B87" s="47">
        <v>0</v>
      </c>
      <c r="C87" s="48">
        <v>0</v>
      </c>
      <c r="D87" s="49">
        <f t="shared" si="12"/>
        <v>0</v>
      </c>
      <c r="E87" s="79" t="s">
        <v>126</v>
      </c>
      <c r="F87" s="76">
        <v>495</v>
      </c>
      <c r="G87" s="77">
        <v>0.17333333333333326</v>
      </c>
      <c r="H87" s="76">
        <v>270</v>
      </c>
      <c r="I87" s="77">
        <v>7.3333333333333334E-2</v>
      </c>
      <c r="J87" s="80">
        <v>765</v>
      </c>
      <c r="K87" s="81">
        <v>0.24666666666666659</v>
      </c>
      <c r="L87" s="53" t="str">
        <f>IF(D87=0,CHAR(160),IF(AND(D87&gt;49999,D87&lt;125000),(F87+IF(D87&gt;50000,((D87-50000)/100*G87),0)+H87+IF(D87&gt;50000,(I87*(D87-50000)/100),0)),0))</f>
        <v> </v>
      </c>
      <c r="M87" s="54">
        <f t="shared" si="13"/>
        <v>75</v>
      </c>
      <c r="N87" s="12"/>
      <c r="O87" s="12"/>
      <c r="P87" s="12"/>
      <c r="Q87" s="12"/>
      <c r="R87" s="12"/>
      <c r="S87" s="12"/>
      <c r="T87" s="12"/>
      <c r="U87" s="12"/>
      <c r="V87" s="12"/>
    </row>
    <row r="88" spans="1:22" hidden="1">
      <c r="A88" s="12" t="str">
        <f t="shared" si="15"/>
        <v> </v>
      </c>
      <c r="B88" s="47">
        <v>0</v>
      </c>
      <c r="C88" s="48">
        <v>0</v>
      </c>
      <c r="D88" s="49">
        <f t="shared" si="12"/>
        <v>0</v>
      </c>
      <c r="E88" s="79" t="s">
        <v>127</v>
      </c>
      <c r="F88" s="76">
        <v>625</v>
      </c>
      <c r="G88" s="77">
        <v>0.1</v>
      </c>
      <c r="H88" s="76">
        <v>325</v>
      </c>
      <c r="I88" s="77">
        <v>0.04</v>
      </c>
      <c r="J88" s="80">
        <v>950</v>
      </c>
      <c r="K88" s="81">
        <v>0.14000000000000001</v>
      </c>
      <c r="L88" s="53" t="str">
        <f>IF(D88=0,CHAR(160),IF(AND(D88&gt;124999,D88&lt;250000),(F88+IF(D88&gt;125000,((D88-125000)/100*G88),0)+H88+IF(D88&gt;125000,(I88*(D88-125000)/100),0)),0))</f>
        <v> </v>
      </c>
      <c r="M88" s="54">
        <f t="shared" si="13"/>
        <v>75</v>
      </c>
      <c r="N88" s="12"/>
      <c r="O88" s="12"/>
      <c r="P88" s="12"/>
      <c r="Q88" s="12"/>
      <c r="R88" s="12"/>
      <c r="S88" s="12"/>
      <c r="T88" s="12"/>
      <c r="U88" s="12"/>
      <c r="V88" s="12"/>
    </row>
    <row r="89" spans="1:22" hidden="1">
      <c r="A89" s="12" t="str">
        <f t="shared" si="15"/>
        <v> </v>
      </c>
      <c r="B89" s="55">
        <v>0</v>
      </c>
      <c r="C89" s="56">
        <v>0</v>
      </c>
      <c r="D89" s="49">
        <f t="shared" si="12"/>
        <v>0</v>
      </c>
      <c r="E89" s="83" t="s">
        <v>128</v>
      </c>
      <c r="F89" s="76">
        <v>750</v>
      </c>
      <c r="G89" s="77">
        <v>0.3</v>
      </c>
      <c r="H89" s="76">
        <v>375</v>
      </c>
      <c r="I89" s="77">
        <v>0.15</v>
      </c>
      <c r="J89" s="84">
        <v>1125</v>
      </c>
      <c r="K89" s="85">
        <v>0.45</v>
      </c>
      <c r="L89" s="72" t="str">
        <f>IF(D89=0,CHAR(160),IF(D89&gt;=250000,(F89+IF(D89&gt;250000,((D89-250000)/100*G89),0)+H89+IF(D89&gt;250000,(I89*(D89-250000)/100),0)),0))</f>
        <v> </v>
      </c>
      <c r="M89" s="60">
        <f t="shared" si="13"/>
        <v>75</v>
      </c>
      <c r="N89" s="61">
        <f>SUMIFS(L84:L89,A84:A89,"=f-1",L84:L89,"&gt;0")</f>
        <v>0</v>
      </c>
      <c r="O89" s="61"/>
      <c r="P89" s="12"/>
      <c r="Q89" s="12"/>
      <c r="R89" s="12"/>
      <c r="S89" s="12"/>
      <c r="T89" s="12"/>
      <c r="U89" s="12"/>
      <c r="V89" s="12"/>
    </row>
    <row r="90" spans="1:22" hidden="1">
      <c r="A90" s="12" t="str">
        <f>IF($B$268=21,"F-2",CHAR(160))</f>
        <v> </v>
      </c>
      <c r="B90" s="62" t="s">
        <v>16</v>
      </c>
      <c r="C90" s="63">
        <v>0</v>
      </c>
      <c r="D90" s="49">
        <f t="shared" si="12"/>
        <v>0</v>
      </c>
      <c r="E90" s="75" t="s">
        <v>125</v>
      </c>
      <c r="F90" s="76">
        <v>496.5</v>
      </c>
      <c r="G90" s="77">
        <v>-2.5000000000000001E-3</v>
      </c>
      <c r="H90" s="76">
        <v>123.75</v>
      </c>
      <c r="I90" s="77">
        <v>0.375</v>
      </c>
      <c r="J90" s="76">
        <v>620.25</v>
      </c>
      <c r="K90" s="77">
        <v>0.3725</v>
      </c>
      <c r="L90" s="67">
        <f>(IF(D90&lt;=12499,(IF(D90&lt;=0,0,(F90+IF(D90&gt;2500,((D90-2500)/100*G90),0)+H90+IF(D90&gt;2500,(I90*(D90-2500)/100),0)))),0))</f>
        <v>0</v>
      </c>
      <c r="M90" s="68">
        <f t="shared" si="13"/>
        <v>75</v>
      </c>
      <c r="N90" s="12"/>
      <c r="O90" s="12"/>
      <c r="P90" s="12"/>
      <c r="Q90" s="12"/>
      <c r="R90" s="12"/>
      <c r="S90" s="12"/>
      <c r="T90" s="12"/>
      <c r="U90" s="12"/>
      <c r="V90" s="12"/>
    </row>
    <row r="91" spans="1:22" hidden="1">
      <c r="A91" s="12" t="str">
        <f t="shared" ref="A91:A95" si="16">IF($B$268=21,"F-2",CHAR(160))</f>
        <v> </v>
      </c>
      <c r="B91" s="47">
        <v>0</v>
      </c>
      <c r="C91" s="48">
        <v>0</v>
      </c>
      <c r="D91" s="49">
        <f t="shared" si="12"/>
        <v>0</v>
      </c>
      <c r="E91" s="79" t="s">
        <v>112</v>
      </c>
      <c r="F91" s="76">
        <v>496.25</v>
      </c>
      <c r="G91" s="77">
        <v>0.01</v>
      </c>
      <c r="H91" s="76">
        <v>161.25</v>
      </c>
      <c r="I91" s="77">
        <v>0.15</v>
      </c>
      <c r="J91" s="80">
        <v>657.5</v>
      </c>
      <c r="K91" s="81">
        <v>0.16</v>
      </c>
      <c r="L91" s="53">
        <f>IF(D91=0,0,IF(AND(D91&gt;12499,D91&lt;25000),(F91+IF(D91&gt;12500,((D91-12500)/100*G91),0)+H91+IF(D91&gt;12500,(I91*(D91-12500)/100),0)),0))</f>
        <v>0</v>
      </c>
      <c r="M91" s="54">
        <f t="shared" si="13"/>
        <v>75</v>
      </c>
      <c r="N91" s="12"/>
      <c r="O91" s="12"/>
      <c r="P91" s="12"/>
      <c r="Q91" s="12"/>
      <c r="R91" s="12"/>
      <c r="S91" s="12"/>
      <c r="T91" s="12"/>
      <c r="U91" s="12"/>
      <c r="V91" s="12"/>
    </row>
    <row r="92" spans="1:22" hidden="1">
      <c r="A92" s="12" t="str">
        <f t="shared" si="16"/>
        <v> </v>
      </c>
      <c r="B92" s="47">
        <v>0</v>
      </c>
      <c r="C92" s="48">
        <v>0</v>
      </c>
      <c r="D92" s="49">
        <f t="shared" si="12"/>
        <v>0</v>
      </c>
      <c r="E92" s="79" t="s">
        <v>94</v>
      </c>
      <c r="F92" s="76">
        <v>497.5</v>
      </c>
      <c r="G92" s="77">
        <v>2.19</v>
      </c>
      <c r="H92" s="76">
        <v>180</v>
      </c>
      <c r="I92" s="77">
        <v>0.24</v>
      </c>
      <c r="J92" s="80">
        <v>677.5</v>
      </c>
      <c r="K92" s="81">
        <v>2.4300000000000002</v>
      </c>
      <c r="L92" s="53" t="str">
        <f>IF(D92=0,CHAR(160),IF(AND(D92&gt;24999,D92&lt;50000),(F92+IF(D92&gt;25000,((D92-25000)/100*G92),0)+H92+IF(D92&gt;25000,(I92*(D92-25000)/100),0)),0))</f>
        <v> </v>
      </c>
      <c r="M92" s="54">
        <f t="shared" si="13"/>
        <v>75</v>
      </c>
      <c r="N92" s="12"/>
      <c r="O92" s="12"/>
      <c r="P92" s="12"/>
      <c r="Q92" s="12"/>
      <c r="R92" s="12"/>
      <c r="S92" s="12"/>
      <c r="T92" s="12"/>
      <c r="U92" s="12"/>
      <c r="V92" s="12"/>
    </row>
    <row r="93" spans="1:22" hidden="1">
      <c r="A93" s="12" t="str">
        <f t="shared" si="16"/>
        <v> </v>
      </c>
      <c r="B93" s="47">
        <v>0</v>
      </c>
      <c r="C93" s="48">
        <v>0</v>
      </c>
      <c r="D93" s="49">
        <f t="shared" si="12"/>
        <v>0</v>
      </c>
      <c r="E93" s="79" t="s">
        <v>126</v>
      </c>
      <c r="F93" s="76">
        <v>1045</v>
      </c>
      <c r="G93" s="77">
        <v>0.19</v>
      </c>
      <c r="H93" s="76">
        <v>240</v>
      </c>
      <c r="I93" s="77">
        <v>0.16333333333333336</v>
      </c>
      <c r="J93" s="80">
        <v>1285</v>
      </c>
      <c r="K93" s="81">
        <v>0.35333333333333339</v>
      </c>
      <c r="L93" s="53" t="str">
        <f>IF(D93=0,CHAR(160),IF(AND(D93&gt;49999,D93&lt;125000),(F93+IF(D93&gt;50000,((D93-50000)/100*G93),0)+H93+IF(D93&gt;50000,(I93*(D93-50000)/100),0)),0))</f>
        <v> </v>
      </c>
      <c r="M93" s="54">
        <f t="shared" si="13"/>
        <v>75</v>
      </c>
      <c r="N93" s="12"/>
      <c r="O93" s="12"/>
      <c r="P93" s="12"/>
      <c r="Q93" s="12"/>
      <c r="R93" s="12"/>
      <c r="S93" s="12"/>
      <c r="T93" s="12"/>
      <c r="U93" s="12"/>
      <c r="V93" s="12"/>
    </row>
    <row r="94" spans="1:22" hidden="1">
      <c r="A94" s="12" t="str">
        <f t="shared" si="16"/>
        <v> </v>
      </c>
      <c r="B94" s="47">
        <v>0</v>
      </c>
      <c r="C94" s="48">
        <v>0</v>
      </c>
      <c r="D94" s="49">
        <f t="shared" si="12"/>
        <v>0</v>
      </c>
      <c r="E94" s="79" t="s">
        <v>127</v>
      </c>
      <c r="F94" s="76">
        <v>1187.5</v>
      </c>
      <c r="G94" s="77">
        <v>0.25</v>
      </c>
      <c r="H94" s="76">
        <v>362.5</v>
      </c>
      <c r="I94" s="77">
        <v>0.09</v>
      </c>
      <c r="J94" s="80">
        <v>1550</v>
      </c>
      <c r="K94" s="81">
        <v>0.34</v>
      </c>
      <c r="L94" s="53" t="str">
        <f>IF(D94=0,CHAR(160),IF(AND(D94&gt;124999,D94&lt;250000),(F94+IF(D94&gt;125000,((D94-125000)/100*G94),0)+H94+IF(D94&gt;125000,(I94*(D94-125000)/100),0)),0))</f>
        <v> </v>
      </c>
      <c r="M94" s="54">
        <f t="shared" si="13"/>
        <v>75</v>
      </c>
      <c r="N94" s="12"/>
      <c r="O94" s="12"/>
      <c r="P94" s="12"/>
      <c r="Q94" s="12"/>
      <c r="R94" s="12"/>
      <c r="S94" s="12"/>
      <c r="T94" s="12"/>
      <c r="U94" s="12"/>
      <c r="V94" s="12"/>
    </row>
    <row r="95" spans="1:22" hidden="1">
      <c r="A95" s="12" t="str">
        <f t="shared" si="16"/>
        <v> </v>
      </c>
      <c r="B95" s="55">
        <v>0</v>
      </c>
      <c r="C95" s="56">
        <v>0</v>
      </c>
      <c r="D95" s="49">
        <f t="shared" si="12"/>
        <v>0</v>
      </c>
      <c r="E95" s="83" t="s">
        <v>128</v>
      </c>
      <c r="F95" s="76">
        <v>1500</v>
      </c>
      <c r="G95" s="77">
        <v>0.6</v>
      </c>
      <c r="H95" s="76">
        <v>475</v>
      </c>
      <c r="I95" s="77">
        <v>0.19</v>
      </c>
      <c r="J95" s="84">
        <v>1975</v>
      </c>
      <c r="K95" s="85">
        <v>0.79</v>
      </c>
      <c r="L95" s="72" t="str">
        <f>IF(D95=0,CHAR(160),IF(D95&gt;=250000,(F95+IF(D95&gt;250000,((D95-250000)/100*G95),0)+H95+IF(D95&gt;250000,(I95*(D95-250000)/100),0)),0))</f>
        <v> </v>
      </c>
      <c r="M95" s="60">
        <f t="shared" si="13"/>
        <v>75</v>
      </c>
      <c r="N95" s="61">
        <f>SUMIFS(L90:L95,A90:A95,"=f-2",L90:L95,"&gt;0")</f>
        <v>0</v>
      </c>
      <c r="O95" s="61"/>
      <c r="P95" s="12"/>
      <c r="Q95" s="12"/>
      <c r="R95" s="12"/>
      <c r="S95" s="12"/>
      <c r="T95" s="12"/>
      <c r="U95" s="12"/>
      <c r="V95" s="12"/>
    </row>
    <row r="96" spans="1:22" hidden="1">
      <c r="A96" s="12" t="str">
        <f>IF($B$268=5,"F-TI",CHAR(160))</f>
        <v> </v>
      </c>
      <c r="B96" s="62" t="s">
        <v>17</v>
      </c>
      <c r="C96" s="63">
        <v>0</v>
      </c>
      <c r="D96" s="49">
        <f t="shared" si="12"/>
        <v>0</v>
      </c>
      <c r="E96" s="75" t="s">
        <v>122</v>
      </c>
      <c r="F96" s="76">
        <v>206.9</v>
      </c>
      <c r="G96" s="77">
        <v>2.4999999999998578E-3</v>
      </c>
      <c r="H96" s="76">
        <v>61.8</v>
      </c>
      <c r="I96" s="77">
        <v>0.46750000000000003</v>
      </c>
      <c r="J96" s="76">
        <v>268.7</v>
      </c>
      <c r="K96" s="77">
        <v>0.47</v>
      </c>
      <c r="L96" s="67">
        <f>(IF(D96&lt;=4999,(IF(D96&lt;=0,0,(F96+IF(D96&gt;1000,((D96-1000)/100*G96),0)+H96+IF(D96&gt;1000,(I96*(D96-1000)/100),0)))),0))</f>
        <v>0</v>
      </c>
      <c r="M96" s="68">
        <f t="shared" si="13"/>
        <v>75</v>
      </c>
      <c r="N96" s="12"/>
      <c r="O96" s="12"/>
      <c r="P96" s="12"/>
      <c r="Q96" s="12"/>
      <c r="R96" s="12"/>
      <c r="S96" s="12"/>
      <c r="T96" s="12"/>
      <c r="U96" s="12"/>
      <c r="V96" s="12"/>
    </row>
    <row r="97" spans="1:22" hidden="1">
      <c r="A97" s="12" t="str">
        <f t="shared" ref="A97:A101" si="17">IF($B$268=5,"F-TI",CHAR(160))</f>
        <v> </v>
      </c>
      <c r="B97" s="47">
        <v>0</v>
      </c>
      <c r="C97" s="48">
        <v>0</v>
      </c>
      <c r="D97" s="49">
        <f t="shared" si="12"/>
        <v>0</v>
      </c>
      <c r="E97" s="79" t="s">
        <v>92</v>
      </c>
      <c r="F97" s="76">
        <v>207</v>
      </c>
      <c r="G97" s="77">
        <v>0</v>
      </c>
      <c r="H97" s="76">
        <v>80.5</v>
      </c>
      <c r="I97" s="77">
        <v>0.19</v>
      </c>
      <c r="J97" s="80">
        <v>287.5</v>
      </c>
      <c r="K97" s="81">
        <v>0.19</v>
      </c>
      <c r="L97" s="53">
        <f>IF(D97=0,0,IF(AND(D97&gt;4999,D97&lt;10000),(F97+IF(D97&gt;5000,((D97-5000)/100*G97),0)+H97+IF(D97&gt;5000,(I97*(D97-5000)/100),0)),0))</f>
        <v>0</v>
      </c>
      <c r="M97" s="54">
        <f t="shared" si="13"/>
        <v>75</v>
      </c>
      <c r="N97" s="12"/>
      <c r="O97" s="12"/>
      <c r="P97" s="12"/>
      <c r="Q97" s="12"/>
      <c r="R97" s="12"/>
      <c r="S97" s="12"/>
      <c r="T97" s="12"/>
      <c r="U97" s="12"/>
      <c r="V97" s="12"/>
    </row>
    <row r="98" spans="1:22" hidden="1">
      <c r="A98" s="12" t="str">
        <f t="shared" si="17"/>
        <v> </v>
      </c>
      <c r="B98" s="47">
        <v>0</v>
      </c>
      <c r="C98" s="48">
        <v>0</v>
      </c>
      <c r="D98" s="49">
        <f t="shared" si="12"/>
        <v>0</v>
      </c>
      <c r="E98" s="79" t="s">
        <v>76</v>
      </c>
      <c r="F98" s="76">
        <v>207</v>
      </c>
      <c r="G98" s="77">
        <v>2.27</v>
      </c>
      <c r="H98" s="76">
        <v>90</v>
      </c>
      <c r="I98" s="77">
        <v>0.3</v>
      </c>
      <c r="J98" s="80">
        <v>297</v>
      </c>
      <c r="K98" s="81">
        <v>2.57</v>
      </c>
      <c r="L98" s="53" t="str">
        <f>IF(D98=0,CHAR(160),IF(AND(D98&gt;9999,D98&lt;20000),(F98+IF(D98&gt;10000,((D98-10000)/100*G98),0)+H98+IF(D98&gt;10000,(I98*(D98-10000)/100),0)),0))</f>
        <v> </v>
      </c>
      <c r="M98" s="54">
        <f t="shared" si="13"/>
        <v>75</v>
      </c>
      <c r="N98" s="12"/>
      <c r="O98" s="12"/>
      <c r="P98" s="12"/>
      <c r="Q98" s="12"/>
      <c r="R98" s="12"/>
      <c r="S98" s="12"/>
      <c r="T98" s="12"/>
      <c r="U98" s="12"/>
      <c r="V98" s="12"/>
    </row>
    <row r="99" spans="1:22" hidden="1">
      <c r="A99" s="12" t="str">
        <f t="shared" si="17"/>
        <v> </v>
      </c>
      <c r="B99" s="47">
        <v>0</v>
      </c>
      <c r="C99" s="48">
        <v>0</v>
      </c>
      <c r="D99" s="49">
        <f t="shared" si="12"/>
        <v>0</v>
      </c>
      <c r="E99" s="79" t="s">
        <v>123</v>
      </c>
      <c r="F99" s="76">
        <v>434</v>
      </c>
      <c r="G99" s="77">
        <v>0.20333333333333353</v>
      </c>
      <c r="H99" s="76">
        <v>120</v>
      </c>
      <c r="I99" s="77">
        <v>0.2</v>
      </c>
      <c r="J99" s="80">
        <v>554</v>
      </c>
      <c r="K99" s="81">
        <v>0.40333333333333354</v>
      </c>
      <c r="L99" s="53" t="str">
        <f>IF(D99=0,CHAR(160),IF(AND(D99&gt;19999,D99&lt;50000),(F99+IF(D99&gt;20000,((D99-20000)/100*G99),0)+H99+IF(D99&gt;20000,(I99*(D99-20000)/100),0)),0))</f>
        <v> </v>
      </c>
      <c r="M99" s="54">
        <f t="shared" si="13"/>
        <v>75</v>
      </c>
      <c r="N99" s="12"/>
      <c r="O99" s="12"/>
      <c r="P99" s="12"/>
      <c r="Q99" s="12"/>
      <c r="R99" s="12"/>
      <c r="S99" s="12"/>
      <c r="T99" s="12"/>
      <c r="U99" s="12"/>
      <c r="V99" s="12"/>
    </row>
    <row r="100" spans="1:22" hidden="1">
      <c r="A100" s="12" t="str">
        <f t="shared" si="17"/>
        <v> </v>
      </c>
      <c r="B100" s="47">
        <v>0</v>
      </c>
      <c r="C100" s="48">
        <v>0</v>
      </c>
      <c r="D100" s="49">
        <f t="shared" si="12"/>
        <v>0</v>
      </c>
      <c r="E100" s="79" t="s">
        <v>116</v>
      </c>
      <c r="F100" s="76">
        <v>495</v>
      </c>
      <c r="G100" s="77">
        <v>0.25</v>
      </c>
      <c r="H100" s="76">
        <v>180</v>
      </c>
      <c r="I100" s="77">
        <v>0.12</v>
      </c>
      <c r="J100" s="80">
        <v>675</v>
      </c>
      <c r="K100" s="81">
        <v>0.37</v>
      </c>
      <c r="L100" s="53" t="str">
        <f>IF(D100=0,CHAR(160),IF(AND(D100&gt;49999,D100&lt;100000),(F100+IF(D100&gt;50000,((D100-50000)/100*G100),0)+H100+IF(D100&gt;50000,(I100*(D100-50000)/100),0)),0))</f>
        <v> </v>
      </c>
      <c r="M100" s="54">
        <f t="shared" si="13"/>
        <v>75</v>
      </c>
      <c r="N100" s="12"/>
      <c r="O100" s="12"/>
      <c r="P100" s="12"/>
      <c r="Q100" s="12"/>
      <c r="R100" s="12"/>
      <c r="S100" s="12"/>
      <c r="T100" s="12"/>
      <c r="U100" s="12"/>
      <c r="V100" s="12"/>
    </row>
    <row r="101" spans="1:22" hidden="1">
      <c r="A101" s="12" t="str">
        <f t="shared" si="17"/>
        <v> </v>
      </c>
      <c r="B101" s="55">
        <v>0</v>
      </c>
      <c r="C101" s="56">
        <v>0</v>
      </c>
      <c r="D101" s="49">
        <f t="shared" si="12"/>
        <v>0</v>
      </c>
      <c r="E101" s="83" t="s">
        <v>129</v>
      </c>
      <c r="F101" s="76">
        <v>620</v>
      </c>
      <c r="G101" s="77">
        <v>0.62</v>
      </c>
      <c r="H101" s="76">
        <v>240</v>
      </c>
      <c r="I101" s="77">
        <v>0.24</v>
      </c>
      <c r="J101" s="84">
        <v>860</v>
      </c>
      <c r="K101" s="85">
        <v>0.86</v>
      </c>
      <c r="L101" s="72" t="str">
        <f>IF(D101=0,CHAR(160),IF(D101&gt;=100000,(F101+IF(D101&gt;100000,((D101-100000)/100*G101),0)+H101+IF(D101&gt;100000,(I101*(D101-100000)/100),0)),0))</f>
        <v> </v>
      </c>
      <c r="M101" s="60">
        <f t="shared" si="13"/>
        <v>75</v>
      </c>
      <c r="N101" s="61">
        <f>SUMIFS(L96:L101,A96:A101,"=f-ti",L96:L101,"&gt;0")</f>
        <v>0</v>
      </c>
      <c r="O101" s="61"/>
      <c r="P101" s="12"/>
      <c r="Q101" s="12"/>
      <c r="R101" s="12"/>
      <c r="S101" s="12"/>
      <c r="T101" s="12"/>
      <c r="U101" s="12"/>
      <c r="V101" s="12"/>
    </row>
    <row r="102" spans="1:22" hidden="1">
      <c r="A102" s="12" t="str">
        <f>IF($B$268=22,"H-1",CHAR(160))</f>
        <v> </v>
      </c>
      <c r="B102" s="62" t="s">
        <v>18</v>
      </c>
      <c r="C102" s="63">
        <v>0</v>
      </c>
      <c r="D102" s="49">
        <f t="shared" si="12"/>
        <v>0</v>
      </c>
      <c r="E102" s="64" t="s">
        <v>90</v>
      </c>
      <c r="F102" s="76">
        <v>744.95</v>
      </c>
      <c r="G102" s="77">
        <v>2.4999999999977263E-3</v>
      </c>
      <c r="H102" s="76">
        <v>342.5</v>
      </c>
      <c r="I102" s="77">
        <v>5.1375000000000002</v>
      </c>
      <c r="J102" s="76">
        <v>1087.45</v>
      </c>
      <c r="K102" s="77">
        <v>5.14</v>
      </c>
      <c r="L102" s="67">
        <f>(IF(D102&lt;=2499,(IF(D102&lt;=0,0,(F102+IF(D102&gt;500,((D102-500)/100*G102),0)+H102+IF(D102&gt;500,(I102*(D102-500)/100),0)))),0))</f>
        <v>0</v>
      </c>
      <c r="M102" s="68">
        <f t="shared" si="13"/>
        <v>75</v>
      </c>
      <c r="N102" s="12"/>
      <c r="O102" s="12"/>
      <c r="P102" s="12"/>
      <c r="Q102" s="12"/>
      <c r="R102" s="12"/>
      <c r="S102" s="12"/>
      <c r="T102" s="12"/>
      <c r="U102" s="12"/>
      <c r="V102" s="12"/>
    </row>
    <row r="103" spans="1:22" hidden="1">
      <c r="A103" s="12" t="str">
        <f t="shared" ref="A103:A107" si="18">IF($B$268=22,"H-1",CHAR(160))</f>
        <v> </v>
      </c>
      <c r="B103" s="47" t="s">
        <v>19</v>
      </c>
      <c r="C103" s="48">
        <v>0</v>
      </c>
      <c r="D103" s="49">
        <f t="shared" si="12"/>
        <v>0</v>
      </c>
      <c r="E103" s="50" t="s">
        <v>91</v>
      </c>
      <c r="F103" s="76">
        <v>745</v>
      </c>
      <c r="G103" s="77">
        <v>0</v>
      </c>
      <c r="H103" s="76">
        <v>445.25</v>
      </c>
      <c r="I103" s="77">
        <v>2.0499999999999998</v>
      </c>
      <c r="J103" s="80">
        <v>1190.25</v>
      </c>
      <c r="K103" s="81">
        <v>2.0499999999999998</v>
      </c>
      <c r="L103" s="53">
        <f>IF(D103=0,0,IF(AND(D103&gt;2499,D103&lt;5000),(F103+IF(D103&gt;2500,((D103-2500)/100*G103),0)+H103+IF(D103&gt;2500,(I103*(D103-2500)/100),0)),0))</f>
        <v>0</v>
      </c>
      <c r="M103" s="54">
        <f t="shared" si="13"/>
        <v>75</v>
      </c>
      <c r="N103" s="12"/>
      <c r="O103" s="12"/>
      <c r="P103" s="12"/>
      <c r="Q103" s="12"/>
      <c r="R103" s="12"/>
      <c r="S103" s="12"/>
      <c r="T103" s="12"/>
      <c r="U103" s="12"/>
      <c r="V103" s="12"/>
    </row>
    <row r="104" spans="1:22" hidden="1">
      <c r="A104" s="12" t="str">
        <f t="shared" si="18"/>
        <v> </v>
      </c>
      <c r="B104" s="47">
        <v>0</v>
      </c>
      <c r="C104" s="48">
        <v>0</v>
      </c>
      <c r="D104" s="49">
        <f t="shared" si="12"/>
        <v>0</v>
      </c>
      <c r="E104" s="50" t="s">
        <v>92</v>
      </c>
      <c r="F104" s="76">
        <v>745</v>
      </c>
      <c r="G104" s="77">
        <v>16.38</v>
      </c>
      <c r="H104" s="76">
        <v>496.5</v>
      </c>
      <c r="I104" s="77">
        <v>3.43</v>
      </c>
      <c r="J104" s="80">
        <v>1241.5</v>
      </c>
      <c r="K104" s="81">
        <v>19.809999999999999</v>
      </c>
      <c r="L104" s="53" t="str">
        <f>IF(D104=0,CHAR(160),IF(AND(D104&gt;4999,D104&lt;10000),(F104+IF(D104&gt;5000,((D104-5000)/100*G104),0)+H104+IF(D104&gt;5000,(I104*(D104-5000)/100),0)),0))</f>
        <v> </v>
      </c>
      <c r="M104" s="54">
        <f t="shared" si="13"/>
        <v>75</v>
      </c>
      <c r="N104" s="12"/>
      <c r="O104" s="12"/>
      <c r="P104" s="12"/>
      <c r="Q104" s="12"/>
      <c r="R104" s="12"/>
      <c r="S104" s="12"/>
      <c r="T104" s="12"/>
      <c r="U104" s="12"/>
      <c r="V104" s="12"/>
    </row>
    <row r="105" spans="1:22" hidden="1">
      <c r="A105" s="12" t="str">
        <f t="shared" si="18"/>
        <v> </v>
      </c>
      <c r="B105" s="47">
        <v>0</v>
      </c>
      <c r="C105" s="48">
        <v>0</v>
      </c>
      <c r="D105" s="49">
        <f t="shared" si="12"/>
        <v>0</v>
      </c>
      <c r="E105" s="50" t="s">
        <v>93</v>
      </c>
      <c r="F105" s="76">
        <v>1564</v>
      </c>
      <c r="G105" s="77">
        <v>1.49</v>
      </c>
      <c r="H105" s="76">
        <v>668</v>
      </c>
      <c r="I105" s="77">
        <v>2.1633333333333336</v>
      </c>
      <c r="J105" s="80">
        <v>2232</v>
      </c>
      <c r="K105" s="81">
        <v>3.653333333333332</v>
      </c>
      <c r="L105" s="53" t="str">
        <f>IF(D105=0,CHAR(160),IF(AND(D105&gt;9999,D105&lt;25000),(F105+IF(D105&gt;10000,((D105-10000)/100*G105),0)+H105+IF(D105&gt;10000,(I105*(D105-10000)/100),0)),0))</f>
        <v> </v>
      </c>
      <c r="M105" s="54">
        <f t="shared" si="13"/>
        <v>75</v>
      </c>
      <c r="N105" s="12"/>
      <c r="O105" s="12"/>
      <c r="P105" s="12"/>
      <c r="Q105" s="12"/>
      <c r="R105" s="12"/>
      <c r="S105" s="12"/>
      <c r="T105" s="12"/>
      <c r="U105" s="12"/>
      <c r="V105" s="12"/>
    </row>
    <row r="106" spans="1:22" hidden="1">
      <c r="A106" s="12" t="str">
        <f t="shared" si="18"/>
        <v> </v>
      </c>
      <c r="B106" s="47">
        <v>0</v>
      </c>
      <c r="C106" s="48">
        <v>0</v>
      </c>
      <c r="D106" s="49">
        <f t="shared" si="12"/>
        <v>0</v>
      </c>
      <c r="E106" s="50" t="s">
        <v>94</v>
      </c>
      <c r="F106" s="76">
        <v>1787.5</v>
      </c>
      <c r="G106" s="77">
        <v>1.79</v>
      </c>
      <c r="H106" s="76">
        <v>992.5</v>
      </c>
      <c r="I106" s="77">
        <v>1.37</v>
      </c>
      <c r="J106" s="80">
        <v>2780</v>
      </c>
      <c r="K106" s="81">
        <v>3.16</v>
      </c>
      <c r="L106" s="53" t="str">
        <f>IF(D106=0,CHAR(160),IF(AND(D106&gt;24999,D106&lt;50000),(F106+IF(D106&gt;25000,((D106-25000)/100*G106),0)+H106+IF(D106&gt;25000,(I106*(D106-25000)/100),0)),0))</f>
        <v> </v>
      </c>
      <c r="M106" s="54">
        <f t="shared" si="13"/>
        <v>75</v>
      </c>
      <c r="N106" s="12"/>
      <c r="O106" s="12"/>
      <c r="P106" s="12"/>
      <c r="Q106" s="12"/>
      <c r="R106" s="12"/>
      <c r="S106" s="12"/>
      <c r="T106" s="12"/>
      <c r="U106" s="12"/>
      <c r="V106" s="12"/>
    </row>
    <row r="107" spans="1:22" hidden="1">
      <c r="A107" s="12" t="str">
        <f t="shared" si="18"/>
        <v> </v>
      </c>
      <c r="B107" s="55">
        <v>0</v>
      </c>
      <c r="C107" s="56">
        <v>0</v>
      </c>
      <c r="D107" s="49">
        <f t="shared" si="12"/>
        <v>0</v>
      </c>
      <c r="E107" s="57" t="s">
        <v>95</v>
      </c>
      <c r="F107" s="76">
        <v>2235</v>
      </c>
      <c r="G107" s="77">
        <v>4.47</v>
      </c>
      <c r="H107" s="76">
        <v>1335</v>
      </c>
      <c r="I107" s="77">
        <v>2.67</v>
      </c>
      <c r="J107" s="84">
        <v>3570</v>
      </c>
      <c r="K107" s="85">
        <v>7.14</v>
      </c>
      <c r="L107" s="72" t="str">
        <f>IF(D107=0,CHAR(160),IF(D107&gt;=50000,(F107+IF(D107&gt;50000,((D107-50000)/100*G107),0)+H107+IF(D107&gt;50000,(I107*(D107-50000)/100),0)),0))</f>
        <v> </v>
      </c>
      <c r="M107" s="60">
        <f t="shared" si="13"/>
        <v>75</v>
      </c>
      <c r="N107" s="61">
        <f>SUMIFS(L102:L107,A102:A107,"=h-1",L102:L107,"&gt;0")</f>
        <v>0</v>
      </c>
      <c r="O107" s="61"/>
      <c r="P107" s="12"/>
      <c r="Q107" s="12"/>
      <c r="R107" s="12"/>
      <c r="S107" s="12"/>
      <c r="T107" s="12"/>
      <c r="U107" s="12"/>
      <c r="V107" s="12"/>
    </row>
    <row r="108" spans="1:22" hidden="1">
      <c r="A108" s="12" t="str">
        <f>IF($B$268=23,"H-2",CHAR(160))</f>
        <v> </v>
      </c>
      <c r="B108" s="62" t="s">
        <v>20</v>
      </c>
      <c r="C108" s="63">
        <v>0</v>
      </c>
      <c r="D108" s="49">
        <f t="shared" si="12"/>
        <v>0</v>
      </c>
      <c r="E108" s="75" t="s">
        <v>114</v>
      </c>
      <c r="F108" s="76">
        <v>744.92499999999995</v>
      </c>
      <c r="G108" s="77">
        <v>-4.9999999999954525E-3</v>
      </c>
      <c r="H108" s="76">
        <v>342.5</v>
      </c>
      <c r="I108" s="77">
        <v>10.275</v>
      </c>
      <c r="J108" s="76">
        <v>1087.425</v>
      </c>
      <c r="K108" s="77">
        <v>10.27</v>
      </c>
      <c r="L108" s="67">
        <f>(IF(D108&lt;=1249,(IF(D108&lt;=0,0,(F108+IF(D108&gt;250,((D108-250)/100*G108),0)+H108+IF(D108&gt;250,(I108*(D108-250)/100),0)))),0))</f>
        <v>0</v>
      </c>
      <c r="M108" s="68">
        <f t="shared" si="13"/>
        <v>75</v>
      </c>
      <c r="N108" s="12"/>
      <c r="O108" s="12"/>
      <c r="P108" s="12"/>
      <c r="Q108" s="12"/>
      <c r="R108" s="12"/>
      <c r="S108" s="12"/>
      <c r="T108" s="12"/>
      <c r="U108" s="12"/>
      <c r="V108" s="12"/>
    </row>
    <row r="109" spans="1:22" hidden="1">
      <c r="A109" s="12" t="str">
        <f t="shared" ref="A109:A113" si="19">IF($B$268=23,"H-2",CHAR(160))</f>
        <v> </v>
      </c>
      <c r="B109" s="47" t="s">
        <v>21</v>
      </c>
      <c r="C109" s="48">
        <v>0</v>
      </c>
      <c r="D109" s="49">
        <f t="shared" si="12"/>
        <v>0</v>
      </c>
      <c r="E109" s="79" t="s">
        <v>110</v>
      </c>
      <c r="F109" s="76">
        <v>744.875</v>
      </c>
      <c r="G109" s="77">
        <v>0.01</v>
      </c>
      <c r="H109" s="76">
        <v>445.25</v>
      </c>
      <c r="I109" s="77">
        <v>4.0999999999999996</v>
      </c>
      <c r="J109" s="80">
        <v>1190.125</v>
      </c>
      <c r="K109" s="81">
        <v>4.1100000000000003</v>
      </c>
      <c r="L109" s="53">
        <f>IF(D109=0,0,IF(AND(D109&gt;1249,D109&lt;2500),(F109+IF(D109&gt;1250,((D109-1250)/100*G109),0)+H109+IF(D109&gt;1250,(I109*(D109-1250)/100),0)),0))</f>
        <v>0</v>
      </c>
      <c r="M109" s="54">
        <f t="shared" si="13"/>
        <v>75</v>
      </c>
      <c r="N109" s="12"/>
      <c r="O109" s="12"/>
      <c r="P109" s="12"/>
      <c r="Q109" s="12"/>
      <c r="R109" s="12"/>
      <c r="S109" s="12"/>
      <c r="T109" s="12"/>
      <c r="U109" s="12"/>
      <c r="V109" s="12"/>
    </row>
    <row r="110" spans="1:22" hidden="1">
      <c r="A110" s="12" t="str">
        <f t="shared" si="19"/>
        <v> </v>
      </c>
      <c r="B110" s="47">
        <v>0</v>
      </c>
      <c r="C110" s="48">
        <v>0</v>
      </c>
      <c r="D110" s="49">
        <f t="shared" si="12"/>
        <v>0</v>
      </c>
      <c r="E110" s="79" t="s">
        <v>91</v>
      </c>
      <c r="F110" s="76">
        <v>745</v>
      </c>
      <c r="G110" s="77">
        <v>32.78</v>
      </c>
      <c r="H110" s="76">
        <v>496.5</v>
      </c>
      <c r="I110" s="77">
        <v>6.86</v>
      </c>
      <c r="J110" s="80">
        <v>1241.5</v>
      </c>
      <c r="K110" s="81">
        <v>39.64</v>
      </c>
      <c r="L110" s="53" t="str">
        <f>IF(D110=0,CHAR(160),IF(AND(D110&gt;2499,D110&lt;5000),(F110+IF(D110&gt;2500,((D110-2500)/100*G110),0)+H110+IF(D110&gt;2500,(I110*(D110-2500)/100),0)),0))</f>
        <v> </v>
      </c>
      <c r="M110" s="54">
        <f t="shared" si="13"/>
        <v>75</v>
      </c>
      <c r="N110" s="12"/>
      <c r="O110" s="12"/>
      <c r="P110" s="12"/>
      <c r="Q110" s="12"/>
      <c r="R110" s="12"/>
      <c r="S110" s="12"/>
      <c r="T110" s="12"/>
      <c r="U110" s="12"/>
      <c r="V110" s="12"/>
    </row>
    <row r="111" spans="1:22" hidden="1">
      <c r="A111" s="12" t="str">
        <f t="shared" si="19"/>
        <v> </v>
      </c>
      <c r="B111" s="47">
        <v>0</v>
      </c>
      <c r="C111" s="48">
        <v>0</v>
      </c>
      <c r="D111" s="49">
        <f t="shared" si="12"/>
        <v>0</v>
      </c>
      <c r="E111" s="79" t="s">
        <v>111</v>
      </c>
      <c r="F111" s="76">
        <v>1564.5</v>
      </c>
      <c r="G111" s="77">
        <v>2.9733333333333305</v>
      </c>
      <c r="H111" s="76">
        <v>668</v>
      </c>
      <c r="I111" s="77">
        <v>4.3433333333333337</v>
      </c>
      <c r="J111" s="80">
        <v>2232.5</v>
      </c>
      <c r="K111" s="81">
        <v>7.3166666666666647</v>
      </c>
      <c r="L111" s="53" t="str">
        <f>IF(D111=0,CHAR(160),IF(AND(D111&gt;4999,D111&lt;12500),(F111+IF(D111&gt;5000,((D111-5000)/100*G111),0)+H111+IF(D111&gt;5000,(I111*(D111-5000)/100),0)),0))</f>
        <v> </v>
      </c>
      <c r="M111" s="54">
        <f t="shared" si="13"/>
        <v>75</v>
      </c>
      <c r="N111" s="12"/>
      <c r="O111" s="12"/>
      <c r="P111" s="12"/>
      <c r="Q111" s="12"/>
      <c r="R111" s="12"/>
      <c r="S111" s="12"/>
      <c r="T111" s="12"/>
      <c r="U111" s="12"/>
      <c r="V111" s="12"/>
    </row>
    <row r="112" spans="1:22" hidden="1">
      <c r="A112" s="12" t="str">
        <f t="shared" si="19"/>
        <v> </v>
      </c>
      <c r="B112" s="47">
        <v>0</v>
      </c>
      <c r="C112" s="48">
        <v>0</v>
      </c>
      <c r="D112" s="49">
        <f t="shared" si="12"/>
        <v>0</v>
      </c>
      <c r="E112" s="79" t="s">
        <v>112</v>
      </c>
      <c r="F112" s="76">
        <v>1787.5</v>
      </c>
      <c r="G112" s="77">
        <v>3.58</v>
      </c>
      <c r="H112" s="76">
        <v>993.75</v>
      </c>
      <c r="I112" s="77">
        <v>2.73</v>
      </c>
      <c r="J112" s="80">
        <v>2781.25</v>
      </c>
      <c r="K112" s="81">
        <v>6.31</v>
      </c>
      <c r="L112" s="53" t="str">
        <f>IF(D112=0,CHAR(160),IF(AND(D112&gt;12499,D112&lt;25000),(F112+IF(D112&gt;12500,((D112-12500)/100*G112),0)+H112+IF(D112&gt;12500,(I112*(D112-12500)/100),0)),0))</f>
        <v> </v>
      </c>
      <c r="M112" s="54">
        <f t="shared" si="13"/>
        <v>75</v>
      </c>
      <c r="N112" s="12"/>
      <c r="O112" s="12"/>
      <c r="P112" s="12"/>
      <c r="Q112" s="12"/>
      <c r="R112" s="12"/>
      <c r="S112" s="12"/>
      <c r="T112" s="12"/>
      <c r="U112" s="12"/>
      <c r="V112" s="12"/>
    </row>
    <row r="113" spans="1:22" hidden="1">
      <c r="A113" s="12" t="str">
        <f t="shared" si="19"/>
        <v> </v>
      </c>
      <c r="B113" s="55">
        <v>0</v>
      </c>
      <c r="C113" s="56">
        <v>0</v>
      </c>
      <c r="D113" s="49">
        <f t="shared" si="12"/>
        <v>0</v>
      </c>
      <c r="E113" s="83" t="s">
        <v>113</v>
      </c>
      <c r="F113" s="76">
        <v>2235</v>
      </c>
      <c r="G113" s="77">
        <v>8.94</v>
      </c>
      <c r="H113" s="76">
        <v>1335</v>
      </c>
      <c r="I113" s="77">
        <v>5.34</v>
      </c>
      <c r="J113" s="84">
        <v>3570</v>
      </c>
      <c r="K113" s="85">
        <v>14.28</v>
      </c>
      <c r="L113" s="72" t="str">
        <f>IF(D113=0,CHAR(160),IF(D113&gt;=25000,(F113+IF(D113&gt;25000,((D113-25000)/100*G113),0)+H113+IF(D113&gt;25000,(I113*(D113-25000)/100),0)),0))</f>
        <v> </v>
      </c>
      <c r="M113" s="60">
        <f t="shared" si="13"/>
        <v>75</v>
      </c>
      <c r="N113" s="61">
        <f>SUMIFS(L108:L113,A108:A113,"=h-2",L108:L113,"&gt;0")</f>
        <v>0</v>
      </c>
      <c r="O113" s="61"/>
      <c r="P113" s="12"/>
      <c r="Q113" s="12"/>
      <c r="R113" s="12"/>
      <c r="S113" s="12"/>
      <c r="T113" s="12"/>
      <c r="U113" s="12"/>
      <c r="V113" s="12"/>
    </row>
    <row r="114" spans="1:22" hidden="1">
      <c r="A114" s="12" t="str">
        <f>IF($B$268=24,"H-3",CHAR(160))</f>
        <v> </v>
      </c>
      <c r="B114" s="62" t="s">
        <v>22</v>
      </c>
      <c r="C114" s="63">
        <v>0</v>
      </c>
      <c r="D114" s="49">
        <f t="shared" si="12"/>
        <v>0</v>
      </c>
      <c r="E114" s="75" t="s">
        <v>114</v>
      </c>
      <c r="F114" s="76">
        <v>744.92499999999995</v>
      </c>
      <c r="G114" s="77">
        <v>-4.9999999999954525E-3</v>
      </c>
      <c r="H114" s="76">
        <v>342.5</v>
      </c>
      <c r="I114" s="77">
        <v>10.275</v>
      </c>
      <c r="J114" s="76">
        <v>1087.425</v>
      </c>
      <c r="K114" s="77">
        <v>10.27</v>
      </c>
      <c r="L114" s="67">
        <f>(IF(D114&lt;=1249,(IF(D114&lt;=0,0,(F114+IF(D114&gt;250,((D114-250)/100*G114),0)+H114+IF(D114&gt;250,(I114*(D114-250)/100),0)))),0))</f>
        <v>0</v>
      </c>
      <c r="M114" s="68">
        <f t="shared" si="13"/>
        <v>75</v>
      </c>
      <c r="N114" s="12"/>
      <c r="O114" s="12"/>
      <c r="P114" s="12"/>
      <c r="Q114" s="12"/>
      <c r="R114" s="12"/>
      <c r="S114" s="12"/>
      <c r="T114" s="12"/>
      <c r="U114" s="12"/>
      <c r="V114" s="12"/>
    </row>
    <row r="115" spans="1:22" hidden="1">
      <c r="A115" s="12" t="str">
        <f t="shared" ref="A115:A119" si="20">IF($B$268=24,"H-3",CHAR(160))</f>
        <v> </v>
      </c>
      <c r="B115" s="47" t="s">
        <v>23</v>
      </c>
      <c r="C115" s="48">
        <v>0</v>
      </c>
      <c r="D115" s="49">
        <f t="shared" si="12"/>
        <v>0</v>
      </c>
      <c r="E115" s="79" t="s">
        <v>110</v>
      </c>
      <c r="F115" s="76">
        <v>744.875</v>
      </c>
      <c r="G115" s="77">
        <v>0.01</v>
      </c>
      <c r="H115" s="76">
        <v>445.25</v>
      </c>
      <c r="I115" s="77">
        <v>4.0999999999999996</v>
      </c>
      <c r="J115" s="80">
        <v>1190.125</v>
      </c>
      <c r="K115" s="81">
        <v>4.1100000000000003</v>
      </c>
      <c r="L115" s="53">
        <f>IF(D115=0,0,IF(AND(D115&gt;1249,D115&lt;2500),(F115+IF(D115&gt;1250,((D115-1250)/100*G115),0)+H115+IF(D115&gt;1250,(I115*(D115-1250)/100),0)),0))</f>
        <v>0</v>
      </c>
      <c r="M115" s="54">
        <f t="shared" si="13"/>
        <v>75</v>
      </c>
      <c r="N115" s="12"/>
      <c r="O115" s="12"/>
      <c r="P115" s="12"/>
      <c r="Q115" s="12"/>
      <c r="R115" s="12"/>
      <c r="S115" s="12"/>
      <c r="T115" s="12"/>
      <c r="U115" s="12"/>
      <c r="V115" s="12"/>
    </row>
    <row r="116" spans="1:22" hidden="1">
      <c r="A116" s="12" t="str">
        <f t="shared" si="20"/>
        <v> </v>
      </c>
      <c r="B116" s="47">
        <v>0</v>
      </c>
      <c r="C116" s="48">
        <v>0</v>
      </c>
      <c r="D116" s="49">
        <f t="shared" si="12"/>
        <v>0</v>
      </c>
      <c r="E116" s="79" t="s">
        <v>91</v>
      </c>
      <c r="F116" s="76">
        <v>745</v>
      </c>
      <c r="G116" s="77">
        <v>32.78</v>
      </c>
      <c r="H116" s="76">
        <v>496.5</v>
      </c>
      <c r="I116" s="77">
        <v>6.86</v>
      </c>
      <c r="J116" s="80">
        <v>1241.5</v>
      </c>
      <c r="K116" s="81">
        <v>39.64</v>
      </c>
      <c r="L116" s="53" t="str">
        <f>IF(D116=0,CHAR(160),IF(AND(D116&gt;2499,D116&lt;5000),(F116+IF(D116&gt;2500,((D116-2500)/100*G116),0)+H116+IF(D116&gt;2500,(I116*(D116-2500)/100),0)),0))</f>
        <v> </v>
      </c>
      <c r="M116" s="54">
        <f t="shared" si="13"/>
        <v>75</v>
      </c>
      <c r="N116" s="12"/>
      <c r="O116" s="12"/>
      <c r="P116" s="12"/>
      <c r="Q116" s="12"/>
      <c r="R116" s="12"/>
      <c r="S116" s="12"/>
      <c r="T116" s="12"/>
      <c r="U116" s="12"/>
      <c r="V116" s="12"/>
    </row>
    <row r="117" spans="1:22" hidden="1">
      <c r="A117" s="12" t="str">
        <f t="shared" si="20"/>
        <v> </v>
      </c>
      <c r="B117" s="47">
        <v>0</v>
      </c>
      <c r="C117" s="48">
        <v>0</v>
      </c>
      <c r="D117" s="49">
        <f t="shared" si="12"/>
        <v>0</v>
      </c>
      <c r="E117" s="79" t="s">
        <v>111</v>
      </c>
      <c r="F117" s="76">
        <v>1564.5</v>
      </c>
      <c r="G117" s="77">
        <v>2.9733333333333305</v>
      </c>
      <c r="H117" s="76">
        <v>668</v>
      </c>
      <c r="I117" s="77">
        <v>4.3433333333333337</v>
      </c>
      <c r="J117" s="80">
        <v>2232.5</v>
      </c>
      <c r="K117" s="81">
        <v>7.3166666666666647</v>
      </c>
      <c r="L117" s="53" t="str">
        <f>IF(D117=0,CHAR(160),IF(AND(D117&gt;4999,D117&lt;12500),(F117+IF(D117&gt;5000,((D117-5000)/100*G117),0)+H117+IF(D117&gt;5000,(I117*(D117-5000)/100),0)),0))</f>
        <v> </v>
      </c>
      <c r="M117" s="54">
        <f t="shared" si="13"/>
        <v>75</v>
      </c>
      <c r="N117" s="12"/>
      <c r="O117" s="12"/>
      <c r="P117" s="12"/>
      <c r="Q117" s="12"/>
      <c r="R117" s="12"/>
      <c r="S117" s="12"/>
      <c r="T117" s="12"/>
      <c r="U117" s="12"/>
      <c r="V117" s="12"/>
    </row>
    <row r="118" spans="1:22" hidden="1">
      <c r="A118" s="12" t="str">
        <f t="shared" si="20"/>
        <v> </v>
      </c>
      <c r="B118" s="47">
        <v>0</v>
      </c>
      <c r="C118" s="48">
        <v>0</v>
      </c>
      <c r="D118" s="49">
        <f t="shared" si="12"/>
        <v>0</v>
      </c>
      <c r="E118" s="79" t="s">
        <v>112</v>
      </c>
      <c r="F118" s="76">
        <v>1787.5</v>
      </c>
      <c r="G118" s="77">
        <v>3.58</v>
      </c>
      <c r="H118" s="76">
        <v>993.75</v>
      </c>
      <c r="I118" s="77">
        <v>2.73</v>
      </c>
      <c r="J118" s="80">
        <v>2781.25</v>
      </c>
      <c r="K118" s="81">
        <v>6.31</v>
      </c>
      <c r="L118" s="53" t="str">
        <f>IF(D118=0,CHAR(160),IF(AND(D118&gt;12499,D118&lt;25000),(F118+IF(D118&gt;12500,((D118-12500)/100*G118),0)+H118+IF(D118&gt;12500,(I118*(D118-12500)/100),0)),0))</f>
        <v> </v>
      </c>
      <c r="M118" s="54">
        <f t="shared" si="13"/>
        <v>75</v>
      </c>
      <c r="N118" s="12"/>
      <c r="O118" s="12"/>
      <c r="P118" s="12"/>
      <c r="Q118" s="12"/>
      <c r="R118" s="12"/>
      <c r="S118" s="12"/>
      <c r="T118" s="12"/>
      <c r="U118" s="12"/>
      <c r="V118" s="12"/>
    </row>
    <row r="119" spans="1:22" hidden="1">
      <c r="A119" s="12" t="str">
        <f t="shared" si="20"/>
        <v> </v>
      </c>
      <c r="B119" s="55">
        <v>0</v>
      </c>
      <c r="C119" s="56">
        <v>0</v>
      </c>
      <c r="D119" s="49">
        <f t="shared" si="12"/>
        <v>0</v>
      </c>
      <c r="E119" s="83" t="s">
        <v>113</v>
      </c>
      <c r="F119" s="76">
        <v>2235</v>
      </c>
      <c r="G119" s="77">
        <v>8.94</v>
      </c>
      <c r="H119" s="76">
        <v>1335</v>
      </c>
      <c r="I119" s="77">
        <v>5.34</v>
      </c>
      <c r="J119" s="84">
        <v>3570</v>
      </c>
      <c r="K119" s="85">
        <v>14.28</v>
      </c>
      <c r="L119" s="72" t="str">
        <f>IF(D119=0,CHAR(160),IF(D119&gt;=25000,(F119+IF(D119&gt;25000,((D119-25000)/100*G119),0)+H119+IF(D119&gt;25000,(I119*(D119-25000)/100),0)),0))</f>
        <v> </v>
      </c>
      <c r="M119" s="60">
        <f t="shared" si="13"/>
        <v>75</v>
      </c>
      <c r="N119" s="61">
        <f>SUMIFS(L114:L119,A114:A119,"=h-3",L114:L119,"&gt;0")</f>
        <v>0</v>
      </c>
      <c r="O119" s="61"/>
      <c r="P119" s="12"/>
      <c r="Q119" s="12"/>
      <c r="R119" s="12"/>
      <c r="S119" s="12"/>
      <c r="T119" s="12"/>
      <c r="U119" s="12"/>
      <c r="V119" s="12"/>
    </row>
    <row r="120" spans="1:22" hidden="1">
      <c r="A120" s="12" t="str">
        <f>IF($B$268=25,"H-4",CHAR(160))</f>
        <v> </v>
      </c>
      <c r="B120" s="62" t="s">
        <v>24</v>
      </c>
      <c r="C120" s="63">
        <v>0</v>
      </c>
      <c r="D120" s="49">
        <f t="shared" si="12"/>
        <v>0</v>
      </c>
      <c r="E120" s="64" t="s">
        <v>90</v>
      </c>
      <c r="F120" s="76">
        <v>744.95</v>
      </c>
      <c r="G120" s="77">
        <v>2.4999999999977263E-3</v>
      </c>
      <c r="H120" s="76">
        <v>228.35</v>
      </c>
      <c r="I120" s="77">
        <v>3.42</v>
      </c>
      <c r="J120" s="76">
        <v>973.3</v>
      </c>
      <c r="K120" s="77">
        <v>3.4224999999999999</v>
      </c>
      <c r="L120" s="67">
        <f>(IF(D120&lt;=2499,(IF(D120&lt;=0,0,(F120+IF(D120&gt;500,((D120-500)/100*G120),0)+H120+IF(D120&gt;500,(I120*(D120-500)/100),0)))),0))</f>
        <v>0</v>
      </c>
      <c r="M120" s="68">
        <f t="shared" si="13"/>
        <v>75</v>
      </c>
      <c r="N120" s="12"/>
      <c r="O120" s="12"/>
      <c r="P120" s="12"/>
      <c r="Q120" s="12"/>
      <c r="R120" s="12"/>
      <c r="S120" s="12"/>
      <c r="T120" s="12"/>
      <c r="U120" s="12"/>
      <c r="V120" s="12"/>
    </row>
    <row r="121" spans="1:22" hidden="1">
      <c r="A121" s="12" t="str">
        <f t="shared" ref="A121:A125" si="21">IF($B$268=25,"H-4",CHAR(160))</f>
        <v> </v>
      </c>
      <c r="B121" s="47" t="s">
        <v>25</v>
      </c>
      <c r="C121" s="48">
        <v>0</v>
      </c>
      <c r="D121" s="49">
        <f t="shared" si="12"/>
        <v>0</v>
      </c>
      <c r="E121" s="50" t="s">
        <v>91</v>
      </c>
      <c r="F121" s="76">
        <v>745</v>
      </c>
      <c r="G121" s="77">
        <v>0</v>
      </c>
      <c r="H121" s="76">
        <v>296.75</v>
      </c>
      <c r="I121" s="77">
        <v>1.37</v>
      </c>
      <c r="J121" s="80">
        <v>1041.75</v>
      </c>
      <c r="K121" s="81">
        <v>1.37</v>
      </c>
      <c r="L121" s="53">
        <f>IF(D121=0,0,IF(AND(D121&gt;2499,D121&lt;5000),(F121+IF(D121&gt;2500,((D121-2500)/100*G121),0)+H121+IF(D121&gt;2500,(I121*(D121-2500)/100),0)),0))</f>
        <v>0</v>
      </c>
      <c r="M121" s="54">
        <f t="shared" si="13"/>
        <v>75</v>
      </c>
      <c r="N121" s="12"/>
      <c r="O121" s="12"/>
      <c r="P121" s="12"/>
      <c r="Q121" s="12"/>
      <c r="R121" s="12"/>
      <c r="S121" s="12"/>
      <c r="T121" s="12"/>
      <c r="U121" s="12"/>
      <c r="V121" s="12"/>
    </row>
    <row r="122" spans="1:22" hidden="1">
      <c r="A122" s="12" t="str">
        <f t="shared" si="21"/>
        <v> </v>
      </c>
      <c r="B122" s="47">
        <v>0</v>
      </c>
      <c r="C122" s="48">
        <v>0</v>
      </c>
      <c r="D122" s="49">
        <f t="shared" si="12"/>
        <v>0</v>
      </c>
      <c r="E122" s="50" t="s">
        <v>92</v>
      </c>
      <c r="F122" s="76">
        <v>745</v>
      </c>
      <c r="G122" s="77">
        <v>16.38</v>
      </c>
      <c r="H122" s="76">
        <v>331</v>
      </c>
      <c r="I122" s="77">
        <v>2.2799999999999998</v>
      </c>
      <c r="J122" s="80">
        <v>1076</v>
      </c>
      <c r="K122" s="81">
        <v>18.66</v>
      </c>
      <c r="L122" s="53" t="str">
        <f>IF(D122=0,CHAR(160),IF(AND(D122&gt;4999,D122&lt;10000),(F122+IF(D122&gt;5000,((D122-5000)/100*G122),0)+H122+IF(D122&gt;5000,(I122*(D122-5000)/100),0)),0))</f>
        <v> </v>
      </c>
      <c r="M122" s="54">
        <f t="shared" si="13"/>
        <v>75</v>
      </c>
      <c r="N122" s="12"/>
      <c r="O122" s="12"/>
      <c r="P122" s="12"/>
      <c r="Q122" s="12"/>
      <c r="R122" s="12"/>
      <c r="S122" s="12"/>
      <c r="T122" s="12"/>
      <c r="U122" s="12"/>
      <c r="V122" s="12"/>
    </row>
    <row r="123" spans="1:22" hidden="1">
      <c r="A123" s="12" t="str">
        <f t="shared" si="21"/>
        <v> </v>
      </c>
      <c r="B123" s="47">
        <v>0</v>
      </c>
      <c r="C123" s="48">
        <v>0</v>
      </c>
      <c r="D123" s="49">
        <f t="shared" si="12"/>
        <v>0</v>
      </c>
      <c r="E123" s="50" t="s">
        <v>93</v>
      </c>
      <c r="F123" s="76">
        <v>1564</v>
      </c>
      <c r="G123" s="77">
        <v>1.49</v>
      </c>
      <c r="H123" s="76">
        <v>445</v>
      </c>
      <c r="I123" s="77">
        <v>1.45</v>
      </c>
      <c r="J123" s="80">
        <v>2009</v>
      </c>
      <c r="K123" s="81">
        <v>2.94</v>
      </c>
      <c r="L123" s="53" t="str">
        <f>IF(D123=0,CHAR(160),IF(AND(D123&gt;9999,D123&lt;25000),(F123+IF(D123&gt;10000,((D123-10000)/100*G123),0)+H123+IF(D123&gt;10000,(I123*(D123-10000)/100),0)),0))</f>
        <v> </v>
      </c>
      <c r="M123" s="54">
        <f t="shared" si="13"/>
        <v>75</v>
      </c>
      <c r="N123" s="12"/>
      <c r="O123" s="12"/>
      <c r="P123" s="12"/>
      <c r="Q123" s="12"/>
      <c r="R123" s="12"/>
      <c r="S123" s="12"/>
      <c r="T123" s="12"/>
      <c r="U123" s="12"/>
      <c r="V123" s="12"/>
    </row>
    <row r="124" spans="1:22" hidden="1">
      <c r="A124" s="12" t="str">
        <f t="shared" si="21"/>
        <v> </v>
      </c>
      <c r="B124" s="47">
        <v>0</v>
      </c>
      <c r="C124" s="48">
        <v>0</v>
      </c>
      <c r="D124" s="49">
        <f t="shared" si="12"/>
        <v>0</v>
      </c>
      <c r="E124" s="50" t="s">
        <v>94</v>
      </c>
      <c r="F124" s="76">
        <v>1787.5</v>
      </c>
      <c r="G124" s="77">
        <v>1.79</v>
      </c>
      <c r="H124" s="76">
        <v>662.5</v>
      </c>
      <c r="I124" s="77">
        <v>0.91</v>
      </c>
      <c r="J124" s="80">
        <v>2450</v>
      </c>
      <c r="K124" s="81">
        <v>2.7</v>
      </c>
      <c r="L124" s="53" t="str">
        <f>IF(D124=0,CHAR(160),IF(AND(D124&gt;24999,D124&lt;50000),(F124+IF(D124&gt;25000,((D124-25000)/100*G124),0)+H124+IF(D124&gt;25000,(I124*(D124-25000)/100),0)),0))</f>
        <v> </v>
      </c>
      <c r="M124" s="54">
        <f t="shared" si="13"/>
        <v>75</v>
      </c>
      <c r="N124" s="12"/>
      <c r="O124" s="12"/>
      <c r="P124" s="12"/>
      <c r="Q124" s="12"/>
      <c r="R124" s="12"/>
      <c r="S124" s="12"/>
      <c r="T124" s="12"/>
      <c r="U124" s="12"/>
      <c r="V124" s="12"/>
    </row>
    <row r="125" spans="1:22" hidden="1">
      <c r="A125" s="12" t="str">
        <f t="shared" si="21"/>
        <v> </v>
      </c>
      <c r="B125" s="55">
        <v>0</v>
      </c>
      <c r="C125" s="56">
        <v>0</v>
      </c>
      <c r="D125" s="49">
        <f t="shared" si="12"/>
        <v>0</v>
      </c>
      <c r="E125" s="57" t="s">
        <v>95</v>
      </c>
      <c r="F125" s="76">
        <v>2235</v>
      </c>
      <c r="G125" s="77">
        <v>4.47</v>
      </c>
      <c r="H125" s="76">
        <v>890</v>
      </c>
      <c r="I125" s="77">
        <v>1.78</v>
      </c>
      <c r="J125" s="84">
        <v>3125</v>
      </c>
      <c r="K125" s="85">
        <v>6.25</v>
      </c>
      <c r="L125" s="72" t="str">
        <f>IF(D125=0,CHAR(160),IF(D125&gt;=50000,(F125+IF(D125&gt;50000,((D125-50000)/100*G125),0)+H125+IF(D125&gt;50000,(I125*(D125-50000)/100),0)),0))</f>
        <v> </v>
      </c>
      <c r="M125" s="60">
        <f t="shared" si="13"/>
        <v>75</v>
      </c>
      <c r="N125" s="61">
        <f>SUMIFS(L120:L125,A120:A125,"=h-4",L120:L125,"&gt;0")</f>
        <v>0</v>
      </c>
      <c r="O125" s="61"/>
      <c r="P125" s="12"/>
      <c r="Q125" s="12"/>
      <c r="R125" s="12"/>
      <c r="S125" s="12"/>
      <c r="T125" s="12"/>
      <c r="U125" s="12"/>
      <c r="V125" s="12"/>
    </row>
    <row r="126" spans="1:22" hidden="1">
      <c r="A126" s="12" t="str">
        <f>IF($B$268=26,"H-5",CHAR(160))</f>
        <v> </v>
      </c>
      <c r="B126" s="62" t="s">
        <v>26</v>
      </c>
      <c r="C126" s="63">
        <v>0</v>
      </c>
      <c r="D126" s="49">
        <f t="shared" si="12"/>
        <v>0</v>
      </c>
      <c r="E126" s="86" t="s">
        <v>107</v>
      </c>
      <c r="F126" s="76">
        <v>745</v>
      </c>
      <c r="G126" s="77">
        <v>0</v>
      </c>
      <c r="H126" s="76">
        <v>570.79999999999995</v>
      </c>
      <c r="I126" s="77">
        <v>2.14</v>
      </c>
      <c r="J126" s="76">
        <v>1315.8</v>
      </c>
      <c r="K126" s="77">
        <v>2.14</v>
      </c>
      <c r="L126" s="67">
        <f>(IF(D126&lt;=9999,(IF(D126&lt;=0,0,(F126+IF(D126&gt;2000,((D126-2000)/100*G126),0)+H126+IF(D126&gt;2000,(I126*(D126-2000)/100),0)))),0))</f>
        <v>0</v>
      </c>
      <c r="M126" s="68">
        <f t="shared" si="13"/>
        <v>75</v>
      </c>
      <c r="N126" s="12"/>
      <c r="O126" s="12"/>
      <c r="P126" s="12"/>
      <c r="Q126" s="12"/>
      <c r="R126" s="12"/>
      <c r="S126" s="12"/>
      <c r="T126" s="12"/>
      <c r="U126" s="12"/>
      <c r="V126" s="12"/>
    </row>
    <row r="127" spans="1:22" hidden="1">
      <c r="A127" s="12" t="str">
        <f t="shared" ref="A127:A131" si="22">IF($B$268=26,"H-5",CHAR(160))</f>
        <v> </v>
      </c>
      <c r="B127" s="47" t="s">
        <v>27</v>
      </c>
      <c r="C127" s="48">
        <v>0</v>
      </c>
      <c r="D127" s="49">
        <f t="shared" si="12"/>
        <v>0</v>
      </c>
      <c r="E127" s="87" t="s">
        <v>108</v>
      </c>
      <c r="F127" s="76">
        <v>745</v>
      </c>
      <c r="G127" s="77">
        <v>-1.0000000000001136E-2</v>
      </c>
      <c r="H127" s="76">
        <v>742</v>
      </c>
      <c r="I127" s="77">
        <v>0.86</v>
      </c>
      <c r="J127" s="80">
        <v>1487</v>
      </c>
      <c r="K127" s="81">
        <v>0.84999999999999887</v>
      </c>
      <c r="L127" s="53">
        <f>IF(D127=0,0,IF(AND(D127&gt;9999,D127&lt;20000),(F127+IF(D127&gt;10000,((D127-10000)/100*G127),0)+H127+IF(D127&gt;10000,(I127*(D127-10000)/100),0)),0))</f>
        <v>0</v>
      </c>
      <c r="M127" s="54">
        <f t="shared" si="13"/>
        <v>75</v>
      </c>
      <c r="N127" s="12"/>
      <c r="O127" s="12"/>
      <c r="P127" s="12"/>
      <c r="Q127" s="12"/>
      <c r="R127" s="12"/>
      <c r="S127" s="12"/>
      <c r="T127" s="12"/>
      <c r="U127" s="12"/>
      <c r="V127" s="12"/>
    </row>
    <row r="128" spans="1:22" hidden="1">
      <c r="A128" s="12" t="str">
        <f t="shared" si="22"/>
        <v> </v>
      </c>
      <c r="B128" s="47">
        <v>0</v>
      </c>
      <c r="C128" s="48">
        <v>0</v>
      </c>
      <c r="D128" s="49">
        <f t="shared" si="12"/>
        <v>0</v>
      </c>
      <c r="E128" s="87" t="s">
        <v>78</v>
      </c>
      <c r="F128" s="76">
        <v>744</v>
      </c>
      <c r="G128" s="77">
        <v>4.0999999999999996</v>
      </c>
      <c r="H128" s="76">
        <v>828</v>
      </c>
      <c r="I128" s="77">
        <v>1.42</v>
      </c>
      <c r="J128" s="80">
        <v>1572</v>
      </c>
      <c r="K128" s="81">
        <v>5.52</v>
      </c>
      <c r="L128" s="53" t="str">
        <f>IF(D128=0,CHAR(160),IF(AND(D128&gt;19999,D128&lt;40000),(F128+IF(D128&gt;20000,((D128-20000)/100*G128),0)+H128+IF(D128&gt;20000,(I128*(D128-20000)/100),0)),0))</f>
        <v> </v>
      </c>
      <c r="M128" s="54">
        <f t="shared" si="13"/>
        <v>75</v>
      </c>
      <c r="N128" s="12"/>
      <c r="O128" s="12"/>
      <c r="P128" s="12"/>
      <c r="Q128" s="12"/>
      <c r="R128" s="12"/>
      <c r="S128" s="12"/>
      <c r="T128" s="12"/>
      <c r="U128" s="12"/>
      <c r="V128" s="12"/>
    </row>
    <row r="129" spans="1:22" hidden="1">
      <c r="A129" s="12" t="str">
        <f t="shared" si="22"/>
        <v> </v>
      </c>
      <c r="B129" s="47">
        <v>0</v>
      </c>
      <c r="C129" s="48">
        <v>0</v>
      </c>
      <c r="D129" s="49">
        <f t="shared" si="12"/>
        <v>0</v>
      </c>
      <c r="E129" s="87" t="s">
        <v>79</v>
      </c>
      <c r="F129" s="76">
        <v>1564</v>
      </c>
      <c r="G129" s="77">
        <v>0.37666666666666665</v>
      </c>
      <c r="H129" s="76">
        <v>1112</v>
      </c>
      <c r="I129" s="77">
        <v>0.91333333333333333</v>
      </c>
      <c r="J129" s="80">
        <v>2676</v>
      </c>
      <c r="K129" s="81">
        <v>1.29</v>
      </c>
      <c r="L129" s="53" t="str">
        <f>IF(D129=0,CHAR(160),IF(AND(D129&gt;39999,D129&lt;100000),(F129+IF(D129&gt;40000,((D129-40000)/100*G129),0)+H129+IF(D129&gt;40000,(I129*(D129-40000)/100),0)),0))</f>
        <v> </v>
      </c>
      <c r="M129" s="54">
        <f t="shared" si="13"/>
        <v>75</v>
      </c>
      <c r="N129" s="12"/>
      <c r="O129" s="12"/>
      <c r="P129" s="12"/>
      <c r="Q129" s="12"/>
      <c r="R129" s="12"/>
      <c r="S129" s="12"/>
      <c r="T129" s="12"/>
      <c r="U129" s="12"/>
      <c r="V129" s="12"/>
    </row>
    <row r="130" spans="1:22" hidden="1">
      <c r="A130" s="12" t="str">
        <f t="shared" si="22"/>
        <v> </v>
      </c>
      <c r="B130" s="47">
        <v>0</v>
      </c>
      <c r="C130" s="48">
        <v>0</v>
      </c>
      <c r="D130" s="49">
        <f t="shared" si="12"/>
        <v>0</v>
      </c>
      <c r="E130" s="87" t="s">
        <v>80</v>
      </c>
      <c r="F130" s="76">
        <v>1790</v>
      </c>
      <c r="G130" s="77">
        <v>0.45</v>
      </c>
      <c r="H130" s="76">
        <v>1660</v>
      </c>
      <c r="I130" s="77">
        <v>0.56000000000000005</v>
      </c>
      <c r="J130" s="80">
        <v>3450</v>
      </c>
      <c r="K130" s="81">
        <v>1.01</v>
      </c>
      <c r="L130" s="53" t="str">
        <f>IF(D130=0,CHAR(160),IF(AND(D130&gt;99999,D130&lt;200000),(F130+IF(D130&gt;100000,((D130-100000)/100*G130),0)+H130+IF(D130&gt;100000,(I130*(D130-100000)/100),0)),0))</f>
        <v> </v>
      </c>
      <c r="M130" s="54">
        <f t="shared" si="13"/>
        <v>75</v>
      </c>
      <c r="N130" s="12"/>
      <c r="O130" s="12"/>
      <c r="P130" s="12"/>
      <c r="Q130" s="12"/>
      <c r="R130" s="12"/>
      <c r="S130" s="12"/>
      <c r="T130" s="12"/>
      <c r="U130" s="12"/>
      <c r="V130" s="12"/>
    </row>
    <row r="131" spans="1:22" hidden="1">
      <c r="A131" s="12" t="str">
        <f t="shared" si="22"/>
        <v> </v>
      </c>
      <c r="B131" s="55">
        <v>0</v>
      </c>
      <c r="C131" s="56">
        <v>0</v>
      </c>
      <c r="D131" s="49">
        <f t="shared" si="12"/>
        <v>0</v>
      </c>
      <c r="E131" s="88" t="s">
        <v>109</v>
      </c>
      <c r="F131" s="76">
        <v>2240</v>
      </c>
      <c r="G131" s="77">
        <v>1.1200000000000001</v>
      </c>
      <c r="H131" s="76">
        <v>2220</v>
      </c>
      <c r="I131" s="77">
        <v>1.1100000000000001</v>
      </c>
      <c r="J131" s="84">
        <v>4460</v>
      </c>
      <c r="K131" s="85">
        <v>2.23</v>
      </c>
      <c r="L131" s="72" t="str">
        <f>IF(D131=0,CHAR(160),IF(D131&gt;=200000,(F131+IF(D131&gt;200000,((D131-200000)/100*G131),0)+H131+IF(D131&gt;200000,(I131*(D131-200000)/100),0)),0))</f>
        <v> </v>
      </c>
      <c r="M131" s="60">
        <f t="shared" si="13"/>
        <v>75</v>
      </c>
      <c r="N131" s="61">
        <f>SUMIFS(L126:L131,A126:A131,"=h-5",L126:L131,"&gt;0")</f>
        <v>0</v>
      </c>
      <c r="O131" s="61"/>
      <c r="P131" s="12"/>
      <c r="Q131" s="12"/>
      <c r="R131" s="12"/>
      <c r="S131" s="12"/>
      <c r="T131" s="12"/>
      <c r="U131" s="12"/>
      <c r="V131" s="12"/>
    </row>
    <row r="132" spans="1:22" hidden="1">
      <c r="A132" s="12" t="str">
        <f>IF($B$268=6,"H-TI",CHAR(160))</f>
        <v> </v>
      </c>
      <c r="B132" s="62" t="s">
        <v>28</v>
      </c>
      <c r="C132" s="63">
        <v>0</v>
      </c>
      <c r="D132" s="49">
        <f t="shared" si="12"/>
        <v>0</v>
      </c>
      <c r="E132" s="75" t="s">
        <v>114</v>
      </c>
      <c r="F132" s="76">
        <v>331.07499999999999</v>
      </c>
      <c r="G132" s="77">
        <v>5.000000000006821E-3</v>
      </c>
      <c r="H132" s="76">
        <v>90.375</v>
      </c>
      <c r="I132" s="77">
        <v>2.7124999999999999</v>
      </c>
      <c r="J132" s="76">
        <v>421.45</v>
      </c>
      <c r="K132" s="77">
        <v>2.7175000000000069</v>
      </c>
      <c r="L132" s="67">
        <f>(IF(D132&lt;=1249,(IF(D132&lt;=0,0,(F132+IF(D132&gt;250,((D132-250)/100*G132),0)+H132+IF(D132&gt;250,(I132*(D132-250)/100),0)))),0))</f>
        <v>0</v>
      </c>
      <c r="M132" s="68">
        <f t="shared" si="13"/>
        <v>75</v>
      </c>
      <c r="N132" s="12"/>
      <c r="O132" s="12"/>
      <c r="P132" s="12"/>
      <c r="Q132" s="12"/>
      <c r="R132" s="12"/>
      <c r="S132" s="12"/>
      <c r="T132" s="12"/>
      <c r="U132" s="12"/>
      <c r="V132" s="12"/>
    </row>
    <row r="133" spans="1:22" hidden="1">
      <c r="A133" s="12" t="str">
        <f t="shared" ref="A133:A137" si="23">IF($B$268=6,"H-TI",CHAR(160))</f>
        <v> </v>
      </c>
      <c r="B133" s="47">
        <v>0</v>
      </c>
      <c r="C133" s="48">
        <v>0</v>
      </c>
      <c r="D133" s="49">
        <f t="shared" si="12"/>
        <v>0</v>
      </c>
      <c r="E133" s="79" t="s">
        <v>110</v>
      </c>
      <c r="F133" s="76">
        <v>331.125</v>
      </c>
      <c r="G133" s="77">
        <v>-1.0000000000004547E-2</v>
      </c>
      <c r="H133" s="76">
        <v>117.5</v>
      </c>
      <c r="I133" s="77">
        <v>1.08</v>
      </c>
      <c r="J133" s="80">
        <v>448.625</v>
      </c>
      <c r="K133" s="81">
        <v>1.07</v>
      </c>
      <c r="L133" s="53">
        <f>IF(D133=0,0,IF(AND(D133&gt;1249,D133&lt;2500),(F133+IF(D133&gt;1250,((D133-1250)/100*G133),0)+H133+IF(D133&gt;1250,(I133*(D133-1250)/100),0)),0))</f>
        <v>0</v>
      </c>
      <c r="M133" s="54">
        <f t="shared" si="13"/>
        <v>75</v>
      </c>
      <c r="N133" s="12"/>
      <c r="O133" s="12"/>
      <c r="P133" s="12"/>
      <c r="Q133" s="12"/>
      <c r="R133" s="12"/>
      <c r="S133" s="12"/>
      <c r="T133" s="12"/>
      <c r="U133" s="12"/>
      <c r="V133" s="12"/>
    </row>
    <row r="134" spans="1:22" hidden="1">
      <c r="A134" s="12" t="str">
        <f t="shared" si="23"/>
        <v> </v>
      </c>
      <c r="B134" s="47">
        <v>0</v>
      </c>
      <c r="C134" s="48">
        <v>0</v>
      </c>
      <c r="D134" s="49">
        <f t="shared" si="12"/>
        <v>0</v>
      </c>
      <c r="E134" s="79" t="s">
        <v>91</v>
      </c>
      <c r="F134" s="76">
        <v>331</v>
      </c>
      <c r="G134" s="77">
        <v>14.58</v>
      </c>
      <c r="H134" s="76">
        <v>131</v>
      </c>
      <c r="I134" s="77">
        <v>1.8</v>
      </c>
      <c r="J134" s="80">
        <v>462</v>
      </c>
      <c r="K134" s="81">
        <v>16.38</v>
      </c>
      <c r="L134" s="53" t="str">
        <f>IF(D134=0,CHAR(160),IF(AND(D134&gt;2499,D134&lt;5000),(F134+IF(D134&gt;2500,((D134-2500)/100*G134),0)+H134+IF(D134&gt;2500,(I134*(D134-2500)/100),0)),0))</f>
        <v> </v>
      </c>
      <c r="M134" s="54">
        <f t="shared" si="13"/>
        <v>75</v>
      </c>
      <c r="N134" s="12"/>
      <c r="O134" s="12"/>
      <c r="P134" s="12"/>
      <c r="Q134" s="12"/>
      <c r="R134" s="12"/>
      <c r="S134" s="12"/>
      <c r="T134" s="12"/>
      <c r="U134" s="12"/>
      <c r="V134" s="12"/>
    </row>
    <row r="135" spans="1:22" hidden="1">
      <c r="A135" s="12" t="str">
        <f t="shared" si="23"/>
        <v> </v>
      </c>
      <c r="B135" s="47">
        <v>0</v>
      </c>
      <c r="C135" s="48">
        <v>0</v>
      </c>
      <c r="D135" s="49">
        <f t="shared" si="12"/>
        <v>0</v>
      </c>
      <c r="E135" s="79" t="s">
        <v>111</v>
      </c>
      <c r="F135" s="76">
        <v>695.5</v>
      </c>
      <c r="G135" s="77">
        <v>1.3266666666666667</v>
      </c>
      <c r="H135" s="76">
        <v>176</v>
      </c>
      <c r="I135" s="77">
        <v>1.1533333333333333</v>
      </c>
      <c r="J135" s="80">
        <v>871.5</v>
      </c>
      <c r="K135" s="81">
        <v>2.48</v>
      </c>
      <c r="L135" s="53" t="str">
        <f>IF(D135=0,CHAR(160),IF(AND(D135&gt;4999,D135&lt;12500),(F135+IF(D135&gt;5000,((D135-5000)/100*G135),0)+H135+IF(D135&gt;5000,(I135*(D135-5000)/100),0)),0))</f>
        <v> </v>
      </c>
      <c r="M135" s="54">
        <f t="shared" si="13"/>
        <v>75</v>
      </c>
      <c r="N135" s="12"/>
      <c r="O135" s="12"/>
      <c r="P135" s="12"/>
      <c r="Q135" s="12"/>
      <c r="R135" s="12"/>
      <c r="S135" s="12"/>
      <c r="T135" s="12"/>
      <c r="U135" s="12"/>
      <c r="V135" s="12"/>
    </row>
    <row r="136" spans="1:22" hidden="1">
      <c r="A136" s="12" t="str">
        <f t="shared" si="23"/>
        <v> </v>
      </c>
      <c r="B136" s="47">
        <v>0</v>
      </c>
      <c r="C136" s="48">
        <v>0</v>
      </c>
      <c r="D136" s="49">
        <f t="shared" si="12"/>
        <v>0</v>
      </c>
      <c r="E136" s="79" t="s">
        <v>112</v>
      </c>
      <c r="F136" s="76">
        <v>795</v>
      </c>
      <c r="G136" s="77">
        <v>1.58</v>
      </c>
      <c r="H136" s="76">
        <v>262.5</v>
      </c>
      <c r="I136" s="77">
        <v>0.72</v>
      </c>
      <c r="J136" s="80">
        <v>1057.5</v>
      </c>
      <c r="K136" s="81">
        <v>2.2999999999999998</v>
      </c>
      <c r="L136" s="53" t="str">
        <f>IF(D136=0,CHAR(160),IF(AND(D136&gt;12499,D136&lt;25000),(F136+IF(D136&gt;12500,((D136-12500)/100*G136),0)+H136+IF(D136&gt;12500,(I136*(D136-12500)/100),0)),0))</f>
        <v> </v>
      </c>
      <c r="M136" s="54">
        <f t="shared" si="13"/>
        <v>75</v>
      </c>
      <c r="N136" s="12"/>
      <c r="O136" s="12"/>
      <c r="P136" s="12"/>
      <c r="Q136" s="12"/>
      <c r="R136" s="12"/>
      <c r="S136" s="12"/>
      <c r="T136" s="12"/>
      <c r="U136" s="12"/>
      <c r="V136" s="12"/>
    </row>
    <row r="137" spans="1:22" hidden="1">
      <c r="A137" s="12" t="str">
        <f t="shared" si="23"/>
        <v> </v>
      </c>
      <c r="B137" s="55">
        <v>0</v>
      </c>
      <c r="C137" s="56">
        <v>0</v>
      </c>
      <c r="D137" s="49">
        <f t="shared" si="12"/>
        <v>0</v>
      </c>
      <c r="E137" s="83" t="s">
        <v>113</v>
      </c>
      <c r="F137" s="76">
        <v>992.5</v>
      </c>
      <c r="G137" s="77">
        <v>3.97</v>
      </c>
      <c r="H137" s="76">
        <v>352.5</v>
      </c>
      <c r="I137" s="77">
        <v>1.41</v>
      </c>
      <c r="J137" s="84">
        <v>1345</v>
      </c>
      <c r="K137" s="85">
        <v>5.38</v>
      </c>
      <c r="L137" s="72" t="str">
        <f>IF(D137=0,CHAR(160),IF(D137&gt;=25000,(F137+IF(D137&gt;25000,((D137-25000)/100*G137),0)+H137+IF(D137&gt;25000,(I137*(D137-25000)/100),0)),0))</f>
        <v> </v>
      </c>
      <c r="M137" s="60">
        <f t="shared" si="13"/>
        <v>75</v>
      </c>
      <c r="N137" s="61">
        <f>SUMIFS(L132:L137,A132:A137,"=h-ti",L132:L137,"&gt;0")</f>
        <v>0</v>
      </c>
      <c r="O137" s="61"/>
      <c r="P137" s="12"/>
      <c r="Q137" s="12"/>
      <c r="R137" s="12"/>
      <c r="S137" s="12"/>
      <c r="T137" s="12"/>
      <c r="U137" s="12"/>
      <c r="V137" s="12"/>
    </row>
    <row r="138" spans="1:22" hidden="1">
      <c r="A138" s="12" t="str">
        <f>IF($B$268=27,"I-1",CHAR(160))</f>
        <v> </v>
      </c>
      <c r="B138" s="62" t="s">
        <v>29</v>
      </c>
      <c r="C138" s="63">
        <v>0</v>
      </c>
      <c r="D138" s="49">
        <f t="shared" si="12"/>
        <v>0</v>
      </c>
      <c r="E138" s="64" t="s">
        <v>82</v>
      </c>
      <c r="F138" s="76">
        <v>496.65</v>
      </c>
      <c r="G138" s="77">
        <v>-2.5000000000015158E-3</v>
      </c>
      <c r="H138" s="76">
        <v>152.25</v>
      </c>
      <c r="I138" s="77">
        <v>0.76249999999999996</v>
      </c>
      <c r="J138" s="76">
        <v>648.9</v>
      </c>
      <c r="K138" s="77">
        <v>0.75999999999999845</v>
      </c>
      <c r="L138" s="67" t="str">
        <f>(IF(D138&lt;=7499,(IF(D138&lt;=0,CHAR(160),(F138+IF(D138&gt;1500,((D138-1500)/100*G138),0)+H138+IF(D138&gt;1500,(I138*(D138-1500)/100),0)))),"ERROR"))</f>
        <v> </v>
      </c>
      <c r="M138" s="68">
        <f t="shared" si="13"/>
        <v>75</v>
      </c>
      <c r="N138" s="12"/>
      <c r="O138" s="12"/>
      <c r="P138" s="12"/>
      <c r="Q138" s="12"/>
      <c r="R138" s="12"/>
      <c r="S138" s="12"/>
      <c r="T138" s="12"/>
      <c r="U138" s="12"/>
      <c r="V138" s="12"/>
    </row>
    <row r="139" spans="1:22" hidden="1">
      <c r="A139" s="12" t="str">
        <f t="shared" ref="A139:A143" si="24">IF($B$268=27,"I-1",CHAR(160))</f>
        <v> </v>
      </c>
      <c r="B139" s="47">
        <v>0</v>
      </c>
      <c r="C139" s="48">
        <v>0</v>
      </c>
      <c r="D139" s="49">
        <f t="shared" si="12"/>
        <v>0</v>
      </c>
      <c r="E139" s="50" t="s">
        <v>74</v>
      </c>
      <c r="F139" s="76">
        <v>496.5</v>
      </c>
      <c r="G139" s="77">
        <v>0</v>
      </c>
      <c r="H139" s="76">
        <v>198</v>
      </c>
      <c r="I139" s="77">
        <v>0.3</v>
      </c>
      <c r="J139" s="80">
        <v>694.5</v>
      </c>
      <c r="K139" s="81">
        <v>0.3</v>
      </c>
      <c r="L139" s="53" t="str">
        <f>IF(D139=0,CHAR(160),IF(AND(D139&gt;7499,D139&lt;15000),(F139+IF(D139&gt;7500,((D139-7500)/100*G139),0)+H139+IF(D139&gt;7500,(I139*(D139-7500)/100),0)),0))</f>
        <v> </v>
      </c>
      <c r="M139" s="54">
        <f t="shared" si="13"/>
        <v>75</v>
      </c>
      <c r="N139" s="12"/>
      <c r="O139" s="12"/>
      <c r="P139" s="12"/>
      <c r="Q139" s="12"/>
      <c r="R139" s="12"/>
      <c r="S139" s="12"/>
      <c r="T139" s="12"/>
      <c r="U139" s="12"/>
      <c r="V139" s="12"/>
    </row>
    <row r="140" spans="1:22" hidden="1">
      <c r="A140" s="12" t="str">
        <f t="shared" si="24"/>
        <v> </v>
      </c>
      <c r="B140" s="47">
        <v>0</v>
      </c>
      <c r="C140" s="48">
        <v>0</v>
      </c>
      <c r="D140" s="49">
        <f t="shared" ref="D140:D203" si="25">$E$268</f>
        <v>0</v>
      </c>
      <c r="E140" s="50" t="s">
        <v>62</v>
      </c>
      <c r="F140" s="76">
        <v>496.5</v>
      </c>
      <c r="G140" s="77">
        <v>3.65</v>
      </c>
      <c r="H140" s="76">
        <v>220.5</v>
      </c>
      <c r="I140" s="77">
        <v>0.51</v>
      </c>
      <c r="J140" s="80">
        <v>717</v>
      </c>
      <c r="K140" s="81">
        <v>4.16</v>
      </c>
      <c r="L140" s="53" t="str">
        <f>IF(D140=0,CHAR(160),IF(AND(D140&gt;14999,D140&lt;30000),(F140+IF(D140&gt;15000,((D140-15000)/100*G140),0)+H140+IF(D140&gt;15000,(I140*(D140-15000)/100),0)),0))</f>
        <v> </v>
      </c>
      <c r="M140" s="54">
        <f t="shared" si="13"/>
        <v>75</v>
      </c>
      <c r="N140" s="12"/>
      <c r="O140" s="12"/>
      <c r="P140" s="12"/>
      <c r="Q140" s="12"/>
      <c r="R140" s="12"/>
      <c r="S140" s="12"/>
      <c r="T140" s="12"/>
      <c r="U140" s="12"/>
      <c r="V140" s="12"/>
    </row>
    <row r="141" spans="1:22" hidden="1">
      <c r="A141" s="12" t="str">
        <f t="shared" si="24"/>
        <v> </v>
      </c>
      <c r="B141" s="47">
        <v>0</v>
      </c>
      <c r="C141" s="48">
        <v>0</v>
      </c>
      <c r="D141" s="49">
        <f t="shared" si="25"/>
        <v>0</v>
      </c>
      <c r="E141" s="50" t="s">
        <v>83</v>
      </c>
      <c r="F141" s="76">
        <v>1044</v>
      </c>
      <c r="G141" s="77">
        <v>0.33</v>
      </c>
      <c r="H141" s="76">
        <v>297</v>
      </c>
      <c r="I141" s="77">
        <v>0.32333333333333331</v>
      </c>
      <c r="J141" s="80">
        <v>1341</v>
      </c>
      <c r="K141" s="81">
        <v>0.65333333333333332</v>
      </c>
      <c r="L141" s="53" t="str">
        <f>IF(D141=0,CHAR(160),IF(AND(D141&gt;29999,D141&lt;75000),(F141+IF(D141&gt;30000,((D141-30000)/100*G141),0)+H141+IF(D141&gt;30000,(I141*(D141-30000)/100),0)),0))</f>
        <v> </v>
      </c>
      <c r="M141" s="54">
        <f t="shared" ref="M141:M204" si="26">IF(D141&gt;=3600,(C141/1000*0.75)+150,75+(C141/1000)*0.75)</f>
        <v>75</v>
      </c>
      <c r="N141" s="12"/>
      <c r="O141" s="12"/>
      <c r="P141" s="12"/>
      <c r="Q141" s="12"/>
      <c r="R141" s="12"/>
      <c r="S141" s="12"/>
      <c r="T141" s="12"/>
      <c r="U141" s="12"/>
      <c r="V141" s="12"/>
    </row>
    <row r="142" spans="1:22" hidden="1">
      <c r="A142" s="12" t="str">
        <f t="shared" si="24"/>
        <v> </v>
      </c>
      <c r="B142" s="47">
        <v>0</v>
      </c>
      <c r="C142" s="48">
        <v>0</v>
      </c>
      <c r="D142" s="49">
        <f t="shared" si="25"/>
        <v>0</v>
      </c>
      <c r="E142" s="50" t="s">
        <v>85</v>
      </c>
      <c r="F142" s="76">
        <v>1192.5</v>
      </c>
      <c r="G142" s="77">
        <v>0.39</v>
      </c>
      <c r="H142" s="76">
        <v>442.5</v>
      </c>
      <c r="I142" s="77">
        <v>0.21</v>
      </c>
      <c r="J142" s="80">
        <v>1635</v>
      </c>
      <c r="K142" s="81">
        <v>0.6</v>
      </c>
      <c r="L142" s="53" t="str">
        <f>IF(D142=0,CHAR(160),IF(AND(D142&gt;74999,D142&lt;149999),(F142+IF(D142&gt;75000,((D142-75000)/100*G142),0)+H142+IF(D142&gt;75000,(I142*(D142-75000)/100),0)),0))</f>
        <v> </v>
      </c>
      <c r="M142" s="54">
        <f t="shared" si="26"/>
        <v>75</v>
      </c>
      <c r="N142" s="12"/>
      <c r="O142" s="12"/>
      <c r="P142" s="12"/>
      <c r="Q142" s="12"/>
      <c r="R142" s="12"/>
      <c r="S142" s="12"/>
      <c r="T142" s="12"/>
      <c r="U142" s="12"/>
      <c r="V142" s="12"/>
    </row>
    <row r="143" spans="1:22" hidden="1">
      <c r="A143" s="12" t="str">
        <f t="shared" si="24"/>
        <v> </v>
      </c>
      <c r="B143" s="55">
        <v>0</v>
      </c>
      <c r="C143" s="56">
        <v>0</v>
      </c>
      <c r="D143" s="49">
        <f t="shared" si="25"/>
        <v>0</v>
      </c>
      <c r="E143" s="57" t="s">
        <v>84</v>
      </c>
      <c r="F143" s="76">
        <v>1485</v>
      </c>
      <c r="G143" s="77">
        <v>0.99</v>
      </c>
      <c r="H143" s="76">
        <v>600</v>
      </c>
      <c r="I143" s="77">
        <v>0.4</v>
      </c>
      <c r="J143" s="84">
        <v>2085</v>
      </c>
      <c r="K143" s="85">
        <v>1.39</v>
      </c>
      <c r="L143" s="72" t="str">
        <f>IF(D143=0,CHAR(160),IF(D143&gt;=150000,(F143+IF(D143&gt;150000,((D143-150000)/100*G143),0)+H143+IF(D143&gt;150000,(I143*(D143-150000)/100),0)),0))</f>
        <v> </v>
      </c>
      <c r="M143" s="60">
        <f t="shared" si="26"/>
        <v>75</v>
      </c>
      <c r="N143" s="61">
        <f>SUMIFS(L138:L143,A138:A143,"=I-1",L138:L143,"&gt;0")</f>
        <v>0</v>
      </c>
      <c r="O143" s="61"/>
      <c r="P143" s="12"/>
      <c r="Q143" s="12"/>
      <c r="R143" s="12"/>
      <c r="S143" s="12"/>
      <c r="T143" s="12"/>
      <c r="U143" s="12"/>
      <c r="V143" s="12"/>
    </row>
    <row r="144" spans="1:22" hidden="1">
      <c r="A144" s="12" t="str">
        <f>IF($B$268=28,"I-2",CHAR(160))</f>
        <v> </v>
      </c>
      <c r="B144" s="62" t="s">
        <v>30</v>
      </c>
      <c r="C144" s="63">
        <v>0</v>
      </c>
      <c r="D144" s="49">
        <f t="shared" si="25"/>
        <v>0</v>
      </c>
      <c r="E144" s="75" t="s">
        <v>115</v>
      </c>
      <c r="F144" s="76">
        <v>745</v>
      </c>
      <c r="G144" s="77">
        <v>0</v>
      </c>
      <c r="H144" s="76">
        <v>428</v>
      </c>
      <c r="I144" s="77">
        <v>0.64749999999999996</v>
      </c>
      <c r="J144" s="76">
        <v>1173</v>
      </c>
      <c r="K144" s="77">
        <v>0.64749999999999996</v>
      </c>
      <c r="L144" s="67">
        <f>(IF(D144&lt;=24999,(IF(D144&lt;=0,0,(F144+IF(D144&gt;5000,((D144-5000)/100*G144),0)+H144+IF(D144&gt;5000,(I144*(D144-5000)/100),0)))),0))</f>
        <v>0</v>
      </c>
      <c r="M144" s="68">
        <f t="shared" si="26"/>
        <v>75</v>
      </c>
      <c r="N144" s="12"/>
      <c r="O144" s="12"/>
      <c r="P144" s="12"/>
      <c r="Q144" s="12"/>
      <c r="R144" s="12"/>
      <c r="S144" s="12"/>
      <c r="T144" s="12"/>
      <c r="U144" s="12"/>
      <c r="V144" s="12"/>
    </row>
    <row r="145" spans="1:22" hidden="1">
      <c r="A145" s="12" t="str">
        <f t="shared" ref="A145:A149" si="27">IF($B$268=28,"I-2",CHAR(160))</f>
        <v> </v>
      </c>
      <c r="B145" s="47">
        <v>0</v>
      </c>
      <c r="C145" s="48">
        <v>0</v>
      </c>
      <c r="D145" s="49">
        <f t="shared" si="25"/>
        <v>0</v>
      </c>
      <c r="E145" s="79" t="s">
        <v>94</v>
      </c>
      <c r="F145" s="76">
        <v>745</v>
      </c>
      <c r="G145" s="77">
        <v>0</v>
      </c>
      <c r="H145" s="76">
        <v>557.5</v>
      </c>
      <c r="I145" s="77">
        <v>0.25</v>
      </c>
      <c r="J145" s="80">
        <v>1302.5</v>
      </c>
      <c r="K145" s="81">
        <v>0.25</v>
      </c>
      <c r="L145" s="53">
        <f>IF(D145=0,0,IF(AND(D145&gt;24999,D145&lt;50000),(F145+IF(D145&gt;25000,((D145-25000)/100*G145),0)+H145+IF(D145&gt;25000,(I145*(D145-25000)/100),0)),0))</f>
        <v>0</v>
      </c>
      <c r="M145" s="54">
        <f t="shared" si="26"/>
        <v>75</v>
      </c>
      <c r="N145" s="12"/>
      <c r="O145" s="12"/>
      <c r="P145" s="12"/>
      <c r="Q145" s="12"/>
      <c r="R145" s="12"/>
      <c r="S145" s="12"/>
      <c r="T145" s="12"/>
      <c r="U145" s="12"/>
      <c r="V145" s="12"/>
    </row>
    <row r="146" spans="1:22" hidden="1">
      <c r="A146" s="12" t="str">
        <f t="shared" si="27"/>
        <v> </v>
      </c>
      <c r="B146" s="47">
        <v>0</v>
      </c>
      <c r="C146" s="48">
        <v>0</v>
      </c>
      <c r="D146" s="49">
        <f t="shared" si="25"/>
        <v>0</v>
      </c>
      <c r="E146" s="79" t="s">
        <v>116</v>
      </c>
      <c r="F146" s="76">
        <v>745</v>
      </c>
      <c r="G146" s="77">
        <v>1.63</v>
      </c>
      <c r="H146" s="76">
        <v>620</v>
      </c>
      <c r="I146" s="77">
        <v>0.42</v>
      </c>
      <c r="J146" s="80">
        <v>1365</v>
      </c>
      <c r="K146" s="81">
        <v>2.0499999999999998</v>
      </c>
      <c r="L146" s="53" t="str">
        <f>IF(D146=0,CHAR(160),IF(AND(D146&gt;49999,D146&lt;100000),(F146+IF(D146&gt;50000,((D146-50000)/100*G146),0)+H146+IF(D146&gt;50000,(I146*(D146-50000)/100),0)),0))</f>
        <v> </v>
      </c>
      <c r="M146" s="54">
        <f t="shared" si="26"/>
        <v>75</v>
      </c>
      <c r="N146" s="12"/>
      <c r="O146" s="12"/>
      <c r="P146" s="12"/>
      <c r="Q146" s="12"/>
      <c r="R146" s="12"/>
      <c r="S146" s="12"/>
      <c r="T146" s="12"/>
      <c r="U146" s="12"/>
      <c r="V146" s="12"/>
    </row>
    <row r="147" spans="1:22" hidden="1">
      <c r="A147" s="12" t="str">
        <f t="shared" si="27"/>
        <v> </v>
      </c>
      <c r="B147" s="47">
        <v>0</v>
      </c>
      <c r="C147" s="48">
        <v>0</v>
      </c>
      <c r="D147" s="49">
        <f t="shared" si="25"/>
        <v>0</v>
      </c>
      <c r="E147" s="79" t="s">
        <v>117</v>
      </c>
      <c r="F147" s="76">
        <v>1560</v>
      </c>
      <c r="G147" s="77">
        <v>0.16</v>
      </c>
      <c r="H147" s="76">
        <v>830</v>
      </c>
      <c r="I147" s="77">
        <v>0.28000000000000003</v>
      </c>
      <c r="J147" s="80">
        <v>2390</v>
      </c>
      <c r="K147" s="81">
        <v>0.44</v>
      </c>
      <c r="L147" s="53" t="str">
        <f>IF(D147=0,CHAR(160),IF(AND(D147&gt;99999,D147&lt;250000),(F147+IF(D147&gt;100000,((D147-100000)/100*G147),0)+H147+IF(D147&gt;100000,(I147*(D147-100000)/100),0)),0))</f>
        <v> </v>
      </c>
      <c r="M147" s="54">
        <f t="shared" si="26"/>
        <v>75</v>
      </c>
      <c r="N147" s="12"/>
      <c r="O147" s="12"/>
      <c r="P147" s="12"/>
      <c r="Q147" s="12"/>
      <c r="R147" s="12"/>
      <c r="S147" s="12"/>
      <c r="T147" s="12"/>
      <c r="U147" s="12"/>
      <c r="V147" s="12"/>
    </row>
    <row r="148" spans="1:22" hidden="1">
      <c r="A148" s="12" t="str">
        <f t="shared" si="27"/>
        <v> </v>
      </c>
      <c r="B148" s="47">
        <v>0</v>
      </c>
      <c r="C148" s="48">
        <v>0</v>
      </c>
      <c r="D148" s="49">
        <f t="shared" si="25"/>
        <v>0</v>
      </c>
      <c r="E148" s="79" t="s">
        <v>118</v>
      </c>
      <c r="F148" s="76">
        <v>1800</v>
      </c>
      <c r="G148" s="77">
        <v>0.18</v>
      </c>
      <c r="H148" s="76">
        <v>1250</v>
      </c>
      <c r="I148" s="77">
        <v>0.16</v>
      </c>
      <c r="J148" s="80">
        <v>3050</v>
      </c>
      <c r="K148" s="81">
        <v>0.34</v>
      </c>
      <c r="L148" s="53" t="str">
        <f>IF(D148=0,CHAR(160),IF(AND(D148&gt;249999,D148&lt;500000),(F148+IF(D148&gt;250000,((D148-250000)/100*G148),0)+H148+IF(D148&gt;250000,(I148*(D148-250000)/100),0)),0))</f>
        <v> </v>
      </c>
      <c r="M148" s="54">
        <f t="shared" si="26"/>
        <v>75</v>
      </c>
      <c r="N148" s="12"/>
      <c r="O148" s="12"/>
      <c r="P148" s="12"/>
      <c r="Q148" s="12"/>
      <c r="R148" s="12"/>
      <c r="S148" s="12"/>
      <c r="T148" s="12"/>
      <c r="U148" s="12"/>
      <c r="V148" s="12"/>
    </row>
    <row r="149" spans="1:22" hidden="1">
      <c r="A149" s="12" t="str">
        <f t="shared" si="27"/>
        <v> </v>
      </c>
      <c r="B149" s="55">
        <v>0</v>
      </c>
      <c r="C149" s="56">
        <v>0</v>
      </c>
      <c r="D149" s="49">
        <f t="shared" si="25"/>
        <v>0</v>
      </c>
      <c r="E149" s="83" t="s">
        <v>119</v>
      </c>
      <c r="F149" s="76">
        <v>2250</v>
      </c>
      <c r="G149" s="77">
        <v>0.45</v>
      </c>
      <c r="H149" s="76">
        <v>1650</v>
      </c>
      <c r="I149" s="77">
        <v>0.33</v>
      </c>
      <c r="J149" s="84">
        <v>3900</v>
      </c>
      <c r="K149" s="85">
        <v>0.78</v>
      </c>
      <c r="L149" s="72" t="str">
        <f>IF(D149=0,CHAR(160),IF(D149&gt;=500000,(F149+IF(D149&gt;500000,((D149-500000)/100*G149),0)+H149+IF(D149&gt;500000,(I149*(D149-500000)/100),0)),0))</f>
        <v> </v>
      </c>
      <c r="M149" s="60">
        <f t="shared" si="26"/>
        <v>75</v>
      </c>
      <c r="N149" s="61">
        <f>SUMIFS(L144:L149,A144:A149,"=I-2",L144:L149,"&gt;0")</f>
        <v>0</v>
      </c>
      <c r="O149" s="61"/>
      <c r="P149" s="12"/>
      <c r="Q149" s="12"/>
      <c r="R149" s="12"/>
      <c r="S149" s="12"/>
      <c r="T149" s="12"/>
      <c r="U149" s="12"/>
      <c r="V149" s="12"/>
    </row>
    <row r="150" spans="1:22" hidden="1">
      <c r="A150" s="12" t="str">
        <f>IF($B$268=29,"I-3",CHAR(160))</f>
        <v> </v>
      </c>
      <c r="B150" s="62" t="s">
        <v>31</v>
      </c>
      <c r="C150" s="63">
        <v>0</v>
      </c>
      <c r="D150" s="49">
        <f t="shared" si="25"/>
        <v>0</v>
      </c>
      <c r="E150" s="75" t="s">
        <v>115</v>
      </c>
      <c r="F150" s="76">
        <v>745</v>
      </c>
      <c r="G150" s="77">
        <v>0</v>
      </c>
      <c r="H150" s="76">
        <v>428</v>
      </c>
      <c r="I150" s="77">
        <v>0.64749999999999996</v>
      </c>
      <c r="J150" s="76">
        <v>1173</v>
      </c>
      <c r="K150" s="77">
        <v>0.64749999999999996</v>
      </c>
      <c r="L150" s="67">
        <f>(IF(D150&lt;=24999,(IF(D150&lt;=0,0,(F150+IF(D150&gt;5000,((D150-5000)/100*G150),0)+H150+IF(D150&gt;5000,(I150*(D150-5000)/100),0)))),0))</f>
        <v>0</v>
      </c>
      <c r="M150" s="68">
        <f t="shared" si="26"/>
        <v>75</v>
      </c>
      <c r="N150" s="12"/>
      <c r="O150" s="12"/>
      <c r="P150" s="12"/>
      <c r="Q150" s="12"/>
      <c r="R150" s="12"/>
      <c r="S150" s="12"/>
      <c r="T150" s="12"/>
      <c r="U150" s="12"/>
      <c r="V150" s="12"/>
    </row>
    <row r="151" spans="1:22" hidden="1">
      <c r="A151" s="12" t="str">
        <f t="shared" ref="A151:A155" si="28">IF($B$268=29,"I-3",CHAR(160))</f>
        <v> </v>
      </c>
      <c r="B151" s="47">
        <v>0</v>
      </c>
      <c r="C151" s="48">
        <v>0</v>
      </c>
      <c r="D151" s="49">
        <f t="shared" si="25"/>
        <v>0</v>
      </c>
      <c r="E151" s="79" t="s">
        <v>94</v>
      </c>
      <c r="F151" s="76">
        <v>745</v>
      </c>
      <c r="G151" s="77">
        <v>0</v>
      </c>
      <c r="H151" s="76">
        <v>557.5</v>
      </c>
      <c r="I151" s="77">
        <v>0.25</v>
      </c>
      <c r="J151" s="80">
        <v>1302.5</v>
      </c>
      <c r="K151" s="81">
        <v>0.25</v>
      </c>
      <c r="L151" s="53">
        <f>IF(D151=0,0,IF(AND(D151&gt;24999,D151&lt;50000),(F151+IF(D151&gt;25000,((D151-25000)/100*G151),0)+H151+IF(D151&gt;25000,(I151*(D151-25000)/100),0)),0))</f>
        <v>0</v>
      </c>
      <c r="M151" s="54">
        <f t="shared" si="26"/>
        <v>75</v>
      </c>
      <c r="N151" s="12"/>
      <c r="O151" s="12"/>
      <c r="P151" s="12"/>
      <c r="Q151" s="12"/>
      <c r="R151" s="12"/>
      <c r="S151" s="12"/>
      <c r="T151" s="12"/>
      <c r="U151" s="12"/>
      <c r="V151" s="12"/>
    </row>
    <row r="152" spans="1:22" hidden="1">
      <c r="A152" s="12" t="str">
        <f t="shared" si="28"/>
        <v> </v>
      </c>
      <c r="B152" s="47">
        <v>0</v>
      </c>
      <c r="C152" s="48">
        <v>0</v>
      </c>
      <c r="D152" s="49">
        <f t="shared" si="25"/>
        <v>0</v>
      </c>
      <c r="E152" s="79" t="s">
        <v>116</v>
      </c>
      <c r="F152" s="76">
        <v>745</v>
      </c>
      <c r="G152" s="77">
        <v>1.63</v>
      </c>
      <c r="H152" s="76">
        <v>620</v>
      </c>
      <c r="I152" s="77">
        <v>0.42</v>
      </c>
      <c r="J152" s="80">
        <v>1365</v>
      </c>
      <c r="K152" s="81">
        <v>2.0499999999999998</v>
      </c>
      <c r="L152" s="53" t="str">
        <f>IF(D152=0,CHAR(160),IF(AND(D152&gt;49999,D152&lt;100000),(F152+IF(D152&gt;50000,((D152-50000)/100*G152),0)+H152+IF(D152&gt;50000,(I152*(D152-50000)/100),0)),0))</f>
        <v> </v>
      </c>
      <c r="M152" s="54">
        <f t="shared" si="26"/>
        <v>75</v>
      </c>
      <c r="N152" s="12"/>
      <c r="O152" s="12"/>
      <c r="P152" s="12"/>
      <c r="Q152" s="12"/>
      <c r="R152" s="12"/>
      <c r="S152" s="12"/>
      <c r="T152" s="12"/>
      <c r="U152" s="12"/>
      <c r="V152" s="12"/>
    </row>
    <row r="153" spans="1:22" hidden="1">
      <c r="A153" s="12" t="str">
        <f t="shared" si="28"/>
        <v> </v>
      </c>
      <c r="B153" s="47">
        <v>0</v>
      </c>
      <c r="C153" s="48">
        <v>0</v>
      </c>
      <c r="D153" s="49">
        <f t="shared" si="25"/>
        <v>0</v>
      </c>
      <c r="E153" s="79" t="s">
        <v>117</v>
      </c>
      <c r="F153" s="76">
        <v>1560</v>
      </c>
      <c r="G153" s="77">
        <v>0.16</v>
      </c>
      <c r="H153" s="76">
        <v>830</v>
      </c>
      <c r="I153" s="77">
        <v>0.28000000000000003</v>
      </c>
      <c r="J153" s="80">
        <v>2390</v>
      </c>
      <c r="K153" s="81">
        <v>0.44</v>
      </c>
      <c r="L153" s="53" t="str">
        <f>IF(D153=0,CHAR(160),IF(AND(D153&gt;99999,D153&lt;250000),(F153+IF(D153&gt;100000,((D153-100000)/100*G153),0)+H153+IF(D153&gt;100000,(I153*(D153-100000)/100),0)),0))</f>
        <v> </v>
      </c>
      <c r="M153" s="54">
        <f t="shared" si="26"/>
        <v>75</v>
      </c>
      <c r="N153" s="12"/>
      <c r="O153" s="12"/>
      <c r="P153" s="12"/>
      <c r="Q153" s="12"/>
      <c r="R153" s="12"/>
      <c r="S153" s="12"/>
      <c r="T153" s="12"/>
      <c r="U153" s="12"/>
      <c r="V153" s="12"/>
    </row>
    <row r="154" spans="1:22" hidden="1">
      <c r="A154" s="12" t="str">
        <f t="shared" si="28"/>
        <v> </v>
      </c>
      <c r="B154" s="47">
        <v>0</v>
      </c>
      <c r="C154" s="48">
        <v>0</v>
      </c>
      <c r="D154" s="49">
        <f t="shared" si="25"/>
        <v>0</v>
      </c>
      <c r="E154" s="79" t="s">
        <v>118</v>
      </c>
      <c r="F154" s="76">
        <v>1800</v>
      </c>
      <c r="G154" s="77">
        <v>0.18</v>
      </c>
      <c r="H154" s="76">
        <v>1250</v>
      </c>
      <c r="I154" s="77">
        <v>0.16</v>
      </c>
      <c r="J154" s="80">
        <v>3050</v>
      </c>
      <c r="K154" s="81">
        <v>0.34</v>
      </c>
      <c r="L154" s="53" t="str">
        <f>IF(D154=0,CHAR(160),IF(AND(D154&gt;249999,D154&lt;500000),(F154+IF(D154&gt;250000,((D154-250000)/100*G154),0)+H154+IF(D154&gt;250000,(I154*(D154-250000)/100),0)),0))</f>
        <v> </v>
      </c>
      <c r="M154" s="54">
        <f t="shared" si="26"/>
        <v>75</v>
      </c>
      <c r="N154" s="12"/>
      <c r="O154" s="12"/>
      <c r="P154" s="12"/>
      <c r="Q154" s="12"/>
      <c r="R154" s="12"/>
      <c r="S154" s="12"/>
      <c r="T154" s="12"/>
      <c r="U154" s="12"/>
      <c r="V154" s="12"/>
    </row>
    <row r="155" spans="1:22" hidden="1">
      <c r="A155" s="12" t="str">
        <f t="shared" si="28"/>
        <v> </v>
      </c>
      <c r="B155" s="55">
        <v>0</v>
      </c>
      <c r="C155" s="56">
        <v>0</v>
      </c>
      <c r="D155" s="49">
        <f t="shared" si="25"/>
        <v>0</v>
      </c>
      <c r="E155" s="83" t="s">
        <v>119</v>
      </c>
      <c r="F155" s="76">
        <v>2250</v>
      </c>
      <c r="G155" s="77">
        <v>0.45</v>
      </c>
      <c r="H155" s="76">
        <v>1650</v>
      </c>
      <c r="I155" s="77">
        <v>0.33</v>
      </c>
      <c r="J155" s="84">
        <v>3900</v>
      </c>
      <c r="K155" s="85">
        <v>0.78</v>
      </c>
      <c r="L155" s="72" t="str">
        <f>IF(D155=0,CHAR(160),IF(D155&gt;=500000,(F155+IF(D155&gt;500000,((D155-500000)/100*G155),0)+H155+IF(D155&gt;500000,(I155*(D155-500000)/100),0)),0))</f>
        <v> </v>
      </c>
      <c r="M155" s="60">
        <f t="shared" si="26"/>
        <v>75</v>
      </c>
      <c r="N155" s="61">
        <f>SUMIFS(L150:L155,A150:A155,"=I-3",L150:L155,"&gt;0")</f>
        <v>0</v>
      </c>
      <c r="O155" s="61"/>
      <c r="P155" s="12"/>
      <c r="Q155" s="12"/>
      <c r="R155" s="12"/>
      <c r="S155" s="12"/>
      <c r="T155" s="12"/>
      <c r="U155" s="12"/>
      <c r="V155" s="12"/>
    </row>
    <row r="156" spans="1:22" hidden="1">
      <c r="A156" s="12" t="str">
        <f>IF($B$268=30,"I-4",CHAR(160))</f>
        <v> </v>
      </c>
      <c r="B156" s="62" t="s">
        <v>32</v>
      </c>
      <c r="C156" s="63">
        <v>0</v>
      </c>
      <c r="D156" s="49">
        <f t="shared" si="25"/>
        <v>0</v>
      </c>
      <c r="E156" s="75" t="s">
        <v>120</v>
      </c>
      <c r="F156" s="76">
        <v>331.05</v>
      </c>
      <c r="G156" s="77">
        <v>2.499999999999621E-3</v>
      </c>
      <c r="H156" s="76">
        <v>109.425</v>
      </c>
      <c r="I156" s="77">
        <v>1.0900000000000001</v>
      </c>
      <c r="J156" s="76">
        <v>440.47500000000002</v>
      </c>
      <c r="K156" s="77">
        <v>1.0925</v>
      </c>
      <c r="L156" s="67">
        <f>(IF(D156&lt;=3749,(IF(D156&lt;=0,0,(F156+IF(D156&gt;750,((D156-750)/100*G156),0)+H156+IF(D156&gt;750,(I156*(D156-750)/100),0)))),0))</f>
        <v>0</v>
      </c>
      <c r="M156" s="68">
        <f t="shared" si="26"/>
        <v>75</v>
      </c>
      <c r="N156" s="12"/>
      <c r="O156" s="12"/>
      <c r="P156" s="12"/>
      <c r="Q156" s="12"/>
      <c r="R156" s="12"/>
      <c r="S156" s="12"/>
      <c r="T156" s="12"/>
      <c r="U156" s="12"/>
      <c r="V156" s="12"/>
    </row>
    <row r="157" spans="1:22" hidden="1">
      <c r="A157" s="12" t="str">
        <f t="shared" ref="A157:A161" si="29">IF($B$268=30,"I-4",CHAR(160))</f>
        <v> </v>
      </c>
      <c r="B157" s="47">
        <v>0</v>
      </c>
      <c r="C157" s="48">
        <v>0</v>
      </c>
      <c r="D157" s="49">
        <f t="shared" si="25"/>
        <v>0</v>
      </c>
      <c r="E157" s="79" t="s">
        <v>75</v>
      </c>
      <c r="F157" s="76">
        <v>331.125</v>
      </c>
      <c r="G157" s="77">
        <v>-0.01</v>
      </c>
      <c r="H157" s="76">
        <v>142.125</v>
      </c>
      <c r="I157" s="77">
        <v>0.45</v>
      </c>
      <c r="J157" s="80">
        <v>473.25</v>
      </c>
      <c r="K157" s="81">
        <v>0.44</v>
      </c>
      <c r="L157" s="53">
        <f>IF(D157=0,0,IF(AND(D157&gt;3749,D157&lt;7500),(F157+IF(D157&gt;3750,((D157-3750)/100*G157),0)+H157+IF(D157&gt;3750,(I157*(D157-3750)/100),0)),0))</f>
        <v>0</v>
      </c>
      <c r="M157" s="54">
        <f t="shared" si="26"/>
        <v>75</v>
      </c>
      <c r="N157" s="12"/>
      <c r="O157" s="12"/>
      <c r="P157" s="12"/>
      <c r="Q157" s="12"/>
      <c r="R157" s="12"/>
      <c r="S157" s="12"/>
      <c r="T157" s="12"/>
      <c r="U157" s="12"/>
      <c r="V157" s="12"/>
    </row>
    <row r="158" spans="1:22" hidden="1">
      <c r="A158" s="12" t="str">
        <f t="shared" si="29"/>
        <v> </v>
      </c>
      <c r="B158" s="47">
        <v>0</v>
      </c>
      <c r="C158" s="48">
        <v>0</v>
      </c>
      <c r="D158" s="49">
        <f t="shared" si="25"/>
        <v>0</v>
      </c>
      <c r="E158" s="79" t="s">
        <v>74</v>
      </c>
      <c r="F158" s="76">
        <v>330.75</v>
      </c>
      <c r="G158" s="77">
        <v>4.87</v>
      </c>
      <c r="H158" s="76">
        <v>159</v>
      </c>
      <c r="I158" s="77">
        <v>0.72</v>
      </c>
      <c r="J158" s="80">
        <v>489.75</v>
      </c>
      <c r="K158" s="81">
        <v>5.59</v>
      </c>
      <c r="L158" s="53" t="str">
        <f>IF(D158=0,CHAR(160),IF(AND(D158&gt;7499,D158&lt;15000),(F158+IF(D158&gt;7500,((D158-7500)/100*G158),0)+H158+IF(D158&gt;7500,(I158*(D158-7500)/100),0)),0))</f>
        <v> </v>
      </c>
      <c r="M158" s="54">
        <f t="shared" si="26"/>
        <v>75</v>
      </c>
      <c r="N158" s="12"/>
      <c r="O158" s="12"/>
      <c r="P158" s="12"/>
      <c r="Q158" s="12"/>
      <c r="R158" s="12"/>
      <c r="S158" s="12"/>
      <c r="T158" s="12"/>
      <c r="U158" s="12"/>
      <c r="V158" s="12"/>
    </row>
    <row r="159" spans="1:22" hidden="1">
      <c r="A159" s="12" t="str">
        <f t="shared" si="29"/>
        <v> </v>
      </c>
      <c r="B159" s="47">
        <v>0</v>
      </c>
      <c r="C159" s="48">
        <v>0</v>
      </c>
      <c r="D159" s="49">
        <f t="shared" si="25"/>
        <v>0</v>
      </c>
      <c r="E159" s="79" t="s">
        <v>73</v>
      </c>
      <c r="F159" s="76">
        <v>696</v>
      </c>
      <c r="G159" s="77">
        <v>0.44</v>
      </c>
      <c r="H159" s="76">
        <v>213</v>
      </c>
      <c r="I159" s="77">
        <v>0.47</v>
      </c>
      <c r="J159" s="80">
        <v>909</v>
      </c>
      <c r="K159" s="81">
        <v>0.91</v>
      </c>
      <c r="L159" s="53" t="str">
        <f>IF(D159=0,CHAR(160),IF(AND(D159&gt;14999,D159&lt;37500),(F159+IF(D159&gt;15000,((D159-15000)/100*G159),0)+H159+IF(D159&gt;15000,(I159*(D159-15000)/100),0)),0))</f>
        <v> </v>
      </c>
      <c r="M159" s="54">
        <f t="shared" si="26"/>
        <v>75</v>
      </c>
      <c r="N159" s="12"/>
      <c r="O159" s="12"/>
      <c r="P159" s="12"/>
      <c r="Q159" s="12"/>
      <c r="R159" s="12"/>
      <c r="S159" s="12"/>
      <c r="T159" s="12"/>
      <c r="U159" s="12"/>
      <c r="V159" s="12"/>
    </row>
    <row r="160" spans="1:22" hidden="1">
      <c r="A160" s="12" t="str">
        <f t="shared" si="29"/>
        <v> </v>
      </c>
      <c r="B160" s="47">
        <v>0</v>
      </c>
      <c r="C160" s="48">
        <v>0</v>
      </c>
      <c r="D160" s="49">
        <f t="shared" si="25"/>
        <v>0</v>
      </c>
      <c r="E160" s="79" t="s">
        <v>71</v>
      </c>
      <c r="F160" s="76">
        <v>795</v>
      </c>
      <c r="G160" s="77">
        <v>0.52</v>
      </c>
      <c r="H160" s="76">
        <v>318.75</v>
      </c>
      <c r="I160" s="77">
        <v>0.28999999999999998</v>
      </c>
      <c r="J160" s="80">
        <v>1113.75</v>
      </c>
      <c r="K160" s="81">
        <v>0.81</v>
      </c>
      <c r="L160" s="53" t="str">
        <f>IF(D160=0,CHAR(160),IF(AND(D160&gt;37499,D160&lt;75000),(F160+IF(D160&gt;37500,((D160-37500)/100*G160),0)+H160+IF(D160&gt;37500,(I160*(D160-37500)/100),0)),0))</f>
        <v> </v>
      </c>
      <c r="M160" s="54">
        <f t="shared" si="26"/>
        <v>75</v>
      </c>
      <c r="N160" s="12"/>
      <c r="O160" s="12"/>
      <c r="P160" s="12"/>
      <c r="Q160" s="12"/>
      <c r="R160" s="12"/>
      <c r="S160" s="12"/>
      <c r="T160" s="12"/>
      <c r="U160" s="12"/>
      <c r="V160" s="12"/>
    </row>
    <row r="161" spans="1:22" hidden="1">
      <c r="A161" s="12" t="str">
        <f t="shared" si="29"/>
        <v> </v>
      </c>
      <c r="B161" s="55">
        <v>0</v>
      </c>
      <c r="C161" s="56">
        <v>0</v>
      </c>
      <c r="D161" s="49">
        <f t="shared" si="25"/>
        <v>0</v>
      </c>
      <c r="E161" s="83" t="s">
        <v>121</v>
      </c>
      <c r="F161" s="76">
        <v>990</v>
      </c>
      <c r="G161" s="77">
        <v>1.32</v>
      </c>
      <c r="H161" s="76">
        <v>427.5</v>
      </c>
      <c r="I161" s="77">
        <v>0.56999999999999995</v>
      </c>
      <c r="J161" s="84">
        <v>1417.5</v>
      </c>
      <c r="K161" s="85">
        <v>1.89</v>
      </c>
      <c r="L161" s="72" t="str">
        <f>IF(D161=0,CHAR(160),IF(D161&gt;=75000,(F161+IF(D161&gt;75000,((D161-75000)/100*G161),0)+H161+IF(D161&gt;75000,(I161*(D161-75000)/100),0)),0))</f>
        <v> </v>
      </c>
      <c r="M161" s="60">
        <f t="shared" si="26"/>
        <v>75</v>
      </c>
      <c r="N161" s="61">
        <f>SUMIFS(L156:L161,A156:A161,"=I-4",L156:L161,"&gt;0")</f>
        <v>0</v>
      </c>
      <c r="O161" s="61"/>
      <c r="P161" s="12"/>
      <c r="Q161" s="12"/>
      <c r="R161" s="12"/>
      <c r="S161" s="12"/>
      <c r="T161" s="12"/>
      <c r="U161" s="12"/>
      <c r="V161" s="12"/>
    </row>
    <row r="162" spans="1:22" hidden="1">
      <c r="A162" s="12" t="str">
        <f>IF($B$268=7,"I-TI",CHAR(160))</f>
        <v> </v>
      </c>
      <c r="B162" s="62" t="s">
        <v>33</v>
      </c>
      <c r="C162" s="63">
        <v>0</v>
      </c>
      <c r="D162" s="49">
        <f t="shared" si="25"/>
        <v>0</v>
      </c>
      <c r="E162" s="75" t="s">
        <v>122</v>
      </c>
      <c r="F162" s="76">
        <v>331.1</v>
      </c>
      <c r="G162" s="77">
        <v>-2.5000000000005686E-3</v>
      </c>
      <c r="H162" s="76">
        <v>61.8</v>
      </c>
      <c r="I162" s="77">
        <v>0.46750000000000003</v>
      </c>
      <c r="J162" s="76">
        <v>392.9</v>
      </c>
      <c r="K162" s="77">
        <v>0.46499999999999936</v>
      </c>
      <c r="L162" s="67">
        <f>(IF(D162&lt;=4999,(IF(D162&lt;=0,0,(F162+IF(D162&gt;1000,((D162-1000)/100*G162),0)+H162+IF(D162&gt;1000,(I162*(D162-1000)/100),0)))),0))</f>
        <v>0</v>
      </c>
      <c r="M162" s="68">
        <f t="shared" si="26"/>
        <v>75</v>
      </c>
      <c r="N162" s="12"/>
      <c r="O162" s="12"/>
      <c r="P162" s="12"/>
      <c r="Q162" s="12"/>
      <c r="R162" s="12"/>
      <c r="S162" s="12"/>
      <c r="T162" s="12"/>
      <c r="U162" s="12"/>
      <c r="V162" s="12"/>
    </row>
    <row r="163" spans="1:22" hidden="1">
      <c r="A163" s="12" t="str">
        <f t="shared" ref="A163:A167" si="30">IF($B$268=7,"I-TI",CHAR(160))</f>
        <v> </v>
      </c>
      <c r="B163" s="47">
        <v>0</v>
      </c>
      <c r="C163" s="48">
        <v>0</v>
      </c>
      <c r="D163" s="49">
        <f t="shared" si="25"/>
        <v>0</v>
      </c>
      <c r="E163" s="79" t="s">
        <v>92</v>
      </c>
      <c r="F163" s="76">
        <v>331</v>
      </c>
      <c r="G163" s="77">
        <v>0</v>
      </c>
      <c r="H163" s="76">
        <v>80.5</v>
      </c>
      <c r="I163" s="77">
        <v>0.19</v>
      </c>
      <c r="J163" s="80">
        <v>411.5</v>
      </c>
      <c r="K163" s="81">
        <v>0.19</v>
      </c>
      <c r="L163" s="53">
        <f>IF(D163=0,0,IF(AND(D163&gt;4999,D163&lt;10000),(F163+IF(D163&gt;5000,((D163-5000)/100*G163),0)+H163+IF(D163&gt;5000,(I163*(D163-5000)/100),0)),0))</f>
        <v>0</v>
      </c>
      <c r="M163" s="54">
        <f t="shared" si="26"/>
        <v>75</v>
      </c>
      <c r="N163" s="12"/>
      <c r="O163" s="12"/>
      <c r="P163" s="12"/>
      <c r="Q163" s="12"/>
      <c r="R163" s="12"/>
      <c r="S163" s="12"/>
      <c r="T163" s="12"/>
      <c r="U163" s="12"/>
      <c r="V163" s="12"/>
    </row>
    <row r="164" spans="1:22" hidden="1">
      <c r="A164" s="12" t="str">
        <f t="shared" si="30"/>
        <v> </v>
      </c>
      <c r="B164" s="47">
        <v>0</v>
      </c>
      <c r="C164" s="48">
        <v>0</v>
      </c>
      <c r="D164" s="49">
        <f t="shared" si="25"/>
        <v>0</v>
      </c>
      <c r="E164" s="79" t="s">
        <v>76</v>
      </c>
      <c r="F164" s="76">
        <v>331</v>
      </c>
      <c r="G164" s="77">
        <v>3.65</v>
      </c>
      <c r="H164" s="76">
        <v>90</v>
      </c>
      <c r="I164" s="77">
        <v>0.3</v>
      </c>
      <c r="J164" s="80">
        <v>421</v>
      </c>
      <c r="K164" s="81">
        <v>3.95</v>
      </c>
      <c r="L164" s="53" t="str">
        <f>IF(D164=0,CHAR(160),IF(AND(D164&gt;9999,D164&lt;20000),(F164+IF(D164&gt;10000,((D164-10000)/100*G164),0)+H164+IF(D164&gt;10000,(I164*(D164-10000)/100),0)),0))</f>
        <v> </v>
      </c>
      <c r="M164" s="54">
        <f t="shared" si="26"/>
        <v>75</v>
      </c>
      <c r="N164" s="12"/>
      <c r="O164" s="12"/>
      <c r="P164" s="12"/>
      <c r="Q164" s="12"/>
      <c r="R164" s="12"/>
      <c r="S164" s="12"/>
      <c r="T164" s="12"/>
      <c r="U164" s="12"/>
      <c r="V164" s="12"/>
    </row>
    <row r="165" spans="1:22" hidden="1">
      <c r="A165" s="12" t="str">
        <f t="shared" si="30"/>
        <v> </v>
      </c>
      <c r="B165" s="47">
        <v>0</v>
      </c>
      <c r="C165" s="48">
        <v>0</v>
      </c>
      <c r="D165" s="49">
        <f t="shared" si="25"/>
        <v>0</v>
      </c>
      <c r="E165" s="79" t="s">
        <v>123</v>
      </c>
      <c r="F165" s="76">
        <v>696</v>
      </c>
      <c r="G165" s="77">
        <v>0.33</v>
      </c>
      <c r="H165" s="76">
        <v>120</v>
      </c>
      <c r="I165" s="77">
        <v>0.2</v>
      </c>
      <c r="J165" s="80">
        <v>816</v>
      </c>
      <c r="K165" s="81">
        <v>0.53</v>
      </c>
      <c r="L165" s="53" t="str">
        <f>IF(D165=0,CHAR(160),IF(AND(D165&gt;19999,D165&lt;50000),(F165+IF(D165&gt;20000,((D165-20000)/100*G165),0)+H165+IF(D165&gt;20000,(I165*(D165-20000)/100),0)),0))</f>
        <v> </v>
      </c>
      <c r="M165" s="54">
        <f t="shared" si="26"/>
        <v>75</v>
      </c>
      <c r="N165" s="12"/>
      <c r="O165" s="12"/>
      <c r="P165" s="12"/>
      <c r="Q165" s="12"/>
      <c r="R165" s="12"/>
      <c r="S165" s="12"/>
      <c r="T165" s="12"/>
      <c r="U165" s="12"/>
      <c r="V165" s="12"/>
    </row>
    <row r="166" spans="1:22" hidden="1">
      <c r="A166" s="12" t="str">
        <f t="shared" si="30"/>
        <v> </v>
      </c>
      <c r="B166" s="47">
        <v>0</v>
      </c>
      <c r="C166" s="48">
        <v>0</v>
      </c>
      <c r="D166" s="49">
        <f t="shared" si="25"/>
        <v>0</v>
      </c>
      <c r="E166" s="79" t="s">
        <v>116</v>
      </c>
      <c r="F166" s="76">
        <v>795</v>
      </c>
      <c r="G166" s="77">
        <v>0.39</v>
      </c>
      <c r="H166" s="76">
        <v>180</v>
      </c>
      <c r="I166" s="77">
        <v>0.12</v>
      </c>
      <c r="J166" s="80">
        <v>975</v>
      </c>
      <c r="K166" s="81">
        <v>0.51</v>
      </c>
      <c r="L166" s="53" t="str">
        <f>IF(D166=0,CHAR(160),IF(AND(D166&gt;49999,D166&lt;100000),(F166+IF(D166&gt;50000,((D166-50000)/100*G166),0)+H166+IF(D166&gt;50000,(I166*(D166-50000)/100),0)),0))</f>
        <v> </v>
      </c>
      <c r="M166" s="54">
        <f t="shared" si="26"/>
        <v>75</v>
      </c>
      <c r="N166" s="12"/>
      <c r="O166" s="12"/>
      <c r="P166" s="12"/>
      <c r="Q166" s="12"/>
      <c r="R166" s="12"/>
      <c r="S166" s="12"/>
      <c r="T166" s="12"/>
      <c r="U166" s="12"/>
      <c r="V166" s="12"/>
    </row>
    <row r="167" spans="1:22" hidden="1">
      <c r="A167" s="12" t="str">
        <f t="shared" si="30"/>
        <v> </v>
      </c>
      <c r="B167" s="55">
        <v>0</v>
      </c>
      <c r="C167" s="56">
        <v>0</v>
      </c>
      <c r="D167" s="49">
        <f t="shared" si="25"/>
        <v>0</v>
      </c>
      <c r="E167" s="83" t="s">
        <v>129</v>
      </c>
      <c r="F167" s="76">
        <v>990</v>
      </c>
      <c r="G167" s="77">
        <v>0.99</v>
      </c>
      <c r="H167" s="76">
        <v>240</v>
      </c>
      <c r="I167" s="77">
        <v>0.24</v>
      </c>
      <c r="J167" s="84">
        <v>1230</v>
      </c>
      <c r="K167" s="85">
        <v>1.23</v>
      </c>
      <c r="L167" s="72" t="str">
        <f>IF(D167=0,CHAR(160),IF(D167&gt;=100000,(F167+IF(D167&gt;100000,((D167-100000)/100*G167),0)+H167+IF(D167&gt;100000,(I167*(D167-100000)/100),0)),0))</f>
        <v> </v>
      </c>
      <c r="M167" s="60">
        <f t="shared" si="26"/>
        <v>75</v>
      </c>
      <c r="N167" s="61">
        <f>SUMIFS(L162:L167,A162:A167,"=i-ti",L162:L167,"&gt;0")</f>
        <v>0</v>
      </c>
      <c r="O167" s="61"/>
      <c r="P167" s="12"/>
      <c r="Q167" s="12"/>
      <c r="R167" s="12"/>
      <c r="S167" s="12"/>
      <c r="T167" s="12"/>
      <c r="U167" s="12"/>
      <c r="V167" s="12"/>
    </row>
    <row r="168" spans="1:22" hidden="1">
      <c r="A168" s="12" t="str">
        <f>IF($B$268=31,"M",CHAR(160))</f>
        <v> </v>
      </c>
      <c r="B168" s="62" t="s">
        <v>34</v>
      </c>
      <c r="C168" s="63">
        <v>0</v>
      </c>
      <c r="D168" s="49">
        <f t="shared" si="25"/>
        <v>0</v>
      </c>
      <c r="E168" s="75" t="s">
        <v>130</v>
      </c>
      <c r="F168" s="76">
        <v>745</v>
      </c>
      <c r="G168" s="77">
        <v>0</v>
      </c>
      <c r="H168" s="76">
        <v>304</v>
      </c>
      <c r="I168" s="77">
        <v>0.22750000000000001</v>
      </c>
      <c r="J168" s="76">
        <v>1049</v>
      </c>
      <c r="K168" s="77">
        <v>0.22750000000000001</v>
      </c>
      <c r="L168" s="67">
        <f>(IF(D168&lt;=49999,(IF(D168&lt;=0,0,(F168+IF(D168&gt;10000,((D168-10000)/100*G168),0)+H168+IF(D168&gt;10000,(I168*(D168-10000)/100),0)))),0))</f>
        <v>0</v>
      </c>
      <c r="M168" s="68">
        <f t="shared" si="26"/>
        <v>75</v>
      </c>
      <c r="N168" s="12"/>
      <c r="O168" s="12"/>
      <c r="P168" s="12"/>
      <c r="Q168" s="12"/>
      <c r="R168" s="12"/>
      <c r="S168" s="12"/>
      <c r="T168" s="12"/>
      <c r="U168" s="12"/>
      <c r="V168" s="12"/>
    </row>
    <row r="169" spans="1:22" hidden="1">
      <c r="A169" s="12" t="str">
        <f t="shared" ref="A169:A173" si="31">IF($B$268=31,"M",CHAR(160))</f>
        <v> </v>
      </c>
      <c r="B169" s="47">
        <v>0</v>
      </c>
      <c r="C169" s="48">
        <v>0</v>
      </c>
      <c r="D169" s="49">
        <f t="shared" si="25"/>
        <v>0</v>
      </c>
      <c r="E169" s="79" t="s">
        <v>116</v>
      </c>
      <c r="F169" s="76">
        <v>745</v>
      </c>
      <c r="G169" s="77">
        <v>-0.01</v>
      </c>
      <c r="H169" s="76">
        <v>395</v>
      </c>
      <c r="I169" s="77">
        <v>8.9999999999999886E-2</v>
      </c>
      <c r="J169" s="80">
        <v>1140</v>
      </c>
      <c r="K169" s="81">
        <v>7.9999999999999891E-2</v>
      </c>
      <c r="L169" s="53">
        <f>IF(D169=0,0,IF(AND(D169&gt;49999,D169&lt;100000),(F169+IF(D169&gt;50000,((D169-50000)/100*G169),0)+H169+IF(D169&gt;50000,(I169*(D169-50000)/100),0)),0))</f>
        <v>0</v>
      </c>
      <c r="M169" s="54">
        <f t="shared" si="26"/>
        <v>75</v>
      </c>
      <c r="N169" s="12"/>
      <c r="O169" s="12"/>
      <c r="P169" s="12"/>
      <c r="Q169" s="12"/>
      <c r="R169" s="12"/>
      <c r="S169" s="12"/>
      <c r="T169" s="12"/>
      <c r="U169" s="12"/>
      <c r="V169" s="12"/>
    </row>
    <row r="170" spans="1:22" hidden="1">
      <c r="A170" s="12" t="str">
        <f t="shared" si="31"/>
        <v> </v>
      </c>
      <c r="B170" s="47">
        <v>0</v>
      </c>
      <c r="C170" s="48">
        <v>0</v>
      </c>
      <c r="D170" s="49">
        <f t="shared" si="25"/>
        <v>0</v>
      </c>
      <c r="E170" s="79" t="s">
        <v>80</v>
      </c>
      <c r="F170" s="76">
        <v>740</v>
      </c>
      <c r="G170" s="77">
        <v>0.82</v>
      </c>
      <c r="H170" s="76">
        <v>440</v>
      </c>
      <c r="I170" s="77">
        <v>0.16</v>
      </c>
      <c r="J170" s="80">
        <v>1180</v>
      </c>
      <c r="K170" s="81">
        <v>0.98</v>
      </c>
      <c r="L170" s="53" t="str">
        <f>IF(D170=0,CHAR(160),IF(AND(D170&gt;99999,D170&lt;200000),(F170+IF(D170&gt;100000,((D170-100000)/100*G170),0)+H170+IF(D170&gt;100000,(I170*(D170-100000)/100),0)),0))</f>
        <v> </v>
      </c>
      <c r="M170" s="54">
        <f t="shared" si="26"/>
        <v>75</v>
      </c>
      <c r="N170" s="12"/>
      <c r="O170" s="12"/>
      <c r="P170" s="12"/>
      <c r="Q170" s="12"/>
      <c r="R170" s="12"/>
      <c r="S170" s="12"/>
      <c r="T170" s="12"/>
      <c r="U170" s="12"/>
      <c r="V170" s="12"/>
    </row>
    <row r="171" spans="1:22" hidden="1">
      <c r="A171" s="12" t="str">
        <f t="shared" si="31"/>
        <v> </v>
      </c>
      <c r="B171" s="47">
        <v>0</v>
      </c>
      <c r="C171" s="48">
        <v>0</v>
      </c>
      <c r="D171" s="49">
        <f t="shared" si="25"/>
        <v>0</v>
      </c>
      <c r="E171" s="79" t="s">
        <v>131</v>
      </c>
      <c r="F171" s="76">
        <v>1560</v>
      </c>
      <c r="G171" s="77">
        <v>0.08</v>
      </c>
      <c r="H171" s="76">
        <v>600</v>
      </c>
      <c r="I171" s="77">
        <v>0.1</v>
      </c>
      <c r="J171" s="80">
        <v>2160</v>
      </c>
      <c r="K171" s="81">
        <v>0.18</v>
      </c>
      <c r="L171" s="53" t="str">
        <f>IF(D171=0,CHAR(160),IF(AND(D171&gt;199999,D171&lt;500000),(F171+IF(D171&gt;200000,((D171-200000)/100*G171),0)+H171+IF(D171&gt;200000,(I171*(D171-200000)/100),0)),0))</f>
        <v> </v>
      </c>
      <c r="M171" s="54">
        <f t="shared" si="26"/>
        <v>75</v>
      </c>
      <c r="N171" s="12"/>
      <c r="O171" s="12"/>
      <c r="P171" s="12"/>
      <c r="Q171" s="12"/>
      <c r="R171" s="12"/>
      <c r="S171" s="12"/>
      <c r="T171" s="12"/>
      <c r="U171" s="12"/>
      <c r="V171" s="12"/>
    </row>
    <row r="172" spans="1:22" hidden="1">
      <c r="A172" s="12" t="str">
        <f t="shared" si="31"/>
        <v> </v>
      </c>
      <c r="B172" s="47">
        <v>0</v>
      </c>
      <c r="C172" s="48">
        <v>0</v>
      </c>
      <c r="D172" s="49">
        <f t="shared" si="25"/>
        <v>0</v>
      </c>
      <c r="E172" s="79" t="s">
        <v>132</v>
      </c>
      <c r="F172" s="76">
        <v>1800</v>
      </c>
      <c r="G172" s="77">
        <v>0.08</v>
      </c>
      <c r="H172" s="76">
        <v>900</v>
      </c>
      <c r="I172" s="77">
        <v>0.06</v>
      </c>
      <c r="J172" s="80">
        <v>2700</v>
      </c>
      <c r="K172" s="81">
        <v>0.14000000000000001</v>
      </c>
      <c r="L172" s="53" t="str">
        <f>IF(D172=0,CHAR(160),IF(AND(D172&gt;499999,D172&lt;1000000),(F172+IF(D172&gt;500000,((D172-500000)/100*G172),0)+H172+IF(D172&gt;500000,(I172*(D172-500000)/100),0)),0))</f>
        <v> </v>
      </c>
      <c r="M172" s="54">
        <f t="shared" si="26"/>
        <v>75</v>
      </c>
      <c r="N172" s="12"/>
      <c r="O172" s="12"/>
      <c r="P172" s="12"/>
      <c r="Q172" s="12"/>
      <c r="R172" s="12"/>
      <c r="S172" s="12"/>
      <c r="T172" s="12"/>
      <c r="U172" s="12"/>
      <c r="V172" s="12"/>
    </row>
    <row r="173" spans="1:22" hidden="1">
      <c r="A173" s="12" t="str">
        <f t="shared" si="31"/>
        <v> </v>
      </c>
      <c r="B173" s="55">
        <v>0</v>
      </c>
      <c r="C173" s="56">
        <v>0</v>
      </c>
      <c r="D173" s="49">
        <f t="shared" si="25"/>
        <v>0</v>
      </c>
      <c r="E173" s="83" t="s">
        <v>133</v>
      </c>
      <c r="F173" s="76">
        <v>2200</v>
      </c>
      <c r="G173" s="77">
        <v>0.22</v>
      </c>
      <c r="H173" s="76">
        <v>1200</v>
      </c>
      <c r="I173" s="77">
        <v>0.12</v>
      </c>
      <c r="J173" s="84">
        <v>3400</v>
      </c>
      <c r="K173" s="85">
        <v>0.34</v>
      </c>
      <c r="L173" s="72" t="str">
        <f>IF(D173=0,CHAR(160),IF(D173&gt;=1000000,(F173+IF(D173&gt;1000000,((D173-1000000)/100*G173),0)+H173+IF(D173&gt;1000000,(I173*(D173-1000000)/100),0)),0))</f>
        <v> </v>
      </c>
      <c r="M173" s="60">
        <f t="shared" si="26"/>
        <v>75</v>
      </c>
      <c r="N173" s="61">
        <f>SUMIFS(L168:L173,A168:A173,"=m",L168:L173,"&gt;0")</f>
        <v>0</v>
      </c>
      <c r="O173" s="61"/>
      <c r="P173" s="12"/>
      <c r="Q173" s="12"/>
      <c r="R173" s="12"/>
      <c r="S173" s="12"/>
      <c r="T173" s="12"/>
      <c r="U173" s="12"/>
      <c r="V173" s="12"/>
    </row>
    <row r="174" spans="1:22" hidden="1">
      <c r="A174" s="12" t="str">
        <f>IF($B$268=8,"M-TI",CHAR(160))</f>
        <v> </v>
      </c>
      <c r="B174" s="62" t="s">
        <v>35</v>
      </c>
      <c r="C174" s="63">
        <v>0</v>
      </c>
      <c r="D174" s="49">
        <f t="shared" si="25"/>
        <v>0</v>
      </c>
      <c r="E174" s="64" t="s">
        <v>90</v>
      </c>
      <c r="F174" s="76">
        <v>206.9</v>
      </c>
      <c r="G174" s="77">
        <v>4.9999999999997156E-3</v>
      </c>
      <c r="H174" s="76">
        <v>61.85</v>
      </c>
      <c r="I174" s="77">
        <v>0.9325</v>
      </c>
      <c r="J174" s="76">
        <v>268.75</v>
      </c>
      <c r="K174" s="77">
        <v>0.9375</v>
      </c>
      <c r="L174" s="67">
        <f>(IF(D174&lt;=2499,(IF(D174&lt;=0,0,(F174+IF(D174&gt;500,((D174-500)/100*G174),0)+H174+IF(D174&gt;500,(I174*(D174-500)/100),0)))),0))</f>
        <v>0</v>
      </c>
      <c r="M174" s="68">
        <f t="shared" si="26"/>
        <v>75</v>
      </c>
      <c r="N174" s="12"/>
      <c r="O174" s="12"/>
      <c r="P174" s="12"/>
      <c r="Q174" s="12"/>
      <c r="R174" s="12"/>
      <c r="S174" s="12"/>
      <c r="T174" s="12"/>
      <c r="U174" s="12"/>
      <c r="V174" s="12"/>
    </row>
    <row r="175" spans="1:22" hidden="1">
      <c r="A175" s="12" t="str">
        <f t="shared" ref="A175:A179" si="32">IF($B$268=8,"M-TI",CHAR(160))</f>
        <v> </v>
      </c>
      <c r="B175" s="47">
        <v>0</v>
      </c>
      <c r="C175" s="48">
        <v>0</v>
      </c>
      <c r="D175" s="49">
        <f t="shared" si="25"/>
        <v>0</v>
      </c>
      <c r="E175" s="50" t="s">
        <v>91</v>
      </c>
      <c r="F175" s="76">
        <v>207</v>
      </c>
      <c r="G175" s="77">
        <v>0</v>
      </c>
      <c r="H175" s="76">
        <v>80.5</v>
      </c>
      <c r="I175" s="77">
        <v>0.36</v>
      </c>
      <c r="J175" s="80">
        <v>287.5</v>
      </c>
      <c r="K175" s="81">
        <v>0.36</v>
      </c>
      <c r="L175" s="53">
        <f>IF(D175=0,0,IF(AND(D175&gt;2499,D175&lt;5000),(F175+IF(D175&gt;2500,((D175-2500)/100*G175),0)+H175+IF(D175&gt;2500,(I175*(D175-2500)/100),0)),0))</f>
        <v>0</v>
      </c>
      <c r="M175" s="54">
        <f t="shared" si="26"/>
        <v>75</v>
      </c>
      <c r="N175" s="12"/>
      <c r="O175" s="12"/>
      <c r="P175" s="12"/>
      <c r="Q175" s="12"/>
      <c r="R175" s="12"/>
      <c r="S175" s="12"/>
      <c r="T175" s="12"/>
      <c r="U175" s="12"/>
      <c r="V175" s="12"/>
    </row>
    <row r="176" spans="1:22" hidden="1">
      <c r="A176" s="12" t="str">
        <f t="shared" si="32"/>
        <v> </v>
      </c>
      <c r="B176" s="47">
        <v>0</v>
      </c>
      <c r="C176" s="48">
        <v>0</v>
      </c>
      <c r="D176" s="49">
        <f t="shared" si="25"/>
        <v>0</v>
      </c>
      <c r="E176" s="50" t="s">
        <v>92</v>
      </c>
      <c r="F176" s="76">
        <v>207</v>
      </c>
      <c r="G176" s="77">
        <v>4.5599999999999996</v>
      </c>
      <c r="H176" s="76">
        <v>89.5</v>
      </c>
      <c r="I176" s="77">
        <v>0.63</v>
      </c>
      <c r="J176" s="80">
        <v>296.5</v>
      </c>
      <c r="K176" s="81">
        <v>5.19</v>
      </c>
      <c r="L176" s="53" t="str">
        <f>IF(D176=0,CHAR(160),IF(AND(D176&gt;4999,D176&lt;10000),(F176+IF(D176&gt;5000,((D176-5000)/100*G176),0)+H176+IF(D176&gt;5000,(I176*(D176-5000)/100),0)),0))</f>
        <v> </v>
      </c>
      <c r="M176" s="54">
        <f t="shared" si="26"/>
        <v>75</v>
      </c>
      <c r="N176" s="12"/>
      <c r="O176" s="12"/>
      <c r="P176" s="12"/>
      <c r="Q176" s="12"/>
      <c r="R176" s="12"/>
      <c r="S176" s="12"/>
      <c r="T176" s="12"/>
      <c r="U176" s="12"/>
      <c r="V176" s="12"/>
    </row>
    <row r="177" spans="1:22" hidden="1">
      <c r="A177" s="12" t="str">
        <f t="shared" si="32"/>
        <v> </v>
      </c>
      <c r="B177" s="47">
        <v>0</v>
      </c>
      <c r="C177" s="48">
        <v>0</v>
      </c>
      <c r="D177" s="49">
        <f t="shared" si="25"/>
        <v>0</v>
      </c>
      <c r="E177" s="50" t="s">
        <v>93</v>
      </c>
      <c r="F177" s="76">
        <v>435</v>
      </c>
      <c r="G177" s="77">
        <v>0.41666666666666702</v>
      </c>
      <c r="H177" s="76">
        <v>121</v>
      </c>
      <c r="I177" s="77">
        <v>0.39333333333333331</v>
      </c>
      <c r="J177" s="80">
        <v>556</v>
      </c>
      <c r="K177" s="81">
        <v>0.81</v>
      </c>
      <c r="L177" s="53" t="str">
        <f>IF(D177=0,CHAR(160),IF(AND(D177&gt;9999,D177&lt;25000),(F177+IF(D177&gt;10000,((D177-10000)/100*G177),0)+H177+IF(D177&gt;10000,(I177*(D177-10000)/100),0)),0))</f>
        <v> </v>
      </c>
      <c r="M177" s="54">
        <f t="shared" si="26"/>
        <v>75</v>
      </c>
      <c r="N177" s="12"/>
      <c r="O177" s="12"/>
      <c r="P177" s="12"/>
      <c r="Q177" s="12"/>
      <c r="R177" s="12"/>
      <c r="S177" s="12"/>
      <c r="T177" s="12"/>
      <c r="U177" s="12"/>
      <c r="V177" s="12"/>
    </row>
    <row r="178" spans="1:22" hidden="1">
      <c r="A178" s="12" t="str">
        <f t="shared" si="32"/>
        <v> </v>
      </c>
      <c r="B178" s="47">
        <v>0</v>
      </c>
      <c r="C178" s="48">
        <v>0</v>
      </c>
      <c r="D178" s="49">
        <f t="shared" si="25"/>
        <v>0</v>
      </c>
      <c r="E178" s="50" t="s">
        <v>94</v>
      </c>
      <c r="F178" s="76">
        <v>497.5</v>
      </c>
      <c r="G178" s="77">
        <v>0.49</v>
      </c>
      <c r="H178" s="76">
        <v>180</v>
      </c>
      <c r="I178" s="77">
        <v>0.24</v>
      </c>
      <c r="J178" s="80">
        <v>677.5</v>
      </c>
      <c r="K178" s="81">
        <v>0.73</v>
      </c>
      <c r="L178" s="53" t="str">
        <f>IF(D178=0,CHAR(160),IF(AND(D178&gt;24999,D178&lt;50000),(F178+IF(D178&gt;25000,((D178-25000)/100*G178),0)+H178+IF(D178&gt;25000,(I178*(D178-25000)/100),0)),0))</f>
        <v> </v>
      </c>
      <c r="M178" s="54">
        <f t="shared" si="26"/>
        <v>75</v>
      </c>
      <c r="N178" s="12"/>
      <c r="O178" s="12"/>
      <c r="P178" s="12"/>
      <c r="Q178" s="12"/>
      <c r="R178" s="12"/>
      <c r="S178" s="12"/>
      <c r="T178" s="12"/>
      <c r="U178" s="12"/>
      <c r="V178" s="12"/>
    </row>
    <row r="179" spans="1:22" hidden="1">
      <c r="A179" s="12" t="str">
        <f t="shared" si="32"/>
        <v> </v>
      </c>
      <c r="B179" s="55">
        <v>0</v>
      </c>
      <c r="C179" s="56">
        <v>0</v>
      </c>
      <c r="D179" s="49">
        <f t="shared" si="25"/>
        <v>0</v>
      </c>
      <c r="E179" s="57" t="s">
        <v>95</v>
      </c>
      <c r="F179" s="76">
        <v>620</v>
      </c>
      <c r="G179" s="77">
        <v>1.24</v>
      </c>
      <c r="H179" s="76">
        <v>240</v>
      </c>
      <c r="I179" s="77">
        <v>0.48</v>
      </c>
      <c r="J179" s="84">
        <v>860</v>
      </c>
      <c r="K179" s="85">
        <v>1.72</v>
      </c>
      <c r="L179" s="72" t="str">
        <f>IF(D179=0,CHAR(160),IF(D179&gt;=50000,(F179+IF(D179&gt;50000,((D179-50000)/100*G179),0)+H179+IF(D179&gt;50000,(I179*(D179-50000)/100),0)),0))</f>
        <v> </v>
      </c>
      <c r="M179" s="60">
        <f t="shared" si="26"/>
        <v>75</v>
      </c>
      <c r="N179" s="61">
        <f>SUMIFS(L174:L179,A174:A179,"=m-ti",L174:L179,"&gt;0")</f>
        <v>0</v>
      </c>
      <c r="O179" s="61"/>
      <c r="P179" s="12"/>
      <c r="Q179" s="12"/>
      <c r="R179" s="12"/>
      <c r="S179" s="12"/>
      <c r="T179" s="12"/>
      <c r="U179" s="12"/>
      <c r="V179" s="12"/>
    </row>
    <row r="180" spans="1:22" hidden="1">
      <c r="A180" s="12" t="str">
        <f>IF($B$268=32,"R-1",CHAR(160))</f>
        <v> </v>
      </c>
      <c r="B180" s="62" t="s">
        <v>36</v>
      </c>
      <c r="C180" s="63">
        <v>0</v>
      </c>
      <c r="D180" s="49">
        <f t="shared" si="25"/>
        <v>0</v>
      </c>
      <c r="E180" s="75" t="s">
        <v>134</v>
      </c>
      <c r="F180" s="76">
        <v>744.8</v>
      </c>
      <c r="G180" s="77">
        <v>5.0000000000003245E-3</v>
      </c>
      <c r="H180" s="76">
        <v>247.45</v>
      </c>
      <c r="I180" s="77">
        <v>0.53249999999999997</v>
      </c>
      <c r="J180" s="76">
        <v>992.25</v>
      </c>
      <c r="K180" s="77">
        <v>0.53749999999999998</v>
      </c>
      <c r="L180" s="67">
        <f>(IF(D180&lt;=17499,(IF(D180&lt;=0,0,(F180+IF(D180&gt;3500,((D180-3500)/100*G180),0)+H180+IF(D180&gt;3500,(I180*(D180-3500)/100),0)))),0))</f>
        <v>0</v>
      </c>
      <c r="M180" s="68">
        <f t="shared" si="26"/>
        <v>75</v>
      </c>
      <c r="N180" s="12"/>
      <c r="O180" s="12"/>
      <c r="P180" s="12"/>
      <c r="Q180" s="12"/>
      <c r="R180" s="12"/>
      <c r="S180" s="12"/>
      <c r="T180" s="12"/>
      <c r="U180" s="12"/>
      <c r="V180" s="12"/>
    </row>
    <row r="181" spans="1:22" hidden="1">
      <c r="A181" s="12" t="str">
        <f t="shared" ref="A181:A185" si="33">IF($B$268=32,"R-1",CHAR(160))</f>
        <v> </v>
      </c>
      <c r="B181" s="47" t="s">
        <v>37</v>
      </c>
      <c r="C181" s="48">
        <v>0</v>
      </c>
      <c r="D181" s="49">
        <f t="shared" si="25"/>
        <v>0</v>
      </c>
      <c r="E181" s="79" t="s">
        <v>135</v>
      </c>
      <c r="F181" s="76">
        <v>745.5</v>
      </c>
      <c r="G181" s="77">
        <v>0</v>
      </c>
      <c r="H181" s="76">
        <v>322</v>
      </c>
      <c r="I181" s="77">
        <v>0.2</v>
      </c>
      <c r="J181" s="80">
        <v>1067.5</v>
      </c>
      <c r="K181" s="81">
        <v>0.2</v>
      </c>
      <c r="L181" s="53">
        <f>IF(D181=0,0,IF(AND(D181&gt;17499,D181&lt;35000),(F181+IF(D181&gt;17500,((D181-17500)/100*G181),0)+H181+IF(D181&gt;17500,(I181*(D181-17500)/100),0)),0))</f>
        <v>0</v>
      </c>
      <c r="M181" s="54">
        <f t="shared" si="26"/>
        <v>75</v>
      </c>
      <c r="N181" s="12"/>
      <c r="O181" s="12"/>
      <c r="P181" s="12"/>
      <c r="Q181" s="12"/>
      <c r="R181" s="12"/>
      <c r="S181" s="12"/>
      <c r="T181" s="12"/>
      <c r="U181" s="12"/>
      <c r="V181" s="12"/>
    </row>
    <row r="182" spans="1:22" hidden="1">
      <c r="A182" s="12" t="str">
        <f t="shared" si="33"/>
        <v> </v>
      </c>
      <c r="B182" s="47">
        <v>0</v>
      </c>
      <c r="C182" s="48">
        <v>0</v>
      </c>
      <c r="D182" s="49">
        <f t="shared" si="25"/>
        <v>0</v>
      </c>
      <c r="E182" s="79" t="s">
        <v>136</v>
      </c>
      <c r="F182" s="76">
        <v>745.5</v>
      </c>
      <c r="G182" s="77">
        <v>2.33</v>
      </c>
      <c r="H182" s="76">
        <v>357</v>
      </c>
      <c r="I182" s="77">
        <v>0.36</v>
      </c>
      <c r="J182" s="80">
        <v>1102.5</v>
      </c>
      <c r="K182" s="81">
        <v>2.69</v>
      </c>
      <c r="L182" s="53" t="str">
        <f>IF(D182=0,CHAR(160),IF(AND(D182&gt;34999,D182&lt;70000),(F182+IF(D182&gt;35000,((D182-35000)/100*G182),0)+H182+IF(D182&gt;35000,(I182*(D182-35000)/100),0)),0))</f>
        <v> </v>
      </c>
      <c r="M182" s="54">
        <f t="shared" si="26"/>
        <v>75</v>
      </c>
      <c r="N182" s="12"/>
      <c r="O182" s="12"/>
      <c r="P182" s="12"/>
      <c r="Q182" s="12"/>
      <c r="R182" s="12"/>
      <c r="S182" s="12"/>
      <c r="T182" s="12"/>
      <c r="U182" s="12"/>
      <c r="V182" s="12"/>
    </row>
    <row r="183" spans="1:22" hidden="1">
      <c r="A183" s="12" t="str">
        <f t="shared" si="33"/>
        <v> </v>
      </c>
      <c r="B183" s="47">
        <v>0</v>
      </c>
      <c r="C183" s="48">
        <v>0</v>
      </c>
      <c r="D183" s="49">
        <f t="shared" si="25"/>
        <v>0</v>
      </c>
      <c r="E183" s="79" t="s">
        <v>137</v>
      </c>
      <c r="F183" s="76">
        <v>1561</v>
      </c>
      <c r="G183" s="77">
        <v>0.21333333333333354</v>
      </c>
      <c r="H183" s="76">
        <v>483</v>
      </c>
      <c r="I183" s="77">
        <v>0.22333333333333344</v>
      </c>
      <c r="J183" s="80">
        <v>2044</v>
      </c>
      <c r="K183" s="81">
        <v>0.43666666666666698</v>
      </c>
      <c r="L183" s="53" t="str">
        <f>IF(D183=0,CHAR(160),IF(AND(D183&gt;69999,D183&lt;175000),(F183+IF(D183&gt;70000,((D183-70000)/100*G183),0)+H183+IF(D183&gt;70000,(I183*(D183-70000)/100),0)),0))</f>
        <v> </v>
      </c>
      <c r="M183" s="54">
        <f t="shared" si="26"/>
        <v>75</v>
      </c>
      <c r="N183" s="12"/>
      <c r="O183" s="12"/>
      <c r="P183" s="12"/>
      <c r="Q183" s="12"/>
      <c r="R183" s="12"/>
      <c r="S183" s="12"/>
      <c r="T183" s="12"/>
      <c r="U183" s="12"/>
      <c r="V183" s="12"/>
    </row>
    <row r="184" spans="1:22" hidden="1">
      <c r="A184" s="12" t="str">
        <f t="shared" si="33"/>
        <v> </v>
      </c>
      <c r="B184" s="47">
        <v>0</v>
      </c>
      <c r="C184" s="48">
        <v>0</v>
      </c>
      <c r="D184" s="49">
        <f t="shared" si="25"/>
        <v>0</v>
      </c>
      <c r="E184" s="79" t="s">
        <v>138</v>
      </c>
      <c r="F184" s="76">
        <v>1785</v>
      </c>
      <c r="G184" s="77">
        <v>0.26</v>
      </c>
      <c r="H184" s="76">
        <v>717.5</v>
      </c>
      <c r="I184" s="77">
        <v>0.15</v>
      </c>
      <c r="J184" s="80">
        <v>2502.5</v>
      </c>
      <c r="K184" s="81">
        <v>0.41</v>
      </c>
      <c r="L184" s="53" t="str">
        <f>IF(D184=0,CHAR(160),IF(AND(D184&gt;174999,D184&lt;350000),(F184+IF(D184&gt;175000,((D184-175000)/100*G184),0)+H184+IF(D184&gt;175000,(I184*(D184-175000)/100),0)),0))</f>
        <v> </v>
      </c>
      <c r="M184" s="54">
        <f t="shared" si="26"/>
        <v>75</v>
      </c>
      <c r="N184" s="12"/>
      <c r="O184" s="12"/>
      <c r="P184" s="12"/>
      <c r="Q184" s="12"/>
      <c r="R184" s="12"/>
      <c r="S184" s="12"/>
      <c r="T184" s="12"/>
      <c r="U184" s="12"/>
      <c r="V184" s="12"/>
    </row>
    <row r="185" spans="1:22" hidden="1">
      <c r="A185" s="12" t="str">
        <f t="shared" si="33"/>
        <v> </v>
      </c>
      <c r="B185" s="55">
        <v>0</v>
      </c>
      <c r="C185" s="56">
        <v>0</v>
      </c>
      <c r="D185" s="49">
        <f t="shared" si="25"/>
        <v>0</v>
      </c>
      <c r="E185" s="83" t="s">
        <v>139</v>
      </c>
      <c r="F185" s="76">
        <v>2240</v>
      </c>
      <c r="G185" s="77">
        <v>0.64</v>
      </c>
      <c r="H185" s="76">
        <v>980</v>
      </c>
      <c r="I185" s="77">
        <v>0.28000000000000003</v>
      </c>
      <c r="J185" s="84">
        <v>3220</v>
      </c>
      <c r="K185" s="85">
        <v>0.92</v>
      </c>
      <c r="L185" s="72" t="str">
        <f>IF(D185=0,CHAR(160),IF(D185&gt;=350000,(F185+IF(D185&gt;350000,((D185-350000)/100*G185),0)+H185+IF(D185&gt;350000,(I185*(D185-350000)/100),0)),0))</f>
        <v> </v>
      </c>
      <c r="M185" s="60">
        <f t="shared" si="26"/>
        <v>75</v>
      </c>
      <c r="N185" s="61">
        <f>SUMIFS(L180:L185,A180:A185,"=r-1",L180:L185,"&gt;0")</f>
        <v>0</v>
      </c>
      <c r="O185" s="61"/>
      <c r="P185" s="12"/>
      <c r="Q185" s="12"/>
      <c r="R185" s="12"/>
      <c r="S185" s="12"/>
      <c r="T185" s="12"/>
      <c r="U185" s="12"/>
      <c r="V185" s="12"/>
    </row>
    <row r="186" spans="1:22" hidden="1">
      <c r="A186" s="12" t="str">
        <f>IF($B$268=33,"R-2",CHAR(160))</f>
        <v> </v>
      </c>
      <c r="B186" s="62" t="s">
        <v>39</v>
      </c>
      <c r="C186" s="63">
        <v>0</v>
      </c>
      <c r="D186" s="49">
        <f t="shared" si="25"/>
        <v>0</v>
      </c>
      <c r="E186" s="75" t="s">
        <v>134</v>
      </c>
      <c r="F186" s="76">
        <v>744.8</v>
      </c>
      <c r="G186" s="77">
        <v>5.0000000000003245E-3</v>
      </c>
      <c r="H186" s="76">
        <v>247.45</v>
      </c>
      <c r="I186" s="77">
        <v>0.53249999999999997</v>
      </c>
      <c r="J186" s="76">
        <v>992.25</v>
      </c>
      <c r="K186" s="77">
        <v>0.53749999999999998</v>
      </c>
      <c r="L186" s="67">
        <f>(IF(D186&lt;=17499,(IF(D186&lt;=0,0,(F186+IF(D186&gt;3500,((D186-3500)/100*G186),0)+H186+IF(D186&gt;3500,(I186*(D186-3500)/100),0)))),0))</f>
        <v>0</v>
      </c>
      <c r="M186" s="68">
        <f t="shared" si="26"/>
        <v>75</v>
      </c>
      <c r="N186" s="12"/>
      <c r="O186" s="12"/>
      <c r="P186" s="12"/>
      <c r="Q186" s="12"/>
      <c r="R186" s="12"/>
      <c r="S186" s="12"/>
      <c r="T186" s="12"/>
      <c r="U186" s="12"/>
      <c r="V186" s="12"/>
    </row>
    <row r="187" spans="1:22" hidden="1">
      <c r="A187" s="12" t="str">
        <f t="shared" ref="A187:A191" si="34">IF($B$268=33,"R-2",CHAR(160))</f>
        <v> </v>
      </c>
      <c r="B187" s="47" t="s">
        <v>40</v>
      </c>
      <c r="C187" s="48">
        <v>0</v>
      </c>
      <c r="D187" s="49">
        <f t="shared" si="25"/>
        <v>0</v>
      </c>
      <c r="E187" s="79" t="s">
        <v>135</v>
      </c>
      <c r="F187" s="76">
        <v>745.5</v>
      </c>
      <c r="G187" s="77">
        <v>0</v>
      </c>
      <c r="H187" s="76">
        <v>322</v>
      </c>
      <c r="I187" s="77">
        <v>0.2</v>
      </c>
      <c r="J187" s="80">
        <v>1067.5</v>
      </c>
      <c r="K187" s="81">
        <v>0.2</v>
      </c>
      <c r="L187" s="53">
        <f>IF(D187=0,0,IF(AND(D187&gt;17499,D187&lt;35000),(F187+IF(D187&gt;17500,((D187-17500)/100*G187),0)+H187+IF(D187&gt;17500,(I187*(D187-17500)/100),0)),0))</f>
        <v>0</v>
      </c>
      <c r="M187" s="54">
        <f t="shared" si="26"/>
        <v>75</v>
      </c>
      <c r="N187" s="12"/>
      <c r="O187" s="12"/>
      <c r="P187" s="12"/>
      <c r="Q187" s="12"/>
      <c r="R187" s="12"/>
      <c r="S187" s="12"/>
      <c r="T187" s="12"/>
      <c r="U187" s="12"/>
      <c r="V187" s="12"/>
    </row>
    <row r="188" spans="1:22" hidden="1">
      <c r="A188" s="12" t="str">
        <f t="shared" si="34"/>
        <v> </v>
      </c>
      <c r="B188" s="47">
        <v>0</v>
      </c>
      <c r="C188" s="48">
        <v>0</v>
      </c>
      <c r="D188" s="49">
        <f t="shared" si="25"/>
        <v>0</v>
      </c>
      <c r="E188" s="79" t="s">
        <v>136</v>
      </c>
      <c r="F188" s="76">
        <v>745.5</v>
      </c>
      <c r="G188" s="77">
        <v>2.33</v>
      </c>
      <c r="H188" s="76">
        <v>357</v>
      </c>
      <c r="I188" s="77">
        <v>0.36</v>
      </c>
      <c r="J188" s="80">
        <v>1102.5</v>
      </c>
      <c r="K188" s="81">
        <v>2.69</v>
      </c>
      <c r="L188" s="53" t="str">
        <f>IF(D188=0,CHAR(160),IF(AND(D188&gt;34999,D188&lt;70000),(F188+IF(D188&gt;35000,((D188-35000)/100*G188),0)+H188+IF(D188&gt;35000,(I188*(D188-35000)/100),0)),0))</f>
        <v> </v>
      </c>
      <c r="M188" s="54">
        <f t="shared" si="26"/>
        <v>75</v>
      </c>
      <c r="N188" s="12"/>
      <c r="O188" s="12"/>
      <c r="P188" s="12"/>
      <c r="Q188" s="12"/>
      <c r="R188" s="12"/>
      <c r="S188" s="12"/>
      <c r="T188" s="12"/>
      <c r="U188" s="12"/>
      <c r="V188" s="12"/>
    </row>
    <row r="189" spans="1:22" hidden="1">
      <c r="A189" s="12" t="str">
        <f t="shared" si="34"/>
        <v> </v>
      </c>
      <c r="B189" s="47">
        <v>0</v>
      </c>
      <c r="C189" s="48">
        <v>0</v>
      </c>
      <c r="D189" s="49">
        <f t="shared" si="25"/>
        <v>0</v>
      </c>
      <c r="E189" s="79" t="s">
        <v>137</v>
      </c>
      <c r="F189" s="76">
        <v>1561</v>
      </c>
      <c r="G189" s="77">
        <v>0.21333333333333354</v>
      </c>
      <c r="H189" s="76">
        <v>483</v>
      </c>
      <c r="I189" s="77">
        <v>0.22333333333333344</v>
      </c>
      <c r="J189" s="80">
        <v>2044</v>
      </c>
      <c r="K189" s="81">
        <v>0.43666666666666698</v>
      </c>
      <c r="L189" s="53" t="str">
        <f>IF(D189=0,CHAR(160),IF(AND(D189&gt;69999,D189&lt;175000),(F189+IF(D189&gt;70000,((D189-70000)/100*G189),0)+H189+IF(D189&gt;70000,(I189*(D189-70000)/100),0)),0))</f>
        <v> </v>
      </c>
      <c r="M189" s="54">
        <f t="shared" si="26"/>
        <v>75</v>
      </c>
      <c r="N189" s="12"/>
      <c r="O189" s="12"/>
      <c r="P189" s="12"/>
      <c r="Q189" s="12"/>
      <c r="R189" s="12"/>
      <c r="S189" s="12"/>
      <c r="T189" s="12"/>
      <c r="U189" s="12"/>
      <c r="V189" s="12"/>
    </row>
    <row r="190" spans="1:22" hidden="1">
      <c r="A190" s="12" t="str">
        <f t="shared" si="34"/>
        <v> </v>
      </c>
      <c r="B190" s="47">
        <v>0</v>
      </c>
      <c r="C190" s="48">
        <v>0</v>
      </c>
      <c r="D190" s="49">
        <f t="shared" si="25"/>
        <v>0</v>
      </c>
      <c r="E190" s="79" t="s">
        <v>138</v>
      </c>
      <c r="F190" s="76">
        <v>1785</v>
      </c>
      <c r="G190" s="77">
        <v>0.26</v>
      </c>
      <c r="H190" s="76">
        <v>717.5</v>
      </c>
      <c r="I190" s="77">
        <v>0.15</v>
      </c>
      <c r="J190" s="80">
        <v>2502.5</v>
      </c>
      <c r="K190" s="81">
        <v>0.41</v>
      </c>
      <c r="L190" s="53" t="str">
        <f>IF(D190=0,CHAR(160),IF(AND(D190&gt;174999,D190&lt;350000),(F190+IF(D190&gt;175000,((D190-175000)/100*G190),0)+H190+IF(D190&gt;175000,(I190*(D190-175000)/100),0)),0))</f>
        <v> </v>
      </c>
      <c r="M190" s="54">
        <f t="shared" si="26"/>
        <v>75</v>
      </c>
      <c r="N190" s="12"/>
      <c r="O190" s="12"/>
      <c r="P190" s="12"/>
      <c r="Q190" s="12"/>
      <c r="R190" s="12"/>
      <c r="S190" s="12"/>
      <c r="T190" s="12"/>
      <c r="U190" s="12"/>
      <c r="V190" s="12"/>
    </row>
    <row r="191" spans="1:22" hidden="1">
      <c r="A191" s="12" t="str">
        <f t="shared" si="34"/>
        <v> </v>
      </c>
      <c r="B191" s="55">
        <v>0</v>
      </c>
      <c r="C191" s="56">
        <v>0</v>
      </c>
      <c r="D191" s="49">
        <f t="shared" si="25"/>
        <v>0</v>
      </c>
      <c r="E191" s="83" t="s">
        <v>139</v>
      </c>
      <c r="F191" s="76">
        <v>2240</v>
      </c>
      <c r="G191" s="77">
        <v>0.64</v>
      </c>
      <c r="H191" s="76">
        <v>980</v>
      </c>
      <c r="I191" s="77">
        <v>0.28000000000000003</v>
      </c>
      <c r="J191" s="84">
        <v>3220</v>
      </c>
      <c r="K191" s="85">
        <v>0.92</v>
      </c>
      <c r="L191" s="72" t="str">
        <f>IF(D191=0,CHAR(160),IF(D191&gt;=350000,(F191+IF(D191&gt;350000,((D191-350000)/100*G191),0)+H191+IF(D191&gt;350000,(I191*(D191-350000)/100),0)),0))</f>
        <v> </v>
      </c>
      <c r="M191" s="60">
        <f t="shared" si="26"/>
        <v>75</v>
      </c>
      <c r="N191" s="61">
        <f>SUMIFS(L186:L191,A186:A191,"=r-2",L186:L191,"&gt;0")</f>
        <v>0</v>
      </c>
      <c r="O191" s="61"/>
      <c r="P191" s="12"/>
      <c r="Q191" s="12"/>
      <c r="R191" s="12"/>
      <c r="S191" s="12"/>
      <c r="T191" s="12"/>
      <c r="U191" s="12"/>
      <c r="V191" s="12"/>
    </row>
    <row r="192" spans="1:22" hidden="1">
      <c r="A192" s="62" t="s">
        <v>38</v>
      </c>
      <c r="B192" s="62" t="s">
        <v>41</v>
      </c>
      <c r="C192" s="63">
        <v>0</v>
      </c>
      <c r="D192" s="49">
        <f t="shared" si="25"/>
        <v>0</v>
      </c>
      <c r="E192" s="75">
        <v>3500</v>
      </c>
      <c r="F192" s="76">
        <v>372.4</v>
      </c>
      <c r="G192" s="77">
        <v>2.5000000000001622E-3</v>
      </c>
      <c r="H192" s="76">
        <v>247.45</v>
      </c>
      <c r="I192" s="77">
        <v>0.53249999999999997</v>
      </c>
      <c r="J192" s="76">
        <v>619.85</v>
      </c>
      <c r="K192" s="77">
        <v>0.53500000000000003</v>
      </c>
      <c r="L192" s="89">
        <f t="shared" ref="L192:L197" si="35">F192+IF(D192&gt;E192,((D192-E192)/100*G192),0)+H192+IF(D192&gt;E192,(I192*(D192-E192)/100),0)</f>
        <v>619.84999999999991</v>
      </c>
      <c r="M192" s="68">
        <f t="shared" si="26"/>
        <v>75</v>
      </c>
      <c r="N192" s="12"/>
      <c r="O192" s="12"/>
      <c r="P192" s="12"/>
      <c r="Q192" s="12"/>
      <c r="R192" s="12"/>
      <c r="S192" s="12"/>
      <c r="T192" s="12"/>
      <c r="U192" s="12"/>
      <c r="V192" s="12"/>
    </row>
    <row r="193" spans="1:22" hidden="1">
      <c r="A193" s="47">
        <v>0</v>
      </c>
      <c r="B193" s="47" t="s">
        <v>40</v>
      </c>
      <c r="C193" s="48">
        <v>0</v>
      </c>
      <c r="D193" s="49">
        <f t="shared" si="25"/>
        <v>0</v>
      </c>
      <c r="E193" s="79">
        <v>17500</v>
      </c>
      <c r="F193" s="76">
        <v>372.75</v>
      </c>
      <c r="G193" s="77">
        <v>-0.01</v>
      </c>
      <c r="H193" s="76">
        <v>322</v>
      </c>
      <c r="I193" s="77">
        <v>0.2</v>
      </c>
      <c r="J193" s="80">
        <v>694.75</v>
      </c>
      <c r="K193" s="81">
        <v>0.19</v>
      </c>
      <c r="L193" s="90">
        <f t="shared" si="35"/>
        <v>694.75</v>
      </c>
      <c r="M193" s="54">
        <f t="shared" si="26"/>
        <v>75</v>
      </c>
      <c r="N193" s="12"/>
      <c r="O193" s="12"/>
      <c r="P193" s="12"/>
      <c r="Q193" s="12"/>
      <c r="R193" s="12"/>
      <c r="S193" s="12"/>
      <c r="T193" s="12"/>
      <c r="U193" s="12"/>
      <c r="V193" s="12"/>
    </row>
    <row r="194" spans="1:22" hidden="1">
      <c r="A194" s="47">
        <v>0</v>
      </c>
      <c r="B194" s="47">
        <v>0</v>
      </c>
      <c r="C194" s="48">
        <v>0</v>
      </c>
      <c r="D194" s="49">
        <f t="shared" si="25"/>
        <v>0</v>
      </c>
      <c r="E194" s="79">
        <v>35000</v>
      </c>
      <c r="F194" s="76">
        <v>371</v>
      </c>
      <c r="G194" s="77">
        <v>1.18</v>
      </c>
      <c r="H194" s="76">
        <v>357</v>
      </c>
      <c r="I194" s="77">
        <v>0.36</v>
      </c>
      <c r="J194" s="80">
        <v>728</v>
      </c>
      <c r="K194" s="81">
        <v>1.54</v>
      </c>
      <c r="L194" s="90">
        <f t="shared" si="35"/>
        <v>728</v>
      </c>
      <c r="M194" s="54">
        <f t="shared" si="26"/>
        <v>75</v>
      </c>
      <c r="N194" s="12"/>
      <c r="O194" s="12"/>
      <c r="P194" s="12"/>
      <c r="Q194" s="12"/>
      <c r="R194" s="12"/>
      <c r="S194" s="12"/>
      <c r="T194" s="12"/>
      <c r="U194" s="12"/>
      <c r="V194" s="12"/>
    </row>
    <row r="195" spans="1:22" hidden="1">
      <c r="A195" s="47">
        <v>0</v>
      </c>
      <c r="B195" s="47">
        <v>0</v>
      </c>
      <c r="C195" s="48">
        <v>0</v>
      </c>
      <c r="D195" s="49">
        <f t="shared" si="25"/>
        <v>0</v>
      </c>
      <c r="E195" s="79">
        <v>70000</v>
      </c>
      <c r="F195" s="76">
        <v>784</v>
      </c>
      <c r="G195" s="77">
        <v>0.10333333333333344</v>
      </c>
      <c r="H195" s="76">
        <v>483</v>
      </c>
      <c r="I195" s="77">
        <v>0.22333333333333344</v>
      </c>
      <c r="J195" s="80">
        <v>1267</v>
      </c>
      <c r="K195" s="81">
        <v>0.32666666666666688</v>
      </c>
      <c r="L195" s="90">
        <f t="shared" si="35"/>
        <v>1267</v>
      </c>
      <c r="M195" s="54">
        <f t="shared" si="26"/>
        <v>75</v>
      </c>
      <c r="N195" s="12"/>
      <c r="O195" s="12"/>
      <c r="P195" s="12"/>
      <c r="Q195" s="12"/>
      <c r="R195" s="12"/>
      <c r="S195" s="12"/>
      <c r="T195" s="12"/>
      <c r="U195" s="12"/>
      <c r="V195" s="12"/>
    </row>
    <row r="196" spans="1:22" hidden="1">
      <c r="A196" s="47">
        <v>0</v>
      </c>
      <c r="B196" s="47">
        <v>0</v>
      </c>
      <c r="C196" s="48">
        <v>0</v>
      </c>
      <c r="D196" s="49">
        <f t="shared" si="25"/>
        <v>0</v>
      </c>
      <c r="E196" s="79">
        <v>175000</v>
      </c>
      <c r="F196" s="76">
        <v>892.5</v>
      </c>
      <c r="G196" s="77">
        <v>0.13</v>
      </c>
      <c r="H196" s="76">
        <v>717.5</v>
      </c>
      <c r="I196" s="77">
        <v>0.15</v>
      </c>
      <c r="J196" s="80">
        <v>1610</v>
      </c>
      <c r="K196" s="81">
        <v>0.28000000000000003</v>
      </c>
      <c r="L196" s="90">
        <f t="shared" si="35"/>
        <v>1610</v>
      </c>
      <c r="M196" s="54">
        <f t="shared" si="26"/>
        <v>75</v>
      </c>
      <c r="N196" s="12"/>
      <c r="O196" s="12"/>
      <c r="P196" s="12"/>
      <c r="Q196" s="12"/>
      <c r="R196" s="12"/>
      <c r="S196" s="12"/>
      <c r="T196" s="12"/>
      <c r="U196" s="12"/>
      <c r="V196" s="12"/>
    </row>
    <row r="197" spans="1:22" hidden="1">
      <c r="A197" s="55">
        <v>0</v>
      </c>
      <c r="B197" s="55">
        <v>0</v>
      </c>
      <c r="C197" s="56">
        <v>0</v>
      </c>
      <c r="D197" s="49">
        <f t="shared" si="25"/>
        <v>0</v>
      </c>
      <c r="E197" s="83">
        <v>350000</v>
      </c>
      <c r="F197" s="76">
        <v>1120</v>
      </c>
      <c r="G197" s="77">
        <v>0.32</v>
      </c>
      <c r="H197" s="76">
        <v>980</v>
      </c>
      <c r="I197" s="77">
        <v>0.28000000000000003</v>
      </c>
      <c r="J197" s="84">
        <v>2100</v>
      </c>
      <c r="K197" s="85">
        <v>0.6</v>
      </c>
      <c r="L197" s="91">
        <f t="shared" si="35"/>
        <v>2100</v>
      </c>
      <c r="M197" s="60">
        <f t="shared" si="26"/>
        <v>75</v>
      </c>
      <c r="N197" s="61">
        <f>SUMIFS(L192:L197,A192:A197,"=m-ti",L192:L197,"&gt;0")</f>
        <v>0</v>
      </c>
      <c r="O197" s="61"/>
      <c r="P197" s="12"/>
      <c r="Q197" s="12"/>
      <c r="R197" s="12"/>
      <c r="S197" s="12"/>
      <c r="T197" s="12"/>
      <c r="U197" s="12"/>
      <c r="V197" s="12"/>
    </row>
    <row r="198" spans="1:22" hidden="1">
      <c r="A198" s="12" t="str">
        <f>IF($B$268=34,"R-4",CHAR(160))</f>
        <v> </v>
      </c>
      <c r="B198" s="62" t="s">
        <v>42</v>
      </c>
      <c r="C198" s="63">
        <v>0</v>
      </c>
      <c r="D198" s="49">
        <f t="shared" si="25"/>
        <v>0</v>
      </c>
      <c r="E198" s="75" t="s">
        <v>114</v>
      </c>
      <c r="F198" s="76">
        <v>496.625</v>
      </c>
      <c r="G198" s="77">
        <v>0</v>
      </c>
      <c r="H198" s="76">
        <v>123.675</v>
      </c>
      <c r="I198" s="77">
        <v>3.7075</v>
      </c>
      <c r="J198" s="76">
        <v>620.29999999999995</v>
      </c>
      <c r="K198" s="77">
        <v>3.7075</v>
      </c>
      <c r="L198" s="67">
        <f>(IF(D198&lt;=1249,(IF(D198&lt;=0,0,(F198+IF(D198&gt;250,((D198-250)/100*G198),0)+H198+IF(D198&gt;250,(I198*(D198-250)/100),0)))),0))</f>
        <v>0</v>
      </c>
      <c r="M198" s="68">
        <f t="shared" si="26"/>
        <v>75</v>
      </c>
      <c r="N198" s="12"/>
      <c r="O198" s="12"/>
      <c r="P198" s="12"/>
      <c r="Q198" s="12"/>
      <c r="R198" s="12"/>
      <c r="S198" s="12"/>
      <c r="T198" s="12"/>
      <c r="U198" s="12"/>
      <c r="V198" s="12"/>
    </row>
    <row r="199" spans="1:22" hidden="1">
      <c r="A199" s="12" t="str">
        <f t="shared" ref="A199:A203" si="36">IF($B$268=34,"R-4",CHAR(160))</f>
        <v> </v>
      </c>
      <c r="B199" s="62" t="s">
        <v>42</v>
      </c>
      <c r="C199" s="63">
        <v>0</v>
      </c>
      <c r="D199" s="49">
        <f t="shared" si="25"/>
        <v>0</v>
      </c>
      <c r="E199" s="79" t="s">
        <v>110</v>
      </c>
      <c r="F199" s="76">
        <v>496.625</v>
      </c>
      <c r="G199" s="77">
        <v>0</v>
      </c>
      <c r="H199" s="76">
        <v>123.675</v>
      </c>
      <c r="I199" s="77">
        <v>3.7075</v>
      </c>
      <c r="J199" s="76">
        <v>620.29999999999995</v>
      </c>
      <c r="K199" s="77">
        <v>3.7075</v>
      </c>
      <c r="L199" s="53">
        <f>IF(D199=0,0,IF(AND(D199&gt;1249,D199&lt;2500),(F199+IF(D199&gt;1250,((D199-1250)/100*G199),0)+H199+IF(D199&gt;1250,(I199*(D199-1250)/100),0)),0))</f>
        <v>0</v>
      </c>
      <c r="M199" s="68">
        <f t="shared" ref="M199:M203" si="37">IF(D199&gt;=3600,(C199/1000*0.75)+150,75+(C199/1000)*0.75)</f>
        <v>75</v>
      </c>
      <c r="N199" s="12"/>
      <c r="O199" s="12"/>
      <c r="P199" s="12"/>
      <c r="Q199" s="12"/>
      <c r="R199" s="12"/>
      <c r="S199" s="12"/>
      <c r="T199" s="12"/>
      <c r="U199" s="12"/>
      <c r="V199" s="12"/>
    </row>
    <row r="200" spans="1:22" hidden="1">
      <c r="A200" s="12" t="str">
        <f t="shared" si="36"/>
        <v> </v>
      </c>
      <c r="B200" s="62" t="s">
        <v>42</v>
      </c>
      <c r="C200" s="63">
        <v>0</v>
      </c>
      <c r="D200" s="49">
        <f t="shared" si="25"/>
        <v>0</v>
      </c>
      <c r="E200" s="79" t="s">
        <v>91</v>
      </c>
      <c r="F200" s="76">
        <v>496.625</v>
      </c>
      <c r="G200" s="77">
        <v>0</v>
      </c>
      <c r="H200" s="76">
        <v>123.675</v>
      </c>
      <c r="I200" s="77">
        <v>3.7075</v>
      </c>
      <c r="J200" s="76">
        <v>620.29999999999995</v>
      </c>
      <c r="K200" s="77">
        <v>3.7075</v>
      </c>
      <c r="L200" s="53" t="str">
        <f>IF(D200=0,CHAR(160),IF(AND(D200&gt;2499,D200&lt;5000),(F200+IF(D200&gt;2500,((D200-2500)/100*G200),0)+H200+IF(D200&gt;2500,(I200*(D200-2500)/100),0)),0))</f>
        <v> </v>
      </c>
      <c r="M200" s="68">
        <f t="shared" si="37"/>
        <v>75</v>
      </c>
      <c r="N200" s="12"/>
      <c r="O200" s="12"/>
      <c r="P200" s="12"/>
      <c r="Q200" s="12"/>
      <c r="R200" s="12"/>
      <c r="S200" s="12"/>
      <c r="T200" s="12"/>
      <c r="U200" s="12"/>
      <c r="V200" s="12"/>
    </row>
    <row r="201" spans="1:22" hidden="1">
      <c r="A201" s="12" t="str">
        <f t="shared" si="36"/>
        <v> </v>
      </c>
      <c r="B201" s="62" t="s">
        <v>42</v>
      </c>
      <c r="C201" s="63">
        <v>0</v>
      </c>
      <c r="D201" s="49">
        <f t="shared" si="25"/>
        <v>0</v>
      </c>
      <c r="E201" s="79" t="s">
        <v>111</v>
      </c>
      <c r="F201" s="76">
        <v>496.625</v>
      </c>
      <c r="G201" s="77">
        <v>0</v>
      </c>
      <c r="H201" s="76">
        <v>123.675</v>
      </c>
      <c r="I201" s="77">
        <v>3.7075</v>
      </c>
      <c r="J201" s="76">
        <v>620.29999999999995</v>
      </c>
      <c r="K201" s="77">
        <v>3.7075</v>
      </c>
      <c r="L201" s="53" t="str">
        <f>IF(D201=0,CHAR(160),IF(AND(D201&gt;4999,D201&lt;12500),(F201+IF(D201&gt;5000,((D201-5000)/100*G201),0)+H201+IF(D201&gt;5000,(I201*(D201-5000)/100),0)),0))</f>
        <v> </v>
      </c>
      <c r="M201" s="68">
        <f t="shared" si="37"/>
        <v>75</v>
      </c>
      <c r="N201" s="12"/>
      <c r="O201" s="12"/>
      <c r="P201" s="12"/>
      <c r="Q201" s="12"/>
      <c r="R201" s="12"/>
      <c r="S201" s="12"/>
      <c r="T201" s="12"/>
      <c r="U201" s="12"/>
      <c r="V201" s="12"/>
    </row>
    <row r="202" spans="1:22" hidden="1">
      <c r="A202" s="12" t="str">
        <f t="shared" si="36"/>
        <v> </v>
      </c>
      <c r="B202" s="62" t="s">
        <v>42</v>
      </c>
      <c r="C202" s="63">
        <v>0</v>
      </c>
      <c r="D202" s="49">
        <f t="shared" si="25"/>
        <v>0</v>
      </c>
      <c r="E202" s="79" t="s">
        <v>112</v>
      </c>
      <c r="F202" s="76">
        <v>496.625</v>
      </c>
      <c r="G202" s="77">
        <v>0</v>
      </c>
      <c r="H202" s="76">
        <v>123.675</v>
      </c>
      <c r="I202" s="77">
        <v>3.7075</v>
      </c>
      <c r="J202" s="76">
        <v>620.29999999999995</v>
      </c>
      <c r="K202" s="77">
        <v>3.7075</v>
      </c>
      <c r="L202" s="53" t="str">
        <f>IF(D202=0,CHAR(160),IF(AND(D202&gt;12499,D202&lt;25000),(F202+IF(D202&gt;12500,((D202-12500)/100*G202),0)+H202+IF(D202&gt;12500,(I202*(D202-12500)/100),0)),0))</f>
        <v> </v>
      </c>
      <c r="M202" s="68">
        <f t="shared" si="37"/>
        <v>75</v>
      </c>
      <c r="N202" s="12"/>
      <c r="O202" s="12"/>
      <c r="P202" s="12"/>
      <c r="Q202" s="12"/>
      <c r="R202" s="12"/>
      <c r="S202" s="12"/>
      <c r="T202" s="12"/>
      <c r="U202" s="12"/>
      <c r="V202" s="12"/>
    </row>
    <row r="203" spans="1:22" hidden="1">
      <c r="A203" s="12" t="str">
        <f t="shared" si="36"/>
        <v> </v>
      </c>
      <c r="B203" s="62" t="s">
        <v>42</v>
      </c>
      <c r="C203" s="63">
        <v>0</v>
      </c>
      <c r="D203" s="49">
        <f t="shared" si="25"/>
        <v>0</v>
      </c>
      <c r="E203" s="83" t="s">
        <v>113</v>
      </c>
      <c r="F203" s="76">
        <v>496.625</v>
      </c>
      <c r="G203" s="77">
        <v>0</v>
      </c>
      <c r="H203" s="76">
        <v>123.675</v>
      </c>
      <c r="I203" s="77">
        <v>3.7075</v>
      </c>
      <c r="J203" s="76">
        <v>620.29999999999995</v>
      </c>
      <c r="K203" s="77">
        <v>3.7075</v>
      </c>
      <c r="L203" s="72" t="str">
        <f>IF(D203=0,CHAR(160),IF(D203&gt;=25000,(F203+IF(D203&gt;25000,((D203-25000)/100*G203),0)+H203+IF(D203&gt;25000,(I203*(D203-25000)/100),0)),0))</f>
        <v> </v>
      </c>
      <c r="M203" s="68">
        <f t="shared" si="37"/>
        <v>75</v>
      </c>
      <c r="N203" s="61">
        <f>SUMIFS(L198:L203,A198:A203,"=r-4",L198:L203,"&gt;0")</f>
        <v>0</v>
      </c>
      <c r="O203" s="61"/>
      <c r="P203" s="12"/>
      <c r="Q203" s="12"/>
      <c r="R203" s="12"/>
      <c r="S203" s="12"/>
      <c r="T203" s="12"/>
      <c r="U203" s="12"/>
      <c r="V203" s="12"/>
    </row>
    <row r="204" spans="1:22" hidden="1">
      <c r="A204" s="12" t="str">
        <f>IF($B$268=9,"R-TI",CHAR(160))</f>
        <v> </v>
      </c>
      <c r="B204" s="62" t="s">
        <v>43</v>
      </c>
      <c r="C204" s="63">
        <v>0</v>
      </c>
      <c r="D204" s="49">
        <f t="shared" ref="D204:D227" si="38">$E$268</f>
        <v>0</v>
      </c>
      <c r="E204" s="75" t="s">
        <v>114</v>
      </c>
      <c r="F204" s="76">
        <v>206.92500000000001</v>
      </c>
      <c r="G204" s="77">
        <v>-5.0000000000011372E-3</v>
      </c>
      <c r="H204" s="76">
        <v>61.85</v>
      </c>
      <c r="I204" s="77">
        <v>1.8525</v>
      </c>
      <c r="J204" s="76">
        <v>268.77499999999998</v>
      </c>
      <c r="K204" s="77">
        <v>1.8474999999999999</v>
      </c>
      <c r="L204" s="67">
        <f>(IF(D204&lt;=1249,(IF(D204&lt;=0,0,(F204+IF(D204&gt;250,((D204-250)/100*G204),0)+H204+IF(D204&gt;250,(I204*(D204-250)/100),0)))),0))</f>
        <v>0</v>
      </c>
      <c r="M204" s="68">
        <f t="shared" si="26"/>
        <v>75</v>
      </c>
      <c r="N204" s="12"/>
      <c r="O204" s="12"/>
      <c r="P204" s="12"/>
      <c r="Q204" s="12"/>
      <c r="R204" s="12"/>
      <c r="S204" s="12"/>
      <c r="T204" s="12"/>
      <c r="U204" s="12"/>
      <c r="V204" s="12"/>
    </row>
    <row r="205" spans="1:22" hidden="1">
      <c r="A205" s="12" t="str">
        <f t="shared" ref="A205:A209" si="39">IF($B$268=9,"R-TI",CHAR(160))</f>
        <v> </v>
      </c>
      <c r="B205" s="47">
        <v>0</v>
      </c>
      <c r="C205" s="48">
        <v>0</v>
      </c>
      <c r="D205" s="49">
        <f t="shared" si="38"/>
        <v>0</v>
      </c>
      <c r="E205" s="79" t="s">
        <v>110</v>
      </c>
      <c r="F205" s="76">
        <v>206.875</v>
      </c>
      <c r="G205" s="77">
        <v>0.01</v>
      </c>
      <c r="H205" s="76">
        <v>80.375</v>
      </c>
      <c r="I205" s="77">
        <v>0.75</v>
      </c>
      <c r="J205" s="80">
        <v>287.25</v>
      </c>
      <c r="K205" s="81">
        <v>0.76</v>
      </c>
      <c r="L205" s="53">
        <f>IF(D205=0,0,IF(AND(D205&gt;1249,D205&lt;2500),(F205+IF(D205&gt;1250,((D205-1250)/100*G205),0)+H205+IF(D205&gt;1250,(I205*(D205-1250)/100),0)),0))</f>
        <v>0</v>
      </c>
      <c r="M205" s="54">
        <f t="shared" ref="M205:M227" si="40">IF(D205&gt;=3600,(C205/1000*0.75)+150,75+(C205/1000)*0.75)</f>
        <v>75</v>
      </c>
      <c r="N205" s="12"/>
      <c r="O205" s="12"/>
      <c r="P205" s="12"/>
      <c r="Q205" s="12"/>
      <c r="R205" s="12"/>
      <c r="S205" s="12"/>
      <c r="T205" s="12"/>
      <c r="U205" s="12"/>
      <c r="V205" s="12"/>
    </row>
    <row r="206" spans="1:22" hidden="1">
      <c r="A206" s="12" t="str">
        <f t="shared" si="39"/>
        <v> </v>
      </c>
      <c r="B206" s="47">
        <v>0</v>
      </c>
      <c r="C206" s="48">
        <v>0</v>
      </c>
      <c r="D206" s="49">
        <f t="shared" si="38"/>
        <v>0</v>
      </c>
      <c r="E206" s="79" t="s">
        <v>91</v>
      </c>
      <c r="F206" s="76">
        <v>207</v>
      </c>
      <c r="G206" s="77">
        <v>9.1</v>
      </c>
      <c r="H206" s="76">
        <v>89.75</v>
      </c>
      <c r="I206" s="77">
        <v>1.23</v>
      </c>
      <c r="J206" s="80">
        <v>296.75</v>
      </c>
      <c r="K206" s="81">
        <v>10.33</v>
      </c>
      <c r="L206" s="53" t="str">
        <f>IF(D206=0,CHAR(160),IF(AND(D206&gt;2499,D206&lt;5000),(F206+IF(D206&gt;2500,((D206-2500)/100*G206),0)+H206+IF(D206&gt;2500,(I206*(D206-2500)/100),0)),0))</f>
        <v> </v>
      </c>
      <c r="M206" s="54">
        <f t="shared" si="40"/>
        <v>75</v>
      </c>
      <c r="N206" s="12"/>
      <c r="O206" s="12"/>
      <c r="P206" s="12"/>
      <c r="Q206" s="12"/>
      <c r="R206" s="12"/>
      <c r="S206" s="12"/>
      <c r="T206" s="12"/>
      <c r="U206" s="12"/>
      <c r="V206" s="12"/>
    </row>
    <row r="207" spans="1:22" hidden="1">
      <c r="A207" s="12" t="str">
        <f t="shared" si="39"/>
        <v> </v>
      </c>
      <c r="B207" s="47">
        <v>0</v>
      </c>
      <c r="C207" s="48">
        <v>0</v>
      </c>
      <c r="D207" s="49">
        <f t="shared" si="38"/>
        <v>0</v>
      </c>
      <c r="E207" s="79" t="s">
        <v>111</v>
      </c>
      <c r="F207" s="76">
        <v>434.5</v>
      </c>
      <c r="G207" s="77">
        <v>0.82333333333333336</v>
      </c>
      <c r="H207" s="76">
        <v>120.5</v>
      </c>
      <c r="I207" s="77">
        <v>0.77666666666666662</v>
      </c>
      <c r="J207" s="80">
        <v>555</v>
      </c>
      <c r="K207" s="81">
        <v>1.6</v>
      </c>
      <c r="L207" s="53" t="str">
        <f>IF(D207=0,CHAR(160),IF(AND(D207&gt;4999,D207&lt;12500),(F207+IF(D207&gt;5000,((D207-5000)/100*G207),0)+H207+IF(D207&gt;5000,(I207*(D207-5000)/100),0)),0))</f>
        <v> </v>
      </c>
      <c r="M207" s="54">
        <f t="shared" si="40"/>
        <v>75</v>
      </c>
      <c r="N207" s="12"/>
      <c r="O207" s="12"/>
      <c r="P207" s="12"/>
      <c r="Q207" s="12"/>
      <c r="R207" s="12"/>
      <c r="S207" s="12"/>
      <c r="T207" s="12"/>
      <c r="U207" s="12"/>
      <c r="V207" s="12"/>
    </row>
    <row r="208" spans="1:22" hidden="1">
      <c r="A208" s="12" t="str">
        <f t="shared" si="39"/>
        <v> </v>
      </c>
      <c r="B208" s="47">
        <v>0</v>
      </c>
      <c r="C208" s="48">
        <v>0</v>
      </c>
      <c r="D208" s="49">
        <f t="shared" si="38"/>
        <v>0</v>
      </c>
      <c r="E208" s="79" t="s">
        <v>112</v>
      </c>
      <c r="F208" s="76">
        <v>496.25</v>
      </c>
      <c r="G208" s="77">
        <v>0.99</v>
      </c>
      <c r="H208" s="76">
        <v>178.75</v>
      </c>
      <c r="I208" s="77">
        <v>0.49</v>
      </c>
      <c r="J208" s="80">
        <v>675</v>
      </c>
      <c r="K208" s="81">
        <v>1.48</v>
      </c>
      <c r="L208" s="53" t="str">
        <f>IF(D208=0,CHAR(160),IF(AND(D208&gt;12499,D208&lt;25000),(F208+IF(D208&gt;12500,((D208-12500)/100*G208),0)+H208+IF(D208&gt;12500,(I208*(D208-12500)/100),0)),0))</f>
        <v> </v>
      </c>
      <c r="M208" s="54">
        <f t="shared" si="40"/>
        <v>75</v>
      </c>
      <c r="N208" s="12"/>
      <c r="O208" s="12"/>
      <c r="P208" s="12"/>
      <c r="Q208" s="12"/>
      <c r="R208" s="12"/>
      <c r="S208" s="12"/>
      <c r="T208" s="12"/>
      <c r="U208" s="12"/>
      <c r="V208" s="12"/>
    </row>
    <row r="209" spans="1:22" hidden="1">
      <c r="A209" s="12" t="str">
        <f t="shared" si="39"/>
        <v> </v>
      </c>
      <c r="B209" s="55">
        <v>0</v>
      </c>
      <c r="C209" s="56">
        <v>0</v>
      </c>
      <c r="D209" s="49">
        <f t="shared" si="38"/>
        <v>0</v>
      </c>
      <c r="E209" s="83" t="s">
        <v>113</v>
      </c>
      <c r="F209" s="76">
        <v>620</v>
      </c>
      <c r="G209" s="77">
        <v>2.48</v>
      </c>
      <c r="H209" s="76">
        <v>240</v>
      </c>
      <c r="I209" s="77">
        <v>0.96</v>
      </c>
      <c r="J209" s="84">
        <v>860</v>
      </c>
      <c r="K209" s="85">
        <v>3.44</v>
      </c>
      <c r="L209" s="72" t="str">
        <f>IF(D209=0,CHAR(160),IF(D209&gt;=25000,(F209+IF(D209&gt;25000,((D209-25000)/100*G209),0)+H209+IF(D209&gt;25000,(I209*(D209-25000)/100),0)),0))</f>
        <v> </v>
      </c>
      <c r="M209" s="60">
        <f t="shared" si="40"/>
        <v>75</v>
      </c>
      <c r="N209" s="61">
        <f>SUMIFS(L204:L209,A204:A209,"=r-ti",L204:L209,"&gt;0")</f>
        <v>0</v>
      </c>
      <c r="O209" s="61"/>
      <c r="P209" s="12"/>
      <c r="Q209" s="12"/>
      <c r="R209" s="12"/>
      <c r="S209" s="12"/>
      <c r="T209" s="12"/>
      <c r="U209" s="12"/>
      <c r="V209" s="12"/>
    </row>
    <row r="210" spans="1:22" hidden="1">
      <c r="A210" s="12" t="str">
        <f>IF($B$268=35,"S",CHAR(160))</f>
        <v> </v>
      </c>
      <c r="B210" s="62" t="s">
        <v>44</v>
      </c>
      <c r="C210" s="63">
        <v>0</v>
      </c>
      <c r="D210" s="49">
        <f t="shared" si="38"/>
        <v>0</v>
      </c>
      <c r="E210" s="75" t="s">
        <v>125</v>
      </c>
      <c r="F210" s="76">
        <v>496.5</v>
      </c>
      <c r="G210" s="77">
        <v>-2.5000000000000001E-3</v>
      </c>
      <c r="H210" s="76">
        <v>138</v>
      </c>
      <c r="I210" s="77">
        <v>0.40749999999999997</v>
      </c>
      <c r="J210" s="76">
        <v>634.5</v>
      </c>
      <c r="K210" s="77">
        <v>0.40500000000000003</v>
      </c>
      <c r="L210" s="67">
        <f>(IF(D210&lt;=12499,(IF(D210&lt;=0,0,(F210+IF(D210&gt;2500,((D210-2500)/100*G210),0)+H210+IF(D210&gt;2500,(I210*(D210-2500)/100),0)))),0))</f>
        <v>0</v>
      </c>
      <c r="M210" s="68">
        <f t="shared" si="40"/>
        <v>75</v>
      </c>
      <c r="N210" s="12"/>
      <c r="O210" s="12"/>
      <c r="P210" s="12"/>
      <c r="Q210" s="12"/>
      <c r="R210" s="12"/>
      <c r="S210" s="12"/>
      <c r="T210" s="12"/>
      <c r="U210" s="12"/>
      <c r="V210" s="12"/>
    </row>
    <row r="211" spans="1:22" hidden="1">
      <c r="A211" s="12" t="str">
        <f t="shared" ref="A211:A215" si="41">IF($B$268=35,"S",CHAR(160))</f>
        <v> </v>
      </c>
      <c r="B211" s="47">
        <v>0</v>
      </c>
      <c r="C211" s="48">
        <v>0</v>
      </c>
      <c r="D211" s="49">
        <f t="shared" si="38"/>
        <v>0</v>
      </c>
      <c r="E211" s="79" t="s">
        <v>112</v>
      </c>
      <c r="F211" s="76">
        <v>496.25</v>
      </c>
      <c r="G211" s="77">
        <v>0.01</v>
      </c>
      <c r="H211" s="76">
        <v>178.75</v>
      </c>
      <c r="I211" s="77">
        <v>0.17</v>
      </c>
      <c r="J211" s="80">
        <v>675</v>
      </c>
      <c r="K211" s="81">
        <v>0.18</v>
      </c>
      <c r="L211" s="53">
        <f>IF(D211=0,0,IF(AND(D211&gt;12499,D211&lt;25000),(F211+IF(D211&gt;12500,((D211-12500)/100*G211),0)+H211+IF(D211&gt;12500,(I211*(D211-12500)/100),0)),0))</f>
        <v>0</v>
      </c>
      <c r="M211" s="54">
        <f t="shared" si="40"/>
        <v>75</v>
      </c>
      <c r="N211" s="12"/>
      <c r="O211" s="12"/>
      <c r="P211" s="12"/>
      <c r="Q211" s="12"/>
      <c r="R211" s="12"/>
      <c r="S211" s="12"/>
      <c r="T211" s="12"/>
      <c r="U211" s="12"/>
      <c r="V211" s="12"/>
    </row>
    <row r="212" spans="1:22" hidden="1">
      <c r="A212" s="12" t="str">
        <f t="shared" si="41"/>
        <v> </v>
      </c>
      <c r="B212" s="47">
        <v>0</v>
      </c>
      <c r="C212" s="48">
        <v>0</v>
      </c>
      <c r="D212" s="49">
        <f t="shared" si="38"/>
        <v>0</v>
      </c>
      <c r="E212" s="79" t="s">
        <v>94</v>
      </c>
      <c r="F212" s="76">
        <v>497.5</v>
      </c>
      <c r="G212" s="77">
        <v>2.19</v>
      </c>
      <c r="H212" s="76">
        <v>200</v>
      </c>
      <c r="I212" s="77">
        <v>0.28000000000000003</v>
      </c>
      <c r="J212" s="80">
        <v>697.5</v>
      </c>
      <c r="K212" s="81">
        <v>2.4700000000000002</v>
      </c>
      <c r="L212" s="53" t="str">
        <f>IF(D212=0,CHAR(160),IF(AND(D212&gt;24999,D212&lt;50000),(F212+IF(D212&gt;25000,((D212-25000)/100*G212),0)+H212+IF(D212&gt;25000,(I212*(D212-25000)/100),0)),0))</f>
        <v> </v>
      </c>
      <c r="M212" s="54">
        <f t="shared" si="40"/>
        <v>75</v>
      </c>
      <c r="N212" s="12"/>
      <c r="O212" s="12"/>
      <c r="P212" s="12"/>
      <c r="Q212" s="12"/>
      <c r="R212" s="12"/>
      <c r="S212" s="12"/>
      <c r="T212" s="12"/>
      <c r="U212" s="12"/>
      <c r="V212" s="12"/>
    </row>
    <row r="213" spans="1:22" hidden="1">
      <c r="A213" s="12" t="str">
        <f t="shared" si="41"/>
        <v> </v>
      </c>
      <c r="B213" s="47">
        <v>0</v>
      </c>
      <c r="C213" s="48">
        <v>0</v>
      </c>
      <c r="D213" s="49">
        <f t="shared" si="38"/>
        <v>0</v>
      </c>
      <c r="E213" s="79" t="s">
        <v>126</v>
      </c>
      <c r="F213" s="76">
        <v>1045</v>
      </c>
      <c r="G213" s="77">
        <v>0.19</v>
      </c>
      <c r="H213" s="76">
        <v>270</v>
      </c>
      <c r="I213" s="77">
        <v>0.17333333333333334</v>
      </c>
      <c r="J213" s="80">
        <v>1315</v>
      </c>
      <c r="K213" s="81">
        <v>0.36333333333333334</v>
      </c>
      <c r="L213" s="53" t="str">
        <f>IF(D213=0,CHAR(160),IF(AND(D213&gt;49999,D213&lt;125000),(F213+IF(D213&gt;50000,((D213-50000)/100*G213),0)+H213+IF(D213&gt;50000,(I213*(D213-50000)/100),0)),0))</f>
        <v> </v>
      </c>
      <c r="M213" s="54">
        <f t="shared" si="40"/>
        <v>75</v>
      </c>
      <c r="N213" s="12"/>
      <c r="O213" s="12"/>
      <c r="P213" s="12"/>
      <c r="Q213" s="12"/>
      <c r="R213" s="12"/>
      <c r="S213" s="12"/>
      <c r="T213" s="12"/>
      <c r="U213" s="12"/>
      <c r="V213" s="12"/>
    </row>
    <row r="214" spans="1:22" hidden="1">
      <c r="A214" s="12" t="str">
        <f t="shared" si="41"/>
        <v> </v>
      </c>
      <c r="B214" s="47">
        <v>0</v>
      </c>
      <c r="C214" s="48">
        <v>0</v>
      </c>
      <c r="D214" s="49">
        <f t="shared" si="38"/>
        <v>0</v>
      </c>
      <c r="E214" s="79" t="s">
        <v>127</v>
      </c>
      <c r="F214" s="76">
        <v>1187.5</v>
      </c>
      <c r="G214" s="77">
        <v>0.25</v>
      </c>
      <c r="H214" s="76">
        <v>400</v>
      </c>
      <c r="I214" s="77">
        <v>0.12</v>
      </c>
      <c r="J214" s="80">
        <v>1587.5</v>
      </c>
      <c r="K214" s="81">
        <v>0.37</v>
      </c>
      <c r="L214" s="53" t="str">
        <f>IF(D214=0,CHAR(160),IF(AND(D214&gt;124999,D214&lt;250000),(F214+IF(D214&gt;125000,((D214-125000)/100*G214),0)+H214+IF(D214&gt;125000,(I214*(D214-125000)/100),0)),0))</f>
        <v> </v>
      </c>
      <c r="M214" s="54">
        <f t="shared" si="40"/>
        <v>75</v>
      </c>
      <c r="N214" s="12"/>
      <c r="O214" s="12"/>
      <c r="P214" s="12"/>
      <c r="Q214" s="12"/>
      <c r="R214" s="12"/>
      <c r="S214" s="12"/>
      <c r="T214" s="12"/>
      <c r="U214" s="12"/>
      <c r="V214" s="12"/>
    </row>
    <row r="215" spans="1:22" hidden="1">
      <c r="A215" s="12" t="str">
        <f t="shared" si="41"/>
        <v> </v>
      </c>
      <c r="B215" s="55">
        <v>0</v>
      </c>
      <c r="C215" s="56">
        <v>0</v>
      </c>
      <c r="D215" s="49">
        <f t="shared" si="38"/>
        <v>0</v>
      </c>
      <c r="E215" s="83" t="s">
        <v>128</v>
      </c>
      <c r="F215" s="76">
        <v>1500</v>
      </c>
      <c r="G215" s="77">
        <v>0.6</v>
      </c>
      <c r="H215" s="76">
        <v>550</v>
      </c>
      <c r="I215" s="77">
        <v>0.22</v>
      </c>
      <c r="J215" s="84">
        <v>2050</v>
      </c>
      <c r="K215" s="85">
        <v>0.82</v>
      </c>
      <c r="L215" s="72" t="str">
        <f>IF(D215=0,CHAR(160),IF(D215&gt;=250000,(F215+IF(D215&gt;250000,((D215-250000)/100*G215),0)+H215+IF(D215&gt;250000,(I215*(D215-250000)/100),0)),0))</f>
        <v> </v>
      </c>
      <c r="M215" s="60">
        <f t="shared" si="40"/>
        <v>75</v>
      </c>
      <c r="N215" s="61">
        <f>SUMIFS(L210:L215,A210:A215,"=S",L210:L215,"&gt;0")</f>
        <v>0</v>
      </c>
      <c r="O215" s="61"/>
      <c r="P215" s="12"/>
      <c r="Q215" s="12"/>
      <c r="R215" s="12"/>
      <c r="S215" s="12"/>
      <c r="T215" s="12"/>
      <c r="U215" s="12"/>
      <c r="V215" s="12"/>
    </row>
    <row r="216" spans="1:22" hidden="1">
      <c r="A216" s="12" t="str">
        <f>IF($B$268=10,"S-TI",CHAR(160))</f>
        <v> </v>
      </c>
      <c r="B216" s="62" t="s">
        <v>45</v>
      </c>
      <c r="C216" s="63">
        <v>0</v>
      </c>
      <c r="D216" s="49">
        <f t="shared" si="38"/>
        <v>0</v>
      </c>
      <c r="E216" s="64" t="s">
        <v>90</v>
      </c>
      <c r="F216" s="76">
        <v>206.9</v>
      </c>
      <c r="G216" s="77">
        <v>4.9999999999997156E-3</v>
      </c>
      <c r="H216" s="76">
        <v>47.55</v>
      </c>
      <c r="I216" s="77">
        <v>0.71</v>
      </c>
      <c r="J216" s="76">
        <v>254.45</v>
      </c>
      <c r="K216" s="77">
        <v>0.71499999999999941</v>
      </c>
      <c r="L216" s="67">
        <f>(IF(D216&lt;=2499,(IF(D216&lt;=0,0,(F216+IF(D216&gt;500,((D216-500)/100*G216),0)+H216+IF(D216&gt;500,(I216*(D216-500)/100),0)))),0))</f>
        <v>0</v>
      </c>
      <c r="M216" s="68">
        <f t="shared" si="40"/>
        <v>75</v>
      </c>
      <c r="N216" s="12"/>
      <c r="O216" s="12"/>
      <c r="P216" s="12"/>
      <c r="Q216" s="12"/>
      <c r="R216" s="12"/>
      <c r="S216" s="12"/>
      <c r="T216" s="12"/>
      <c r="U216" s="12"/>
      <c r="V216" s="12"/>
    </row>
    <row r="217" spans="1:22" hidden="1">
      <c r="A217" s="12" t="str">
        <f t="shared" ref="A217:A221" si="42">IF($B$268=10,"S-TI",CHAR(160))</f>
        <v> </v>
      </c>
      <c r="B217" s="47">
        <v>0</v>
      </c>
      <c r="C217" s="48">
        <v>0</v>
      </c>
      <c r="D217" s="49">
        <f t="shared" si="38"/>
        <v>0</v>
      </c>
      <c r="E217" s="50" t="s">
        <v>91</v>
      </c>
      <c r="F217" s="76">
        <v>207</v>
      </c>
      <c r="G217" s="77">
        <v>0</v>
      </c>
      <c r="H217" s="76">
        <v>61.75</v>
      </c>
      <c r="I217" s="77">
        <v>0.28999999999999998</v>
      </c>
      <c r="J217" s="80">
        <v>268.75</v>
      </c>
      <c r="K217" s="81">
        <v>0.28999999999999998</v>
      </c>
      <c r="L217" s="53">
        <f>IF(D217=0,0,IF(AND(D217&gt;2499,D217&lt;5000),(F217+IF(D217&gt;2500,((D217-2500)/100*G217),0)+H217+IF(D217&gt;2500,(I217*(D217-2500)/100),0)),0))</f>
        <v>0</v>
      </c>
      <c r="M217" s="54">
        <f t="shared" si="40"/>
        <v>75</v>
      </c>
      <c r="N217" s="12"/>
      <c r="O217" s="12"/>
      <c r="P217" s="12"/>
      <c r="Q217" s="12"/>
      <c r="R217" s="12"/>
      <c r="S217" s="12"/>
      <c r="T217" s="12"/>
      <c r="U217" s="12"/>
      <c r="V217" s="12"/>
    </row>
    <row r="218" spans="1:22" hidden="1">
      <c r="A218" s="12" t="str">
        <f t="shared" si="42"/>
        <v> </v>
      </c>
      <c r="B218" s="47">
        <v>0</v>
      </c>
      <c r="C218" s="48">
        <v>0</v>
      </c>
      <c r="D218" s="49">
        <f t="shared" si="38"/>
        <v>0</v>
      </c>
      <c r="E218" s="50" t="s">
        <v>92</v>
      </c>
      <c r="F218" s="76">
        <v>207</v>
      </c>
      <c r="G218" s="77">
        <v>4.5599999999999996</v>
      </c>
      <c r="H218" s="76">
        <v>69</v>
      </c>
      <c r="I218" s="77">
        <v>0.48</v>
      </c>
      <c r="J218" s="80">
        <v>276</v>
      </c>
      <c r="K218" s="81">
        <v>5.04</v>
      </c>
      <c r="L218" s="53" t="str">
        <f>IF(D218=0,CHAR(160),IF(AND(D218&gt;4999,D218&lt;10000),(F218+IF(D218&gt;5000,((D218-5000)/100*G218),0)+H218+IF(D218&gt;5000,(I218*(D218-5000)/100),0)),0))</f>
        <v> </v>
      </c>
      <c r="M218" s="54">
        <f t="shared" si="40"/>
        <v>75</v>
      </c>
      <c r="N218" s="12"/>
      <c r="O218" s="12"/>
      <c r="P218" s="12"/>
      <c r="Q218" s="12"/>
      <c r="R218" s="12"/>
      <c r="S218" s="12"/>
      <c r="T218" s="12"/>
      <c r="U218" s="12"/>
      <c r="V218" s="12"/>
    </row>
    <row r="219" spans="1:22" hidden="1">
      <c r="A219" s="12" t="str">
        <f t="shared" si="42"/>
        <v> </v>
      </c>
      <c r="B219" s="47">
        <v>0</v>
      </c>
      <c r="C219" s="48">
        <v>0</v>
      </c>
      <c r="D219" s="49">
        <f t="shared" si="38"/>
        <v>0</v>
      </c>
      <c r="E219" s="50" t="s">
        <v>93</v>
      </c>
      <c r="F219" s="76">
        <v>435</v>
      </c>
      <c r="G219" s="77">
        <v>0.41666666666666702</v>
      </c>
      <c r="H219" s="76">
        <v>93</v>
      </c>
      <c r="I219" s="77">
        <v>0.29666666666666675</v>
      </c>
      <c r="J219" s="80">
        <v>528</v>
      </c>
      <c r="K219" s="81">
        <v>0.71333333333333382</v>
      </c>
      <c r="L219" s="53" t="str">
        <f>IF(D219=0,CHAR(160),IF(AND(D219&gt;9999,D219&lt;25000),(F219+IF(D219&gt;10000,((D219-10000)/100*G219),0)+H219+IF(D219&gt;10000,(I219*(D219-10000)/100),0)),0))</f>
        <v> </v>
      </c>
      <c r="M219" s="54">
        <f t="shared" si="40"/>
        <v>75</v>
      </c>
      <c r="N219" s="12"/>
      <c r="O219" s="12"/>
      <c r="P219" s="12"/>
      <c r="Q219" s="12"/>
      <c r="R219" s="12"/>
      <c r="S219" s="12"/>
      <c r="T219" s="12"/>
      <c r="U219" s="12"/>
      <c r="V219" s="12"/>
    </row>
    <row r="220" spans="1:22" hidden="1">
      <c r="A220" s="12" t="str">
        <f t="shared" si="42"/>
        <v> </v>
      </c>
      <c r="B220" s="47">
        <v>0</v>
      </c>
      <c r="C220" s="48">
        <v>0</v>
      </c>
      <c r="D220" s="49">
        <f t="shared" si="38"/>
        <v>0</v>
      </c>
      <c r="E220" s="50" t="s">
        <v>94</v>
      </c>
      <c r="F220" s="76">
        <v>497.5</v>
      </c>
      <c r="G220" s="77">
        <v>0.49</v>
      </c>
      <c r="H220" s="76">
        <v>137.5</v>
      </c>
      <c r="I220" s="77">
        <v>0.19</v>
      </c>
      <c r="J220" s="80">
        <v>635</v>
      </c>
      <c r="K220" s="81">
        <v>0.68</v>
      </c>
      <c r="L220" s="53" t="str">
        <f>IF(D220=0,CHAR(160),IF(AND(D220&gt;24999,D220&lt;50000),(F220+IF(D220&gt;25000,((D220-25000)/100*G220),0)+H220+IF(D220&gt;25000,(I220*(D220-25000)/100),0)),0))</f>
        <v> </v>
      </c>
      <c r="M220" s="54">
        <f t="shared" si="40"/>
        <v>75</v>
      </c>
      <c r="N220" s="12"/>
      <c r="O220" s="12"/>
      <c r="P220" s="12"/>
      <c r="Q220" s="12"/>
      <c r="R220" s="12"/>
      <c r="S220" s="12"/>
      <c r="T220" s="12"/>
      <c r="U220" s="12"/>
      <c r="V220" s="12"/>
    </row>
    <row r="221" spans="1:22" hidden="1">
      <c r="A221" s="12" t="str">
        <f t="shared" si="42"/>
        <v> </v>
      </c>
      <c r="B221" s="55">
        <v>0</v>
      </c>
      <c r="C221" s="56">
        <v>0</v>
      </c>
      <c r="D221" s="49">
        <f t="shared" si="38"/>
        <v>0</v>
      </c>
      <c r="E221" s="57" t="s">
        <v>95</v>
      </c>
      <c r="F221" s="76">
        <v>620</v>
      </c>
      <c r="G221" s="77">
        <v>1.24</v>
      </c>
      <c r="H221" s="76">
        <v>185</v>
      </c>
      <c r="I221" s="77">
        <v>0.37</v>
      </c>
      <c r="J221" s="84">
        <v>805</v>
      </c>
      <c r="K221" s="85">
        <v>1.61</v>
      </c>
      <c r="L221" s="72" t="str">
        <f>IF(D221=0,CHAR(160),IF(D221&gt;=50000,(F221+IF(D221&gt;50000,((D221-50000)/100*G221),0)+H221+IF(D221&gt;50000,(I221*(D221-50000)/100),0)),0))</f>
        <v> </v>
      </c>
      <c r="M221" s="60">
        <f t="shared" si="40"/>
        <v>75</v>
      </c>
      <c r="N221" s="61">
        <f>SUMIFS(L216:L221,A216:A221,"=s-ti",L216:L221,"&gt;0")</f>
        <v>0</v>
      </c>
      <c r="O221" s="61"/>
      <c r="P221" s="12"/>
      <c r="Q221" s="12"/>
      <c r="R221" s="12"/>
      <c r="S221" s="12"/>
      <c r="T221" s="12"/>
      <c r="U221" s="12"/>
      <c r="V221" s="12"/>
    </row>
    <row r="222" spans="1:22" hidden="1">
      <c r="A222" s="12" t="str">
        <f>IF(OR($B$268=36,$B$268=11),"U",CHAR(160))</f>
        <v> </v>
      </c>
      <c r="B222" s="62" t="s">
        <v>46</v>
      </c>
      <c r="C222" s="63">
        <v>0</v>
      </c>
      <c r="D222" s="49">
        <f t="shared" si="38"/>
        <v>0</v>
      </c>
      <c r="E222" s="64" t="s">
        <v>90</v>
      </c>
      <c r="F222" s="76">
        <v>206.9</v>
      </c>
      <c r="G222" s="77">
        <v>4.9999999999997156E-3</v>
      </c>
      <c r="H222" s="76">
        <v>95.15</v>
      </c>
      <c r="I222" s="77">
        <v>1.43</v>
      </c>
      <c r="J222" s="76">
        <v>302.05</v>
      </c>
      <c r="K222" s="77">
        <v>1.4350000000000001</v>
      </c>
      <c r="L222" s="67">
        <f>(IF(D222&lt;=2499,(IF(D222&lt;=0,0,(F222+IF(D222&gt;500,((D222-500)/100*G222),0)+H222+IF(D222&gt;500,(I222*(D222-500)/100),0)))),0))</f>
        <v>0</v>
      </c>
      <c r="M222" s="68">
        <f t="shared" si="40"/>
        <v>75</v>
      </c>
      <c r="N222" s="12"/>
      <c r="O222" s="12"/>
      <c r="P222" s="12"/>
      <c r="Q222" s="12"/>
      <c r="R222" s="12"/>
      <c r="S222" s="12"/>
      <c r="T222" s="12"/>
      <c r="U222" s="12"/>
      <c r="V222" s="12"/>
    </row>
    <row r="223" spans="1:22" hidden="1">
      <c r="A223" s="12" t="str">
        <f t="shared" ref="A223:A227" si="43">IF(OR($B$268=36,$B$268=11),"U",CHAR(160))</f>
        <v> </v>
      </c>
      <c r="B223" s="47">
        <v>0</v>
      </c>
      <c r="C223" s="48">
        <v>0</v>
      </c>
      <c r="D223" s="49">
        <f t="shared" si="38"/>
        <v>0</v>
      </c>
      <c r="E223" s="50" t="s">
        <v>91</v>
      </c>
      <c r="F223" s="76">
        <v>207</v>
      </c>
      <c r="G223" s="77">
        <v>0</v>
      </c>
      <c r="H223" s="76">
        <v>123.75</v>
      </c>
      <c r="I223" s="77">
        <v>0.56999999999999995</v>
      </c>
      <c r="J223" s="80">
        <v>330.75</v>
      </c>
      <c r="K223" s="81">
        <v>0.56999999999999995</v>
      </c>
      <c r="L223" s="53">
        <f>IF(D223=0,0,IF(AND(D223&gt;2499,D223&lt;5000),(F223+IF(D223&gt;2500,((D223-2500)/100*G223),0)+H223+IF(D223&gt;2500,(I223*(D223-2500)/100),0)),0))</f>
        <v>0</v>
      </c>
      <c r="M223" s="54">
        <f t="shared" si="40"/>
        <v>75</v>
      </c>
      <c r="N223" s="12"/>
      <c r="O223" s="12"/>
      <c r="P223" s="12"/>
      <c r="Q223" s="12"/>
      <c r="R223" s="12"/>
      <c r="S223" s="12"/>
      <c r="T223" s="12"/>
      <c r="U223" s="12"/>
      <c r="V223" s="12"/>
    </row>
    <row r="224" spans="1:22" hidden="1">
      <c r="A224" s="12" t="str">
        <f t="shared" si="43"/>
        <v> </v>
      </c>
      <c r="B224" s="47">
        <v>0</v>
      </c>
      <c r="C224" s="48">
        <v>0</v>
      </c>
      <c r="D224" s="49">
        <f t="shared" si="38"/>
        <v>0</v>
      </c>
      <c r="E224" s="50" t="s">
        <v>92</v>
      </c>
      <c r="F224" s="76">
        <v>207</v>
      </c>
      <c r="G224" s="77">
        <v>4.5599999999999996</v>
      </c>
      <c r="H224" s="76">
        <v>138</v>
      </c>
      <c r="I224" s="77">
        <v>0.95999999999999941</v>
      </c>
      <c r="J224" s="80">
        <v>345</v>
      </c>
      <c r="K224" s="81">
        <v>5.52</v>
      </c>
      <c r="L224" s="53" t="str">
        <f>IF(D224=0,CHAR(160),IF(AND(D224&gt;4999,D224&lt;10000),(F224+IF(D224&gt;5000,((D224-5000)/100*G224),0)+H224+IF(D224&gt;5000,(I224*(D224-5000)/100),0)),0))</f>
        <v> </v>
      </c>
      <c r="M224" s="54">
        <f t="shared" si="40"/>
        <v>75</v>
      </c>
      <c r="N224" s="12"/>
      <c r="O224" s="12"/>
      <c r="P224" s="12"/>
      <c r="Q224" s="12"/>
      <c r="R224" s="12"/>
      <c r="S224" s="12"/>
      <c r="T224" s="12"/>
      <c r="U224" s="12"/>
      <c r="V224" s="12"/>
    </row>
    <row r="225" spans="1:22" hidden="1">
      <c r="A225" s="12" t="str">
        <f t="shared" si="43"/>
        <v> </v>
      </c>
      <c r="B225" s="47">
        <v>0</v>
      </c>
      <c r="C225" s="48">
        <v>0</v>
      </c>
      <c r="D225" s="49">
        <f t="shared" si="38"/>
        <v>0</v>
      </c>
      <c r="E225" s="50" t="s">
        <v>93</v>
      </c>
      <c r="F225" s="76">
        <v>435</v>
      </c>
      <c r="G225" s="77">
        <v>0.41666666666666702</v>
      </c>
      <c r="H225" s="76">
        <v>186</v>
      </c>
      <c r="I225" s="77">
        <v>0.59333333333333349</v>
      </c>
      <c r="J225" s="80">
        <v>621</v>
      </c>
      <c r="K225" s="81">
        <v>1.01</v>
      </c>
      <c r="L225" s="53" t="str">
        <f>IF(D225=0,CHAR(160),IF(AND(D225&gt;9999,D225&lt;25000),(F225+IF(D225&gt;10000,((D225-10000)/100*G225),0)+H225+IF(D225&gt;10000,(I225*(D225-10000)/100),0)),0))</f>
        <v> </v>
      </c>
      <c r="M225" s="54">
        <f t="shared" si="40"/>
        <v>75</v>
      </c>
      <c r="N225" s="12"/>
      <c r="O225" s="12"/>
      <c r="P225" s="12"/>
      <c r="Q225" s="12"/>
      <c r="R225" s="12"/>
      <c r="S225" s="12"/>
      <c r="T225" s="12"/>
      <c r="U225" s="12"/>
      <c r="V225" s="12"/>
    </row>
    <row r="226" spans="1:22" hidden="1">
      <c r="A226" s="12" t="str">
        <f t="shared" si="43"/>
        <v> </v>
      </c>
      <c r="B226" s="47">
        <v>0</v>
      </c>
      <c r="C226" s="48">
        <v>0</v>
      </c>
      <c r="D226" s="49">
        <f t="shared" si="38"/>
        <v>0</v>
      </c>
      <c r="E226" s="50" t="s">
        <v>94</v>
      </c>
      <c r="F226" s="76">
        <v>497.5</v>
      </c>
      <c r="G226" s="77">
        <v>0.49</v>
      </c>
      <c r="H226" s="76">
        <v>275</v>
      </c>
      <c r="I226" s="77">
        <v>0.38</v>
      </c>
      <c r="J226" s="80">
        <v>772.5</v>
      </c>
      <c r="K226" s="81">
        <v>0.87</v>
      </c>
      <c r="L226" s="53" t="str">
        <f>IF(D226=0,CHAR(160),IF(AND(D226&gt;24999,D226&lt;50000),(F226+IF(D226&gt;25000,((D226-25000)/100*G226),0)+H226+IF(D226&gt;25000,(I226*(D226-25000)/100),0)),0))</f>
        <v> </v>
      </c>
      <c r="M226" s="54">
        <f t="shared" si="40"/>
        <v>75</v>
      </c>
      <c r="N226" s="12"/>
      <c r="O226" s="12"/>
      <c r="P226" s="12"/>
      <c r="Q226" s="12"/>
      <c r="R226" s="12"/>
      <c r="S226" s="12"/>
      <c r="T226" s="12"/>
      <c r="U226" s="12"/>
      <c r="V226" s="12"/>
    </row>
    <row r="227" spans="1:22" hidden="1">
      <c r="A227" s="12" t="str">
        <f t="shared" si="43"/>
        <v> </v>
      </c>
      <c r="B227" s="92">
        <v>0</v>
      </c>
      <c r="C227" s="56">
        <v>0</v>
      </c>
      <c r="D227" s="49">
        <f t="shared" si="38"/>
        <v>0</v>
      </c>
      <c r="E227" s="57" t="s">
        <v>95</v>
      </c>
      <c r="F227" s="93">
        <v>620</v>
      </c>
      <c r="G227" s="94">
        <v>1.24</v>
      </c>
      <c r="H227" s="93">
        <v>370</v>
      </c>
      <c r="I227" s="94">
        <v>0.74</v>
      </c>
      <c r="J227" s="95">
        <v>990</v>
      </c>
      <c r="K227" s="96">
        <v>1.98</v>
      </c>
      <c r="L227" s="72" t="str">
        <f>IF(D227=0,CHAR(160),IF(D227&gt;=50000,(F227+IF(D227&gt;50000,((D227-50000)/100*G227),0)+H227+IF(D227&gt;50000,(I227*(D227-50000)/100),0)),0))</f>
        <v> </v>
      </c>
      <c r="M227" s="60">
        <f t="shared" si="40"/>
        <v>75</v>
      </c>
      <c r="N227" s="61">
        <f>SUMIFS(L222:L227,A222:A227,"=u",L222:L227,"&gt;0")</f>
        <v>0</v>
      </c>
      <c r="O227" s="61"/>
      <c r="P227" s="12"/>
      <c r="Q227" s="12"/>
      <c r="R227" s="12"/>
      <c r="S227" s="12"/>
      <c r="T227" s="12"/>
      <c r="U227" s="12"/>
      <c r="V227" s="12"/>
    </row>
    <row r="228" spans="1:22" ht="15" hidden="1" customHeight="1">
      <c r="A228" s="207" t="s">
        <v>59</v>
      </c>
      <c r="B228" s="208"/>
      <c r="C228" s="208"/>
      <c r="D228" s="208"/>
      <c r="E228" s="208"/>
      <c r="F228" s="208"/>
      <c r="G228" s="208"/>
      <c r="H228" s="208"/>
      <c r="I228" s="208"/>
      <c r="J228" s="208"/>
      <c r="K228" s="208"/>
      <c r="L228" s="208"/>
      <c r="M228" s="209"/>
      <c r="N228" s="12"/>
      <c r="O228" s="12"/>
      <c r="P228" s="12"/>
      <c r="Q228" s="12"/>
      <c r="R228" s="12"/>
      <c r="S228" s="12"/>
      <c r="T228" s="12"/>
      <c r="U228" s="12"/>
      <c r="V228" s="12"/>
    </row>
    <row r="229" spans="1:22" ht="15" hidden="1" customHeight="1">
      <c r="A229" s="210"/>
      <c r="B229" s="211"/>
      <c r="C229" s="211"/>
      <c r="D229" s="211"/>
      <c r="E229" s="211"/>
      <c r="F229" s="211"/>
      <c r="G229" s="211"/>
      <c r="H229" s="211"/>
      <c r="I229" s="211"/>
      <c r="J229" s="211"/>
      <c r="K229" s="211"/>
      <c r="L229" s="211"/>
      <c r="M229" s="212"/>
      <c r="N229" s="12"/>
      <c r="O229" s="12"/>
      <c r="P229" s="12"/>
      <c r="Q229" s="12"/>
      <c r="R229" s="12"/>
      <c r="S229" s="12"/>
      <c r="T229" s="12"/>
      <c r="U229" s="12"/>
      <c r="V229" s="12"/>
    </row>
    <row r="230" spans="1:22" ht="15" hidden="1" customHeight="1">
      <c r="A230" s="213" t="s">
        <v>57</v>
      </c>
      <c r="B230" s="214"/>
      <c r="C230" s="215"/>
      <c r="D230" s="216" t="s">
        <v>58</v>
      </c>
      <c r="E230" s="216"/>
      <c r="F230" s="216"/>
      <c r="G230" s="216"/>
      <c r="H230" s="216"/>
      <c r="I230" s="216"/>
      <c r="J230" s="216"/>
      <c r="K230" s="216"/>
      <c r="L230" s="216"/>
      <c r="M230" s="217"/>
      <c r="N230" s="12"/>
      <c r="O230" s="12"/>
      <c r="P230" s="12"/>
      <c r="Q230" s="12"/>
      <c r="R230" s="12"/>
      <c r="S230" s="12"/>
      <c r="T230" s="12"/>
      <c r="U230" s="12"/>
      <c r="V230" s="12"/>
    </row>
    <row r="231" spans="1:22" hidden="1">
      <c r="A231" s="97"/>
      <c r="B231" s="98"/>
      <c r="C231" s="99"/>
      <c r="D231" s="100"/>
      <c r="E231" s="100"/>
      <c r="F231" s="100"/>
      <c r="G231" s="100"/>
      <c r="H231" s="100"/>
      <c r="I231" s="100"/>
      <c r="J231" s="100"/>
      <c r="K231" s="100"/>
      <c r="L231" s="100"/>
      <c r="M231" s="101"/>
      <c r="N231" s="12"/>
      <c r="O231" s="12"/>
      <c r="P231" s="12"/>
      <c r="Q231" s="12"/>
      <c r="R231" s="12"/>
      <c r="S231" s="12"/>
      <c r="T231" s="12"/>
      <c r="U231" s="12"/>
      <c r="V231" s="12"/>
    </row>
    <row r="232" spans="1:22" hidden="1">
      <c r="A232" s="12" t="str">
        <f>IF(OR($B$268=37,$B$268=40),"Automatic Sprinkler",CHAR(160))</f>
        <v> </v>
      </c>
      <c r="B232" s="62" t="s">
        <v>47</v>
      </c>
      <c r="C232" s="102">
        <v>0</v>
      </c>
      <c r="D232" s="49">
        <f t="shared" ref="D232:D261" si="44">$E$268</f>
        <v>0</v>
      </c>
      <c r="E232" s="75" t="s">
        <v>140</v>
      </c>
      <c r="F232" s="76">
        <v>579.375</v>
      </c>
      <c r="G232" s="77">
        <v>0</v>
      </c>
      <c r="H232" s="76">
        <v>275.875</v>
      </c>
      <c r="I232" s="77">
        <v>1.6575</v>
      </c>
      <c r="J232" s="76">
        <v>855.25</v>
      </c>
      <c r="K232" s="77">
        <v>1.6575</v>
      </c>
      <c r="L232" s="67">
        <f>(IF(D232&lt;=6249,(IF(D232&lt;=0,0,(F232+IF(D232&gt;1250,((D232-1250)/100*G232),0)+H232+IF(D232&gt;1250,(I232*(D232-1250)/100),0)))),0))</f>
        <v>0</v>
      </c>
      <c r="M232" s="68">
        <f>IF(C232&gt;=12,(C232*1.5)+150,75+(C232*1.5))</f>
        <v>75</v>
      </c>
      <c r="N232" s="12"/>
      <c r="O232" s="12"/>
      <c r="P232" s="12"/>
      <c r="Q232" s="12"/>
      <c r="R232" s="12"/>
      <c r="S232" s="12"/>
      <c r="T232" s="12"/>
      <c r="U232" s="12"/>
      <c r="V232" s="12"/>
    </row>
    <row r="233" spans="1:22" hidden="1">
      <c r="A233" s="12" t="str">
        <f t="shared" ref="A233:A237" si="45">IF(OR($B$268=37,$B$268=40),"Automatic Sprinkler",CHAR(160))</f>
        <v> </v>
      </c>
      <c r="B233" s="47">
        <v>0</v>
      </c>
      <c r="C233" s="103">
        <v>0</v>
      </c>
      <c r="D233" s="49">
        <f t="shared" si="44"/>
        <v>0</v>
      </c>
      <c r="E233" s="79" t="s">
        <v>141</v>
      </c>
      <c r="F233" s="76">
        <v>579.375</v>
      </c>
      <c r="G233" s="77">
        <v>0.01</v>
      </c>
      <c r="H233" s="76">
        <v>358.75</v>
      </c>
      <c r="I233" s="77">
        <v>0.66</v>
      </c>
      <c r="J233" s="80">
        <v>938.125</v>
      </c>
      <c r="K233" s="81">
        <v>0.67</v>
      </c>
      <c r="L233" s="53">
        <f>IF(D233=0,0,IF(AND(D233&gt;6249,D233&lt;12500),(F233+IF(D233&gt;6250,((D233-6250)/100*G233),0)+H233+IF(D233&gt;6250,(I233*(D233-6250)/100),0)),0))</f>
        <v>0</v>
      </c>
      <c r="M233" s="54">
        <f t="shared" ref="M233:M261" si="46">IF(C233&gt;=12,(C233*1.5)+150,75+(C233*1.5))</f>
        <v>75</v>
      </c>
      <c r="N233" s="12"/>
      <c r="O233" s="12"/>
      <c r="P233" s="12"/>
      <c r="Q233" s="12"/>
      <c r="R233" s="12"/>
      <c r="S233" s="12"/>
      <c r="T233" s="12"/>
      <c r="U233" s="12"/>
      <c r="V233" s="12"/>
    </row>
    <row r="234" spans="1:22" hidden="1">
      <c r="A234" s="12" t="str">
        <f t="shared" si="45"/>
        <v> </v>
      </c>
      <c r="B234" s="47">
        <v>0</v>
      </c>
      <c r="C234" s="103">
        <v>0</v>
      </c>
      <c r="D234" s="49">
        <f t="shared" si="44"/>
        <v>0</v>
      </c>
      <c r="E234" s="79" t="s">
        <v>112</v>
      </c>
      <c r="F234" s="76">
        <v>580</v>
      </c>
      <c r="G234" s="77">
        <v>5.0999999999999996</v>
      </c>
      <c r="H234" s="76">
        <v>400</v>
      </c>
      <c r="I234" s="77">
        <v>1.1000000000000001</v>
      </c>
      <c r="J234" s="80">
        <v>980</v>
      </c>
      <c r="K234" s="81">
        <v>6.2</v>
      </c>
      <c r="L234" s="53" t="str">
        <f>IF(D234=0,CHAR(160),IF(AND(D234&gt;12499,D234&lt;25000),(F234+IF(D234&gt;12500,((D234-12500)/100*G234),0)+H234+IF(D234&gt;12500,(I234*(D234-12500)/100),0)),0))</f>
        <v> </v>
      </c>
      <c r="M234" s="54">
        <f t="shared" si="46"/>
        <v>75</v>
      </c>
      <c r="N234" s="12"/>
      <c r="O234" s="12"/>
      <c r="P234" s="12"/>
      <c r="Q234" s="12"/>
      <c r="R234" s="12"/>
      <c r="S234" s="12"/>
      <c r="T234" s="12"/>
      <c r="U234" s="12"/>
      <c r="V234" s="12"/>
    </row>
    <row r="235" spans="1:22" hidden="1">
      <c r="A235" s="12" t="str">
        <f t="shared" si="45"/>
        <v> </v>
      </c>
      <c r="B235" s="47">
        <v>0</v>
      </c>
      <c r="C235" s="103">
        <v>0</v>
      </c>
      <c r="D235" s="49">
        <f t="shared" si="44"/>
        <v>0</v>
      </c>
      <c r="E235" s="79" t="s">
        <v>142</v>
      </c>
      <c r="F235" s="76">
        <v>1217.5</v>
      </c>
      <c r="G235" s="77">
        <v>0.45333333333333331</v>
      </c>
      <c r="H235" s="76">
        <v>537.5</v>
      </c>
      <c r="I235" s="77">
        <v>0.7</v>
      </c>
      <c r="J235" s="80">
        <v>1755</v>
      </c>
      <c r="K235" s="81">
        <v>1.1533333333333333</v>
      </c>
      <c r="L235" s="53" t="str">
        <f>IF(D235=0,CHAR(160),IF(AND(D235&gt;24999,D235&lt;62500),(F235+IF(D235&gt;25000,((D235-25000)/100*G235),0)+H235+IF(D235&gt;25000,(I235*(D235-25000)/100),0)),0))</f>
        <v> </v>
      </c>
      <c r="M235" s="54">
        <f t="shared" si="46"/>
        <v>75</v>
      </c>
      <c r="N235" s="12"/>
      <c r="O235" s="12"/>
      <c r="P235" s="12"/>
      <c r="Q235" s="12"/>
      <c r="R235" s="12"/>
      <c r="S235" s="12"/>
      <c r="T235" s="12"/>
      <c r="U235" s="12"/>
      <c r="V235" s="12"/>
    </row>
    <row r="236" spans="1:22" hidden="1">
      <c r="A236" s="12" t="str">
        <f t="shared" si="45"/>
        <v> </v>
      </c>
      <c r="B236" s="47">
        <v>0</v>
      </c>
      <c r="C236" s="103">
        <v>0</v>
      </c>
      <c r="D236" s="49">
        <f t="shared" si="44"/>
        <v>0</v>
      </c>
      <c r="E236" s="79" t="s">
        <v>143</v>
      </c>
      <c r="F236" s="76">
        <v>1387.5</v>
      </c>
      <c r="G236" s="77">
        <v>0.56000000000000005</v>
      </c>
      <c r="H236" s="76">
        <v>800</v>
      </c>
      <c r="I236" s="77">
        <v>0.44</v>
      </c>
      <c r="J236" s="80">
        <v>2187.5</v>
      </c>
      <c r="K236" s="81">
        <v>1</v>
      </c>
      <c r="L236" s="53" t="str">
        <f>IF(D236=0,CHAR(160),IF(AND(D236&gt;62499,D236&lt;125000),(F236+IF(D236&gt;62500,((D236-62500)/100*G236),0)+H236+IF(D236&gt;62500,(I236*(D236-62500)/100),0)),0))</f>
        <v> </v>
      </c>
      <c r="M236" s="54">
        <f t="shared" si="46"/>
        <v>75</v>
      </c>
      <c r="N236" s="12"/>
      <c r="O236" s="12"/>
      <c r="P236" s="12"/>
      <c r="Q236" s="12"/>
      <c r="R236" s="12"/>
      <c r="S236" s="12"/>
      <c r="T236" s="12"/>
      <c r="U236" s="12"/>
      <c r="V236" s="12"/>
    </row>
    <row r="237" spans="1:22" hidden="1">
      <c r="A237" s="12" t="str">
        <f t="shared" si="45"/>
        <v> </v>
      </c>
      <c r="B237" s="55">
        <v>0</v>
      </c>
      <c r="C237" s="104">
        <v>0</v>
      </c>
      <c r="D237" s="49">
        <f t="shared" si="44"/>
        <v>0</v>
      </c>
      <c r="E237" s="83" t="s">
        <v>144</v>
      </c>
      <c r="F237" s="76">
        <v>1737.5</v>
      </c>
      <c r="G237" s="77">
        <v>1.39</v>
      </c>
      <c r="H237" s="76">
        <v>1075</v>
      </c>
      <c r="I237" s="77">
        <v>0.86</v>
      </c>
      <c r="J237" s="84">
        <v>2812.5</v>
      </c>
      <c r="K237" s="85">
        <v>2.25</v>
      </c>
      <c r="L237" s="72" t="str">
        <f>IF(D237=0,CHAR(160),IF(D237&gt;=125000,(F237+IF(D237&gt;125000,((D237-125000)/100*G237),0)+H237+IF(D237&gt;125000,(I237*(D237-125000)/100),0)),0))</f>
        <v> </v>
      </c>
      <c r="M237" s="73">
        <f t="shared" si="46"/>
        <v>75</v>
      </c>
      <c r="N237" s="61">
        <f>SUMIFS(L232:L237,A232:A237,"=automatic sprinkler",L232:L237,"&gt;0")</f>
        <v>0</v>
      </c>
      <c r="O237" s="61"/>
      <c r="P237" s="12"/>
      <c r="Q237" s="12"/>
      <c r="R237" s="12"/>
      <c r="S237" s="12"/>
      <c r="T237" s="12"/>
      <c r="U237" s="12"/>
      <c r="V237" s="12"/>
    </row>
    <row r="238" spans="1:22" hidden="1">
      <c r="A238" s="12" t="str">
        <f t="shared" ref="A238" si="47">IF($B$268="as","13 Sprinkler",CHAR(160))</f>
        <v> </v>
      </c>
      <c r="B238" s="62" t="s">
        <v>48</v>
      </c>
      <c r="C238" s="102">
        <v>0</v>
      </c>
      <c r="D238" s="49">
        <f t="shared" si="44"/>
        <v>0</v>
      </c>
      <c r="E238" s="75" t="s">
        <v>115</v>
      </c>
      <c r="F238" s="76">
        <v>455</v>
      </c>
      <c r="G238" s="77">
        <v>0</v>
      </c>
      <c r="H238" s="76">
        <v>333</v>
      </c>
      <c r="I238" s="77">
        <v>0.4975</v>
      </c>
      <c r="J238" s="76">
        <v>788</v>
      </c>
      <c r="K238" s="77">
        <v>0.4975</v>
      </c>
      <c r="L238" s="67">
        <f>(IF(D238&lt;=24999,(IF(D238&lt;=0,0,(F238+IF(D238&gt;5000,((D238-5000)/100*G238),0)+H238+IF(D238&gt;5000,(I238*(D238-5000)/100),0)))),0))</f>
        <v>0</v>
      </c>
      <c r="M238" s="68">
        <f>IF(C238&gt;=12,(C238*1.5)+150,75+(C238*1.5))</f>
        <v>75</v>
      </c>
      <c r="N238" s="12"/>
      <c r="O238" s="12"/>
      <c r="P238" s="12"/>
      <c r="Q238" s="12"/>
      <c r="R238" s="12"/>
      <c r="S238" s="12"/>
      <c r="T238" s="12"/>
      <c r="U238" s="12"/>
      <c r="V238" s="12"/>
    </row>
    <row r="239" spans="1:22" hidden="1">
      <c r="A239" s="47">
        <v>0</v>
      </c>
      <c r="B239" s="47">
        <v>0</v>
      </c>
      <c r="C239" s="103">
        <v>0</v>
      </c>
      <c r="D239" s="49">
        <f t="shared" si="44"/>
        <v>0</v>
      </c>
      <c r="E239" s="79" t="s">
        <v>94</v>
      </c>
      <c r="F239" s="76">
        <v>455</v>
      </c>
      <c r="G239" s="77">
        <v>0</v>
      </c>
      <c r="H239" s="76">
        <v>432.5</v>
      </c>
      <c r="I239" s="77">
        <v>0.21</v>
      </c>
      <c r="J239" s="80">
        <v>887.5</v>
      </c>
      <c r="K239" s="81">
        <v>0.21</v>
      </c>
      <c r="L239" s="53">
        <f>IF(D239=0,0,IF(AND(D239&gt;24999,D239&lt;50000),(F239+IF(D239&gt;25000,((D239-25000)/100*G239),0)+H239+IF(D239&gt;25000,(I239*(D239-25000)/100),0)),0))</f>
        <v>0</v>
      </c>
      <c r="M239" s="54">
        <f t="shared" si="46"/>
        <v>75</v>
      </c>
      <c r="N239" s="12"/>
      <c r="O239" s="12"/>
      <c r="P239" s="12"/>
      <c r="Q239" s="12"/>
      <c r="R239" s="12"/>
      <c r="S239" s="12"/>
      <c r="T239" s="12"/>
      <c r="U239" s="12"/>
      <c r="V239" s="12"/>
    </row>
    <row r="240" spans="1:22" hidden="1">
      <c r="A240" s="47">
        <v>0</v>
      </c>
      <c r="B240" s="47">
        <v>0</v>
      </c>
      <c r="C240" s="103">
        <v>0</v>
      </c>
      <c r="D240" s="49">
        <f t="shared" si="44"/>
        <v>0</v>
      </c>
      <c r="E240" s="79" t="s">
        <v>116</v>
      </c>
      <c r="F240" s="76">
        <v>455</v>
      </c>
      <c r="G240" s="77">
        <v>1.01</v>
      </c>
      <c r="H240" s="76">
        <v>485</v>
      </c>
      <c r="I240" s="77">
        <v>0.33</v>
      </c>
      <c r="J240" s="80">
        <v>940</v>
      </c>
      <c r="K240" s="81">
        <v>1.34</v>
      </c>
      <c r="L240" s="53" t="str">
        <f>IF(D240=0,CHAR(160),IF(AND(D240&gt;49999,D240&lt;100000),(F240+IF(D240&gt;50000,((D240-50000)/100*G240),0)+H240+IF(D240&gt;50000,(I240*(D240-50000)/100),0)),0))</f>
        <v> </v>
      </c>
      <c r="M240" s="54">
        <f t="shared" si="46"/>
        <v>75</v>
      </c>
      <c r="N240" s="12"/>
      <c r="O240" s="12"/>
      <c r="P240" s="12"/>
      <c r="Q240" s="12"/>
      <c r="R240" s="12"/>
      <c r="S240" s="12"/>
      <c r="T240" s="12"/>
      <c r="U240" s="12"/>
      <c r="V240" s="12"/>
    </row>
    <row r="241" spans="1:22" hidden="1">
      <c r="A241" s="47">
        <v>0</v>
      </c>
      <c r="B241" s="47">
        <v>0</v>
      </c>
      <c r="C241" s="103">
        <v>0</v>
      </c>
      <c r="D241" s="49">
        <f t="shared" si="44"/>
        <v>0</v>
      </c>
      <c r="E241" s="79" t="s">
        <v>117</v>
      </c>
      <c r="F241" s="76">
        <v>960</v>
      </c>
      <c r="G241" s="77">
        <v>9.3333333333333407E-2</v>
      </c>
      <c r="H241" s="76">
        <v>650</v>
      </c>
      <c r="I241" s="77">
        <v>0.21666666666666667</v>
      </c>
      <c r="J241" s="80">
        <v>1610</v>
      </c>
      <c r="K241" s="81">
        <v>0.31</v>
      </c>
      <c r="L241" s="53" t="str">
        <f>IF(D241=0,CHAR(160),IF(AND(D241&gt;99999,D241&lt;250000),(F241+IF(D241&gt;100000,((D241-100000)/100*G241),0)+H241+IF(D241&gt;100000,(I241*(D241-100000)/100),0)),0))</f>
        <v> </v>
      </c>
      <c r="M241" s="54">
        <f t="shared" si="46"/>
        <v>75</v>
      </c>
      <c r="N241" s="12"/>
      <c r="O241" s="12"/>
      <c r="P241" s="12"/>
      <c r="Q241" s="12"/>
      <c r="R241" s="12"/>
      <c r="S241" s="12"/>
      <c r="T241" s="12"/>
      <c r="U241" s="12"/>
      <c r="V241" s="12"/>
    </row>
    <row r="242" spans="1:22" hidden="1">
      <c r="A242" s="47">
        <v>0</v>
      </c>
      <c r="B242" s="47">
        <v>0</v>
      </c>
      <c r="C242" s="103">
        <v>0</v>
      </c>
      <c r="D242" s="49">
        <f t="shared" si="44"/>
        <v>0</v>
      </c>
      <c r="E242" s="79" t="s">
        <v>118</v>
      </c>
      <c r="F242" s="76">
        <v>1100</v>
      </c>
      <c r="G242" s="77">
        <v>0.1</v>
      </c>
      <c r="H242" s="76">
        <v>975</v>
      </c>
      <c r="I242" s="77">
        <v>0.13</v>
      </c>
      <c r="J242" s="80">
        <v>2075</v>
      </c>
      <c r="K242" s="81">
        <v>0.23</v>
      </c>
      <c r="L242" s="53" t="str">
        <f>IF(D242=0,CHAR(160),IF(AND(D242&gt;249999,D242&lt;500000),(F242+IF(D242&gt;250000,((D242-250000)/100*G242),0)+H242+IF(D242&gt;250000,(I242*(D242-250000)/100),0)),0))</f>
        <v> </v>
      </c>
      <c r="M242" s="54">
        <f t="shared" si="46"/>
        <v>75</v>
      </c>
      <c r="N242" s="12"/>
      <c r="O242" s="12"/>
      <c r="P242" s="12"/>
      <c r="Q242" s="12"/>
      <c r="R242" s="12"/>
      <c r="S242" s="12"/>
      <c r="T242" s="12"/>
      <c r="U242" s="12"/>
      <c r="V242" s="12"/>
    </row>
    <row r="243" spans="1:22" hidden="1">
      <c r="A243" s="55">
        <v>0</v>
      </c>
      <c r="B243" s="55">
        <v>0</v>
      </c>
      <c r="C243" s="104">
        <v>0</v>
      </c>
      <c r="D243" s="49">
        <f t="shared" si="44"/>
        <v>0</v>
      </c>
      <c r="E243" s="83" t="s">
        <v>119</v>
      </c>
      <c r="F243" s="76">
        <v>1350</v>
      </c>
      <c r="G243" s="77">
        <v>0.27</v>
      </c>
      <c r="H243" s="76">
        <v>1300</v>
      </c>
      <c r="I243" s="77">
        <v>0.26</v>
      </c>
      <c r="J243" s="84">
        <v>2650</v>
      </c>
      <c r="K243" s="85">
        <v>0.53</v>
      </c>
      <c r="L243" s="72" t="str">
        <f>IF(D243=0,CHAR(160),IF(D243&gt;=500000,(F243+IF(D243&gt;500000,((D243-500000)/100*G243),0)+H243+IF(D243&gt;500000,(I243*(D243-500000)/100),0)),0))</f>
        <v> </v>
      </c>
      <c r="M243" s="73">
        <f t="shared" si="46"/>
        <v>75</v>
      </c>
      <c r="N243" s="61"/>
      <c r="O243" s="61"/>
      <c r="P243" s="12"/>
      <c r="Q243" s="12"/>
      <c r="R243" s="12"/>
      <c r="S243" s="12"/>
      <c r="T243" s="12"/>
      <c r="U243" s="12"/>
      <c r="V243" s="12"/>
    </row>
    <row r="244" spans="1:22" hidden="1">
      <c r="A244" s="12" t="str">
        <f>IF($B$268=38,"13R Sprinkler",CHAR(160))</f>
        <v> </v>
      </c>
      <c r="B244" s="62" t="s">
        <v>49</v>
      </c>
      <c r="C244" s="102">
        <v>0</v>
      </c>
      <c r="D244" s="49">
        <f t="shared" si="44"/>
        <v>0</v>
      </c>
      <c r="E244" s="64" t="s">
        <v>82</v>
      </c>
      <c r="F244" s="76">
        <v>579.45000000000005</v>
      </c>
      <c r="G244" s="77">
        <v>5.0000000000011372E-3</v>
      </c>
      <c r="H244" s="76">
        <v>290.10000000000002</v>
      </c>
      <c r="I244" s="77">
        <v>1.4524999999999999</v>
      </c>
      <c r="J244" s="76">
        <v>869.55</v>
      </c>
      <c r="K244" s="77">
        <v>1.4575</v>
      </c>
      <c r="L244" s="67" t="str">
        <f>(IF(D244&lt;=7499,(IF(D244&lt;=0,CHAR(160),(F244+IF(D244&gt;1500,((D244-1500)/100*G244),0)+H244+IF(D244&gt;1500,(I244*(D244-1500)/100),0)))),0))</f>
        <v> </v>
      </c>
      <c r="M244" s="68">
        <f>IF(C244&gt;=12,(C244*1.5)+150,75+(C244*1.5))</f>
        <v>75</v>
      </c>
      <c r="N244" s="12"/>
      <c r="O244" s="12"/>
      <c r="P244" s="12"/>
      <c r="Q244" s="12"/>
      <c r="R244" s="12"/>
      <c r="S244" s="12"/>
      <c r="T244" s="12"/>
      <c r="U244" s="12"/>
      <c r="V244" s="12"/>
    </row>
    <row r="245" spans="1:22" hidden="1">
      <c r="A245" s="12" t="str">
        <f t="shared" ref="A245:A249" si="48">IF($B$268=38,"13R Sprinkler",CHAR(160))</f>
        <v> </v>
      </c>
      <c r="B245" s="47" t="s">
        <v>50</v>
      </c>
      <c r="C245" s="103">
        <v>0</v>
      </c>
      <c r="D245" s="49">
        <f t="shared" si="44"/>
        <v>0</v>
      </c>
      <c r="E245" s="50" t="s">
        <v>74</v>
      </c>
      <c r="F245" s="76">
        <v>579.75</v>
      </c>
      <c r="G245" s="77">
        <v>-0.01</v>
      </c>
      <c r="H245" s="76">
        <v>377.25</v>
      </c>
      <c r="I245" s="77">
        <v>0.56999999999999995</v>
      </c>
      <c r="J245" s="80">
        <v>957</v>
      </c>
      <c r="K245" s="81">
        <v>0.56000000000000005</v>
      </c>
      <c r="L245" s="53" t="str">
        <f>IF(D245=0,CHAR(160),IF(AND(D245&gt;7499,D245&lt;15000),(F245+IF(D245&gt;7500,((D245-7500)/100*G245),0)+H245+IF(D245&gt;7500,(I245*(D245-7500)/100),0)),0))</f>
        <v> </v>
      </c>
      <c r="M245" s="54">
        <f t="shared" si="46"/>
        <v>75</v>
      </c>
      <c r="N245" s="12"/>
      <c r="O245" s="12"/>
      <c r="P245" s="12"/>
      <c r="Q245" s="12"/>
      <c r="R245" s="12"/>
      <c r="S245" s="12"/>
      <c r="T245" s="12"/>
      <c r="U245" s="12"/>
      <c r="V245" s="12"/>
    </row>
    <row r="246" spans="1:22" hidden="1">
      <c r="A246" s="12" t="str">
        <f t="shared" si="48"/>
        <v> </v>
      </c>
      <c r="B246" s="47">
        <v>0</v>
      </c>
      <c r="C246" s="103">
        <v>0</v>
      </c>
      <c r="D246" s="49">
        <f t="shared" si="44"/>
        <v>0</v>
      </c>
      <c r="E246" s="50" t="s">
        <v>62</v>
      </c>
      <c r="F246" s="76">
        <v>579</v>
      </c>
      <c r="G246" s="77">
        <v>4.26</v>
      </c>
      <c r="H246" s="76">
        <v>420</v>
      </c>
      <c r="I246" s="77">
        <v>0.98</v>
      </c>
      <c r="J246" s="80">
        <v>999</v>
      </c>
      <c r="K246" s="81">
        <v>5.24</v>
      </c>
      <c r="L246" s="53" t="str">
        <f>IF(D246=0,CHAR(160),IF(AND(D246&gt;14999,D246&lt;30000),(F246+IF(D246&gt;15000,((D246-15000)/100*G246),0)+H246+IF(D246&gt;15000,(I246*(D246-15000)/100),0)),0))</f>
        <v> </v>
      </c>
      <c r="M246" s="54">
        <f t="shared" si="46"/>
        <v>75</v>
      </c>
      <c r="N246" s="12"/>
      <c r="O246" s="12"/>
      <c r="P246" s="12"/>
      <c r="Q246" s="12"/>
      <c r="R246" s="12"/>
      <c r="S246" s="12"/>
      <c r="T246" s="12"/>
      <c r="U246" s="12"/>
      <c r="V246" s="12"/>
    </row>
    <row r="247" spans="1:22" hidden="1">
      <c r="A247" s="12" t="str">
        <f t="shared" si="48"/>
        <v> </v>
      </c>
      <c r="B247" s="47">
        <v>0</v>
      </c>
      <c r="C247" s="103">
        <v>0</v>
      </c>
      <c r="D247" s="49">
        <f t="shared" si="44"/>
        <v>0</v>
      </c>
      <c r="E247" s="50" t="s">
        <v>83</v>
      </c>
      <c r="F247" s="76">
        <v>1218</v>
      </c>
      <c r="G247" s="77">
        <v>0.37666666666666665</v>
      </c>
      <c r="H247" s="76">
        <v>567</v>
      </c>
      <c r="I247" s="77">
        <v>0.60666666666666669</v>
      </c>
      <c r="J247" s="80">
        <v>1785</v>
      </c>
      <c r="K247" s="81">
        <v>0.98333333333333339</v>
      </c>
      <c r="L247" s="53" t="str">
        <f>IF(D247=0,CHAR(160),IF(AND(D247&gt;29999,D247&lt;75000),(F247+IF(D247&gt;30000,((D247-30000)/100*G247),0)+H247+IF(D247&gt;30000,(I247*(D247-30000)/100),0)),0))</f>
        <v> </v>
      </c>
      <c r="M247" s="54">
        <f t="shared" si="46"/>
        <v>75</v>
      </c>
      <c r="N247" s="12"/>
      <c r="O247" s="12"/>
      <c r="P247" s="12"/>
      <c r="Q247" s="12"/>
      <c r="R247" s="12"/>
      <c r="S247" s="12"/>
      <c r="T247" s="12"/>
      <c r="U247" s="12"/>
      <c r="V247" s="12"/>
    </row>
    <row r="248" spans="1:22" hidden="1">
      <c r="A248" s="12" t="str">
        <f t="shared" si="48"/>
        <v> </v>
      </c>
      <c r="B248" s="47">
        <v>0</v>
      </c>
      <c r="C248" s="103">
        <v>0</v>
      </c>
      <c r="D248" s="49">
        <f t="shared" si="44"/>
        <v>0</v>
      </c>
      <c r="E248" s="50" t="s">
        <v>85</v>
      </c>
      <c r="F248" s="76">
        <v>1387.5</v>
      </c>
      <c r="G248" s="77">
        <v>0.47</v>
      </c>
      <c r="H248" s="76">
        <v>840</v>
      </c>
      <c r="I248" s="77">
        <v>0.38</v>
      </c>
      <c r="J248" s="80">
        <v>2227.5</v>
      </c>
      <c r="K248" s="81">
        <v>0.85</v>
      </c>
      <c r="L248" s="53" t="str">
        <f>IF(D248=0,CHAR(160),IF(AND(D248&gt;74999,D248&lt;149999),(F248+IF(D248&gt;75000,((D248-75000)/100*G248),0)+H248+IF(D248&gt;75000,(I248*(D248-75000)/100),0)),0))</f>
        <v> </v>
      </c>
      <c r="M248" s="54">
        <f t="shared" si="46"/>
        <v>75</v>
      </c>
      <c r="N248" s="12"/>
      <c r="O248" s="12"/>
      <c r="P248" s="12"/>
      <c r="Q248" s="12"/>
      <c r="R248" s="12"/>
      <c r="S248" s="12"/>
      <c r="T248" s="12"/>
      <c r="U248" s="12"/>
      <c r="V248" s="12"/>
    </row>
    <row r="249" spans="1:22" hidden="1">
      <c r="A249" s="12" t="str">
        <f t="shared" si="48"/>
        <v> </v>
      </c>
      <c r="B249" s="55">
        <v>0</v>
      </c>
      <c r="C249" s="104">
        <v>0</v>
      </c>
      <c r="D249" s="49">
        <f t="shared" si="44"/>
        <v>0</v>
      </c>
      <c r="E249" s="57" t="s">
        <v>84</v>
      </c>
      <c r="F249" s="76">
        <v>1740</v>
      </c>
      <c r="G249" s="77">
        <v>1.1599999999999999</v>
      </c>
      <c r="H249" s="76">
        <v>1125</v>
      </c>
      <c r="I249" s="77">
        <v>0.75</v>
      </c>
      <c r="J249" s="84">
        <v>2865</v>
      </c>
      <c r="K249" s="85">
        <v>1.91</v>
      </c>
      <c r="L249" s="72" t="str">
        <f>IF(D249=0,CHAR(160),IF(D249&gt;=150000,(F249+IF(D249&gt;150000,((D249-150000)/100*G249),0)+H249+IF(D249&gt;150000,(I249*(D249-150000)/100),0)),0))</f>
        <v> </v>
      </c>
      <c r="M249" s="73">
        <f t="shared" si="46"/>
        <v>75</v>
      </c>
      <c r="N249" s="61">
        <f>SUMIFS(L244:L249,A244:A249,"=13R Sprinkler",L244:L249,"&gt;0")</f>
        <v>0</v>
      </c>
      <c r="O249" s="61"/>
      <c r="P249" s="12"/>
      <c r="Q249" s="12"/>
      <c r="R249" s="12"/>
      <c r="S249" s="12"/>
      <c r="T249" s="12"/>
      <c r="U249" s="12"/>
      <c r="V249" s="12"/>
    </row>
    <row r="250" spans="1:22" hidden="1">
      <c r="A250" s="12" t="str">
        <f>IF($B$268=39,"13D Sprinkler",CHAR(160))</f>
        <v> </v>
      </c>
      <c r="B250" s="62" t="s">
        <v>51</v>
      </c>
      <c r="C250" s="102">
        <v>0</v>
      </c>
      <c r="D250" s="49">
        <f t="shared" si="44"/>
        <v>0</v>
      </c>
      <c r="E250" s="75" t="s">
        <v>145</v>
      </c>
      <c r="F250" s="76">
        <v>100</v>
      </c>
      <c r="G250" s="77">
        <v>5.0000000000001892E-3</v>
      </c>
      <c r="H250" s="76">
        <v>0</v>
      </c>
      <c r="I250" s="77">
        <v>3.9824999999999999</v>
      </c>
      <c r="J250" s="76">
        <v>100</v>
      </c>
      <c r="K250" s="77">
        <v>3.9874999999999998</v>
      </c>
      <c r="L250" s="67" t="str">
        <f>(IF(D250&lt;=2999,(IF(D250&lt;=0,CHAR(160),(F250+IF(D250&gt;600,((D250-600)/100*G250),0)+H250+IF(D250&gt;600,(I250*(D250-600)/100),0)))),0))</f>
        <v> </v>
      </c>
      <c r="M250" s="68">
        <f>IF(C250&gt;=12,(C250*1.5)+150,75+(C250*1.5))</f>
        <v>75</v>
      </c>
      <c r="N250" s="12"/>
      <c r="O250" s="12"/>
      <c r="P250" s="12"/>
      <c r="Q250" s="12"/>
      <c r="R250" s="12"/>
      <c r="S250" s="12"/>
      <c r="T250" s="12"/>
      <c r="U250" s="12"/>
      <c r="V250" s="12"/>
    </row>
    <row r="251" spans="1:22" hidden="1">
      <c r="A251" s="12" t="str">
        <f t="shared" ref="A251:A255" si="49">IF($B$268=39,"13D Sprinkler",CHAR(160))</f>
        <v> </v>
      </c>
      <c r="B251" s="47" t="s">
        <v>52</v>
      </c>
      <c r="C251" s="103">
        <v>0</v>
      </c>
      <c r="D251" s="49">
        <f t="shared" si="44"/>
        <v>0</v>
      </c>
      <c r="E251" s="79" t="s">
        <v>146</v>
      </c>
      <c r="F251" s="76">
        <v>100</v>
      </c>
      <c r="G251" s="77">
        <v>0</v>
      </c>
      <c r="H251" s="76">
        <v>0</v>
      </c>
      <c r="I251" s="77">
        <v>1.59</v>
      </c>
      <c r="J251" s="80">
        <v>100</v>
      </c>
      <c r="K251" s="81">
        <v>1.59</v>
      </c>
      <c r="L251" s="53" t="str">
        <f>IF(D251=0,CHAR(160),IF(AND(D251&gt;2999,D251&lt;6000),(F251+IF(D251&gt;3000,((D251-3000)/100*G251),0)+H251+IF(D251&gt;3000,(I251*(D251-3000)/100),0)),0))</f>
        <v> </v>
      </c>
      <c r="M251" s="54">
        <f t="shared" si="46"/>
        <v>75</v>
      </c>
      <c r="N251" s="12"/>
      <c r="O251" s="12"/>
      <c r="P251" s="12"/>
      <c r="Q251" s="12"/>
      <c r="R251" s="12"/>
      <c r="S251" s="12"/>
      <c r="T251" s="12"/>
      <c r="U251" s="12"/>
      <c r="V251" s="12"/>
    </row>
    <row r="252" spans="1:22" hidden="1">
      <c r="A252" s="12" t="str">
        <f t="shared" si="49"/>
        <v> </v>
      </c>
      <c r="B252" s="47">
        <v>0</v>
      </c>
      <c r="C252" s="103">
        <v>0</v>
      </c>
      <c r="D252" s="49">
        <f t="shared" si="44"/>
        <v>0</v>
      </c>
      <c r="E252" s="79" t="s">
        <v>147</v>
      </c>
      <c r="F252" s="76">
        <v>100</v>
      </c>
      <c r="G252" s="77">
        <v>6.06</v>
      </c>
      <c r="H252" s="76">
        <v>0</v>
      </c>
      <c r="I252" s="77">
        <v>2.66</v>
      </c>
      <c r="J252" s="80">
        <v>100</v>
      </c>
      <c r="K252" s="81">
        <v>8.7200000000000006</v>
      </c>
      <c r="L252" s="53" t="str">
        <f>IF(D252=0,CHAR(160),IF(AND(D252&gt;5999,D252&lt;12000),(F252+IF(D252&gt;6000,((D252-6000)/100*G252),0)+H252+IF(D252&gt;6000,(I252*(D252-6000)/100),0)),0))</f>
        <v> </v>
      </c>
      <c r="M252" s="54">
        <f t="shared" si="46"/>
        <v>75</v>
      </c>
      <c r="N252" s="12"/>
      <c r="O252" s="12"/>
      <c r="P252" s="12"/>
      <c r="Q252" s="12"/>
      <c r="R252" s="12"/>
      <c r="S252" s="12"/>
      <c r="T252" s="12"/>
      <c r="U252" s="12"/>
      <c r="V252" s="12"/>
    </row>
    <row r="253" spans="1:22" hidden="1">
      <c r="A253" s="12" t="str">
        <f t="shared" si="49"/>
        <v> </v>
      </c>
      <c r="B253" s="47">
        <v>0</v>
      </c>
      <c r="C253" s="103">
        <v>0</v>
      </c>
      <c r="D253" s="49">
        <f t="shared" si="44"/>
        <v>0</v>
      </c>
      <c r="E253" s="79" t="s">
        <v>148</v>
      </c>
      <c r="F253" s="76">
        <v>694.8</v>
      </c>
      <c r="G253" s="77">
        <v>0.55666666666666687</v>
      </c>
      <c r="H253" s="76">
        <v>621.6</v>
      </c>
      <c r="I253" s="77">
        <v>1.68</v>
      </c>
      <c r="J253" s="80">
        <v>1316.4</v>
      </c>
      <c r="K253" s="81">
        <v>2.2366666666666668</v>
      </c>
      <c r="L253" s="53" t="str">
        <f>IF(D253=0,CHAR(160),IF(AND(D253&gt;11999,D253&lt;30000),(F253+IF(D253&gt;12000,((D253-12000)/100*G253),0)+H253+IF(D253&gt;12000,(I253*(D253-12000)/100),0)),0))</f>
        <v> </v>
      </c>
      <c r="M253" s="54">
        <f t="shared" si="46"/>
        <v>75</v>
      </c>
      <c r="N253" s="12"/>
      <c r="O253" s="12"/>
      <c r="P253" s="12"/>
      <c r="Q253" s="12"/>
      <c r="R253" s="12"/>
      <c r="S253" s="12"/>
      <c r="T253" s="12"/>
      <c r="U253" s="12"/>
      <c r="V253" s="12"/>
    </row>
    <row r="254" spans="1:22" hidden="1">
      <c r="A254" s="12" t="str">
        <f t="shared" si="49"/>
        <v> </v>
      </c>
      <c r="B254" s="47">
        <v>0</v>
      </c>
      <c r="C254" s="103">
        <v>0</v>
      </c>
      <c r="D254" s="49">
        <f t="shared" si="44"/>
        <v>0</v>
      </c>
      <c r="E254" s="79" t="s">
        <v>63</v>
      </c>
      <c r="F254" s="76">
        <v>795</v>
      </c>
      <c r="G254" s="77">
        <v>0.67</v>
      </c>
      <c r="H254" s="76">
        <v>924</v>
      </c>
      <c r="I254" s="77">
        <v>1.06</v>
      </c>
      <c r="J254" s="80">
        <v>1719</v>
      </c>
      <c r="K254" s="81">
        <v>1.73</v>
      </c>
      <c r="L254" s="53" t="str">
        <f>IF(D254=0,CHAR(160),IF(AND(D254&gt;29999,D254&lt;60000),(F254+IF(D254&gt;30000,((D254-30000)/100*G254),0)+H254+IF(D254&gt;30000,(I254*(D254-30000)/100),0)),0))</f>
        <v> </v>
      </c>
      <c r="M254" s="54">
        <f t="shared" si="46"/>
        <v>75</v>
      </c>
      <c r="N254" s="12"/>
      <c r="O254" s="12"/>
      <c r="P254" s="12"/>
      <c r="Q254" s="12"/>
      <c r="R254" s="12"/>
      <c r="S254" s="12"/>
      <c r="T254" s="12"/>
      <c r="U254" s="12"/>
      <c r="V254" s="12"/>
    </row>
    <row r="255" spans="1:22" hidden="1">
      <c r="A255" s="12" t="str">
        <f t="shared" si="49"/>
        <v> </v>
      </c>
      <c r="B255" s="55">
        <v>0</v>
      </c>
      <c r="C255" s="104">
        <v>0</v>
      </c>
      <c r="D255" s="49">
        <f t="shared" si="44"/>
        <v>0</v>
      </c>
      <c r="E255" s="83" t="s">
        <v>149</v>
      </c>
      <c r="F255" s="76">
        <v>996</v>
      </c>
      <c r="G255" s="77">
        <v>1.66</v>
      </c>
      <c r="H255" s="76">
        <v>1242</v>
      </c>
      <c r="I255" s="77">
        <v>2.0699999999999998</v>
      </c>
      <c r="J255" s="84">
        <v>2238</v>
      </c>
      <c r="K255" s="85">
        <v>3.73</v>
      </c>
      <c r="L255" s="72" t="str">
        <f>IF(D255=0,CHAR(160),IF(D255&gt;=60000,(F255+IF(D255&gt;60000,((D255-60000)/100*G255),0)+H255+IF(D255&gt;60000,(I255*(D255-60000)/100),0)),0))</f>
        <v> </v>
      </c>
      <c r="M255" s="73">
        <f t="shared" si="46"/>
        <v>75</v>
      </c>
      <c r="N255" s="61">
        <f>SUMIFS(L250:L255,A250:A255,"=13D Sprinkler",L250:L255,"&gt;0")</f>
        <v>0</v>
      </c>
      <c r="O255" s="61"/>
      <c r="P255" s="12"/>
      <c r="Q255" s="12"/>
      <c r="R255" s="12"/>
      <c r="S255" s="12"/>
      <c r="T255" s="12"/>
      <c r="U255" s="12"/>
      <c r="V255" s="12"/>
    </row>
    <row r="256" spans="1:22" hidden="1">
      <c r="A256" s="12" t="str">
        <f>IF(OR($B$268=41,$B$268=42),"Fire Alarm",CHAR(160))</f>
        <v> </v>
      </c>
      <c r="B256" s="62" t="s">
        <v>53</v>
      </c>
      <c r="C256" s="102">
        <v>10</v>
      </c>
      <c r="D256" s="49">
        <f t="shared" si="44"/>
        <v>0</v>
      </c>
      <c r="E256" s="86" t="s">
        <v>107</v>
      </c>
      <c r="F256" s="105">
        <v>331</v>
      </c>
      <c r="G256" s="106">
        <v>0</v>
      </c>
      <c r="H256" s="105">
        <v>237.8</v>
      </c>
      <c r="I256" s="106">
        <v>0.8899999999999999</v>
      </c>
      <c r="J256" s="105">
        <v>568.79999999999995</v>
      </c>
      <c r="K256" s="106">
        <v>0.8899999999999999</v>
      </c>
      <c r="L256" s="67">
        <f>(IF(D256&lt;=9999,(IF(D256&lt;=0,0,(F256+IF(D256&gt;2000,((D256-2000)/100*G256),0)+H256+IF(D256&gt;2000,(I256*(D256-2000)/100),0)))),0))</f>
        <v>0</v>
      </c>
      <c r="M256" s="68">
        <f>IF(C256&gt;=12,(C256*1.5)+150,75+(C256*1.5))</f>
        <v>90</v>
      </c>
      <c r="N256" s="12"/>
      <c r="O256" s="12"/>
      <c r="P256" s="12"/>
      <c r="Q256" s="12"/>
      <c r="R256" s="12"/>
      <c r="S256" s="12"/>
      <c r="T256" s="12"/>
      <c r="U256" s="12"/>
      <c r="V256" s="12"/>
    </row>
    <row r="257" spans="1:22" hidden="1">
      <c r="A257" s="12" t="str">
        <f t="shared" ref="A257:A261" si="50">IF(OR($B$268=40,$B$268=41),"Fire Alarm",CHAR(160))</f>
        <v> </v>
      </c>
      <c r="B257" s="47">
        <v>0</v>
      </c>
      <c r="C257" s="103">
        <v>0</v>
      </c>
      <c r="D257" s="49">
        <f t="shared" si="44"/>
        <v>0</v>
      </c>
      <c r="E257" s="87" t="s">
        <v>108</v>
      </c>
      <c r="F257" s="105">
        <v>331</v>
      </c>
      <c r="G257" s="106">
        <v>0.01</v>
      </c>
      <c r="H257" s="105">
        <v>309</v>
      </c>
      <c r="I257" s="106">
        <v>0.35</v>
      </c>
      <c r="J257" s="107">
        <v>640</v>
      </c>
      <c r="K257" s="108">
        <v>0.36</v>
      </c>
      <c r="L257" s="53">
        <f>IF(D257=0,0,IF(AND(D257&gt;9999,D257&lt;20000),(F257+IF(D257&gt;10000,((D257-10000)/100*G257),0)+H257+IF(D257&gt;10000,(I257*(D257-10000)/100),0)),0))</f>
        <v>0</v>
      </c>
      <c r="M257" s="54">
        <f t="shared" si="46"/>
        <v>75</v>
      </c>
      <c r="N257" s="12"/>
      <c r="O257" s="12"/>
      <c r="P257" s="12"/>
      <c r="Q257" s="12"/>
      <c r="R257" s="12"/>
      <c r="S257" s="12"/>
      <c r="T257" s="12"/>
      <c r="U257" s="12"/>
      <c r="V257" s="12"/>
    </row>
    <row r="258" spans="1:22" hidden="1">
      <c r="A258" s="12" t="str">
        <f t="shared" si="50"/>
        <v> </v>
      </c>
      <c r="B258" s="47">
        <v>0</v>
      </c>
      <c r="C258" s="103">
        <v>0</v>
      </c>
      <c r="D258" s="49">
        <f t="shared" si="44"/>
        <v>0</v>
      </c>
      <c r="E258" s="87" t="s">
        <v>78</v>
      </c>
      <c r="F258" s="105">
        <v>332</v>
      </c>
      <c r="G258" s="106">
        <v>1.82</v>
      </c>
      <c r="H258" s="105">
        <v>344</v>
      </c>
      <c r="I258" s="106">
        <v>0.59999999999999976</v>
      </c>
      <c r="J258" s="107">
        <v>676</v>
      </c>
      <c r="K258" s="108">
        <v>2.42</v>
      </c>
      <c r="L258" s="53" t="str">
        <f>IF(D258=0,CHAR(160),IF(AND(D258&gt;19999,D258&lt;40000),(F258+IF(D258&gt;20000,((D258-20000)/100*G258),0)+H258+IF(D258&gt;20000,(I258*(D258-20000)/100),0)),0))</f>
        <v> </v>
      </c>
      <c r="M258" s="54">
        <f t="shared" si="46"/>
        <v>75</v>
      </c>
      <c r="N258" s="12"/>
      <c r="O258" s="12"/>
      <c r="P258" s="12"/>
      <c r="Q258" s="12"/>
      <c r="R258" s="12"/>
      <c r="S258" s="12"/>
      <c r="T258" s="12"/>
      <c r="U258" s="12"/>
      <c r="V258" s="12"/>
    </row>
    <row r="259" spans="1:22" hidden="1">
      <c r="A259" s="12" t="str">
        <f t="shared" si="50"/>
        <v> </v>
      </c>
      <c r="B259" s="47">
        <v>0</v>
      </c>
      <c r="C259" s="103">
        <v>0</v>
      </c>
      <c r="D259" s="49">
        <f t="shared" si="44"/>
        <v>0</v>
      </c>
      <c r="E259" s="87" t="s">
        <v>79</v>
      </c>
      <c r="F259" s="105">
        <v>696</v>
      </c>
      <c r="G259" s="106">
        <v>0.15666666666666684</v>
      </c>
      <c r="H259" s="105">
        <v>463.99999999999994</v>
      </c>
      <c r="I259" s="106">
        <v>0.37666666666666676</v>
      </c>
      <c r="J259" s="107">
        <v>1160</v>
      </c>
      <c r="K259" s="108">
        <v>0.53333333333333366</v>
      </c>
      <c r="L259" s="53" t="str">
        <f>IF(D259=0,CHAR(160),IF(AND(D259&gt;39999,D259&lt;100000),(F259+IF(D259&gt;40000,((D259-40000)/100*G259),0)+H259+IF(D259&gt;40000,(I259*(D259-40000)/100),0)),0))</f>
        <v> </v>
      </c>
      <c r="M259" s="54">
        <f t="shared" si="46"/>
        <v>75</v>
      </c>
      <c r="N259" s="12"/>
      <c r="O259" s="12"/>
      <c r="P259" s="12"/>
      <c r="Q259" s="12"/>
      <c r="R259" s="12"/>
      <c r="S259" s="12"/>
      <c r="T259" s="12"/>
      <c r="U259" s="12"/>
      <c r="V259" s="12"/>
    </row>
    <row r="260" spans="1:22" hidden="1">
      <c r="A260" s="12" t="str">
        <f t="shared" si="50"/>
        <v> </v>
      </c>
      <c r="B260" s="47">
        <v>0</v>
      </c>
      <c r="C260" s="103">
        <v>0</v>
      </c>
      <c r="D260" s="49">
        <f t="shared" si="44"/>
        <v>0</v>
      </c>
      <c r="E260" s="87" t="s">
        <v>80</v>
      </c>
      <c r="F260" s="105">
        <v>790.00000000000011</v>
      </c>
      <c r="G260" s="106">
        <v>0.20999999999999988</v>
      </c>
      <c r="H260" s="105">
        <v>690</v>
      </c>
      <c r="I260" s="106">
        <v>0.23</v>
      </c>
      <c r="J260" s="107">
        <v>1480</v>
      </c>
      <c r="K260" s="108">
        <v>0.43999999999999989</v>
      </c>
      <c r="L260" s="53" t="str">
        <f>IF(D260=0,CHAR(160),IF(AND(D260&gt;99999,D260&lt;200000),(F260+IF(D260&gt;100000,((D260-100000)/100*G260),0)+H260+IF(D260&gt;100000,(I260*(D260-100000)/100),0)),0))</f>
        <v> </v>
      </c>
      <c r="M260" s="54">
        <f t="shared" si="46"/>
        <v>75</v>
      </c>
      <c r="N260" s="12"/>
      <c r="O260" s="12"/>
      <c r="P260" s="12"/>
      <c r="Q260" s="12"/>
      <c r="R260" s="12"/>
      <c r="S260" s="12"/>
      <c r="T260" s="12"/>
      <c r="U260" s="12"/>
      <c r="V260" s="12"/>
    </row>
    <row r="261" spans="1:22" ht="15.75" hidden="1" thickBot="1">
      <c r="A261" s="12" t="str">
        <f t="shared" si="50"/>
        <v> </v>
      </c>
      <c r="B261" s="109">
        <v>0</v>
      </c>
      <c r="C261" s="110">
        <v>0</v>
      </c>
      <c r="D261" s="49">
        <f t="shared" si="44"/>
        <v>0</v>
      </c>
      <c r="E261" s="88" t="s">
        <v>109</v>
      </c>
      <c r="F261" s="111">
        <v>1000</v>
      </c>
      <c r="G261" s="112">
        <v>0.5</v>
      </c>
      <c r="H261" s="111">
        <v>920</v>
      </c>
      <c r="I261" s="112">
        <v>0.45999999999999996</v>
      </c>
      <c r="J261" s="113">
        <v>1920</v>
      </c>
      <c r="K261" s="114">
        <v>0.96</v>
      </c>
      <c r="L261" s="72" t="str">
        <f>IF(D261=0,CHAR(160),IF(D261&gt;=200000,(F261+IF(D261&gt;200000,((D261-200000)/100*G261),0)+H261+IF(D261&gt;200000,(I261*(D261-200000)/100),0)),0))</f>
        <v> </v>
      </c>
      <c r="M261" s="115">
        <f t="shared" si="46"/>
        <v>75</v>
      </c>
      <c r="N261" s="61">
        <f>SUMIFS(L256:L261,A256:A261,"=Fire Alarm",L256:L261,"&gt;0")</f>
        <v>0</v>
      </c>
      <c r="O261" s="61"/>
      <c r="P261" s="12"/>
      <c r="Q261" s="12"/>
      <c r="R261" s="12"/>
      <c r="S261" s="12"/>
      <c r="T261" s="12"/>
      <c r="U261" s="12"/>
      <c r="V261" s="12"/>
    </row>
    <row r="262" spans="1:22" hidden="1">
      <c r="A262" s="116"/>
      <c r="B262" s="116"/>
      <c r="C262" s="116"/>
      <c r="D262" s="117"/>
      <c r="E262" s="118"/>
      <c r="F262" s="119"/>
      <c r="G262" s="119"/>
      <c r="H262" s="119"/>
      <c r="I262" s="119"/>
      <c r="J262" s="119"/>
      <c r="K262" s="119"/>
      <c r="L262" s="120"/>
      <c r="M262" s="12"/>
      <c r="N262" s="12"/>
      <c r="O262" s="12"/>
      <c r="P262" s="12"/>
      <c r="Q262" s="12"/>
      <c r="R262" s="12"/>
      <c r="S262" s="12"/>
      <c r="T262" s="12"/>
      <c r="U262" s="12"/>
      <c r="V262" s="12"/>
    </row>
    <row r="263" spans="1:22" hidden="1">
      <c r="A263" s="121" t="s">
        <v>54</v>
      </c>
      <c r="B263" s="116"/>
      <c r="C263" s="116"/>
      <c r="D263" s="117"/>
      <c r="E263" s="118"/>
      <c r="F263" s="119"/>
      <c r="G263" s="119"/>
      <c r="H263" s="119"/>
      <c r="I263" s="119"/>
      <c r="J263" s="119"/>
      <c r="K263" s="119"/>
      <c r="L263" s="120"/>
      <c r="M263" s="12"/>
      <c r="N263" s="12"/>
      <c r="O263" s="12"/>
      <c r="P263" s="12"/>
      <c r="Q263" s="12"/>
      <c r="R263" s="12"/>
      <c r="S263" s="12"/>
      <c r="T263" s="12"/>
      <c r="U263" s="12"/>
      <c r="V263" s="12"/>
    </row>
    <row r="264" spans="1:22" hidden="1">
      <c r="A264" s="12"/>
      <c r="B264" s="12"/>
      <c r="C264" s="12"/>
      <c r="D264" s="122"/>
      <c r="E264" s="13"/>
      <c r="F264" s="12"/>
      <c r="G264" s="12"/>
      <c r="H264" s="12"/>
      <c r="I264" s="12"/>
      <c r="J264" s="12"/>
      <c r="K264" s="12"/>
      <c r="L264" s="13"/>
      <c r="M264" s="12"/>
      <c r="N264" s="12"/>
      <c r="O264" s="12"/>
      <c r="P264" s="12"/>
      <c r="Q264" s="12"/>
      <c r="R264" s="12"/>
      <c r="S264" s="12"/>
      <c r="T264" s="12"/>
      <c r="U264" s="12"/>
      <c r="V264" s="12"/>
    </row>
    <row r="265" spans="1:22" hidden="1">
      <c r="A265" s="12"/>
      <c r="B265" s="12"/>
      <c r="C265" s="12"/>
      <c r="D265" s="122"/>
      <c r="E265" s="13"/>
      <c r="F265" s="12"/>
      <c r="G265" s="12"/>
      <c r="H265" s="12"/>
      <c r="I265" s="12"/>
      <c r="J265" s="12"/>
      <c r="K265" s="12"/>
      <c r="L265" s="13"/>
      <c r="M265" s="12"/>
      <c r="N265" s="12"/>
      <c r="O265" s="12"/>
      <c r="P265" s="12"/>
      <c r="Q265" s="12"/>
      <c r="R265" s="12"/>
      <c r="S265" s="12"/>
      <c r="T265" s="12"/>
      <c r="U265" s="12"/>
      <c r="V265" s="12"/>
    </row>
    <row r="266" spans="1:22" hidden="1">
      <c r="A266" s="123"/>
      <c r="B266" s="123"/>
      <c r="C266" s="123"/>
      <c r="D266" s="122"/>
      <c r="E266" s="122"/>
      <c r="F266" s="123"/>
      <c r="G266" s="123"/>
      <c r="H266" s="123"/>
      <c r="I266" s="123"/>
      <c r="J266" s="123"/>
      <c r="K266" s="123"/>
      <c r="L266" s="124"/>
      <c r="M266" s="123"/>
      <c r="N266" s="123"/>
      <c r="O266" s="123"/>
      <c r="P266" s="12"/>
      <c r="Q266" s="12"/>
      <c r="R266" s="12"/>
      <c r="S266" s="12"/>
      <c r="T266" s="12"/>
      <c r="U266" s="12"/>
      <c r="V266" s="12"/>
    </row>
    <row r="267" spans="1:22" ht="16.5" customHeight="1">
      <c r="A267" s="195" t="s">
        <v>254</v>
      </c>
      <c r="B267" s="195"/>
      <c r="C267" s="123"/>
      <c r="D267" s="122"/>
      <c r="E267" s="122"/>
      <c r="F267" s="123"/>
      <c r="G267" s="123"/>
      <c r="H267" s="123"/>
      <c r="I267" s="123"/>
      <c r="J267" s="123"/>
      <c r="K267" s="123"/>
      <c r="L267" s="124"/>
      <c r="M267" s="123"/>
      <c r="N267" s="146" t="str">
        <f>IF(B268=1,"No Permit Selected",CHAR(160))</f>
        <v>No Permit Selected</v>
      </c>
      <c r="O267" s="146"/>
      <c r="P267" s="12"/>
      <c r="Q267" s="12"/>
      <c r="R267" s="12"/>
      <c r="S267" s="12"/>
      <c r="T267" s="12"/>
      <c r="U267" s="12"/>
      <c r="V267" s="12"/>
    </row>
    <row r="268" spans="1:22" s="145" customFormat="1" ht="15.75">
      <c r="A268" s="138"/>
      <c r="B268" s="139">
        <v>1</v>
      </c>
      <c r="C268" s="138"/>
      <c r="D268" s="140" t="s">
        <v>249</v>
      </c>
      <c r="E268" s="141">
        <v>0</v>
      </c>
      <c r="F268" s="142"/>
      <c r="G268" s="142"/>
      <c r="H268" s="142"/>
      <c r="I268" s="142"/>
      <c r="J268" s="142"/>
      <c r="K268" s="142"/>
      <c r="L268" s="140" t="s">
        <v>101</v>
      </c>
      <c r="M268" s="142"/>
      <c r="N268" s="143">
        <f>IF(E8=TRUE,3*IF(C7=TRUE,SUM(N12:N266)+75,SUM(N12:N266)),(IF(C7=TRUE,SUM(N12:N266)+75,SUM(N12:N266))))</f>
        <v>0</v>
      </c>
      <c r="O268" s="194"/>
      <c r="P268" s="144"/>
      <c r="Q268" s="144"/>
      <c r="R268" s="144"/>
      <c r="S268" s="144"/>
      <c r="T268" s="144"/>
      <c r="U268" s="144"/>
      <c r="V268" s="144"/>
    </row>
    <row r="269" spans="1:22" ht="11.25" customHeight="1">
      <c r="A269" s="12"/>
      <c r="B269" s="12"/>
      <c r="C269" s="12"/>
      <c r="D269" s="13"/>
      <c r="E269" s="13"/>
      <c r="F269" s="12"/>
      <c r="G269" s="12"/>
      <c r="H269" s="12"/>
      <c r="I269" s="12"/>
      <c r="J269" s="12"/>
      <c r="K269" s="12"/>
      <c r="L269" s="13"/>
      <c r="M269" s="12"/>
      <c r="N269" s="12"/>
      <c r="O269" s="12"/>
      <c r="P269" s="12"/>
      <c r="Q269" s="12"/>
      <c r="R269" s="12"/>
      <c r="S269" s="12"/>
      <c r="T269" s="12"/>
      <c r="U269" s="12"/>
      <c r="V269" s="12"/>
    </row>
    <row r="270" spans="1:22" ht="5.25" customHeight="1">
      <c r="A270" s="14"/>
      <c r="B270" s="14"/>
      <c r="C270" s="14"/>
      <c r="D270" s="15"/>
      <c r="E270" s="15"/>
      <c r="F270" s="14"/>
      <c r="G270" s="14"/>
      <c r="H270" s="14"/>
      <c r="I270" s="14"/>
      <c r="J270" s="14"/>
      <c r="K270" s="14"/>
      <c r="L270" s="15"/>
      <c r="M270" s="14"/>
      <c r="N270" s="14"/>
      <c r="O270" s="14"/>
      <c r="P270" s="14"/>
      <c r="Q270" s="32"/>
      <c r="R270" s="32"/>
      <c r="S270" s="12"/>
      <c r="T270" s="12"/>
      <c r="U270" s="12"/>
      <c r="V270" s="12"/>
    </row>
    <row r="271" spans="1:22" ht="18.75" customHeight="1">
      <c r="A271" s="206" t="s">
        <v>235</v>
      </c>
      <c r="B271" s="206"/>
      <c r="C271" s="206"/>
      <c r="D271" s="206"/>
      <c r="E271" s="206"/>
      <c r="F271" s="206"/>
      <c r="G271" s="206"/>
      <c r="H271" s="206"/>
      <c r="I271" s="206"/>
      <c r="J271" s="206"/>
      <c r="K271" s="206"/>
      <c r="L271" s="206"/>
      <c r="M271" s="206"/>
      <c r="N271" s="206"/>
      <c r="O271" s="159"/>
      <c r="P271" s="18"/>
      <c r="Q271" s="12"/>
      <c r="R271" s="12"/>
      <c r="S271" s="12"/>
      <c r="T271" s="12"/>
      <c r="U271" s="12"/>
      <c r="V271" s="12"/>
    </row>
    <row r="272" spans="1:22" ht="15.75" hidden="1" thickBot="1">
      <c r="A272" s="16"/>
      <c r="B272" s="10"/>
      <c r="C272" s="17"/>
      <c r="D272" s="18"/>
      <c r="E272" s="19"/>
      <c r="F272" s="18"/>
      <c r="G272" s="18"/>
      <c r="H272" s="18"/>
      <c r="I272" s="18"/>
      <c r="J272" s="18"/>
      <c r="K272" s="18"/>
      <c r="L272" s="19"/>
      <c r="M272" s="18"/>
      <c r="N272" s="18"/>
      <c r="O272" s="18"/>
      <c r="P272" s="18"/>
      <c r="Q272" s="12"/>
      <c r="R272" s="12"/>
      <c r="S272" s="12"/>
      <c r="T272" s="12"/>
      <c r="U272" s="12"/>
      <c r="V272" s="12"/>
    </row>
    <row r="273" spans="1:22" ht="15.75" hidden="1" thickBot="1">
      <c r="A273" s="20" t="s">
        <v>176</v>
      </c>
      <c r="B273" s="21" t="s">
        <v>177</v>
      </c>
      <c r="C273" s="150"/>
      <c r="D273" s="22"/>
      <c r="E273" s="19"/>
      <c r="F273" s="18"/>
      <c r="G273" s="18"/>
      <c r="H273" s="18"/>
      <c r="I273" s="18"/>
      <c r="J273" s="18"/>
      <c r="K273" s="18"/>
      <c r="L273" s="19"/>
      <c r="M273" s="18"/>
      <c r="N273" s="18"/>
      <c r="O273" s="18"/>
      <c r="P273" s="18"/>
      <c r="Q273" s="12"/>
      <c r="R273" s="12"/>
      <c r="S273" s="12"/>
      <c r="T273" s="12"/>
      <c r="U273" s="12"/>
      <c r="V273" s="12"/>
    </row>
    <row r="274" spans="1:22" ht="15.75" hidden="1" thickBot="1">
      <c r="A274" s="23" t="s">
        <v>178</v>
      </c>
      <c r="B274" s="24">
        <v>82.769789137108333</v>
      </c>
      <c r="C274" s="151"/>
      <c r="D274" s="25"/>
      <c r="E274" s="19"/>
      <c r="F274" s="18"/>
      <c r="G274" s="18"/>
      <c r="H274" s="18"/>
      <c r="I274" s="18"/>
      <c r="J274" s="18"/>
      <c r="K274" s="18"/>
      <c r="L274" s="19"/>
      <c r="M274" s="18"/>
      <c r="N274" s="18"/>
      <c r="O274" s="18"/>
      <c r="P274" s="18"/>
      <c r="Q274" s="12"/>
      <c r="R274" s="12"/>
      <c r="S274" s="12"/>
      <c r="T274" s="12"/>
      <c r="U274" s="12"/>
      <c r="V274" s="12"/>
    </row>
    <row r="275" spans="1:22" hidden="1">
      <c r="A275" s="177" t="s">
        <v>290</v>
      </c>
      <c r="B275" s="178"/>
      <c r="C275" s="152"/>
      <c r="D275" s="132">
        <v>1</v>
      </c>
      <c r="E275" s="19"/>
      <c r="F275" s="18"/>
      <c r="G275" s="18"/>
      <c r="H275" s="18"/>
      <c r="I275" s="18"/>
      <c r="J275" s="18"/>
      <c r="K275" s="18"/>
      <c r="L275" s="19"/>
      <c r="M275" s="18"/>
      <c r="N275" s="18"/>
      <c r="O275" s="18"/>
      <c r="P275" s="18"/>
      <c r="Q275" s="12"/>
      <c r="R275" s="12"/>
      <c r="S275" s="12"/>
      <c r="T275" s="12"/>
      <c r="U275" s="12"/>
      <c r="V275" s="12"/>
    </row>
    <row r="276" spans="1:22" hidden="1">
      <c r="A276" s="162" t="s">
        <v>179</v>
      </c>
      <c r="B276" s="163">
        <v>75</v>
      </c>
      <c r="C276" s="153">
        <f>IF($A$387=D276,B276,0)</f>
        <v>0</v>
      </c>
      <c r="D276" s="131">
        <v>2</v>
      </c>
      <c r="E276" s="19"/>
      <c r="F276" s="18"/>
      <c r="G276" s="18"/>
      <c r="H276" s="18"/>
      <c r="I276" s="18"/>
      <c r="J276" s="18"/>
      <c r="K276" s="18"/>
      <c r="L276" s="19"/>
      <c r="M276" s="18"/>
      <c r="N276" s="18"/>
      <c r="O276" s="18"/>
      <c r="P276" s="18"/>
      <c r="Q276" s="12"/>
      <c r="R276" s="12"/>
      <c r="S276" s="12"/>
      <c r="T276" s="12"/>
      <c r="U276" s="12"/>
      <c r="V276" s="12"/>
    </row>
    <row r="277" spans="1:22" hidden="1">
      <c r="A277" s="162" t="s">
        <v>180</v>
      </c>
      <c r="B277" s="163">
        <v>150</v>
      </c>
      <c r="C277" s="153">
        <f t="shared" ref="C277:C300" si="51">IF($A$387=D277,B277,0)</f>
        <v>0</v>
      </c>
      <c r="D277" s="131">
        <f>D276+1</f>
        <v>3</v>
      </c>
      <c r="E277" s="19"/>
      <c r="F277" s="18"/>
      <c r="G277" s="18"/>
      <c r="H277" s="18"/>
      <c r="I277" s="18"/>
      <c r="J277" s="18"/>
      <c r="K277" s="18"/>
      <c r="L277" s="19"/>
      <c r="M277" s="18"/>
      <c r="N277" s="18"/>
      <c r="O277" s="18"/>
      <c r="P277" s="18"/>
      <c r="Q277" s="12"/>
      <c r="R277" s="12"/>
      <c r="S277" s="12"/>
      <c r="T277" s="12"/>
      <c r="U277" s="12"/>
      <c r="V277" s="12"/>
    </row>
    <row r="278" spans="1:22" hidden="1">
      <c r="A278" s="162" t="s">
        <v>255</v>
      </c>
      <c r="B278" s="163">
        <v>75</v>
      </c>
      <c r="C278" s="153">
        <f t="shared" si="51"/>
        <v>0</v>
      </c>
      <c r="D278" s="131">
        <f t="shared" ref="D278:D299" si="52">D277+1</f>
        <v>4</v>
      </c>
      <c r="E278" s="19"/>
      <c r="F278" s="18"/>
      <c r="G278" s="18"/>
      <c r="H278" s="18"/>
      <c r="I278" s="18"/>
      <c r="J278" s="18"/>
      <c r="K278" s="18"/>
      <c r="L278" s="19"/>
      <c r="M278" s="18"/>
      <c r="N278" s="18"/>
      <c r="O278" s="18"/>
      <c r="P278" s="18"/>
      <c r="Q278" s="12"/>
      <c r="R278" s="12"/>
      <c r="S278" s="12"/>
      <c r="T278" s="12"/>
      <c r="U278" s="12"/>
      <c r="V278" s="12"/>
    </row>
    <row r="279" spans="1:22" hidden="1">
      <c r="A279" s="162" t="s">
        <v>182</v>
      </c>
      <c r="B279" s="163">
        <v>600</v>
      </c>
      <c r="C279" s="153">
        <f t="shared" si="51"/>
        <v>0</v>
      </c>
      <c r="D279" s="131">
        <f t="shared" si="52"/>
        <v>5</v>
      </c>
      <c r="E279" s="19"/>
      <c r="F279" s="18"/>
      <c r="G279" s="18"/>
      <c r="H279" s="18"/>
      <c r="I279" s="18"/>
      <c r="J279" s="18"/>
      <c r="K279" s="18"/>
      <c r="L279" s="19"/>
      <c r="M279" s="18"/>
      <c r="N279" s="18"/>
      <c r="O279" s="18"/>
      <c r="P279" s="18"/>
      <c r="Q279" s="12"/>
      <c r="R279" s="12"/>
      <c r="S279" s="12"/>
      <c r="T279" s="12"/>
      <c r="U279" s="12"/>
      <c r="V279" s="12"/>
    </row>
    <row r="280" spans="1:22" hidden="1">
      <c r="A280" s="164" t="s">
        <v>309</v>
      </c>
      <c r="B280" s="163">
        <v>226.23742364142942</v>
      </c>
      <c r="C280" s="153">
        <f t="shared" si="51"/>
        <v>0</v>
      </c>
      <c r="D280" s="131">
        <f t="shared" si="52"/>
        <v>6</v>
      </c>
      <c r="E280" s="19"/>
      <c r="F280" s="18"/>
      <c r="G280" s="18"/>
      <c r="H280" s="18"/>
      <c r="I280" s="18"/>
      <c r="J280" s="18"/>
      <c r="K280" s="18"/>
      <c r="L280" s="19"/>
      <c r="M280" s="18"/>
      <c r="N280" s="18"/>
      <c r="O280" s="18"/>
      <c r="P280" s="18"/>
      <c r="Q280" s="12"/>
      <c r="R280" s="12"/>
      <c r="S280" s="12"/>
      <c r="T280" s="12"/>
      <c r="U280" s="12"/>
      <c r="V280" s="12"/>
    </row>
    <row r="281" spans="1:22" hidden="1">
      <c r="A281" s="162" t="s">
        <v>185</v>
      </c>
      <c r="B281" s="163">
        <v>182.36943539876199</v>
      </c>
      <c r="C281" s="153">
        <f t="shared" si="51"/>
        <v>0</v>
      </c>
      <c r="D281" s="131">
        <f t="shared" si="52"/>
        <v>7</v>
      </c>
      <c r="E281" s="19"/>
      <c r="F281" s="18"/>
      <c r="G281" s="18"/>
      <c r="H281" s="18"/>
      <c r="I281" s="18"/>
      <c r="J281" s="18"/>
      <c r="K281" s="18"/>
      <c r="L281" s="19"/>
      <c r="M281" s="18"/>
      <c r="N281" s="18"/>
      <c r="O281" s="18"/>
      <c r="P281" s="18"/>
      <c r="Q281" s="12"/>
      <c r="R281" s="12"/>
      <c r="S281" s="12"/>
      <c r="T281" s="12"/>
      <c r="U281" s="12"/>
      <c r="V281" s="12"/>
    </row>
    <row r="282" spans="1:22" hidden="1">
      <c r="A282" s="164" t="s">
        <v>348</v>
      </c>
      <c r="B282" s="163">
        <v>234.51440255514029</v>
      </c>
      <c r="C282" s="153">
        <f t="shared" si="51"/>
        <v>0</v>
      </c>
      <c r="D282" s="131">
        <f t="shared" si="52"/>
        <v>8</v>
      </c>
      <c r="E282" s="19"/>
      <c r="F282" s="18"/>
      <c r="G282" s="18"/>
      <c r="H282" s="18"/>
      <c r="I282" s="18"/>
      <c r="J282" s="18"/>
      <c r="K282" s="18"/>
      <c r="L282" s="19"/>
      <c r="M282" s="18"/>
      <c r="N282" s="18"/>
      <c r="O282" s="18"/>
      <c r="P282" s="18"/>
      <c r="Q282" s="12"/>
      <c r="R282" s="12"/>
      <c r="S282" s="12"/>
      <c r="T282" s="12"/>
      <c r="U282" s="12"/>
      <c r="V282" s="12"/>
    </row>
    <row r="283" spans="1:22" hidden="1">
      <c r="A283" s="162" t="s">
        <v>275</v>
      </c>
      <c r="B283" s="163">
        <v>131.05216613375484</v>
      </c>
      <c r="C283" s="153">
        <f t="shared" si="51"/>
        <v>0</v>
      </c>
      <c r="D283" s="131">
        <f t="shared" si="52"/>
        <v>9</v>
      </c>
      <c r="E283" s="19"/>
      <c r="F283" s="18"/>
      <c r="G283" s="18"/>
      <c r="H283" s="18"/>
      <c r="I283" s="18"/>
      <c r="J283" s="18"/>
      <c r="K283" s="18"/>
      <c r="L283" s="19"/>
      <c r="M283" s="18"/>
      <c r="N283" s="18"/>
      <c r="O283" s="18"/>
      <c r="P283" s="18"/>
      <c r="Q283" s="12"/>
      <c r="R283" s="12"/>
      <c r="S283" s="12"/>
      <c r="T283" s="12"/>
      <c r="U283" s="12"/>
      <c r="V283" s="12"/>
    </row>
    <row r="284" spans="1:22" hidden="1">
      <c r="A284" s="162" t="s">
        <v>189</v>
      </c>
      <c r="B284" s="163">
        <v>131.05216613375484</v>
      </c>
      <c r="C284" s="153">
        <f t="shared" si="51"/>
        <v>0</v>
      </c>
      <c r="D284" s="131">
        <f t="shared" si="52"/>
        <v>10</v>
      </c>
      <c r="E284" s="19"/>
      <c r="F284" s="18"/>
      <c r="G284" s="18"/>
      <c r="H284" s="18"/>
      <c r="I284" s="18"/>
      <c r="J284" s="18"/>
      <c r="K284" s="18"/>
      <c r="L284" s="19"/>
      <c r="M284" s="18"/>
      <c r="N284" s="18"/>
      <c r="O284" s="18"/>
      <c r="P284" s="18"/>
      <c r="Q284" s="12"/>
      <c r="R284" s="12"/>
      <c r="S284" s="12"/>
      <c r="T284" s="12"/>
      <c r="U284" s="12"/>
      <c r="V284" s="12"/>
    </row>
    <row r="285" spans="1:22" hidden="1">
      <c r="A285" s="162" t="s">
        <v>191</v>
      </c>
      <c r="B285" s="163">
        <v>143.46763450432113</v>
      </c>
      <c r="C285" s="153">
        <f t="shared" si="51"/>
        <v>0</v>
      </c>
      <c r="D285" s="131">
        <f t="shared" si="52"/>
        <v>11</v>
      </c>
      <c r="E285" s="19"/>
      <c r="F285" s="18"/>
      <c r="G285" s="18"/>
      <c r="H285" s="18"/>
      <c r="I285" s="18"/>
      <c r="J285" s="18"/>
      <c r="K285" s="18"/>
      <c r="L285" s="19"/>
      <c r="M285" s="18"/>
      <c r="N285" s="18"/>
      <c r="O285" s="18"/>
      <c r="P285" s="18"/>
      <c r="Q285" s="12"/>
      <c r="R285" s="12"/>
      <c r="S285" s="12"/>
      <c r="T285" s="12"/>
      <c r="U285" s="12"/>
      <c r="V285" s="12"/>
    </row>
    <row r="286" spans="1:22" hidden="1">
      <c r="A286" s="162" t="s">
        <v>193</v>
      </c>
      <c r="B286" s="163">
        <v>198.92339322618369</v>
      </c>
      <c r="C286" s="153">
        <f t="shared" si="51"/>
        <v>0</v>
      </c>
      <c r="D286" s="131">
        <f t="shared" si="52"/>
        <v>12</v>
      </c>
      <c r="E286" s="19"/>
      <c r="F286" s="18"/>
      <c r="G286" s="18"/>
      <c r="H286" s="18"/>
      <c r="I286" s="18"/>
      <c r="J286" s="18"/>
      <c r="K286" s="18"/>
      <c r="L286" s="19"/>
      <c r="M286" s="18"/>
      <c r="N286" s="18"/>
      <c r="O286" s="18"/>
      <c r="P286" s="18"/>
      <c r="Q286" s="12"/>
      <c r="R286" s="12"/>
      <c r="S286" s="12"/>
      <c r="T286" s="12"/>
      <c r="U286" s="12"/>
      <c r="V286" s="12"/>
    </row>
    <row r="287" spans="1:22" ht="26.25" hidden="1">
      <c r="A287" s="162" t="s">
        <v>195</v>
      </c>
      <c r="B287" s="163">
        <v>179.33454313040136</v>
      </c>
      <c r="C287" s="153">
        <f t="shared" si="51"/>
        <v>0</v>
      </c>
      <c r="D287" s="131">
        <f t="shared" si="52"/>
        <v>13</v>
      </c>
      <c r="E287" s="19"/>
      <c r="F287" s="18"/>
      <c r="G287" s="18"/>
      <c r="H287" s="18"/>
      <c r="I287" s="18"/>
      <c r="J287" s="18"/>
      <c r="K287" s="18"/>
      <c r="L287" s="19"/>
      <c r="M287" s="18"/>
      <c r="N287" s="18"/>
      <c r="O287" s="18"/>
      <c r="P287" s="18"/>
      <c r="Q287" s="12"/>
      <c r="R287" s="12"/>
      <c r="S287" s="12"/>
      <c r="T287" s="12"/>
      <c r="U287" s="12"/>
      <c r="V287" s="12"/>
    </row>
    <row r="288" spans="1:22" ht="26.25" hidden="1">
      <c r="A288" s="162" t="s">
        <v>197</v>
      </c>
      <c r="B288" s="163">
        <v>204.16547987153388</v>
      </c>
      <c r="C288" s="153">
        <f t="shared" si="51"/>
        <v>0</v>
      </c>
      <c r="D288" s="131">
        <f t="shared" si="52"/>
        <v>14</v>
      </c>
      <c r="E288" s="19"/>
      <c r="F288" s="18"/>
      <c r="G288" s="18"/>
      <c r="H288" s="18"/>
      <c r="I288" s="18"/>
      <c r="J288" s="18"/>
      <c r="K288" s="18"/>
      <c r="L288" s="19"/>
      <c r="M288" s="18"/>
      <c r="N288" s="18"/>
      <c r="O288" s="18"/>
      <c r="P288" s="18"/>
      <c r="Q288" s="12"/>
      <c r="R288" s="12"/>
      <c r="S288" s="12"/>
      <c r="T288" s="12"/>
      <c r="U288" s="12"/>
      <c r="V288" s="12"/>
    </row>
    <row r="289" spans="1:22" ht="26.25" hidden="1">
      <c r="A289" s="162" t="s">
        <v>199</v>
      </c>
      <c r="B289" s="163">
        <v>372.46405111698749</v>
      </c>
      <c r="C289" s="153">
        <f t="shared" si="51"/>
        <v>0</v>
      </c>
      <c r="D289" s="131">
        <f t="shared" si="52"/>
        <v>15</v>
      </c>
      <c r="E289" s="19"/>
      <c r="F289" s="18"/>
      <c r="G289" s="18"/>
      <c r="H289" s="18"/>
      <c r="I289" s="18"/>
      <c r="J289" s="18"/>
      <c r="K289" s="18"/>
      <c r="L289" s="19"/>
      <c r="M289" s="18"/>
      <c r="N289" s="18"/>
      <c r="O289" s="18"/>
      <c r="P289" s="18"/>
      <c r="Q289" s="12"/>
      <c r="R289" s="12"/>
      <c r="S289" s="12"/>
      <c r="T289" s="12"/>
      <c r="U289" s="12"/>
      <c r="V289" s="12"/>
    </row>
    <row r="290" spans="1:22" ht="26.25" hidden="1">
      <c r="A290" s="162" t="s">
        <v>200</v>
      </c>
      <c r="B290" s="163">
        <v>179.33454313040136</v>
      </c>
      <c r="C290" s="153">
        <f t="shared" si="51"/>
        <v>0</v>
      </c>
      <c r="D290" s="131">
        <f t="shared" si="52"/>
        <v>16</v>
      </c>
      <c r="E290" s="19"/>
      <c r="F290" s="18"/>
      <c r="G290" s="18"/>
      <c r="H290" s="18"/>
      <c r="I290" s="18"/>
      <c r="J290" s="18"/>
      <c r="K290" s="18"/>
      <c r="L290" s="19"/>
      <c r="M290" s="18"/>
      <c r="N290" s="18"/>
      <c r="O290" s="18"/>
      <c r="P290" s="18"/>
      <c r="Q290" s="12"/>
      <c r="R290" s="12"/>
      <c r="S290" s="12"/>
      <c r="T290" s="12"/>
      <c r="U290" s="12"/>
      <c r="V290" s="12"/>
    </row>
    <row r="291" spans="1:22" ht="26.25" hidden="1">
      <c r="A291" s="162" t="s">
        <v>201</v>
      </c>
      <c r="B291" s="163">
        <v>200.02699041467844</v>
      </c>
      <c r="C291" s="153">
        <f t="shared" si="51"/>
        <v>0</v>
      </c>
      <c r="D291" s="131">
        <f t="shared" si="52"/>
        <v>17</v>
      </c>
      <c r="E291" s="19"/>
      <c r="F291" s="18"/>
      <c r="G291" s="18"/>
      <c r="H291" s="18"/>
      <c r="I291" s="18"/>
      <c r="J291" s="18"/>
      <c r="K291" s="18"/>
      <c r="L291" s="19"/>
      <c r="M291" s="18"/>
      <c r="N291" s="18"/>
      <c r="O291" s="18"/>
      <c r="P291" s="18"/>
      <c r="Q291" s="12"/>
      <c r="R291" s="12"/>
      <c r="S291" s="12"/>
      <c r="T291" s="12"/>
      <c r="U291" s="12"/>
      <c r="V291" s="12"/>
    </row>
    <row r="292" spans="1:22" ht="26.25" hidden="1">
      <c r="A292" s="162" t="s">
        <v>202</v>
      </c>
      <c r="B292" s="163">
        <v>413.84894568554165</v>
      </c>
      <c r="C292" s="153">
        <f t="shared" si="51"/>
        <v>0</v>
      </c>
      <c r="D292" s="131">
        <f t="shared" si="52"/>
        <v>18</v>
      </c>
      <c r="E292" s="19"/>
      <c r="F292" s="18"/>
      <c r="G292" s="18"/>
      <c r="H292" s="18"/>
      <c r="I292" s="18"/>
      <c r="J292" s="18"/>
      <c r="K292" s="18"/>
      <c r="L292" s="19"/>
      <c r="M292" s="18"/>
      <c r="N292" s="18"/>
      <c r="O292" s="18"/>
      <c r="P292" s="18"/>
      <c r="Q292" s="12"/>
      <c r="R292" s="12"/>
      <c r="S292" s="12"/>
      <c r="T292" s="12"/>
      <c r="U292" s="12"/>
      <c r="V292" s="12"/>
    </row>
    <row r="293" spans="1:22" hidden="1">
      <c r="A293" s="162" t="s">
        <v>203</v>
      </c>
      <c r="B293" s="163">
        <v>555.93708370424429</v>
      </c>
      <c r="C293" s="153">
        <f t="shared" si="51"/>
        <v>0</v>
      </c>
      <c r="D293" s="131">
        <f t="shared" si="52"/>
        <v>19</v>
      </c>
      <c r="E293" s="19"/>
      <c r="F293" s="18"/>
      <c r="G293" s="18"/>
      <c r="H293" s="18"/>
      <c r="I293" s="18"/>
      <c r="J293" s="18"/>
      <c r="K293" s="18"/>
      <c r="L293" s="19"/>
      <c r="M293" s="18"/>
      <c r="N293" s="18"/>
      <c r="O293" s="18"/>
      <c r="P293" s="18"/>
      <c r="Q293" s="12"/>
      <c r="R293" s="12"/>
      <c r="S293" s="12"/>
      <c r="T293" s="12"/>
      <c r="U293" s="12"/>
      <c r="V293" s="12"/>
    </row>
    <row r="294" spans="1:22" hidden="1">
      <c r="A294" s="162" t="s">
        <v>204</v>
      </c>
      <c r="B294" s="163">
        <v>231.75540958390332</v>
      </c>
      <c r="C294" s="153">
        <f t="shared" si="51"/>
        <v>0</v>
      </c>
      <c r="D294" s="131">
        <f t="shared" si="52"/>
        <v>20</v>
      </c>
      <c r="E294" s="19"/>
      <c r="F294" s="18"/>
      <c r="G294" s="18"/>
      <c r="H294" s="18"/>
      <c r="I294" s="18"/>
      <c r="J294" s="18"/>
      <c r="K294" s="18"/>
      <c r="L294" s="19"/>
      <c r="M294" s="18"/>
      <c r="N294" s="18"/>
      <c r="O294" s="18"/>
      <c r="P294" s="18"/>
      <c r="Q294" s="12"/>
      <c r="R294" s="12"/>
      <c r="S294" s="12"/>
      <c r="T294" s="12"/>
      <c r="U294" s="12"/>
      <c r="V294" s="12"/>
    </row>
    <row r="295" spans="1:22" hidden="1">
      <c r="A295" s="162" t="s">
        <v>206</v>
      </c>
      <c r="B295" s="163">
        <v>195.61260166069934</v>
      </c>
      <c r="C295" s="153">
        <f t="shared" si="51"/>
        <v>0</v>
      </c>
      <c r="D295" s="131">
        <f t="shared" si="52"/>
        <v>21</v>
      </c>
      <c r="E295" s="19"/>
      <c r="F295" s="18"/>
      <c r="G295" s="18"/>
      <c r="H295" s="18"/>
      <c r="I295" s="18"/>
      <c r="J295" s="18"/>
      <c r="K295" s="18"/>
      <c r="L295" s="19"/>
      <c r="M295" s="18"/>
      <c r="N295" s="18"/>
      <c r="O295" s="18"/>
      <c r="P295" s="18"/>
      <c r="Q295" s="12"/>
      <c r="R295" s="12"/>
      <c r="S295" s="12"/>
      <c r="T295" s="12"/>
      <c r="U295" s="12"/>
      <c r="V295" s="12"/>
    </row>
    <row r="296" spans="1:22" hidden="1">
      <c r="A296" s="162" t="s">
        <v>208</v>
      </c>
      <c r="B296" s="163">
        <v>219.61584051046077</v>
      </c>
      <c r="C296" s="153">
        <f t="shared" si="51"/>
        <v>0</v>
      </c>
      <c r="D296" s="131">
        <f t="shared" si="52"/>
        <v>22</v>
      </c>
      <c r="E296" s="19"/>
      <c r="F296" s="18"/>
      <c r="G296" s="18"/>
      <c r="H296" s="18"/>
      <c r="I296" s="18"/>
      <c r="J296" s="18"/>
      <c r="K296" s="18"/>
      <c r="L296" s="19"/>
      <c r="M296" s="18"/>
      <c r="N296" s="18"/>
      <c r="O296" s="18"/>
      <c r="P296" s="18"/>
      <c r="Q296" s="12"/>
      <c r="R296" s="12"/>
      <c r="S296" s="12"/>
      <c r="T296" s="12"/>
      <c r="U296" s="12"/>
      <c r="V296" s="12"/>
    </row>
    <row r="297" spans="1:22" hidden="1">
      <c r="A297" s="162" t="s">
        <v>209</v>
      </c>
      <c r="B297" s="163">
        <v>284.17627603740527</v>
      </c>
      <c r="C297" s="153">
        <f t="shared" si="51"/>
        <v>0</v>
      </c>
      <c r="D297" s="131">
        <f t="shared" si="52"/>
        <v>23</v>
      </c>
      <c r="E297" s="19"/>
      <c r="F297" s="18"/>
      <c r="G297" s="18"/>
      <c r="H297" s="18"/>
      <c r="I297" s="18"/>
      <c r="J297" s="18"/>
      <c r="K297" s="18"/>
      <c r="L297" s="19"/>
      <c r="M297" s="18"/>
      <c r="N297" s="18"/>
      <c r="O297" s="18"/>
      <c r="P297" s="18"/>
      <c r="Q297" s="12"/>
      <c r="R297" s="12"/>
      <c r="S297" s="12"/>
      <c r="T297" s="12"/>
      <c r="U297" s="12"/>
      <c r="V297" s="12"/>
    </row>
    <row r="298" spans="1:22" hidden="1">
      <c r="A298" s="162" t="s">
        <v>210</v>
      </c>
      <c r="B298" s="163">
        <v>150</v>
      </c>
      <c r="C298" s="153">
        <f t="shared" si="51"/>
        <v>0</v>
      </c>
      <c r="D298" s="131">
        <f t="shared" si="52"/>
        <v>24</v>
      </c>
      <c r="E298" s="19"/>
      <c r="F298" s="18"/>
      <c r="G298" s="18"/>
      <c r="H298" s="18"/>
      <c r="I298" s="18"/>
      <c r="J298" s="18"/>
      <c r="K298" s="18"/>
      <c r="L298" s="19"/>
      <c r="M298" s="18"/>
      <c r="N298" s="18"/>
      <c r="O298" s="18"/>
      <c r="P298" s="18"/>
      <c r="Q298" s="12"/>
      <c r="R298" s="12"/>
      <c r="S298" s="12"/>
      <c r="T298" s="12"/>
      <c r="U298" s="12"/>
      <c r="V298" s="12"/>
    </row>
    <row r="299" spans="1:22" hidden="1">
      <c r="A299" s="162" t="s">
        <v>212</v>
      </c>
      <c r="B299" s="163">
        <v>1779.550466447829</v>
      </c>
      <c r="C299" s="153">
        <f t="shared" si="51"/>
        <v>0</v>
      </c>
      <c r="D299" s="131">
        <f t="shared" si="52"/>
        <v>25</v>
      </c>
      <c r="E299" s="19"/>
      <c r="F299" s="18"/>
      <c r="G299" s="18"/>
      <c r="H299" s="18"/>
      <c r="I299" s="18"/>
      <c r="J299" s="18"/>
      <c r="K299" s="18"/>
      <c r="L299" s="19"/>
      <c r="M299" s="18"/>
      <c r="N299" s="18"/>
      <c r="O299" s="18"/>
      <c r="P299" s="18"/>
      <c r="Q299" s="12"/>
      <c r="R299" s="12"/>
      <c r="S299" s="12"/>
      <c r="T299" s="12"/>
      <c r="U299" s="12"/>
      <c r="V299" s="12"/>
    </row>
    <row r="300" spans="1:22" hidden="1">
      <c r="A300" s="162" t="s">
        <v>291</v>
      </c>
      <c r="B300" s="163">
        <v>150</v>
      </c>
      <c r="C300" s="153">
        <f t="shared" si="51"/>
        <v>0</v>
      </c>
      <c r="D300" s="131">
        <f t="shared" ref="D300" si="53">D299+1</f>
        <v>26</v>
      </c>
      <c r="E300" s="19"/>
      <c r="F300" s="18"/>
      <c r="G300" s="18"/>
      <c r="H300" s="18"/>
      <c r="I300" s="18"/>
      <c r="J300" s="18"/>
      <c r="K300" s="18"/>
      <c r="L300" s="19"/>
      <c r="M300" s="18"/>
      <c r="N300" s="18"/>
      <c r="O300" s="18"/>
      <c r="P300" s="18"/>
      <c r="Q300" s="12"/>
      <c r="R300" s="12"/>
      <c r="S300" s="12"/>
      <c r="T300" s="12"/>
      <c r="U300" s="12"/>
      <c r="V300" s="12"/>
    </row>
    <row r="301" spans="1:22" hidden="1">
      <c r="A301" s="179" t="s">
        <v>247</v>
      </c>
      <c r="B301" s="180"/>
      <c r="C301" s="153">
        <v>0</v>
      </c>
      <c r="D301" s="131">
        <v>1</v>
      </c>
      <c r="E301" s="19"/>
      <c r="F301" s="18"/>
      <c r="G301" s="18"/>
      <c r="H301" s="18"/>
      <c r="I301" s="18"/>
      <c r="J301" s="18"/>
      <c r="K301" s="18"/>
      <c r="L301" s="19"/>
      <c r="M301" s="18"/>
      <c r="N301" s="18"/>
      <c r="O301" s="18"/>
      <c r="P301" s="18"/>
      <c r="Q301" s="12"/>
      <c r="R301" s="12"/>
      <c r="S301" s="12"/>
      <c r="T301" s="12"/>
      <c r="U301" s="12"/>
      <c r="V301" s="12"/>
    </row>
    <row r="302" spans="1:22" hidden="1">
      <c r="A302" s="165" t="s">
        <v>213</v>
      </c>
      <c r="B302" s="166">
        <v>65</v>
      </c>
      <c r="C302" s="153">
        <f t="shared" ref="C302:C317" si="54">IF($E$390=D302,B302,0)</f>
        <v>0</v>
      </c>
      <c r="D302" s="131">
        <f t="shared" ref="D302:D332" si="55">D301+1</f>
        <v>2</v>
      </c>
      <c r="E302" s="128" t="s">
        <v>231</v>
      </c>
      <c r="F302" s="18"/>
      <c r="G302" s="18"/>
      <c r="H302" s="18"/>
      <c r="I302" s="18"/>
      <c r="J302" s="18"/>
      <c r="K302" s="18"/>
      <c r="L302" s="19"/>
      <c r="M302" s="18"/>
      <c r="N302" s="18"/>
      <c r="O302" s="18"/>
      <c r="P302" s="18"/>
      <c r="Q302" s="12"/>
      <c r="R302" s="12"/>
      <c r="S302" s="12"/>
      <c r="T302" s="12"/>
      <c r="U302" s="12"/>
      <c r="V302" s="12"/>
    </row>
    <row r="303" spans="1:22" hidden="1">
      <c r="A303" s="167" t="s">
        <v>326</v>
      </c>
      <c r="B303" s="166">
        <v>50</v>
      </c>
      <c r="C303" s="153">
        <f t="shared" si="54"/>
        <v>0</v>
      </c>
      <c r="D303" s="131">
        <f t="shared" si="55"/>
        <v>3</v>
      </c>
      <c r="E303" s="128" t="s">
        <v>232</v>
      </c>
      <c r="F303" s="18"/>
      <c r="G303" s="18"/>
      <c r="H303" s="18"/>
      <c r="I303" s="18"/>
      <c r="J303" s="18"/>
      <c r="K303" s="18"/>
      <c r="L303" s="19"/>
      <c r="M303" s="18"/>
      <c r="N303" s="18"/>
      <c r="O303" s="18"/>
      <c r="P303" s="18"/>
      <c r="Q303" s="12"/>
      <c r="R303" s="12"/>
      <c r="S303" s="12"/>
      <c r="T303" s="12"/>
      <c r="U303" s="12"/>
      <c r="V303" s="12"/>
    </row>
    <row r="304" spans="1:22" hidden="1">
      <c r="A304" s="167" t="s">
        <v>327</v>
      </c>
      <c r="B304" s="166">
        <v>150</v>
      </c>
      <c r="C304" s="153">
        <f t="shared" si="54"/>
        <v>0</v>
      </c>
      <c r="D304" s="131">
        <f t="shared" si="55"/>
        <v>4</v>
      </c>
      <c r="E304" s="128"/>
      <c r="F304" s="18"/>
      <c r="G304" s="18"/>
      <c r="H304" s="18"/>
      <c r="I304" s="18"/>
      <c r="J304" s="18"/>
      <c r="K304" s="18"/>
      <c r="L304" s="19"/>
      <c r="M304" s="18"/>
      <c r="N304" s="18"/>
      <c r="O304" s="18"/>
      <c r="P304" s="18"/>
      <c r="Q304" s="12"/>
      <c r="R304" s="12"/>
      <c r="S304" s="12"/>
      <c r="T304" s="12"/>
      <c r="U304" s="12"/>
      <c r="V304" s="12"/>
    </row>
    <row r="305" spans="1:22" hidden="1">
      <c r="A305" s="165" t="s">
        <v>214</v>
      </c>
      <c r="B305" s="166" t="s">
        <v>215</v>
      </c>
      <c r="C305" s="153">
        <f t="shared" si="54"/>
        <v>0</v>
      </c>
      <c r="D305" s="131">
        <f t="shared" si="55"/>
        <v>5</v>
      </c>
      <c r="E305" s="193" t="s">
        <v>346</v>
      </c>
      <c r="F305" s="18"/>
      <c r="G305" s="18"/>
      <c r="H305" s="18"/>
      <c r="I305" s="18"/>
      <c r="J305" s="18"/>
      <c r="K305" s="18"/>
      <c r="L305" s="19"/>
      <c r="M305" s="18"/>
      <c r="N305" s="18"/>
      <c r="O305" s="18"/>
      <c r="P305" s="18"/>
      <c r="Q305" s="12"/>
      <c r="R305" s="12"/>
      <c r="S305" s="12"/>
      <c r="T305" s="12"/>
      <c r="U305" s="12"/>
      <c r="V305" s="12"/>
    </row>
    <row r="306" spans="1:22" hidden="1">
      <c r="A306" s="162" t="s">
        <v>181</v>
      </c>
      <c r="B306" s="163">
        <v>225</v>
      </c>
      <c r="C306" s="153">
        <f t="shared" si="54"/>
        <v>0</v>
      </c>
      <c r="D306" s="131">
        <f t="shared" si="55"/>
        <v>6</v>
      </c>
      <c r="E306" s="27" t="s">
        <v>296</v>
      </c>
      <c r="F306" s="18"/>
      <c r="G306" s="18"/>
      <c r="H306" s="18"/>
      <c r="I306" s="18"/>
      <c r="J306" s="18"/>
      <c r="K306" s="18"/>
      <c r="L306" s="19"/>
      <c r="M306" s="18"/>
      <c r="N306" s="18"/>
      <c r="O306" s="18"/>
      <c r="P306" s="18"/>
      <c r="Q306" s="12"/>
      <c r="R306" s="12"/>
      <c r="S306" s="12"/>
      <c r="T306" s="12"/>
      <c r="U306" s="12"/>
      <c r="V306" s="12"/>
    </row>
    <row r="307" spans="1:22" hidden="1">
      <c r="A307" s="162" t="s">
        <v>183</v>
      </c>
      <c r="B307" s="163">
        <v>150</v>
      </c>
      <c r="C307" s="153">
        <f t="shared" si="54"/>
        <v>0</v>
      </c>
      <c r="D307" s="131">
        <f t="shared" si="55"/>
        <v>7</v>
      </c>
      <c r="E307" s="19" t="s">
        <v>277</v>
      </c>
      <c r="F307" s="18"/>
      <c r="G307" s="18"/>
      <c r="H307" s="18"/>
      <c r="I307" s="18"/>
      <c r="J307" s="18"/>
      <c r="K307" s="18"/>
      <c r="L307" s="19"/>
      <c r="M307" s="18"/>
      <c r="N307" s="18"/>
      <c r="O307" s="18"/>
      <c r="P307" s="18"/>
      <c r="Q307" s="12"/>
      <c r="R307" s="12"/>
      <c r="S307" s="12"/>
      <c r="T307" s="12"/>
      <c r="U307" s="12"/>
      <c r="V307" s="12"/>
    </row>
    <row r="308" spans="1:22" hidden="1">
      <c r="A308" s="162" t="s">
        <v>184</v>
      </c>
      <c r="B308" s="163">
        <v>225</v>
      </c>
      <c r="C308" s="153">
        <f t="shared" si="54"/>
        <v>0</v>
      </c>
      <c r="D308" s="131">
        <f t="shared" si="55"/>
        <v>8</v>
      </c>
      <c r="E308" s="19" t="s">
        <v>278</v>
      </c>
      <c r="F308" s="18"/>
      <c r="G308" s="18"/>
      <c r="H308" s="18"/>
      <c r="I308" s="18"/>
      <c r="J308" s="18"/>
      <c r="K308" s="18"/>
      <c r="L308" s="19"/>
      <c r="M308" s="18"/>
      <c r="N308" s="18"/>
      <c r="O308" s="18"/>
      <c r="P308" s="18"/>
      <c r="Q308" s="12"/>
      <c r="R308" s="12"/>
      <c r="S308" s="12"/>
      <c r="T308" s="12"/>
      <c r="U308" s="12"/>
      <c r="V308" s="12"/>
    </row>
    <row r="309" spans="1:22" hidden="1">
      <c r="A309" s="162" t="s">
        <v>186</v>
      </c>
      <c r="B309" s="163">
        <v>226.23742364142944</v>
      </c>
      <c r="C309" s="153">
        <f t="shared" si="54"/>
        <v>0</v>
      </c>
      <c r="D309" s="131">
        <f t="shared" si="55"/>
        <v>9</v>
      </c>
      <c r="E309" s="19" t="s">
        <v>279</v>
      </c>
      <c r="F309" s="18"/>
      <c r="G309" s="18"/>
      <c r="H309" s="18"/>
      <c r="I309" s="18"/>
      <c r="J309" s="18"/>
      <c r="K309" s="18"/>
      <c r="L309" s="19"/>
      <c r="M309" s="18"/>
      <c r="N309" s="18"/>
      <c r="O309" s="18"/>
      <c r="P309" s="18"/>
      <c r="Q309" s="12"/>
      <c r="R309" s="12"/>
      <c r="S309" s="12"/>
      <c r="T309" s="12"/>
      <c r="U309" s="12"/>
      <c r="V309" s="12"/>
    </row>
    <row r="310" spans="1:22" hidden="1">
      <c r="A310" s="162" t="s">
        <v>187</v>
      </c>
      <c r="B310" s="163">
        <v>131.05216613375484</v>
      </c>
      <c r="C310" s="153">
        <f t="shared" si="54"/>
        <v>0</v>
      </c>
      <c r="D310" s="131">
        <f t="shared" si="55"/>
        <v>10</v>
      </c>
      <c r="E310" s="19" t="s">
        <v>280</v>
      </c>
      <c r="F310" s="18"/>
      <c r="G310" s="18"/>
      <c r="H310" s="18"/>
      <c r="I310" s="18"/>
      <c r="J310" s="18"/>
      <c r="K310" s="18"/>
      <c r="L310" s="19"/>
      <c r="M310" s="18"/>
      <c r="N310" s="18"/>
      <c r="O310" s="18"/>
      <c r="P310" s="18"/>
      <c r="Q310" s="12"/>
      <c r="R310" s="12"/>
      <c r="S310" s="12"/>
      <c r="T310" s="12"/>
      <c r="U310" s="12"/>
      <c r="V310" s="12"/>
    </row>
    <row r="311" spans="1:22" hidden="1">
      <c r="A311" s="162" t="s">
        <v>188</v>
      </c>
      <c r="B311" s="163">
        <v>206.37267424852345</v>
      </c>
      <c r="C311" s="153">
        <f t="shared" si="54"/>
        <v>0</v>
      </c>
      <c r="D311" s="131">
        <f t="shared" si="55"/>
        <v>11</v>
      </c>
      <c r="E311" s="19" t="s">
        <v>281</v>
      </c>
      <c r="F311" s="18"/>
      <c r="G311" s="18"/>
      <c r="H311" s="18"/>
      <c r="I311" s="18"/>
      <c r="J311" s="18"/>
      <c r="K311" s="18"/>
      <c r="L311" s="19"/>
      <c r="M311" s="18"/>
      <c r="N311" s="18"/>
      <c r="O311" s="18"/>
      <c r="P311" s="18"/>
      <c r="Q311" s="12"/>
      <c r="R311" s="12"/>
      <c r="S311" s="12"/>
      <c r="T311" s="12"/>
      <c r="U311" s="12"/>
      <c r="V311" s="12"/>
    </row>
    <row r="312" spans="1:22" hidden="1">
      <c r="A312" s="162" t="s">
        <v>190</v>
      </c>
      <c r="B312" s="163">
        <v>358.66908626080277</v>
      </c>
      <c r="C312" s="153">
        <f t="shared" si="54"/>
        <v>0</v>
      </c>
      <c r="D312" s="131">
        <f t="shared" si="55"/>
        <v>12</v>
      </c>
      <c r="E312" s="19" t="s">
        <v>288</v>
      </c>
      <c r="F312" s="18"/>
      <c r="G312" s="18"/>
      <c r="H312" s="18"/>
      <c r="I312" s="18"/>
      <c r="J312" s="18"/>
      <c r="K312" s="18"/>
      <c r="L312" s="19"/>
      <c r="M312" s="18"/>
      <c r="N312" s="18"/>
      <c r="O312" s="18"/>
      <c r="P312" s="18"/>
      <c r="Q312" s="12"/>
      <c r="R312" s="12"/>
      <c r="S312" s="12"/>
      <c r="T312" s="12"/>
      <c r="U312" s="12"/>
      <c r="V312" s="12"/>
    </row>
    <row r="313" spans="1:22" hidden="1">
      <c r="A313" s="162" t="s">
        <v>192</v>
      </c>
      <c r="B313" s="163">
        <v>150</v>
      </c>
      <c r="C313" s="153">
        <f t="shared" si="54"/>
        <v>0</v>
      </c>
      <c r="D313" s="131">
        <f t="shared" si="55"/>
        <v>13</v>
      </c>
      <c r="E313" s="19" t="s">
        <v>289</v>
      </c>
      <c r="F313" s="18"/>
      <c r="G313" s="18"/>
      <c r="H313" s="18"/>
      <c r="I313" s="18"/>
      <c r="J313" s="18"/>
      <c r="K313" s="18"/>
      <c r="L313" s="19"/>
      <c r="M313" s="18"/>
      <c r="N313" s="18"/>
      <c r="O313" s="18"/>
      <c r="P313" s="18"/>
      <c r="Q313" s="12"/>
      <c r="R313" s="12"/>
      <c r="S313" s="12"/>
      <c r="T313" s="12"/>
      <c r="U313" s="12"/>
      <c r="V313" s="12"/>
    </row>
    <row r="314" spans="1:22" hidden="1">
      <c r="A314" s="162" t="s">
        <v>194</v>
      </c>
      <c r="B314" s="163">
        <v>150</v>
      </c>
      <c r="C314" s="153">
        <f t="shared" si="54"/>
        <v>0</v>
      </c>
      <c r="D314" s="131">
        <f t="shared" si="55"/>
        <v>14</v>
      </c>
      <c r="E314" s="19" t="s">
        <v>292</v>
      </c>
      <c r="F314" s="18"/>
      <c r="G314" s="18"/>
      <c r="H314" s="18"/>
      <c r="I314" s="18"/>
      <c r="J314" s="18"/>
      <c r="K314" s="18"/>
      <c r="L314" s="19"/>
      <c r="M314" s="18"/>
      <c r="N314" s="18"/>
      <c r="O314" s="18"/>
      <c r="P314" s="18"/>
      <c r="Q314" s="12"/>
      <c r="R314" s="12"/>
      <c r="S314" s="12"/>
      <c r="T314" s="12"/>
      <c r="U314" s="12"/>
      <c r="V314" s="12"/>
    </row>
    <row r="315" spans="1:22" hidden="1">
      <c r="A315" s="162" t="s">
        <v>196</v>
      </c>
      <c r="B315" s="163">
        <v>200</v>
      </c>
      <c r="C315" s="153">
        <f t="shared" si="54"/>
        <v>0</v>
      </c>
      <c r="D315" s="131">
        <f t="shared" si="55"/>
        <v>15</v>
      </c>
      <c r="E315" s="19" t="s">
        <v>295</v>
      </c>
      <c r="F315" s="18"/>
      <c r="G315" s="18"/>
      <c r="H315" s="18"/>
      <c r="I315" s="18"/>
      <c r="J315" s="18"/>
      <c r="K315" s="18"/>
      <c r="L315" s="19"/>
      <c r="M315" s="18"/>
      <c r="N315" s="18"/>
      <c r="O315" s="18"/>
      <c r="P315" s="18"/>
      <c r="Q315" s="12"/>
      <c r="R315" s="12"/>
      <c r="S315" s="12"/>
      <c r="T315" s="12"/>
      <c r="U315" s="12"/>
      <c r="V315" s="12"/>
    </row>
    <row r="316" spans="1:22" hidden="1">
      <c r="A316" s="162" t="s">
        <v>198</v>
      </c>
      <c r="B316" s="163">
        <v>100</v>
      </c>
      <c r="C316" s="153">
        <f t="shared" si="54"/>
        <v>0</v>
      </c>
      <c r="D316" s="131">
        <f t="shared" si="55"/>
        <v>16</v>
      </c>
      <c r="E316" s="19" t="s">
        <v>300</v>
      </c>
      <c r="F316" s="18"/>
      <c r="G316" s="18"/>
      <c r="H316" s="18"/>
      <c r="I316" s="18"/>
      <c r="J316" s="18"/>
      <c r="K316" s="18"/>
      <c r="L316" s="19"/>
      <c r="M316" s="18"/>
      <c r="N316" s="18"/>
      <c r="O316" s="18"/>
      <c r="P316" s="18"/>
      <c r="Q316" s="12"/>
      <c r="R316" s="12"/>
      <c r="S316" s="12"/>
      <c r="T316" s="12"/>
      <c r="U316" s="12"/>
      <c r="V316" s="12"/>
    </row>
    <row r="317" spans="1:22" hidden="1">
      <c r="A317" s="168" t="s">
        <v>273</v>
      </c>
      <c r="B317" s="163">
        <v>75</v>
      </c>
      <c r="C317" s="153">
        <f t="shared" si="54"/>
        <v>0</v>
      </c>
      <c r="D317" s="131">
        <f t="shared" si="55"/>
        <v>17</v>
      </c>
      <c r="E317" s="19" t="s">
        <v>274</v>
      </c>
      <c r="F317" s="18"/>
      <c r="G317" s="18"/>
      <c r="H317" s="18"/>
      <c r="I317" s="18"/>
      <c r="J317" s="18"/>
      <c r="K317" s="18"/>
      <c r="L317" s="19"/>
      <c r="M317" s="18"/>
      <c r="N317" s="18"/>
      <c r="O317" s="18"/>
      <c r="P317" s="18"/>
      <c r="Q317" s="12"/>
      <c r="R317" s="12"/>
      <c r="S317" s="12"/>
      <c r="T317" s="12"/>
      <c r="U317" s="12"/>
      <c r="V317" s="12"/>
    </row>
    <row r="318" spans="1:22" hidden="1">
      <c r="A318" s="168" t="s">
        <v>260</v>
      </c>
      <c r="B318" s="163">
        <v>65</v>
      </c>
      <c r="C318" s="153">
        <f t="shared" ref="C318:C330" si="56">IF($E$390=D318,B318,0)</f>
        <v>0</v>
      </c>
      <c r="D318" s="131">
        <f t="shared" si="55"/>
        <v>18</v>
      </c>
      <c r="E318" s="19" t="s">
        <v>303</v>
      </c>
      <c r="F318" s="18"/>
      <c r="G318" s="18"/>
      <c r="H318" s="18"/>
      <c r="I318" s="18"/>
      <c r="J318" s="18"/>
      <c r="K318" s="18"/>
      <c r="L318" s="19"/>
      <c r="M318" s="18"/>
      <c r="N318" s="18"/>
      <c r="O318" s="18"/>
      <c r="P318" s="18"/>
      <c r="Q318" s="12"/>
      <c r="R318" s="12"/>
      <c r="S318" s="12"/>
      <c r="T318" s="12"/>
      <c r="U318" s="12"/>
      <c r="V318" s="12"/>
    </row>
    <row r="319" spans="1:22" hidden="1">
      <c r="A319" s="168" t="s">
        <v>205</v>
      </c>
      <c r="B319" s="163">
        <v>131.05216613375484</v>
      </c>
      <c r="C319" s="153">
        <f t="shared" si="56"/>
        <v>0</v>
      </c>
      <c r="D319" s="131">
        <f t="shared" si="55"/>
        <v>19</v>
      </c>
      <c r="E319" s="19" t="s">
        <v>308</v>
      </c>
      <c r="F319" s="18"/>
      <c r="G319" s="18"/>
      <c r="H319" s="18"/>
      <c r="I319" s="18"/>
      <c r="J319" s="18"/>
      <c r="K319" s="18"/>
      <c r="L319" s="19"/>
      <c r="M319" s="18"/>
      <c r="N319" s="18"/>
      <c r="O319" s="18"/>
      <c r="P319" s="18"/>
      <c r="Q319" s="12"/>
      <c r="R319" s="12"/>
      <c r="S319" s="12"/>
      <c r="T319" s="12"/>
      <c r="U319" s="12"/>
      <c r="V319" s="12"/>
    </row>
    <row r="320" spans="1:22" hidden="1">
      <c r="A320" s="168" t="s">
        <v>207</v>
      </c>
      <c r="B320" s="163">
        <v>75</v>
      </c>
      <c r="C320" s="153">
        <f t="shared" si="56"/>
        <v>0</v>
      </c>
      <c r="D320" s="131">
        <f t="shared" si="55"/>
        <v>20</v>
      </c>
      <c r="E320" s="19" t="s">
        <v>307</v>
      </c>
      <c r="F320" s="18"/>
      <c r="G320" s="18"/>
      <c r="H320" s="18"/>
      <c r="I320" s="18"/>
      <c r="J320" s="18"/>
      <c r="K320" s="18"/>
      <c r="L320" s="19"/>
      <c r="M320" s="18"/>
      <c r="N320" s="18"/>
      <c r="O320" s="18"/>
      <c r="P320" s="18"/>
      <c r="Q320" s="12"/>
      <c r="R320" s="12"/>
      <c r="S320" s="12"/>
      <c r="T320" s="12"/>
      <c r="U320" s="12"/>
      <c r="V320" s="12"/>
    </row>
    <row r="321" spans="1:22" hidden="1">
      <c r="A321" s="168" t="s">
        <v>237</v>
      </c>
      <c r="B321" s="163">
        <v>124.15</v>
      </c>
      <c r="C321" s="153">
        <f t="shared" si="56"/>
        <v>0</v>
      </c>
      <c r="D321" s="131">
        <f t="shared" si="55"/>
        <v>21</v>
      </c>
      <c r="E321" s="19" t="s">
        <v>315</v>
      </c>
      <c r="F321" s="18"/>
      <c r="G321" s="18"/>
      <c r="H321" s="18"/>
      <c r="I321" s="18"/>
      <c r="J321" s="18"/>
      <c r="K321" s="18"/>
      <c r="L321" s="19"/>
      <c r="M321" s="18"/>
      <c r="N321" s="18"/>
      <c r="O321" s="18"/>
      <c r="P321" s="18"/>
      <c r="Q321" s="12"/>
      <c r="R321" s="12"/>
      <c r="S321" s="12"/>
      <c r="T321" s="12"/>
      <c r="U321" s="12"/>
      <c r="V321" s="12"/>
    </row>
    <row r="322" spans="1:22" hidden="1">
      <c r="A322" s="168" t="s">
        <v>257</v>
      </c>
      <c r="B322" s="163">
        <v>75</v>
      </c>
      <c r="C322" s="153">
        <f t="shared" si="56"/>
        <v>0</v>
      </c>
      <c r="D322" s="131">
        <f t="shared" si="55"/>
        <v>22</v>
      </c>
      <c r="E322" s="19" t="s">
        <v>311</v>
      </c>
      <c r="F322" s="18"/>
      <c r="G322" s="18"/>
      <c r="H322" s="18"/>
      <c r="I322" s="18"/>
      <c r="J322" s="18"/>
      <c r="K322" s="18"/>
      <c r="L322" s="19"/>
      <c r="M322" s="18"/>
      <c r="N322" s="18"/>
      <c r="O322" s="18"/>
      <c r="P322" s="18"/>
      <c r="Q322" s="12"/>
      <c r="R322" s="12"/>
      <c r="S322" s="12"/>
      <c r="T322" s="12"/>
      <c r="U322" s="12"/>
      <c r="V322" s="12"/>
    </row>
    <row r="323" spans="1:22" hidden="1">
      <c r="A323" s="168" t="s">
        <v>211</v>
      </c>
      <c r="B323" s="163">
        <v>25</v>
      </c>
      <c r="C323" s="153">
        <f t="shared" si="56"/>
        <v>0</v>
      </c>
      <c r="D323" s="131">
        <f t="shared" si="55"/>
        <v>23</v>
      </c>
      <c r="E323" s="19" t="s">
        <v>312</v>
      </c>
      <c r="F323" s="18"/>
      <c r="G323" s="18"/>
      <c r="H323" s="18"/>
      <c r="I323" s="18"/>
      <c r="J323" s="18"/>
      <c r="K323" s="18"/>
      <c r="L323" s="19"/>
      <c r="M323" s="18"/>
      <c r="N323" s="18"/>
      <c r="O323" s="18"/>
      <c r="P323" s="18"/>
      <c r="Q323" s="12"/>
      <c r="R323" s="12"/>
      <c r="S323" s="12"/>
      <c r="T323" s="12"/>
      <c r="U323" s="12"/>
      <c r="V323" s="12"/>
    </row>
    <row r="324" spans="1:22" hidden="1">
      <c r="A324" s="168" t="s">
        <v>240</v>
      </c>
      <c r="B324" s="163">
        <v>100</v>
      </c>
      <c r="C324" s="153">
        <f t="shared" si="56"/>
        <v>0</v>
      </c>
      <c r="D324" s="131">
        <f t="shared" si="55"/>
        <v>24</v>
      </c>
      <c r="E324" s="19" t="s">
        <v>314</v>
      </c>
      <c r="F324" s="18"/>
      <c r="G324" s="18"/>
      <c r="H324" s="18"/>
      <c r="I324" s="18"/>
      <c r="J324" s="18"/>
      <c r="K324" s="18"/>
      <c r="L324" s="19"/>
      <c r="M324" s="18"/>
      <c r="N324" s="18"/>
      <c r="O324" s="18"/>
      <c r="P324" s="18"/>
      <c r="Q324" s="12"/>
      <c r="R324" s="12"/>
      <c r="S324" s="12"/>
      <c r="T324" s="12"/>
      <c r="U324" s="12"/>
      <c r="V324" s="12"/>
    </row>
    <row r="325" spans="1:22" hidden="1">
      <c r="A325" s="168" t="s">
        <v>251</v>
      </c>
      <c r="B325" s="163">
        <v>15</v>
      </c>
      <c r="C325" s="153">
        <f t="shared" si="56"/>
        <v>0</v>
      </c>
      <c r="D325" s="131">
        <f t="shared" si="55"/>
        <v>25</v>
      </c>
      <c r="E325" s="19" t="s">
        <v>316</v>
      </c>
      <c r="F325" s="18"/>
      <c r="G325" s="18"/>
      <c r="H325" s="18"/>
      <c r="I325" s="18"/>
      <c r="J325" s="18"/>
      <c r="K325" s="18"/>
      <c r="L325" s="19"/>
      <c r="M325" s="18"/>
      <c r="N325" s="18"/>
      <c r="O325" s="18"/>
      <c r="P325" s="18"/>
      <c r="Q325" s="12"/>
      <c r="R325" s="12"/>
      <c r="S325" s="12"/>
      <c r="T325" s="12"/>
      <c r="U325" s="12"/>
      <c r="V325" s="12"/>
    </row>
    <row r="326" spans="1:22" hidden="1">
      <c r="A326" s="168" t="s">
        <v>241</v>
      </c>
      <c r="B326" s="163">
        <v>75</v>
      </c>
      <c r="C326" s="153">
        <f t="shared" si="56"/>
        <v>0</v>
      </c>
      <c r="D326" s="131">
        <f t="shared" si="55"/>
        <v>26</v>
      </c>
      <c r="E326" s="19" t="s">
        <v>317</v>
      </c>
      <c r="F326" s="18"/>
      <c r="G326" s="18"/>
      <c r="H326" s="18"/>
      <c r="I326" s="18"/>
      <c r="J326" s="18"/>
      <c r="K326" s="18"/>
      <c r="L326" s="19"/>
      <c r="M326" s="18"/>
      <c r="N326" s="18"/>
      <c r="O326" s="18"/>
      <c r="P326" s="18"/>
      <c r="Q326" s="12"/>
      <c r="R326" s="12"/>
      <c r="S326" s="12"/>
      <c r="T326" s="12"/>
      <c r="U326" s="12"/>
      <c r="V326" s="12"/>
    </row>
    <row r="327" spans="1:22" hidden="1">
      <c r="A327" s="168" t="s">
        <v>256</v>
      </c>
      <c r="B327" s="163">
        <v>300</v>
      </c>
      <c r="C327" s="153">
        <f t="shared" si="56"/>
        <v>0</v>
      </c>
      <c r="D327" s="131">
        <f t="shared" si="55"/>
        <v>27</v>
      </c>
      <c r="E327" s="19" t="s">
        <v>320</v>
      </c>
      <c r="F327" s="18"/>
      <c r="G327" s="18"/>
      <c r="H327" s="18"/>
      <c r="I327" s="18"/>
      <c r="J327" s="18"/>
      <c r="K327" s="18"/>
      <c r="L327" s="19"/>
      <c r="M327" s="18"/>
      <c r="N327" s="18"/>
      <c r="O327" s="18"/>
      <c r="P327" s="18"/>
      <c r="Q327" s="12"/>
      <c r="R327" s="12"/>
      <c r="S327" s="12"/>
      <c r="T327" s="12"/>
      <c r="U327" s="12"/>
      <c r="V327" s="12"/>
    </row>
    <row r="328" spans="1:22" hidden="1">
      <c r="A328" s="169" t="s">
        <v>331</v>
      </c>
      <c r="B328" s="163">
        <v>150</v>
      </c>
      <c r="C328" s="153">
        <f t="shared" si="56"/>
        <v>0</v>
      </c>
      <c r="D328" s="131">
        <f t="shared" si="55"/>
        <v>28</v>
      </c>
      <c r="E328" s="19" t="s">
        <v>332</v>
      </c>
      <c r="F328" s="18"/>
      <c r="G328" s="18"/>
      <c r="H328" s="18"/>
      <c r="I328" s="18"/>
      <c r="J328" s="18"/>
      <c r="K328" s="18"/>
      <c r="L328" s="19"/>
      <c r="M328" s="18"/>
      <c r="N328" s="18"/>
      <c r="O328" s="18"/>
      <c r="P328" s="18"/>
      <c r="Q328" s="12"/>
      <c r="R328" s="12"/>
      <c r="S328" s="12"/>
      <c r="T328" s="12"/>
      <c r="U328" s="12"/>
      <c r="V328" s="12"/>
    </row>
    <row r="329" spans="1:22" hidden="1">
      <c r="A329" s="168" t="s">
        <v>258</v>
      </c>
      <c r="B329" s="163">
        <v>150</v>
      </c>
      <c r="C329" s="153">
        <f t="shared" si="56"/>
        <v>0</v>
      </c>
      <c r="D329" s="131">
        <f t="shared" si="55"/>
        <v>29</v>
      </c>
      <c r="E329" s="19" t="s">
        <v>321</v>
      </c>
      <c r="F329" s="18"/>
      <c r="G329" s="18"/>
      <c r="H329" s="18"/>
      <c r="I329" s="18"/>
      <c r="J329" s="18"/>
      <c r="K329" s="18"/>
      <c r="L329" s="19"/>
      <c r="M329" s="18"/>
      <c r="N329" s="18"/>
      <c r="O329" s="18"/>
      <c r="P329" s="18"/>
      <c r="Q329" s="12"/>
      <c r="R329" s="12"/>
      <c r="S329" s="12"/>
      <c r="T329" s="12"/>
      <c r="U329" s="12"/>
      <c r="V329" s="12"/>
    </row>
    <row r="330" spans="1:22" hidden="1">
      <c r="A330" s="169" t="s">
        <v>349</v>
      </c>
      <c r="B330" s="163">
        <v>50</v>
      </c>
      <c r="C330" s="153">
        <f t="shared" si="56"/>
        <v>0</v>
      </c>
      <c r="D330" s="131">
        <f t="shared" si="55"/>
        <v>30</v>
      </c>
      <c r="E330" s="19"/>
      <c r="F330" s="18"/>
      <c r="G330" s="18"/>
      <c r="H330" s="18"/>
      <c r="I330" s="18"/>
      <c r="J330" s="18"/>
      <c r="K330" s="18"/>
      <c r="L330" s="19"/>
      <c r="M330" s="18"/>
      <c r="N330" s="18"/>
      <c r="O330" s="18"/>
      <c r="P330" s="18"/>
      <c r="Q330" s="12"/>
      <c r="R330" s="12"/>
      <c r="S330" s="12"/>
      <c r="T330" s="12"/>
      <c r="U330" s="12"/>
      <c r="V330" s="12"/>
    </row>
    <row r="331" spans="1:22" hidden="1">
      <c r="A331" s="168"/>
      <c r="B331" s="163">
        <v>0</v>
      </c>
      <c r="C331" s="153">
        <v>0</v>
      </c>
      <c r="D331" s="131"/>
      <c r="E331" s="19" t="s">
        <v>324</v>
      </c>
      <c r="F331" s="18"/>
      <c r="G331" s="18"/>
      <c r="H331" s="18"/>
      <c r="I331" s="18"/>
      <c r="J331" s="18"/>
      <c r="K331" s="18"/>
      <c r="L331" s="19"/>
      <c r="M331" s="18"/>
      <c r="N331" s="18"/>
      <c r="O331" s="18"/>
      <c r="P331" s="18"/>
      <c r="Q331" s="12"/>
      <c r="R331" s="12"/>
      <c r="S331" s="12"/>
      <c r="T331" s="12"/>
      <c r="U331" s="12"/>
      <c r="V331" s="12"/>
    </row>
    <row r="332" spans="1:22" hidden="1">
      <c r="A332" s="181" t="s">
        <v>246</v>
      </c>
      <c r="B332" s="182">
        <v>0</v>
      </c>
      <c r="C332" s="153">
        <v>0</v>
      </c>
      <c r="D332" s="131">
        <f t="shared" si="55"/>
        <v>1</v>
      </c>
      <c r="E332" s="19" t="s">
        <v>334</v>
      </c>
      <c r="F332" s="18"/>
      <c r="G332" s="18"/>
      <c r="H332" s="18"/>
      <c r="I332" s="18"/>
      <c r="J332" s="18"/>
      <c r="K332" s="18"/>
      <c r="L332" s="19"/>
      <c r="M332" s="18"/>
      <c r="N332" s="18"/>
      <c r="O332" s="18"/>
      <c r="P332" s="18"/>
      <c r="Q332" s="12"/>
      <c r="R332" s="12"/>
      <c r="S332" s="12"/>
      <c r="T332" s="12"/>
      <c r="U332" s="12"/>
      <c r="V332" s="12"/>
    </row>
    <row r="333" spans="1:22" hidden="1">
      <c r="A333" s="169" t="s">
        <v>299</v>
      </c>
      <c r="B333" s="163">
        <v>125</v>
      </c>
      <c r="C333" s="153">
        <f t="shared" ref="C333:C339" si="57">IF($E$387=D333,B333,0)</f>
        <v>0</v>
      </c>
      <c r="D333" s="131">
        <f>D332+1</f>
        <v>2</v>
      </c>
      <c r="E333" s="19" t="s">
        <v>333</v>
      </c>
      <c r="F333" s="18"/>
      <c r="G333" s="18"/>
      <c r="H333" s="18"/>
      <c r="I333" s="18"/>
      <c r="J333" s="18"/>
      <c r="K333" s="18"/>
      <c r="L333" s="19"/>
      <c r="M333" s="18"/>
      <c r="N333" s="18"/>
      <c r="O333" s="18"/>
      <c r="P333" s="18"/>
      <c r="Q333" s="12"/>
      <c r="R333" s="12"/>
      <c r="S333" s="12"/>
      <c r="T333" s="12"/>
      <c r="U333" s="12"/>
      <c r="V333" s="12"/>
    </row>
    <row r="334" spans="1:22" hidden="1">
      <c r="A334" s="168" t="s">
        <v>261</v>
      </c>
      <c r="B334" s="163">
        <v>50</v>
      </c>
      <c r="C334" s="153">
        <f t="shared" si="57"/>
        <v>0</v>
      </c>
      <c r="D334" s="131">
        <f t="shared" ref="D334:D359" si="58">D333+1</f>
        <v>3</v>
      </c>
      <c r="E334" s="19" t="s">
        <v>336</v>
      </c>
      <c r="F334" s="18"/>
      <c r="G334" s="18"/>
      <c r="H334" s="18"/>
      <c r="I334" s="18"/>
      <c r="J334" s="18"/>
      <c r="K334" s="18"/>
      <c r="L334" s="19"/>
      <c r="M334" s="18"/>
      <c r="N334" s="18"/>
      <c r="O334" s="18"/>
      <c r="P334" s="18"/>
      <c r="Q334" s="12"/>
      <c r="R334" s="12"/>
      <c r="S334" s="12"/>
      <c r="T334" s="12"/>
      <c r="U334" s="12"/>
      <c r="V334" s="12"/>
    </row>
    <row r="335" spans="1:22" hidden="1">
      <c r="A335" s="168" t="s">
        <v>262</v>
      </c>
      <c r="B335" s="163">
        <v>200</v>
      </c>
      <c r="C335" s="153">
        <f t="shared" si="57"/>
        <v>0</v>
      </c>
      <c r="D335" s="131">
        <f t="shared" si="58"/>
        <v>4</v>
      </c>
      <c r="E335" s="19" t="s">
        <v>337</v>
      </c>
      <c r="F335" s="18"/>
      <c r="G335" s="18"/>
      <c r="H335" s="18"/>
      <c r="I335" s="18"/>
      <c r="J335" s="18"/>
      <c r="K335" s="18"/>
      <c r="L335" s="19"/>
      <c r="M335" s="18"/>
      <c r="N335" s="18"/>
      <c r="O335" s="18"/>
      <c r="P335" s="18"/>
      <c r="Q335" s="12"/>
      <c r="R335" s="12"/>
      <c r="S335" s="12"/>
      <c r="T335" s="12"/>
      <c r="U335" s="12"/>
      <c r="V335" s="12"/>
    </row>
    <row r="336" spans="1:22" hidden="1">
      <c r="A336" s="168" t="s">
        <v>263</v>
      </c>
      <c r="B336" s="163">
        <v>75</v>
      </c>
      <c r="C336" s="153">
        <f t="shared" si="57"/>
        <v>0</v>
      </c>
      <c r="D336" s="131">
        <f t="shared" si="58"/>
        <v>5</v>
      </c>
      <c r="E336" s="19" t="s">
        <v>338</v>
      </c>
      <c r="F336" s="18"/>
      <c r="G336" s="18"/>
      <c r="H336" s="18"/>
      <c r="I336" s="18"/>
      <c r="J336" s="18"/>
      <c r="K336" s="18"/>
      <c r="L336" s="19"/>
      <c r="M336" s="18"/>
      <c r="N336" s="18"/>
      <c r="O336" s="18"/>
      <c r="P336" s="18"/>
      <c r="Q336" s="12"/>
      <c r="R336" s="12"/>
      <c r="S336" s="12"/>
      <c r="T336" s="12"/>
      <c r="U336" s="12"/>
      <c r="V336" s="12"/>
    </row>
    <row r="337" spans="1:22" hidden="1">
      <c r="A337" s="169" t="s">
        <v>305</v>
      </c>
      <c r="B337" s="163">
        <v>100</v>
      </c>
      <c r="C337" s="153">
        <f t="shared" si="57"/>
        <v>0</v>
      </c>
      <c r="D337" s="131">
        <f t="shared" si="58"/>
        <v>6</v>
      </c>
      <c r="E337" s="19" t="s">
        <v>339</v>
      </c>
      <c r="F337" s="18"/>
      <c r="G337" s="18"/>
      <c r="H337" s="18"/>
      <c r="I337" s="18"/>
      <c r="J337" s="18"/>
      <c r="K337" s="18"/>
      <c r="L337" s="19"/>
      <c r="M337" s="18"/>
      <c r="N337" s="18"/>
      <c r="O337" s="18"/>
      <c r="P337" s="18"/>
      <c r="Q337" s="12"/>
      <c r="R337" s="12"/>
      <c r="S337" s="12"/>
      <c r="T337" s="12"/>
      <c r="U337" s="12"/>
      <c r="V337" s="12"/>
    </row>
    <row r="338" spans="1:22" hidden="1">
      <c r="A338" s="169" t="s">
        <v>306</v>
      </c>
      <c r="B338" s="163">
        <v>50</v>
      </c>
      <c r="C338" s="153">
        <f t="shared" si="57"/>
        <v>0</v>
      </c>
      <c r="D338" s="131">
        <f t="shared" si="58"/>
        <v>7</v>
      </c>
      <c r="E338" s="19" t="s">
        <v>340</v>
      </c>
      <c r="F338" s="18"/>
      <c r="G338" s="18"/>
      <c r="H338" s="18"/>
      <c r="I338" s="18"/>
      <c r="J338" s="18"/>
      <c r="K338" s="18"/>
      <c r="L338" s="19"/>
      <c r="M338" s="18"/>
      <c r="N338" s="18"/>
      <c r="O338" s="18"/>
      <c r="P338" s="18"/>
      <c r="Q338" s="12"/>
      <c r="R338" s="12"/>
      <c r="S338" s="12"/>
      <c r="T338" s="12"/>
      <c r="U338" s="12"/>
      <c r="V338" s="12"/>
    </row>
    <row r="339" spans="1:22" hidden="1">
      <c r="A339" s="168" t="s">
        <v>269</v>
      </c>
      <c r="B339" s="163">
        <v>100</v>
      </c>
      <c r="C339" s="153">
        <f t="shared" si="57"/>
        <v>0</v>
      </c>
      <c r="D339" s="131">
        <f t="shared" si="58"/>
        <v>8</v>
      </c>
      <c r="E339" s="19" t="s">
        <v>345</v>
      </c>
      <c r="F339" s="18"/>
      <c r="G339" s="18"/>
      <c r="H339" s="18"/>
      <c r="I339" s="18"/>
      <c r="J339" s="18"/>
      <c r="K339" s="18"/>
      <c r="L339" s="19"/>
      <c r="M339" s="18"/>
      <c r="N339" s="18"/>
      <c r="O339" s="18"/>
      <c r="P339" s="18"/>
      <c r="Q339" s="12"/>
      <c r="R339" s="12"/>
      <c r="S339" s="12"/>
      <c r="T339" s="12"/>
      <c r="U339" s="12"/>
      <c r="V339" s="12"/>
    </row>
    <row r="340" spans="1:22" hidden="1">
      <c r="A340" s="170" t="s">
        <v>270</v>
      </c>
      <c r="B340" s="163">
        <v>50</v>
      </c>
      <c r="C340" s="153">
        <f>IF($E$387=D340,B340,0)</f>
        <v>0</v>
      </c>
      <c r="D340" s="131">
        <f t="shared" si="58"/>
        <v>9</v>
      </c>
      <c r="E340" s="19" t="s">
        <v>271</v>
      </c>
      <c r="F340" s="18"/>
      <c r="G340" s="18"/>
      <c r="H340" s="18"/>
      <c r="I340" s="18"/>
      <c r="J340" s="18"/>
      <c r="K340" s="18"/>
      <c r="L340" s="19"/>
      <c r="M340" s="18"/>
      <c r="N340" s="18"/>
      <c r="O340" s="18"/>
      <c r="P340" s="18"/>
      <c r="Q340" s="12"/>
      <c r="R340" s="12"/>
      <c r="S340" s="12"/>
      <c r="T340" s="12"/>
      <c r="U340" s="12"/>
      <c r="V340" s="12"/>
    </row>
    <row r="341" spans="1:22" hidden="1">
      <c r="A341" s="170" t="s">
        <v>272</v>
      </c>
      <c r="B341" s="163">
        <v>50</v>
      </c>
      <c r="C341" s="153">
        <f>IF($E$387=D341,B341,0)</f>
        <v>0</v>
      </c>
      <c r="D341" s="131">
        <f t="shared" si="58"/>
        <v>10</v>
      </c>
      <c r="E341" s="19"/>
      <c r="F341" s="18"/>
      <c r="G341" s="18"/>
      <c r="H341" s="18"/>
      <c r="I341" s="18"/>
      <c r="J341" s="18"/>
      <c r="K341" s="18"/>
      <c r="L341" s="19"/>
      <c r="M341" s="18"/>
      <c r="N341" s="18"/>
      <c r="O341" s="18"/>
      <c r="P341" s="18"/>
      <c r="Q341" s="12"/>
      <c r="R341" s="12"/>
      <c r="S341" s="12"/>
      <c r="T341" s="12"/>
      <c r="U341" s="12"/>
      <c r="V341" s="12"/>
    </row>
    <row r="342" spans="1:22" hidden="1">
      <c r="A342" s="170" t="s">
        <v>276</v>
      </c>
      <c r="B342" s="163">
        <v>10</v>
      </c>
      <c r="C342" s="153">
        <f t="shared" ref="C342:C343" si="59">IF($E$387=D342,B342,0)</f>
        <v>0</v>
      </c>
      <c r="D342" s="131">
        <f t="shared" si="58"/>
        <v>11</v>
      </c>
      <c r="E342" s="19"/>
      <c r="F342" s="18"/>
      <c r="G342" s="18"/>
      <c r="H342" s="18"/>
      <c r="I342" s="18"/>
      <c r="J342" s="18"/>
      <c r="K342" s="18"/>
      <c r="L342" s="19"/>
      <c r="M342" s="18"/>
      <c r="N342" s="18"/>
      <c r="O342" s="18"/>
      <c r="P342" s="18"/>
      <c r="Q342" s="12"/>
      <c r="R342" s="12"/>
      <c r="S342" s="12"/>
      <c r="T342" s="12"/>
      <c r="U342" s="12"/>
      <c r="V342" s="12"/>
    </row>
    <row r="343" spans="1:22" hidden="1">
      <c r="A343" s="171" t="s">
        <v>330</v>
      </c>
      <c r="B343" s="163">
        <v>75</v>
      </c>
      <c r="C343" s="153">
        <f t="shared" si="59"/>
        <v>0</v>
      </c>
      <c r="D343" s="131">
        <f t="shared" si="58"/>
        <v>12</v>
      </c>
      <c r="E343" s="19"/>
      <c r="F343" s="18"/>
      <c r="G343" s="18"/>
      <c r="H343" s="18"/>
      <c r="I343" s="18"/>
      <c r="J343" s="18"/>
      <c r="K343" s="18"/>
      <c r="L343" s="19"/>
      <c r="M343" s="18"/>
      <c r="N343" s="18"/>
      <c r="O343" s="18"/>
      <c r="P343" s="18"/>
      <c r="Q343" s="12"/>
      <c r="R343" s="12"/>
      <c r="S343" s="12"/>
      <c r="T343" s="12"/>
      <c r="U343" s="12"/>
      <c r="V343" s="12"/>
    </row>
    <row r="344" spans="1:22" hidden="1">
      <c r="A344" s="170" t="s">
        <v>250</v>
      </c>
      <c r="B344" s="163">
        <v>223</v>
      </c>
      <c r="C344" s="153">
        <f t="shared" ref="C344:C358" si="60">IF($E$387=D344,B344,0)</f>
        <v>0</v>
      </c>
      <c r="D344" s="131">
        <f t="shared" si="58"/>
        <v>13</v>
      </c>
      <c r="E344" s="187" t="s">
        <v>242</v>
      </c>
      <c r="F344" s="188"/>
      <c r="G344" s="188"/>
      <c r="H344" s="188"/>
      <c r="I344" s="188"/>
      <c r="J344" s="188"/>
      <c r="K344" s="188"/>
      <c r="L344" s="189">
        <f>A387</f>
        <v>1</v>
      </c>
      <c r="M344" s="188"/>
      <c r="N344" s="188"/>
      <c r="O344" s="18"/>
      <c r="P344" s="18"/>
      <c r="Q344" s="12"/>
      <c r="R344" s="12"/>
      <c r="S344" s="12"/>
      <c r="T344" s="12"/>
      <c r="U344" s="12"/>
      <c r="V344" s="12"/>
    </row>
    <row r="345" spans="1:22" hidden="1">
      <c r="A345" s="170" t="s">
        <v>268</v>
      </c>
      <c r="B345" s="163">
        <v>0</v>
      </c>
      <c r="C345" s="153">
        <f t="shared" si="60"/>
        <v>0</v>
      </c>
      <c r="D345" s="131">
        <f t="shared" si="58"/>
        <v>14</v>
      </c>
      <c r="E345" s="187"/>
      <c r="F345" s="188"/>
      <c r="G345" s="188"/>
      <c r="H345" s="188"/>
      <c r="I345" s="188"/>
      <c r="J345" s="188"/>
      <c r="K345" s="188"/>
      <c r="L345" s="189"/>
      <c r="M345" s="188"/>
      <c r="N345" s="188"/>
      <c r="O345" s="18"/>
      <c r="P345" s="18"/>
      <c r="Q345" s="12"/>
      <c r="R345" s="12"/>
      <c r="S345" s="12"/>
      <c r="T345" s="12"/>
      <c r="U345" s="12"/>
      <c r="V345" s="12"/>
    </row>
    <row r="346" spans="1:22" hidden="1">
      <c r="A346" s="170" t="s">
        <v>265</v>
      </c>
      <c r="B346" s="163">
        <v>150</v>
      </c>
      <c r="C346" s="153">
        <f t="shared" si="60"/>
        <v>0</v>
      </c>
      <c r="D346" s="131">
        <f t="shared" si="58"/>
        <v>15</v>
      </c>
      <c r="E346" s="187"/>
      <c r="F346" s="188"/>
      <c r="G346" s="188"/>
      <c r="H346" s="188"/>
      <c r="I346" s="188"/>
      <c r="J346" s="188"/>
      <c r="K346" s="188"/>
      <c r="L346" s="189"/>
      <c r="M346" s="188"/>
      <c r="N346" s="188"/>
      <c r="O346" s="19"/>
      <c r="P346" s="18"/>
      <c r="Q346" s="12"/>
      <c r="R346" s="12"/>
      <c r="S346" s="12"/>
      <c r="T346" s="12"/>
      <c r="U346" s="12"/>
      <c r="V346" s="12"/>
    </row>
    <row r="347" spans="1:22" hidden="1">
      <c r="A347" s="170" t="s">
        <v>264</v>
      </c>
      <c r="B347" s="163">
        <v>150</v>
      </c>
      <c r="C347" s="153">
        <f t="shared" si="60"/>
        <v>0</v>
      </c>
      <c r="D347" s="131">
        <f t="shared" si="58"/>
        <v>16</v>
      </c>
      <c r="E347" s="187"/>
      <c r="F347" s="188"/>
      <c r="G347" s="188"/>
      <c r="H347" s="188"/>
      <c r="I347" s="188"/>
      <c r="J347" s="188"/>
      <c r="K347" s="188"/>
      <c r="L347" s="189"/>
      <c r="M347" s="188"/>
      <c r="N347" s="188"/>
      <c r="O347" s="19"/>
      <c r="P347" s="18"/>
      <c r="Q347" s="12"/>
      <c r="R347" s="12"/>
      <c r="S347" s="12"/>
      <c r="T347" s="12"/>
      <c r="U347" s="12"/>
      <c r="V347" s="12"/>
    </row>
    <row r="348" spans="1:22" hidden="1">
      <c r="A348" s="172" t="s">
        <v>266</v>
      </c>
      <c r="B348" s="163">
        <v>75</v>
      </c>
      <c r="C348" s="153">
        <f t="shared" si="60"/>
        <v>0</v>
      </c>
      <c r="D348" s="131">
        <f t="shared" si="58"/>
        <v>17</v>
      </c>
      <c r="E348" s="187" t="s">
        <v>243</v>
      </c>
      <c r="F348" s="188"/>
      <c r="G348" s="188"/>
      <c r="H348" s="188"/>
      <c r="I348" s="188"/>
      <c r="J348" s="188"/>
      <c r="K348" s="188"/>
      <c r="L348" s="189">
        <f>E387</f>
        <v>1</v>
      </c>
      <c r="M348" s="188"/>
      <c r="N348" s="190">
        <f>SUM(L344:L349)</f>
        <v>3</v>
      </c>
      <c r="O348" s="19"/>
      <c r="P348" s="18"/>
      <c r="Q348" s="12"/>
      <c r="R348" s="12"/>
      <c r="S348" s="12"/>
      <c r="T348" s="12"/>
      <c r="U348" s="12"/>
      <c r="V348" s="12"/>
    </row>
    <row r="349" spans="1:22" hidden="1">
      <c r="A349" s="172" t="s">
        <v>267</v>
      </c>
      <c r="B349" s="163">
        <v>150</v>
      </c>
      <c r="C349" s="153">
        <f t="shared" si="60"/>
        <v>0</v>
      </c>
      <c r="D349" s="131">
        <f t="shared" si="58"/>
        <v>18</v>
      </c>
      <c r="E349" s="187" t="s">
        <v>244</v>
      </c>
      <c r="F349" s="188"/>
      <c r="G349" s="188"/>
      <c r="H349" s="188"/>
      <c r="I349" s="188"/>
      <c r="J349" s="188"/>
      <c r="K349" s="188"/>
      <c r="L349" s="189">
        <f>E390</f>
        <v>1</v>
      </c>
      <c r="M349" s="188"/>
      <c r="N349" s="188"/>
      <c r="O349" s="19"/>
      <c r="P349" s="18"/>
      <c r="Q349" s="12"/>
      <c r="R349" s="12"/>
      <c r="S349" s="12"/>
      <c r="T349" s="12"/>
      <c r="U349" s="12"/>
      <c r="V349" s="12"/>
    </row>
    <row r="350" spans="1:22" hidden="1">
      <c r="A350" s="170" t="s">
        <v>216</v>
      </c>
      <c r="B350" s="163">
        <v>0</v>
      </c>
      <c r="C350" s="153">
        <f t="shared" si="60"/>
        <v>0</v>
      </c>
      <c r="D350" s="131">
        <f t="shared" si="58"/>
        <v>19</v>
      </c>
      <c r="E350" s="30"/>
      <c r="L350" s="30"/>
      <c r="O350" s="133"/>
      <c r="P350" s="185" t="s">
        <v>323</v>
      </c>
      <c r="Q350" s="186">
        <f>IF(B392&lt;=4,4,B392)</f>
        <v>22</v>
      </c>
      <c r="R350" s="12"/>
      <c r="S350" s="12"/>
      <c r="T350" s="12"/>
      <c r="U350" s="12"/>
      <c r="V350" s="12"/>
    </row>
    <row r="351" spans="1:22" hidden="1">
      <c r="A351" s="170" t="s">
        <v>217</v>
      </c>
      <c r="B351" s="163">
        <v>317.28419169224867</v>
      </c>
      <c r="C351" s="153">
        <f t="shared" si="60"/>
        <v>0</v>
      </c>
      <c r="D351" s="131">
        <f t="shared" si="58"/>
        <v>20</v>
      </c>
      <c r="E351" s="19"/>
      <c r="F351" s="18"/>
      <c r="G351" s="18"/>
      <c r="H351" s="18"/>
      <c r="I351" s="18"/>
      <c r="J351" s="18"/>
      <c r="K351" s="18"/>
      <c r="L351" s="19"/>
      <c r="M351" s="18"/>
      <c r="N351" s="18"/>
      <c r="O351" s="18"/>
      <c r="P351" s="18"/>
      <c r="Q351" s="12"/>
      <c r="R351" s="12"/>
      <c r="S351" s="12"/>
      <c r="T351" s="12"/>
      <c r="U351" s="12"/>
      <c r="V351" s="12"/>
    </row>
    <row r="352" spans="1:22" hidden="1">
      <c r="A352" s="170" t="s">
        <v>218</v>
      </c>
      <c r="B352" s="163">
        <v>179.0586438332777</v>
      </c>
      <c r="C352" s="153">
        <f t="shared" si="60"/>
        <v>0</v>
      </c>
      <c r="D352" s="131">
        <f t="shared" si="58"/>
        <v>21</v>
      </c>
      <c r="E352" s="19"/>
      <c r="F352" s="18"/>
      <c r="G352" s="18"/>
      <c r="H352" s="18"/>
      <c r="I352" s="18"/>
      <c r="J352" s="18"/>
      <c r="K352" s="18"/>
      <c r="L352" s="19"/>
      <c r="M352" s="18"/>
      <c r="N352" s="18"/>
      <c r="O352" s="18"/>
      <c r="P352" s="18"/>
      <c r="Q352" s="12"/>
      <c r="R352" s="12"/>
      <c r="S352" s="12"/>
      <c r="T352" s="12"/>
      <c r="U352" s="12"/>
      <c r="V352" s="12"/>
    </row>
    <row r="353" spans="1:22" hidden="1">
      <c r="A353" s="170" t="s">
        <v>259</v>
      </c>
      <c r="B353" s="163">
        <v>150</v>
      </c>
      <c r="C353" s="153">
        <f t="shared" si="60"/>
        <v>0</v>
      </c>
      <c r="D353" s="131">
        <f t="shared" si="58"/>
        <v>22</v>
      </c>
      <c r="E353" s="19"/>
      <c r="F353" s="18"/>
      <c r="G353" s="18"/>
      <c r="H353" s="18"/>
      <c r="I353" s="18"/>
      <c r="J353" s="18"/>
      <c r="K353" s="18"/>
      <c r="L353" s="19"/>
      <c r="M353" s="18"/>
      <c r="N353" s="18"/>
      <c r="O353" s="18"/>
      <c r="P353" s="185" t="s">
        <v>341</v>
      </c>
      <c r="Q353" s="186">
        <f>IF(OR(E387=6,E387=7),B392,0)</f>
        <v>0</v>
      </c>
      <c r="R353" s="186">
        <f>IF(Q353&gt;=2500,Q353/2500,0)</f>
        <v>0</v>
      </c>
      <c r="S353" s="186">
        <f>IF(E387=6,R353*100,R353*50)</f>
        <v>0</v>
      </c>
      <c r="T353" s="12"/>
      <c r="U353" s="12"/>
      <c r="V353" s="12"/>
    </row>
    <row r="354" spans="1:22" hidden="1">
      <c r="A354" s="173" t="s">
        <v>234</v>
      </c>
      <c r="B354" s="174">
        <v>50</v>
      </c>
      <c r="C354" s="153">
        <f t="shared" si="60"/>
        <v>0</v>
      </c>
      <c r="D354" s="131">
        <f t="shared" si="58"/>
        <v>23</v>
      </c>
      <c r="E354" s="19"/>
      <c r="F354" s="18"/>
      <c r="G354" s="18"/>
      <c r="H354" s="18"/>
      <c r="I354" s="18"/>
      <c r="J354" s="18"/>
      <c r="K354" s="18"/>
      <c r="L354" s="19"/>
      <c r="M354" s="18"/>
      <c r="N354" s="18"/>
      <c r="O354" s="18"/>
      <c r="P354" s="185" t="s">
        <v>342</v>
      </c>
      <c r="Q354" s="186">
        <f>IF(OR(E387=6,E387=7),B389,0)</f>
        <v>0</v>
      </c>
      <c r="R354" s="186">
        <f>IF(Q354&gt;=10000,Q354/10000,0)</f>
        <v>0</v>
      </c>
      <c r="S354" s="186">
        <f>IF(E387=6,R354*100,R354*50)</f>
        <v>0</v>
      </c>
      <c r="T354" s="12"/>
      <c r="U354" s="12"/>
      <c r="V354" s="12"/>
    </row>
    <row r="355" spans="1:22" hidden="1">
      <c r="A355" s="173" t="s">
        <v>325</v>
      </c>
      <c r="B355" s="174">
        <v>100</v>
      </c>
      <c r="C355" s="153">
        <f t="shared" si="60"/>
        <v>0</v>
      </c>
      <c r="D355" s="131">
        <f t="shared" si="58"/>
        <v>24</v>
      </c>
      <c r="E355" s="19"/>
      <c r="F355" s="18"/>
      <c r="G355" s="18"/>
      <c r="H355" s="18"/>
      <c r="I355" s="18"/>
      <c r="J355" s="18"/>
      <c r="K355" s="18"/>
      <c r="L355" s="19"/>
      <c r="M355" s="18"/>
      <c r="N355" s="18"/>
      <c r="O355" s="18"/>
      <c r="P355" s="185"/>
      <c r="Q355" s="186"/>
      <c r="R355" s="186" t="s">
        <v>343</v>
      </c>
      <c r="S355" s="186">
        <f>IF(S354&gt;S353,S354,S353)</f>
        <v>0</v>
      </c>
      <c r="T355" s="12"/>
      <c r="U355" s="12"/>
      <c r="V355" s="12"/>
    </row>
    <row r="356" spans="1:22" hidden="1">
      <c r="A356" s="173" t="s">
        <v>328</v>
      </c>
      <c r="B356" s="174">
        <v>50</v>
      </c>
      <c r="C356" s="153">
        <f t="shared" si="60"/>
        <v>0</v>
      </c>
      <c r="D356" s="131">
        <f t="shared" si="58"/>
        <v>25</v>
      </c>
      <c r="E356" s="19"/>
      <c r="F356" s="18"/>
      <c r="G356" s="18"/>
      <c r="H356" s="18"/>
      <c r="I356" s="18"/>
      <c r="J356" s="18"/>
      <c r="K356" s="18"/>
      <c r="L356" s="19"/>
      <c r="M356" s="18"/>
      <c r="N356" s="18"/>
      <c r="O356" s="18"/>
      <c r="P356" s="18"/>
      <c r="Q356" s="12"/>
      <c r="R356" s="12"/>
      <c r="S356" s="12"/>
      <c r="T356" s="12"/>
      <c r="U356" s="12"/>
      <c r="V356" s="12"/>
    </row>
    <row r="357" spans="1:22" hidden="1">
      <c r="A357" s="173" t="s">
        <v>329</v>
      </c>
      <c r="B357" s="174">
        <v>75</v>
      </c>
      <c r="C357" s="153">
        <f t="shared" si="60"/>
        <v>0</v>
      </c>
      <c r="D357" s="131">
        <f t="shared" si="58"/>
        <v>26</v>
      </c>
      <c r="E357" s="19"/>
      <c r="F357" s="18"/>
      <c r="G357" s="18"/>
      <c r="H357" s="18"/>
      <c r="I357" s="18"/>
      <c r="J357" s="18"/>
      <c r="K357" s="18"/>
      <c r="L357" s="19"/>
      <c r="M357" s="18"/>
      <c r="N357" s="18"/>
      <c r="O357" s="18"/>
      <c r="P357" s="18"/>
      <c r="Q357" s="12"/>
      <c r="R357" s="12"/>
      <c r="S357" s="12"/>
      <c r="T357" s="12"/>
      <c r="U357" s="12"/>
      <c r="V357" s="12"/>
    </row>
    <row r="358" spans="1:22" ht="15.75" hidden="1" thickBot="1">
      <c r="A358" s="175" t="s">
        <v>239</v>
      </c>
      <c r="B358" s="176">
        <v>150</v>
      </c>
      <c r="C358" s="153">
        <f t="shared" si="60"/>
        <v>0</v>
      </c>
      <c r="D358" s="131">
        <f t="shared" si="58"/>
        <v>27</v>
      </c>
      <c r="E358" s="188" t="s">
        <v>344</v>
      </c>
      <c r="F358" s="185"/>
      <c r="G358" s="185"/>
      <c r="H358" s="185"/>
      <c r="I358" s="185"/>
      <c r="J358" s="185"/>
      <c r="K358" s="185"/>
      <c r="L358" s="189">
        <f>IF(E390=18,B392,0)</f>
        <v>0</v>
      </c>
      <c r="M358" s="185"/>
      <c r="N358" s="185"/>
      <c r="O358" s="18"/>
      <c r="P358" s="18"/>
      <c r="Q358" s="12"/>
      <c r="R358" s="12"/>
      <c r="S358" s="12"/>
      <c r="T358" s="12"/>
      <c r="U358" s="12"/>
      <c r="V358" s="12"/>
    </row>
    <row r="359" spans="1:22" hidden="1">
      <c r="A359" s="29" t="s">
        <v>284</v>
      </c>
      <c r="B359" s="154"/>
      <c r="C359" s="154">
        <f>IF(C382=TRUE,75,0)</f>
        <v>0</v>
      </c>
      <c r="D359" s="131">
        <f t="shared" si="58"/>
        <v>28</v>
      </c>
      <c r="E359" s="19"/>
      <c r="F359" s="18"/>
      <c r="G359" s="18"/>
      <c r="H359" s="18"/>
      <c r="I359" s="18"/>
      <c r="J359" s="18"/>
      <c r="K359" s="18"/>
      <c r="L359" s="19"/>
      <c r="M359" s="18"/>
      <c r="N359" s="18"/>
      <c r="O359" s="18"/>
      <c r="P359" s="18"/>
      <c r="Q359" s="12"/>
      <c r="R359" s="12"/>
      <c r="S359" s="12"/>
      <c r="T359" s="12"/>
      <c r="U359" s="12"/>
      <c r="V359" s="12"/>
    </row>
    <row r="360" spans="1:22" hidden="1">
      <c r="A360" s="29" t="s">
        <v>287</v>
      </c>
      <c r="B360" s="154"/>
      <c r="C360" s="154">
        <f>IF(E390=2,(B392*B302)-B302,0)</f>
        <v>0</v>
      </c>
      <c r="D360" s="131"/>
      <c r="E360" s="19"/>
      <c r="F360" s="18"/>
      <c r="G360" s="18"/>
      <c r="H360" s="18"/>
      <c r="I360" s="18"/>
      <c r="J360" s="18"/>
      <c r="K360" s="18"/>
      <c r="L360" s="19"/>
      <c r="M360" s="18"/>
      <c r="N360" s="18"/>
      <c r="O360" s="18"/>
      <c r="P360" s="18"/>
      <c r="Q360" s="12"/>
      <c r="R360" s="12"/>
      <c r="S360" s="12"/>
      <c r="T360" s="12"/>
      <c r="U360" s="12"/>
      <c r="V360" s="12"/>
    </row>
    <row r="361" spans="1:22" hidden="1">
      <c r="A361" s="29" t="s">
        <v>293</v>
      </c>
      <c r="B361" s="154"/>
      <c r="C361" s="154">
        <f>IF(OR(A387=26,E390=12,E390=13),(B392/1000)*0.75,0)</f>
        <v>0</v>
      </c>
      <c r="D361" s="131"/>
      <c r="E361" s="19"/>
      <c r="F361" s="18"/>
      <c r="G361" s="18"/>
      <c r="H361" s="18"/>
      <c r="I361" s="18"/>
      <c r="J361" s="18"/>
      <c r="K361" s="18"/>
      <c r="L361" s="19"/>
      <c r="M361" s="18"/>
      <c r="N361" s="18"/>
      <c r="O361" s="18"/>
      <c r="P361" s="18"/>
      <c r="Q361" s="12"/>
      <c r="R361" s="12"/>
      <c r="S361" s="12"/>
      <c r="T361" s="12"/>
      <c r="U361" s="12"/>
      <c r="V361" s="12"/>
    </row>
    <row r="362" spans="1:22" hidden="1">
      <c r="A362" s="29" t="s">
        <v>294</v>
      </c>
      <c r="B362" s="154"/>
      <c r="C362" s="154">
        <f>IF(A387=21,B392*3.1,0)</f>
        <v>0</v>
      </c>
      <c r="D362" s="131"/>
      <c r="E362" s="19"/>
      <c r="F362" s="18"/>
      <c r="G362" s="18"/>
      <c r="H362" s="18"/>
      <c r="I362" s="18"/>
      <c r="J362" s="18"/>
      <c r="K362" s="18"/>
      <c r="L362" s="19"/>
      <c r="M362" s="18"/>
      <c r="N362" s="18"/>
      <c r="O362" s="18"/>
      <c r="P362" s="18"/>
      <c r="Q362" s="12"/>
      <c r="R362" s="12"/>
      <c r="S362" s="12"/>
      <c r="T362" s="12"/>
      <c r="U362" s="12"/>
      <c r="V362" s="12"/>
    </row>
    <row r="363" spans="1:22" hidden="1">
      <c r="A363" s="29" t="s">
        <v>297</v>
      </c>
      <c r="B363" s="154"/>
      <c r="C363" s="154">
        <f>IF(A387=24,B392*1.5,0)</f>
        <v>0</v>
      </c>
      <c r="D363" s="131"/>
      <c r="E363" s="19"/>
      <c r="F363" s="18"/>
      <c r="G363" s="18"/>
      <c r="H363" s="18"/>
      <c r="I363" s="18"/>
      <c r="J363" s="18"/>
      <c r="K363" s="18"/>
      <c r="L363" s="19"/>
      <c r="M363" s="18"/>
      <c r="N363" s="18"/>
      <c r="O363" s="18"/>
      <c r="P363" s="18"/>
      <c r="Q363" s="12"/>
      <c r="R363" s="12"/>
      <c r="S363" s="12"/>
      <c r="T363" s="12"/>
      <c r="U363" s="12"/>
      <c r="V363" s="12"/>
    </row>
    <row r="364" spans="1:22" hidden="1">
      <c r="A364" s="29" t="s">
        <v>298</v>
      </c>
      <c r="B364" s="154"/>
      <c r="C364" s="154">
        <f>IF(E387=14, IF(B392&lt;400,0,IF(B392&lt;1001,75,IF(B392&lt;=5000,100,IF(B392&gt;5000,200)))),0)</f>
        <v>0</v>
      </c>
      <c r="D364" s="131"/>
      <c r="E364" s="19"/>
      <c r="F364" s="18"/>
      <c r="G364" s="18"/>
      <c r="H364" s="18"/>
      <c r="I364" s="18"/>
      <c r="J364" s="18"/>
      <c r="K364" s="18"/>
      <c r="L364" s="19"/>
      <c r="M364" s="18"/>
      <c r="N364" s="18"/>
      <c r="O364" s="18"/>
      <c r="P364" s="18"/>
      <c r="Q364" s="12"/>
      <c r="R364" s="12"/>
      <c r="S364" s="12"/>
      <c r="T364" s="12"/>
      <c r="U364" s="12"/>
      <c r="V364" s="12"/>
    </row>
    <row r="365" spans="1:22" hidden="1">
      <c r="A365" s="29" t="s">
        <v>304</v>
      </c>
      <c r="B365" s="154"/>
      <c r="C365" s="154">
        <f>IF(E387=5,B392*0.025,0)</f>
        <v>0</v>
      </c>
      <c r="D365" s="131"/>
      <c r="E365" s="19"/>
      <c r="F365" s="18"/>
      <c r="G365" s="18"/>
      <c r="H365" s="18"/>
      <c r="I365" s="18"/>
      <c r="J365" s="18"/>
      <c r="K365" s="18"/>
      <c r="L365" s="19"/>
      <c r="M365" s="18"/>
      <c r="N365" s="18"/>
      <c r="O365" s="18"/>
      <c r="P365" s="18"/>
      <c r="Q365" s="12"/>
      <c r="R365" s="12"/>
      <c r="S365" s="12"/>
      <c r="T365" s="12"/>
      <c r="U365" s="12"/>
      <c r="V365" s="12"/>
    </row>
    <row r="366" spans="1:22" hidden="1">
      <c r="A366" s="29" t="s">
        <v>310</v>
      </c>
      <c r="B366" s="154"/>
      <c r="C366" s="154">
        <f>IF(A387=6,(B392*B280)-B280,0)</f>
        <v>0</v>
      </c>
      <c r="D366" s="131"/>
      <c r="E366" s="19"/>
      <c r="F366" s="18"/>
      <c r="G366" s="18"/>
      <c r="H366" s="18"/>
      <c r="I366" s="18"/>
      <c r="J366" s="18"/>
      <c r="K366" s="18"/>
      <c r="L366" s="19"/>
      <c r="M366" s="18"/>
      <c r="N366" s="18"/>
      <c r="O366" s="18"/>
      <c r="P366" s="18"/>
      <c r="Q366" s="12"/>
      <c r="R366" s="12"/>
      <c r="S366" s="12"/>
      <c r="T366" s="12"/>
      <c r="U366" s="12"/>
      <c r="V366" s="12"/>
    </row>
    <row r="367" spans="1:22" hidden="1">
      <c r="A367" s="29" t="s">
        <v>313</v>
      </c>
      <c r="B367" s="154"/>
      <c r="C367" s="154">
        <f>IF(E387=9,(B340*B392)-B340,0)</f>
        <v>0</v>
      </c>
      <c r="D367" s="131"/>
      <c r="E367" s="19"/>
      <c r="F367" s="18"/>
      <c r="G367" s="18"/>
      <c r="H367" s="18"/>
      <c r="I367" s="18"/>
      <c r="J367" s="18"/>
      <c r="K367" s="18"/>
      <c r="L367" s="19"/>
      <c r="M367" s="18"/>
      <c r="N367" s="18"/>
      <c r="O367" s="18"/>
      <c r="P367" s="18"/>
      <c r="Q367" s="12"/>
      <c r="R367" s="12"/>
      <c r="S367" s="12"/>
      <c r="T367" s="12"/>
      <c r="U367" s="12"/>
      <c r="V367" s="12"/>
    </row>
    <row r="368" spans="1:22" hidden="1">
      <c r="A368" s="29" t="s">
        <v>318</v>
      </c>
      <c r="B368" s="154"/>
      <c r="C368" s="154">
        <f>IF(E387=16,((B347*B392)-B347)+(65*B392),0)</f>
        <v>0</v>
      </c>
      <c r="D368" s="131"/>
      <c r="E368" s="19"/>
      <c r="F368" s="18"/>
      <c r="G368" s="18"/>
      <c r="H368" s="18"/>
      <c r="I368" s="18"/>
      <c r="J368" s="18"/>
      <c r="K368" s="18"/>
      <c r="L368" s="19"/>
      <c r="M368" s="18"/>
      <c r="N368" s="18"/>
      <c r="O368" s="18"/>
      <c r="P368" s="18"/>
      <c r="Q368" s="12"/>
      <c r="R368" s="12"/>
      <c r="S368" s="12"/>
      <c r="T368" s="12"/>
      <c r="U368" s="12"/>
      <c r="V368" s="12"/>
    </row>
    <row r="369" spans="1:22" hidden="1">
      <c r="A369" s="29" t="s">
        <v>319</v>
      </c>
      <c r="B369" s="154"/>
      <c r="C369" s="154">
        <f>IF(E387=17,65*B392,0)</f>
        <v>0</v>
      </c>
      <c r="D369" s="131"/>
      <c r="E369" s="19"/>
      <c r="F369" s="18"/>
      <c r="G369" s="18"/>
      <c r="H369" s="18"/>
      <c r="I369" s="18"/>
      <c r="J369" s="18"/>
      <c r="K369" s="18"/>
      <c r="L369" s="19"/>
      <c r="M369" s="18"/>
      <c r="N369" s="18"/>
      <c r="O369" s="18"/>
      <c r="P369" s="18"/>
      <c r="Q369" s="12"/>
      <c r="R369" s="12"/>
      <c r="S369" s="12"/>
      <c r="T369" s="12"/>
      <c r="U369" s="12"/>
      <c r="V369" s="12"/>
    </row>
    <row r="370" spans="1:22" hidden="1">
      <c r="A370" s="29" t="s">
        <v>322</v>
      </c>
      <c r="B370" s="154"/>
      <c r="C370" s="154">
        <f>IF(E387=18,B349+(Q350*150)+(Q350*65*4),0)</f>
        <v>0</v>
      </c>
      <c r="D370" s="131"/>
      <c r="E370" s="19"/>
      <c r="F370" s="18"/>
      <c r="G370" s="18"/>
      <c r="H370" s="18"/>
      <c r="I370" s="18"/>
      <c r="J370" s="18"/>
      <c r="K370" s="18"/>
      <c r="L370" s="19"/>
      <c r="M370" s="18"/>
      <c r="N370" s="18"/>
      <c r="O370" s="18"/>
      <c r="P370" s="18"/>
      <c r="Q370" s="12"/>
      <c r="R370" s="12"/>
      <c r="S370" s="12"/>
      <c r="T370" s="12"/>
      <c r="U370" s="12"/>
      <c r="V370" s="12"/>
    </row>
    <row r="371" spans="1:22" hidden="1">
      <c r="A371" s="29" t="s">
        <v>335</v>
      </c>
      <c r="B371" s="154"/>
      <c r="C371" s="154">
        <f>IF(A387=8,(B392*B282)-B282,0)</f>
        <v>0</v>
      </c>
      <c r="D371" s="131"/>
      <c r="E371" s="19"/>
      <c r="F371" s="18"/>
      <c r="G371" s="18"/>
      <c r="H371" s="18"/>
      <c r="I371" s="18"/>
      <c r="J371" s="18"/>
      <c r="K371" s="18"/>
      <c r="L371" s="19"/>
      <c r="M371" s="18"/>
      <c r="N371" s="18"/>
      <c r="O371" s="18"/>
      <c r="P371" s="18"/>
      <c r="Q371" s="12"/>
      <c r="R371" s="12"/>
      <c r="S371" s="12"/>
      <c r="T371" s="12"/>
      <c r="U371" s="12"/>
      <c r="V371" s="12"/>
    </row>
    <row r="372" spans="1:22" hidden="1">
      <c r="A372" s="29" t="s">
        <v>325</v>
      </c>
      <c r="B372" s="154"/>
      <c r="C372" s="154">
        <f>IF(E387=24,IF(B392&gt;3,B392*25,0),0)</f>
        <v>0</v>
      </c>
      <c r="D372" s="131"/>
      <c r="E372" s="19"/>
      <c r="F372" s="18"/>
      <c r="G372" s="18"/>
      <c r="H372" s="18"/>
      <c r="I372" s="18"/>
      <c r="J372" s="18"/>
      <c r="K372" s="18"/>
      <c r="L372" s="19"/>
      <c r="M372" s="18"/>
      <c r="N372" s="18"/>
      <c r="O372" s="18"/>
      <c r="P372" s="18"/>
      <c r="Q372" s="12"/>
      <c r="R372" s="12"/>
      <c r="S372" s="12"/>
      <c r="T372" s="12"/>
      <c r="U372" s="12"/>
      <c r="V372" s="12"/>
    </row>
    <row r="373" spans="1:22" hidden="1">
      <c r="A373" s="29" t="s">
        <v>347</v>
      </c>
      <c r="B373" s="154"/>
      <c r="C373" s="154">
        <f>IF(E390=4,B392*65,0)</f>
        <v>0</v>
      </c>
      <c r="D373" s="131"/>
      <c r="E373" s="19"/>
      <c r="F373" s="18"/>
      <c r="G373" s="18"/>
      <c r="H373" s="18"/>
      <c r="I373" s="18"/>
      <c r="J373" s="18"/>
      <c r="K373" s="18"/>
      <c r="L373" s="19"/>
      <c r="M373" s="18"/>
      <c r="N373" s="18"/>
      <c r="O373" s="18"/>
      <c r="P373" s="18"/>
      <c r="Q373" s="12"/>
      <c r="R373" s="12"/>
      <c r="S373" s="12"/>
      <c r="T373" s="12"/>
      <c r="U373" s="12"/>
      <c r="V373" s="12"/>
    </row>
    <row r="374" spans="1:22" hidden="1">
      <c r="A374" s="29" t="s">
        <v>285</v>
      </c>
      <c r="B374" s="154"/>
      <c r="C374" s="154">
        <f>IF(E383=TRUE,2*SUM(C276:C373),0)</f>
        <v>0</v>
      </c>
      <c r="D374" s="131"/>
      <c r="E374" s="19"/>
      <c r="F374" s="18"/>
      <c r="G374" s="18"/>
      <c r="H374" s="18"/>
      <c r="I374" s="18"/>
      <c r="J374" s="18"/>
      <c r="K374" s="18"/>
      <c r="L374" s="19"/>
      <c r="M374" s="18"/>
      <c r="N374" s="18"/>
      <c r="O374" s="18"/>
      <c r="P374" s="18"/>
      <c r="Q374" s="12"/>
      <c r="R374" s="12"/>
      <c r="S374" s="12"/>
      <c r="T374" s="12"/>
      <c r="U374" s="12"/>
      <c r="V374" s="12"/>
    </row>
    <row r="375" spans="1:22" hidden="1">
      <c r="A375" s="29" t="s">
        <v>286</v>
      </c>
      <c r="B375" s="154"/>
      <c r="C375" s="154">
        <f>SUM(C276:C374)</f>
        <v>0</v>
      </c>
      <c r="D375" s="131"/>
      <c r="E375" s="19"/>
      <c r="F375" s="18"/>
      <c r="G375" s="18"/>
      <c r="H375" s="18"/>
      <c r="I375" s="18"/>
      <c r="J375" s="18"/>
      <c r="K375" s="18"/>
      <c r="L375" s="19"/>
      <c r="M375" s="18"/>
      <c r="N375" s="18"/>
      <c r="O375" s="18"/>
      <c r="P375" s="18"/>
      <c r="Q375" s="12"/>
      <c r="R375" s="12"/>
      <c r="S375" s="12"/>
      <c r="T375" s="12"/>
      <c r="U375" s="12"/>
      <c r="V375" s="12"/>
    </row>
    <row r="376" spans="1:22" ht="3.75" hidden="1" customHeight="1">
      <c r="A376" s="18"/>
      <c r="B376" s="18"/>
      <c r="C376" s="154"/>
      <c r="D376" s="19"/>
      <c r="E376" s="19"/>
      <c r="F376" s="18"/>
      <c r="G376" s="18"/>
      <c r="H376" s="18"/>
      <c r="I376" s="18"/>
      <c r="J376" s="18"/>
      <c r="K376" s="18"/>
      <c r="L376" s="19"/>
      <c r="M376" s="18"/>
      <c r="N376" s="18"/>
      <c r="O376" s="18"/>
      <c r="P376" s="18"/>
      <c r="Q376" s="12"/>
      <c r="R376" s="12"/>
      <c r="S376" s="12"/>
      <c r="T376" s="12"/>
      <c r="U376" s="12"/>
      <c r="V376" s="12"/>
    </row>
    <row r="377" spans="1:22" ht="3.75" hidden="1" customHeight="1">
      <c r="A377" s="18"/>
      <c r="B377" s="18"/>
      <c r="C377" s="18"/>
      <c r="D377" s="19"/>
      <c r="E377" s="19"/>
      <c r="F377" s="18"/>
      <c r="G377" s="18"/>
      <c r="H377" s="18"/>
      <c r="I377" s="18"/>
      <c r="J377" s="18"/>
      <c r="K377" s="18"/>
      <c r="L377" s="19"/>
      <c r="M377" s="18"/>
      <c r="N377" s="18"/>
      <c r="O377" s="18"/>
      <c r="P377" s="18"/>
      <c r="Q377" s="12"/>
      <c r="R377" s="12"/>
      <c r="S377" s="12"/>
      <c r="T377" s="12"/>
      <c r="U377" s="12"/>
      <c r="V377" s="12"/>
    </row>
    <row r="378" spans="1:22" ht="3.75" hidden="1" customHeight="1">
      <c r="A378" s="18"/>
      <c r="B378" s="18"/>
      <c r="C378" s="18"/>
      <c r="D378" s="19"/>
      <c r="E378" s="19"/>
      <c r="F378" s="18"/>
      <c r="G378" s="18"/>
      <c r="H378" s="18"/>
      <c r="I378" s="18"/>
      <c r="J378" s="18"/>
      <c r="K378" s="18"/>
      <c r="L378" s="19"/>
      <c r="M378" s="18"/>
      <c r="N378" s="18"/>
      <c r="O378" s="18"/>
      <c r="P378" s="18"/>
      <c r="Q378" s="12"/>
      <c r="R378" s="12"/>
      <c r="S378" s="12"/>
      <c r="T378" s="12"/>
      <c r="U378" s="12"/>
      <c r="V378" s="12"/>
    </row>
    <row r="379" spans="1:22">
      <c r="A379" s="26" t="s">
        <v>238</v>
      </c>
      <c r="B379" s="18"/>
      <c r="C379" s="18"/>
      <c r="D379" s="19"/>
      <c r="E379" s="19"/>
      <c r="F379" s="18"/>
      <c r="G379" s="18"/>
      <c r="H379" s="18"/>
      <c r="I379" s="18"/>
      <c r="J379" s="18"/>
      <c r="K379" s="18"/>
      <c r="L379" s="19"/>
      <c r="M379" s="18"/>
      <c r="N379" s="18"/>
      <c r="O379" s="18"/>
      <c r="P379" s="18"/>
      <c r="Q379" s="12"/>
      <c r="R379" s="12"/>
      <c r="S379" s="12"/>
      <c r="T379" s="12"/>
      <c r="U379" s="12"/>
      <c r="V379" s="12"/>
    </row>
    <row r="380" spans="1:22">
      <c r="A380" s="26" t="s">
        <v>233</v>
      </c>
      <c r="B380" s="18"/>
      <c r="C380" s="18"/>
      <c r="D380" s="19"/>
      <c r="E380" s="19"/>
      <c r="F380" s="18"/>
      <c r="G380" s="18"/>
      <c r="H380" s="18"/>
      <c r="I380" s="18"/>
      <c r="J380" s="18"/>
      <c r="K380" s="18"/>
      <c r="L380" s="19"/>
      <c r="M380" s="18"/>
      <c r="N380" s="18"/>
      <c r="O380" s="18"/>
      <c r="P380" s="18"/>
      <c r="Q380" s="12"/>
      <c r="R380" s="12"/>
      <c r="S380" s="12"/>
      <c r="T380" s="12"/>
      <c r="U380" s="12"/>
      <c r="V380" s="12"/>
    </row>
    <row r="381" spans="1:22">
      <c r="A381" s="26" t="s">
        <v>236</v>
      </c>
      <c r="B381" s="18"/>
      <c r="C381" s="18"/>
      <c r="D381" s="19"/>
      <c r="E381" s="19"/>
      <c r="F381" s="18"/>
      <c r="G381" s="18"/>
      <c r="H381" s="18"/>
      <c r="I381" s="18"/>
      <c r="J381" s="18"/>
      <c r="K381" s="18"/>
      <c r="L381" s="19"/>
      <c r="M381" s="18"/>
      <c r="N381" s="18"/>
      <c r="O381" s="18"/>
      <c r="P381" s="18"/>
      <c r="Q381" s="12"/>
      <c r="R381" s="12"/>
      <c r="S381" s="12"/>
      <c r="T381" s="12"/>
      <c r="U381" s="12"/>
      <c r="V381" s="12"/>
    </row>
    <row r="382" spans="1:22">
      <c r="A382" s="218" t="s">
        <v>230</v>
      </c>
      <c r="B382" s="218">
        <v>1</v>
      </c>
      <c r="C382" s="161" t="b">
        <v>0</v>
      </c>
      <c r="D382" s="19"/>
      <c r="E382" s="19"/>
      <c r="F382" s="18"/>
      <c r="G382" s="18"/>
      <c r="H382" s="18"/>
      <c r="I382" s="18"/>
      <c r="J382" s="18"/>
      <c r="K382" s="18"/>
      <c r="L382" s="19"/>
      <c r="M382" s="18"/>
      <c r="N382" s="18"/>
      <c r="O382" s="18"/>
      <c r="P382" s="18"/>
      <c r="Q382" s="12"/>
      <c r="R382" s="12"/>
      <c r="S382" s="12"/>
      <c r="T382" s="12"/>
      <c r="U382" s="12"/>
      <c r="V382" s="12"/>
    </row>
    <row r="383" spans="1:22">
      <c r="A383" s="27" t="s">
        <v>301</v>
      </c>
      <c r="B383" s="18"/>
      <c r="C383" s="18"/>
      <c r="D383" s="19"/>
      <c r="E383" s="135" t="b">
        <v>0</v>
      </c>
      <c r="F383" s="18"/>
      <c r="G383" s="18"/>
      <c r="H383" s="18"/>
      <c r="I383" s="18"/>
      <c r="J383" s="18"/>
      <c r="K383" s="18"/>
      <c r="L383" s="19"/>
      <c r="M383" s="18"/>
      <c r="N383" s="18"/>
      <c r="O383" s="18"/>
      <c r="P383" s="18"/>
      <c r="Q383" s="12"/>
      <c r="R383" s="12"/>
      <c r="S383" s="12"/>
      <c r="T383" s="12"/>
      <c r="U383" s="12"/>
      <c r="V383" s="12"/>
    </row>
    <row r="384" spans="1:22">
      <c r="A384" s="27" t="s">
        <v>302</v>
      </c>
      <c r="B384" s="18"/>
      <c r="C384" s="18"/>
      <c r="D384" s="19"/>
      <c r="E384" s="19"/>
      <c r="F384" s="18"/>
      <c r="G384" s="18"/>
      <c r="H384" s="18"/>
      <c r="I384" s="18"/>
      <c r="J384" s="18"/>
      <c r="K384" s="18"/>
      <c r="L384" s="19"/>
      <c r="M384" s="18"/>
      <c r="N384" s="18"/>
      <c r="O384" s="18"/>
      <c r="P384" s="18"/>
      <c r="Q384" s="12"/>
      <c r="R384" s="12"/>
      <c r="S384" s="12"/>
      <c r="T384" s="12"/>
      <c r="U384" s="12"/>
      <c r="V384" s="12"/>
    </row>
    <row r="385" spans="1:22">
      <c r="A385" s="27"/>
      <c r="B385" s="18"/>
      <c r="C385" s="18"/>
      <c r="D385" s="19"/>
      <c r="E385" s="19"/>
      <c r="F385" s="18"/>
      <c r="G385" s="18"/>
      <c r="H385" s="18"/>
      <c r="I385" s="18"/>
      <c r="J385" s="18"/>
      <c r="K385" s="18"/>
      <c r="L385" s="19"/>
      <c r="M385" s="18"/>
      <c r="N385" s="18"/>
      <c r="O385" s="18"/>
      <c r="P385" s="18"/>
      <c r="Q385" s="12"/>
      <c r="R385" s="12"/>
      <c r="S385" s="12"/>
      <c r="T385" s="12"/>
      <c r="U385" s="12"/>
      <c r="V385" s="12"/>
    </row>
    <row r="386" spans="1:22" ht="8.25" customHeight="1">
      <c r="A386" s="219" t="s">
        <v>253</v>
      </c>
      <c r="B386" s="219"/>
      <c r="C386" s="219"/>
      <c r="D386" s="219"/>
      <c r="E386" s="219" t="s">
        <v>245</v>
      </c>
      <c r="F386" s="219"/>
      <c r="G386" s="219"/>
      <c r="H386" s="219"/>
      <c r="I386" s="219"/>
      <c r="J386" s="219"/>
      <c r="K386" s="219"/>
      <c r="L386" s="219"/>
      <c r="M386" s="219"/>
      <c r="N386" s="219"/>
      <c r="O386" s="156"/>
      <c r="P386" s="155"/>
      <c r="R386" s="12"/>
      <c r="S386" s="12"/>
      <c r="T386" s="12"/>
      <c r="U386" s="12"/>
      <c r="V386" s="12"/>
    </row>
    <row r="387" spans="1:22">
      <c r="A387" s="11">
        <v>1</v>
      </c>
      <c r="B387" s="18"/>
      <c r="C387" s="18"/>
      <c r="D387" s="19"/>
      <c r="E387" s="135">
        <v>1</v>
      </c>
      <c r="F387" s="18"/>
      <c r="G387" s="18"/>
      <c r="H387" s="18"/>
      <c r="I387" s="18"/>
      <c r="J387" s="18"/>
      <c r="K387" s="18"/>
      <c r="L387" s="19"/>
      <c r="M387" s="18"/>
      <c r="N387" s="148">
        <v>13</v>
      </c>
      <c r="O387" s="148"/>
      <c r="P387" s="18"/>
      <c r="Q387" s="12"/>
      <c r="R387" s="12"/>
      <c r="S387" s="12"/>
      <c r="T387" s="12"/>
      <c r="U387" s="12"/>
      <c r="V387" s="12"/>
    </row>
    <row r="388" spans="1:22" ht="9" customHeight="1">
      <c r="A388" s="11"/>
      <c r="B388" s="18"/>
      <c r="C388" s="18"/>
      <c r="D388" s="19"/>
      <c r="E388" s="19"/>
      <c r="F388" s="18"/>
      <c r="G388" s="18"/>
      <c r="H388" s="18"/>
      <c r="I388" s="18"/>
      <c r="J388" s="18"/>
      <c r="K388" s="18"/>
      <c r="L388" s="19"/>
      <c r="M388" s="18"/>
      <c r="N388" s="18"/>
      <c r="O388" s="18"/>
      <c r="P388" s="18"/>
      <c r="Q388" s="12"/>
      <c r="R388" s="12"/>
      <c r="S388" s="12"/>
      <c r="T388" s="12"/>
      <c r="U388" s="12"/>
      <c r="V388" s="12"/>
    </row>
    <row r="389" spans="1:22" ht="16.5">
      <c r="A389" s="129" t="str">
        <f>IF(E387=13,T(E308), IF(OR(E387=6,E387=7),T(E337),CHAR(160)))</f>
        <v> </v>
      </c>
      <c r="B389" s="130">
        <v>10000</v>
      </c>
      <c r="C389" s="149" t="str">
        <f>IF(E387=12,T(E309),CHAR(160))</f>
        <v> </v>
      </c>
      <c r="D389" s="19"/>
      <c r="E389" s="219" t="s">
        <v>248</v>
      </c>
      <c r="F389" s="219"/>
      <c r="G389" s="219"/>
      <c r="H389" s="219"/>
      <c r="I389" s="219"/>
      <c r="J389" s="219"/>
      <c r="K389" s="219"/>
      <c r="L389" s="219"/>
      <c r="M389" s="219"/>
      <c r="N389" s="219"/>
      <c r="O389" s="156"/>
      <c r="P389" s="18"/>
      <c r="Q389" s="12"/>
      <c r="R389" s="12"/>
      <c r="S389" s="12"/>
      <c r="T389" s="12"/>
      <c r="U389" s="12"/>
      <c r="V389" s="12"/>
    </row>
    <row r="390" spans="1:22" ht="12" customHeight="1">
      <c r="A390" s="205" t="str">
        <f>IF(OR(E387=5,A387=21,A387=26,E390=12,E390=13,A387=24,A387=6,E387=9,E387=16,A387=8,E390=4),"Base Permit cost = ",IF(E390=2,T(E302),IF(E390=3,T(E303),"Permit cost = ")))</f>
        <v xml:space="preserve">Permit cost = </v>
      </c>
      <c r="B390" s="221" t="str">
        <f>IF(E390=18,T(E315),(IF(N348=3,"No Permit Selected",CHAR(160))))</f>
        <v>No Permit Selected</v>
      </c>
      <c r="C390" s="221"/>
      <c r="D390" s="28"/>
      <c r="E390" s="134">
        <v>1</v>
      </c>
      <c r="F390" s="28"/>
      <c r="G390" s="28"/>
      <c r="H390" s="28"/>
      <c r="I390" s="28"/>
      <c r="J390" s="29"/>
      <c r="K390" s="29"/>
      <c r="L390" s="29"/>
      <c r="M390" s="18"/>
      <c r="N390" s="18"/>
      <c r="O390" s="18"/>
      <c r="P390" s="18"/>
      <c r="Q390" s="12"/>
      <c r="R390" s="12"/>
      <c r="S390" s="12"/>
      <c r="T390" s="12"/>
      <c r="U390" s="12"/>
      <c r="V390" s="12"/>
    </row>
    <row r="391" spans="1:22" ht="15.75">
      <c r="A391" s="205"/>
      <c r="B391" s="183">
        <f>IF(E387=19,T(E331),(IF(OR(A387=8,A387=21,A387=26,E390=12,E390=13,A387=24,E387=5,A387=6,E387=16,E387=17,E387=18,E387=9,E387=24,E390=4,E390=2),SUM(C276:C359),IF(OR(E387=6,E387=7),S355,C375))))</f>
        <v>0</v>
      </c>
      <c r="C391" s="19" t="str">
        <f>IF(OR(E390=22,E390=18,E390=20,E390=2),"per hour",IF(E390=14,T(E310),IF(E390=15,T(E311),IF(E387=22,T(E312),IF(A387=2,T(E313),IF(A387=6,T(E316),IF(E387=9,T(E340),IF(E387=16,T(E325),IF(OR(E387=18,E387=2,E387=17,E390=17,E387=15,E390=4,E390=3),T(E317),IF(A387=4,T(E328),IF(OR(E387=3,E387=4,E387=5,E387=8,E390=24,E387=26,E387=25,E387=24),T(E334),CHAR(160))))))))))))</f>
        <v> </v>
      </c>
      <c r="D391" s="19"/>
      <c r="E391" s="19"/>
      <c r="F391" s="19"/>
      <c r="G391" s="19"/>
      <c r="H391" s="19"/>
      <c r="I391" s="19"/>
      <c r="J391" s="18"/>
      <c r="K391" s="18"/>
      <c r="L391" s="13"/>
      <c r="M391" s="12"/>
      <c r="N391" s="12"/>
      <c r="O391" s="12"/>
      <c r="P391" s="18"/>
      <c r="Q391" s="12"/>
      <c r="R391" s="12"/>
      <c r="S391" s="12"/>
      <c r="T391" s="12"/>
      <c r="U391" s="12"/>
      <c r="V391" s="12"/>
    </row>
    <row r="392" spans="1:22" ht="16.5" customHeight="1" thickBot="1">
      <c r="A392" s="147" t="str">
        <f>(IF(OR(A387=21,A387=24),T(E306),IF(OR(A387=26,E390=12,E390=13),T(E314),IF(E387=5,T(E318),IF(A387=6,T(E322),IF(OR(E387=24,E387=9),T(E323),IF(OR(E387=16,E387=17,E387=18,E390=18),T(E326),IF(A387=8,T(E332),IF(OR(E387=7,E387=6),T(E336),IF(OR(E390=4,E390=2),T(E305),IF(E387=14,T(E308),CHAR(160))))))))))))</f>
        <v> </v>
      </c>
      <c r="B392" s="130">
        <v>22</v>
      </c>
      <c r="C392" s="220" t="str">
        <f>IF(OR((AND(A387&gt;1,E387&gt;1)),(AND(A387&gt;1,E390&gt;1)),(AND(E387&gt;1,E390&gt;1))),T(E307),IF(E387=6, T(E319),IF(E387=7,T(E320),IF(OR(E387=16,E387=17,E390=4),T(E321),IF(E387=9,T(E324),IF(E387=18,T(E329),IF(E387=5,T(E335),IF(E387=24,T(E339),IF(E387=14,T(E309),CHAR(160))))))))))</f>
        <v> </v>
      </c>
      <c r="D392" s="220"/>
      <c r="E392" s="220"/>
      <c r="F392" s="18"/>
      <c r="G392" s="18"/>
      <c r="H392" s="18"/>
      <c r="I392" s="18"/>
      <c r="J392" s="18"/>
      <c r="K392" s="18"/>
      <c r="L392" s="13"/>
      <c r="M392" s="12"/>
      <c r="N392" s="12"/>
      <c r="O392" s="12"/>
      <c r="P392" s="18"/>
      <c r="Q392" s="12"/>
      <c r="R392" s="12"/>
      <c r="S392" s="12"/>
      <c r="T392" s="12"/>
      <c r="U392" s="12"/>
      <c r="V392" s="12"/>
    </row>
    <row r="393" spans="1:22" ht="26.25" thickTop="1">
      <c r="A393" s="147" t="str">
        <f>IF(OR(E387=18,A387=21,A387=26,E390=12,E390=13,A387=24,E387=5,A387=6,E387=9,E387=18,E387=16,E387=17,A387=8,E390=18,E387=24,E390=4,E390=2,E387=14),"Total Permit Fee = ",CHAR(160))</f>
        <v> </v>
      </c>
      <c r="B393" s="192">
        <f>IF(E390=18,IF((L358*65)&lt;=130,130,L358*65),C375)</f>
        <v>0</v>
      </c>
      <c r="C393" s="220"/>
      <c r="D393" s="220"/>
      <c r="E393" s="220"/>
      <c r="F393" s="18"/>
      <c r="G393" s="18"/>
      <c r="H393" s="18"/>
      <c r="I393" s="18"/>
      <c r="J393" s="18"/>
      <c r="K393" s="18"/>
      <c r="L393" s="199" t="s">
        <v>225</v>
      </c>
      <c r="M393" s="200"/>
      <c r="N393" s="201"/>
      <c r="O393" s="191"/>
      <c r="P393" s="18"/>
      <c r="Q393" s="12"/>
      <c r="R393" s="12"/>
      <c r="S393" s="12"/>
      <c r="T393" s="12"/>
      <c r="U393" s="12"/>
      <c r="V393" s="12"/>
    </row>
    <row r="394" spans="1:22" ht="15.75" customHeight="1" thickBot="1">
      <c r="A394" s="184"/>
      <c r="B394" s="196" t="str">
        <f>(IF(OR(E387=16,E387=18),T(E327),CHAR(160)))</f>
        <v> </v>
      </c>
      <c r="C394" s="220"/>
      <c r="D394" s="220"/>
      <c r="E394" s="220"/>
      <c r="F394" s="18"/>
      <c r="G394" s="18"/>
      <c r="H394" s="18"/>
      <c r="I394" s="18"/>
      <c r="J394" s="18"/>
      <c r="K394" s="18"/>
      <c r="L394" s="202"/>
      <c r="M394" s="203"/>
      <c r="N394" s="204"/>
      <c r="O394" s="191"/>
      <c r="P394" s="18"/>
      <c r="Q394" s="12"/>
      <c r="R394" s="12"/>
      <c r="S394" s="12"/>
      <c r="T394" s="12"/>
      <c r="U394" s="12"/>
      <c r="V394" s="12"/>
    </row>
    <row r="395" spans="1:22" ht="15.75" thickTop="1">
      <c r="A395" s="12"/>
      <c r="B395" s="196"/>
      <c r="C395" s="220"/>
      <c r="D395" s="220"/>
      <c r="E395" s="220"/>
      <c r="F395" s="12"/>
      <c r="G395" s="12"/>
      <c r="H395" s="12"/>
      <c r="I395" s="12"/>
      <c r="J395" s="12"/>
      <c r="K395" s="12"/>
      <c r="L395" s="13"/>
      <c r="M395" s="12"/>
      <c r="N395" s="12"/>
      <c r="O395" s="12"/>
      <c r="P395" s="12"/>
      <c r="Q395" s="12"/>
      <c r="R395" s="12"/>
      <c r="S395" s="12"/>
      <c r="T395" s="12"/>
      <c r="U395" s="12"/>
      <c r="V395" s="12"/>
    </row>
    <row r="396" spans="1:22">
      <c r="A396" s="12"/>
      <c r="B396" s="196"/>
      <c r="C396" s="12"/>
      <c r="D396" s="13"/>
      <c r="E396" s="13"/>
      <c r="F396" s="12"/>
      <c r="G396" s="12"/>
      <c r="H396" s="12"/>
      <c r="I396" s="12"/>
      <c r="J396" s="12"/>
      <c r="K396" s="12"/>
      <c r="L396" s="13"/>
      <c r="M396" s="12"/>
      <c r="N396" s="12"/>
      <c r="O396" s="12"/>
      <c r="P396" s="12"/>
      <c r="Q396" s="12"/>
      <c r="R396" s="12"/>
      <c r="S396" s="12"/>
      <c r="T396" s="12"/>
      <c r="U396" s="12"/>
      <c r="V396" s="12"/>
    </row>
    <row r="397" spans="1:22">
      <c r="A397" s="12"/>
      <c r="B397" s="12"/>
      <c r="C397" s="12"/>
      <c r="D397" s="13"/>
      <c r="E397" s="13"/>
      <c r="F397" s="12"/>
      <c r="G397" s="12"/>
      <c r="H397" s="12"/>
      <c r="I397" s="12"/>
      <c r="J397" s="12"/>
      <c r="K397" s="12"/>
      <c r="L397" s="13"/>
      <c r="M397" s="12"/>
      <c r="N397" s="12"/>
      <c r="O397" s="12"/>
      <c r="P397" s="12"/>
      <c r="Q397" s="12"/>
      <c r="R397" s="12"/>
      <c r="S397" s="12"/>
      <c r="T397" s="12"/>
      <c r="U397" s="12"/>
      <c r="V397" s="12"/>
    </row>
    <row r="398" spans="1:22">
      <c r="A398" s="12"/>
      <c r="B398" s="12"/>
      <c r="C398" s="12"/>
      <c r="D398" s="13"/>
      <c r="E398" s="13"/>
      <c r="F398" s="12"/>
      <c r="G398" s="12"/>
      <c r="H398" s="12"/>
      <c r="I398" s="12"/>
      <c r="J398" s="12"/>
      <c r="K398" s="12"/>
      <c r="L398" s="13"/>
      <c r="M398" s="12"/>
      <c r="N398" s="12"/>
      <c r="O398" s="12"/>
      <c r="P398" s="12"/>
      <c r="Q398" s="12"/>
      <c r="R398" s="12"/>
      <c r="S398" s="12"/>
      <c r="T398" s="12"/>
      <c r="U398" s="12"/>
      <c r="V398" s="12"/>
    </row>
    <row r="399" spans="1:22">
      <c r="A399" s="12"/>
      <c r="B399" s="12"/>
      <c r="C399" s="12"/>
      <c r="D399" s="13"/>
      <c r="E399" s="13"/>
      <c r="F399" s="12"/>
      <c r="G399" s="12"/>
      <c r="H399" s="12"/>
      <c r="I399" s="12"/>
      <c r="J399" s="12"/>
      <c r="K399" s="12"/>
      <c r="L399" s="13"/>
      <c r="M399" s="12"/>
      <c r="N399" s="12"/>
      <c r="O399" s="12"/>
      <c r="P399" s="12"/>
      <c r="Q399" s="12"/>
      <c r="R399" s="12"/>
      <c r="S399" s="12"/>
      <c r="T399" s="12"/>
      <c r="U399" s="12"/>
      <c r="V399" s="12"/>
    </row>
    <row r="400" spans="1:22">
      <c r="A400" s="12"/>
      <c r="B400" s="12"/>
      <c r="C400" s="12"/>
      <c r="D400" s="13"/>
      <c r="E400" s="13"/>
      <c r="F400" s="12"/>
      <c r="G400" s="12"/>
      <c r="H400" s="12"/>
      <c r="I400" s="12"/>
      <c r="J400" s="12"/>
      <c r="K400" s="12"/>
      <c r="L400" s="13"/>
      <c r="M400" s="12"/>
      <c r="N400" s="12"/>
      <c r="O400" s="12"/>
      <c r="P400" s="12"/>
      <c r="Q400" s="12"/>
      <c r="R400" s="12"/>
      <c r="S400" s="12"/>
      <c r="T400" s="12"/>
      <c r="U400" s="12"/>
      <c r="V400" s="12"/>
    </row>
    <row r="401" spans="1:22">
      <c r="A401" s="12"/>
      <c r="B401" s="12"/>
      <c r="C401" s="12"/>
      <c r="D401" s="13"/>
      <c r="E401" s="13"/>
      <c r="F401" s="12"/>
      <c r="G401" s="12"/>
      <c r="H401" s="12"/>
      <c r="I401" s="12"/>
      <c r="J401" s="12"/>
      <c r="K401" s="12"/>
      <c r="L401" s="13"/>
      <c r="M401" s="12"/>
      <c r="N401" s="12"/>
      <c r="O401" s="12"/>
      <c r="P401" s="12"/>
      <c r="Q401" s="12"/>
      <c r="R401" s="12"/>
      <c r="S401" s="12"/>
      <c r="T401" s="12"/>
      <c r="U401" s="12"/>
      <c r="V401" s="12"/>
    </row>
    <row r="402" spans="1:22">
      <c r="A402" s="12"/>
      <c r="B402" s="12"/>
      <c r="C402" s="12"/>
      <c r="D402" s="13"/>
      <c r="E402" s="13"/>
      <c r="F402" s="12"/>
      <c r="G402" s="12"/>
      <c r="H402" s="12"/>
      <c r="I402" s="12"/>
      <c r="J402" s="12"/>
      <c r="K402" s="12"/>
      <c r="L402" s="13"/>
      <c r="M402" s="12"/>
      <c r="N402" s="12"/>
      <c r="O402" s="12"/>
      <c r="P402" s="12"/>
      <c r="Q402" s="12"/>
      <c r="R402" s="12"/>
      <c r="S402" s="12"/>
      <c r="T402" s="12"/>
      <c r="U402" s="12"/>
      <c r="V402" s="12"/>
    </row>
    <row r="403" spans="1:22">
      <c r="A403" s="12"/>
      <c r="B403" s="12"/>
      <c r="C403" s="12"/>
      <c r="D403" s="13"/>
      <c r="E403" s="13"/>
      <c r="F403" s="12"/>
      <c r="G403" s="12"/>
      <c r="H403" s="12"/>
      <c r="I403" s="12"/>
      <c r="J403" s="12"/>
      <c r="K403" s="12"/>
      <c r="L403" s="13"/>
      <c r="M403" s="12"/>
      <c r="N403" s="12"/>
      <c r="O403" s="12"/>
      <c r="P403" s="12"/>
      <c r="Q403" s="12"/>
      <c r="R403" s="12"/>
      <c r="S403" s="12"/>
      <c r="T403" s="12"/>
      <c r="U403" s="12"/>
      <c r="V403" s="12"/>
    </row>
    <row r="404" spans="1:22">
      <c r="A404" s="12"/>
      <c r="B404" s="12"/>
      <c r="C404" s="12"/>
      <c r="D404" s="13"/>
      <c r="E404" s="13"/>
      <c r="F404" s="12"/>
      <c r="G404" s="12"/>
      <c r="H404" s="12"/>
      <c r="I404" s="12"/>
      <c r="J404" s="12"/>
      <c r="K404" s="12"/>
      <c r="L404" s="13"/>
      <c r="M404" s="12"/>
      <c r="N404" s="12"/>
      <c r="O404" s="12"/>
      <c r="P404" s="12"/>
      <c r="Q404" s="12"/>
      <c r="R404" s="12"/>
      <c r="S404" s="12"/>
      <c r="T404" s="12"/>
      <c r="U404" s="12"/>
      <c r="V404" s="12"/>
    </row>
    <row r="405" spans="1:22">
      <c r="A405" s="12"/>
      <c r="B405" s="12"/>
      <c r="C405" s="12"/>
      <c r="D405" s="13"/>
      <c r="E405" s="13"/>
      <c r="F405" s="12"/>
      <c r="G405" s="12"/>
      <c r="H405" s="12"/>
      <c r="I405" s="12"/>
      <c r="J405" s="12"/>
      <c r="K405" s="12"/>
      <c r="L405" s="13"/>
      <c r="M405" s="12"/>
      <c r="N405" s="12"/>
      <c r="O405" s="12"/>
      <c r="P405" s="12"/>
      <c r="Q405" s="12"/>
      <c r="R405" s="12"/>
      <c r="S405" s="12"/>
      <c r="T405" s="12"/>
      <c r="U405" s="12"/>
      <c r="V405" s="12"/>
    </row>
  </sheetData>
  <sheetProtection sheet="1" objects="1" scenarios="1" selectLockedCells="1"/>
  <protectedRanges>
    <protectedRange sqref="B390 N267:O267" name="Range4"/>
    <protectedRange sqref="E268" name="Range2"/>
    <protectedRange sqref="B268" name="Range3"/>
  </protectedRanges>
  <mergeCells count="18">
    <mergeCell ref="C392:E395"/>
    <mergeCell ref="B390:C390"/>
    <mergeCell ref="A267:B267"/>
    <mergeCell ref="B394:B396"/>
    <mergeCell ref="A3:N3"/>
    <mergeCell ref="A1:N1"/>
    <mergeCell ref="L393:N394"/>
    <mergeCell ref="L5:N6"/>
    <mergeCell ref="A390:A391"/>
    <mergeCell ref="A271:N271"/>
    <mergeCell ref="A228:M229"/>
    <mergeCell ref="A230:C230"/>
    <mergeCell ref="D230:M230"/>
    <mergeCell ref="A7:B7"/>
    <mergeCell ref="A382:B382"/>
    <mergeCell ref="A386:D386"/>
    <mergeCell ref="E386:N386"/>
    <mergeCell ref="E389:N389"/>
  </mergeCells>
  <conditionalFormatting sqref="B392">
    <cfRule type="expression" dxfId="10" priority="1">
      <formula>E387=14</formula>
    </cfRule>
    <cfRule type="expression" dxfId="9" priority="19">
      <formula>OR(E387=14,E390=2,E390=4,E387=24,E390=18,E387=18,A387=8,E387=17,E387=6,E387=7,E387=16,E387=9,A387=6,A387=21,A387=26,E390=12,E390=13,A387=24,E387=5)</formula>
    </cfRule>
  </conditionalFormatting>
  <conditionalFormatting sqref="B393">
    <cfRule type="expression" dxfId="8" priority="13">
      <formula>OR(E387=14,E390=2,E390=4,E387=24,E390=18,E387=18,A387=8,E387=17,E387=16,E387=9,A387=6,A387=21,A387=26,E390=12,E390=13,A387=24,E387=5)</formula>
    </cfRule>
  </conditionalFormatting>
  <conditionalFormatting sqref="A389">
    <cfRule type="expression" dxfId="7" priority="11">
      <formula>OR(E387=6,E387=7,$E$390=2,$E$390=3,$E$390=4,$E$390=22,E387=13,E390=21)</formula>
    </cfRule>
  </conditionalFormatting>
  <conditionalFormatting sqref="B389">
    <cfRule type="expression" dxfId="6" priority="10">
      <formula>OR(E387=6,E387=7,E387=13)</formula>
    </cfRule>
  </conditionalFormatting>
  <conditionalFormatting sqref="B40">
    <cfRule type="expression" dxfId="5" priority="8">
      <formula>OR(A38=24,A38=44,A38=25,A38=26)</formula>
    </cfRule>
  </conditionalFormatting>
  <conditionalFormatting sqref="B391:C391">
    <cfRule type="expression" dxfId="4" priority="7">
      <formula>OR(E390=18,E390=14)</formula>
    </cfRule>
  </conditionalFormatting>
  <conditionalFormatting sqref="C389">
    <cfRule type="expression" dxfId="3" priority="6">
      <formula>E387=12</formula>
    </cfRule>
  </conditionalFormatting>
  <conditionalFormatting sqref="A390:A391">
    <cfRule type="expression" dxfId="2" priority="5">
      <formula>OR(E387=19,E387=14)</formula>
    </cfRule>
  </conditionalFormatting>
  <conditionalFormatting sqref="C392:E395">
    <cfRule type="expression" dxfId="1" priority="3">
      <formula>E387=14</formula>
    </cfRule>
  </conditionalFormatting>
  <conditionalFormatting sqref="B391">
    <cfRule type="expression" dxfId="0" priority="2">
      <formula>E387=14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2"/>
  <sheetViews>
    <sheetView workbookViewId="0">
      <selection activeCell="A3" sqref="A3"/>
    </sheetView>
  </sheetViews>
  <sheetFormatPr defaultRowHeight="15"/>
  <cols>
    <col min="1" max="1" width="70.7109375" customWidth="1"/>
  </cols>
  <sheetData>
    <row r="1" spans="1:2">
      <c r="A1" t="s">
        <v>252</v>
      </c>
    </row>
    <row r="2" spans="1:2">
      <c r="A2" s="2" t="s">
        <v>6</v>
      </c>
    </row>
    <row r="3" spans="1:2">
      <c r="A3" s="2" t="s">
        <v>9</v>
      </c>
    </row>
    <row r="4" spans="1:2">
      <c r="A4" s="2" t="s">
        <v>14</v>
      </c>
    </row>
    <row r="5" spans="1:2">
      <c r="A5" s="2" t="s">
        <v>17</v>
      </c>
    </row>
    <row r="6" spans="1:2">
      <c r="A6" s="2" t="s">
        <v>28</v>
      </c>
    </row>
    <row r="7" spans="1:2">
      <c r="A7" s="2" t="s">
        <v>33</v>
      </c>
    </row>
    <row r="8" spans="1:2">
      <c r="A8" s="2" t="s">
        <v>35</v>
      </c>
    </row>
    <row r="9" spans="1:2">
      <c r="A9" s="2" t="s">
        <v>43</v>
      </c>
    </row>
    <row r="10" spans="1:2">
      <c r="A10" s="2" t="s">
        <v>45</v>
      </c>
    </row>
    <row r="11" spans="1:2">
      <c r="A11" s="2" t="s">
        <v>174</v>
      </c>
    </row>
    <row r="12" spans="1:2" s="6" customFormat="1" ht="12.75">
      <c r="A12" s="5" t="s">
        <v>150</v>
      </c>
    </row>
    <row r="13" spans="1:2" s="6" customFormat="1" ht="12.75">
      <c r="A13" s="5" t="s">
        <v>151</v>
      </c>
    </row>
    <row r="14" spans="1:2" s="6" customFormat="1" ht="12.75">
      <c r="A14" s="5" t="s">
        <v>152</v>
      </c>
    </row>
    <row r="15" spans="1:2" s="6" customFormat="1" ht="12.75">
      <c r="A15" s="5" t="s">
        <v>153</v>
      </c>
      <c r="B15" s="7"/>
    </row>
    <row r="16" spans="1:2" s="6" customFormat="1" ht="12.75">
      <c r="A16" s="5" t="s">
        <v>154</v>
      </c>
      <c r="B16" s="7"/>
    </row>
    <row r="17" spans="1:4" s="6" customFormat="1" ht="12.75">
      <c r="A17" s="5" t="s">
        <v>155</v>
      </c>
      <c r="B17" s="7"/>
    </row>
    <row r="18" spans="1:4" s="6" customFormat="1" ht="12.75">
      <c r="A18" s="5" t="s">
        <v>156</v>
      </c>
      <c r="B18" s="7"/>
      <c r="D18" s="8"/>
    </row>
    <row r="19" spans="1:4" s="6" customFormat="1" ht="12.75">
      <c r="A19" s="5" t="s">
        <v>157</v>
      </c>
      <c r="B19" s="7"/>
      <c r="D19" s="8"/>
    </row>
    <row r="20" spans="1:4" s="6" customFormat="1" ht="12.75">
      <c r="A20" s="5" t="s">
        <v>158</v>
      </c>
      <c r="B20" s="7"/>
    </row>
    <row r="21" spans="1:4" s="6" customFormat="1" ht="12.75">
      <c r="A21" s="5" t="s">
        <v>159</v>
      </c>
      <c r="B21" s="7"/>
    </row>
    <row r="22" spans="1:4" s="9" customFormat="1" ht="12.75">
      <c r="A22" s="5" t="s">
        <v>160</v>
      </c>
      <c r="B22" s="7"/>
    </row>
    <row r="23" spans="1:4" s="9" customFormat="1" ht="12.75">
      <c r="A23" s="5" t="s">
        <v>161</v>
      </c>
      <c r="B23" s="7"/>
    </row>
    <row r="24" spans="1:4" s="9" customFormat="1" ht="12.75">
      <c r="A24" s="5" t="s">
        <v>162</v>
      </c>
      <c r="B24" s="7"/>
    </row>
    <row r="25" spans="1:4" s="9" customFormat="1" ht="12.75">
      <c r="A25" s="5" t="s">
        <v>163</v>
      </c>
      <c r="B25" s="7"/>
    </row>
    <row r="26" spans="1:4" s="9" customFormat="1" ht="12.75">
      <c r="A26" s="5" t="s">
        <v>164</v>
      </c>
      <c r="B26" s="7"/>
    </row>
    <row r="27" spans="1:4" s="9" customFormat="1" ht="12.75">
      <c r="A27" s="5" t="s">
        <v>165</v>
      </c>
      <c r="B27" s="7"/>
    </row>
    <row r="28" spans="1:4" s="9" customFormat="1" ht="12.75">
      <c r="A28" s="5" t="s">
        <v>166</v>
      </c>
      <c r="B28" s="7"/>
    </row>
    <row r="29" spans="1:4" s="9" customFormat="1" ht="12.75">
      <c r="A29" s="5" t="s">
        <v>167</v>
      </c>
      <c r="B29" s="7"/>
    </row>
    <row r="30" spans="1:4" s="9" customFormat="1" ht="12.75">
      <c r="A30" s="5" t="s">
        <v>168</v>
      </c>
      <c r="B30" s="7"/>
    </row>
    <row r="31" spans="1:4" s="9" customFormat="1" ht="12.75">
      <c r="A31" s="5" t="s">
        <v>169</v>
      </c>
      <c r="B31" s="7"/>
    </row>
    <row r="32" spans="1:4" s="9" customFormat="1" ht="12.75">
      <c r="A32" s="5" t="s">
        <v>170</v>
      </c>
      <c r="B32" s="7"/>
    </row>
    <row r="33" spans="1:2" s="9" customFormat="1" ht="12.75">
      <c r="A33" s="5" t="s">
        <v>171</v>
      </c>
      <c r="B33" s="7"/>
    </row>
    <row r="34" spans="1:2" s="9" customFormat="1" ht="12.75">
      <c r="A34" s="5" t="s">
        <v>172</v>
      </c>
      <c r="B34" s="7"/>
    </row>
    <row r="35" spans="1:2" s="9" customFormat="1" ht="12.75">
      <c r="A35" s="5" t="s">
        <v>173</v>
      </c>
      <c r="B35" s="7"/>
    </row>
    <row r="36" spans="1:2" s="4" customFormat="1" ht="12.75">
      <c r="A36" s="5" t="s">
        <v>175</v>
      </c>
      <c r="B36" s="1"/>
    </row>
    <row r="37" spans="1:2" s="4" customFormat="1" ht="12.75">
      <c r="A37" s="6" t="s">
        <v>219</v>
      </c>
      <c r="B37" s="3"/>
    </row>
    <row r="38" spans="1:2" s="4" customFormat="1" ht="12.75">
      <c r="A38" s="6" t="s">
        <v>220</v>
      </c>
      <c r="B38" s="3"/>
    </row>
    <row r="39" spans="1:2" s="4" customFormat="1" ht="12.75">
      <c r="A39" s="6" t="s">
        <v>221</v>
      </c>
      <c r="B39" s="3"/>
    </row>
    <row r="40" spans="1:2" s="4" customFormat="1" ht="12.75">
      <c r="A40" s="6" t="s">
        <v>222</v>
      </c>
      <c r="B40" s="3"/>
    </row>
    <row r="41" spans="1:2" s="4" customFormat="1" ht="12.75">
      <c r="A41" s="6" t="s">
        <v>223</v>
      </c>
      <c r="B41" s="3"/>
    </row>
    <row r="42" spans="1:2">
      <c r="A42" s="7" t="s">
        <v>224</v>
      </c>
    </row>
  </sheetData>
  <protectedRanges>
    <protectedRange sqref="A2:A42" name="Range1"/>
  </protectedRange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Fee Worksheet</vt:lpstr>
      <vt:lpstr>Occupancy Classifications</vt:lpstr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Geislinger</dc:creator>
  <cp:lastModifiedBy>Keith Dix</cp:lastModifiedBy>
  <cp:lastPrinted>2009-04-30T14:29:54Z</cp:lastPrinted>
  <dcterms:created xsi:type="dcterms:W3CDTF">2009-04-28T20:32:21Z</dcterms:created>
  <dcterms:modified xsi:type="dcterms:W3CDTF">2012-07-16T17:21:00Z</dcterms:modified>
</cp:coreProperties>
</file>