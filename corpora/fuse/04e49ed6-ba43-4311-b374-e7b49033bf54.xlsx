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776" yWindow="-36" windowWidth="7560" windowHeight="8256"/>
  </bookViews>
  <sheets>
    <sheet name="Travel Reimbursement" sheetId="1" r:id="rId1"/>
    <sheet name="Per Diem Worksheet" sheetId="2" r:id="rId2"/>
  </sheets>
  <definedNames>
    <definedName name="_xlnm.Print_Area" localSheetId="1">'Per Diem Worksheet'!$A$1:$J$26</definedName>
    <definedName name="_xlnm.Print_Area" localSheetId="0">'Travel Reimbursement'!$A$1:$H$42</definedName>
  </definedNames>
  <calcPr calcId="145621"/>
</workbook>
</file>

<file path=xl/calcChain.xml><?xml version="1.0" encoding="utf-8"?>
<calcChain xmlns="http://schemas.openxmlformats.org/spreadsheetml/2006/main">
  <c r="C10" i="1" l="1"/>
  <c r="H15" i="2" l="1"/>
  <c r="H25" i="2"/>
  <c r="J25" i="2" s="1"/>
  <c r="H13" i="2"/>
  <c r="J13" i="2" s="1"/>
  <c r="H24" i="2"/>
  <c r="J24" i="2" s="1"/>
  <c r="H23" i="2"/>
  <c r="J23" i="2" s="1"/>
  <c r="H22" i="2"/>
  <c r="J22" i="2" s="1"/>
  <c r="H21" i="2"/>
  <c r="J21" i="2" s="1"/>
  <c r="H20" i="2"/>
  <c r="J20" i="2" s="1"/>
  <c r="H19" i="2"/>
  <c r="J19" i="2" s="1"/>
  <c r="H18" i="2"/>
  <c r="J18" i="2" s="1"/>
  <c r="H17" i="2"/>
  <c r="J17" i="2" s="1"/>
  <c r="H16" i="2"/>
  <c r="J16" i="2" s="1"/>
  <c r="J15" i="2"/>
  <c r="H14" i="2"/>
  <c r="J14" i="2" s="1"/>
  <c r="J26" i="2" l="1"/>
  <c r="C11" i="1" s="1"/>
  <c r="C21" i="1" s="1"/>
  <c r="C25" i="1" s="1"/>
</calcChain>
</file>

<file path=xl/sharedStrings.xml><?xml version="1.0" encoding="utf-8"?>
<sst xmlns="http://schemas.openxmlformats.org/spreadsheetml/2006/main" count="84" uniqueCount="74">
  <si>
    <t>TRAVEL REIMBURSEMENT REQUEST</t>
  </si>
  <si>
    <t>EXPENSE TYPE</t>
  </si>
  <si>
    <t>Auto Mileage</t>
  </si>
  <si>
    <t>Per Diem</t>
  </si>
  <si>
    <t>Itemized Meals</t>
  </si>
  <si>
    <t>Lodging</t>
  </si>
  <si>
    <t>Auto Rental</t>
  </si>
  <si>
    <t>Conference Registration</t>
  </si>
  <si>
    <t>Airfare</t>
  </si>
  <si>
    <t>Parking/Tolls/Gasoline</t>
  </si>
  <si>
    <t>Taxi/Train/Bus</t>
  </si>
  <si>
    <t>Other</t>
  </si>
  <si>
    <t>K99</t>
  </si>
  <si>
    <t>E46</t>
  </si>
  <si>
    <t>K11</t>
  </si>
  <si>
    <t>K10</t>
  </si>
  <si>
    <t>I82</t>
  </si>
  <si>
    <t>E41</t>
  </si>
  <si>
    <t>I70</t>
  </si>
  <si>
    <t>G58</t>
  </si>
  <si>
    <t>G50</t>
  </si>
  <si>
    <t>K08</t>
  </si>
  <si>
    <t>EXPENSE AMOUNT</t>
  </si>
  <si>
    <t>SPLIT
PERCENT</t>
  </si>
  <si>
    <t>BUDGET NUMBER</t>
  </si>
  <si>
    <t>SUBTOTAL</t>
  </si>
  <si>
    <t>LESS ADVANCE</t>
  </si>
  <si>
    <t>TOTAL</t>
  </si>
  <si>
    <t>PAYEE SIGNATURE</t>
  </si>
  <si>
    <t>BUDGET OFFICER SIGNATURE</t>
  </si>
  <si>
    <t>Name</t>
  </si>
  <si>
    <t>ID/SSN</t>
  </si>
  <si>
    <t>Street Address</t>
  </si>
  <si>
    <t>City/State/Zip</t>
  </si>
  <si>
    <t>Click on per diem tab below</t>
  </si>
  <si>
    <t>Attach Receipts</t>
  </si>
  <si>
    <t>Attach Receipts for any transaction over $25</t>
  </si>
  <si>
    <t>Attach Receipts for any transaction over $75</t>
  </si>
  <si>
    <t>BUSINESS PURPOSE OF TRAVEL:</t>
  </si>
  <si>
    <t>DATES OF TRAVEL:</t>
  </si>
  <si>
    <t>RETURN DESTINATION ADDRESS:</t>
  </si>
  <si>
    <t>K09</t>
  </si>
  <si>
    <t>PER DIEM CALCULATION</t>
  </si>
  <si>
    <t>The Disbursements Office will calculate the per diem for you if you prefer. Simply fill in the pertinent information.</t>
  </si>
  <si>
    <t>PER CENT OF DAY</t>
  </si>
  <si>
    <t>LESS MEALS PROVIDED</t>
  </si>
  <si>
    <t>CITY OF DEPARTURE</t>
  </si>
  <si>
    <t>DATE</t>
  </si>
  <si>
    <t>TIME</t>
  </si>
  <si>
    <t xml:space="preserve">CITY  </t>
  </si>
  <si>
    <t>OVERNIGHT</t>
  </si>
  <si>
    <t>Domestic Per Diem Rates</t>
  </si>
  <si>
    <t>TRAVELING</t>
  </si>
  <si>
    <t>PER DIEM</t>
  </si>
  <si>
    <t>Breakfast=20%</t>
  </si>
  <si>
    <t>ARRIVED</t>
  </si>
  <si>
    <t>STAY?</t>
  </si>
  <si>
    <t>Foreign Per Diem Rates</t>
  </si>
  <si>
    <t>12:01am to 6am=25%</t>
  </si>
  <si>
    <t>Lunch=20%</t>
  </si>
  <si>
    <t>6:01am to noon=25%</t>
  </si>
  <si>
    <t>Dinner=60%</t>
  </si>
  <si>
    <t>12:01pm to 6pm=25%</t>
  </si>
  <si>
    <t>PER DIEM RATE</t>
  </si>
  <si>
    <t>6:01pm to midnight=25%</t>
  </si>
  <si>
    <t>ENTER DOLLAR AMT</t>
  </si>
  <si>
    <t>SUPERVISOR SIGNATURE REQUIRED IF OVER $100</t>
  </si>
  <si>
    <t>Travel Start Date</t>
  </si>
  <si>
    <t>Travel End Date</t>
  </si>
  <si>
    <t>DEPARTURE ADDRESS:</t>
  </si>
  <si>
    <t>Return to Accounts Payable for Processing</t>
  </si>
  <si>
    <t>FY 2014</t>
  </si>
  <si>
    <t>ENTER MILES DRIVEN &gt;&gt;&gt;&gt;&gt;&gt;&gt;&gt;&gt;&gt;&gt;&gt;&gt;&gt;&gt;</t>
  </si>
  <si>
    <t>For travel on/after Jan 1,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</si>
</sst>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[$-409]h:mm\ AM/PM;@"/>
    <numFmt numFmtId="166" formatCode="00_000000000_000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8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u/>
      <sz val="11"/>
      <color indexed="12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0" fillId="4" borderId="2" xfId="0" applyFill="1" applyBorder="1" applyProtection="1"/>
    <xf numFmtId="164" fontId="0" fillId="4" borderId="2" xfId="0" applyNumberFormat="1" applyFill="1" applyBorder="1" applyProtection="1"/>
    <xf numFmtId="165" fontId="0" fillId="4" borderId="2" xfId="0" applyNumberFormat="1" applyFill="1" applyBorder="1" applyProtection="1"/>
    <xf numFmtId="0" fontId="6" fillId="4" borderId="2" xfId="0" applyFont="1" applyFill="1" applyBorder="1" applyAlignment="1" applyProtection="1">
      <alignment horizontal="center"/>
    </xf>
    <xf numFmtId="0" fontId="6" fillId="4" borderId="2" xfId="0" applyFont="1" applyFill="1" applyBorder="1" applyAlignment="1" applyProtection="1"/>
    <xf numFmtId="39" fontId="0" fillId="4" borderId="2" xfId="0" applyNumberFormat="1" applyFill="1" applyBorder="1" applyProtection="1"/>
    <xf numFmtId="0" fontId="6" fillId="4" borderId="12" xfId="0" applyFont="1" applyFill="1" applyBorder="1" applyAlignment="1" applyProtection="1">
      <alignment horizontal="center"/>
    </xf>
    <xf numFmtId="164" fontId="6" fillId="4" borderId="12" xfId="0" applyNumberFormat="1" applyFont="1" applyFill="1" applyBorder="1" applyAlignment="1" applyProtection="1">
      <alignment horizontal="center"/>
    </xf>
    <xf numFmtId="165" fontId="6" fillId="4" borderId="12" xfId="0" applyNumberFormat="1" applyFont="1" applyFill="1" applyBorder="1" applyAlignment="1" applyProtection="1">
      <alignment horizontal="center"/>
    </xf>
    <xf numFmtId="0" fontId="6" fillId="4" borderId="3" xfId="0" applyFont="1" applyFill="1" applyBorder="1" applyAlignment="1" applyProtection="1">
      <alignment horizontal="center"/>
    </xf>
    <xf numFmtId="0" fontId="0" fillId="4" borderId="2" xfId="0" applyFill="1" applyBorder="1" applyAlignment="1" applyProtection="1">
      <alignment horizontal="center"/>
    </xf>
    <xf numFmtId="39" fontId="6" fillId="4" borderId="12" xfId="0" applyNumberFormat="1" applyFont="1" applyFill="1" applyBorder="1" applyAlignment="1" applyProtection="1">
      <alignment horizontal="center"/>
    </xf>
    <xf numFmtId="0" fontId="0" fillId="4" borderId="12" xfId="0" applyFill="1" applyBorder="1" applyProtection="1"/>
    <xf numFmtId="164" fontId="0" fillId="4" borderId="12" xfId="0" applyNumberFormat="1" applyFill="1" applyBorder="1" applyProtection="1"/>
    <xf numFmtId="165" fontId="0" fillId="4" borderId="12" xfId="0" applyNumberFormat="1" applyFill="1" applyBorder="1" applyProtection="1"/>
    <xf numFmtId="0" fontId="10" fillId="4" borderId="12" xfId="0" applyFont="1" applyFill="1" applyBorder="1" applyAlignment="1" applyProtection="1">
      <alignment horizontal="center"/>
    </xf>
    <xf numFmtId="0" fontId="0" fillId="4" borderId="12" xfId="0" applyFill="1" applyBorder="1" applyAlignment="1" applyProtection="1">
      <alignment horizontal="center"/>
    </xf>
    <xf numFmtId="0" fontId="0" fillId="4" borderId="3" xfId="0" applyFill="1" applyBorder="1" applyAlignment="1" applyProtection="1">
      <alignment horizontal="center"/>
    </xf>
    <xf numFmtId="0" fontId="0" fillId="4" borderId="3" xfId="0" applyFill="1" applyBorder="1" applyProtection="1"/>
    <xf numFmtId="164" fontId="0" fillId="4" borderId="3" xfId="0" applyNumberFormat="1" applyFill="1" applyBorder="1" applyProtection="1"/>
    <xf numFmtId="165" fontId="0" fillId="4" borderId="3" xfId="0" applyNumberFormat="1" applyFill="1" applyBorder="1" applyProtection="1"/>
    <xf numFmtId="39" fontId="0" fillId="4" borderId="3" xfId="0" applyNumberFormat="1" applyFill="1" applyBorder="1" applyProtection="1"/>
    <xf numFmtId="0" fontId="6" fillId="5" borderId="1" xfId="0" applyFont="1" applyFill="1" applyBorder="1" applyAlignment="1" applyProtection="1">
      <alignment horizontal="center"/>
      <protection locked="0"/>
    </xf>
    <xf numFmtId="164" fontId="6" fillId="5" borderId="1" xfId="0" applyNumberFormat="1" applyFont="1" applyFill="1" applyBorder="1" applyAlignment="1" applyProtection="1">
      <alignment horizontal="center"/>
      <protection locked="0"/>
    </xf>
    <xf numFmtId="165" fontId="6" fillId="5" borderId="1" xfId="0" applyNumberFormat="1" applyFont="1" applyFill="1" applyBorder="1" applyAlignment="1" applyProtection="1">
      <alignment horizontal="center"/>
      <protection locked="0"/>
    </xf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center"/>
      <protection locked="0"/>
    </xf>
    <xf numFmtId="39" fontId="0" fillId="5" borderId="3" xfId="0" applyNumberFormat="1" applyFill="1" applyBorder="1" applyProtection="1">
      <protection locked="0"/>
    </xf>
    <xf numFmtId="39" fontId="0" fillId="5" borderId="1" xfId="0" applyNumberFormat="1" applyFill="1" applyBorder="1" applyProtection="1">
      <protection locked="0"/>
    </xf>
    <xf numFmtId="164" fontId="0" fillId="5" borderId="1" xfId="0" applyNumberFormat="1" applyFill="1" applyBorder="1" applyAlignment="1" applyProtection="1">
      <alignment horizontal="center"/>
      <protection locked="0"/>
    </xf>
    <xf numFmtId="165" fontId="0" fillId="5" borderId="1" xfId="0" applyNumberFormat="1" applyFill="1" applyBorder="1" applyAlignment="1" applyProtection="1">
      <alignment horizontal="center"/>
      <protection locked="0"/>
    </xf>
    <xf numFmtId="9" fontId="0" fillId="5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164" fontId="0" fillId="0" borderId="0" xfId="0" applyNumberFormat="1" applyBorder="1" applyProtection="1">
      <protection locked="0"/>
    </xf>
    <xf numFmtId="165" fontId="0" fillId="0" borderId="0" xfId="0" applyNumberFormat="1" applyBorder="1" applyProtection="1"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6" fillId="4" borderId="1" xfId="0" applyFont="1" applyFill="1" applyBorder="1" applyAlignment="1" applyProtection="1">
      <alignment horizontal="center"/>
    </xf>
    <xf numFmtId="39" fontId="0" fillId="4" borderId="1" xfId="0" applyNumberFormat="1" applyFill="1" applyBorder="1" applyProtection="1"/>
    <xf numFmtId="0" fontId="8" fillId="4" borderId="2" xfId="1" applyFont="1" applyFill="1" applyBorder="1" applyAlignment="1" applyProtection="1">
      <alignment horizontal="center"/>
    </xf>
    <xf numFmtId="0" fontId="9" fillId="4" borderId="12" xfId="1" applyFont="1" applyFill="1" applyBorder="1" applyAlignment="1" applyProtection="1">
      <alignment horizontal="center"/>
    </xf>
    <xf numFmtId="0" fontId="8" fillId="4" borderId="12" xfId="1" applyFont="1" applyFill="1" applyBorder="1" applyAlignment="1" applyProtection="1">
      <alignment horizontal="center"/>
    </xf>
    <xf numFmtId="0" fontId="11" fillId="4" borderId="3" xfId="1" applyFont="1" applyFill="1" applyBorder="1" applyAlignment="1" applyProtection="1">
      <alignment horizontal="center"/>
    </xf>
    <xf numFmtId="39" fontId="0" fillId="0" borderId="1" xfId="0" applyNumberFormat="1" applyBorder="1" applyProtection="1"/>
    <xf numFmtId="9" fontId="0" fillId="2" borderId="1" xfId="0" applyNumberFormat="1" applyFill="1" applyBorder="1" applyProtection="1">
      <protection locked="0"/>
    </xf>
    <xf numFmtId="0" fontId="0" fillId="2" borderId="1" xfId="0" applyFill="1" applyBorder="1" applyProtection="1">
      <protection locked="0"/>
    </xf>
    <xf numFmtId="39" fontId="0" fillId="2" borderId="1" xfId="0" applyNumberFormat="1" applyFill="1" applyBorder="1" applyProtection="1">
      <protection locked="0"/>
    </xf>
    <xf numFmtId="166" fontId="0" fillId="2" borderId="1" xfId="0" applyNumberFormat="1" applyFill="1" applyBorder="1" applyProtection="1">
      <protection locked="0"/>
    </xf>
    <xf numFmtId="0" fontId="0" fillId="0" borderId="0" xfId="0" applyProtection="1"/>
    <xf numFmtId="14" fontId="13" fillId="0" borderId="0" xfId="0" applyNumberFormat="1" applyFont="1" applyProtection="1"/>
    <xf numFmtId="0" fontId="1" fillId="0" borderId="1" xfId="0" applyFont="1" applyBorder="1" applyAlignment="1" applyProtection="1">
      <alignment vertical="center"/>
    </xf>
    <xf numFmtId="0" fontId="13" fillId="0" borderId="0" xfId="0" applyFont="1" applyProtection="1"/>
    <xf numFmtId="0" fontId="3" fillId="0" borderId="0" xfId="0" applyFont="1" applyProtection="1"/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Protection="1"/>
    <xf numFmtId="0" fontId="1" fillId="0" borderId="1" xfId="0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/>
    </xf>
    <xf numFmtId="0" fontId="1" fillId="0" borderId="0" xfId="0" applyFont="1" applyProtection="1"/>
    <xf numFmtId="0" fontId="0" fillId="3" borderId="0" xfId="0" applyFill="1" applyProtection="1"/>
    <xf numFmtId="0" fontId="1" fillId="0" borderId="1" xfId="0" applyFont="1" applyBorder="1" applyProtection="1"/>
    <xf numFmtId="39" fontId="1" fillId="0" borderId="1" xfId="0" applyNumberFormat="1" applyFont="1" applyBorder="1" applyProtection="1"/>
    <xf numFmtId="0" fontId="0" fillId="2" borderId="4" xfId="0" applyFill="1" applyBorder="1" applyProtection="1"/>
    <xf numFmtId="0" fontId="0" fillId="2" borderId="5" xfId="0" applyFill="1" applyBorder="1" applyProtection="1"/>
    <xf numFmtId="0" fontId="0" fillId="2" borderId="6" xfId="0" applyFill="1" applyBorder="1" applyProtection="1"/>
    <xf numFmtId="0" fontId="0" fillId="2" borderId="7" xfId="0" applyFill="1" applyBorder="1" applyProtection="1"/>
    <xf numFmtId="0" fontId="0" fillId="2" borderId="0" xfId="0" applyFill="1" applyBorder="1" applyProtection="1"/>
    <xf numFmtId="0" fontId="0" fillId="2" borderId="8" xfId="0" applyFill="1" applyBorder="1" applyProtection="1"/>
    <xf numFmtId="0" fontId="0" fillId="2" borderId="9" xfId="0" applyFill="1" applyBorder="1" applyProtection="1"/>
    <xf numFmtId="0" fontId="0" fillId="2" borderId="10" xfId="0" applyFill="1" applyBorder="1" applyProtection="1"/>
    <xf numFmtId="0" fontId="0" fillId="2" borderId="11" xfId="0" applyFill="1" applyBorder="1" applyProtection="1"/>
    <xf numFmtId="0" fontId="0" fillId="2" borderId="4" xfId="0" applyFill="1" applyBorder="1" applyAlignment="1" applyProtection="1">
      <alignment vertical="top" wrapText="1"/>
      <protection locked="0"/>
    </xf>
    <xf numFmtId="0" fontId="0" fillId="0" borderId="6" xfId="0" applyBorder="1" applyAlignment="1" applyProtection="1"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0" fillId="0" borderId="11" xfId="0" applyBorder="1" applyAlignment="1" applyProtection="1">
      <protection locked="0"/>
    </xf>
    <xf numFmtId="0" fontId="0" fillId="0" borderId="7" xfId="0" applyBorder="1" applyAlignment="1" applyProtection="1"/>
    <xf numFmtId="0" fontId="0" fillId="0" borderId="0" xfId="0" applyAlignment="1" applyProtection="1"/>
    <xf numFmtId="0" fontId="2" fillId="0" borderId="0" xfId="0" applyFont="1" applyAlignment="1" applyProtection="1"/>
    <xf numFmtId="0" fontId="2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protection locked="0"/>
    </xf>
    <xf numFmtId="0" fontId="12" fillId="0" borderId="0" xfId="0" applyFont="1" applyAlignment="1" applyProtection="1">
      <alignment horizontal="center"/>
    </xf>
    <xf numFmtId="0" fontId="4" fillId="0" borderId="0" xfId="0" applyFont="1" applyAlignment="1" applyProtection="1"/>
    <xf numFmtId="0" fontId="5" fillId="4" borderId="0" xfId="0" applyFont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85725</xdr:colOff>
      <xdr:row>1</xdr:row>
      <xdr:rowOff>287857</xdr:rowOff>
    </xdr:to>
    <xdr:pic>
      <xdr:nvPicPr>
        <xdr:cNvPr id="2" name="Picture 1" descr="logo side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533775" cy="1068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aoprals.state.gov/content.asp?content_id=184&amp;menu_id=78" TargetMode="External"/><Relationship Id="rId1" Type="http://schemas.openxmlformats.org/officeDocument/2006/relationships/hyperlink" Target="http://www.gsa.gov/portal/content/104877?utm_source=OGP&amp;utm_medium=print-radio&amp;utm_term=perdiem&amp;utm_campaign=shortcu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abSelected="1" zoomScale="90" zoomScaleNormal="90" workbookViewId="0">
      <selection activeCell="G3" sqref="G3:H3"/>
    </sheetView>
  </sheetViews>
  <sheetFormatPr defaultColWidth="9.109375" defaultRowHeight="14.4" x14ac:dyDescent="0.3"/>
  <cols>
    <col min="1" max="1" width="27.6640625" style="48" customWidth="1"/>
    <col min="2" max="2" width="6.44140625" style="48" customWidth="1"/>
    <col min="3" max="3" width="17.5546875" style="48" bestFit="1" customWidth="1"/>
    <col min="4" max="4" width="9.109375" style="48" customWidth="1"/>
    <col min="5" max="6" width="23.6640625" style="48" customWidth="1"/>
    <col min="7" max="7" width="35.77734375" style="48" customWidth="1"/>
    <col min="8" max="8" width="6" style="48" customWidth="1"/>
    <col min="9" max="16384" width="9.109375" style="48"/>
  </cols>
  <sheetData>
    <row r="1" spans="1:8" ht="61.5" customHeight="1" x14ac:dyDescent="0.3"/>
    <row r="2" spans="1:8" ht="23.25" customHeight="1" x14ac:dyDescent="0.3">
      <c r="E2" s="49"/>
      <c r="F2" s="50" t="s">
        <v>30</v>
      </c>
      <c r="G2" s="79"/>
      <c r="H2" s="80"/>
    </row>
    <row r="3" spans="1:8" ht="23.25" customHeight="1" x14ac:dyDescent="0.45">
      <c r="A3" s="76" t="s">
        <v>0</v>
      </c>
      <c r="B3" s="75"/>
      <c r="C3" s="75"/>
      <c r="E3" s="49"/>
      <c r="F3" s="50" t="s">
        <v>31</v>
      </c>
      <c r="G3" s="79"/>
      <c r="H3" s="80"/>
    </row>
    <row r="4" spans="1:8" ht="23.25" customHeight="1" x14ac:dyDescent="0.35">
      <c r="A4" s="77" t="s">
        <v>71</v>
      </c>
      <c r="B4" s="78"/>
      <c r="C4" s="78"/>
      <c r="E4" s="51"/>
      <c r="F4" s="50" t="s">
        <v>32</v>
      </c>
      <c r="G4" s="79"/>
      <c r="H4" s="80"/>
    </row>
    <row r="5" spans="1:8" ht="23.25" customHeight="1" x14ac:dyDescent="0.35">
      <c r="A5" s="81" t="s">
        <v>73</v>
      </c>
      <c r="B5" s="81"/>
      <c r="C5" s="81"/>
      <c r="E5" s="51"/>
      <c r="F5" s="50" t="s">
        <v>33</v>
      </c>
      <c r="G5" s="79"/>
      <c r="H5" s="80"/>
    </row>
    <row r="6" spans="1:8" ht="23.25" customHeight="1" x14ac:dyDescent="0.35">
      <c r="A6" s="52" t="s">
        <v>70</v>
      </c>
      <c r="E6" s="51">
        <v>0.56000000000000005</v>
      </c>
      <c r="F6" s="50" t="s">
        <v>67</v>
      </c>
      <c r="G6" s="79"/>
      <c r="H6" s="80"/>
    </row>
    <row r="7" spans="1:8" ht="23.25" customHeight="1" x14ac:dyDescent="0.3">
      <c r="A7" s="52"/>
      <c r="F7" s="50" t="s">
        <v>68</v>
      </c>
      <c r="G7" s="79"/>
      <c r="H7" s="80"/>
    </row>
    <row r="8" spans="1:8" ht="15" x14ac:dyDescent="0.25"/>
    <row r="9" spans="1:8" ht="30" x14ac:dyDescent="0.25">
      <c r="A9" s="53" t="s">
        <v>1</v>
      </c>
      <c r="B9" s="54"/>
      <c r="C9" s="53" t="s">
        <v>22</v>
      </c>
      <c r="D9" s="55" t="s">
        <v>23</v>
      </c>
      <c r="E9" s="53" t="s">
        <v>24</v>
      </c>
      <c r="F9" s="53" t="s">
        <v>24</v>
      </c>
    </row>
    <row r="10" spans="1:8" ht="15" x14ac:dyDescent="0.25">
      <c r="A10" s="54" t="s">
        <v>2</v>
      </c>
      <c r="B10" s="56" t="s">
        <v>21</v>
      </c>
      <c r="C10" s="43">
        <f>H10*E6</f>
        <v>0</v>
      </c>
      <c r="D10" s="44"/>
      <c r="E10" s="47"/>
      <c r="F10" s="47"/>
      <c r="G10" s="57" t="s">
        <v>72</v>
      </c>
      <c r="H10" s="45"/>
    </row>
    <row r="11" spans="1:8" ht="15" x14ac:dyDescent="0.25">
      <c r="A11" s="54" t="s">
        <v>3</v>
      </c>
      <c r="B11" s="56" t="s">
        <v>20</v>
      </c>
      <c r="C11" s="43">
        <f>'Per Diem Worksheet'!J26</f>
        <v>0</v>
      </c>
      <c r="D11" s="44"/>
      <c r="E11" s="47"/>
      <c r="F11" s="47"/>
      <c r="G11" s="58" t="s">
        <v>34</v>
      </c>
    </row>
    <row r="12" spans="1:8" ht="15" x14ac:dyDescent="0.25">
      <c r="A12" s="54" t="s">
        <v>4</v>
      </c>
      <c r="B12" s="56" t="s">
        <v>19</v>
      </c>
      <c r="C12" s="46"/>
      <c r="D12" s="44"/>
      <c r="E12" s="47"/>
      <c r="F12" s="47"/>
      <c r="G12" s="48" t="s">
        <v>35</v>
      </c>
    </row>
    <row r="13" spans="1:8" ht="15" x14ac:dyDescent="0.25">
      <c r="A13" s="54" t="s">
        <v>5</v>
      </c>
      <c r="B13" s="56" t="s">
        <v>18</v>
      </c>
      <c r="C13" s="46"/>
      <c r="D13" s="44"/>
      <c r="E13" s="47"/>
      <c r="F13" s="47"/>
      <c r="G13" s="48" t="s">
        <v>35</v>
      </c>
    </row>
    <row r="14" spans="1:8" ht="15" x14ac:dyDescent="0.25">
      <c r="A14" s="54" t="s">
        <v>6</v>
      </c>
      <c r="B14" s="56" t="s">
        <v>17</v>
      </c>
      <c r="C14" s="46"/>
      <c r="D14" s="44"/>
      <c r="E14" s="47"/>
      <c r="F14" s="47"/>
      <c r="G14" s="48" t="s">
        <v>35</v>
      </c>
    </row>
    <row r="15" spans="1:8" ht="15" x14ac:dyDescent="0.25">
      <c r="A15" s="54" t="s">
        <v>7</v>
      </c>
      <c r="B15" s="56" t="s">
        <v>16</v>
      </c>
      <c r="C15" s="46"/>
      <c r="D15" s="44"/>
      <c r="E15" s="47"/>
      <c r="F15" s="47"/>
      <c r="G15" s="48" t="s">
        <v>35</v>
      </c>
    </row>
    <row r="16" spans="1:8" x14ac:dyDescent="0.3">
      <c r="A16" s="54" t="s">
        <v>8</v>
      </c>
      <c r="B16" s="56" t="s">
        <v>15</v>
      </c>
      <c r="C16" s="46"/>
      <c r="D16" s="44"/>
      <c r="E16" s="47"/>
      <c r="F16" s="47"/>
      <c r="G16" s="48" t="s">
        <v>35</v>
      </c>
    </row>
    <row r="17" spans="1:8" x14ac:dyDescent="0.3">
      <c r="A17" s="54" t="s">
        <v>9</v>
      </c>
      <c r="B17" s="56" t="s">
        <v>14</v>
      </c>
      <c r="C17" s="46"/>
      <c r="D17" s="44"/>
      <c r="E17" s="47"/>
      <c r="F17" s="47"/>
      <c r="G17" s="74" t="s">
        <v>36</v>
      </c>
      <c r="H17" s="75"/>
    </row>
    <row r="18" spans="1:8" x14ac:dyDescent="0.3">
      <c r="A18" s="54" t="s">
        <v>10</v>
      </c>
      <c r="B18" s="56" t="s">
        <v>13</v>
      </c>
      <c r="C18" s="46"/>
      <c r="D18" s="44"/>
      <c r="E18" s="47"/>
      <c r="F18" s="47"/>
      <c r="G18" s="74" t="s">
        <v>37</v>
      </c>
      <c r="H18" s="75"/>
    </row>
    <row r="19" spans="1:8" ht="15" x14ac:dyDescent="0.25">
      <c r="A19" s="54" t="s">
        <v>11</v>
      </c>
      <c r="B19" s="56" t="s">
        <v>12</v>
      </c>
      <c r="C19" s="46"/>
      <c r="D19" s="44"/>
      <c r="E19" s="47"/>
      <c r="F19" s="47"/>
      <c r="G19" s="48" t="s">
        <v>35</v>
      </c>
    </row>
    <row r="20" spans="1:8" ht="15" x14ac:dyDescent="0.25"/>
    <row r="21" spans="1:8" x14ac:dyDescent="0.3">
      <c r="A21" s="59" t="s">
        <v>25</v>
      </c>
      <c r="B21" s="54"/>
      <c r="C21" s="60">
        <f>SUM(C10:C19)</f>
        <v>0</v>
      </c>
      <c r="G21" s="57" t="s">
        <v>38</v>
      </c>
    </row>
    <row r="22" spans="1:8" x14ac:dyDescent="0.3">
      <c r="G22" s="70"/>
      <c r="H22" s="71"/>
    </row>
    <row r="23" spans="1:8" x14ac:dyDescent="0.3">
      <c r="A23" s="59" t="s">
        <v>26</v>
      </c>
      <c r="B23" s="56" t="s">
        <v>41</v>
      </c>
      <c r="C23" s="46"/>
      <c r="G23" s="72"/>
      <c r="H23" s="73"/>
    </row>
    <row r="25" spans="1:8" x14ac:dyDescent="0.3">
      <c r="A25" s="59" t="s">
        <v>27</v>
      </c>
      <c r="B25" s="54"/>
      <c r="C25" s="60">
        <f>C21-C23</f>
        <v>0</v>
      </c>
      <c r="G25" s="57" t="s">
        <v>39</v>
      </c>
    </row>
    <row r="26" spans="1:8" x14ac:dyDescent="0.3">
      <c r="G26" s="70"/>
      <c r="H26" s="71"/>
    </row>
    <row r="27" spans="1:8" x14ac:dyDescent="0.3">
      <c r="G27" s="72"/>
      <c r="H27" s="73"/>
    </row>
    <row r="28" spans="1:8" x14ac:dyDescent="0.3">
      <c r="A28" s="61"/>
      <c r="B28" s="62"/>
      <c r="C28" s="63"/>
    </row>
    <row r="29" spans="1:8" x14ac:dyDescent="0.3">
      <c r="A29" s="64"/>
      <c r="B29" s="65"/>
      <c r="C29" s="66"/>
      <c r="G29" s="57" t="s">
        <v>69</v>
      </c>
    </row>
    <row r="30" spans="1:8" x14ac:dyDescent="0.3">
      <c r="A30" s="67"/>
      <c r="B30" s="68"/>
      <c r="C30" s="69"/>
      <c r="G30" s="70"/>
      <c r="H30" s="71"/>
    </row>
    <row r="31" spans="1:8" x14ac:dyDescent="0.3">
      <c r="A31" s="57" t="s">
        <v>66</v>
      </c>
      <c r="G31" s="72"/>
      <c r="H31" s="73"/>
    </row>
    <row r="33" spans="1:8" x14ac:dyDescent="0.3">
      <c r="G33" s="57" t="s">
        <v>40</v>
      </c>
    </row>
    <row r="34" spans="1:8" x14ac:dyDescent="0.3">
      <c r="A34" s="61"/>
      <c r="B34" s="62"/>
      <c r="C34" s="63"/>
      <c r="G34" s="70"/>
      <c r="H34" s="71"/>
    </row>
    <row r="35" spans="1:8" x14ac:dyDescent="0.3">
      <c r="A35" s="64"/>
      <c r="B35" s="65"/>
      <c r="C35" s="66"/>
      <c r="G35" s="72"/>
      <c r="H35" s="73"/>
    </row>
    <row r="36" spans="1:8" x14ac:dyDescent="0.3">
      <c r="A36" s="67"/>
      <c r="B36" s="68"/>
      <c r="C36" s="69"/>
    </row>
    <row r="37" spans="1:8" x14ac:dyDescent="0.3">
      <c r="A37" s="57" t="s">
        <v>28</v>
      </c>
    </row>
    <row r="39" spans="1:8" x14ac:dyDescent="0.3">
      <c r="A39" s="61"/>
      <c r="B39" s="62"/>
      <c r="C39" s="63"/>
    </row>
    <row r="40" spans="1:8" x14ac:dyDescent="0.3">
      <c r="A40" s="64"/>
      <c r="B40" s="65"/>
      <c r="C40" s="66"/>
    </row>
    <row r="41" spans="1:8" x14ac:dyDescent="0.3">
      <c r="A41" s="67"/>
      <c r="B41" s="68"/>
      <c r="C41" s="69"/>
    </row>
    <row r="42" spans="1:8" x14ac:dyDescent="0.3">
      <c r="A42" s="57" t="s">
        <v>29</v>
      </c>
    </row>
  </sheetData>
  <sheetProtection password="CBF1" sheet="1" objects="1" scenarios="1" selectLockedCells="1"/>
  <mergeCells count="15">
    <mergeCell ref="G2:H2"/>
    <mergeCell ref="G3:H3"/>
    <mergeCell ref="G4:H4"/>
    <mergeCell ref="G5:H5"/>
    <mergeCell ref="G6:H6"/>
    <mergeCell ref="G30:H31"/>
    <mergeCell ref="G34:H35"/>
    <mergeCell ref="G17:H17"/>
    <mergeCell ref="G18:H18"/>
    <mergeCell ref="A3:C3"/>
    <mergeCell ref="A4:C4"/>
    <mergeCell ref="G7:H7"/>
    <mergeCell ref="G22:H23"/>
    <mergeCell ref="G26:H27"/>
    <mergeCell ref="A5:C5"/>
  </mergeCells>
  <printOptions horizontalCentered="1"/>
  <pageMargins left="0.25" right="0.25" top="0.75" bottom="0.75" header="0.3" footer="0.3"/>
  <pageSetup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selection activeCell="A13" sqref="A13"/>
    </sheetView>
  </sheetViews>
  <sheetFormatPr defaultRowHeight="14.4" x14ac:dyDescent="0.3"/>
  <cols>
    <col min="1" max="1" width="21.88671875" customWidth="1"/>
    <col min="2" max="3" width="9.109375" customWidth="1"/>
    <col min="4" max="4" width="15.88671875" customWidth="1"/>
    <col min="5" max="5" width="19.44140625" customWidth="1"/>
    <col min="6" max="6" width="27.6640625" customWidth="1"/>
    <col min="7" max="7" width="22" customWidth="1"/>
    <col min="8" max="8" width="16.6640625" customWidth="1"/>
    <col min="9" max="9" width="23.5546875" customWidth="1"/>
    <col min="10" max="10" width="16.6640625" customWidth="1"/>
  </cols>
  <sheetData>
    <row r="1" spans="1:10" ht="23.25" x14ac:dyDescent="0.35">
      <c r="A1" s="82" t="s">
        <v>42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5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</row>
    <row r="3" spans="1:10" ht="15.75" x14ac:dyDescent="0.25">
      <c r="A3" s="83" t="s">
        <v>43</v>
      </c>
      <c r="B3" s="75"/>
      <c r="C3" s="75"/>
      <c r="D3" s="75"/>
      <c r="E3" s="75"/>
      <c r="F3" s="75"/>
      <c r="G3" s="75"/>
      <c r="H3" s="75"/>
      <c r="I3" s="75"/>
      <c r="J3" s="75"/>
    </row>
    <row r="4" spans="1:10" ht="15" x14ac:dyDescent="0.25">
      <c r="A4" s="75"/>
      <c r="B4" s="75"/>
      <c r="C4" s="75"/>
      <c r="D4" s="75"/>
      <c r="E4" s="75"/>
      <c r="F4" s="75"/>
      <c r="G4" s="75"/>
      <c r="H4" s="75"/>
      <c r="I4" s="75"/>
      <c r="J4" s="75"/>
    </row>
    <row r="5" spans="1:10" ht="15" x14ac:dyDescent="0.25">
      <c r="A5" s="75"/>
      <c r="B5" s="75"/>
      <c r="C5" s="75"/>
      <c r="D5" s="75"/>
      <c r="E5" s="75"/>
      <c r="F5" s="75"/>
      <c r="G5" s="75"/>
      <c r="H5" s="75"/>
      <c r="I5" s="75"/>
      <c r="J5" s="75"/>
    </row>
    <row r="6" spans="1:10" ht="15" x14ac:dyDescent="0.25">
      <c r="A6" s="75"/>
      <c r="B6" s="75"/>
      <c r="C6" s="75"/>
      <c r="D6" s="75"/>
      <c r="E6" s="75"/>
      <c r="F6" s="75"/>
      <c r="G6" s="75"/>
      <c r="H6" s="75"/>
      <c r="I6" s="75"/>
      <c r="J6" s="75"/>
    </row>
    <row r="7" spans="1:10" ht="15" x14ac:dyDescent="0.25">
      <c r="A7" s="1"/>
      <c r="B7" s="2"/>
      <c r="C7" s="3"/>
      <c r="D7" s="1"/>
      <c r="E7" s="4"/>
      <c r="F7" s="39"/>
      <c r="G7" s="4" t="s">
        <v>44</v>
      </c>
      <c r="H7" s="1"/>
      <c r="I7" s="5" t="s">
        <v>45</v>
      </c>
      <c r="J7" s="6"/>
    </row>
    <row r="8" spans="1:10" x14ac:dyDescent="0.3">
      <c r="A8" s="7" t="s">
        <v>46</v>
      </c>
      <c r="B8" s="8" t="s">
        <v>47</v>
      </c>
      <c r="C8" s="9" t="s">
        <v>48</v>
      </c>
      <c r="D8" s="7" t="s">
        <v>49</v>
      </c>
      <c r="E8" s="7" t="s">
        <v>50</v>
      </c>
      <c r="F8" s="40" t="s">
        <v>51</v>
      </c>
      <c r="G8" s="10" t="s">
        <v>52</v>
      </c>
      <c r="H8" s="7" t="s">
        <v>53</v>
      </c>
      <c r="I8" s="11" t="s">
        <v>54</v>
      </c>
      <c r="J8" s="12" t="s">
        <v>53</v>
      </c>
    </row>
    <row r="9" spans="1:10" ht="15" x14ac:dyDescent="0.25">
      <c r="A9" s="13"/>
      <c r="B9" s="14"/>
      <c r="C9" s="15"/>
      <c r="D9" s="7" t="s">
        <v>55</v>
      </c>
      <c r="E9" s="7" t="s">
        <v>56</v>
      </c>
      <c r="F9" s="40" t="s">
        <v>57</v>
      </c>
      <c r="G9" s="16" t="s">
        <v>58</v>
      </c>
      <c r="H9" s="7" t="s">
        <v>25</v>
      </c>
      <c r="I9" s="17" t="s">
        <v>59</v>
      </c>
      <c r="J9" s="12" t="s">
        <v>27</v>
      </c>
    </row>
    <row r="10" spans="1:10" ht="15" x14ac:dyDescent="0.25">
      <c r="A10" s="13"/>
      <c r="B10" s="14"/>
      <c r="C10" s="15"/>
      <c r="D10" s="7"/>
      <c r="E10" s="7"/>
      <c r="F10" s="41"/>
      <c r="G10" s="18" t="s">
        <v>60</v>
      </c>
      <c r="H10" s="7"/>
      <c r="I10" s="18" t="s">
        <v>61</v>
      </c>
      <c r="J10" s="12"/>
    </row>
    <row r="11" spans="1:10" ht="15" x14ac:dyDescent="0.25">
      <c r="A11" s="13"/>
      <c r="B11" s="14"/>
      <c r="C11" s="15"/>
      <c r="D11" s="7"/>
      <c r="E11" s="7"/>
      <c r="F11" s="41"/>
      <c r="G11" s="16" t="s">
        <v>62</v>
      </c>
      <c r="H11" s="7"/>
      <c r="I11" s="17"/>
      <c r="J11" s="12"/>
    </row>
    <row r="12" spans="1:10" ht="15" x14ac:dyDescent="0.25">
      <c r="A12" s="19"/>
      <c r="B12" s="20"/>
      <c r="C12" s="21"/>
      <c r="D12" s="19"/>
      <c r="E12" s="19"/>
      <c r="F12" s="42" t="s">
        <v>63</v>
      </c>
      <c r="G12" s="18" t="s">
        <v>64</v>
      </c>
      <c r="H12" s="19"/>
      <c r="I12" s="10" t="s">
        <v>65</v>
      </c>
      <c r="J12" s="22"/>
    </row>
    <row r="13" spans="1:10" ht="15" x14ac:dyDescent="0.25">
      <c r="A13" s="23"/>
      <c r="B13" s="24"/>
      <c r="C13" s="25"/>
      <c r="D13" s="26"/>
      <c r="E13" s="27"/>
      <c r="F13" s="28"/>
      <c r="G13" s="32"/>
      <c r="H13" s="43">
        <f>+F13*G13</f>
        <v>0</v>
      </c>
      <c r="I13" s="29"/>
      <c r="J13" s="43">
        <f>+H13-I13</f>
        <v>0</v>
      </c>
    </row>
    <row r="14" spans="1:10" ht="15" x14ac:dyDescent="0.25">
      <c r="A14" s="26"/>
      <c r="B14" s="30"/>
      <c r="C14" s="31"/>
      <c r="D14" s="26"/>
      <c r="E14" s="27"/>
      <c r="F14" s="29"/>
      <c r="G14" s="32"/>
      <c r="H14" s="43">
        <f t="shared" ref="H14:H25" si="0">+F14*G14</f>
        <v>0</v>
      </c>
      <c r="I14" s="29"/>
      <c r="J14" s="43">
        <f t="shared" ref="J14:J25" si="1">+H14-I14</f>
        <v>0</v>
      </c>
    </row>
    <row r="15" spans="1:10" ht="15" x14ac:dyDescent="0.25">
      <c r="A15" s="26"/>
      <c r="B15" s="30"/>
      <c r="C15" s="31"/>
      <c r="D15" s="26"/>
      <c r="E15" s="27"/>
      <c r="F15" s="29"/>
      <c r="G15" s="32"/>
      <c r="H15" s="43">
        <f t="shared" si="0"/>
        <v>0</v>
      </c>
      <c r="I15" s="29"/>
      <c r="J15" s="43">
        <f t="shared" si="1"/>
        <v>0</v>
      </c>
    </row>
    <row r="16" spans="1:10" ht="15" x14ac:dyDescent="0.25">
      <c r="A16" s="26"/>
      <c r="B16" s="30"/>
      <c r="C16" s="31"/>
      <c r="D16" s="26"/>
      <c r="E16" s="27"/>
      <c r="F16" s="29"/>
      <c r="G16" s="32"/>
      <c r="H16" s="43">
        <f t="shared" si="0"/>
        <v>0</v>
      </c>
      <c r="I16" s="29"/>
      <c r="J16" s="43">
        <f t="shared" si="1"/>
        <v>0</v>
      </c>
    </row>
    <row r="17" spans="1:10" ht="15" x14ac:dyDescent="0.25">
      <c r="A17" s="26"/>
      <c r="B17" s="30"/>
      <c r="C17" s="31"/>
      <c r="D17" s="26"/>
      <c r="E17" s="27"/>
      <c r="F17" s="29"/>
      <c r="G17" s="32"/>
      <c r="H17" s="43">
        <f t="shared" si="0"/>
        <v>0</v>
      </c>
      <c r="I17" s="29"/>
      <c r="J17" s="43">
        <f t="shared" si="1"/>
        <v>0</v>
      </c>
    </row>
    <row r="18" spans="1:10" ht="15" x14ac:dyDescent="0.25">
      <c r="A18" s="26"/>
      <c r="B18" s="30"/>
      <c r="C18" s="31"/>
      <c r="D18" s="26"/>
      <c r="E18" s="27"/>
      <c r="F18" s="29"/>
      <c r="G18" s="32"/>
      <c r="H18" s="43">
        <f t="shared" si="0"/>
        <v>0</v>
      </c>
      <c r="I18" s="29"/>
      <c r="J18" s="43">
        <f t="shared" si="1"/>
        <v>0</v>
      </c>
    </row>
    <row r="19" spans="1:10" ht="15" x14ac:dyDescent="0.25">
      <c r="A19" s="26"/>
      <c r="B19" s="30"/>
      <c r="C19" s="31"/>
      <c r="D19" s="26"/>
      <c r="E19" s="27"/>
      <c r="F19" s="29"/>
      <c r="G19" s="32"/>
      <c r="H19" s="43">
        <f t="shared" si="0"/>
        <v>0</v>
      </c>
      <c r="I19" s="29"/>
      <c r="J19" s="43">
        <f t="shared" si="1"/>
        <v>0</v>
      </c>
    </row>
    <row r="20" spans="1:10" ht="15" x14ac:dyDescent="0.25">
      <c r="A20" s="26"/>
      <c r="B20" s="30"/>
      <c r="C20" s="31"/>
      <c r="D20" s="26"/>
      <c r="E20" s="27"/>
      <c r="F20" s="29"/>
      <c r="G20" s="32"/>
      <c r="H20" s="43">
        <f t="shared" si="0"/>
        <v>0</v>
      </c>
      <c r="I20" s="29"/>
      <c r="J20" s="43">
        <f t="shared" si="1"/>
        <v>0</v>
      </c>
    </row>
    <row r="21" spans="1:10" ht="15" x14ac:dyDescent="0.25">
      <c r="A21" s="26"/>
      <c r="B21" s="30"/>
      <c r="C21" s="31"/>
      <c r="D21" s="26"/>
      <c r="E21" s="27"/>
      <c r="F21" s="29"/>
      <c r="G21" s="32"/>
      <c r="H21" s="43">
        <f t="shared" si="0"/>
        <v>0</v>
      </c>
      <c r="I21" s="29"/>
      <c r="J21" s="43">
        <f t="shared" si="1"/>
        <v>0</v>
      </c>
    </row>
    <row r="22" spans="1:10" ht="15" x14ac:dyDescent="0.25">
      <c r="A22" s="26"/>
      <c r="B22" s="30"/>
      <c r="C22" s="31"/>
      <c r="D22" s="26"/>
      <c r="E22" s="27"/>
      <c r="F22" s="29"/>
      <c r="G22" s="32"/>
      <c r="H22" s="43">
        <f t="shared" si="0"/>
        <v>0</v>
      </c>
      <c r="I22" s="29"/>
      <c r="J22" s="43">
        <f t="shared" si="1"/>
        <v>0</v>
      </c>
    </row>
    <row r="23" spans="1:10" ht="15" x14ac:dyDescent="0.25">
      <c r="A23" s="26"/>
      <c r="B23" s="30"/>
      <c r="C23" s="31"/>
      <c r="D23" s="26"/>
      <c r="E23" s="27"/>
      <c r="F23" s="29"/>
      <c r="G23" s="32"/>
      <c r="H23" s="43">
        <f t="shared" si="0"/>
        <v>0</v>
      </c>
      <c r="I23" s="29"/>
      <c r="J23" s="43">
        <f t="shared" si="1"/>
        <v>0</v>
      </c>
    </row>
    <row r="24" spans="1:10" ht="15" x14ac:dyDescent="0.25">
      <c r="A24" s="26"/>
      <c r="B24" s="30"/>
      <c r="C24" s="31"/>
      <c r="D24" s="26"/>
      <c r="E24" s="27"/>
      <c r="F24" s="29"/>
      <c r="G24" s="32"/>
      <c r="H24" s="43">
        <f t="shared" si="0"/>
        <v>0</v>
      </c>
      <c r="I24" s="29"/>
      <c r="J24" s="43">
        <f t="shared" si="1"/>
        <v>0</v>
      </c>
    </row>
    <row r="25" spans="1:10" x14ac:dyDescent="0.3">
      <c r="A25" s="26"/>
      <c r="B25" s="30"/>
      <c r="C25" s="31"/>
      <c r="D25" s="26"/>
      <c r="E25" s="27"/>
      <c r="F25" s="29"/>
      <c r="G25" s="32"/>
      <c r="H25" s="43">
        <f t="shared" si="0"/>
        <v>0</v>
      </c>
      <c r="I25" s="26"/>
      <c r="J25" s="43">
        <f t="shared" si="1"/>
        <v>0</v>
      </c>
    </row>
    <row r="26" spans="1:10" x14ac:dyDescent="0.3">
      <c r="A26" s="33"/>
      <c r="B26" s="34"/>
      <c r="C26" s="35"/>
      <c r="D26" s="33"/>
      <c r="E26" s="33"/>
      <c r="F26" s="36"/>
      <c r="G26" s="33"/>
      <c r="H26" s="33"/>
      <c r="I26" s="37" t="s">
        <v>27</v>
      </c>
      <c r="J26" s="38">
        <f>SUM(J7:J25)</f>
        <v>0</v>
      </c>
    </row>
  </sheetData>
  <sheetProtection password="CBF1" sheet="1" objects="1" scenarios="1"/>
  <mergeCells count="6">
    <mergeCell ref="A6:J6"/>
    <mergeCell ref="A1:J1"/>
    <mergeCell ref="A3:J3"/>
    <mergeCell ref="A2:J2"/>
    <mergeCell ref="A4:J4"/>
    <mergeCell ref="A5:J5"/>
  </mergeCells>
  <hyperlinks>
    <hyperlink ref="F8" r:id="rId1"/>
    <hyperlink ref="F9" r:id="rId2"/>
  </hyperlinks>
  <printOptions horizontalCentered="1"/>
  <pageMargins left="0.7" right="0.7" top="0.75" bottom="0.75" header="0.3" footer="0.3"/>
  <pageSetup scale="67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Travel Reimbursement</vt:lpstr>
      <vt:lpstr>Per Diem Worksheet</vt:lpstr>
      <vt:lpstr>'Per Diem Worksheet'!Print_Area</vt:lpstr>
      <vt:lpstr>'Travel Reimbursement'!Print_Area</vt:lpstr>
    </vt:vector>
  </TitlesOfParts>
  <Company>Loyola College in Maryland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dhalexander</dc:creator>
  <cp:lastModifiedBy>David Alexander</cp:lastModifiedBy>
  <cp:lastPrinted>2011-07-01T15:31:32Z</cp:lastPrinted>
  <dcterms:created xsi:type="dcterms:W3CDTF">2009-10-06T19:56:16Z</dcterms:created>
  <dcterms:modified xsi:type="dcterms:W3CDTF">2014-01-14T13:52:07Z</dcterms:modified>
</cp:coreProperties>
</file>