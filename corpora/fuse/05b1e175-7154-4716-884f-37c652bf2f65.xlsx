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0" windowWidth="14700" windowHeight="7425"/>
  </bookViews>
  <sheets>
    <sheet name="ARRA Allocation-midyear load" sheetId="7" r:id="rId1"/>
    <sheet name="ARRA Allocation-webload-063009" sheetId="5" state="hidden" r:id="rId2"/>
    <sheet name="Changes since 6-11-2009" sheetId="6" state="hidden" r:id="rId3"/>
    <sheet name="ARRA Allocation-063009-verified" sheetId="3" state="hidden" r:id="rId4"/>
    <sheet name="FY10 School Districts Qualifyin" sheetId="1" state="hidden" r:id="rId5"/>
    <sheet name="FY10 Charter Schools Qualifying" sheetId="2" state="hidden" r:id="rId6"/>
  </sheets>
  <definedNames>
    <definedName name="FY10_Charter_Schools_Qualifying_for_Stabilization_Funds" localSheetId="3" xml:space="preserve"> 'ARRA Allocation-063009-verified'!$A$340:$F$478</definedName>
    <definedName name="FY10_Charter_Schools_Qualifying_for_Stabilization_Funds" localSheetId="5">'FY10 Charter Schools Qualifying'!$A$1:$F$139</definedName>
    <definedName name="FY10_School_Districts_Qualifying_for_Stabilization_Funds" localSheetId="3">'ARRA Allocation-063009-verified'!$A$2:$F$338</definedName>
    <definedName name="FY10_School_Districts_Qualifying_for_Stabilization_Funds" localSheetId="4">'FY10 School Districts Qualifyin'!$A$1:$F$337</definedName>
    <definedName name="_xlnm.Print_Area" localSheetId="0">'ARRA Allocation-midyear load'!$D$11:$K$489</definedName>
    <definedName name="_xlnm.Print_Area" localSheetId="1">'ARRA Allocation-webload-063009'!$D$11:$J$524</definedName>
    <definedName name="_xlnm.Print_Area" localSheetId="2">'Changes since 6-11-2009'!$D$1:$I$25</definedName>
    <definedName name="_xlnm.Print_Titles" localSheetId="0">'ARRA Allocation-midyear load'!$A:$C,'ARRA Allocation-midyear load'!$4:$10</definedName>
    <definedName name="_xlnm.Print_Titles" localSheetId="1">'ARRA Allocation-webload-063009'!$A:$C,'ARRA Allocation-webload-063009'!$4:$10</definedName>
    <definedName name="_xlnm.Print_Titles" localSheetId="2">'Changes since 6-11-2009'!$A:$C,'Changes since 6-11-2009'!#REF!</definedName>
  </definedNames>
  <calcPr calcId="145621" fullCalcOnLoad="1"/>
</workbook>
</file>

<file path=xl/calcChain.xml><?xml version="1.0" encoding="utf-8"?>
<calcChain xmlns="http://schemas.openxmlformats.org/spreadsheetml/2006/main">
  <c r="E369" i="7" l="1"/>
  <c r="E486" i="7"/>
  <c r="E15" i="7"/>
  <c r="G15" i="7"/>
  <c r="F515" i="7"/>
  <c r="F15" i="7"/>
  <c r="E201" i="7"/>
  <c r="E488" i="7"/>
  <c r="E487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4" i="7"/>
  <c r="E512" i="7"/>
  <c r="G512" i="7" s="1"/>
  <c r="D500" i="7"/>
  <c r="E513" i="7"/>
  <c r="D513" i="7"/>
  <c r="D512" i="7"/>
  <c r="E507" i="7"/>
  <c r="J11" i="7"/>
  <c r="G488" i="7"/>
  <c r="F488" i="7"/>
  <c r="G487" i="7"/>
  <c r="K487" i="7"/>
  <c r="F487" i="7"/>
  <c r="G486" i="7"/>
  <c r="I486" i="7" s="1"/>
  <c r="F486" i="7"/>
  <c r="G485" i="7"/>
  <c r="K485" i="7"/>
  <c r="F485" i="7"/>
  <c r="G484" i="7"/>
  <c r="I484" i="7" s="1"/>
  <c r="F484" i="7"/>
  <c r="G483" i="7"/>
  <c r="K483" i="7"/>
  <c r="F483" i="7"/>
  <c r="G482" i="7"/>
  <c r="I482" i="7" s="1"/>
  <c r="F482" i="7"/>
  <c r="G481" i="7"/>
  <c r="K481" i="7"/>
  <c r="F481" i="7"/>
  <c r="G480" i="7"/>
  <c r="I480" i="7" s="1"/>
  <c r="F480" i="7"/>
  <c r="G479" i="7"/>
  <c r="K479" i="7"/>
  <c r="F479" i="7"/>
  <c r="G478" i="7"/>
  <c r="I478" i="7" s="1"/>
  <c r="F478" i="7"/>
  <c r="G477" i="7"/>
  <c r="K477" i="7"/>
  <c r="F477" i="7"/>
  <c r="G476" i="7"/>
  <c r="I476" i="7" s="1"/>
  <c r="F476" i="7"/>
  <c r="G475" i="7"/>
  <c r="K475" i="7"/>
  <c r="F475" i="7"/>
  <c r="G474" i="7"/>
  <c r="I474" i="7" s="1"/>
  <c r="F474" i="7"/>
  <c r="G473" i="7"/>
  <c r="K473" i="7"/>
  <c r="F473" i="7"/>
  <c r="G472" i="7"/>
  <c r="I472" i="7" s="1"/>
  <c r="F472" i="7"/>
  <c r="G471" i="7"/>
  <c r="K471" i="7"/>
  <c r="F471" i="7"/>
  <c r="G470" i="7"/>
  <c r="I470" i="7" s="1"/>
  <c r="F470" i="7"/>
  <c r="G469" i="7"/>
  <c r="K469" i="7"/>
  <c r="F469" i="7"/>
  <c r="G468" i="7"/>
  <c r="I468" i="7" s="1"/>
  <c r="F468" i="7"/>
  <c r="G467" i="7"/>
  <c r="K467" i="7"/>
  <c r="F467" i="7"/>
  <c r="G466" i="7"/>
  <c r="I466" i="7" s="1"/>
  <c r="F466" i="7"/>
  <c r="G465" i="7"/>
  <c r="K465" i="7"/>
  <c r="F465" i="7"/>
  <c r="G464" i="7"/>
  <c r="I464" i="7" s="1"/>
  <c r="F464" i="7"/>
  <c r="G463" i="7"/>
  <c r="K463" i="7"/>
  <c r="F463" i="7"/>
  <c r="G462" i="7"/>
  <c r="I462" i="7" s="1"/>
  <c r="F462" i="7"/>
  <c r="G461" i="7"/>
  <c r="K461" i="7"/>
  <c r="F461" i="7"/>
  <c r="G460" i="7"/>
  <c r="I460" i="7" s="1"/>
  <c r="F460" i="7"/>
  <c r="G459" i="7"/>
  <c r="K459" i="7"/>
  <c r="F459" i="7"/>
  <c r="G458" i="7"/>
  <c r="I458" i="7" s="1"/>
  <c r="F458" i="7"/>
  <c r="G457" i="7"/>
  <c r="K457" i="7"/>
  <c r="F457" i="7"/>
  <c r="G456" i="7"/>
  <c r="I456" i="7" s="1"/>
  <c r="F456" i="7"/>
  <c r="G455" i="7"/>
  <c r="K455" i="7"/>
  <c r="F455" i="7"/>
  <c r="G454" i="7"/>
  <c r="I454" i="7" s="1"/>
  <c r="F454" i="7"/>
  <c r="G453" i="7"/>
  <c r="K453" i="7"/>
  <c r="F453" i="7"/>
  <c r="G452" i="7"/>
  <c r="I452" i="7" s="1"/>
  <c r="F452" i="7"/>
  <c r="G451" i="7"/>
  <c r="K451" i="7"/>
  <c r="F451" i="7"/>
  <c r="G450" i="7"/>
  <c r="I450" i="7" s="1"/>
  <c r="F450" i="7"/>
  <c r="G449" i="7"/>
  <c r="K449" i="7"/>
  <c r="F449" i="7"/>
  <c r="G448" i="7"/>
  <c r="I448" i="7" s="1"/>
  <c r="F448" i="7"/>
  <c r="G447" i="7"/>
  <c r="K447" i="7"/>
  <c r="F447" i="7"/>
  <c r="G446" i="7"/>
  <c r="I446" i="7" s="1"/>
  <c r="F446" i="7"/>
  <c r="G445" i="7"/>
  <c r="K445" i="7"/>
  <c r="F445" i="7"/>
  <c r="G444" i="7"/>
  <c r="I444" i="7" s="1"/>
  <c r="F444" i="7"/>
  <c r="G443" i="7"/>
  <c r="K443" i="7"/>
  <c r="F443" i="7"/>
  <c r="G442" i="7"/>
  <c r="I442" i="7" s="1"/>
  <c r="F442" i="7"/>
  <c r="G441" i="7"/>
  <c r="K441" i="7"/>
  <c r="F441" i="7"/>
  <c r="G440" i="7"/>
  <c r="I440" i="7" s="1"/>
  <c r="F440" i="7"/>
  <c r="G439" i="7"/>
  <c r="K439" i="7"/>
  <c r="F439" i="7"/>
  <c r="G438" i="7"/>
  <c r="I438" i="7" s="1"/>
  <c r="F438" i="7"/>
  <c r="G437" i="7"/>
  <c r="K437" i="7"/>
  <c r="F437" i="7"/>
  <c r="G436" i="7"/>
  <c r="I436" i="7" s="1"/>
  <c r="F436" i="7"/>
  <c r="G435" i="7"/>
  <c r="K435" i="7"/>
  <c r="F435" i="7"/>
  <c r="G434" i="7"/>
  <c r="I434" i="7" s="1"/>
  <c r="F434" i="7"/>
  <c r="G433" i="7"/>
  <c r="K433" i="7"/>
  <c r="F433" i="7"/>
  <c r="G432" i="7"/>
  <c r="I432" i="7" s="1"/>
  <c r="F432" i="7"/>
  <c r="G431" i="7"/>
  <c r="K431" i="7"/>
  <c r="F431" i="7"/>
  <c r="G430" i="7"/>
  <c r="I430" i="7" s="1"/>
  <c r="F430" i="7"/>
  <c r="G429" i="7"/>
  <c r="K429" i="7"/>
  <c r="F429" i="7"/>
  <c r="G428" i="7"/>
  <c r="I428" i="7" s="1"/>
  <c r="F428" i="7"/>
  <c r="G427" i="7"/>
  <c r="K427" i="7"/>
  <c r="F427" i="7"/>
  <c r="G426" i="7"/>
  <c r="I426" i="7" s="1"/>
  <c r="F426" i="7"/>
  <c r="G425" i="7"/>
  <c r="K425" i="7"/>
  <c r="F425" i="7"/>
  <c r="G424" i="7"/>
  <c r="I424" i="7" s="1"/>
  <c r="F424" i="7"/>
  <c r="G423" i="7"/>
  <c r="K423" i="7"/>
  <c r="F423" i="7"/>
  <c r="G422" i="7"/>
  <c r="I422" i="7" s="1"/>
  <c r="F422" i="7"/>
  <c r="G421" i="7"/>
  <c r="K421" i="7"/>
  <c r="F421" i="7"/>
  <c r="G420" i="7"/>
  <c r="I420" i="7" s="1"/>
  <c r="F420" i="7"/>
  <c r="G419" i="7"/>
  <c r="K419" i="7"/>
  <c r="F419" i="7"/>
  <c r="G418" i="7"/>
  <c r="I418" i="7" s="1"/>
  <c r="F418" i="7"/>
  <c r="G417" i="7"/>
  <c r="K417" i="7"/>
  <c r="F417" i="7"/>
  <c r="G416" i="7"/>
  <c r="I416" i="7" s="1"/>
  <c r="F416" i="7"/>
  <c r="G415" i="7"/>
  <c r="K415" i="7"/>
  <c r="F415" i="7"/>
  <c r="G414" i="7"/>
  <c r="I414" i="7" s="1"/>
  <c r="F414" i="7"/>
  <c r="G413" i="7"/>
  <c r="K413" i="7"/>
  <c r="F413" i="7"/>
  <c r="G412" i="7"/>
  <c r="I412" i="7" s="1"/>
  <c r="F412" i="7"/>
  <c r="G411" i="7"/>
  <c r="K411" i="7"/>
  <c r="F411" i="7"/>
  <c r="G410" i="7"/>
  <c r="I410" i="7" s="1"/>
  <c r="F410" i="7"/>
  <c r="G409" i="7"/>
  <c r="K409" i="7"/>
  <c r="F409" i="7"/>
  <c r="G408" i="7"/>
  <c r="I408" i="7" s="1"/>
  <c r="F408" i="7"/>
  <c r="G407" i="7"/>
  <c r="K407" i="7"/>
  <c r="F407" i="7"/>
  <c r="G406" i="7"/>
  <c r="I406" i="7" s="1"/>
  <c r="F406" i="7"/>
  <c r="G405" i="7"/>
  <c r="K405" i="7"/>
  <c r="F405" i="7"/>
  <c r="G404" i="7"/>
  <c r="I404" i="7" s="1"/>
  <c r="F404" i="7"/>
  <c r="G403" i="7"/>
  <c r="K403" i="7"/>
  <c r="F403" i="7"/>
  <c r="G402" i="7"/>
  <c r="I402" i="7" s="1"/>
  <c r="F402" i="7"/>
  <c r="G401" i="7"/>
  <c r="K401" i="7"/>
  <c r="F401" i="7"/>
  <c r="G400" i="7"/>
  <c r="I400" i="7" s="1"/>
  <c r="F400" i="7"/>
  <c r="G399" i="7"/>
  <c r="K399" i="7"/>
  <c r="F399" i="7"/>
  <c r="G398" i="7"/>
  <c r="I398" i="7" s="1"/>
  <c r="F398" i="7"/>
  <c r="G397" i="7"/>
  <c r="K397" i="7"/>
  <c r="F397" i="7"/>
  <c r="G396" i="7"/>
  <c r="I396" i="7" s="1"/>
  <c r="F396" i="7"/>
  <c r="G395" i="7"/>
  <c r="K395" i="7"/>
  <c r="F395" i="7"/>
  <c r="G394" i="7"/>
  <c r="I394" i="7" s="1"/>
  <c r="F394" i="7"/>
  <c r="G393" i="7"/>
  <c r="K393" i="7"/>
  <c r="F393" i="7"/>
  <c r="G392" i="7"/>
  <c r="I392" i="7" s="1"/>
  <c r="F392" i="7"/>
  <c r="G391" i="7"/>
  <c r="K391" i="7"/>
  <c r="F391" i="7"/>
  <c r="G390" i="7"/>
  <c r="I390" i="7" s="1"/>
  <c r="F390" i="7"/>
  <c r="G389" i="7"/>
  <c r="K389" i="7"/>
  <c r="F389" i="7"/>
  <c r="G388" i="7"/>
  <c r="I388" i="7" s="1"/>
  <c r="F388" i="7"/>
  <c r="G387" i="7"/>
  <c r="K387" i="7"/>
  <c r="F387" i="7"/>
  <c r="G386" i="7"/>
  <c r="I386" i="7" s="1"/>
  <c r="F386" i="7"/>
  <c r="G385" i="7"/>
  <c r="K385" i="7"/>
  <c r="F385" i="7"/>
  <c r="G384" i="7"/>
  <c r="I384" i="7" s="1"/>
  <c r="F384" i="7"/>
  <c r="G383" i="7"/>
  <c r="K383" i="7"/>
  <c r="F383" i="7"/>
  <c r="G382" i="7"/>
  <c r="I382" i="7" s="1"/>
  <c r="F382" i="7"/>
  <c r="G381" i="7"/>
  <c r="K381" i="7"/>
  <c r="F381" i="7"/>
  <c r="G380" i="7"/>
  <c r="I380" i="7" s="1"/>
  <c r="F380" i="7"/>
  <c r="G379" i="7"/>
  <c r="K379" i="7"/>
  <c r="F379" i="7"/>
  <c r="G378" i="7"/>
  <c r="I378" i="7" s="1"/>
  <c r="F378" i="7"/>
  <c r="G377" i="7"/>
  <c r="K377" i="7"/>
  <c r="F377" i="7"/>
  <c r="G376" i="7"/>
  <c r="I376" i="7" s="1"/>
  <c r="F376" i="7"/>
  <c r="G375" i="7"/>
  <c r="K375" i="7"/>
  <c r="F375" i="7"/>
  <c r="G374" i="7"/>
  <c r="I374" i="7" s="1"/>
  <c r="F374" i="7"/>
  <c r="G373" i="7"/>
  <c r="K373" i="7"/>
  <c r="F373" i="7"/>
  <c r="G372" i="7"/>
  <c r="I372" i="7" s="1"/>
  <c r="F372" i="7"/>
  <c r="G371" i="7"/>
  <c r="K371" i="7"/>
  <c r="F371" i="7"/>
  <c r="G370" i="7"/>
  <c r="I370" i="7" s="1"/>
  <c r="F370" i="7"/>
  <c r="G369" i="7"/>
  <c r="K369" i="7"/>
  <c r="F369" i="7"/>
  <c r="G368" i="7"/>
  <c r="I368" i="7" s="1"/>
  <c r="F368" i="7"/>
  <c r="G367" i="7"/>
  <c r="K367" i="7"/>
  <c r="F367" i="7"/>
  <c r="G366" i="7"/>
  <c r="I366" i="7" s="1"/>
  <c r="F366" i="7"/>
  <c r="G365" i="7"/>
  <c r="K365" i="7"/>
  <c r="F365" i="7"/>
  <c r="G364" i="7"/>
  <c r="I364" i="7" s="1"/>
  <c r="F364" i="7"/>
  <c r="G363" i="7"/>
  <c r="K363" i="7"/>
  <c r="F363" i="7"/>
  <c r="G362" i="7"/>
  <c r="I362" i="7" s="1"/>
  <c r="F362" i="7"/>
  <c r="G361" i="7"/>
  <c r="F361" i="7"/>
  <c r="G360" i="7"/>
  <c r="F360" i="7"/>
  <c r="G359" i="7"/>
  <c r="F359" i="7"/>
  <c r="G358" i="7"/>
  <c r="I358" i="7"/>
  <c r="F358" i="7"/>
  <c r="G357" i="7"/>
  <c r="F357" i="7"/>
  <c r="G356" i="7"/>
  <c r="K356" i="7" s="1"/>
  <c r="F356" i="7"/>
  <c r="G355" i="7"/>
  <c r="F355" i="7"/>
  <c r="G354" i="7"/>
  <c r="I354" i="7"/>
  <c r="F354" i="7"/>
  <c r="G353" i="7"/>
  <c r="F353" i="7"/>
  <c r="G352" i="7"/>
  <c r="F352" i="7"/>
  <c r="G351" i="7"/>
  <c r="F351" i="7"/>
  <c r="G350" i="7"/>
  <c r="I350" i="7" s="1"/>
  <c r="F350" i="7"/>
  <c r="G349" i="7"/>
  <c r="F349" i="7"/>
  <c r="G348" i="7"/>
  <c r="K348" i="7"/>
  <c r="F348" i="7"/>
  <c r="G347" i="7"/>
  <c r="F347" i="7"/>
  <c r="G346" i="7"/>
  <c r="I346" i="7" s="1"/>
  <c r="F346" i="7"/>
  <c r="G345" i="7"/>
  <c r="F345" i="7"/>
  <c r="G344" i="7"/>
  <c r="F344" i="7"/>
  <c r="G343" i="7"/>
  <c r="F343" i="7"/>
  <c r="G342" i="7"/>
  <c r="I342" i="7"/>
  <c r="F342" i="7"/>
  <c r="G341" i="7"/>
  <c r="F341" i="7"/>
  <c r="G340" i="7"/>
  <c r="K340" i="7" s="1"/>
  <c r="F340" i="7"/>
  <c r="G339" i="7"/>
  <c r="F339" i="7"/>
  <c r="G338" i="7"/>
  <c r="I338" i="7"/>
  <c r="F338" i="7"/>
  <c r="G337" i="7"/>
  <c r="F337" i="7"/>
  <c r="G336" i="7"/>
  <c r="F336" i="7"/>
  <c r="G335" i="7"/>
  <c r="F335" i="7"/>
  <c r="G334" i="7"/>
  <c r="I334" i="7" s="1"/>
  <c r="F334" i="7"/>
  <c r="G333" i="7"/>
  <c r="F333" i="7"/>
  <c r="G332" i="7"/>
  <c r="K332" i="7"/>
  <c r="F332" i="7"/>
  <c r="G331" i="7"/>
  <c r="F331" i="7"/>
  <c r="G330" i="7"/>
  <c r="I330" i="7" s="1"/>
  <c r="F330" i="7"/>
  <c r="G329" i="7"/>
  <c r="F329" i="7"/>
  <c r="G328" i="7"/>
  <c r="F328" i="7"/>
  <c r="G327" i="7"/>
  <c r="F327" i="7"/>
  <c r="G326" i="7"/>
  <c r="I326" i="7"/>
  <c r="F326" i="7"/>
  <c r="G325" i="7"/>
  <c r="F325" i="7"/>
  <c r="G324" i="7"/>
  <c r="K324" i="7" s="1"/>
  <c r="F324" i="7"/>
  <c r="G323" i="7"/>
  <c r="F323" i="7"/>
  <c r="G322" i="7"/>
  <c r="I322" i="7"/>
  <c r="F322" i="7"/>
  <c r="G321" i="7"/>
  <c r="F321" i="7"/>
  <c r="G320" i="7"/>
  <c r="F320" i="7"/>
  <c r="G319" i="7"/>
  <c r="F319" i="7"/>
  <c r="G318" i="7"/>
  <c r="F318" i="7"/>
  <c r="G317" i="7"/>
  <c r="I317" i="7" s="1"/>
  <c r="F317" i="7"/>
  <c r="G316" i="7"/>
  <c r="K316" i="7"/>
  <c r="F316" i="7"/>
  <c r="G315" i="7"/>
  <c r="I315" i="7" s="1"/>
  <c r="F315" i="7"/>
  <c r="G314" i="7"/>
  <c r="K314" i="7"/>
  <c r="F314" i="7"/>
  <c r="G313" i="7"/>
  <c r="I313" i="7" s="1"/>
  <c r="F313" i="7"/>
  <c r="G312" i="7"/>
  <c r="K312" i="7"/>
  <c r="F312" i="7"/>
  <c r="G311" i="7"/>
  <c r="I311" i="7" s="1"/>
  <c r="F311" i="7"/>
  <c r="G310" i="7"/>
  <c r="K310" i="7"/>
  <c r="F310" i="7"/>
  <c r="G309" i="7"/>
  <c r="I309" i="7" s="1"/>
  <c r="F309" i="7"/>
  <c r="G308" i="7"/>
  <c r="K308" i="7"/>
  <c r="F308" i="7"/>
  <c r="G307" i="7"/>
  <c r="I307" i="7" s="1"/>
  <c r="F307" i="7"/>
  <c r="G306" i="7"/>
  <c r="K306" i="7"/>
  <c r="F306" i="7"/>
  <c r="G305" i="7"/>
  <c r="I305" i="7" s="1"/>
  <c r="F305" i="7"/>
  <c r="G304" i="7"/>
  <c r="K304" i="7"/>
  <c r="F304" i="7"/>
  <c r="G303" i="7"/>
  <c r="I303" i="7" s="1"/>
  <c r="F303" i="7"/>
  <c r="G302" i="7"/>
  <c r="K302" i="7"/>
  <c r="F302" i="7"/>
  <c r="G301" i="7"/>
  <c r="I301" i="7" s="1"/>
  <c r="F301" i="7"/>
  <c r="G300" i="7"/>
  <c r="K300" i="7"/>
  <c r="F300" i="7"/>
  <c r="G299" i="7"/>
  <c r="I299" i="7" s="1"/>
  <c r="F299" i="7"/>
  <c r="G298" i="7"/>
  <c r="K298" i="7"/>
  <c r="F298" i="7"/>
  <c r="G297" i="7"/>
  <c r="I297" i="7" s="1"/>
  <c r="F297" i="7"/>
  <c r="G296" i="7"/>
  <c r="K296" i="7"/>
  <c r="F296" i="7"/>
  <c r="G295" i="7"/>
  <c r="I295" i="7" s="1"/>
  <c r="F295" i="7"/>
  <c r="G294" i="7"/>
  <c r="K294" i="7"/>
  <c r="F294" i="7"/>
  <c r="G293" i="7"/>
  <c r="I293" i="7" s="1"/>
  <c r="F293" i="7"/>
  <c r="G292" i="7"/>
  <c r="K292" i="7"/>
  <c r="F292" i="7"/>
  <c r="G291" i="7"/>
  <c r="I291" i="7" s="1"/>
  <c r="F291" i="7"/>
  <c r="G290" i="7"/>
  <c r="K290" i="7"/>
  <c r="F290" i="7"/>
  <c r="G289" i="7"/>
  <c r="I289" i="7" s="1"/>
  <c r="F289" i="7"/>
  <c r="G288" i="7"/>
  <c r="K288" i="7" s="1"/>
  <c r="F288" i="7"/>
  <c r="G287" i="7"/>
  <c r="F287" i="7"/>
  <c r="G286" i="7"/>
  <c r="F286" i="7"/>
  <c r="G285" i="7"/>
  <c r="F285" i="7"/>
  <c r="G284" i="7"/>
  <c r="F284" i="7"/>
  <c r="G283" i="7"/>
  <c r="F283" i="7"/>
  <c r="G282" i="7"/>
  <c r="F282" i="7"/>
  <c r="G281" i="7"/>
  <c r="F281" i="7"/>
  <c r="G280" i="7"/>
  <c r="F280" i="7"/>
  <c r="G279" i="7"/>
  <c r="I279" i="7"/>
  <c r="F279" i="7"/>
  <c r="G278" i="7"/>
  <c r="F278" i="7"/>
  <c r="G277" i="7"/>
  <c r="K277" i="7" s="1"/>
  <c r="F277" i="7"/>
  <c r="G276" i="7"/>
  <c r="F276" i="7"/>
  <c r="G275" i="7"/>
  <c r="I275" i="7"/>
  <c r="F275" i="7"/>
  <c r="G274" i="7"/>
  <c r="F274" i="7"/>
  <c r="G273" i="7"/>
  <c r="K273" i="7" s="1"/>
  <c r="F273" i="7"/>
  <c r="G272" i="7"/>
  <c r="F272" i="7"/>
  <c r="G271" i="7"/>
  <c r="F271" i="7"/>
  <c r="G270" i="7"/>
  <c r="F270" i="7"/>
  <c r="G269" i="7"/>
  <c r="F269" i="7"/>
  <c r="G268" i="7"/>
  <c r="F268" i="7"/>
  <c r="G267" i="7"/>
  <c r="F267" i="7"/>
  <c r="G266" i="7"/>
  <c r="F266" i="7"/>
  <c r="G265" i="7"/>
  <c r="F265" i="7"/>
  <c r="G264" i="7"/>
  <c r="F264" i="7"/>
  <c r="G263" i="7"/>
  <c r="I263" i="7"/>
  <c r="F263" i="7"/>
  <c r="G262" i="7"/>
  <c r="F262" i="7"/>
  <c r="G261" i="7"/>
  <c r="K261" i="7" s="1"/>
  <c r="F261" i="7"/>
  <c r="G260" i="7"/>
  <c r="F260" i="7"/>
  <c r="G259" i="7"/>
  <c r="I259" i="7"/>
  <c r="F259" i="7"/>
  <c r="G258" i="7"/>
  <c r="F258" i="7"/>
  <c r="G257" i="7"/>
  <c r="K257" i="7" s="1"/>
  <c r="F257" i="7"/>
  <c r="G256" i="7"/>
  <c r="F256" i="7"/>
  <c r="G255" i="7"/>
  <c r="F255" i="7"/>
  <c r="G254" i="7"/>
  <c r="F254" i="7"/>
  <c r="G253" i="7"/>
  <c r="F253" i="7"/>
  <c r="G252" i="7"/>
  <c r="F252" i="7"/>
  <c r="G251" i="7"/>
  <c r="F251" i="7"/>
  <c r="G250" i="7"/>
  <c r="F250" i="7"/>
  <c r="G249" i="7"/>
  <c r="F249" i="7"/>
  <c r="G248" i="7"/>
  <c r="F248" i="7"/>
  <c r="G247" i="7"/>
  <c r="F247" i="7"/>
  <c r="G246" i="7"/>
  <c r="F246" i="7"/>
  <c r="G245" i="7"/>
  <c r="F245" i="7"/>
  <c r="G244" i="7"/>
  <c r="I244" i="7"/>
  <c r="F244" i="7"/>
  <c r="G243" i="7"/>
  <c r="F243" i="7"/>
  <c r="G242" i="7"/>
  <c r="K242" i="7" s="1"/>
  <c r="F242" i="7"/>
  <c r="G241" i="7"/>
  <c r="F241" i="7"/>
  <c r="G240" i="7"/>
  <c r="I240" i="7"/>
  <c r="F240" i="7"/>
  <c r="G239" i="7"/>
  <c r="F239" i="7"/>
  <c r="G238" i="7"/>
  <c r="F238" i="7"/>
  <c r="G237" i="7"/>
  <c r="F237" i="7"/>
  <c r="G236" i="7"/>
  <c r="F236" i="7"/>
  <c r="G235" i="7"/>
  <c r="F235" i="7"/>
  <c r="G234" i="7"/>
  <c r="F234" i="7"/>
  <c r="G233" i="7"/>
  <c r="F233" i="7"/>
  <c r="G232" i="7"/>
  <c r="F232" i="7"/>
  <c r="G231" i="7"/>
  <c r="F231" i="7"/>
  <c r="G230" i="7"/>
  <c r="F230" i="7"/>
  <c r="G229" i="7"/>
  <c r="F229" i="7"/>
  <c r="G228" i="7"/>
  <c r="I228" i="7" s="1"/>
  <c r="F228" i="7"/>
  <c r="G227" i="7"/>
  <c r="F227" i="7"/>
  <c r="G226" i="7"/>
  <c r="K226" i="7"/>
  <c r="F226" i="7"/>
  <c r="G225" i="7"/>
  <c r="F225" i="7"/>
  <c r="G224" i="7"/>
  <c r="I224" i="7" s="1"/>
  <c r="F224" i="7"/>
  <c r="G223" i="7"/>
  <c r="F223" i="7"/>
  <c r="G222" i="7"/>
  <c r="F222" i="7"/>
  <c r="G221" i="7"/>
  <c r="F221" i="7"/>
  <c r="G220" i="7"/>
  <c r="F220" i="7"/>
  <c r="G219" i="7"/>
  <c r="F219" i="7"/>
  <c r="G218" i="7"/>
  <c r="F218" i="7"/>
  <c r="G217" i="7"/>
  <c r="F217" i="7"/>
  <c r="G216" i="7"/>
  <c r="F216" i="7"/>
  <c r="G215" i="7"/>
  <c r="F215" i="7"/>
  <c r="G214" i="7"/>
  <c r="F214" i="7"/>
  <c r="G213" i="7"/>
  <c r="F213" i="7"/>
  <c r="G212" i="7"/>
  <c r="F212" i="7"/>
  <c r="G211" i="7"/>
  <c r="F211" i="7"/>
  <c r="G210" i="7"/>
  <c r="F210" i="7"/>
  <c r="G209" i="7"/>
  <c r="F209" i="7"/>
  <c r="G208" i="7"/>
  <c r="F208" i="7"/>
  <c r="G207" i="7"/>
  <c r="F207" i="7"/>
  <c r="G206" i="7"/>
  <c r="F206" i="7"/>
  <c r="G205" i="7"/>
  <c r="F205" i="7"/>
  <c r="G204" i="7"/>
  <c r="F204" i="7"/>
  <c r="G203" i="7"/>
  <c r="F203" i="7"/>
  <c r="G202" i="7"/>
  <c r="F202" i="7"/>
  <c r="G201" i="7"/>
  <c r="F201" i="7"/>
  <c r="G200" i="7"/>
  <c r="F200" i="7"/>
  <c r="G199" i="7"/>
  <c r="F199" i="7"/>
  <c r="G198" i="7"/>
  <c r="F198" i="7"/>
  <c r="G197" i="7"/>
  <c r="F197" i="7"/>
  <c r="G196" i="7"/>
  <c r="F196" i="7"/>
  <c r="G195" i="7"/>
  <c r="F195" i="7"/>
  <c r="G194" i="7"/>
  <c r="F194" i="7"/>
  <c r="G193" i="7"/>
  <c r="F193" i="7"/>
  <c r="G192" i="7"/>
  <c r="F192" i="7"/>
  <c r="G191" i="7"/>
  <c r="F191" i="7"/>
  <c r="G190" i="7"/>
  <c r="F190" i="7"/>
  <c r="G189" i="7"/>
  <c r="F189" i="7"/>
  <c r="G188" i="7"/>
  <c r="F188" i="7"/>
  <c r="G187" i="7"/>
  <c r="F187" i="7"/>
  <c r="G186" i="7"/>
  <c r="F186" i="7"/>
  <c r="G185" i="7"/>
  <c r="F185" i="7"/>
  <c r="G184" i="7"/>
  <c r="F184" i="7"/>
  <c r="G183" i="7"/>
  <c r="F183" i="7"/>
  <c r="G182" i="7"/>
  <c r="F182" i="7"/>
  <c r="G181" i="7"/>
  <c r="F181" i="7"/>
  <c r="G180" i="7"/>
  <c r="F180" i="7"/>
  <c r="G179" i="7"/>
  <c r="F179" i="7"/>
  <c r="G178" i="7"/>
  <c r="F178" i="7"/>
  <c r="G177" i="7"/>
  <c r="F177" i="7"/>
  <c r="G176" i="7"/>
  <c r="F176" i="7"/>
  <c r="G175" i="7"/>
  <c r="F175" i="7"/>
  <c r="G174" i="7"/>
  <c r="F174" i="7"/>
  <c r="G173" i="7"/>
  <c r="F173" i="7"/>
  <c r="G172" i="7"/>
  <c r="F172" i="7"/>
  <c r="G171" i="7"/>
  <c r="F171" i="7"/>
  <c r="G170" i="7"/>
  <c r="F170" i="7"/>
  <c r="G169" i="7"/>
  <c r="F169" i="7"/>
  <c r="G168" i="7"/>
  <c r="F168" i="7"/>
  <c r="G167" i="7"/>
  <c r="F167" i="7"/>
  <c r="G166" i="7"/>
  <c r="F166" i="7"/>
  <c r="G165" i="7"/>
  <c r="F165" i="7"/>
  <c r="G164" i="7"/>
  <c r="F164" i="7"/>
  <c r="G163" i="7"/>
  <c r="F163" i="7"/>
  <c r="G162" i="7"/>
  <c r="F162" i="7"/>
  <c r="G161" i="7"/>
  <c r="F161" i="7"/>
  <c r="G160" i="7"/>
  <c r="F160" i="7"/>
  <c r="G159" i="7"/>
  <c r="F159" i="7"/>
  <c r="G158" i="7"/>
  <c r="F158" i="7"/>
  <c r="G157" i="7"/>
  <c r="F157" i="7"/>
  <c r="G156" i="7"/>
  <c r="F156" i="7"/>
  <c r="G155" i="7"/>
  <c r="F155" i="7"/>
  <c r="G154" i="7"/>
  <c r="F154" i="7"/>
  <c r="G153" i="7"/>
  <c r="F153" i="7"/>
  <c r="G152" i="7"/>
  <c r="F152" i="7"/>
  <c r="G151" i="7"/>
  <c r="F151" i="7"/>
  <c r="G150" i="7"/>
  <c r="F150" i="7"/>
  <c r="G149" i="7"/>
  <c r="F149" i="7"/>
  <c r="G148" i="7"/>
  <c r="F148" i="7"/>
  <c r="G147" i="7"/>
  <c r="F147" i="7"/>
  <c r="G146" i="7"/>
  <c r="F146" i="7"/>
  <c r="G145" i="7"/>
  <c r="F145" i="7"/>
  <c r="G144" i="7"/>
  <c r="F144" i="7"/>
  <c r="G143" i="7"/>
  <c r="F143" i="7"/>
  <c r="G142" i="7"/>
  <c r="F142" i="7"/>
  <c r="G141" i="7"/>
  <c r="F141" i="7"/>
  <c r="G140" i="7"/>
  <c r="F140" i="7"/>
  <c r="G139" i="7"/>
  <c r="F139" i="7"/>
  <c r="G138" i="7"/>
  <c r="F138" i="7"/>
  <c r="G137" i="7"/>
  <c r="F137" i="7"/>
  <c r="G136" i="7"/>
  <c r="F136" i="7"/>
  <c r="G135" i="7"/>
  <c r="F135" i="7"/>
  <c r="G134" i="7"/>
  <c r="F134" i="7"/>
  <c r="G133" i="7"/>
  <c r="F133" i="7"/>
  <c r="G132" i="7"/>
  <c r="F132" i="7"/>
  <c r="G131" i="7"/>
  <c r="F131" i="7"/>
  <c r="G130" i="7"/>
  <c r="F130" i="7"/>
  <c r="G129" i="7"/>
  <c r="F129" i="7"/>
  <c r="G128" i="7"/>
  <c r="F128" i="7"/>
  <c r="G127" i="7"/>
  <c r="F127" i="7"/>
  <c r="G126" i="7"/>
  <c r="F126" i="7"/>
  <c r="G125" i="7"/>
  <c r="F125" i="7"/>
  <c r="G124" i="7"/>
  <c r="F124" i="7"/>
  <c r="G123" i="7"/>
  <c r="F123" i="7"/>
  <c r="G122" i="7"/>
  <c r="F122" i="7"/>
  <c r="G121" i="7"/>
  <c r="F121" i="7"/>
  <c r="G120" i="7"/>
  <c r="F120" i="7"/>
  <c r="G119" i="7"/>
  <c r="F119" i="7"/>
  <c r="G118" i="7"/>
  <c r="F118" i="7"/>
  <c r="G117" i="7"/>
  <c r="F117" i="7"/>
  <c r="G116" i="7"/>
  <c r="F116" i="7"/>
  <c r="G115" i="7"/>
  <c r="F115" i="7"/>
  <c r="G114" i="7"/>
  <c r="F114" i="7"/>
  <c r="G113" i="7"/>
  <c r="F113" i="7"/>
  <c r="G112" i="7"/>
  <c r="F112" i="7"/>
  <c r="G111" i="7"/>
  <c r="F111" i="7"/>
  <c r="G110" i="7"/>
  <c r="F110" i="7"/>
  <c r="G109" i="7"/>
  <c r="F109" i="7"/>
  <c r="G108" i="7"/>
  <c r="F108" i="7"/>
  <c r="G107" i="7"/>
  <c r="F107" i="7"/>
  <c r="G106" i="7"/>
  <c r="F106" i="7"/>
  <c r="G105" i="7"/>
  <c r="F105" i="7"/>
  <c r="G104" i="7"/>
  <c r="F104" i="7"/>
  <c r="G103" i="7"/>
  <c r="F103" i="7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4" i="7"/>
  <c r="F14" i="7"/>
  <c r="D11" i="7"/>
  <c r="K472" i="7"/>
  <c r="K214" i="7"/>
  <c r="E11" i="7"/>
  <c r="F11" i="7" s="1"/>
  <c r="E515" i="7"/>
  <c r="K86" i="7"/>
  <c r="K344" i="7"/>
  <c r="K22" i="7"/>
  <c r="K150" i="7"/>
  <c r="K279" i="7"/>
  <c r="K408" i="7"/>
  <c r="K54" i="7"/>
  <c r="K118" i="7"/>
  <c r="K182" i="7"/>
  <c r="K246" i="7"/>
  <c r="K311" i="7"/>
  <c r="K376" i="7"/>
  <c r="K440" i="7"/>
  <c r="D515" i="7"/>
  <c r="D518" i="7" s="1"/>
  <c r="K38" i="7"/>
  <c r="K70" i="7"/>
  <c r="K102" i="7"/>
  <c r="K134" i="7"/>
  <c r="K166" i="7"/>
  <c r="K198" i="7"/>
  <c r="K230" i="7"/>
  <c r="K263" i="7"/>
  <c r="K295" i="7"/>
  <c r="K328" i="7"/>
  <c r="K360" i="7"/>
  <c r="K392" i="7"/>
  <c r="K424" i="7"/>
  <c r="K456" i="7"/>
  <c r="G11" i="7"/>
  <c r="K11" i="7" s="1"/>
  <c r="I16" i="7"/>
  <c r="K18" i="7"/>
  <c r="I20" i="7"/>
  <c r="I32" i="7"/>
  <c r="K34" i="7"/>
  <c r="I36" i="7"/>
  <c r="I48" i="7"/>
  <c r="K50" i="7"/>
  <c r="I52" i="7"/>
  <c r="I64" i="7"/>
  <c r="K66" i="7"/>
  <c r="I68" i="7"/>
  <c r="I80" i="7"/>
  <c r="K82" i="7"/>
  <c r="I84" i="7"/>
  <c r="I96" i="7"/>
  <c r="K98" i="7"/>
  <c r="I100" i="7"/>
  <c r="I112" i="7"/>
  <c r="K114" i="7"/>
  <c r="I116" i="7"/>
  <c r="I128" i="7"/>
  <c r="K130" i="7"/>
  <c r="I132" i="7"/>
  <c r="I144" i="7"/>
  <c r="K146" i="7"/>
  <c r="I148" i="7"/>
  <c r="I160" i="7"/>
  <c r="K162" i="7"/>
  <c r="I164" i="7"/>
  <c r="I176" i="7"/>
  <c r="K178" i="7"/>
  <c r="I180" i="7"/>
  <c r="I192" i="7"/>
  <c r="K194" i="7"/>
  <c r="I196" i="7"/>
  <c r="I208" i="7"/>
  <c r="K210" i="7"/>
  <c r="I212" i="7"/>
  <c r="I232" i="7"/>
  <c r="K234" i="7"/>
  <c r="I236" i="7"/>
  <c r="K238" i="7"/>
  <c r="K265" i="7"/>
  <c r="I267" i="7"/>
  <c r="K269" i="7"/>
  <c r="I271" i="7"/>
  <c r="K271" i="7"/>
  <c r="K14" i="7"/>
  <c r="K30" i="7"/>
  <c r="K46" i="7"/>
  <c r="K62" i="7"/>
  <c r="K78" i="7"/>
  <c r="K94" i="7"/>
  <c r="K110" i="7"/>
  <c r="K126" i="7"/>
  <c r="K142" i="7"/>
  <c r="K158" i="7"/>
  <c r="K174" i="7"/>
  <c r="K190" i="7"/>
  <c r="K206" i="7"/>
  <c r="I24" i="7"/>
  <c r="K26" i="7"/>
  <c r="I28" i="7"/>
  <c r="I40" i="7"/>
  <c r="K42" i="7"/>
  <c r="I44" i="7"/>
  <c r="I56" i="7"/>
  <c r="K58" i="7"/>
  <c r="I60" i="7"/>
  <c r="I72" i="7"/>
  <c r="K74" i="7"/>
  <c r="I76" i="7"/>
  <c r="I88" i="7"/>
  <c r="K90" i="7"/>
  <c r="I92" i="7"/>
  <c r="I104" i="7"/>
  <c r="K106" i="7"/>
  <c r="I108" i="7"/>
  <c r="I120" i="7"/>
  <c r="K122" i="7"/>
  <c r="I124" i="7"/>
  <c r="I136" i="7"/>
  <c r="K138" i="7"/>
  <c r="I140" i="7"/>
  <c r="I152" i="7"/>
  <c r="K154" i="7"/>
  <c r="I156" i="7"/>
  <c r="I168" i="7"/>
  <c r="K170" i="7"/>
  <c r="I172" i="7"/>
  <c r="I184" i="7"/>
  <c r="K186" i="7"/>
  <c r="I188" i="7"/>
  <c r="I200" i="7"/>
  <c r="K202" i="7"/>
  <c r="I204" i="7"/>
  <c r="I216" i="7"/>
  <c r="K218" i="7"/>
  <c r="I220" i="7"/>
  <c r="K222" i="7"/>
  <c r="I248" i="7"/>
  <c r="K250" i="7"/>
  <c r="I252" i="7"/>
  <c r="I255" i="7"/>
  <c r="K255" i="7"/>
  <c r="K281" i="7"/>
  <c r="I283" i="7"/>
  <c r="I285" i="7"/>
  <c r="K286" i="7"/>
  <c r="I287" i="7"/>
  <c r="K287" i="7"/>
  <c r="K303" i="7"/>
  <c r="K320" i="7"/>
  <c r="K336" i="7"/>
  <c r="K352" i="7"/>
  <c r="K368" i="7"/>
  <c r="K384" i="7"/>
  <c r="K400" i="7"/>
  <c r="K416" i="7"/>
  <c r="K432" i="7"/>
  <c r="K448" i="7"/>
  <c r="K464" i="7"/>
  <c r="K480" i="7"/>
  <c r="K259" i="7"/>
  <c r="K267" i="7"/>
  <c r="K275" i="7"/>
  <c r="K283" i="7"/>
  <c r="K291" i="7"/>
  <c r="K299" i="7"/>
  <c r="K307" i="7"/>
  <c r="K315" i="7"/>
  <c r="K364" i="7"/>
  <c r="K372" i="7"/>
  <c r="K380" i="7"/>
  <c r="K388" i="7"/>
  <c r="K396" i="7"/>
  <c r="K404" i="7"/>
  <c r="K412" i="7"/>
  <c r="K420" i="7"/>
  <c r="K428" i="7"/>
  <c r="K436" i="7"/>
  <c r="K444" i="7"/>
  <c r="K452" i="7"/>
  <c r="K460" i="7"/>
  <c r="K468" i="7"/>
  <c r="K476" i="7"/>
  <c r="K484" i="7"/>
  <c r="K16" i="7"/>
  <c r="K20" i="7"/>
  <c r="K24" i="7"/>
  <c r="K28" i="7"/>
  <c r="K32" i="7"/>
  <c r="K36" i="7"/>
  <c r="K40" i="7"/>
  <c r="K44" i="7"/>
  <c r="K48" i="7"/>
  <c r="K52" i="7"/>
  <c r="K56" i="7"/>
  <c r="K60" i="7"/>
  <c r="K64" i="7"/>
  <c r="K68" i="7"/>
  <c r="K72" i="7"/>
  <c r="K76" i="7"/>
  <c r="K80" i="7"/>
  <c r="K84" i="7"/>
  <c r="K88" i="7"/>
  <c r="K92" i="7"/>
  <c r="K96" i="7"/>
  <c r="K100" i="7"/>
  <c r="K104" i="7"/>
  <c r="K108" i="7"/>
  <c r="K112" i="7"/>
  <c r="K116" i="7"/>
  <c r="K120" i="7"/>
  <c r="K124" i="7"/>
  <c r="K128" i="7"/>
  <c r="K132" i="7"/>
  <c r="K136" i="7"/>
  <c r="K140" i="7"/>
  <c r="K144" i="7"/>
  <c r="K148" i="7"/>
  <c r="K152" i="7"/>
  <c r="K156" i="7"/>
  <c r="K160" i="7"/>
  <c r="K164" i="7"/>
  <c r="K168" i="7"/>
  <c r="K172" i="7"/>
  <c r="K176" i="7"/>
  <c r="K180" i="7"/>
  <c r="K184" i="7"/>
  <c r="K188" i="7"/>
  <c r="K192" i="7"/>
  <c r="K196" i="7"/>
  <c r="K200" i="7"/>
  <c r="K204" i="7"/>
  <c r="K208" i="7"/>
  <c r="K212" i="7"/>
  <c r="K216" i="7"/>
  <c r="K220" i="7"/>
  <c r="K224" i="7"/>
  <c r="K228" i="7"/>
  <c r="K232" i="7"/>
  <c r="K236" i="7"/>
  <c r="K240" i="7"/>
  <c r="K244" i="7"/>
  <c r="K248" i="7"/>
  <c r="K252" i="7"/>
  <c r="K285" i="7"/>
  <c r="K289" i="7"/>
  <c r="K293" i="7"/>
  <c r="K297" i="7"/>
  <c r="K301" i="7"/>
  <c r="K305" i="7"/>
  <c r="K309" i="7"/>
  <c r="K313" i="7"/>
  <c r="K317" i="7"/>
  <c r="K322" i="7"/>
  <c r="K326" i="7"/>
  <c r="K330" i="7"/>
  <c r="K334" i="7"/>
  <c r="K338" i="7"/>
  <c r="K342" i="7"/>
  <c r="K346" i="7"/>
  <c r="K350" i="7"/>
  <c r="K354" i="7"/>
  <c r="K358" i="7"/>
  <c r="K362" i="7"/>
  <c r="K366" i="7"/>
  <c r="K370" i="7"/>
  <c r="K374" i="7"/>
  <c r="K378" i="7"/>
  <c r="K382" i="7"/>
  <c r="K386" i="7"/>
  <c r="K390" i="7"/>
  <c r="K394" i="7"/>
  <c r="K398" i="7"/>
  <c r="K402" i="7"/>
  <c r="K406" i="7"/>
  <c r="K410" i="7"/>
  <c r="K414" i="7"/>
  <c r="K418" i="7"/>
  <c r="K422" i="7"/>
  <c r="K426" i="7"/>
  <c r="K430" i="7"/>
  <c r="K434" i="7"/>
  <c r="K438" i="7"/>
  <c r="K442" i="7"/>
  <c r="K446" i="7"/>
  <c r="K450" i="7"/>
  <c r="K454" i="7"/>
  <c r="K458" i="7"/>
  <c r="K462" i="7"/>
  <c r="K466" i="7"/>
  <c r="K470" i="7"/>
  <c r="K474" i="7"/>
  <c r="K478" i="7"/>
  <c r="K482" i="7"/>
  <c r="K486" i="7"/>
  <c r="K17" i="7"/>
  <c r="K21" i="7"/>
  <c r="K25" i="7"/>
  <c r="K29" i="7"/>
  <c r="K33" i="7"/>
  <c r="K37" i="7"/>
  <c r="K41" i="7"/>
  <c r="K45" i="7"/>
  <c r="K49" i="7"/>
  <c r="K53" i="7"/>
  <c r="K57" i="7"/>
  <c r="K61" i="7"/>
  <c r="K65" i="7"/>
  <c r="K69" i="7"/>
  <c r="K73" i="7"/>
  <c r="K77" i="7"/>
  <c r="K81" i="7"/>
  <c r="K85" i="7"/>
  <c r="K89" i="7"/>
  <c r="K93" i="7"/>
  <c r="K97" i="7"/>
  <c r="K101" i="7"/>
  <c r="K105" i="7"/>
  <c r="K109" i="7"/>
  <c r="K113" i="7"/>
  <c r="K117" i="7"/>
  <c r="K121" i="7"/>
  <c r="K125" i="7"/>
  <c r="K129" i="7"/>
  <c r="K133" i="7"/>
  <c r="K137" i="7"/>
  <c r="K141" i="7"/>
  <c r="K145" i="7"/>
  <c r="K149" i="7"/>
  <c r="K153" i="7"/>
  <c r="K157" i="7"/>
  <c r="K161" i="7"/>
  <c r="K165" i="7"/>
  <c r="K169" i="7"/>
  <c r="K173" i="7"/>
  <c r="K177" i="7"/>
  <c r="K181" i="7"/>
  <c r="K185" i="7"/>
  <c r="K189" i="7"/>
  <c r="K193" i="7"/>
  <c r="K197" i="7"/>
  <c r="K201" i="7"/>
  <c r="K205" i="7"/>
  <c r="K209" i="7"/>
  <c r="K213" i="7"/>
  <c r="K217" i="7"/>
  <c r="K221" i="7"/>
  <c r="K225" i="7"/>
  <c r="K229" i="7"/>
  <c r="K233" i="7"/>
  <c r="K237" i="7"/>
  <c r="K241" i="7"/>
  <c r="K245" i="7"/>
  <c r="K249" i="7"/>
  <c r="K253" i="7"/>
  <c r="K256" i="7"/>
  <c r="K260" i="7"/>
  <c r="K264" i="7"/>
  <c r="K268" i="7"/>
  <c r="K272" i="7"/>
  <c r="K276" i="7"/>
  <c r="K280" i="7"/>
  <c r="K284" i="7"/>
  <c r="I284" i="7"/>
  <c r="K15" i="7"/>
  <c r="I15" i="7"/>
  <c r="K19" i="7"/>
  <c r="I19" i="7"/>
  <c r="K23" i="7"/>
  <c r="I23" i="7"/>
  <c r="K27" i="7"/>
  <c r="I27" i="7"/>
  <c r="K31" i="7"/>
  <c r="I31" i="7"/>
  <c r="K35" i="7"/>
  <c r="I35" i="7"/>
  <c r="K39" i="7"/>
  <c r="I39" i="7"/>
  <c r="K43" i="7"/>
  <c r="I43" i="7"/>
  <c r="K47" i="7"/>
  <c r="I47" i="7"/>
  <c r="K51" i="7"/>
  <c r="I51" i="7"/>
  <c r="K55" i="7"/>
  <c r="I55" i="7"/>
  <c r="K59" i="7"/>
  <c r="I59" i="7"/>
  <c r="K63" i="7"/>
  <c r="I63" i="7"/>
  <c r="K67" i="7"/>
  <c r="I67" i="7"/>
  <c r="K71" i="7"/>
  <c r="I71" i="7"/>
  <c r="K75" i="7"/>
  <c r="I75" i="7"/>
  <c r="K79" i="7"/>
  <c r="I79" i="7"/>
  <c r="K83" i="7"/>
  <c r="I83" i="7"/>
  <c r="K87" i="7"/>
  <c r="I87" i="7"/>
  <c r="K91" i="7"/>
  <c r="I91" i="7"/>
  <c r="K95" i="7"/>
  <c r="I95" i="7"/>
  <c r="K99" i="7"/>
  <c r="I99" i="7"/>
  <c r="K103" i="7"/>
  <c r="I103" i="7"/>
  <c r="K107" i="7"/>
  <c r="I107" i="7"/>
  <c r="K111" i="7"/>
  <c r="I111" i="7"/>
  <c r="K115" i="7"/>
  <c r="I115" i="7"/>
  <c r="K119" i="7"/>
  <c r="I119" i="7"/>
  <c r="K123" i="7"/>
  <c r="I123" i="7"/>
  <c r="K127" i="7"/>
  <c r="I127" i="7"/>
  <c r="K131" i="7"/>
  <c r="I131" i="7"/>
  <c r="K135" i="7"/>
  <c r="I135" i="7"/>
  <c r="K139" i="7"/>
  <c r="I139" i="7"/>
  <c r="K143" i="7"/>
  <c r="I143" i="7"/>
  <c r="K147" i="7"/>
  <c r="I147" i="7"/>
  <c r="K151" i="7"/>
  <c r="I151" i="7"/>
  <c r="K155" i="7"/>
  <c r="I155" i="7"/>
  <c r="K159" i="7"/>
  <c r="I159" i="7"/>
  <c r="K163" i="7"/>
  <c r="I163" i="7"/>
  <c r="K167" i="7"/>
  <c r="I167" i="7"/>
  <c r="K171" i="7"/>
  <c r="I171" i="7"/>
  <c r="K175" i="7"/>
  <c r="I175" i="7"/>
  <c r="K179" i="7"/>
  <c r="I179" i="7"/>
  <c r="K183" i="7"/>
  <c r="I183" i="7"/>
  <c r="K187" i="7"/>
  <c r="I187" i="7"/>
  <c r="K191" i="7"/>
  <c r="I191" i="7"/>
  <c r="K195" i="7"/>
  <c r="I195" i="7"/>
  <c r="K199" i="7"/>
  <c r="I199" i="7"/>
  <c r="K203" i="7"/>
  <c r="I203" i="7"/>
  <c r="K207" i="7"/>
  <c r="I207" i="7"/>
  <c r="K211" i="7"/>
  <c r="I211" i="7"/>
  <c r="K215" i="7"/>
  <c r="I215" i="7"/>
  <c r="K219" i="7"/>
  <c r="I219" i="7"/>
  <c r="K223" i="7"/>
  <c r="I223" i="7"/>
  <c r="K227" i="7"/>
  <c r="I227" i="7"/>
  <c r="K231" i="7"/>
  <c r="I231" i="7"/>
  <c r="K235" i="7"/>
  <c r="I235" i="7"/>
  <c r="K239" i="7"/>
  <c r="I239" i="7"/>
  <c r="K243" i="7"/>
  <c r="I243" i="7"/>
  <c r="K247" i="7"/>
  <c r="I247" i="7"/>
  <c r="K251" i="7"/>
  <c r="I251" i="7"/>
  <c r="K258" i="7"/>
  <c r="I258" i="7"/>
  <c r="K262" i="7"/>
  <c r="I262" i="7"/>
  <c r="K266" i="7"/>
  <c r="I266" i="7"/>
  <c r="K270" i="7"/>
  <c r="I270" i="7"/>
  <c r="K274" i="7"/>
  <c r="I274" i="7"/>
  <c r="K278" i="7"/>
  <c r="I278" i="7"/>
  <c r="K282" i="7"/>
  <c r="I282" i="7"/>
  <c r="I14" i="7"/>
  <c r="I17" i="7"/>
  <c r="I18" i="7"/>
  <c r="I21" i="7"/>
  <c r="I22" i="7"/>
  <c r="I25" i="7"/>
  <c r="I26" i="7"/>
  <c r="I29" i="7"/>
  <c r="I30" i="7"/>
  <c r="I33" i="7"/>
  <c r="I34" i="7"/>
  <c r="I37" i="7"/>
  <c r="I38" i="7"/>
  <c r="I41" i="7"/>
  <c r="I42" i="7"/>
  <c r="I45" i="7"/>
  <c r="I46" i="7"/>
  <c r="I49" i="7"/>
  <c r="I50" i="7"/>
  <c r="I53" i="7"/>
  <c r="I54" i="7"/>
  <c r="I57" i="7"/>
  <c r="I58" i="7"/>
  <c r="I61" i="7"/>
  <c r="I62" i="7"/>
  <c r="I65" i="7"/>
  <c r="I66" i="7"/>
  <c r="I69" i="7"/>
  <c r="I70" i="7"/>
  <c r="I73" i="7"/>
  <c r="I74" i="7"/>
  <c r="I77" i="7"/>
  <c r="I78" i="7"/>
  <c r="I81" i="7"/>
  <c r="I82" i="7"/>
  <c r="I85" i="7"/>
  <c r="I86" i="7"/>
  <c r="I89" i="7"/>
  <c r="I90" i="7"/>
  <c r="I93" i="7"/>
  <c r="I94" i="7"/>
  <c r="I97" i="7"/>
  <c r="I98" i="7"/>
  <c r="I101" i="7"/>
  <c r="I102" i="7"/>
  <c r="I105" i="7"/>
  <c r="I106" i="7"/>
  <c r="I109" i="7"/>
  <c r="I110" i="7"/>
  <c r="I113" i="7"/>
  <c r="I114" i="7"/>
  <c r="I117" i="7"/>
  <c r="I118" i="7"/>
  <c r="I121" i="7"/>
  <c r="I122" i="7"/>
  <c r="I125" i="7"/>
  <c r="I126" i="7"/>
  <c r="I129" i="7"/>
  <c r="I130" i="7"/>
  <c r="I133" i="7"/>
  <c r="I134" i="7"/>
  <c r="I137" i="7"/>
  <c r="I138" i="7"/>
  <c r="I141" i="7"/>
  <c r="I142" i="7"/>
  <c r="I145" i="7"/>
  <c r="I146" i="7"/>
  <c r="I149" i="7"/>
  <c r="I150" i="7"/>
  <c r="I153" i="7"/>
  <c r="I154" i="7"/>
  <c r="I157" i="7"/>
  <c r="I158" i="7"/>
  <c r="I161" i="7"/>
  <c r="I162" i="7"/>
  <c r="I165" i="7"/>
  <c r="I166" i="7"/>
  <c r="I169" i="7"/>
  <c r="I170" i="7"/>
  <c r="I173" i="7"/>
  <c r="I174" i="7"/>
  <c r="I177" i="7"/>
  <c r="I178" i="7"/>
  <c r="I181" i="7"/>
  <c r="I182" i="7"/>
  <c r="I185" i="7"/>
  <c r="I186" i="7"/>
  <c r="I189" i="7"/>
  <c r="I190" i="7"/>
  <c r="I193" i="7"/>
  <c r="I194" i="7"/>
  <c r="I197" i="7"/>
  <c r="I198" i="7"/>
  <c r="I201" i="7"/>
  <c r="I202" i="7"/>
  <c r="I205" i="7"/>
  <c r="I206" i="7"/>
  <c r="I209" i="7"/>
  <c r="I210" i="7"/>
  <c r="I213" i="7"/>
  <c r="I214" i="7"/>
  <c r="I217" i="7"/>
  <c r="I218" i="7"/>
  <c r="I221" i="7"/>
  <c r="I222" i="7"/>
  <c r="I225" i="7"/>
  <c r="I226" i="7"/>
  <c r="I229" i="7"/>
  <c r="I230" i="7"/>
  <c r="I233" i="7"/>
  <c r="I234" i="7"/>
  <c r="I237" i="7"/>
  <c r="I238" i="7"/>
  <c r="I241" i="7"/>
  <c r="I242" i="7"/>
  <c r="I245" i="7"/>
  <c r="I246" i="7"/>
  <c r="I249" i="7"/>
  <c r="I250" i="7"/>
  <c r="I253" i="7"/>
  <c r="I254" i="7"/>
  <c r="I256" i="7"/>
  <c r="I257" i="7"/>
  <c r="I260" i="7"/>
  <c r="I261" i="7"/>
  <c r="I264" i="7"/>
  <c r="I265" i="7"/>
  <c r="I268" i="7"/>
  <c r="I269" i="7"/>
  <c r="I272" i="7"/>
  <c r="I273" i="7"/>
  <c r="I276" i="7"/>
  <c r="I277" i="7"/>
  <c r="I280" i="7"/>
  <c r="I281" i="7"/>
  <c r="K319" i="7"/>
  <c r="K323" i="7"/>
  <c r="K327" i="7"/>
  <c r="K331" i="7"/>
  <c r="K335" i="7"/>
  <c r="K339" i="7"/>
  <c r="K343" i="7"/>
  <c r="K347" i="7"/>
  <c r="K351" i="7"/>
  <c r="K355" i="7"/>
  <c r="K359" i="7"/>
  <c r="K321" i="7"/>
  <c r="I321" i="7"/>
  <c r="K325" i="7"/>
  <c r="I325" i="7"/>
  <c r="K329" i="7"/>
  <c r="I329" i="7"/>
  <c r="K333" i="7"/>
  <c r="I333" i="7"/>
  <c r="K337" i="7"/>
  <c r="I337" i="7"/>
  <c r="K341" i="7"/>
  <c r="I341" i="7"/>
  <c r="K345" i="7"/>
  <c r="I345" i="7"/>
  <c r="K349" i="7"/>
  <c r="I349" i="7"/>
  <c r="K353" i="7"/>
  <c r="I353" i="7"/>
  <c r="K357" i="7"/>
  <c r="I357" i="7"/>
  <c r="K361" i="7"/>
  <c r="I361" i="7"/>
  <c r="I286" i="7"/>
  <c r="I290" i="7"/>
  <c r="I294" i="7"/>
  <c r="I298" i="7"/>
  <c r="I302" i="7"/>
  <c r="I306" i="7"/>
  <c r="I310" i="7"/>
  <c r="I314" i="7"/>
  <c r="I318" i="7"/>
  <c r="K318" i="7"/>
  <c r="I488" i="7"/>
  <c r="I288" i="7"/>
  <c r="I292" i="7"/>
  <c r="I296" i="7"/>
  <c r="I300" i="7"/>
  <c r="I304" i="7"/>
  <c r="I308" i="7"/>
  <c r="I312" i="7"/>
  <c r="I316" i="7"/>
  <c r="I319" i="7"/>
  <c r="I320" i="7"/>
  <c r="I323" i="7"/>
  <c r="I324" i="7"/>
  <c r="I327" i="7"/>
  <c r="I328" i="7"/>
  <c r="I331" i="7"/>
  <c r="I332" i="7"/>
  <c r="I335" i="7"/>
  <c r="I336" i="7"/>
  <c r="I339" i="7"/>
  <c r="I340" i="7"/>
  <c r="I343" i="7"/>
  <c r="I344" i="7"/>
  <c r="I347" i="7"/>
  <c r="I348" i="7"/>
  <c r="I351" i="7"/>
  <c r="I352" i="7"/>
  <c r="I355" i="7"/>
  <c r="I356" i="7"/>
  <c r="I359" i="7"/>
  <c r="I360" i="7"/>
  <c r="I363" i="7"/>
  <c r="I367" i="7"/>
  <c r="I371" i="7"/>
  <c r="I375" i="7"/>
  <c r="I379" i="7"/>
  <c r="I383" i="7"/>
  <c r="I387" i="7"/>
  <c r="I391" i="7"/>
  <c r="I395" i="7"/>
  <c r="I399" i="7"/>
  <c r="I403" i="7"/>
  <c r="I407" i="7"/>
  <c r="I411" i="7"/>
  <c r="I415" i="7"/>
  <c r="I419" i="7"/>
  <c r="I423" i="7"/>
  <c r="I427" i="7"/>
  <c r="I431" i="7"/>
  <c r="I435" i="7"/>
  <c r="I439" i="7"/>
  <c r="I443" i="7"/>
  <c r="I447" i="7"/>
  <c r="I451" i="7"/>
  <c r="I455" i="7"/>
  <c r="I459" i="7"/>
  <c r="I463" i="7"/>
  <c r="I467" i="7"/>
  <c r="I471" i="7"/>
  <c r="I475" i="7"/>
  <c r="I479" i="7"/>
  <c r="I483" i="7"/>
  <c r="I487" i="7"/>
  <c r="K488" i="7"/>
  <c r="I365" i="7"/>
  <c r="I369" i="7"/>
  <c r="I373" i="7"/>
  <c r="I377" i="7"/>
  <c r="I381" i="7"/>
  <c r="I385" i="7"/>
  <c r="I389" i="7"/>
  <c r="I393" i="7"/>
  <c r="I397" i="7"/>
  <c r="I401" i="7"/>
  <c r="I405" i="7"/>
  <c r="I409" i="7"/>
  <c r="I413" i="7"/>
  <c r="I417" i="7"/>
  <c r="I421" i="7"/>
  <c r="I425" i="7"/>
  <c r="I429" i="7"/>
  <c r="I433" i="7"/>
  <c r="I437" i="7"/>
  <c r="I441" i="7"/>
  <c r="I445" i="7"/>
  <c r="I449" i="7"/>
  <c r="I453" i="7"/>
  <c r="I457" i="7"/>
  <c r="I461" i="7"/>
  <c r="I465" i="7"/>
  <c r="I469" i="7"/>
  <c r="I473" i="7"/>
  <c r="I477" i="7"/>
  <c r="I481" i="7"/>
  <c r="I485" i="7"/>
  <c r="D39" i="6"/>
  <c r="I11" i="5"/>
  <c r="D14" i="6"/>
  <c r="R42" i="6"/>
  <c r="R52" i="6" s="1"/>
  <c r="R43" i="6"/>
  <c r="S43" i="6" s="1"/>
  <c r="R46" i="6"/>
  <c r="S46" i="6" s="1"/>
  <c r="R47" i="6"/>
  <c r="S47" i="6"/>
  <c r="R50" i="6"/>
  <c r="R56" i="6"/>
  <c r="S56" i="6" s="1"/>
  <c r="R57" i="6"/>
  <c r="S57" i="6" s="1"/>
  <c r="R58" i="6"/>
  <c r="S58" i="6"/>
  <c r="R61" i="6"/>
  <c r="R62" i="6"/>
  <c r="S62" i="6" s="1"/>
  <c r="R63" i="6"/>
  <c r="S63" i="6" s="1"/>
  <c r="R64" i="6"/>
  <c r="S64" i="6"/>
  <c r="R65" i="6"/>
  <c r="R66" i="6"/>
  <c r="S66" i="6" s="1"/>
  <c r="R67" i="6"/>
  <c r="S67" i="6" s="1"/>
  <c r="R68" i="6"/>
  <c r="S68" i="6"/>
  <c r="R69" i="6"/>
  <c r="R70" i="6"/>
  <c r="S70" i="6" s="1"/>
  <c r="R71" i="6"/>
  <c r="S71" i="6" s="1"/>
  <c r="R72" i="6"/>
  <c r="S72" i="6"/>
  <c r="R73" i="6"/>
  <c r="R74" i="6"/>
  <c r="S74" i="6" s="1"/>
  <c r="R75" i="6"/>
  <c r="S75" i="6" s="1"/>
  <c r="R76" i="6"/>
  <c r="S76" i="6"/>
  <c r="R77" i="6"/>
  <c r="R78" i="6"/>
  <c r="S78" i="6" s="1"/>
  <c r="R79" i="6"/>
  <c r="S79" i="6" s="1"/>
  <c r="R80" i="6"/>
  <c r="S80" i="6"/>
  <c r="R81" i="6"/>
  <c r="R82" i="6"/>
  <c r="S82" i="6" s="1"/>
  <c r="R83" i="6"/>
  <c r="S83" i="6" s="1"/>
  <c r="R84" i="6"/>
  <c r="S84" i="6"/>
  <c r="R85" i="6"/>
  <c r="R86" i="6"/>
  <c r="S86" i="6" s="1"/>
  <c r="R87" i="6"/>
  <c r="S87" i="6" s="1"/>
  <c r="R88" i="6"/>
  <c r="S88" i="6"/>
  <c r="R89" i="6"/>
  <c r="R90" i="6"/>
  <c r="S90" i="6" s="1"/>
  <c r="R91" i="6"/>
  <c r="S91" i="6" s="1"/>
  <c r="R92" i="6"/>
  <c r="S92" i="6"/>
  <c r="R93" i="6"/>
  <c r="R94" i="6"/>
  <c r="S94" i="6" s="1"/>
  <c r="R95" i="6"/>
  <c r="S95" i="6" s="1"/>
  <c r="S50" i="6"/>
  <c r="S61" i="6"/>
  <c r="S65" i="6"/>
  <c r="S69" i="6"/>
  <c r="S73" i="6"/>
  <c r="S77" i="6"/>
  <c r="S81" i="6"/>
  <c r="S85" i="6"/>
  <c r="S89" i="6"/>
  <c r="S93" i="6"/>
  <c r="Q42" i="6"/>
  <c r="Q43" i="6"/>
  <c r="Q46" i="6"/>
  <c r="Q47" i="6"/>
  <c r="Q50" i="6"/>
  <c r="Q56" i="6"/>
  <c r="Q57" i="6"/>
  <c r="Q58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E512" i="5"/>
  <c r="E521" i="5"/>
  <c r="G15" i="5"/>
  <c r="J15" i="5"/>
  <c r="G16" i="5"/>
  <c r="J16" i="5"/>
  <c r="G17" i="5"/>
  <c r="J17" i="5"/>
  <c r="G18" i="5"/>
  <c r="J18" i="5"/>
  <c r="G19" i="5"/>
  <c r="J19" i="5"/>
  <c r="G20" i="5"/>
  <c r="J20" i="5"/>
  <c r="G21" i="5"/>
  <c r="J21" i="5"/>
  <c r="G22" i="5"/>
  <c r="J22" i="5"/>
  <c r="G23" i="5"/>
  <c r="J23" i="5"/>
  <c r="G24" i="5"/>
  <c r="J24" i="5"/>
  <c r="G25" i="5"/>
  <c r="J25" i="5"/>
  <c r="G26" i="5"/>
  <c r="J26" i="5"/>
  <c r="G27" i="5"/>
  <c r="J27" i="5"/>
  <c r="G28" i="5"/>
  <c r="J28" i="5"/>
  <c r="G29" i="5"/>
  <c r="J29" i="5"/>
  <c r="G30" i="5"/>
  <c r="J30" i="5"/>
  <c r="G31" i="5"/>
  <c r="J31" i="5"/>
  <c r="G32" i="5"/>
  <c r="J32" i="5"/>
  <c r="G33" i="5"/>
  <c r="J33" i="5"/>
  <c r="G34" i="5"/>
  <c r="J34" i="5"/>
  <c r="G35" i="5"/>
  <c r="J35" i="5"/>
  <c r="G36" i="5"/>
  <c r="J36" i="5"/>
  <c r="G37" i="5"/>
  <c r="J37" i="5"/>
  <c r="G38" i="5"/>
  <c r="J38" i="5"/>
  <c r="G39" i="5"/>
  <c r="J39" i="5"/>
  <c r="G40" i="5"/>
  <c r="J40" i="5"/>
  <c r="G41" i="5"/>
  <c r="J41" i="5"/>
  <c r="G42" i="5"/>
  <c r="J42" i="5"/>
  <c r="G43" i="5"/>
  <c r="J43" i="5"/>
  <c r="G44" i="5"/>
  <c r="J44" i="5"/>
  <c r="G45" i="5"/>
  <c r="J45" i="5"/>
  <c r="G46" i="5"/>
  <c r="J46" i="5"/>
  <c r="G47" i="5"/>
  <c r="J47" i="5"/>
  <c r="G48" i="5"/>
  <c r="J48" i="5"/>
  <c r="G49" i="5"/>
  <c r="J49" i="5"/>
  <c r="G50" i="5"/>
  <c r="J50" i="5"/>
  <c r="G51" i="5"/>
  <c r="J51" i="5"/>
  <c r="G52" i="5"/>
  <c r="J52" i="5"/>
  <c r="G53" i="5"/>
  <c r="J53" i="5"/>
  <c r="G54" i="5"/>
  <c r="J54" i="5"/>
  <c r="G55" i="5"/>
  <c r="J55" i="5"/>
  <c r="G56" i="5"/>
  <c r="J56" i="5"/>
  <c r="G57" i="5"/>
  <c r="J57" i="5"/>
  <c r="G58" i="5"/>
  <c r="J58" i="5"/>
  <c r="G59" i="5"/>
  <c r="J59" i="5"/>
  <c r="G60" i="5"/>
  <c r="J60" i="5"/>
  <c r="G61" i="5"/>
  <c r="J61" i="5"/>
  <c r="G62" i="5"/>
  <c r="J62" i="5"/>
  <c r="G63" i="5"/>
  <c r="J63" i="5"/>
  <c r="G64" i="5"/>
  <c r="J64" i="5"/>
  <c r="G65" i="5"/>
  <c r="J65" i="5"/>
  <c r="G66" i="5"/>
  <c r="J66" i="5"/>
  <c r="G67" i="5"/>
  <c r="J67" i="5"/>
  <c r="G68" i="5"/>
  <c r="J68" i="5"/>
  <c r="G69" i="5"/>
  <c r="J69" i="5"/>
  <c r="G70" i="5"/>
  <c r="J70" i="5"/>
  <c r="G71" i="5"/>
  <c r="J71" i="5"/>
  <c r="G72" i="5"/>
  <c r="J72" i="5"/>
  <c r="G73" i="5"/>
  <c r="J73" i="5"/>
  <c r="G74" i="5"/>
  <c r="J74" i="5"/>
  <c r="G75" i="5"/>
  <c r="J75" i="5"/>
  <c r="G76" i="5"/>
  <c r="J76" i="5"/>
  <c r="G77" i="5"/>
  <c r="J77" i="5"/>
  <c r="G78" i="5"/>
  <c r="J78" i="5"/>
  <c r="G79" i="5"/>
  <c r="J79" i="5"/>
  <c r="G80" i="5"/>
  <c r="J80" i="5"/>
  <c r="G81" i="5"/>
  <c r="J81" i="5"/>
  <c r="G82" i="5"/>
  <c r="J82" i="5"/>
  <c r="G83" i="5"/>
  <c r="J83" i="5"/>
  <c r="G84" i="5"/>
  <c r="J84" i="5"/>
  <c r="G85" i="5"/>
  <c r="J85" i="5"/>
  <c r="G86" i="5"/>
  <c r="J86" i="5"/>
  <c r="G87" i="5"/>
  <c r="J87" i="5"/>
  <c r="G88" i="5"/>
  <c r="J88" i="5"/>
  <c r="G89" i="5"/>
  <c r="J89" i="5"/>
  <c r="G90" i="5"/>
  <c r="J90" i="5"/>
  <c r="G91" i="5"/>
  <c r="J91" i="5"/>
  <c r="G92" i="5"/>
  <c r="J92" i="5"/>
  <c r="G93" i="5"/>
  <c r="J93" i="5"/>
  <c r="G94" i="5"/>
  <c r="J94" i="5"/>
  <c r="G95" i="5"/>
  <c r="J95" i="5"/>
  <c r="G96" i="5"/>
  <c r="J96" i="5"/>
  <c r="G97" i="5"/>
  <c r="J97" i="5"/>
  <c r="G98" i="5"/>
  <c r="J98" i="5"/>
  <c r="G99" i="5"/>
  <c r="J99" i="5"/>
  <c r="G100" i="5"/>
  <c r="J100" i="5"/>
  <c r="G101" i="5"/>
  <c r="J101" i="5"/>
  <c r="G102" i="5"/>
  <c r="J102" i="5"/>
  <c r="G103" i="5"/>
  <c r="J103" i="5"/>
  <c r="G104" i="5"/>
  <c r="J104" i="5"/>
  <c r="G105" i="5"/>
  <c r="J105" i="5"/>
  <c r="G106" i="5"/>
  <c r="J106" i="5"/>
  <c r="G107" i="5"/>
  <c r="J107" i="5"/>
  <c r="G108" i="5"/>
  <c r="J108" i="5"/>
  <c r="G109" i="5"/>
  <c r="J109" i="5"/>
  <c r="G110" i="5"/>
  <c r="J110" i="5"/>
  <c r="G111" i="5"/>
  <c r="J111" i="5"/>
  <c r="G112" i="5"/>
  <c r="J112" i="5"/>
  <c r="G113" i="5"/>
  <c r="J113" i="5"/>
  <c r="G114" i="5"/>
  <c r="J114" i="5"/>
  <c r="G115" i="5"/>
  <c r="J115" i="5"/>
  <c r="G116" i="5"/>
  <c r="J116" i="5"/>
  <c r="G117" i="5"/>
  <c r="J117" i="5"/>
  <c r="G118" i="5"/>
  <c r="J118" i="5"/>
  <c r="G119" i="5"/>
  <c r="J119" i="5"/>
  <c r="G120" i="5"/>
  <c r="J120" i="5"/>
  <c r="G121" i="5"/>
  <c r="J121" i="5"/>
  <c r="G122" i="5"/>
  <c r="J122" i="5"/>
  <c r="G123" i="5"/>
  <c r="J123" i="5"/>
  <c r="G124" i="5"/>
  <c r="J124" i="5"/>
  <c r="G125" i="5"/>
  <c r="J125" i="5"/>
  <c r="G126" i="5"/>
  <c r="J126" i="5"/>
  <c r="G127" i="5"/>
  <c r="J127" i="5"/>
  <c r="G128" i="5"/>
  <c r="J128" i="5"/>
  <c r="G129" i="5"/>
  <c r="J129" i="5"/>
  <c r="G130" i="5"/>
  <c r="J130" i="5"/>
  <c r="G131" i="5"/>
  <c r="J131" i="5"/>
  <c r="G132" i="5"/>
  <c r="J132" i="5"/>
  <c r="G133" i="5"/>
  <c r="J133" i="5"/>
  <c r="G134" i="5"/>
  <c r="J134" i="5"/>
  <c r="G135" i="5"/>
  <c r="J135" i="5"/>
  <c r="G136" i="5"/>
  <c r="J136" i="5"/>
  <c r="G137" i="5"/>
  <c r="J137" i="5"/>
  <c r="G138" i="5"/>
  <c r="J138" i="5"/>
  <c r="G139" i="5"/>
  <c r="J139" i="5"/>
  <c r="G140" i="5"/>
  <c r="J140" i="5"/>
  <c r="G141" i="5"/>
  <c r="J141" i="5"/>
  <c r="G142" i="5"/>
  <c r="J142" i="5"/>
  <c r="G143" i="5"/>
  <c r="J143" i="5"/>
  <c r="G144" i="5"/>
  <c r="J144" i="5"/>
  <c r="G145" i="5"/>
  <c r="J145" i="5"/>
  <c r="G146" i="5"/>
  <c r="J146" i="5"/>
  <c r="G147" i="5"/>
  <c r="J147" i="5"/>
  <c r="G148" i="5"/>
  <c r="J148" i="5"/>
  <c r="G149" i="5"/>
  <c r="J149" i="5"/>
  <c r="G150" i="5"/>
  <c r="J150" i="5"/>
  <c r="G151" i="5"/>
  <c r="J151" i="5"/>
  <c r="G152" i="5"/>
  <c r="J152" i="5"/>
  <c r="G153" i="5"/>
  <c r="J153" i="5"/>
  <c r="G154" i="5"/>
  <c r="J154" i="5"/>
  <c r="G155" i="5"/>
  <c r="J155" i="5"/>
  <c r="G156" i="5"/>
  <c r="J156" i="5"/>
  <c r="G157" i="5"/>
  <c r="J157" i="5"/>
  <c r="G158" i="5"/>
  <c r="J158" i="5"/>
  <c r="G159" i="5"/>
  <c r="J159" i="5"/>
  <c r="G160" i="5"/>
  <c r="J160" i="5"/>
  <c r="G161" i="5"/>
  <c r="J161" i="5"/>
  <c r="G162" i="5"/>
  <c r="J162" i="5"/>
  <c r="G163" i="5"/>
  <c r="J163" i="5"/>
  <c r="G164" i="5"/>
  <c r="J164" i="5"/>
  <c r="G165" i="5"/>
  <c r="J165" i="5"/>
  <c r="G166" i="5"/>
  <c r="J166" i="5"/>
  <c r="G167" i="5"/>
  <c r="J167" i="5"/>
  <c r="G168" i="5"/>
  <c r="J168" i="5"/>
  <c r="G169" i="5"/>
  <c r="J169" i="5"/>
  <c r="G170" i="5"/>
  <c r="J170" i="5"/>
  <c r="G171" i="5"/>
  <c r="J171" i="5"/>
  <c r="G172" i="5"/>
  <c r="J172" i="5"/>
  <c r="G173" i="5"/>
  <c r="J173" i="5"/>
  <c r="G174" i="5"/>
  <c r="J174" i="5"/>
  <c r="G175" i="5"/>
  <c r="J175" i="5"/>
  <c r="G176" i="5"/>
  <c r="J176" i="5"/>
  <c r="G177" i="5"/>
  <c r="J177" i="5"/>
  <c r="G178" i="5"/>
  <c r="J178" i="5"/>
  <c r="G179" i="5"/>
  <c r="J179" i="5"/>
  <c r="G180" i="5"/>
  <c r="J180" i="5"/>
  <c r="G181" i="5"/>
  <c r="J181" i="5"/>
  <c r="G182" i="5"/>
  <c r="J182" i="5"/>
  <c r="G183" i="5"/>
  <c r="J183" i="5"/>
  <c r="G184" i="5"/>
  <c r="J184" i="5"/>
  <c r="G185" i="5"/>
  <c r="J185" i="5"/>
  <c r="G186" i="5"/>
  <c r="J186" i="5"/>
  <c r="G187" i="5"/>
  <c r="J187" i="5"/>
  <c r="G188" i="5"/>
  <c r="J188" i="5"/>
  <c r="G189" i="5"/>
  <c r="J189" i="5"/>
  <c r="G190" i="5"/>
  <c r="J190" i="5"/>
  <c r="G191" i="5"/>
  <c r="J191" i="5"/>
  <c r="G192" i="5"/>
  <c r="J192" i="5"/>
  <c r="G193" i="5"/>
  <c r="J193" i="5"/>
  <c r="G194" i="5"/>
  <c r="J194" i="5"/>
  <c r="G195" i="5"/>
  <c r="J195" i="5"/>
  <c r="G196" i="5"/>
  <c r="J196" i="5"/>
  <c r="G197" i="5"/>
  <c r="J197" i="5"/>
  <c r="G198" i="5"/>
  <c r="J198" i="5"/>
  <c r="G199" i="5"/>
  <c r="J199" i="5"/>
  <c r="G200" i="5"/>
  <c r="J200" i="5"/>
  <c r="G201" i="5"/>
  <c r="J201" i="5"/>
  <c r="G202" i="5"/>
  <c r="J202" i="5"/>
  <c r="G203" i="5"/>
  <c r="J203" i="5"/>
  <c r="G204" i="5"/>
  <c r="J204" i="5"/>
  <c r="G205" i="5"/>
  <c r="J205" i="5"/>
  <c r="G206" i="5"/>
  <c r="J206" i="5"/>
  <c r="G207" i="5"/>
  <c r="J207" i="5"/>
  <c r="G208" i="5"/>
  <c r="J208" i="5"/>
  <c r="G209" i="5"/>
  <c r="J209" i="5"/>
  <c r="G210" i="5"/>
  <c r="J210" i="5"/>
  <c r="G211" i="5"/>
  <c r="J211" i="5"/>
  <c r="G212" i="5"/>
  <c r="J212" i="5"/>
  <c r="G213" i="5"/>
  <c r="J213" i="5"/>
  <c r="G214" i="5"/>
  <c r="J214" i="5"/>
  <c r="G215" i="5"/>
  <c r="J215" i="5"/>
  <c r="G216" i="5"/>
  <c r="J216" i="5"/>
  <c r="G217" i="5"/>
  <c r="J217" i="5"/>
  <c r="G218" i="5"/>
  <c r="J218" i="5"/>
  <c r="G219" i="5"/>
  <c r="J219" i="5"/>
  <c r="G220" i="5"/>
  <c r="J220" i="5"/>
  <c r="G221" i="5"/>
  <c r="J221" i="5"/>
  <c r="G222" i="5"/>
  <c r="J222" i="5"/>
  <c r="G223" i="5"/>
  <c r="J223" i="5"/>
  <c r="G224" i="5"/>
  <c r="J224" i="5"/>
  <c r="G225" i="5"/>
  <c r="J225" i="5"/>
  <c r="G226" i="5"/>
  <c r="J226" i="5"/>
  <c r="G227" i="5"/>
  <c r="J227" i="5"/>
  <c r="G228" i="5"/>
  <c r="J228" i="5"/>
  <c r="G229" i="5"/>
  <c r="J229" i="5"/>
  <c r="G230" i="5"/>
  <c r="J230" i="5"/>
  <c r="G231" i="5"/>
  <c r="J231" i="5"/>
  <c r="G232" i="5"/>
  <c r="J232" i="5"/>
  <c r="G233" i="5"/>
  <c r="J233" i="5"/>
  <c r="G234" i="5"/>
  <c r="J234" i="5"/>
  <c r="G235" i="5"/>
  <c r="J235" i="5"/>
  <c r="G236" i="5"/>
  <c r="J236" i="5"/>
  <c r="G237" i="5"/>
  <c r="J237" i="5"/>
  <c r="G238" i="5"/>
  <c r="J238" i="5"/>
  <c r="G239" i="5"/>
  <c r="J239" i="5"/>
  <c r="G240" i="5"/>
  <c r="J240" i="5"/>
  <c r="G241" i="5"/>
  <c r="J241" i="5"/>
  <c r="G242" i="5"/>
  <c r="J242" i="5"/>
  <c r="G243" i="5"/>
  <c r="J243" i="5"/>
  <c r="G244" i="5"/>
  <c r="J244" i="5"/>
  <c r="G245" i="5"/>
  <c r="J245" i="5"/>
  <c r="G246" i="5"/>
  <c r="J246" i="5"/>
  <c r="G247" i="5"/>
  <c r="J247" i="5"/>
  <c r="G248" i="5"/>
  <c r="J248" i="5"/>
  <c r="G249" i="5"/>
  <c r="J249" i="5"/>
  <c r="G250" i="5"/>
  <c r="J250" i="5"/>
  <c r="G251" i="5"/>
  <c r="J251" i="5"/>
  <c r="G252" i="5"/>
  <c r="J252" i="5"/>
  <c r="G253" i="5"/>
  <c r="J253" i="5"/>
  <c r="G255" i="5"/>
  <c r="J255" i="5"/>
  <c r="G256" i="5"/>
  <c r="J256" i="5"/>
  <c r="G257" i="5"/>
  <c r="J257" i="5"/>
  <c r="G258" i="5"/>
  <c r="J258" i="5"/>
  <c r="G259" i="5"/>
  <c r="J259" i="5"/>
  <c r="G260" i="5"/>
  <c r="J260" i="5"/>
  <c r="G261" i="5"/>
  <c r="J261" i="5"/>
  <c r="G262" i="5"/>
  <c r="J262" i="5"/>
  <c r="G263" i="5"/>
  <c r="J263" i="5"/>
  <c r="G264" i="5"/>
  <c r="J264" i="5"/>
  <c r="G265" i="5"/>
  <c r="J265" i="5"/>
  <c r="G266" i="5"/>
  <c r="J266" i="5"/>
  <c r="G267" i="5"/>
  <c r="J267" i="5"/>
  <c r="G268" i="5"/>
  <c r="J268" i="5"/>
  <c r="G269" i="5"/>
  <c r="J269" i="5"/>
  <c r="G270" i="5"/>
  <c r="J270" i="5"/>
  <c r="G271" i="5"/>
  <c r="J271" i="5"/>
  <c r="G272" i="5"/>
  <c r="J272" i="5"/>
  <c r="G273" i="5"/>
  <c r="J273" i="5"/>
  <c r="G274" i="5"/>
  <c r="J274" i="5"/>
  <c r="G275" i="5"/>
  <c r="J275" i="5"/>
  <c r="G276" i="5"/>
  <c r="J276" i="5"/>
  <c r="G277" i="5"/>
  <c r="J277" i="5"/>
  <c r="G278" i="5"/>
  <c r="J278" i="5"/>
  <c r="G279" i="5"/>
  <c r="J279" i="5"/>
  <c r="G280" i="5"/>
  <c r="J280" i="5"/>
  <c r="G281" i="5"/>
  <c r="J281" i="5"/>
  <c r="G282" i="5"/>
  <c r="J282" i="5"/>
  <c r="G283" i="5"/>
  <c r="J283" i="5"/>
  <c r="G284" i="5"/>
  <c r="J284" i="5"/>
  <c r="G285" i="5"/>
  <c r="J285" i="5"/>
  <c r="G286" i="5"/>
  <c r="J286" i="5"/>
  <c r="G287" i="5"/>
  <c r="J287" i="5"/>
  <c r="G288" i="5"/>
  <c r="J288" i="5"/>
  <c r="G289" i="5"/>
  <c r="J289" i="5"/>
  <c r="G290" i="5"/>
  <c r="J290" i="5"/>
  <c r="G291" i="5"/>
  <c r="J291" i="5"/>
  <c r="G292" i="5"/>
  <c r="J292" i="5"/>
  <c r="G293" i="5"/>
  <c r="J293" i="5"/>
  <c r="G294" i="5"/>
  <c r="J294" i="5"/>
  <c r="G295" i="5"/>
  <c r="J295" i="5"/>
  <c r="G296" i="5"/>
  <c r="J296" i="5"/>
  <c r="G297" i="5"/>
  <c r="J297" i="5"/>
  <c r="G298" i="5"/>
  <c r="J298" i="5"/>
  <c r="G299" i="5"/>
  <c r="J299" i="5"/>
  <c r="G300" i="5"/>
  <c r="J300" i="5"/>
  <c r="G301" i="5"/>
  <c r="J301" i="5"/>
  <c r="G302" i="5"/>
  <c r="J302" i="5"/>
  <c r="G303" i="5"/>
  <c r="J303" i="5"/>
  <c r="G304" i="5"/>
  <c r="J304" i="5"/>
  <c r="G305" i="5"/>
  <c r="J305" i="5"/>
  <c r="G306" i="5"/>
  <c r="J306" i="5"/>
  <c r="G307" i="5"/>
  <c r="J307" i="5"/>
  <c r="G308" i="5"/>
  <c r="J308" i="5"/>
  <c r="G309" i="5"/>
  <c r="J309" i="5"/>
  <c r="G310" i="5"/>
  <c r="J310" i="5"/>
  <c r="G311" i="5"/>
  <c r="J311" i="5"/>
  <c r="G312" i="5"/>
  <c r="J312" i="5"/>
  <c r="G313" i="5"/>
  <c r="J313" i="5"/>
  <c r="G314" i="5"/>
  <c r="J314" i="5"/>
  <c r="G315" i="5"/>
  <c r="J315" i="5"/>
  <c r="G316" i="5"/>
  <c r="J316" i="5"/>
  <c r="G317" i="5"/>
  <c r="J317" i="5"/>
  <c r="G318" i="5"/>
  <c r="J318" i="5"/>
  <c r="G319" i="5"/>
  <c r="J319" i="5"/>
  <c r="G320" i="5"/>
  <c r="J320" i="5"/>
  <c r="G321" i="5"/>
  <c r="J321" i="5"/>
  <c r="G322" i="5"/>
  <c r="J322" i="5"/>
  <c r="G323" i="5"/>
  <c r="J323" i="5"/>
  <c r="G324" i="5"/>
  <c r="J324" i="5"/>
  <c r="G325" i="5"/>
  <c r="J325" i="5"/>
  <c r="G326" i="5"/>
  <c r="J326" i="5"/>
  <c r="G327" i="5"/>
  <c r="J327" i="5"/>
  <c r="G328" i="5"/>
  <c r="J328" i="5"/>
  <c r="G329" i="5"/>
  <c r="J329" i="5"/>
  <c r="G330" i="5"/>
  <c r="J330" i="5"/>
  <c r="G331" i="5"/>
  <c r="J331" i="5"/>
  <c r="G332" i="5"/>
  <c r="J332" i="5"/>
  <c r="G333" i="5"/>
  <c r="J333" i="5"/>
  <c r="G334" i="5"/>
  <c r="J334" i="5"/>
  <c r="G335" i="5"/>
  <c r="J335" i="5"/>
  <c r="G336" i="5"/>
  <c r="J336" i="5"/>
  <c r="G337" i="5"/>
  <c r="J337" i="5"/>
  <c r="G338" i="5"/>
  <c r="J338" i="5"/>
  <c r="G339" i="5"/>
  <c r="J339" i="5"/>
  <c r="G340" i="5"/>
  <c r="J340" i="5"/>
  <c r="G341" i="5"/>
  <c r="J341" i="5"/>
  <c r="G342" i="5"/>
  <c r="J342" i="5"/>
  <c r="G343" i="5"/>
  <c r="J343" i="5"/>
  <c r="G344" i="5"/>
  <c r="J344" i="5"/>
  <c r="G345" i="5"/>
  <c r="J345" i="5"/>
  <c r="G346" i="5"/>
  <c r="J346" i="5"/>
  <c r="G347" i="5"/>
  <c r="J347" i="5"/>
  <c r="G348" i="5"/>
  <c r="J348" i="5"/>
  <c r="G349" i="5"/>
  <c r="J349" i="5"/>
  <c r="G350" i="5"/>
  <c r="J350" i="5"/>
  <c r="G351" i="5"/>
  <c r="J351" i="5"/>
  <c r="G352" i="5"/>
  <c r="J352" i="5"/>
  <c r="G353" i="5"/>
  <c r="J353" i="5"/>
  <c r="G354" i="5"/>
  <c r="J354" i="5"/>
  <c r="G355" i="5"/>
  <c r="J355" i="5"/>
  <c r="G356" i="5"/>
  <c r="J356" i="5"/>
  <c r="G357" i="5"/>
  <c r="J357" i="5"/>
  <c r="G358" i="5"/>
  <c r="J358" i="5"/>
  <c r="G359" i="5"/>
  <c r="J359" i="5"/>
  <c r="G360" i="5"/>
  <c r="J360" i="5"/>
  <c r="G361" i="5"/>
  <c r="J361" i="5"/>
  <c r="G362" i="5"/>
  <c r="J362" i="5"/>
  <c r="G363" i="5"/>
  <c r="J363" i="5"/>
  <c r="G364" i="5"/>
  <c r="J364" i="5"/>
  <c r="G365" i="5"/>
  <c r="J365" i="5"/>
  <c r="G366" i="5"/>
  <c r="J366" i="5"/>
  <c r="G367" i="5"/>
  <c r="J367" i="5"/>
  <c r="G368" i="5"/>
  <c r="J368" i="5"/>
  <c r="G369" i="5"/>
  <c r="J369" i="5"/>
  <c r="G370" i="5"/>
  <c r="J370" i="5"/>
  <c r="G371" i="5"/>
  <c r="J371" i="5"/>
  <c r="G372" i="5"/>
  <c r="J372" i="5"/>
  <c r="G373" i="5"/>
  <c r="J373" i="5"/>
  <c r="G374" i="5"/>
  <c r="J374" i="5"/>
  <c r="G375" i="5"/>
  <c r="J375" i="5"/>
  <c r="G376" i="5"/>
  <c r="J376" i="5"/>
  <c r="G377" i="5"/>
  <c r="J377" i="5"/>
  <c r="G378" i="5"/>
  <c r="J378" i="5"/>
  <c r="G379" i="5"/>
  <c r="J379" i="5"/>
  <c r="G380" i="5"/>
  <c r="J380" i="5"/>
  <c r="G381" i="5"/>
  <c r="J381" i="5"/>
  <c r="G382" i="5"/>
  <c r="J382" i="5"/>
  <c r="G383" i="5"/>
  <c r="J383" i="5"/>
  <c r="G384" i="5"/>
  <c r="J384" i="5"/>
  <c r="G385" i="5"/>
  <c r="J385" i="5"/>
  <c r="G386" i="5"/>
  <c r="J386" i="5"/>
  <c r="G387" i="5"/>
  <c r="J387" i="5"/>
  <c r="G388" i="5"/>
  <c r="J388" i="5"/>
  <c r="G389" i="5"/>
  <c r="J389" i="5"/>
  <c r="G390" i="5"/>
  <c r="J390" i="5"/>
  <c r="G391" i="5"/>
  <c r="J391" i="5"/>
  <c r="G392" i="5"/>
  <c r="J392" i="5"/>
  <c r="G393" i="5"/>
  <c r="J393" i="5"/>
  <c r="G394" i="5"/>
  <c r="J394" i="5"/>
  <c r="G395" i="5"/>
  <c r="J395" i="5"/>
  <c r="G396" i="5"/>
  <c r="J396" i="5"/>
  <c r="G397" i="5"/>
  <c r="J397" i="5"/>
  <c r="G398" i="5"/>
  <c r="J398" i="5"/>
  <c r="G399" i="5"/>
  <c r="J399" i="5"/>
  <c r="G400" i="5"/>
  <c r="J400" i="5"/>
  <c r="G401" i="5"/>
  <c r="J401" i="5"/>
  <c r="G402" i="5"/>
  <c r="J402" i="5"/>
  <c r="G403" i="5"/>
  <c r="J403" i="5"/>
  <c r="G404" i="5"/>
  <c r="J404" i="5"/>
  <c r="G405" i="5"/>
  <c r="J405" i="5"/>
  <c r="G406" i="5"/>
  <c r="J406" i="5"/>
  <c r="G407" i="5"/>
  <c r="J407" i="5"/>
  <c r="G408" i="5"/>
  <c r="J408" i="5"/>
  <c r="G409" i="5"/>
  <c r="J409" i="5"/>
  <c r="G410" i="5"/>
  <c r="J410" i="5"/>
  <c r="G411" i="5"/>
  <c r="J411" i="5"/>
  <c r="G412" i="5"/>
  <c r="J412" i="5"/>
  <c r="G413" i="5"/>
  <c r="J413" i="5"/>
  <c r="G414" i="5"/>
  <c r="J414" i="5"/>
  <c r="G415" i="5"/>
  <c r="J415" i="5"/>
  <c r="G416" i="5"/>
  <c r="J416" i="5"/>
  <c r="G417" i="5"/>
  <c r="J417" i="5"/>
  <c r="G418" i="5"/>
  <c r="J418" i="5"/>
  <c r="G419" i="5"/>
  <c r="J419" i="5"/>
  <c r="G420" i="5"/>
  <c r="J420" i="5"/>
  <c r="G421" i="5"/>
  <c r="J421" i="5"/>
  <c r="G422" i="5"/>
  <c r="J422" i="5"/>
  <c r="G423" i="5"/>
  <c r="J423" i="5"/>
  <c r="G424" i="5"/>
  <c r="J424" i="5"/>
  <c r="G425" i="5"/>
  <c r="J425" i="5"/>
  <c r="G426" i="5"/>
  <c r="J426" i="5"/>
  <c r="G427" i="5"/>
  <c r="J427" i="5"/>
  <c r="G428" i="5"/>
  <c r="J428" i="5"/>
  <c r="G429" i="5"/>
  <c r="J429" i="5"/>
  <c r="G430" i="5"/>
  <c r="J430" i="5"/>
  <c r="G431" i="5"/>
  <c r="J431" i="5"/>
  <c r="G432" i="5"/>
  <c r="J432" i="5"/>
  <c r="G433" i="5"/>
  <c r="J433" i="5"/>
  <c r="G434" i="5"/>
  <c r="J434" i="5"/>
  <c r="G435" i="5"/>
  <c r="J435" i="5"/>
  <c r="G436" i="5"/>
  <c r="J436" i="5"/>
  <c r="G437" i="5"/>
  <c r="J437" i="5"/>
  <c r="G438" i="5"/>
  <c r="J438" i="5"/>
  <c r="G439" i="5"/>
  <c r="J439" i="5"/>
  <c r="G440" i="5"/>
  <c r="J440" i="5"/>
  <c r="G441" i="5"/>
  <c r="J441" i="5"/>
  <c r="G442" i="5"/>
  <c r="J442" i="5"/>
  <c r="G443" i="5"/>
  <c r="J443" i="5"/>
  <c r="G444" i="5"/>
  <c r="J444" i="5"/>
  <c r="G445" i="5"/>
  <c r="J445" i="5"/>
  <c r="G446" i="5"/>
  <c r="J446" i="5"/>
  <c r="G447" i="5"/>
  <c r="J447" i="5"/>
  <c r="G448" i="5"/>
  <c r="J448" i="5"/>
  <c r="G449" i="5"/>
  <c r="J449" i="5"/>
  <c r="G450" i="5"/>
  <c r="J450" i="5"/>
  <c r="G451" i="5"/>
  <c r="J451" i="5"/>
  <c r="G452" i="5"/>
  <c r="J452" i="5"/>
  <c r="G453" i="5"/>
  <c r="J453" i="5"/>
  <c r="G454" i="5"/>
  <c r="J454" i="5"/>
  <c r="G455" i="5"/>
  <c r="J455" i="5"/>
  <c r="G456" i="5"/>
  <c r="J456" i="5"/>
  <c r="G457" i="5"/>
  <c r="J457" i="5"/>
  <c r="G458" i="5"/>
  <c r="J458" i="5"/>
  <c r="G459" i="5"/>
  <c r="J459" i="5"/>
  <c r="G460" i="5"/>
  <c r="J460" i="5"/>
  <c r="G461" i="5"/>
  <c r="J461" i="5"/>
  <c r="G462" i="5"/>
  <c r="J462" i="5"/>
  <c r="G463" i="5"/>
  <c r="J463" i="5"/>
  <c r="G464" i="5"/>
  <c r="J464" i="5"/>
  <c r="G465" i="5"/>
  <c r="J465" i="5"/>
  <c r="G466" i="5"/>
  <c r="J466" i="5"/>
  <c r="G467" i="5"/>
  <c r="J467" i="5"/>
  <c r="G468" i="5"/>
  <c r="J468" i="5"/>
  <c r="G469" i="5"/>
  <c r="J469" i="5"/>
  <c r="G470" i="5"/>
  <c r="J470" i="5"/>
  <c r="G471" i="5"/>
  <c r="J471" i="5"/>
  <c r="G472" i="5"/>
  <c r="J472" i="5"/>
  <c r="G473" i="5"/>
  <c r="J473" i="5"/>
  <c r="G474" i="5"/>
  <c r="J474" i="5"/>
  <c r="G475" i="5"/>
  <c r="J475" i="5"/>
  <c r="G476" i="5"/>
  <c r="J476" i="5"/>
  <c r="G477" i="5"/>
  <c r="J477" i="5"/>
  <c r="G478" i="5"/>
  <c r="J478" i="5"/>
  <c r="G479" i="5"/>
  <c r="J479" i="5"/>
  <c r="G480" i="5"/>
  <c r="J480" i="5"/>
  <c r="G481" i="5"/>
  <c r="J481" i="5"/>
  <c r="G482" i="5"/>
  <c r="J482" i="5"/>
  <c r="G483" i="5"/>
  <c r="J483" i="5"/>
  <c r="G484" i="5"/>
  <c r="J484" i="5"/>
  <c r="G485" i="5"/>
  <c r="J485" i="5"/>
  <c r="G486" i="5"/>
  <c r="J486" i="5"/>
  <c r="G487" i="5"/>
  <c r="J487" i="5"/>
  <c r="G488" i="5"/>
  <c r="J488" i="5"/>
  <c r="G14" i="5"/>
  <c r="J14" i="5"/>
  <c r="G254" i="5"/>
  <c r="H254" i="5"/>
  <c r="F254" i="5"/>
  <c r="L488" i="5"/>
  <c r="L487" i="5"/>
  <c r="L483" i="5"/>
  <c r="L484" i="5"/>
  <c r="L485" i="5"/>
  <c r="L486" i="5"/>
  <c r="L472" i="5"/>
  <c r="L473" i="5"/>
  <c r="L474" i="5"/>
  <c r="L475" i="5"/>
  <c r="L476" i="5"/>
  <c r="L477" i="5"/>
  <c r="L478" i="5"/>
  <c r="L479" i="5"/>
  <c r="L480" i="5"/>
  <c r="L481" i="5"/>
  <c r="L482" i="5"/>
  <c r="L468" i="5"/>
  <c r="L469" i="5"/>
  <c r="L470" i="5"/>
  <c r="L47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47" i="5"/>
  <c r="L448" i="5"/>
  <c r="L449" i="5"/>
  <c r="L450" i="5"/>
  <c r="L451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396" i="5"/>
  <c r="L397" i="5"/>
  <c r="L398" i="5"/>
  <c r="L399" i="5"/>
  <c r="L393" i="5"/>
  <c r="L394" i="5"/>
  <c r="L395" i="5"/>
  <c r="L392" i="5"/>
  <c r="L390" i="5"/>
  <c r="L391" i="5"/>
  <c r="L383" i="5"/>
  <c r="L384" i="5"/>
  <c r="L385" i="5"/>
  <c r="L386" i="5"/>
  <c r="L387" i="5"/>
  <c r="L388" i="5"/>
  <c r="L389" i="5"/>
  <c r="L377" i="5"/>
  <c r="L378" i="5"/>
  <c r="L379" i="5"/>
  <c r="L380" i="5"/>
  <c r="L381" i="5"/>
  <c r="L382" i="5"/>
  <c r="L376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R485" i="5"/>
  <c r="S485" i="5"/>
  <c r="T485" i="5"/>
  <c r="R486" i="5"/>
  <c r="S486" i="5"/>
  <c r="T486" i="5" s="1"/>
  <c r="R487" i="5"/>
  <c r="S487" i="5"/>
  <c r="T487" i="5"/>
  <c r="R488" i="5"/>
  <c r="S488" i="5"/>
  <c r="T488" i="5" s="1"/>
  <c r="R584" i="5"/>
  <c r="S584" i="5"/>
  <c r="T584" i="5"/>
  <c r="R585" i="5"/>
  <c r="S585" i="5"/>
  <c r="T585" i="5" s="1"/>
  <c r="R586" i="5"/>
  <c r="S586" i="5"/>
  <c r="T586" i="5"/>
  <c r="R587" i="5"/>
  <c r="S587" i="5"/>
  <c r="T587" i="5" s="1"/>
  <c r="R588" i="5"/>
  <c r="S588" i="5"/>
  <c r="T588" i="5"/>
  <c r="R589" i="5"/>
  <c r="S589" i="5"/>
  <c r="T589" i="5" s="1"/>
  <c r="R590" i="5"/>
  <c r="S590" i="5"/>
  <c r="T590" i="5"/>
  <c r="R591" i="5"/>
  <c r="S591" i="5"/>
  <c r="T591" i="5" s="1"/>
  <c r="R592" i="5"/>
  <c r="S592" i="5"/>
  <c r="T592" i="5"/>
  <c r="R593" i="5"/>
  <c r="S593" i="5"/>
  <c r="T593" i="5" s="1"/>
  <c r="R594" i="5"/>
  <c r="S594" i="5"/>
  <c r="T594" i="5"/>
  <c r="L14" i="5"/>
  <c r="S583" i="5"/>
  <c r="T583" i="5" s="1"/>
  <c r="R583" i="5"/>
  <c r="S484" i="5"/>
  <c r="T484" i="5"/>
  <c r="R484" i="5"/>
  <c r="S483" i="5"/>
  <c r="T483" i="5" s="1"/>
  <c r="R483" i="5"/>
  <c r="S482" i="5"/>
  <c r="T482" i="5"/>
  <c r="R482" i="5"/>
  <c r="S481" i="5"/>
  <c r="T481" i="5" s="1"/>
  <c r="R481" i="5"/>
  <c r="S480" i="5"/>
  <c r="T480" i="5"/>
  <c r="R480" i="5"/>
  <c r="S479" i="5"/>
  <c r="T479" i="5" s="1"/>
  <c r="R479" i="5"/>
  <c r="S478" i="5"/>
  <c r="T478" i="5"/>
  <c r="R478" i="5"/>
  <c r="S477" i="5"/>
  <c r="T477" i="5" s="1"/>
  <c r="R477" i="5"/>
  <c r="S476" i="5"/>
  <c r="T476" i="5"/>
  <c r="R476" i="5"/>
  <c r="S475" i="5"/>
  <c r="T475" i="5" s="1"/>
  <c r="R475" i="5"/>
  <c r="S582" i="5"/>
  <c r="T582" i="5"/>
  <c r="R582" i="5"/>
  <c r="S581" i="5"/>
  <c r="T581" i="5" s="1"/>
  <c r="R581" i="5"/>
  <c r="S474" i="5"/>
  <c r="T474" i="5"/>
  <c r="R474" i="5"/>
  <c r="S473" i="5"/>
  <c r="T473" i="5" s="1"/>
  <c r="R473" i="5"/>
  <c r="S472" i="5"/>
  <c r="T472" i="5"/>
  <c r="R472" i="5"/>
  <c r="S471" i="5"/>
  <c r="T471" i="5" s="1"/>
  <c r="R471" i="5"/>
  <c r="S470" i="5"/>
  <c r="T470" i="5"/>
  <c r="R470" i="5"/>
  <c r="S580" i="5"/>
  <c r="T580" i="5" s="1"/>
  <c r="R580" i="5"/>
  <c r="S579" i="5"/>
  <c r="T579" i="5"/>
  <c r="R579" i="5"/>
  <c r="S469" i="5"/>
  <c r="T469" i="5" s="1"/>
  <c r="R469" i="5"/>
  <c r="S468" i="5"/>
  <c r="T468" i="5"/>
  <c r="R468" i="5"/>
  <c r="S467" i="5"/>
  <c r="T467" i="5" s="1"/>
  <c r="R467" i="5"/>
  <c r="S466" i="5"/>
  <c r="T466" i="5"/>
  <c r="R466" i="5"/>
  <c r="S465" i="5"/>
  <c r="T465" i="5" s="1"/>
  <c r="R465" i="5"/>
  <c r="S464" i="5"/>
  <c r="T464" i="5"/>
  <c r="R464" i="5"/>
  <c r="S463" i="5"/>
  <c r="T463" i="5" s="1"/>
  <c r="R463" i="5"/>
  <c r="S557" i="5"/>
  <c r="T557" i="5"/>
  <c r="R557" i="5"/>
  <c r="S462" i="5"/>
  <c r="T462" i="5" s="1"/>
  <c r="R462" i="5"/>
  <c r="S461" i="5"/>
  <c r="T461" i="5"/>
  <c r="R461" i="5"/>
  <c r="S460" i="5"/>
  <c r="T460" i="5" s="1"/>
  <c r="R460" i="5"/>
  <c r="S459" i="5"/>
  <c r="T459" i="5"/>
  <c r="R459" i="5"/>
  <c r="S458" i="5"/>
  <c r="T458" i="5" s="1"/>
  <c r="R458" i="5"/>
  <c r="S457" i="5"/>
  <c r="T457" i="5"/>
  <c r="R457" i="5"/>
  <c r="S456" i="5"/>
  <c r="T456" i="5" s="1"/>
  <c r="R456" i="5"/>
  <c r="S455" i="5"/>
  <c r="T455" i="5"/>
  <c r="R455" i="5"/>
  <c r="S454" i="5"/>
  <c r="T454" i="5" s="1"/>
  <c r="R454" i="5"/>
  <c r="S453" i="5"/>
  <c r="T453" i="5"/>
  <c r="R453" i="5"/>
  <c r="S578" i="5"/>
  <c r="T578" i="5" s="1"/>
  <c r="R578" i="5"/>
  <c r="S452" i="5"/>
  <c r="T452" i="5"/>
  <c r="R452" i="5"/>
  <c r="S451" i="5"/>
  <c r="T451" i="5" s="1"/>
  <c r="R451" i="5"/>
  <c r="S450" i="5"/>
  <c r="T450" i="5"/>
  <c r="R450" i="5"/>
  <c r="S449" i="5"/>
  <c r="T449" i="5" s="1"/>
  <c r="R449" i="5"/>
  <c r="S577" i="5"/>
  <c r="T577" i="5"/>
  <c r="R577" i="5"/>
  <c r="S576" i="5"/>
  <c r="T576" i="5" s="1"/>
  <c r="R576" i="5"/>
  <c r="S448" i="5"/>
  <c r="T448" i="5"/>
  <c r="R448" i="5"/>
  <c r="S447" i="5"/>
  <c r="T447" i="5" s="1"/>
  <c r="R447" i="5"/>
  <c r="S446" i="5"/>
  <c r="T446" i="5"/>
  <c r="R446" i="5"/>
  <c r="S445" i="5"/>
  <c r="T445" i="5" s="1"/>
  <c r="R445" i="5"/>
  <c r="S444" i="5"/>
  <c r="T444" i="5"/>
  <c r="R444" i="5"/>
  <c r="S443" i="5"/>
  <c r="T443" i="5" s="1"/>
  <c r="R443" i="5"/>
  <c r="S442" i="5"/>
  <c r="T442" i="5"/>
  <c r="R442" i="5"/>
  <c r="S441" i="5"/>
  <c r="T441" i="5" s="1"/>
  <c r="R441" i="5"/>
  <c r="S440" i="5"/>
  <c r="T440" i="5"/>
  <c r="R440" i="5"/>
  <c r="S439" i="5"/>
  <c r="T439" i="5" s="1"/>
  <c r="R439" i="5"/>
  <c r="S438" i="5"/>
  <c r="T438" i="5"/>
  <c r="R438" i="5"/>
  <c r="S437" i="5"/>
  <c r="T437" i="5" s="1"/>
  <c r="R437" i="5"/>
  <c r="S436" i="5"/>
  <c r="T436" i="5"/>
  <c r="R436" i="5"/>
  <c r="S435" i="5"/>
  <c r="T435" i="5" s="1"/>
  <c r="R435" i="5"/>
  <c r="S434" i="5"/>
  <c r="T434" i="5"/>
  <c r="R434" i="5"/>
  <c r="S433" i="5"/>
  <c r="T433" i="5" s="1"/>
  <c r="R433" i="5"/>
  <c r="S432" i="5"/>
  <c r="T432" i="5"/>
  <c r="R432" i="5"/>
  <c r="S431" i="5"/>
  <c r="T431" i="5" s="1"/>
  <c r="R431" i="5"/>
  <c r="S430" i="5"/>
  <c r="T430" i="5"/>
  <c r="R430" i="5"/>
  <c r="S429" i="5"/>
  <c r="T429" i="5" s="1"/>
  <c r="R429" i="5"/>
  <c r="S428" i="5"/>
  <c r="T428" i="5"/>
  <c r="R428" i="5"/>
  <c r="S427" i="5"/>
  <c r="T427" i="5" s="1"/>
  <c r="R427" i="5"/>
  <c r="S426" i="5"/>
  <c r="T426" i="5"/>
  <c r="R426" i="5"/>
  <c r="S425" i="5"/>
  <c r="T425" i="5" s="1"/>
  <c r="R425" i="5"/>
  <c r="S424" i="5"/>
  <c r="T424" i="5"/>
  <c r="R424" i="5"/>
  <c r="S556" i="5"/>
  <c r="T556" i="5" s="1"/>
  <c r="R556" i="5"/>
  <c r="S423" i="5"/>
  <c r="T423" i="5"/>
  <c r="R423" i="5"/>
  <c r="S422" i="5"/>
  <c r="T422" i="5" s="1"/>
  <c r="R422" i="5"/>
  <c r="S421" i="5"/>
  <c r="T421" i="5"/>
  <c r="R421" i="5"/>
  <c r="S420" i="5"/>
  <c r="T420" i="5" s="1"/>
  <c r="R420" i="5"/>
  <c r="S575" i="5"/>
  <c r="T575" i="5"/>
  <c r="R575" i="5"/>
  <c r="S419" i="5"/>
  <c r="T419" i="5" s="1"/>
  <c r="R419" i="5"/>
  <c r="S418" i="5"/>
  <c r="T418" i="5"/>
  <c r="R418" i="5"/>
  <c r="S417" i="5"/>
  <c r="T417" i="5" s="1"/>
  <c r="R417" i="5"/>
  <c r="S416" i="5"/>
  <c r="T416" i="5"/>
  <c r="R416" i="5"/>
  <c r="S415" i="5"/>
  <c r="T415" i="5" s="1"/>
  <c r="R415" i="5"/>
  <c r="S414" i="5"/>
  <c r="T414" i="5"/>
  <c r="R414" i="5"/>
  <c r="S413" i="5"/>
  <c r="T413" i="5" s="1"/>
  <c r="R413" i="5"/>
  <c r="S412" i="5"/>
  <c r="T412" i="5"/>
  <c r="R412" i="5"/>
  <c r="S411" i="5"/>
  <c r="T411" i="5" s="1"/>
  <c r="R411" i="5"/>
  <c r="S410" i="5"/>
  <c r="T410" i="5"/>
  <c r="R410" i="5"/>
  <c r="S409" i="5"/>
  <c r="T409" i="5" s="1"/>
  <c r="R409" i="5"/>
  <c r="S408" i="5"/>
  <c r="T408" i="5" s="1"/>
  <c r="R408" i="5"/>
  <c r="S407" i="5"/>
  <c r="T407" i="5"/>
  <c r="R407" i="5"/>
  <c r="S406" i="5"/>
  <c r="T406" i="5" s="1"/>
  <c r="R406" i="5"/>
  <c r="S405" i="5"/>
  <c r="T405" i="5"/>
  <c r="R405" i="5"/>
  <c r="S404" i="5"/>
  <c r="T404" i="5" s="1"/>
  <c r="R404" i="5"/>
  <c r="S403" i="5"/>
  <c r="T403" i="5"/>
  <c r="R403" i="5"/>
  <c r="S402" i="5"/>
  <c r="T402" i="5" s="1"/>
  <c r="R402" i="5"/>
  <c r="S574" i="5"/>
  <c r="T574" i="5"/>
  <c r="R574" i="5"/>
  <c r="S401" i="5"/>
  <c r="T401" i="5" s="1"/>
  <c r="R401" i="5"/>
  <c r="S400" i="5"/>
  <c r="T400" i="5"/>
  <c r="R400" i="5"/>
  <c r="S399" i="5"/>
  <c r="T399" i="5" s="1"/>
  <c r="R399" i="5"/>
  <c r="S573" i="5"/>
  <c r="T573" i="5"/>
  <c r="R573" i="5"/>
  <c r="S572" i="5"/>
  <c r="T572" i="5" s="1"/>
  <c r="R572" i="5"/>
  <c r="S398" i="5"/>
  <c r="T398" i="5"/>
  <c r="R398" i="5"/>
  <c r="S571" i="5"/>
  <c r="T571" i="5" s="1"/>
  <c r="R571" i="5"/>
  <c r="S397" i="5"/>
  <c r="T397" i="5"/>
  <c r="R397" i="5"/>
  <c r="S396" i="5"/>
  <c r="T396" i="5" s="1"/>
  <c r="R396" i="5"/>
  <c r="S395" i="5"/>
  <c r="T395" i="5"/>
  <c r="R395" i="5"/>
  <c r="S570" i="5"/>
  <c r="T570" i="5" s="1"/>
  <c r="R570" i="5"/>
  <c r="S394" i="5"/>
  <c r="T394" i="5"/>
  <c r="R394" i="5"/>
  <c r="S569" i="5"/>
  <c r="T569" i="5" s="1"/>
  <c r="R569" i="5"/>
  <c r="S393" i="5"/>
  <c r="T393" i="5"/>
  <c r="R393" i="5"/>
  <c r="S568" i="5"/>
  <c r="T568" i="5" s="1"/>
  <c r="R568" i="5"/>
  <c r="S392" i="5"/>
  <c r="T392" i="5"/>
  <c r="R392" i="5"/>
  <c r="S391" i="5"/>
  <c r="T391" i="5" s="1"/>
  <c r="R391" i="5"/>
  <c r="S390" i="5"/>
  <c r="T390" i="5"/>
  <c r="R390" i="5"/>
  <c r="S389" i="5"/>
  <c r="T389" i="5" s="1"/>
  <c r="R389" i="5"/>
  <c r="S388" i="5"/>
  <c r="T388" i="5"/>
  <c r="R388" i="5"/>
  <c r="S387" i="5"/>
  <c r="T387" i="5" s="1"/>
  <c r="R387" i="5"/>
  <c r="S386" i="5"/>
  <c r="T386" i="5"/>
  <c r="R386" i="5"/>
  <c r="S385" i="5"/>
  <c r="T385" i="5" s="1"/>
  <c r="R385" i="5"/>
  <c r="S567" i="5"/>
  <c r="T567" i="5"/>
  <c r="R567" i="5"/>
  <c r="S384" i="5"/>
  <c r="T384" i="5" s="1"/>
  <c r="R384" i="5"/>
  <c r="S383" i="5"/>
  <c r="T383" i="5"/>
  <c r="R383" i="5"/>
  <c r="S382" i="5"/>
  <c r="T382" i="5" s="1"/>
  <c r="R382" i="5"/>
  <c r="S381" i="5"/>
  <c r="T381" i="5"/>
  <c r="R381" i="5"/>
  <c r="S380" i="5"/>
  <c r="T380" i="5" s="1"/>
  <c r="R380" i="5"/>
  <c r="S566" i="5"/>
  <c r="T566" i="5"/>
  <c r="R566" i="5"/>
  <c r="S379" i="5"/>
  <c r="T379" i="5" s="1"/>
  <c r="R379" i="5"/>
  <c r="S378" i="5"/>
  <c r="T378" i="5"/>
  <c r="R378" i="5"/>
  <c r="S565" i="5"/>
  <c r="T565" i="5" s="1"/>
  <c r="R565" i="5"/>
  <c r="S377" i="5"/>
  <c r="T377" i="5"/>
  <c r="R377" i="5"/>
  <c r="S376" i="5"/>
  <c r="T376" i="5" s="1"/>
  <c r="R376" i="5"/>
  <c r="S375" i="5"/>
  <c r="T375" i="5"/>
  <c r="R375" i="5"/>
  <c r="S374" i="5"/>
  <c r="T374" i="5" s="1"/>
  <c r="R374" i="5"/>
  <c r="S373" i="5"/>
  <c r="T373" i="5"/>
  <c r="R373" i="5"/>
  <c r="S372" i="5"/>
  <c r="T372" i="5" s="1"/>
  <c r="R372" i="5"/>
  <c r="S371" i="5"/>
  <c r="T371" i="5"/>
  <c r="R371" i="5"/>
  <c r="S370" i="5"/>
  <c r="T370" i="5" s="1"/>
  <c r="R370" i="5"/>
  <c r="S369" i="5"/>
  <c r="T369" i="5"/>
  <c r="R369" i="5"/>
  <c r="S368" i="5"/>
  <c r="T368" i="5" s="1"/>
  <c r="R368" i="5"/>
  <c r="S367" i="5"/>
  <c r="T367" i="5"/>
  <c r="R367" i="5"/>
  <c r="S366" i="5"/>
  <c r="T366" i="5" s="1"/>
  <c r="R366" i="5"/>
  <c r="S564" i="5"/>
  <c r="T564" i="5"/>
  <c r="R564" i="5"/>
  <c r="S365" i="5"/>
  <c r="T365" i="5" s="1"/>
  <c r="R365" i="5"/>
  <c r="S563" i="5"/>
  <c r="T563" i="5"/>
  <c r="R563" i="5"/>
  <c r="S364" i="5"/>
  <c r="T364" i="5" s="1"/>
  <c r="R364" i="5"/>
  <c r="S363" i="5"/>
  <c r="T363" i="5"/>
  <c r="R363" i="5"/>
  <c r="S362" i="5"/>
  <c r="T362" i="5" s="1"/>
  <c r="R362" i="5"/>
  <c r="S361" i="5"/>
  <c r="T361" i="5"/>
  <c r="R361" i="5"/>
  <c r="S360" i="5"/>
  <c r="T360" i="5" s="1"/>
  <c r="R360" i="5"/>
  <c r="S359" i="5"/>
  <c r="T359" i="5"/>
  <c r="R359" i="5"/>
  <c r="S358" i="5"/>
  <c r="T358" i="5" s="1"/>
  <c r="R358" i="5"/>
  <c r="S357" i="5"/>
  <c r="T357" i="5"/>
  <c r="R357" i="5"/>
  <c r="S356" i="5"/>
  <c r="T356" i="5" s="1"/>
  <c r="R356" i="5"/>
  <c r="S355" i="5"/>
  <c r="T355" i="5"/>
  <c r="R355" i="5"/>
  <c r="S354" i="5"/>
  <c r="T354" i="5" s="1"/>
  <c r="R354" i="5"/>
  <c r="S353" i="5"/>
  <c r="T353" i="5"/>
  <c r="R353" i="5"/>
  <c r="S352" i="5"/>
  <c r="T352" i="5" s="1"/>
  <c r="R352" i="5"/>
  <c r="S351" i="5"/>
  <c r="T351" i="5"/>
  <c r="R351" i="5"/>
  <c r="S562" i="5"/>
  <c r="T562" i="5" s="1"/>
  <c r="R562" i="5"/>
  <c r="S561" i="5"/>
  <c r="T561" i="5"/>
  <c r="R561" i="5"/>
  <c r="S348" i="5"/>
  <c r="T348" i="5" s="1"/>
  <c r="R348" i="5"/>
  <c r="S347" i="5"/>
  <c r="T347" i="5"/>
  <c r="R347" i="5"/>
  <c r="S346" i="5"/>
  <c r="T346" i="5" s="1"/>
  <c r="R346" i="5"/>
  <c r="S345" i="5"/>
  <c r="T345" i="5"/>
  <c r="R345" i="5"/>
  <c r="S344" i="5"/>
  <c r="T344" i="5" s="1"/>
  <c r="R344" i="5"/>
  <c r="S343" i="5"/>
  <c r="T343" i="5"/>
  <c r="R343" i="5"/>
  <c r="S342" i="5"/>
  <c r="T342" i="5" s="1"/>
  <c r="R342" i="5"/>
  <c r="S341" i="5"/>
  <c r="T341" i="5"/>
  <c r="R341" i="5"/>
  <c r="S549" i="5"/>
  <c r="T549" i="5" s="1"/>
  <c r="R549" i="5"/>
  <c r="S340" i="5"/>
  <c r="T340" i="5"/>
  <c r="R340" i="5"/>
  <c r="S339" i="5"/>
  <c r="T339" i="5" s="1"/>
  <c r="R339" i="5"/>
  <c r="S338" i="5"/>
  <c r="T338" i="5"/>
  <c r="R338" i="5"/>
  <c r="S337" i="5"/>
  <c r="T337" i="5" s="1"/>
  <c r="R337" i="5"/>
  <c r="S336" i="5"/>
  <c r="T336" i="5"/>
  <c r="R336" i="5"/>
  <c r="S335" i="5"/>
  <c r="T335" i="5" s="1"/>
  <c r="R335" i="5"/>
  <c r="S334" i="5"/>
  <c r="T334" i="5"/>
  <c r="R334" i="5"/>
  <c r="S333" i="5"/>
  <c r="T333" i="5" s="1"/>
  <c r="R333" i="5"/>
  <c r="S332" i="5"/>
  <c r="T332" i="5"/>
  <c r="R332" i="5"/>
  <c r="S331" i="5"/>
  <c r="T331" i="5" s="1"/>
  <c r="R331" i="5"/>
  <c r="S330" i="5"/>
  <c r="T330" i="5"/>
  <c r="R330" i="5"/>
  <c r="S329" i="5"/>
  <c r="T329" i="5" s="1"/>
  <c r="R329" i="5"/>
  <c r="S328" i="5"/>
  <c r="T328" i="5"/>
  <c r="R328" i="5"/>
  <c r="S327" i="5"/>
  <c r="T327" i="5" s="1"/>
  <c r="R327" i="5"/>
  <c r="S326" i="5"/>
  <c r="T326" i="5"/>
  <c r="R326" i="5"/>
  <c r="S325" i="5"/>
  <c r="T325" i="5" s="1"/>
  <c r="R325" i="5"/>
  <c r="S324" i="5"/>
  <c r="T324" i="5"/>
  <c r="R324" i="5"/>
  <c r="S323" i="5"/>
  <c r="T323" i="5" s="1"/>
  <c r="R323" i="5"/>
  <c r="S322" i="5"/>
  <c r="T322" i="5"/>
  <c r="R322" i="5"/>
  <c r="S321" i="5"/>
  <c r="T321" i="5" s="1"/>
  <c r="R321" i="5"/>
  <c r="S320" i="5"/>
  <c r="T320" i="5"/>
  <c r="R320" i="5"/>
  <c r="S319" i="5"/>
  <c r="T319" i="5" s="1"/>
  <c r="R319" i="5"/>
  <c r="S318" i="5"/>
  <c r="T318" i="5"/>
  <c r="R318" i="5"/>
  <c r="S317" i="5"/>
  <c r="T317" i="5" s="1"/>
  <c r="R317" i="5"/>
  <c r="S316" i="5"/>
  <c r="T316" i="5"/>
  <c r="R316" i="5"/>
  <c r="S315" i="5"/>
  <c r="T315" i="5" s="1"/>
  <c r="R315" i="5"/>
  <c r="S314" i="5"/>
  <c r="T314" i="5"/>
  <c r="R314" i="5"/>
  <c r="S313" i="5"/>
  <c r="T313" i="5" s="1"/>
  <c r="R313" i="5"/>
  <c r="S312" i="5"/>
  <c r="T312" i="5"/>
  <c r="R312" i="5"/>
  <c r="S311" i="5"/>
  <c r="T311" i="5" s="1"/>
  <c r="R311" i="5"/>
  <c r="S310" i="5"/>
  <c r="T310" i="5"/>
  <c r="R310" i="5"/>
  <c r="S309" i="5"/>
  <c r="T309" i="5" s="1"/>
  <c r="R309" i="5"/>
  <c r="S308" i="5"/>
  <c r="T308" i="5"/>
  <c r="R308" i="5"/>
  <c r="S307" i="5"/>
  <c r="T307" i="5" s="1"/>
  <c r="R307" i="5"/>
  <c r="S306" i="5"/>
  <c r="T306" i="5"/>
  <c r="R306" i="5"/>
  <c r="S305" i="5"/>
  <c r="T305" i="5" s="1"/>
  <c r="R305" i="5"/>
  <c r="S304" i="5"/>
  <c r="T304" i="5"/>
  <c r="R304" i="5"/>
  <c r="S303" i="5"/>
  <c r="T303" i="5" s="1"/>
  <c r="R303" i="5"/>
  <c r="S302" i="5"/>
  <c r="T302" i="5"/>
  <c r="R302" i="5"/>
  <c r="S301" i="5"/>
  <c r="T301" i="5" s="1"/>
  <c r="R301" i="5"/>
  <c r="S300" i="5"/>
  <c r="T300" i="5"/>
  <c r="R300" i="5"/>
  <c r="S299" i="5"/>
  <c r="T299" i="5" s="1"/>
  <c r="R299" i="5"/>
  <c r="S298" i="5"/>
  <c r="T298" i="5"/>
  <c r="R298" i="5"/>
  <c r="S297" i="5"/>
  <c r="T297" i="5" s="1"/>
  <c r="R297" i="5"/>
  <c r="S296" i="5"/>
  <c r="T296" i="5"/>
  <c r="R296" i="5"/>
  <c r="S295" i="5"/>
  <c r="T295" i="5" s="1"/>
  <c r="R295" i="5"/>
  <c r="S294" i="5"/>
  <c r="T294" i="5"/>
  <c r="R294" i="5"/>
  <c r="S293" i="5"/>
  <c r="T293" i="5" s="1"/>
  <c r="R293" i="5"/>
  <c r="S292" i="5"/>
  <c r="T292" i="5"/>
  <c r="R292" i="5"/>
  <c r="S291" i="5"/>
  <c r="T291" i="5" s="1"/>
  <c r="R291" i="5"/>
  <c r="S290" i="5"/>
  <c r="T290" i="5"/>
  <c r="R290" i="5"/>
  <c r="S289" i="5"/>
  <c r="T289" i="5" s="1"/>
  <c r="R289" i="5"/>
  <c r="S288" i="5"/>
  <c r="T288" i="5"/>
  <c r="R288" i="5"/>
  <c r="S287" i="5"/>
  <c r="T287" i="5" s="1"/>
  <c r="R287" i="5"/>
  <c r="S286" i="5"/>
  <c r="T286" i="5"/>
  <c r="R286" i="5"/>
  <c r="S285" i="5"/>
  <c r="T285" i="5" s="1"/>
  <c r="R285" i="5"/>
  <c r="S284" i="5"/>
  <c r="T284" i="5"/>
  <c r="R284" i="5"/>
  <c r="S283" i="5"/>
  <c r="T283" i="5" s="1"/>
  <c r="R283" i="5"/>
  <c r="S282" i="5"/>
  <c r="T282" i="5"/>
  <c r="R282" i="5"/>
  <c r="S281" i="5"/>
  <c r="T281" i="5" s="1"/>
  <c r="R281" i="5"/>
  <c r="S280" i="5"/>
  <c r="T280" i="5"/>
  <c r="R280" i="5"/>
  <c r="S279" i="5"/>
  <c r="T279" i="5" s="1"/>
  <c r="R279" i="5"/>
  <c r="S278" i="5"/>
  <c r="T278" i="5"/>
  <c r="R278" i="5"/>
  <c r="S277" i="5"/>
  <c r="T277" i="5" s="1"/>
  <c r="R277" i="5"/>
  <c r="S276" i="5"/>
  <c r="T276" i="5"/>
  <c r="R276" i="5"/>
  <c r="S275" i="5"/>
  <c r="T275" i="5" s="1"/>
  <c r="R275" i="5"/>
  <c r="S274" i="5"/>
  <c r="T274" i="5"/>
  <c r="R274" i="5"/>
  <c r="S273" i="5"/>
  <c r="T273" i="5" s="1"/>
  <c r="R273" i="5"/>
  <c r="S272" i="5"/>
  <c r="T272" i="5"/>
  <c r="R272" i="5"/>
  <c r="S271" i="5"/>
  <c r="T271" i="5" s="1"/>
  <c r="R271" i="5"/>
  <c r="S270" i="5"/>
  <c r="T270" i="5"/>
  <c r="R270" i="5"/>
  <c r="S269" i="5"/>
  <c r="T269" i="5" s="1"/>
  <c r="R269" i="5"/>
  <c r="S268" i="5"/>
  <c r="T268" i="5"/>
  <c r="R268" i="5"/>
  <c r="S267" i="5"/>
  <c r="T267" i="5" s="1"/>
  <c r="R267" i="5"/>
  <c r="S266" i="5"/>
  <c r="T266" i="5"/>
  <c r="R266" i="5"/>
  <c r="S265" i="5"/>
  <c r="T265" i="5" s="1"/>
  <c r="R265" i="5"/>
  <c r="S264" i="5"/>
  <c r="T264" i="5"/>
  <c r="R264" i="5"/>
  <c r="S263" i="5"/>
  <c r="T263" i="5" s="1"/>
  <c r="R263" i="5"/>
  <c r="S262" i="5"/>
  <c r="T262" i="5"/>
  <c r="R262" i="5"/>
  <c r="S261" i="5"/>
  <c r="T261" i="5" s="1"/>
  <c r="R261" i="5"/>
  <c r="S260" i="5"/>
  <c r="T260" i="5"/>
  <c r="R260" i="5"/>
  <c r="S259" i="5"/>
  <c r="T259" i="5" s="1"/>
  <c r="R259" i="5"/>
  <c r="S258" i="5"/>
  <c r="T258" i="5"/>
  <c r="R258" i="5"/>
  <c r="S257" i="5"/>
  <c r="T257" i="5" s="1"/>
  <c r="R257" i="5"/>
  <c r="S256" i="5"/>
  <c r="T256" i="5"/>
  <c r="R256" i="5"/>
  <c r="S255" i="5"/>
  <c r="T255" i="5" s="1"/>
  <c r="R255" i="5"/>
  <c r="S254" i="5"/>
  <c r="T254" i="5"/>
  <c r="R254" i="5"/>
  <c r="S253" i="5"/>
  <c r="T253" i="5" s="1"/>
  <c r="R253" i="5"/>
  <c r="S252" i="5"/>
  <c r="T252" i="5"/>
  <c r="R252" i="5"/>
  <c r="S251" i="5"/>
  <c r="T251" i="5" s="1"/>
  <c r="R251" i="5"/>
  <c r="S250" i="5"/>
  <c r="T250" i="5"/>
  <c r="R250" i="5"/>
  <c r="S249" i="5"/>
  <c r="T249" i="5" s="1"/>
  <c r="R249" i="5"/>
  <c r="S248" i="5"/>
  <c r="T248" i="5"/>
  <c r="R248" i="5"/>
  <c r="S247" i="5"/>
  <c r="T247" i="5" s="1"/>
  <c r="R247" i="5"/>
  <c r="S246" i="5"/>
  <c r="T246" i="5"/>
  <c r="R246" i="5"/>
  <c r="S245" i="5"/>
  <c r="T245" i="5" s="1"/>
  <c r="R245" i="5"/>
  <c r="S244" i="5"/>
  <c r="T244" i="5"/>
  <c r="R244" i="5"/>
  <c r="S243" i="5"/>
  <c r="T243" i="5" s="1"/>
  <c r="R243" i="5"/>
  <c r="S242" i="5"/>
  <c r="T242" i="5"/>
  <c r="R242" i="5"/>
  <c r="S241" i="5"/>
  <c r="T241" i="5" s="1"/>
  <c r="R241" i="5"/>
  <c r="S240" i="5"/>
  <c r="T240" i="5"/>
  <c r="R240" i="5"/>
  <c r="S239" i="5"/>
  <c r="T239" i="5" s="1"/>
  <c r="R239" i="5"/>
  <c r="S238" i="5"/>
  <c r="T238" i="5"/>
  <c r="R238" i="5"/>
  <c r="S237" i="5"/>
  <c r="T237" i="5" s="1"/>
  <c r="R237" i="5"/>
  <c r="S236" i="5"/>
  <c r="T236" i="5"/>
  <c r="R236" i="5"/>
  <c r="S235" i="5"/>
  <c r="T235" i="5" s="1"/>
  <c r="R235" i="5"/>
  <c r="S234" i="5"/>
  <c r="T234" i="5"/>
  <c r="R234" i="5"/>
  <c r="S233" i="5"/>
  <c r="T233" i="5" s="1"/>
  <c r="R233" i="5"/>
  <c r="S232" i="5"/>
  <c r="T232" i="5"/>
  <c r="R232" i="5"/>
  <c r="S231" i="5"/>
  <c r="T231" i="5" s="1"/>
  <c r="R231" i="5"/>
  <c r="S230" i="5"/>
  <c r="T230" i="5"/>
  <c r="R230" i="5"/>
  <c r="S229" i="5"/>
  <c r="T229" i="5" s="1"/>
  <c r="R229" i="5"/>
  <c r="S228" i="5"/>
  <c r="T228" i="5"/>
  <c r="R228" i="5"/>
  <c r="S227" i="5"/>
  <c r="T227" i="5" s="1"/>
  <c r="R227" i="5"/>
  <c r="S226" i="5"/>
  <c r="T226" i="5"/>
  <c r="R226" i="5"/>
  <c r="S225" i="5"/>
  <c r="T225" i="5" s="1"/>
  <c r="R225" i="5"/>
  <c r="S224" i="5"/>
  <c r="T224" i="5"/>
  <c r="R224" i="5"/>
  <c r="S223" i="5"/>
  <c r="T223" i="5" s="1"/>
  <c r="R223" i="5"/>
  <c r="S222" i="5"/>
  <c r="T222" i="5"/>
  <c r="R222" i="5"/>
  <c r="S221" i="5"/>
  <c r="T221" i="5" s="1"/>
  <c r="R221" i="5"/>
  <c r="S220" i="5"/>
  <c r="T220" i="5"/>
  <c r="R220" i="5"/>
  <c r="S219" i="5"/>
  <c r="T219" i="5" s="1"/>
  <c r="R219" i="5"/>
  <c r="S218" i="5"/>
  <c r="T218" i="5"/>
  <c r="R218" i="5"/>
  <c r="S217" i="5"/>
  <c r="T217" i="5" s="1"/>
  <c r="R217" i="5"/>
  <c r="S216" i="5"/>
  <c r="T216" i="5"/>
  <c r="R216" i="5"/>
  <c r="S215" i="5"/>
  <c r="T215" i="5" s="1"/>
  <c r="R215" i="5"/>
  <c r="S214" i="5"/>
  <c r="T214" i="5"/>
  <c r="R214" i="5"/>
  <c r="S213" i="5"/>
  <c r="T213" i="5" s="1"/>
  <c r="R213" i="5"/>
  <c r="S212" i="5"/>
  <c r="T212" i="5"/>
  <c r="R212" i="5"/>
  <c r="S211" i="5"/>
  <c r="T211" i="5" s="1"/>
  <c r="R211" i="5"/>
  <c r="S210" i="5"/>
  <c r="T210" i="5"/>
  <c r="R210" i="5"/>
  <c r="S209" i="5"/>
  <c r="T209" i="5" s="1"/>
  <c r="R209" i="5"/>
  <c r="S208" i="5"/>
  <c r="T208" i="5"/>
  <c r="R208" i="5"/>
  <c r="S207" i="5"/>
  <c r="T207" i="5" s="1"/>
  <c r="R207" i="5"/>
  <c r="S206" i="5"/>
  <c r="T206" i="5"/>
  <c r="R206" i="5"/>
  <c r="S205" i="5"/>
  <c r="T205" i="5" s="1"/>
  <c r="R205" i="5"/>
  <c r="S204" i="5"/>
  <c r="T204" i="5"/>
  <c r="R204" i="5"/>
  <c r="S203" i="5"/>
  <c r="T203" i="5" s="1"/>
  <c r="R203" i="5"/>
  <c r="S202" i="5"/>
  <c r="T202" i="5"/>
  <c r="R202" i="5"/>
  <c r="S201" i="5"/>
  <c r="T201" i="5" s="1"/>
  <c r="R201" i="5"/>
  <c r="S200" i="5"/>
  <c r="T200" i="5"/>
  <c r="R200" i="5"/>
  <c r="S199" i="5"/>
  <c r="T199" i="5" s="1"/>
  <c r="R199" i="5"/>
  <c r="S198" i="5"/>
  <c r="T198" i="5"/>
  <c r="R198" i="5"/>
  <c r="S197" i="5"/>
  <c r="T197" i="5" s="1"/>
  <c r="R197" i="5"/>
  <c r="S196" i="5"/>
  <c r="T196" i="5"/>
  <c r="R196" i="5"/>
  <c r="S195" i="5"/>
  <c r="T195" i="5" s="1"/>
  <c r="R195" i="5"/>
  <c r="S194" i="5"/>
  <c r="T194" i="5"/>
  <c r="R194" i="5"/>
  <c r="S193" i="5"/>
  <c r="T193" i="5" s="1"/>
  <c r="R193" i="5"/>
  <c r="S192" i="5"/>
  <c r="T192" i="5"/>
  <c r="R192" i="5"/>
  <c r="S191" i="5"/>
  <c r="T191" i="5" s="1"/>
  <c r="R191" i="5"/>
  <c r="S190" i="5"/>
  <c r="T190" i="5"/>
  <c r="R190" i="5"/>
  <c r="S189" i="5"/>
  <c r="T189" i="5" s="1"/>
  <c r="R189" i="5"/>
  <c r="S188" i="5"/>
  <c r="T188" i="5"/>
  <c r="R188" i="5"/>
  <c r="S187" i="5"/>
  <c r="T187" i="5" s="1"/>
  <c r="R187" i="5"/>
  <c r="S186" i="5"/>
  <c r="T186" i="5"/>
  <c r="R186" i="5"/>
  <c r="S185" i="5"/>
  <c r="T185" i="5" s="1"/>
  <c r="R185" i="5"/>
  <c r="S184" i="5"/>
  <c r="T184" i="5"/>
  <c r="R184" i="5"/>
  <c r="S183" i="5"/>
  <c r="T183" i="5" s="1"/>
  <c r="R183" i="5"/>
  <c r="S182" i="5"/>
  <c r="T182" i="5"/>
  <c r="R182" i="5"/>
  <c r="S181" i="5"/>
  <c r="T181" i="5" s="1"/>
  <c r="R181" i="5"/>
  <c r="S180" i="5"/>
  <c r="T180" i="5"/>
  <c r="R180" i="5"/>
  <c r="S179" i="5"/>
  <c r="T179" i="5" s="1"/>
  <c r="R179" i="5"/>
  <c r="S178" i="5"/>
  <c r="T178" i="5"/>
  <c r="R178" i="5"/>
  <c r="S177" i="5"/>
  <c r="T177" i="5" s="1"/>
  <c r="R177" i="5"/>
  <c r="S176" i="5"/>
  <c r="T176" i="5"/>
  <c r="R176" i="5"/>
  <c r="S175" i="5"/>
  <c r="T175" i="5" s="1"/>
  <c r="R175" i="5"/>
  <c r="S174" i="5"/>
  <c r="T174" i="5"/>
  <c r="R174" i="5"/>
  <c r="S173" i="5"/>
  <c r="T173" i="5" s="1"/>
  <c r="R173" i="5"/>
  <c r="S172" i="5"/>
  <c r="T172" i="5"/>
  <c r="R172" i="5"/>
  <c r="S171" i="5"/>
  <c r="T171" i="5" s="1"/>
  <c r="R171" i="5"/>
  <c r="S170" i="5"/>
  <c r="T170" i="5"/>
  <c r="R170" i="5"/>
  <c r="S169" i="5"/>
  <c r="T169" i="5" s="1"/>
  <c r="R169" i="5"/>
  <c r="S168" i="5"/>
  <c r="T168" i="5"/>
  <c r="R168" i="5"/>
  <c r="S167" i="5"/>
  <c r="T167" i="5" s="1"/>
  <c r="R167" i="5"/>
  <c r="S166" i="5"/>
  <c r="T166" i="5"/>
  <c r="R166" i="5"/>
  <c r="S165" i="5"/>
  <c r="T165" i="5" s="1"/>
  <c r="R165" i="5"/>
  <c r="S164" i="5"/>
  <c r="T164" i="5"/>
  <c r="R164" i="5"/>
  <c r="S163" i="5"/>
  <c r="T163" i="5" s="1"/>
  <c r="R163" i="5"/>
  <c r="S162" i="5"/>
  <c r="T162" i="5"/>
  <c r="R162" i="5"/>
  <c r="S161" i="5"/>
  <c r="T161" i="5" s="1"/>
  <c r="R161" i="5"/>
  <c r="S160" i="5"/>
  <c r="T160" i="5"/>
  <c r="R160" i="5"/>
  <c r="S159" i="5"/>
  <c r="T159" i="5" s="1"/>
  <c r="R159" i="5"/>
  <c r="S158" i="5"/>
  <c r="T158" i="5"/>
  <c r="R158" i="5"/>
  <c r="S157" i="5"/>
  <c r="T157" i="5" s="1"/>
  <c r="R157" i="5"/>
  <c r="S156" i="5"/>
  <c r="T156" i="5"/>
  <c r="R156" i="5"/>
  <c r="S155" i="5"/>
  <c r="T155" i="5" s="1"/>
  <c r="R155" i="5"/>
  <c r="S154" i="5"/>
  <c r="T154" i="5"/>
  <c r="R154" i="5"/>
  <c r="S153" i="5"/>
  <c r="T153" i="5" s="1"/>
  <c r="R153" i="5"/>
  <c r="S152" i="5"/>
  <c r="T152" i="5"/>
  <c r="R152" i="5"/>
  <c r="S151" i="5"/>
  <c r="T151" i="5" s="1"/>
  <c r="R151" i="5"/>
  <c r="S150" i="5"/>
  <c r="T150" i="5"/>
  <c r="R150" i="5"/>
  <c r="S149" i="5"/>
  <c r="T149" i="5" s="1"/>
  <c r="R149" i="5"/>
  <c r="S148" i="5"/>
  <c r="T148" i="5"/>
  <c r="R148" i="5"/>
  <c r="S147" i="5"/>
  <c r="T147" i="5" s="1"/>
  <c r="R147" i="5"/>
  <c r="S146" i="5"/>
  <c r="T146" i="5"/>
  <c r="R146" i="5"/>
  <c r="S145" i="5"/>
  <c r="T145" i="5" s="1"/>
  <c r="R145" i="5"/>
  <c r="S144" i="5"/>
  <c r="T144" i="5"/>
  <c r="R144" i="5"/>
  <c r="S143" i="5"/>
  <c r="T143" i="5" s="1"/>
  <c r="R143" i="5"/>
  <c r="S142" i="5"/>
  <c r="T142" i="5"/>
  <c r="R142" i="5"/>
  <c r="S546" i="5"/>
  <c r="T546" i="5" s="1"/>
  <c r="R546" i="5"/>
  <c r="S141" i="5"/>
  <c r="T141" i="5"/>
  <c r="R141" i="5"/>
  <c r="S140" i="5"/>
  <c r="T140" i="5" s="1"/>
  <c r="R140" i="5"/>
  <c r="S139" i="5"/>
  <c r="T139" i="5"/>
  <c r="R139" i="5"/>
  <c r="S545" i="5"/>
  <c r="T545" i="5" s="1"/>
  <c r="R545" i="5"/>
  <c r="S138" i="5"/>
  <c r="T138" i="5"/>
  <c r="R138" i="5"/>
  <c r="S137" i="5"/>
  <c r="T137" i="5" s="1"/>
  <c r="R137" i="5"/>
  <c r="S136" i="5"/>
  <c r="T136" i="5"/>
  <c r="R136" i="5"/>
  <c r="S135" i="5"/>
  <c r="T135" i="5" s="1"/>
  <c r="R135" i="5"/>
  <c r="S134" i="5"/>
  <c r="T134" i="5"/>
  <c r="R134" i="5"/>
  <c r="S133" i="5"/>
  <c r="T133" i="5" s="1"/>
  <c r="R133" i="5"/>
  <c r="S132" i="5"/>
  <c r="T132" i="5"/>
  <c r="R132" i="5"/>
  <c r="S131" i="5"/>
  <c r="T131" i="5" s="1"/>
  <c r="R131" i="5"/>
  <c r="S130" i="5"/>
  <c r="T130" i="5"/>
  <c r="R130" i="5"/>
  <c r="S542" i="5"/>
  <c r="T542" i="5" s="1"/>
  <c r="R542" i="5"/>
  <c r="S129" i="5"/>
  <c r="T129" i="5"/>
  <c r="R129" i="5"/>
  <c r="S128" i="5"/>
  <c r="T128" i="5" s="1"/>
  <c r="R128" i="5"/>
  <c r="S127" i="5"/>
  <c r="T127" i="5"/>
  <c r="R127" i="5"/>
  <c r="S126" i="5"/>
  <c r="T126" i="5" s="1"/>
  <c r="R126" i="5"/>
  <c r="S125" i="5"/>
  <c r="T125" i="5"/>
  <c r="R125" i="5"/>
  <c r="S124" i="5"/>
  <c r="T124" i="5" s="1"/>
  <c r="R124" i="5"/>
  <c r="S123" i="5"/>
  <c r="T123" i="5"/>
  <c r="R123" i="5"/>
  <c r="S122" i="5"/>
  <c r="T122" i="5" s="1"/>
  <c r="R122" i="5"/>
  <c r="S121" i="5"/>
  <c r="T121" i="5"/>
  <c r="R121" i="5"/>
  <c r="S120" i="5"/>
  <c r="T120" i="5" s="1"/>
  <c r="R120" i="5"/>
  <c r="S119" i="5"/>
  <c r="T119" i="5"/>
  <c r="R119" i="5"/>
  <c r="S118" i="5"/>
  <c r="T118" i="5" s="1"/>
  <c r="R118" i="5"/>
  <c r="S117" i="5"/>
  <c r="T117" i="5"/>
  <c r="R117" i="5"/>
  <c r="S116" i="5"/>
  <c r="T116" i="5" s="1"/>
  <c r="R116" i="5"/>
  <c r="S115" i="5"/>
  <c r="T115" i="5"/>
  <c r="R115" i="5"/>
  <c r="S114" i="5"/>
  <c r="T114" i="5" s="1"/>
  <c r="R114" i="5"/>
  <c r="S113" i="5"/>
  <c r="T113" i="5"/>
  <c r="R113" i="5"/>
  <c r="S112" i="5"/>
  <c r="T112" i="5" s="1"/>
  <c r="R112" i="5"/>
  <c r="S111" i="5"/>
  <c r="T111" i="5"/>
  <c r="R111" i="5"/>
  <c r="S110" i="5"/>
  <c r="T110" i="5" s="1"/>
  <c r="R110" i="5"/>
  <c r="S109" i="5"/>
  <c r="T109" i="5"/>
  <c r="R109" i="5"/>
  <c r="S108" i="5"/>
  <c r="T108" i="5" s="1"/>
  <c r="R108" i="5"/>
  <c r="S107" i="5"/>
  <c r="T107" i="5"/>
  <c r="R107" i="5"/>
  <c r="S106" i="5"/>
  <c r="T106" i="5" s="1"/>
  <c r="R106" i="5"/>
  <c r="S105" i="5"/>
  <c r="T105" i="5"/>
  <c r="R105" i="5"/>
  <c r="S104" i="5"/>
  <c r="T104" i="5" s="1"/>
  <c r="R104" i="5"/>
  <c r="S103" i="5"/>
  <c r="T103" i="5"/>
  <c r="R103" i="5"/>
  <c r="S102" i="5"/>
  <c r="T102" i="5" s="1"/>
  <c r="R102" i="5"/>
  <c r="S101" i="5"/>
  <c r="T101" i="5"/>
  <c r="R101" i="5"/>
  <c r="S100" i="5"/>
  <c r="T100" i="5" s="1"/>
  <c r="R100" i="5"/>
  <c r="S99" i="5"/>
  <c r="T99" i="5"/>
  <c r="R99" i="5"/>
  <c r="S98" i="5"/>
  <c r="T98" i="5" s="1"/>
  <c r="R98" i="5"/>
  <c r="S97" i="5"/>
  <c r="T97" i="5"/>
  <c r="R97" i="5"/>
  <c r="S96" i="5"/>
  <c r="T96" i="5" s="1"/>
  <c r="R96" i="5"/>
  <c r="S95" i="5"/>
  <c r="T95" i="5"/>
  <c r="R95" i="5"/>
  <c r="S94" i="5"/>
  <c r="T94" i="5" s="1"/>
  <c r="R94" i="5"/>
  <c r="S93" i="5"/>
  <c r="T93" i="5"/>
  <c r="R93" i="5"/>
  <c r="S92" i="5"/>
  <c r="T92" i="5" s="1"/>
  <c r="R92" i="5"/>
  <c r="S91" i="5"/>
  <c r="T91" i="5"/>
  <c r="R91" i="5"/>
  <c r="S90" i="5"/>
  <c r="T90" i="5" s="1"/>
  <c r="R90" i="5"/>
  <c r="S89" i="5"/>
  <c r="T89" i="5"/>
  <c r="R89" i="5"/>
  <c r="S88" i="5"/>
  <c r="T88" i="5" s="1"/>
  <c r="R88" i="5"/>
  <c r="S87" i="5"/>
  <c r="T87" i="5"/>
  <c r="R87" i="5"/>
  <c r="S86" i="5"/>
  <c r="T86" i="5" s="1"/>
  <c r="R86" i="5"/>
  <c r="S85" i="5"/>
  <c r="T85" i="5"/>
  <c r="R85" i="5"/>
  <c r="S84" i="5"/>
  <c r="T84" i="5" s="1"/>
  <c r="R84" i="5"/>
  <c r="S83" i="5"/>
  <c r="T83" i="5"/>
  <c r="R83" i="5"/>
  <c r="S82" i="5"/>
  <c r="T82" i="5" s="1"/>
  <c r="R82" i="5"/>
  <c r="S81" i="5"/>
  <c r="T81" i="5"/>
  <c r="R81" i="5"/>
  <c r="S80" i="5"/>
  <c r="T80" i="5" s="1"/>
  <c r="R80" i="5"/>
  <c r="S79" i="5"/>
  <c r="T79" i="5"/>
  <c r="R79" i="5"/>
  <c r="S78" i="5"/>
  <c r="T78" i="5" s="1"/>
  <c r="R78" i="5"/>
  <c r="S77" i="5"/>
  <c r="T77" i="5"/>
  <c r="R77" i="5"/>
  <c r="S76" i="5"/>
  <c r="T76" i="5" s="1"/>
  <c r="R76" i="5"/>
  <c r="S75" i="5"/>
  <c r="T75" i="5"/>
  <c r="R75" i="5"/>
  <c r="S74" i="5"/>
  <c r="T74" i="5" s="1"/>
  <c r="R74" i="5"/>
  <c r="S73" i="5"/>
  <c r="T73" i="5"/>
  <c r="R73" i="5"/>
  <c r="S72" i="5"/>
  <c r="T72" i="5" s="1"/>
  <c r="R72" i="5"/>
  <c r="S71" i="5"/>
  <c r="T71" i="5"/>
  <c r="R71" i="5"/>
  <c r="S70" i="5"/>
  <c r="T70" i="5" s="1"/>
  <c r="R70" i="5"/>
  <c r="S69" i="5"/>
  <c r="T69" i="5"/>
  <c r="R69" i="5"/>
  <c r="S68" i="5"/>
  <c r="T68" i="5" s="1"/>
  <c r="R68" i="5"/>
  <c r="S67" i="5"/>
  <c r="T67" i="5"/>
  <c r="R67" i="5"/>
  <c r="S66" i="5"/>
  <c r="T66" i="5" s="1"/>
  <c r="R66" i="5"/>
  <c r="S65" i="5"/>
  <c r="T65" i="5"/>
  <c r="R65" i="5"/>
  <c r="S64" i="5"/>
  <c r="T64" i="5" s="1"/>
  <c r="R64" i="5"/>
  <c r="S63" i="5"/>
  <c r="T63" i="5"/>
  <c r="R63" i="5"/>
  <c r="S62" i="5"/>
  <c r="T62" i="5" s="1"/>
  <c r="R62" i="5"/>
  <c r="S61" i="5"/>
  <c r="T61" i="5"/>
  <c r="R61" i="5"/>
  <c r="S560" i="5"/>
  <c r="T560" i="5" s="1"/>
  <c r="R560" i="5"/>
  <c r="S555" i="5"/>
  <c r="T555" i="5"/>
  <c r="R555" i="5"/>
  <c r="S60" i="5"/>
  <c r="T60" i="5" s="1"/>
  <c r="R60" i="5"/>
  <c r="S59" i="5"/>
  <c r="T59" i="5"/>
  <c r="R59" i="5"/>
  <c r="S58" i="5"/>
  <c r="T58" i="5" s="1"/>
  <c r="R58" i="5"/>
  <c r="S57" i="5"/>
  <c r="T57" i="5"/>
  <c r="R57" i="5"/>
  <c r="S56" i="5"/>
  <c r="T56" i="5" s="1"/>
  <c r="R56" i="5"/>
  <c r="S55" i="5"/>
  <c r="T55" i="5"/>
  <c r="R55" i="5"/>
  <c r="S54" i="5"/>
  <c r="T54" i="5" s="1"/>
  <c r="R54" i="5"/>
  <c r="S53" i="5"/>
  <c r="T53" i="5"/>
  <c r="R53" i="5"/>
  <c r="S52" i="5"/>
  <c r="T52" i="5" s="1"/>
  <c r="R52" i="5"/>
  <c r="S51" i="5"/>
  <c r="T51" i="5"/>
  <c r="R51" i="5"/>
  <c r="S50" i="5"/>
  <c r="T50" i="5" s="1"/>
  <c r="R50" i="5"/>
  <c r="S49" i="5"/>
  <c r="T49" i="5"/>
  <c r="R49" i="5"/>
  <c r="S48" i="5"/>
  <c r="T48" i="5" s="1"/>
  <c r="R48" i="5"/>
  <c r="S47" i="5"/>
  <c r="T47" i="5"/>
  <c r="R47" i="5"/>
  <c r="S46" i="5"/>
  <c r="T46" i="5" s="1"/>
  <c r="R46" i="5"/>
  <c r="S45" i="5"/>
  <c r="T45" i="5"/>
  <c r="R45" i="5"/>
  <c r="S44" i="5"/>
  <c r="T44" i="5" s="1"/>
  <c r="R44" i="5"/>
  <c r="S43" i="5"/>
  <c r="T43" i="5"/>
  <c r="R43" i="5"/>
  <c r="S42" i="5"/>
  <c r="T42" i="5" s="1"/>
  <c r="R42" i="5"/>
  <c r="S41" i="5"/>
  <c r="T41" i="5"/>
  <c r="R41" i="5"/>
  <c r="S40" i="5"/>
  <c r="T40" i="5" s="1"/>
  <c r="R40" i="5"/>
  <c r="S39" i="5"/>
  <c r="T39" i="5"/>
  <c r="R39" i="5"/>
  <c r="S38" i="5"/>
  <c r="T38" i="5" s="1"/>
  <c r="R38" i="5"/>
  <c r="S37" i="5"/>
  <c r="T37" i="5"/>
  <c r="R37" i="5"/>
  <c r="S36" i="5"/>
  <c r="T36" i="5" s="1"/>
  <c r="R36" i="5"/>
  <c r="S35" i="5"/>
  <c r="T35" i="5"/>
  <c r="R35" i="5"/>
  <c r="S34" i="5"/>
  <c r="T34" i="5" s="1"/>
  <c r="R34" i="5"/>
  <c r="S541" i="5"/>
  <c r="R541" i="5"/>
  <c r="S33" i="5"/>
  <c r="T33" i="5"/>
  <c r="R33" i="5"/>
  <c r="S32" i="5"/>
  <c r="T32" i="5" s="1"/>
  <c r="R32" i="5"/>
  <c r="S31" i="5"/>
  <c r="T31" i="5"/>
  <c r="R31" i="5"/>
  <c r="S30" i="5"/>
  <c r="T30" i="5" s="1"/>
  <c r="R30" i="5"/>
  <c r="S29" i="5"/>
  <c r="T29" i="5"/>
  <c r="R29" i="5"/>
  <c r="S28" i="5"/>
  <c r="T28" i="5" s="1"/>
  <c r="R28" i="5"/>
  <c r="S27" i="5"/>
  <c r="T27" i="5"/>
  <c r="R27" i="5"/>
  <c r="S26" i="5"/>
  <c r="T26" i="5" s="1"/>
  <c r="R26" i="5"/>
  <c r="S25" i="5"/>
  <c r="T25" i="5"/>
  <c r="R25" i="5"/>
  <c r="S24" i="5"/>
  <c r="T24" i="5" s="1"/>
  <c r="R24" i="5"/>
  <c r="S23" i="5"/>
  <c r="T23" i="5"/>
  <c r="R23" i="5"/>
  <c r="S22" i="5"/>
  <c r="T22" i="5" s="1"/>
  <c r="R22" i="5"/>
  <c r="S21" i="5"/>
  <c r="T21" i="5"/>
  <c r="R21" i="5"/>
  <c r="S20" i="5"/>
  <c r="T20" i="5" s="1"/>
  <c r="R20" i="5"/>
  <c r="S19" i="5"/>
  <c r="T19" i="5"/>
  <c r="R19" i="5"/>
  <c r="S18" i="5"/>
  <c r="T18" i="5" s="1"/>
  <c r="R18" i="5"/>
  <c r="S17" i="5"/>
  <c r="T17" i="5"/>
  <c r="R17" i="5"/>
  <c r="S16" i="5"/>
  <c r="T16" i="5" s="1"/>
  <c r="R16" i="5"/>
  <c r="S15" i="5"/>
  <c r="T15" i="5"/>
  <c r="R15" i="5"/>
  <c r="S14" i="5"/>
  <c r="T14" i="5" s="1"/>
  <c r="R14" i="5"/>
  <c r="P11" i="5"/>
  <c r="Q11" i="5"/>
  <c r="R11" i="5" s="1"/>
  <c r="E480" i="3"/>
  <c r="E481" i="3"/>
  <c r="D11" i="5"/>
  <c r="E11" i="5"/>
  <c r="F11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14" i="5"/>
  <c r="H16" i="5"/>
  <c r="G11" i="5"/>
  <c r="H14" i="5"/>
  <c r="H15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11" i="5" s="1"/>
  <c r="H242" i="5"/>
  <c r="H243" i="5"/>
  <c r="H244" i="5"/>
  <c r="H245" i="5"/>
  <c r="H246" i="5"/>
  <c r="H247" i="5"/>
  <c r="H248" i="5"/>
  <c r="H249" i="5"/>
  <c r="H250" i="5"/>
  <c r="H251" i="5"/>
  <c r="H252" i="5"/>
  <c r="H253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D542" i="5"/>
  <c r="D543" i="5"/>
  <c r="D545" i="5" s="1"/>
  <c r="M480" i="3"/>
  <c r="M483" i="3" s="1"/>
  <c r="M48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41" i="3"/>
  <c r="I342" i="3"/>
  <c r="I479" i="3" s="1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E498" i="3"/>
  <c r="E493" i="3"/>
  <c r="F480" i="3"/>
  <c r="F483" i="3" s="1"/>
  <c r="F481" i="3"/>
  <c r="J11" i="5"/>
  <c r="I11" i="7"/>
  <c r="H11" i="7"/>
  <c r="E483" i="3"/>
  <c r="G485" i="3" s="1"/>
  <c r="S551" i="5"/>
  <c r="S11" i="5" s="1"/>
  <c r="T541" i="5"/>
  <c r="G478" i="3"/>
  <c r="G283" i="3"/>
  <c r="G281" i="3"/>
  <c r="G279" i="3"/>
  <c r="G277" i="3"/>
  <c r="G275" i="3"/>
  <c r="G273" i="3"/>
  <c r="G271" i="3"/>
  <c r="G269" i="3"/>
  <c r="G267" i="3"/>
  <c r="G265" i="3"/>
  <c r="G263" i="3"/>
  <c r="G261" i="3"/>
  <c r="G259" i="3"/>
  <c r="G257" i="3"/>
  <c r="G255" i="3"/>
  <c r="G4" i="3"/>
  <c r="G6" i="3"/>
  <c r="G8" i="3"/>
  <c r="G10" i="3"/>
  <c r="G12" i="3"/>
  <c r="G14" i="3"/>
  <c r="G16" i="3"/>
  <c r="G18" i="3"/>
  <c r="G20" i="3"/>
  <c r="G22" i="3"/>
  <c r="G24" i="3"/>
  <c r="G26" i="3"/>
  <c r="G28" i="3"/>
  <c r="G30" i="3"/>
  <c r="G32" i="3"/>
  <c r="G34" i="3"/>
  <c r="G36" i="3"/>
  <c r="G38" i="3"/>
  <c r="G40" i="3"/>
  <c r="G42" i="3"/>
  <c r="G44" i="3"/>
  <c r="G46" i="3"/>
  <c r="G48" i="3"/>
  <c r="G50" i="3"/>
  <c r="G52" i="3"/>
  <c r="G54" i="3"/>
  <c r="G56" i="3"/>
  <c r="G58" i="3"/>
  <c r="G60" i="3"/>
  <c r="G62" i="3"/>
  <c r="G64" i="3"/>
  <c r="G66" i="3"/>
  <c r="G68" i="3"/>
  <c r="G70" i="3"/>
  <c r="G72" i="3"/>
  <c r="G74" i="3"/>
  <c r="G76" i="3"/>
  <c r="G78" i="3"/>
  <c r="G80" i="3"/>
  <c r="G82" i="3"/>
  <c r="G84" i="3"/>
  <c r="G86" i="3"/>
  <c r="G88" i="3"/>
  <c r="G90" i="3"/>
  <c r="G92" i="3"/>
  <c r="G94" i="3"/>
  <c r="G96" i="3"/>
  <c r="G98" i="3"/>
  <c r="G100" i="3"/>
  <c r="G102" i="3"/>
  <c r="G104" i="3"/>
  <c r="G106" i="3"/>
  <c r="G108" i="3"/>
  <c r="G110" i="3"/>
  <c r="G112" i="3"/>
  <c r="G114" i="3"/>
  <c r="G116" i="3"/>
  <c r="G118" i="3"/>
  <c r="G120" i="3"/>
  <c r="G122" i="3"/>
  <c r="G124" i="3"/>
  <c r="G126" i="3"/>
  <c r="G128" i="3"/>
  <c r="G130" i="3"/>
  <c r="G132" i="3"/>
  <c r="G134" i="3"/>
  <c r="G136" i="3"/>
  <c r="G138" i="3"/>
  <c r="G140" i="3"/>
  <c r="G142" i="3"/>
  <c r="G144" i="3"/>
  <c r="G146" i="3"/>
  <c r="G148" i="3"/>
  <c r="G150" i="3"/>
  <c r="G152" i="3"/>
  <c r="G154" i="3"/>
  <c r="G156" i="3"/>
  <c r="G158" i="3"/>
  <c r="G160" i="3"/>
  <c r="G162" i="3"/>
  <c r="G164" i="3"/>
  <c r="G166" i="3"/>
  <c r="G168" i="3"/>
  <c r="G170" i="3"/>
  <c r="G172" i="3"/>
  <c r="G174" i="3"/>
  <c r="G176" i="3"/>
  <c r="G178" i="3"/>
  <c r="G180" i="3"/>
  <c r="G182" i="3"/>
  <c r="G184" i="3"/>
  <c r="G186" i="3"/>
  <c r="G188" i="3"/>
  <c r="G190" i="3"/>
  <c r="G192" i="3"/>
  <c r="G194" i="3"/>
  <c r="G196" i="3"/>
  <c r="G198" i="3"/>
  <c r="G200" i="3"/>
  <c r="G202" i="3"/>
  <c r="G204" i="3"/>
  <c r="G206" i="3"/>
  <c r="G208" i="3"/>
  <c r="G210" i="3"/>
  <c r="G212" i="3"/>
  <c r="G214" i="3"/>
  <c r="G216" i="3"/>
  <c r="G218" i="3"/>
  <c r="G220" i="3"/>
  <c r="G222" i="3"/>
  <c r="G224" i="3"/>
  <c r="G226" i="3"/>
  <c r="G228" i="3"/>
  <c r="G230" i="3"/>
  <c r="G232" i="3"/>
  <c r="G234" i="3"/>
  <c r="G236" i="3"/>
  <c r="G238" i="3"/>
  <c r="G240" i="3"/>
  <c r="G242" i="3"/>
  <c r="G244" i="3"/>
  <c r="G246" i="3"/>
  <c r="G248" i="3"/>
  <c r="G250" i="3"/>
  <c r="N250" i="3" s="1"/>
  <c r="G252" i="3"/>
  <c r="G254" i="3"/>
  <c r="N254" i="3" s="1"/>
  <c r="G316" i="3"/>
  <c r="G320" i="3"/>
  <c r="N320" i="3" s="1"/>
  <c r="G324" i="3"/>
  <c r="G328" i="3"/>
  <c r="N328" i="3" s="1"/>
  <c r="G332" i="3"/>
  <c r="G336" i="3"/>
  <c r="N336" i="3" s="1"/>
  <c r="G376" i="3"/>
  <c r="G380" i="3"/>
  <c r="N380" i="3" s="1"/>
  <c r="G384" i="3"/>
  <c r="G388" i="3"/>
  <c r="N388" i="3" s="1"/>
  <c r="G392" i="3"/>
  <c r="G396" i="3"/>
  <c r="N396" i="3" s="1"/>
  <c r="G400" i="3"/>
  <c r="G404" i="3"/>
  <c r="N404" i="3" s="1"/>
  <c r="G408" i="3"/>
  <c r="G412" i="3"/>
  <c r="N412" i="3" s="1"/>
  <c r="G416" i="3"/>
  <c r="G420" i="3"/>
  <c r="N420" i="3" s="1"/>
  <c r="G424" i="3"/>
  <c r="G428" i="3"/>
  <c r="N428" i="3" s="1"/>
  <c r="G432" i="3"/>
  <c r="G436" i="3"/>
  <c r="N436" i="3" s="1"/>
  <c r="G440" i="3"/>
  <c r="G444" i="3"/>
  <c r="N444" i="3" s="1"/>
  <c r="I339" i="3"/>
  <c r="S42" i="6"/>
  <c r="H440" i="3"/>
  <c r="N440" i="3"/>
  <c r="H424" i="3"/>
  <c r="N424" i="3"/>
  <c r="H416" i="3"/>
  <c r="N416" i="3"/>
  <c r="H400" i="3"/>
  <c r="N400" i="3"/>
  <c r="H384" i="3"/>
  <c r="N384" i="3"/>
  <c r="H376" i="3"/>
  <c r="N376" i="3"/>
  <c r="H324" i="3"/>
  <c r="N324" i="3"/>
  <c r="H252" i="3"/>
  <c r="N252" i="3"/>
  <c r="H244" i="3"/>
  <c r="N244" i="3"/>
  <c r="H236" i="3"/>
  <c r="N236" i="3"/>
  <c r="H232" i="3"/>
  <c r="N232" i="3"/>
  <c r="H224" i="3"/>
  <c r="N224" i="3"/>
  <c r="H216" i="3"/>
  <c r="N216" i="3"/>
  <c r="H444" i="3"/>
  <c r="H436" i="3"/>
  <c r="H428" i="3"/>
  <c r="H420" i="3"/>
  <c r="H412" i="3"/>
  <c r="H404" i="3"/>
  <c r="H396" i="3"/>
  <c r="H388" i="3"/>
  <c r="H380" i="3"/>
  <c r="H336" i="3"/>
  <c r="H328" i="3"/>
  <c r="H320" i="3"/>
  <c r="H254" i="3"/>
  <c r="H250" i="3"/>
  <c r="H246" i="3"/>
  <c r="N246" i="3"/>
  <c r="H242" i="3"/>
  <c r="N242" i="3"/>
  <c r="H238" i="3"/>
  <c r="N238" i="3"/>
  <c r="H234" i="3"/>
  <c r="N234" i="3"/>
  <c r="H230" i="3"/>
  <c r="N230" i="3"/>
  <c r="H226" i="3"/>
  <c r="N226" i="3"/>
  <c r="H222" i="3"/>
  <c r="N222" i="3"/>
  <c r="H218" i="3"/>
  <c r="N218" i="3"/>
  <c r="H214" i="3"/>
  <c r="N214" i="3"/>
  <c r="H210" i="3"/>
  <c r="N210" i="3"/>
  <c r="H206" i="3"/>
  <c r="N206" i="3"/>
  <c r="H202" i="3"/>
  <c r="N202" i="3"/>
  <c r="H198" i="3"/>
  <c r="N198" i="3"/>
  <c r="H194" i="3"/>
  <c r="N194" i="3"/>
  <c r="H190" i="3"/>
  <c r="N190" i="3"/>
  <c r="N186" i="3"/>
  <c r="H186" i="3"/>
  <c r="N182" i="3"/>
  <c r="H182" i="3"/>
  <c r="N178" i="3"/>
  <c r="H178" i="3"/>
  <c r="N174" i="3"/>
  <c r="H174" i="3"/>
  <c r="N170" i="3"/>
  <c r="H170" i="3"/>
  <c r="N166" i="3"/>
  <c r="H166" i="3"/>
  <c r="N162" i="3"/>
  <c r="H162" i="3"/>
  <c r="N158" i="3"/>
  <c r="H158" i="3"/>
  <c r="N154" i="3"/>
  <c r="H154" i="3"/>
  <c r="N150" i="3"/>
  <c r="H150" i="3"/>
  <c r="N146" i="3"/>
  <c r="H146" i="3"/>
  <c r="N142" i="3"/>
  <c r="H142" i="3"/>
  <c r="N138" i="3"/>
  <c r="H138" i="3"/>
  <c r="N134" i="3"/>
  <c r="H134" i="3"/>
  <c r="N130" i="3"/>
  <c r="H130" i="3"/>
  <c r="N126" i="3"/>
  <c r="H126" i="3"/>
  <c r="N122" i="3"/>
  <c r="H122" i="3"/>
  <c r="N118" i="3"/>
  <c r="H118" i="3"/>
  <c r="N114" i="3"/>
  <c r="H114" i="3"/>
  <c r="N110" i="3"/>
  <c r="H110" i="3"/>
  <c r="N106" i="3"/>
  <c r="H106" i="3"/>
  <c r="N102" i="3"/>
  <c r="H102" i="3"/>
  <c r="N98" i="3"/>
  <c r="H98" i="3"/>
  <c r="N94" i="3"/>
  <c r="H94" i="3"/>
  <c r="N90" i="3"/>
  <c r="H90" i="3"/>
  <c r="N86" i="3"/>
  <c r="H86" i="3"/>
  <c r="N82" i="3"/>
  <c r="H82" i="3"/>
  <c r="N78" i="3"/>
  <c r="H78" i="3"/>
  <c r="N74" i="3"/>
  <c r="H74" i="3"/>
  <c r="N70" i="3"/>
  <c r="H70" i="3"/>
  <c r="N66" i="3"/>
  <c r="H66" i="3"/>
  <c r="N62" i="3"/>
  <c r="H62" i="3"/>
  <c r="N58" i="3"/>
  <c r="H58" i="3"/>
  <c r="N54" i="3"/>
  <c r="H54" i="3"/>
  <c r="N50" i="3"/>
  <c r="H50" i="3"/>
  <c r="N46" i="3"/>
  <c r="H46" i="3"/>
  <c r="N42" i="3"/>
  <c r="H42" i="3"/>
  <c r="H38" i="3"/>
  <c r="N38" i="3"/>
  <c r="N34" i="3"/>
  <c r="H34" i="3"/>
  <c r="N30" i="3"/>
  <c r="H30" i="3"/>
  <c r="N26" i="3"/>
  <c r="H26" i="3"/>
  <c r="N22" i="3"/>
  <c r="H22" i="3"/>
  <c r="N18" i="3"/>
  <c r="H18" i="3"/>
  <c r="H14" i="3"/>
  <c r="N14" i="3"/>
  <c r="H10" i="3"/>
  <c r="N10" i="3"/>
  <c r="H6" i="3"/>
  <c r="N6" i="3"/>
  <c r="H255" i="3"/>
  <c r="N255" i="3"/>
  <c r="H259" i="3"/>
  <c r="N259" i="3"/>
  <c r="H263" i="3"/>
  <c r="N263" i="3"/>
  <c r="H267" i="3"/>
  <c r="N267" i="3"/>
  <c r="H271" i="3"/>
  <c r="N271" i="3"/>
  <c r="H275" i="3"/>
  <c r="N275" i="3"/>
  <c r="H279" i="3"/>
  <c r="N279" i="3"/>
  <c r="H283" i="3"/>
  <c r="N283" i="3"/>
  <c r="H432" i="3"/>
  <c r="N432" i="3"/>
  <c r="H408" i="3"/>
  <c r="N408" i="3"/>
  <c r="H392" i="3"/>
  <c r="N392" i="3"/>
  <c r="H332" i="3"/>
  <c r="N332" i="3"/>
  <c r="H316" i="3"/>
  <c r="N316" i="3"/>
  <c r="H248" i="3"/>
  <c r="N248" i="3"/>
  <c r="H240" i="3"/>
  <c r="N240" i="3"/>
  <c r="H228" i="3"/>
  <c r="N228" i="3"/>
  <c r="H220" i="3"/>
  <c r="N220" i="3"/>
  <c r="H212" i="3"/>
  <c r="N212" i="3"/>
  <c r="H208" i="3"/>
  <c r="N208" i="3"/>
  <c r="H204" i="3"/>
  <c r="N204" i="3"/>
  <c r="H200" i="3"/>
  <c r="N200" i="3"/>
  <c r="H196" i="3"/>
  <c r="N196" i="3"/>
  <c r="H192" i="3"/>
  <c r="N192" i="3"/>
  <c r="N188" i="3"/>
  <c r="H188" i="3"/>
  <c r="N184" i="3"/>
  <c r="H184" i="3"/>
  <c r="N180" i="3"/>
  <c r="H180" i="3"/>
  <c r="N176" i="3"/>
  <c r="H176" i="3"/>
  <c r="N172" i="3"/>
  <c r="H172" i="3"/>
  <c r="N168" i="3"/>
  <c r="H168" i="3"/>
  <c r="N164" i="3"/>
  <c r="H164" i="3"/>
  <c r="N160" i="3"/>
  <c r="H160" i="3"/>
  <c r="N156" i="3"/>
  <c r="H156" i="3"/>
  <c r="N152" i="3"/>
  <c r="H152" i="3"/>
  <c r="N148" i="3"/>
  <c r="H148" i="3"/>
  <c r="N144" i="3"/>
  <c r="H144" i="3"/>
  <c r="N140" i="3"/>
  <c r="H140" i="3"/>
  <c r="N136" i="3"/>
  <c r="H136" i="3"/>
  <c r="N132" i="3"/>
  <c r="H132" i="3"/>
  <c r="N128" i="3"/>
  <c r="H128" i="3"/>
  <c r="N124" i="3"/>
  <c r="H124" i="3"/>
  <c r="N120" i="3"/>
  <c r="H120" i="3"/>
  <c r="N116" i="3"/>
  <c r="H116" i="3"/>
  <c r="N112" i="3"/>
  <c r="H112" i="3"/>
  <c r="N108" i="3"/>
  <c r="H108" i="3"/>
  <c r="N104" i="3"/>
  <c r="H104" i="3"/>
  <c r="N100" i="3"/>
  <c r="H100" i="3"/>
  <c r="N96" i="3"/>
  <c r="H96" i="3"/>
  <c r="N92" i="3"/>
  <c r="H92" i="3"/>
  <c r="N88" i="3"/>
  <c r="H88" i="3"/>
  <c r="N84" i="3"/>
  <c r="H84" i="3"/>
  <c r="N80" i="3"/>
  <c r="H80" i="3"/>
  <c r="N76" i="3"/>
  <c r="H76" i="3"/>
  <c r="N72" i="3"/>
  <c r="H72" i="3"/>
  <c r="N68" i="3"/>
  <c r="H68" i="3"/>
  <c r="N64" i="3"/>
  <c r="H64" i="3"/>
  <c r="N60" i="3"/>
  <c r="H60" i="3"/>
  <c r="N56" i="3"/>
  <c r="H56" i="3"/>
  <c r="N52" i="3"/>
  <c r="H52" i="3"/>
  <c r="N48" i="3"/>
  <c r="H48" i="3"/>
  <c r="N44" i="3"/>
  <c r="H44" i="3"/>
  <c r="N40" i="3"/>
  <c r="H40" i="3"/>
  <c r="N36" i="3"/>
  <c r="H36" i="3"/>
  <c r="N32" i="3"/>
  <c r="H32" i="3"/>
  <c r="N28" i="3"/>
  <c r="H28" i="3"/>
  <c r="N24" i="3"/>
  <c r="H24" i="3"/>
  <c r="N20" i="3"/>
  <c r="H20" i="3"/>
  <c r="H16" i="3"/>
  <c r="N16" i="3"/>
  <c r="H12" i="3"/>
  <c r="N12" i="3"/>
  <c r="H8" i="3"/>
  <c r="N8" i="3"/>
  <c r="H4" i="3"/>
  <c r="N4" i="3"/>
  <c r="H257" i="3"/>
  <c r="N257" i="3"/>
  <c r="H261" i="3"/>
  <c r="N261" i="3"/>
  <c r="H265" i="3"/>
  <c r="N265" i="3"/>
  <c r="H269" i="3"/>
  <c r="N269" i="3"/>
  <c r="H273" i="3"/>
  <c r="N273" i="3"/>
  <c r="H277" i="3"/>
  <c r="N277" i="3"/>
  <c r="H281" i="3"/>
  <c r="N281" i="3"/>
  <c r="H478" i="3"/>
  <c r="N478" i="3"/>
  <c r="G282" i="3" l="1"/>
  <c r="G278" i="3"/>
  <c r="G274" i="3"/>
  <c r="G270" i="3"/>
  <c r="G266" i="3"/>
  <c r="G262" i="3"/>
  <c r="G258" i="3"/>
  <c r="G3" i="3"/>
  <c r="G7" i="3"/>
  <c r="G11" i="3"/>
  <c r="G15" i="3"/>
  <c r="G19" i="3"/>
  <c r="G23" i="3"/>
  <c r="G27" i="3"/>
  <c r="G31" i="3"/>
  <c r="G35" i="3"/>
  <c r="G39" i="3"/>
  <c r="G43" i="3"/>
  <c r="G47" i="3"/>
  <c r="G51" i="3"/>
  <c r="G55" i="3"/>
  <c r="G59" i="3"/>
  <c r="G63" i="3"/>
  <c r="G67" i="3"/>
  <c r="G71" i="3"/>
  <c r="G75" i="3"/>
  <c r="G79" i="3"/>
  <c r="G83" i="3"/>
  <c r="G87" i="3"/>
  <c r="G91" i="3"/>
  <c r="G95" i="3"/>
  <c r="G99" i="3"/>
  <c r="G103" i="3"/>
  <c r="G107" i="3"/>
  <c r="G111" i="3"/>
  <c r="G115" i="3"/>
  <c r="G119" i="3"/>
  <c r="G123" i="3"/>
  <c r="G127" i="3"/>
  <c r="G131" i="3"/>
  <c r="G135" i="3"/>
  <c r="G139" i="3"/>
  <c r="G143" i="3"/>
  <c r="G147" i="3"/>
  <c r="G151" i="3"/>
  <c r="G155" i="3"/>
  <c r="G159" i="3"/>
  <c r="G163" i="3"/>
  <c r="G167" i="3"/>
  <c r="G171" i="3"/>
  <c r="G175" i="3"/>
  <c r="G179" i="3"/>
  <c r="G183" i="3"/>
  <c r="G187" i="3"/>
  <c r="G191" i="3"/>
  <c r="G195" i="3"/>
  <c r="G199" i="3"/>
  <c r="G203" i="3"/>
  <c r="G207" i="3"/>
  <c r="G211" i="3"/>
  <c r="G215" i="3"/>
  <c r="G219" i="3"/>
  <c r="G223" i="3"/>
  <c r="G227" i="3"/>
  <c r="G231" i="3"/>
  <c r="G235" i="3"/>
  <c r="G239" i="3"/>
  <c r="G243" i="3"/>
  <c r="G247" i="3"/>
  <c r="G251" i="3"/>
  <c r="G314" i="3"/>
  <c r="G322" i="3"/>
  <c r="G330" i="3"/>
  <c r="G338" i="3"/>
  <c r="G382" i="3"/>
  <c r="G390" i="3"/>
  <c r="G398" i="3"/>
  <c r="G406" i="3"/>
  <c r="G414" i="3"/>
  <c r="G422" i="3"/>
  <c r="G430" i="3"/>
  <c r="G438" i="3"/>
  <c r="G446" i="3"/>
  <c r="G450" i="3"/>
  <c r="G454" i="3"/>
  <c r="G458" i="3"/>
  <c r="G462" i="3"/>
  <c r="G466" i="3"/>
  <c r="G470" i="3"/>
  <c r="G286" i="3"/>
  <c r="G290" i="3"/>
  <c r="G294" i="3"/>
  <c r="G298" i="3"/>
  <c r="G302" i="3"/>
  <c r="G306" i="3"/>
  <c r="G310" i="3"/>
  <c r="G315" i="3"/>
  <c r="G323" i="3"/>
  <c r="G331" i="3"/>
  <c r="G341" i="3"/>
  <c r="G345" i="3"/>
  <c r="G349" i="3"/>
  <c r="G353" i="3"/>
  <c r="G357" i="3"/>
  <c r="G361" i="3"/>
  <c r="G365" i="3"/>
  <c r="G369" i="3"/>
  <c r="G373" i="3"/>
  <c r="G379" i="3"/>
  <c r="G387" i="3"/>
  <c r="G395" i="3"/>
  <c r="G403" i="3"/>
  <c r="G411" i="3"/>
  <c r="G419" i="3"/>
  <c r="G427" i="3"/>
  <c r="G435" i="3"/>
  <c r="G443" i="3"/>
  <c r="G451" i="3"/>
  <c r="G459" i="3"/>
  <c r="G467" i="3"/>
  <c r="G473" i="3"/>
  <c r="G477" i="3"/>
  <c r="G287" i="3"/>
  <c r="G291" i="3"/>
  <c r="G295" i="3"/>
  <c r="G299" i="3"/>
  <c r="G303" i="3"/>
  <c r="G307" i="3"/>
  <c r="G311" i="3"/>
  <c r="G317" i="3"/>
  <c r="G325" i="3"/>
  <c r="G333" i="3"/>
  <c r="G342" i="3"/>
  <c r="G346" i="3"/>
  <c r="G350" i="3"/>
  <c r="G354" i="3"/>
  <c r="G358" i="3"/>
  <c r="G362" i="3"/>
  <c r="G366" i="3"/>
  <c r="G370" i="3"/>
  <c r="G374" i="3"/>
  <c r="G381" i="3"/>
  <c r="G389" i="3"/>
  <c r="G397" i="3"/>
  <c r="G405" i="3"/>
  <c r="G413" i="3"/>
  <c r="G421" i="3"/>
  <c r="G429" i="3"/>
  <c r="G437" i="3"/>
  <c r="G445" i="3"/>
  <c r="G453" i="3"/>
  <c r="G461" i="3"/>
  <c r="G469" i="3"/>
  <c r="G474" i="3"/>
  <c r="G280" i="3"/>
  <c r="G276" i="3"/>
  <c r="G272" i="3"/>
  <c r="G268" i="3"/>
  <c r="G264" i="3"/>
  <c r="G260" i="3"/>
  <c r="G256" i="3"/>
  <c r="G5" i="3"/>
  <c r="G9" i="3"/>
  <c r="G13" i="3"/>
  <c r="G17" i="3"/>
  <c r="G21" i="3"/>
  <c r="G25" i="3"/>
  <c r="G29" i="3"/>
  <c r="G33" i="3"/>
  <c r="G37" i="3"/>
  <c r="G41" i="3"/>
  <c r="G45" i="3"/>
  <c r="G49" i="3"/>
  <c r="G53" i="3"/>
  <c r="G57" i="3"/>
  <c r="G61" i="3"/>
  <c r="G65" i="3"/>
  <c r="G69" i="3"/>
  <c r="G73" i="3"/>
  <c r="G77" i="3"/>
  <c r="G81" i="3"/>
  <c r="G85" i="3"/>
  <c r="G89" i="3"/>
  <c r="G93" i="3"/>
  <c r="G97" i="3"/>
  <c r="G101" i="3"/>
  <c r="G105" i="3"/>
  <c r="G109" i="3"/>
  <c r="G113" i="3"/>
  <c r="G117" i="3"/>
  <c r="G121" i="3"/>
  <c r="G125" i="3"/>
  <c r="G129" i="3"/>
  <c r="G133" i="3"/>
  <c r="G137" i="3"/>
  <c r="G141" i="3"/>
  <c r="G145" i="3"/>
  <c r="G149" i="3"/>
  <c r="G153" i="3"/>
  <c r="G157" i="3"/>
  <c r="G161" i="3"/>
  <c r="G165" i="3"/>
  <c r="G169" i="3"/>
  <c r="G173" i="3"/>
  <c r="G177" i="3"/>
  <c r="G181" i="3"/>
  <c r="G185" i="3"/>
  <c r="G189" i="3"/>
  <c r="G193" i="3"/>
  <c r="G197" i="3"/>
  <c r="G201" i="3"/>
  <c r="G205" i="3"/>
  <c r="G209" i="3"/>
  <c r="G213" i="3"/>
  <c r="G217" i="3"/>
  <c r="G221" i="3"/>
  <c r="G225" i="3"/>
  <c r="G229" i="3"/>
  <c r="G233" i="3"/>
  <c r="G237" i="3"/>
  <c r="G241" i="3"/>
  <c r="G245" i="3"/>
  <c r="G249" i="3"/>
  <c r="G253" i="3"/>
  <c r="G318" i="3"/>
  <c r="G326" i="3"/>
  <c r="G334" i="3"/>
  <c r="G378" i="3"/>
  <c r="G386" i="3"/>
  <c r="G394" i="3"/>
  <c r="G402" i="3"/>
  <c r="G410" i="3"/>
  <c r="G418" i="3"/>
  <c r="G426" i="3"/>
  <c r="G434" i="3"/>
  <c r="G442" i="3"/>
  <c r="G448" i="3"/>
  <c r="G452" i="3"/>
  <c r="G456" i="3"/>
  <c r="G460" i="3"/>
  <c r="G464" i="3"/>
  <c r="G468" i="3"/>
  <c r="G284" i="3"/>
  <c r="G288" i="3"/>
  <c r="G292" i="3"/>
  <c r="G296" i="3"/>
  <c r="G300" i="3"/>
  <c r="G304" i="3"/>
  <c r="G308" i="3"/>
  <c r="G312" i="3"/>
  <c r="G319" i="3"/>
  <c r="G327" i="3"/>
  <c r="G335" i="3"/>
  <c r="G343" i="3"/>
  <c r="G347" i="3"/>
  <c r="G351" i="3"/>
  <c r="G355" i="3"/>
  <c r="G359" i="3"/>
  <c r="G363" i="3"/>
  <c r="G367" i="3"/>
  <c r="G371" i="3"/>
  <c r="G375" i="3"/>
  <c r="G383" i="3"/>
  <c r="G391" i="3"/>
  <c r="G399" i="3"/>
  <c r="G407" i="3"/>
  <c r="G415" i="3"/>
  <c r="G423" i="3"/>
  <c r="G431" i="3"/>
  <c r="G439" i="3"/>
  <c r="G447" i="3"/>
  <c r="G455" i="3"/>
  <c r="G463" i="3"/>
  <c r="G471" i="3"/>
  <c r="G475" i="3"/>
  <c r="G285" i="3"/>
  <c r="G289" i="3"/>
  <c r="G293" i="3"/>
  <c r="G297" i="3"/>
  <c r="G301" i="3"/>
  <c r="G305" i="3"/>
  <c r="G309" i="3"/>
  <c r="G313" i="3"/>
  <c r="G321" i="3"/>
  <c r="G329" i="3"/>
  <c r="G337" i="3"/>
  <c r="G344" i="3"/>
  <c r="G348" i="3"/>
  <c r="G352" i="3"/>
  <c r="G356" i="3"/>
  <c r="G360" i="3"/>
  <c r="G364" i="3"/>
  <c r="G368" i="3"/>
  <c r="G372" i="3"/>
  <c r="G377" i="3"/>
  <c r="G385" i="3"/>
  <c r="G393" i="3"/>
  <c r="G401" i="3"/>
  <c r="G409" i="3"/>
  <c r="G417" i="3"/>
  <c r="G425" i="3"/>
  <c r="G433" i="3"/>
  <c r="G441" i="3"/>
  <c r="G449" i="3"/>
  <c r="G457" i="3"/>
  <c r="G465" i="3"/>
  <c r="G472" i="3"/>
  <c r="G476" i="3"/>
  <c r="T11" i="5"/>
  <c r="N476" i="3" l="1"/>
  <c r="H476" i="3"/>
  <c r="N465" i="3"/>
  <c r="H465" i="3"/>
  <c r="N449" i="3"/>
  <c r="H449" i="3"/>
  <c r="N433" i="3"/>
  <c r="H433" i="3"/>
  <c r="N417" i="3"/>
  <c r="H417" i="3"/>
  <c r="N401" i="3"/>
  <c r="H401" i="3"/>
  <c r="N385" i="3"/>
  <c r="H385" i="3"/>
  <c r="N372" i="3"/>
  <c r="H372" i="3"/>
  <c r="N364" i="3"/>
  <c r="H364" i="3"/>
  <c r="N356" i="3"/>
  <c r="H356" i="3"/>
  <c r="N348" i="3"/>
  <c r="H348" i="3"/>
  <c r="N337" i="3"/>
  <c r="H337" i="3"/>
  <c r="N321" i="3"/>
  <c r="H321" i="3"/>
  <c r="N309" i="3"/>
  <c r="H309" i="3"/>
  <c r="N301" i="3"/>
  <c r="H301" i="3"/>
  <c r="N293" i="3"/>
  <c r="H293" i="3"/>
  <c r="N285" i="3"/>
  <c r="H285" i="3"/>
  <c r="N471" i="3"/>
  <c r="H471" i="3"/>
  <c r="N455" i="3"/>
  <c r="H455" i="3"/>
  <c r="N439" i="3"/>
  <c r="H439" i="3"/>
  <c r="N423" i="3"/>
  <c r="H423" i="3"/>
  <c r="N407" i="3"/>
  <c r="H407" i="3"/>
  <c r="N391" i="3"/>
  <c r="H391" i="3"/>
  <c r="N375" i="3"/>
  <c r="H375" i="3"/>
  <c r="N367" i="3"/>
  <c r="H367" i="3"/>
  <c r="N359" i="3"/>
  <c r="H359" i="3"/>
  <c r="N351" i="3"/>
  <c r="H351" i="3"/>
  <c r="N343" i="3"/>
  <c r="H343" i="3"/>
  <c r="N327" i="3"/>
  <c r="H327" i="3"/>
  <c r="N312" i="3"/>
  <c r="H312" i="3"/>
  <c r="N304" i="3"/>
  <c r="H304" i="3"/>
  <c r="N296" i="3"/>
  <c r="H296" i="3"/>
  <c r="N288" i="3"/>
  <c r="H288" i="3"/>
  <c r="N468" i="3"/>
  <c r="H468" i="3"/>
  <c r="N460" i="3"/>
  <c r="H460" i="3"/>
  <c r="N452" i="3"/>
  <c r="H452" i="3"/>
  <c r="N442" i="3"/>
  <c r="H442" i="3"/>
  <c r="N426" i="3"/>
  <c r="H426" i="3"/>
  <c r="N410" i="3"/>
  <c r="H410" i="3"/>
  <c r="N394" i="3"/>
  <c r="H394" i="3"/>
  <c r="N378" i="3"/>
  <c r="H378" i="3"/>
  <c r="N326" i="3"/>
  <c r="H326" i="3"/>
  <c r="H253" i="3"/>
  <c r="N253" i="3"/>
  <c r="H245" i="3"/>
  <c r="N245" i="3"/>
  <c r="H237" i="3"/>
  <c r="N237" i="3"/>
  <c r="H229" i="3"/>
  <c r="N229" i="3"/>
  <c r="N221" i="3"/>
  <c r="H221" i="3"/>
  <c r="N213" i="3"/>
  <c r="H213" i="3"/>
  <c r="N205" i="3"/>
  <c r="H205" i="3"/>
  <c r="N197" i="3"/>
  <c r="H197" i="3"/>
  <c r="N189" i="3"/>
  <c r="H189" i="3"/>
  <c r="N181" i="3"/>
  <c r="H181" i="3"/>
  <c r="N173" i="3"/>
  <c r="H173" i="3"/>
  <c r="N165" i="3"/>
  <c r="H165" i="3"/>
  <c r="N157" i="3"/>
  <c r="H157" i="3"/>
  <c r="N149" i="3"/>
  <c r="H149" i="3"/>
  <c r="N141" i="3"/>
  <c r="H141" i="3"/>
  <c r="N133" i="3"/>
  <c r="H133" i="3"/>
  <c r="N125" i="3"/>
  <c r="H125" i="3"/>
  <c r="N117" i="3"/>
  <c r="H117" i="3"/>
  <c r="N109" i="3"/>
  <c r="H109" i="3"/>
  <c r="N101" i="3"/>
  <c r="H101" i="3"/>
  <c r="N93" i="3"/>
  <c r="H93" i="3"/>
  <c r="N85" i="3"/>
  <c r="H85" i="3"/>
  <c r="N77" i="3"/>
  <c r="H77" i="3"/>
  <c r="N69" i="3"/>
  <c r="H69" i="3"/>
  <c r="N61" i="3"/>
  <c r="H61" i="3"/>
  <c r="N53" i="3"/>
  <c r="H53" i="3"/>
  <c r="N45" i="3"/>
  <c r="H45" i="3"/>
  <c r="N37" i="3"/>
  <c r="H37" i="3"/>
  <c r="N29" i="3"/>
  <c r="H29" i="3"/>
  <c r="N21" i="3"/>
  <c r="H21" i="3"/>
  <c r="N13" i="3"/>
  <c r="H13" i="3"/>
  <c r="N5" i="3"/>
  <c r="H5" i="3"/>
  <c r="N260" i="3"/>
  <c r="H260" i="3"/>
  <c r="N268" i="3"/>
  <c r="H268" i="3"/>
  <c r="N276" i="3"/>
  <c r="H276" i="3"/>
  <c r="N474" i="3"/>
  <c r="H474" i="3"/>
  <c r="N461" i="3"/>
  <c r="H461" i="3"/>
  <c r="N445" i="3"/>
  <c r="H445" i="3"/>
  <c r="N429" i="3"/>
  <c r="H429" i="3"/>
  <c r="N413" i="3"/>
  <c r="H413" i="3"/>
  <c r="N397" i="3"/>
  <c r="H397" i="3"/>
  <c r="N381" i="3"/>
  <c r="H381" i="3"/>
  <c r="N370" i="3"/>
  <c r="H370" i="3"/>
  <c r="N362" i="3"/>
  <c r="H362" i="3"/>
  <c r="N354" i="3"/>
  <c r="H354" i="3"/>
  <c r="N346" i="3"/>
  <c r="H346" i="3"/>
  <c r="N333" i="3"/>
  <c r="H333" i="3"/>
  <c r="N317" i="3"/>
  <c r="H317" i="3"/>
  <c r="N307" i="3"/>
  <c r="H307" i="3"/>
  <c r="N299" i="3"/>
  <c r="H299" i="3"/>
  <c r="N291" i="3"/>
  <c r="H291" i="3"/>
  <c r="N477" i="3"/>
  <c r="H477" i="3"/>
  <c r="N467" i="3"/>
  <c r="H467" i="3"/>
  <c r="N451" i="3"/>
  <c r="H451" i="3"/>
  <c r="N435" i="3"/>
  <c r="H435" i="3"/>
  <c r="N419" i="3"/>
  <c r="H419" i="3"/>
  <c r="N403" i="3"/>
  <c r="H403" i="3"/>
  <c r="N387" i="3"/>
  <c r="H387" i="3"/>
  <c r="N373" i="3"/>
  <c r="H373" i="3"/>
  <c r="N365" i="3"/>
  <c r="H365" i="3"/>
  <c r="N357" i="3"/>
  <c r="H357" i="3"/>
  <c r="N349" i="3"/>
  <c r="H349" i="3"/>
  <c r="N341" i="3"/>
  <c r="H341" i="3"/>
  <c r="G481" i="3"/>
  <c r="N323" i="3"/>
  <c r="H323" i="3"/>
  <c r="N310" i="3"/>
  <c r="H310" i="3"/>
  <c r="N302" i="3"/>
  <c r="H302" i="3"/>
  <c r="N294" i="3"/>
  <c r="H294" i="3"/>
  <c r="N286" i="3"/>
  <c r="H286" i="3"/>
  <c r="N466" i="3"/>
  <c r="H466" i="3"/>
  <c r="N458" i="3"/>
  <c r="H458" i="3"/>
  <c r="N450" i="3"/>
  <c r="H450" i="3"/>
  <c r="N438" i="3"/>
  <c r="H438" i="3"/>
  <c r="N422" i="3"/>
  <c r="H422" i="3"/>
  <c r="N406" i="3"/>
  <c r="H406" i="3"/>
  <c r="N390" i="3"/>
  <c r="H390" i="3"/>
  <c r="N338" i="3"/>
  <c r="H338" i="3"/>
  <c r="N322" i="3"/>
  <c r="H322" i="3"/>
  <c r="H251" i="3"/>
  <c r="N251" i="3"/>
  <c r="H243" i="3"/>
  <c r="N243" i="3"/>
  <c r="H235" i="3"/>
  <c r="N235" i="3"/>
  <c r="H227" i="3"/>
  <c r="N227" i="3"/>
  <c r="N219" i="3"/>
  <c r="H219" i="3"/>
  <c r="N211" i="3"/>
  <c r="H211" i="3"/>
  <c r="N203" i="3"/>
  <c r="H203" i="3"/>
  <c r="N195" i="3"/>
  <c r="H195" i="3"/>
  <c r="N187" i="3"/>
  <c r="H187" i="3"/>
  <c r="N179" i="3"/>
  <c r="H179" i="3"/>
  <c r="N171" i="3"/>
  <c r="H171" i="3"/>
  <c r="N163" i="3"/>
  <c r="H163" i="3"/>
  <c r="N155" i="3"/>
  <c r="H155" i="3"/>
  <c r="N147" i="3"/>
  <c r="H147" i="3"/>
  <c r="N139" i="3"/>
  <c r="H139" i="3"/>
  <c r="N131" i="3"/>
  <c r="H131" i="3"/>
  <c r="N123" i="3"/>
  <c r="H123" i="3"/>
  <c r="N115" i="3"/>
  <c r="H115" i="3"/>
  <c r="N107" i="3"/>
  <c r="H107" i="3"/>
  <c r="N99" i="3"/>
  <c r="H99" i="3"/>
  <c r="N91" i="3"/>
  <c r="H91" i="3"/>
  <c r="N83" i="3"/>
  <c r="H83" i="3"/>
  <c r="N75" i="3"/>
  <c r="H75" i="3"/>
  <c r="N67" i="3"/>
  <c r="H67" i="3"/>
  <c r="N59" i="3"/>
  <c r="H59" i="3"/>
  <c r="N51" i="3"/>
  <c r="H51" i="3"/>
  <c r="N43" i="3"/>
  <c r="H43" i="3"/>
  <c r="N35" i="3"/>
  <c r="H35" i="3"/>
  <c r="N27" i="3"/>
  <c r="H27" i="3"/>
  <c r="N19" i="3"/>
  <c r="H19" i="3"/>
  <c r="N11" i="3"/>
  <c r="H11" i="3"/>
  <c r="N3" i="3"/>
  <c r="H3" i="3"/>
  <c r="G480" i="3"/>
  <c r="G483" i="3" s="1"/>
  <c r="N262" i="3"/>
  <c r="H262" i="3"/>
  <c r="N270" i="3"/>
  <c r="H270" i="3"/>
  <c r="N278" i="3"/>
  <c r="H278" i="3"/>
  <c r="N472" i="3"/>
  <c r="H472" i="3"/>
  <c r="N457" i="3"/>
  <c r="H457" i="3"/>
  <c r="N441" i="3"/>
  <c r="H441" i="3"/>
  <c r="N425" i="3"/>
  <c r="H425" i="3"/>
  <c r="N409" i="3"/>
  <c r="H409" i="3"/>
  <c r="N393" i="3"/>
  <c r="H393" i="3"/>
  <c r="N377" i="3"/>
  <c r="H377" i="3"/>
  <c r="N368" i="3"/>
  <c r="H368" i="3"/>
  <c r="N360" i="3"/>
  <c r="H360" i="3"/>
  <c r="N352" i="3"/>
  <c r="H352" i="3"/>
  <c r="N344" i="3"/>
  <c r="H344" i="3"/>
  <c r="N329" i="3"/>
  <c r="H329" i="3"/>
  <c r="N313" i="3"/>
  <c r="H313" i="3"/>
  <c r="N305" i="3"/>
  <c r="H305" i="3"/>
  <c r="N297" i="3"/>
  <c r="H297" i="3"/>
  <c r="N289" i="3"/>
  <c r="H289" i="3"/>
  <c r="N475" i="3"/>
  <c r="H475" i="3"/>
  <c r="N463" i="3"/>
  <c r="H463" i="3"/>
  <c r="N447" i="3"/>
  <c r="H447" i="3"/>
  <c r="N431" i="3"/>
  <c r="H431" i="3"/>
  <c r="N415" i="3"/>
  <c r="H415" i="3"/>
  <c r="N399" i="3"/>
  <c r="H399" i="3"/>
  <c r="N383" i="3"/>
  <c r="H383" i="3"/>
  <c r="N371" i="3"/>
  <c r="H371" i="3"/>
  <c r="N363" i="3"/>
  <c r="H363" i="3"/>
  <c r="N355" i="3"/>
  <c r="H355" i="3"/>
  <c r="N347" i="3"/>
  <c r="H347" i="3"/>
  <c r="N335" i="3"/>
  <c r="H335" i="3"/>
  <c r="N319" i="3"/>
  <c r="H319" i="3"/>
  <c r="N308" i="3"/>
  <c r="H308" i="3"/>
  <c r="N300" i="3"/>
  <c r="H300" i="3"/>
  <c r="N292" i="3"/>
  <c r="H292" i="3"/>
  <c r="N284" i="3"/>
  <c r="H284" i="3"/>
  <c r="N464" i="3"/>
  <c r="H464" i="3"/>
  <c r="N456" i="3"/>
  <c r="H456" i="3"/>
  <c r="N448" i="3"/>
  <c r="H448" i="3"/>
  <c r="N434" i="3"/>
  <c r="H434" i="3"/>
  <c r="N418" i="3"/>
  <c r="H418" i="3"/>
  <c r="N402" i="3"/>
  <c r="H402" i="3"/>
  <c r="N386" i="3"/>
  <c r="H386" i="3"/>
  <c r="N334" i="3"/>
  <c r="H334" i="3"/>
  <c r="N318" i="3"/>
  <c r="H318" i="3"/>
  <c r="H249" i="3"/>
  <c r="N249" i="3"/>
  <c r="H241" i="3"/>
  <c r="N241" i="3"/>
  <c r="H233" i="3"/>
  <c r="N233" i="3"/>
  <c r="H225" i="3"/>
  <c r="N225" i="3"/>
  <c r="N217" i="3"/>
  <c r="H217" i="3"/>
  <c r="N209" i="3"/>
  <c r="H209" i="3"/>
  <c r="N201" i="3"/>
  <c r="H201" i="3"/>
  <c r="N193" i="3"/>
  <c r="H193" i="3"/>
  <c r="N185" i="3"/>
  <c r="H185" i="3"/>
  <c r="N177" i="3"/>
  <c r="H177" i="3"/>
  <c r="N169" i="3"/>
  <c r="H169" i="3"/>
  <c r="N161" i="3"/>
  <c r="H161" i="3"/>
  <c r="N153" i="3"/>
  <c r="H153" i="3"/>
  <c r="N145" i="3"/>
  <c r="H145" i="3"/>
  <c r="N137" i="3"/>
  <c r="H137" i="3"/>
  <c r="N129" i="3"/>
  <c r="H129" i="3"/>
  <c r="N121" i="3"/>
  <c r="H121" i="3"/>
  <c r="N113" i="3"/>
  <c r="H113" i="3"/>
  <c r="N105" i="3"/>
  <c r="H105" i="3"/>
  <c r="N97" i="3"/>
  <c r="H97" i="3"/>
  <c r="N89" i="3"/>
  <c r="H89" i="3"/>
  <c r="N81" i="3"/>
  <c r="H81" i="3"/>
  <c r="N73" i="3"/>
  <c r="H73" i="3"/>
  <c r="N65" i="3"/>
  <c r="H65" i="3"/>
  <c r="N57" i="3"/>
  <c r="H57" i="3"/>
  <c r="N49" i="3"/>
  <c r="H49" i="3"/>
  <c r="N41" i="3"/>
  <c r="H41" i="3"/>
  <c r="N33" i="3"/>
  <c r="H33" i="3"/>
  <c r="N25" i="3"/>
  <c r="H25" i="3"/>
  <c r="N17" i="3"/>
  <c r="H17" i="3"/>
  <c r="N9" i="3"/>
  <c r="H9" i="3"/>
  <c r="N256" i="3"/>
  <c r="H256" i="3"/>
  <c r="N264" i="3"/>
  <c r="H264" i="3"/>
  <c r="N272" i="3"/>
  <c r="H272" i="3"/>
  <c r="N280" i="3"/>
  <c r="H280" i="3"/>
  <c r="N469" i="3"/>
  <c r="H469" i="3"/>
  <c r="N453" i="3"/>
  <c r="H453" i="3"/>
  <c r="N437" i="3"/>
  <c r="H437" i="3"/>
  <c r="N421" i="3"/>
  <c r="H421" i="3"/>
  <c r="N405" i="3"/>
  <c r="H405" i="3"/>
  <c r="N389" i="3"/>
  <c r="H389" i="3"/>
  <c r="N374" i="3"/>
  <c r="H374" i="3"/>
  <c r="N366" i="3"/>
  <c r="H366" i="3"/>
  <c r="N358" i="3"/>
  <c r="H358" i="3"/>
  <c r="N350" i="3"/>
  <c r="H350" i="3"/>
  <c r="N342" i="3"/>
  <c r="H342" i="3"/>
  <c r="N325" i="3"/>
  <c r="H325" i="3"/>
  <c r="N311" i="3"/>
  <c r="H311" i="3"/>
  <c r="N303" i="3"/>
  <c r="H303" i="3"/>
  <c r="N295" i="3"/>
  <c r="H295" i="3"/>
  <c r="N287" i="3"/>
  <c r="H287" i="3"/>
  <c r="N473" i="3"/>
  <c r="H473" i="3"/>
  <c r="N459" i="3"/>
  <c r="H459" i="3"/>
  <c r="N443" i="3"/>
  <c r="H443" i="3"/>
  <c r="N427" i="3"/>
  <c r="H427" i="3"/>
  <c r="N411" i="3"/>
  <c r="H411" i="3"/>
  <c r="N395" i="3"/>
  <c r="H395" i="3"/>
  <c r="N379" i="3"/>
  <c r="H379" i="3"/>
  <c r="N369" i="3"/>
  <c r="H369" i="3"/>
  <c r="N361" i="3"/>
  <c r="H361" i="3"/>
  <c r="N353" i="3"/>
  <c r="H353" i="3"/>
  <c r="N345" i="3"/>
  <c r="H345" i="3"/>
  <c r="N331" i="3"/>
  <c r="H331" i="3"/>
  <c r="N315" i="3"/>
  <c r="H315" i="3"/>
  <c r="N306" i="3"/>
  <c r="H306" i="3"/>
  <c r="N298" i="3"/>
  <c r="H298" i="3"/>
  <c r="N290" i="3"/>
  <c r="H290" i="3"/>
  <c r="N470" i="3"/>
  <c r="H470" i="3"/>
  <c r="N462" i="3"/>
  <c r="H462" i="3"/>
  <c r="N454" i="3"/>
  <c r="H454" i="3"/>
  <c r="N446" i="3"/>
  <c r="H446" i="3"/>
  <c r="N430" i="3"/>
  <c r="H430" i="3"/>
  <c r="N414" i="3"/>
  <c r="H414" i="3"/>
  <c r="N398" i="3"/>
  <c r="H398" i="3"/>
  <c r="N382" i="3"/>
  <c r="H382" i="3"/>
  <c r="N330" i="3"/>
  <c r="H330" i="3"/>
  <c r="N314" i="3"/>
  <c r="H314" i="3"/>
  <c r="H247" i="3"/>
  <c r="N247" i="3"/>
  <c r="H239" i="3"/>
  <c r="N239" i="3"/>
  <c r="H231" i="3"/>
  <c r="N231" i="3"/>
  <c r="N223" i="3"/>
  <c r="H223" i="3"/>
  <c r="N215" i="3"/>
  <c r="H215" i="3"/>
  <c r="N207" i="3"/>
  <c r="H207" i="3"/>
  <c r="N199" i="3"/>
  <c r="H199" i="3"/>
  <c r="N191" i="3"/>
  <c r="H191" i="3"/>
  <c r="N183" i="3"/>
  <c r="H183" i="3"/>
  <c r="N175" i="3"/>
  <c r="H175" i="3"/>
  <c r="N167" i="3"/>
  <c r="H167" i="3"/>
  <c r="N159" i="3"/>
  <c r="H159" i="3"/>
  <c r="N151" i="3"/>
  <c r="H151" i="3"/>
  <c r="N143" i="3"/>
  <c r="H143" i="3"/>
  <c r="N135" i="3"/>
  <c r="H135" i="3"/>
  <c r="N127" i="3"/>
  <c r="H127" i="3"/>
  <c r="N119" i="3"/>
  <c r="H119" i="3"/>
  <c r="N111" i="3"/>
  <c r="H111" i="3"/>
  <c r="N103" i="3"/>
  <c r="H103" i="3"/>
  <c r="N95" i="3"/>
  <c r="H95" i="3"/>
  <c r="N87" i="3"/>
  <c r="H87" i="3"/>
  <c r="N79" i="3"/>
  <c r="H79" i="3"/>
  <c r="N71" i="3"/>
  <c r="H71" i="3"/>
  <c r="N63" i="3"/>
  <c r="H63" i="3"/>
  <c r="N55" i="3"/>
  <c r="H55" i="3"/>
  <c r="N47" i="3"/>
  <c r="H47" i="3"/>
  <c r="N39" i="3"/>
  <c r="H39" i="3"/>
  <c r="N31" i="3"/>
  <c r="H31" i="3"/>
  <c r="N23" i="3"/>
  <c r="H23" i="3"/>
  <c r="N15" i="3"/>
  <c r="H15" i="3"/>
  <c r="N7" i="3"/>
  <c r="H7" i="3"/>
  <c r="N258" i="3"/>
  <c r="H258" i="3"/>
  <c r="N266" i="3"/>
  <c r="H266" i="3"/>
  <c r="N274" i="3"/>
  <c r="H274" i="3"/>
  <c r="N282" i="3"/>
  <c r="H282" i="3"/>
  <c r="H481" i="3" l="1"/>
  <c r="H480" i="3"/>
  <c r="H483" i="3" s="1"/>
</calcChain>
</file>

<file path=xl/comments1.xml><?xml version="1.0" encoding="utf-8"?>
<comments xmlns="http://schemas.openxmlformats.org/spreadsheetml/2006/main">
  <authors>
    <author>Yetter, Terri</author>
  </authors>
  <commentList>
    <comment ref="E15" authorId="0">
      <text>
        <r>
          <rPr>
            <b/>
            <sz val="8"/>
            <color indexed="81"/>
            <rFont val="Tahoma"/>
            <charset val="1"/>
          </rPr>
          <t>Yetter, Terri:</t>
        </r>
        <r>
          <rPr>
            <sz val="8"/>
            <color indexed="81"/>
            <rFont val="Tahoma"/>
            <charset val="1"/>
          </rPr>
          <t xml:space="preserve">
15 cent adjustment added to Minneapolis to balance to $500 million statewide.</t>
        </r>
      </text>
    </comment>
  </commentList>
</comments>
</file>

<file path=xl/connections.xml><?xml version="1.0" encoding="utf-8"?>
<connections xmlns="http://schemas.openxmlformats.org/spreadsheetml/2006/main">
  <connection id="1" odcFile="C:\My Documents\Gened10\Fiscal Stabilization\FY10 Charter Schools Qualifying for Stabilization Funds.dqy" name="FY10 Charter Schools Qualifying for Stabilization Funds" type="1" refreshedVersion="2" background="1" saveData="1">
    <dbPr connection="DSN=Databridge;Description=Databridge;UID=databridge_ro;APP=Microsoft Office 2003;WSID=PFD7CGFZ21;DATABASE=DataBridge;LANGUAGE=us_english;Trusted_Connection=Yes" command="SELECT genedcht.dat_yer, genedcht.dst_num, genedcht.dst_tye, orgunit.uni_nam, genedcht.fed_aid_red  FROM DataBridge.databridge_app_user.genedcht genedcht, DataBridge.databridge_app_user.orgunit orgunit  WHERE genedcht.dat_yer = orgunit.dat_yer AND genedcht.dst_num = orgunit.uni_maj AND genedcht.dst_tye = orgunit.uni_tye AND ((genedcht.dat_yer='09-10') AND (genedcht.dst_tye=7) AND (genedcht.bas_rev&gt;$0) AND (orgunit.uni_imd=0) AND (genedcht.fed_aid_red&gt;$0))  ORDER BY genedcht.dat_yer, genedcht.dst_num, genedcht.dst_tye"/>
  </connection>
  <connection id="2" odcFile="C:\My Documents\Gened10\Fiscal Stabilization\FY10 School Districts Qualifying for Stabilization Funds.dqy" name="FY10 School Districts Qualifying for Stabilization Funds" type="1" refreshedVersion="2" background="1" saveData="1">
    <dbPr connection="DSN=Databridge;Description=Databridge;UID=databridge_ro;APP=Microsoft Office 2003;WSID=PFD7CGFZ21;DATABASE=DataBridge;LANGUAGE=us_english;Trusted_Connection=Yes" command="SELECT gened.dat_yer, gened.dst_num, gened.dst_tye, orgunit.uni_nam, gened.tot_gen_edu_rev, gened.fed_aid_red  FROM DataBridge.databridge_app_user.gened gened, DataBridge.databridge_app_user.orgunit orgunit  WHERE gened.dat_yer = orgunit.dat_yer AND gened.dst_num = orgunit.uni_maj AND gened.dst_tye = orgunit.uni_tye AND ((gened.dat_yer='09-10') AND (gened.dst_num&lt;3000) AND (gened.dst_tye&lt;4) AND (orgunit.uni_imd=0) AND (gened.dst_act_sts_flg&gt;0) AND (gened.fed_aid_red&gt;$0))  ORDER BY gened.dat_yer, gened.dst_num, gened.dst_tye"/>
  </connection>
  <connection id="3" odcFile="C:\My Documents\Gened10\Fiscal Stabilization\FY10 School Districts Qualifying for Stabilization Funds.dqy" name="FY10 School Districts Qualifying for Stabilization Funds1" type="1" refreshedVersion="2" background="1" saveData="1">
    <dbPr connection="DSN=Databridge;Description=Databridge;UID=databridge_ro;APP=Microsoft Office 2003;WSID=PFD7CGFZ21;DATABASE=DataBridge;LANGUAGE=us_english;Trusted_Connection=Yes" command="SELECT gened.dat_yer, gened.dst_num, gened.dst_tye, orgunit.uni_nam, gened.tot_gen_edu_rev, gened.fed_aid_red  FROM DataBridge.databridge_app_user.gened gened, DataBridge.databridge_app_user.orgunit orgunit  WHERE gened.dat_yer = orgunit.dat_yer AND gened.dst_num = orgunit.uni_maj AND gened.dst_tye = orgunit.uni_tye AND ((gened.dat_yer='09-10') AND (gened.dst_num&lt;3000) AND (gened.dst_tye&lt;4) AND (orgunit.uni_imd=0) AND (gened.dst_act_sts_flg&gt;0) AND (gened.fed_aid_red&gt;$0))  ORDER BY gened.dat_yer, gened.dst_num, gened.dst_tye"/>
  </connection>
</connections>
</file>

<file path=xl/sharedStrings.xml><?xml version="1.0" encoding="utf-8"?>
<sst xmlns="http://schemas.openxmlformats.org/spreadsheetml/2006/main" count="4135" uniqueCount="1012">
  <si>
    <t>dat_yer</t>
  </si>
  <si>
    <t>dst_num</t>
  </si>
  <si>
    <t>dst_tye</t>
  </si>
  <si>
    <t>uni_nam</t>
  </si>
  <si>
    <t>tot_gen_edu_rev</t>
  </si>
  <si>
    <t>fed_aid_red</t>
  </si>
  <si>
    <t>09-10</t>
  </si>
  <si>
    <t>AITKIN PUBLIC SCHOOL DISTRICT</t>
  </si>
  <si>
    <t>MINNEAPOLIS PUBLIC SCHOOL DIST.</t>
  </si>
  <si>
    <t>HILL CITY PUBLIC SCHOOL DISTRICT</t>
  </si>
  <si>
    <t>MCGREGOR PUBLIC SCHOOL DISTRICT</t>
  </si>
  <si>
    <t>SOUTH ST. PAUL PUBLIC SCHOOL DIST.</t>
  </si>
  <si>
    <t>ANOKA-HENNEPIN PUBLIC SCHOOL DIST.</t>
  </si>
  <si>
    <t>CENTENNIAL PUBLIC SCHOOL DISTRICT</t>
  </si>
  <si>
    <t>COLUMBIA HEIGHTS PUBLIC SCHOOL DIST</t>
  </si>
  <si>
    <t>FRIDLEY PUBLIC SCHOOL DISTRICT</t>
  </si>
  <si>
    <t>ST. FRANCIS PUBLIC SCHOOL DISTRICT</t>
  </si>
  <si>
    <t>SPRING LAKE PARK PUBLIC SCHOOLS</t>
  </si>
  <si>
    <t>DETROIT LAKES PUBLIC SCHOOL DIST.</t>
  </si>
  <si>
    <t>FRAZEE-VERGAS PUBLIC SCHOOL DIST.</t>
  </si>
  <si>
    <t>PINE POINT PUBLIC SCHOOL DISTRICT</t>
  </si>
  <si>
    <t>BEMIDJI PUBLIC SCHOOL DISTRICT</t>
  </si>
  <si>
    <t>BLACKDUCK PUBLIC SCHOOL DISTRICT</t>
  </si>
  <si>
    <t>KELLIHER PUBLIC SCHOOL DISTRICT</t>
  </si>
  <si>
    <t>RED LAKE PUBLIC SCHOOL DISTRICT</t>
  </si>
  <si>
    <t>SAUK RAPIDS PUBLIC SCHOOL DISTRICT</t>
  </si>
  <si>
    <t>FOLEY PUBLIC SCHOOL DISTRICT</t>
  </si>
  <si>
    <t>ST. CLAIR PUBLIC SCHOOL DISTRICT</t>
  </si>
  <si>
    <t>MANKATO PUBLIC SCHOOL DISTRICT</t>
  </si>
  <si>
    <t>COMFREY PUBLIC SCHOOL DISTRICT</t>
  </si>
  <si>
    <t>SLEEPY EYE PUBLIC SCHOOL DISTRICT</t>
  </si>
  <si>
    <t>SPRINGFIELD PUBLIC SCHOOL DISTRICT</t>
  </si>
  <si>
    <t>NEW ULM PUBLIC SCHOOL DISTRICT</t>
  </si>
  <si>
    <t>BARNUM PUBLIC SCHOOL DISTRICT</t>
  </si>
  <si>
    <t>CARLTON PUBLIC SCHOOL DISTRICT</t>
  </si>
  <si>
    <t>CLOQUET PUBLIC SCHOOL DISTRICT</t>
  </si>
  <si>
    <t>CROMWELL-WRIGHT PUBLIC SCHOOLS</t>
  </si>
  <si>
    <t>MOOSE LAKE PUBLIC SCHOOL DISTRICT</t>
  </si>
  <si>
    <t>ESKO PUBLIC SCHOOL DISTRICT</t>
  </si>
  <si>
    <t>WRENSHALL PUBLIC SCHOOL DISTRICT</t>
  </si>
  <si>
    <t>NORWOOD PUBLIC SCHOOL DISTRICT</t>
  </si>
  <si>
    <t>WACONIA PUBLIC SCHOOL DISTRICT</t>
  </si>
  <si>
    <t>WATERTOWN-MAYER PUBLIC SCHOOL DIST.</t>
  </si>
  <si>
    <t>EASTERN CARVER COUNTY PUBLIC SCHOOL</t>
  </si>
  <si>
    <t>WALKER-HACKENSACK-AKELEY SCHL. DIST</t>
  </si>
  <si>
    <t>CASS LAKE-BENA PUBLIC SCHOOLS</t>
  </si>
  <si>
    <t>PILLAGER PUBLIC SCHOOL DISTRICT</t>
  </si>
  <si>
    <t>NORTHLAND COMMUNITY SCHOOLS</t>
  </si>
  <si>
    <t>MONTEVIDEO PUBLIC SCHOOL DISTRICT</t>
  </si>
  <si>
    <t>NORTH BRANCH PUBLIC SCHOOLS</t>
  </si>
  <si>
    <t>RUSH CITY PUBLIC SCHOOL DISTRICT</t>
  </si>
  <si>
    <t>BARNESVILLE PUBLIC SCHOOL DIST.</t>
  </si>
  <si>
    <t>HAWLEY PUBLIC SCHOOL DISTRICT</t>
  </si>
  <si>
    <t>MOORHEAD PUBLIC SCHOOL DISTRICT</t>
  </si>
  <si>
    <t>BAGLEY PUBLIC SCHOOL DISTRICT</t>
  </si>
  <si>
    <t>COOK COUNTY PUBLIC SCHOOLS</t>
  </si>
  <si>
    <t>MOUNTAIN LAKE PUBLIC SCHOOLS</t>
  </si>
  <si>
    <t>WINDOM PUBLIC SCHOOL DISTRICT</t>
  </si>
  <si>
    <t>BRAINERD PUBLIC SCHOOL DISTRICT</t>
  </si>
  <si>
    <t>CROSBY-IRONTON PUBLIC SCHOOL DIST.</t>
  </si>
  <si>
    <t>PEQUOT LAKES PUBLIC SCHOOLS</t>
  </si>
  <si>
    <t>BURNSVILLE PUBLIC SCHOOL DISTRICT</t>
  </si>
  <si>
    <t>FARMINGTON PUBLIC SCHOOL DISTRICT</t>
  </si>
  <si>
    <t>LAKEVILLE PUBLIC SCHOOL DISTRICT</t>
  </si>
  <si>
    <t>RANDOLPH PUBLIC SCHOOL DISTRICT</t>
  </si>
  <si>
    <t>ROSEMOUNT-APPLE VALLEY-EAGAN</t>
  </si>
  <si>
    <t>WEST ST. PAUL-MENDOTA HTS.-EAGAN</t>
  </si>
  <si>
    <t>INVER GROVE HEIGHTS SCHOOLS</t>
  </si>
  <si>
    <t>HASTINGS PUBLIC SCHOOL DISTRICT</t>
  </si>
  <si>
    <t>HAYFIELD PUBLIC SCHOOL DISTRICT</t>
  </si>
  <si>
    <t>KASSON-MANTORVILLE SCHOOL DIST.</t>
  </si>
  <si>
    <t>ALEXANDRIA PUBLIC SCHOOL DISTRICT</t>
  </si>
  <si>
    <t>BRANDON PUBLIC SCHOOL DISTRICT</t>
  </si>
  <si>
    <t>EVANSVILLE PUBLIC SCHOOL DISTRICT</t>
  </si>
  <si>
    <t>OSAKIS PUBLIC SCHOOL DISTRICT</t>
  </si>
  <si>
    <t>CHATFIELD PUBLIC SCHOOLS</t>
  </si>
  <si>
    <t>LANESBORO PUBLIC SCHOOL DISTRICT</t>
  </si>
  <si>
    <t>MABEL-CANTON PUBLIC SCHOOL DIST.</t>
  </si>
  <si>
    <t>RUSHFORD-PETERSON PUBLIC SCHLS.</t>
  </si>
  <si>
    <t>ALBERT LEA PUBLIC SCHOOL DISTRICT</t>
  </si>
  <si>
    <t>ALDEN-CONGER PUBLIC SCHOOL DISTRICT</t>
  </si>
  <si>
    <t>CANNON FALLS PUBLIC SCHOOL DISTRICT</t>
  </si>
  <si>
    <t>GOODHUE PUBLIC SCHOOL DISTRICT</t>
  </si>
  <si>
    <t>PINE ISLAND PUBLIC SCHOOL DIST.</t>
  </si>
  <si>
    <t>RED WING PUBLIC SCHOOL DISTRICT</t>
  </si>
  <si>
    <t>ASHBY PUBLIC SCHOOL DISTRICT</t>
  </si>
  <si>
    <t>HERMAN-NORCROSS SCHOOL DISTRICT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</si>
  <si>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</si>
  <si>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</si>
  <si>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</si>
  <si>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</si>
  <si>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</si>
  <si>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 PUBLIC SCHOOL DISTRICT</t>
  </si>
  <si>
    <t>ORONO PUBLIC SCHOOL DISTRICT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</si>
  <si>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</si>
  <si>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</si>
  <si>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</si>
  <si>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</si>
  <si>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</si>
  <si>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</si>
  <si>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</si>
  <si>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 PUBLIC SCHOOL DISTRICT</t>
  </si>
  <si>
    <t>SPRING GROVE SCHOOL DISTRICT</t>
  </si>
  <si>
    <t>CALEDONIA PUBLIC SCHOOL DISTRICT</t>
  </si>
  <si>
    <t>LACRESCENT-HOKAH SCHOOL DISTRICT</t>
  </si>
  <si>
    <t>LAPORTE PUBLIC SCHOOL DISTRICT</t>
  </si>
  <si>
    <t>NEVIS PUBLIC SCHOOL DISTRICT</t>
  </si>
  <si>
    <t>PARK RAPIDS PUBLIC SCHOOL DISTRICT</t>
  </si>
  <si>
    <t>BRAHAM PUBLIC SCHOOL DISTRICT</t>
  </si>
  <si>
    <t>GREENWAY PUBLIC SCHOOL DISTRICT</t>
  </si>
  <si>
    <t>DEER RIVER PUBLIC SCHOOL DISTRICT</t>
  </si>
  <si>
    <t>GRAND RAPIDS PUBLIC SCHOOL DISTRICT</t>
  </si>
  <si>
    <t>NASHWAUK-KEEWATIN SCHOOL DISTRICT</t>
  </si>
  <si>
    <t>FRANCONIA PUBLIC SCHOOL DISTRICT</t>
  </si>
  <si>
    <t>HERON LAKE-OKABENA SCHOOL DISTRICT</t>
  </si>
  <si>
    <t>MORA PUBLIC SCHOOL DISTRICT</t>
  </si>
  <si>
    <t>OGILVIE PUBLIC SCHOOL DISTRICT</t>
  </si>
  <si>
    <t>NEW LONDON-SPICER SCHOOL DISTRICT</t>
  </si>
  <si>
    <t>WILLMAR PUBLIC SCHOOL DISTRICT</t>
  </si>
  <si>
    <t>LANCASTER PUBLIC SCHOOL DISTRICT</t>
  </si>
  <si>
    <t>INTERNATIONAL FALLS SCHOOL DISTRICT</t>
  </si>
  <si>
    <t>LITTLEFORK-BIG FALLS SCHOOL DIST.</t>
  </si>
  <si>
    <t>SOUTH KOOCHICHING SCHOOL DISTRICT</t>
  </si>
  <si>
    <t>DAWSON-BOYD PUBLIC SCHOOL DISTRICT</t>
  </si>
  <si>
    <t>LAKE SUPERIOR PUBLIC SCHOOL DIST.</t>
  </si>
  <si>
    <t>LAKE OF THE WOODS SCHOOL DISTRICT</t>
  </si>
  <si>
    <t>CLEVELAND PUBLIC SCHOOL DISTRICT</t>
  </si>
  <si>
    <t>LECENTER PUBLIC SCHOOL DISTRICT</t>
  </si>
  <si>
    <t>MONTGOMERY-LONSDALE SCHOOL DISTRICT</t>
  </si>
  <si>
    <t>HENDRICKS PUBLIC SCHOOL DISTRICT</t>
  </si>
  <si>
    <t>IVANHOE PUBLIC SCHOOL DISTRICT</t>
  </si>
  <si>
    <t>LAKE BENTON PUBLIC SCHOOL DISTRICT</t>
  </si>
  <si>
    <t>MARSHALL PUBLIC SCHOOL DISTRICT</t>
  </si>
  <si>
    <t>MINNEOTA PUBLIC SCHOOL DISTRICT</t>
  </si>
  <si>
    <t>LYND PUBLIC SCHOOL DISTRICT</t>
  </si>
  <si>
    <t>HUTCHINSON PUBLIC SCHOOL DISTRICT</t>
  </si>
  <si>
    <t>LESTER PRAIRIE PUBLIC SCHOOL DIST.</t>
  </si>
  <si>
    <t>MAHNOMEN PUBLIC SCHOOL DISTRICT</t>
  </si>
  <si>
    <t>WAUBUN PUBLIC SCHOOL DISTRICT</t>
  </si>
  <si>
    <t>MARSHALL COUNTY CENTRAL SCHOOLS</t>
  </si>
  <si>
    <t>GRYGLA PUBLIC SCHOOL DISTRICT</t>
  </si>
  <si>
    <t>TRUMAN PUBLIC SCHOOL DISTRICT</t>
  </si>
  <si>
    <t>EDEN VALLEY-WATKINS SCHOOL DISTRICT</t>
  </si>
  <si>
    <t>LITCHFIELD PUBLIC SCHOOL DISTRICT</t>
  </si>
  <si>
    <t>DASSEL-COKATO PUBLIC SCHOOL DIST.</t>
  </si>
  <si>
    <t>ISLE PUBLIC SCHOOL DISTRICT</t>
  </si>
  <si>
    <t>PRINCETON PUBLIC SCHOOL DISTRICT</t>
  </si>
  <si>
    <t>ONAMIA PUBLIC SCHOOL DISTRICT</t>
  </si>
  <si>
    <t>LITTLE FALLS PUBLIC SCHOOL DISTRICT</t>
  </si>
  <si>
    <t>PIERZ PUBLIC SCHOOL DISTRICT</t>
  </si>
  <si>
    <t>ROYALTON PUBLIC SCHOOL DISTRICT</t>
  </si>
  <si>
    <t>SWANVILLE PUBLIC SCHOOL DISTRICT</t>
  </si>
  <si>
    <t>UPSALA PUBLIC SCHOOL DISTRICT</t>
  </si>
  <si>
    <t>AUSTIN PUBLIC SCHOOL DISTRICT</t>
  </si>
  <si>
    <t>GRAND MEADOW PUBLIC SCHOOL DISTRICT</t>
  </si>
  <si>
    <t>LYLE PUBLIC SCHOOL DISTRICT</t>
  </si>
  <si>
    <t>LEROY PUBLIC SCHOOL DISTRICT</t>
  </si>
  <si>
    <t>SOUTHLAND PUBLIC SCHOOL DISTRICT</t>
  </si>
  <si>
    <t>FULDA PUBLIC SCHOOL DISTRICT</t>
  </si>
  <si>
    <t>NICOLLET PUBLIC SCHOOL DISTRICT</t>
  </si>
  <si>
    <t>ST. PETER PUBLIC SCHOOL DISTRICT</t>
  </si>
  <si>
    <t>ADRIAN PUBLIC SCHOOL DISTRICT</t>
  </si>
  <si>
    <t>BREWSTER PUBLIC SCHOOL DISTRICT</t>
  </si>
  <si>
    <t>ELLSWORTH PUBLIC SCHOOL DISTRICT</t>
  </si>
  <si>
    <t>ROUND LAKE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</si>
  <si>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</si>
  <si>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</si>
  <si>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</si>
  <si>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</si>
  <si>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</si>
  <si>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</si>
  <si>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</si>
  <si>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 PUBLIC SCHOOL DISTRICT</t>
  </si>
  <si>
    <t>PARKERS PRAIRIE PUBLIC SCHOOL DIST.</t>
  </si>
  <si>
    <t>PELICAN RAPIDS PUBLIC SCHOOL DIST.</t>
  </si>
  <si>
    <t>PERHAM PUBLIC SCHOOL DISTRICT</t>
  </si>
  <si>
    <t>UNDERWOOD PUBLIC SCHOOL DISTRICT</t>
  </si>
  <si>
    <t>NEW YORK MILLS PUBLIC SCHOOL DIST.</t>
  </si>
  <si>
    <t>GOODRIDGE PUBLIC SCHOOL DISTRICT</t>
  </si>
  <si>
    <t>THIEF RIVER FALLS SCHOOL DISTRICT</t>
  </si>
  <si>
    <t>WILLOW RIVER PUBLIC SCHOOL DISTRICT</t>
  </si>
  <si>
    <t>PINE CITY PUBLIC SCHOOL DISTRICT</t>
  </si>
  <si>
    <t>EDGERTON PUBLIC SCHOOL DISTRICT</t>
  </si>
  <si>
    <t>CLIMAX PUBLIC SCHOOL DISTRICT</t>
  </si>
  <si>
    <t>CROOKSTON PUBLIC SCHOOL DISTRICT</t>
  </si>
  <si>
    <t>EAST GRAND FORKS PUBLIC SCHOOL DIST</t>
  </si>
  <si>
    <t>FERTILE-BELTRAMI SCHOOL DISTRICT</t>
  </si>
  <si>
    <t>FISHER PUBLIC SCHOOL DISTRICT</t>
  </si>
  <si>
    <t>FOSSTON PUBLIC SCHOOL DISTRICT</t>
  </si>
  <si>
    <t>CYRUS PUBLIC SCHOOL DISTRICT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</si>
  <si>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</si>
  <si>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</si>
  <si>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</si>
  <si>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</si>
  <si>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</si>
  <si>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OKLEE PUBLIC SCHOOL DISTRICT</t>
  </si>
  <si>
    <t>PLUMMER PUBLIC SCHOOL DISTRICT</t>
  </si>
  <si>
    <t>RED LAKE FALLS PUBLIC SCHOOL DIST.</t>
  </si>
  <si>
    <t>MILROY PUBLIC SCHOOL DISTRICT</t>
  </si>
  <si>
    <t>WABASSO PUBLIC SCHOOL DISTRICT</t>
  </si>
  <si>
    <t>FARIBAULT PUBLIC SCHOOL DISTRICT</t>
  </si>
  <si>
    <t>NORTHFIELD PUBLIC SCHOOL DISTRICT</t>
  </si>
  <si>
    <t>HILLS-BEAVER CREEK SCHOOL DISTRICT</t>
  </si>
  <si>
    <t>BADGER PUBLIC SCHOOL DISTRICT</t>
  </si>
  <si>
    <t>ROSEAU PUBLIC SCHOOL DISTRICT</t>
  </si>
  <si>
    <t>WARROAD PUBLIC SCHOOL DISTRICT</t>
  </si>
  <si>
    <t>CHISHOLM PUBLIC SCHOOL DISTRICT</t>
  </si>
  <si>
    <t>ELY PUBLIC SCHOOL DISTRICT</t>
  </si>
  <si>
    <t>FLOODWOOD PUBLIC SCHOOL DISTRICT</t>
  </si>
  <si>
    <t>HERMANTOWN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</si>
  <si>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</si>
  <si>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</si>
  <si>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</si>
  <si>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</si>
  <si>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</si>
  <si>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</si>
  <si>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</si>
  <si>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</si>
  <si>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</si>
  <si>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</si>
  <si>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</si>
  <si>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</si>
  <si>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 PUBLIC SCHOOL DISTRICT</t>
  </si>
  <si>
    <t>ELK RIVER PUBLIC SCHOOL DISTRICT</t>
  </si>
  <si>
    <t>HOLDINGFORD PUBLIC SCHOOL DISTRICT</t>
  </si>
  <si>
    <t>KIMBALL PUBLIC SCHOOL DISTRICT</t>
  </si>
  <si>
    <t>MELROSE PUBLIC SCHOOL DISTRICT</t>
  </si>
  <si>
    <t>PAYNESVILLE PUBLIC SCHOOL DISTRICT</t>
  </si>
  <si>
    <t>ST. CLOUD PUBLIC SCHOOL DISTRICT</t>
  </si>
  <si>
    <t>SAUK CENTRE PUBLIC SCHOOL DISTRICT</t>
  </si>
  <si>
    <t>ALBANY PUBLIC SCHOOL DISTRICT</t>
  </si>
  <si>
    <t>SARTELL-ST. STEPHEN SCHOOL DISTRICT</t>
  </si>
  <si>
    <t>ROCORI PUBLIC SCHOOL DISTRICT</t>
  </si>
  <si>
    <t>BLOOMING PRAIRIE PUBLIC SCHOOL DIST</t>
  </si>
  <si>
    <t>OWATONNA PUBLIC SCHOOL DISTRICT</t>
  </si>
  <si>
    <t>MEDFORD PUBLIC SCHOOL DISTRICT</t>
  </si>
  <si>
    <t>HANCOCK PUBLIC SCHOOL DISTRICT</t>
  </si>
  <si>
    <t>MORRIS PUBLIC SCHOOL DISTRICT</t>
  </si>
  <si>
    <t>CHOKIO-ALBERTA PUBLIC SCHOOL DIST.</t>
  </si>
  <si>
    <t>KERKHOVEN-MURDOCK-SUNBURG</t>
  </si>
  <si>
    <t>BENSON PUBLIC SCHOOL DISTRICT</t>
  </si>
  <si>
    <t>BERTHA-HEWITT PUBLIC SCHOOL DIST.</t>
  </si>
  <si>
    <t>BROWERVILLE PUBLIC SCHOOL DISTRICT</t>
  </si>
  <si>
    <t>BROWNS VALLEY PUBLIC SCHOOL DIST.</t>
  </si>
  <si>
    <t>WHEATON AREA PUBLIC SCHOOL DISTRICT</t>
  </si>
  <si>
    <t>WABASHA-KELLOGG PUBLIC SCHOOL DIST.</t>
  </si>
  <si>
    <t>LAKE CITY PUBLIC SCHOOL DISTRICT</t>
  </si>
  <si>
    <t>VERNDALE PUBLIC SCHOOL DISTRICT</t>
  </si>
  <si>
    <t>SEBEKA PUBLIC SCHOOL DISTRICT</t>
  </si>
  <si>
    <t>MENAHGA PUBLIC SCHOOL DISTRICT</t>
  </si>
  <si>
    <t>WASECA PUBLIC SCHOOL DISTRICT</t>
  </si>
  <si>
    <t>FOREST LAKE PUBLIC SCHOOL DISTRICT</t>
  </si>
  <si>
    <t>MAHTOMEDI PUBLIC SCHOOL DISTRICT</t>
  </si>
  <si>
    <t>SOUTH WASHINGTON COUNTY SCHOOL DIST</t>
  </si>
  <si>
    <t>STILLWATER AREA PUBLIC SCHOOL DIST.</t>
  </si>
  <si>
    <t>BUTTERFIELD PUBLIC SCHOOL DISTRICT</t>
  </si>
  <si>
    <t>MADELIA PUBLIC SCHOOL DISTRICT</t>
  </si>
  <si>
    <t>ST. JAMES PUBLIC SCHOOL DISTRICT</t>
  </si>
  <si>
    <t>BRECKENRIDGE PUBLIC SCHOOL DISTRICT</t>
  </si>
  <si>
    <t>ROTHSAY PUBLIC SCHOOL DISTRICT</t>
  </si>
  <si>
    <t>CAMPBELL-TINTAH PUBLIC SCHOOL DIST.</t>
  </si>
  <si>
    <t>LEWISTON-ALTURA PUBLIC SCHOOL DIST.</t>
  </si>
  <si>
    <t>ST. CHARLES PUBLIC SCHOOL DISTRICT</t>
  </si>
  <si>
    <t>WINONA AREA PUBLIC SCHOOL DISTRICT</t>
  </si>
  <si>
    <t>ANNANDALE PUBLIC SCHOOL DISTRICT</t>
  </si>
  <si>
    <t>BUFFALO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</si>
  <si>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</si>
  <si>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</si>
  <si>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</si>
  <si>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</si>
  <si>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ST. MICHAEL-ALBERTVILLE SCHOOL DIST</t>
  </si>
  <si>
    <t>CANBY PUBLIC SCHOOL DISTRICT</t>
  </si>
  <si>
    <t>CAMBRIDGE-ISANTI PUBLIC SCHOOL DIST</t>
  </si>
  <si>
    <t>MILACA PUBLIC SCHOOL DISTRICT</t>
  </si>
  <si>
    <t>ULEN-HITTERDAL PUBLIC SCHOOL DIST</t>
  </si>
  <si>
    <t>LAKE CRYSTAL-WELLCOME MEMORIAL</t>
  </si>
  <si>
    <t>TRITON SCHOOL DISTRICT</t>
  </si>
  <si>
    <t>UNITED SOUTH CENTRAL SCHOOL DIST.</t>
  </si>
  <si>
    <t>MAPLE RIVER SCHOOL DISTRICT</t>
  </si>
  <si>
    <t>KINGSLAND PUBLIC SCHOOL DISTRICT</t>
  </si>
  <si>
    <t>ST. LOUIS COUNTY SCHOOL DISTRICT</t>
  </si>
  <si>
    <t>WATERVILLE-ELYSIAN-MORRISTOWN</t>
  </si>
  <si>
    <t>CHISAGO LAKES SCHOOL DISTRICT</t>
  </si>
  <si>
    <t>MINNEWASKA SCHOOL DISTRICT</t>
  </si>
  <si>
    <t>EVELETH-GILBERT SCHOOL DISTRICT</t>
  </si>
  <si>
    <t>WADENA-DEER CREEK SCHOOL DISTRICT</t>
  </si>
  <si>
    <t>BUFFALO LAKE-HECTOR SCHOOL DISTRICT</t>
  </si>
  <si>
    <t>DILWORTH-GLYNDON-FELTON</t>
  </si>
  <si>
    <t>HINCKLEY-FINLAYSON SCHOOL DISTRICT</t>
  </si>
  <si>
    <t>LAKEVIEW SCHOOL DISTRICT</t>
  </si>
  <si>
    <t>N.R.H.E.G. SCHOOL DISTRICT</t>
  </si>
  <si>
    <t>MURRAY COUNTY CENTRAL SCHOOL DIST.</t>
  </si>
  <si>
    <t>STAPLES-MOTLEY SCHOOL DISTRICT</t>
  </si>
  <si>
    <t>KITTSON CENTRAL SCHOOL DISTRICT</t>
  </si>
  <si>
    <t>KENYON-WANAMINGO SCHOOL DISTRICT</t>
  </si>
  <si>
    <t>PINE RIVER-BACKUS SCHOOL DISTRICT</t>
  </si>
  <si>
    <t>WARREN-ALVARADO-OSLO SCHOOL DIST.</t>
  </si>
  <si>
    <t>M.A.C.C.R.A.Y. SCHOOL DISTRICT</t>
  </si>
  <si>
    <t>LUVERNE PUBLIC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</si>
  <si>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</si>
  <si>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</si>
  <si>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</si>
  <si>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</si>
  <si>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</si>
  <si>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</si>
  <si>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TRI-COUNTY SCHOOL DISTRICT</t>
  </si>
  <si>
    <t>BELGRADE-BROOTEN-ELROSA SCHOOL DIST</t>
  </si>
  <si>
    <t>G.F.W.</t>
  </si>
  <si>
    <t>A.C.G.C.</t>
  </si>
  <si>
    <t>LESUEUR-HENDERSON SCHOOL DISTRICT</t>
  </si>
  <si>
    <t>MARTIN COUNTY WEST SCHOOL DISTRICT</t>
  </si>
  <si>
    <t>NORMAN COUNTY WEST SCHOOL DISTRICT</t>
  </si>
  <si>
    <t>BIRD ISLAND-OLIVIA-LAKE LILLIAN</t>
  </si>
  <si>
    <t>GRANADA HUNTLEY-EAST CHAIN</t>
  </si>
  <si>
    <t>EAST CENTRAL SCHOOL DISTRICT</t>
  </si>
  <si>
    <t>WIN-E-MAC SCHOOL DISTRICT</t>
  </si>
  <si>
    <t>GREENBUSH-MIDDLE RIVER SCHOOL DIST.</t>
  </si>
  <si>
    <t>HOWARD LAKE-WAVERLY-WINSTED</t>
  </si>
  <si>
    <t>PIPESTONE AREA SCHOOL DISTRICT</t>
  </si>
  <si>
    <t>MESABI EAST SCHOOL DISTRICT</t>
  </si>
  <si>
    <t>FAIRMONT AREA SCHOOL DISTRICT</t>
  </si>
  <si>
    <t>LONG PRAIRIE-GREY EAGLE SCHOOL DIST</t>
  </si>
  <si>
    <t>CEDAR MOUNTAIN SCHOOL DISTRICT</t>
  </si>
  <si>
    <t>EAGLE VALLEY PUBLIC SCHOOL DISTRICT</t>
  </si>
  <si>
    <t>ZUMBROTA-MAZEPPA SCHOOL DISTRICT</t>
  </si>
  <si>
    <t>JANESVILLE-WALDORF-PEMBERTON</t>
  </si>
  <si>
    <t>LAC QUI PARLE VALLEY SCHOOL DIST.</t>
  </si>
  <si>
    <t>ADA-BORUP PUBLIC SCHOOL DISTRICT</t>
  </si>
  <si>
    <t>STEPHEN-ARGYLE CENTRAL SCHOOLS</t>
  </si>
  <si>
    <t>GLENCOE-SILVER LAKE SCHOOL DISTRICT</t>
  </si>
  <si>
    <t>BLUE EARTH AREA PUBLIC SCHOOL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</si>
  <si>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</si>
  <si>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</si>
  <si>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</si>
  <si>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</si>
  <si>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DIST.</t>
  </si>
  <si>
    <t>JACKSON COUNTY CENTRAL SCHOOL DIST.</t>
  </si>
  <si>
    <t>REDWOOD AREA SCHOOL DISTRICT</t>
  </si>
  <si>
    <t>WESTBROOK-WALNUT GROVE SCHOOLS</t>
  </si>
  <si>
    <t>PLAINVIEW-ELGIN-MILLVILLE</t>
  </si>
  <si>
    <t>RTR PUBLIC SCHOOLS</t>
  </si>
  <si>
    <t>ORTONVILLE-BELLINGHAM PUBLIC SCHOOL</t>
  </si>
  <si>
    <t>TRACY AREA PUBLIC SCHOOL DISTRICT</t>
  </si>
  <si>
    <t>fed_aid_red-old</t>
  </si>
  <si>
    <t>tot_gen_ide_rev</t>
  </si>
  <si>
    <t>CITY ACADEMY</t>
  </si>
  <si>
    <t>BLUFFVIEW MONTESSORI</t>
  </si>
  <si>
    <t>NEW HEIGHTS SCHOOL, INC.</t>
  </si>
  <si>
    <t>CEDAR RIVERSIDE COMMUNITY SCHOOL</t>
  </si>
  <si>
    <t>METRO DEAF SCHOOL</t>
  </si>
  <si>
    <t>SKILLS FOR TOMORROW CHARTER SCHOOL</t>
  </si>
  <si>
    <t>MINNESOTA NEW COUNTRY SCHOOL</t>
  </si>
  <si>
    <t>PACT CHARTER SCHOOL</t>
  </si>
  <si>
    <t>NEW VISIONS CHARTER SCHOOL</t>
  </si>
  <si>
    <t>EMILY CHARTER SCHOOL</t>
  </si>
  <si>
    <t>COMMUNITY OF PEACE ACADEMY</t>
  </si>
  <si>
    <t>WORLD LEARNER CHARTER SCHOOL</t>
  </si>
  <si>
    <t>MINNESOTA TRANSITIONS CHARTER SCH</t>
  </si>
  <si>
    <t>ACHIEVE LANGUAGE ACADEMY</t>
  </si>
  <si>
    <t>DULUTH PUBLIC SCHOOLS ACADEMY</t>
  </si>
  <si>
    <t>CYBER VILLAGE ACADEMY</t>
  </si>
  <si>
    <t>E.C.H.O. CHARTER SCHOOL</t>
  </si>
  <si>
    <t>HIGHER GROUND ACADEMY</t>
  </si>
  <si>
    <t>ECI' NOMPA WOONSPE</t>
  </si>
  <si>
    <t>NEW SPIRIT SCHOOLS</t>
  </si>
  <si>
    <t>ODYSSEY ACADEMY</t>
  </si>
  <si>
    <t>JENNINGS COMMUNITY LEARNING CENTER</t>
  </si>
  <si>
    <t>HARVEST PREP SCHOOL/SEED ACADEMY</t>
  </si>
  <si>
    <t>CONCORDIA CREATIVE LEARNING ACADEMY</t>
  </si>
  <si>
    <t>FACE TO FACE ACADEMY</t>
  </si>
  <si>
    <t>SOJOURNER TRUTH ACADEMY</t>
  </si>
  <si>
    <t>HIGH SCHOOL FOR RECORDING ARTS</t>
  </si>
  <si>
    <t>TWIN CITIES ACADEMY</t>
  </si>
  <si>
    <t>MATH &amp; SCIENCE ACADEMY</t>
  </si>
  <si>
    <t>LAKES AREA CHARTER SCHOOL</t>
  </si>
  <si>
    <t>LAKE SUPERIOR HIGH SCHOOL</t>
  </si>
  <si>
    <t>GREAT RIVER EDUCATION CENTER</t>
  </si>
  <si>
    <t>NORTHWEST PASSAGE HIGH SCHOOL</t>
  </si>
  <si>
    <t>LAFAYETTE PUBLIC CHARTER SCHOOL</t>
  </si>
  <si>
    <t>FOUR DIRECTIONS CHARTER SCHOOLS</t>
  </si>
  <si>
    <t>NORTH LAKES ACADEMY</t>
  </si>
  <si>
    <t>LACRESCENT MONTESSORI ACADEMY</t>
  </si>
  <si>
    <t>NERSTRAND CHARTER SCHOOL</t>
  </si>
  <si>
    <t>ROCHESTER OFF-CAMPUS CHARTER HIGH</t>
  </si>
  <si>
    <t>EL COLEGIO CHARTER SCHOOL</t>
  </si>
  <si>
    <t>SCHOOLCRAFT LEARNING COMMUNITY CHTR</t>
  </si>
  <si>
    <t>CROSSLAKE COMMUNITY CHARTER SCHOOL</t>
  </si>
  <si>
    <t>STUDIO ACADEMY CHARTER SCHOOL</t>
  </si>
  <si>
    <t>RIVERWAY LEARNING COMMUNITY CHTR</t>
  </si>
  <si>
    <t>RIVERBEND ACADEMY</t>
  </si>
  <si>
    <t>AURORA CHARTER SCHOOL</t>
  </si>
  <si>
    <t>EXCELL ACADEMY CHARTER</t>
  </si>
  <si>
    <t>HOPE COMMUNITY ACADEMY</t>
  </si>
  <si>
    <t>ACADEMIA CESAR CHAVEZ CHARTER SCH.</t>
  </si>
  <si>
    <t>AFSA HIGH SCHOOL</t>
  </si>
  <si>
    <t>AVALON SCHOOL</t>
  </si>
  <si>
    <t>TWIN CITIES INTERNATIONAL ELEM SCH.</t>
  </si>
  <si>
    <t>MN INTERNATIONAL MIDDLE CHARTER</t>
  </si>
  <si>
    <t>FRIENDSHIP ACDMY OF FINE ARTS CHTR.</t>
  </si>
  <si>
    <t>PILLAGER AREA CHARTER SCHOOL</t>
  </si>
  <si>
    <t>DISCOVERY PUBLIC SCHOOL FARIBAULT</t>
  </si>
  <si>
    <t>BLUESKY CHARTER SCHOOL</t>
  </si>
  <si>
    <t>RIDGEWAY COMMUNITY SCHOOL</t>
  </si>
  <si>
    <t>NORTH SHORE COMMUNITY SCHOOL</t>
  </si>
  <si>
    <t>HARBOR CITY INTERNATIONAL CHARTER</t>
  </si>
  <si>
    <t>WOODSON INSTITUTE FOR EXCELLENCE CH</t>
  </si>
  <si>
    <t>SAGE ACADEMY CHARTER SCHOOL</t>
  </si>
  <si>
    <t>URBAN ACADEMY CHARTER SCHOOL</t>
  </si>
  <si>
    <t>NEW CITY SCHOOL</t>
  </si>
  <si>
    <t>PRAIRIE CREEK COMMUNITY SCHOOL</t>
  </si>
  <si>
    <t>ARTECH</t>
  </si>
  <si>
    <t>WATERSHED HIGH SCHOOL</t>
  </si>
  <si>
    <t>NEW CENTURY CHARTER SCHOOL</t>
  </si>
  <si>
    <t>TRIO WOLF CREEK DISTANCE LEARNING</t>
  </si>
  <si>
    <t>PARTNERSHIP ACADEMY, INC.</t>
  </si>
  <si>
    <t>NOVA CLASSICAL ACADEMY</t>
  </si>
  <si>
    <t>TAREK IBN ZIYAD ACADEMY</t>
  </si>
  <si>
    <t>GREAT EXPECTATIONS</t>
  </si>
  <si>
    <t>MINNESOTA INTERNSHIP CENTER</t>
  </si>
  <si>
    <t>HMONG COLLEGE PREP ACADEMY</t>
  </si>
  <si>
    <t>PALADIN ACADEMY</t>
  </si>
  <si>
    <t>GREAT RIVER SCHOOL</t>
  </si>
  <si>
    <t>TREKNORTH HIGH SCHOOL</t>
  </si>
  <si>
    <t>VOYAGEURS EXPEDITIONARY</t>
  </si>
  <si>
    <t>GENERAL JOHN VESSEY JR LEADERSHIP</t>
  </si>
  <si>
    <t>SOBRIETY HIGH</t>
  </si>
  <si>
    <t>MAIN STREET SCHOOL PERFORMING ARTS</t>
  </si>
  <si>
    <t>AUGSBURG FAIRVIEW ACADEMY</t>
  </si>
  <si>
    <t>ST PAUL CONSERVATORY PERFORMING ART</t>
  </si>
  <si>
    <t>FRASER ACADEMY</t>
  </si>
  <si>
    <t>PRESTIGE ACADEMY CHARTER SCHOOL</t>
  </si>
  <si>
    <t>MINNEAPOLIS ACADEMY CHARTER SCHOOL</t>
  </si>
  <si>
    <t>LAKES INTERNATIONAL LANGUAGE ADMY</t>
  </si>
  <si>
    <t>KALEIDOSCOPE CHARTER SCHOOL</t>
  </si>
  <si>
    <t>RIVER HEIGHTS CHARTER SCHOOL</t>
  </si>
  <si>
    <t>ST. CROIX PREPARATORY ACADEMY</t>
  </si>
  <si>
    <t>UBAH MEDICAL ACADEMY CHARTER SCHOOL</t>
  </si>
  <si>
    <t>EAGLE RIDGE ACADEMY CHARTER SCHOOL</t>
  </si>
  <si>
    <t>DAKOTA AREA COMMUNITY CHARTER SCH</t>
  </si>
  <si>
    <t>BEACON ACADEMY</t>
  </si>
  <si>
    <t>WORTHINGTON AREA LANGUAGE ACADEMY</t>
  </si>
  <si>
    <t>PRAIRIE SEEDS ACADEMY</t>
  </si>
  <si>
    <t>TEAM ACADEMY</t>
  </si>
  <si>
    <t>LIGHTHOUSE ACADEMY OF NATIONS</t>
  </si>
  <si>
    <t>TWIN CITIES ACADEMY HIGH SCHOOL</t>
  </si>
  <si>
    <t>BEACON PREPARATORY SCHOOL</t>
  </si>
  <si>
    <t>ROCHESTER MATH &amp; SCIENCE ACADEMY</t>
  </si>
  <si>
    <t>SWAN RIVER MONTESSORI CHARTER SCH</t>
  </si>
  <si>
    <t>MILROY AREA CHARTER SCHOOL</t>
  </si>
  <si>
    <t>LOVEWORKS ACADEMY FOR ARTS</t>
  </si>
  <si>
    <t>YINGHUA ACADEMY</t>
  </si>
  <si>
    <t>PAIDEIA ACADEMY CHARTER SCHOOL</t>
  </si>
  <si>
    <t>STRIDE ACADEMY CHARTER SCHOOL</t>
  </si>
  <si>
    <t>NEW MILLENNIUM ACADEMY CHARTER SCH</t>
  </si>
  <si>
    <t>GREEN ISLE COMMUNITY SCHOOL</t>
  </si>
  <si>
    <t>BIRCH GROVE COMMUNITY SCHOOL</t>
  </si>
  <si>
    <t>NORTHERN LIGHTS COMMUNITY SCHOOL</t>
  </si>
  <si>
    <t>CYGNUS ACADEMY</t>
  </si>
  <si>
    <t>MINNESOTA ONLINE HIGH SCHOOL</t>
  </si>
  <si>
    <t>EDVISIONS OFF CAMPUS SCHOOL</t>
  </si>
  <si>
    <t>TWIN CITIES GERMAN IMMERSION CHRTR</t>
  </si>
  <si>
    <t>DUGSI ACADEMY</t>
  </si>
  <si>
    <t>RECOVERY SCHOOL OF SOUTHERN MN</t>
  </si>
  <si>
    <t>NAYTAHWAUSH COMMUNITY SCHOOL</t>
  </si>
  <si>
    <t>SEVEN HILLS CLASSICAL ACADEMY</t>
  </si>
  <si>
    <t>SPECTRUM HIGH SCHOOL</t>
  </si>
  <si>
    <t>NEW DISCOVERIES MONTESSORI ACADEMY</t>
  </si>
  <si>
    <t>SOUTHSIDE FAMILY CHARTER SCHOOL</t>
  </si>
  <si>
    <t>LEARNING FOR LEADERSHIP CHARTER</t>
  </si>
  <si>
    <t>EAST RANGE ACADEMY OF TECH &amp;SCIENCE</t>
  </si>
  <si>
    <t>INTERNATIONAL SPANISH LANGUAGE ACAD</t>
  </si>
  <si>
    <t>GLACIAL HILLS ELEMENTARY</t>
  </si>
  <si>
    <t>STONEBRIDGE COMMUNITY SCHOOL</t>
  </si>
  <si>
    <t>HIAWATHA LEADERSHIP ACADEMY</t>
  </si>
  <si>
    <t>NOBLE ACADEMY</t>
  </si>
  <si>
    <t>CLARKFIELD CHARTER SCHOOL</t>
  </si>
  <si>
    <t>DUNWOODY ACADEMY</t>
  </si>
  <si>
    <t>PINE GROVE LEADERSHIP ACADEMY</t>
  </si>
  <si>
    <t>LONG TIENG ACADEMY</t>
  </si>
  <si>
    <t>MINISINAAKWAANG LEADERSHIP ACADEMY</t>
  </si>
  <si>
    <t>LINCOLN INTERNATIONAL SCHOOL</t>
  </si>
  <si>
    <t>EMILY O. GOODRIDGE-GREY ACCELERATED</t>
  </si>
  <si>
    <t>COMMUNITY SCHOOL OF EXCELLENCE</t>
  </si>
  <si>
    <t>CLOSED CHARTER SCHOOLS</t>
  </si>
  <si>
    <t>HEART OF THE EARTH CHARTER</t>
  </si>
  <si>
    <t>YANKTON COUNTRY CHARTER SCHOOL</t>
  </si>
  <si>
    <t>MINNESOTA NORTH STAR ACADEMY</t>
  </si>
  <si>
    <t>ACADEMY OF BIOSCIENCES</t>
  </si>
  <si>
    <t>ELOM INTERNATIONAL SCHOOL</t>
  </si>
  <si>
    <t>School District Totals</t>
  </si>
  <si>
    <t xml:space="preserve">Charter School Totals </t>
  </si>
  <si>
    <t>Statewide Total</t>
  </si>
  <si>
    <t>Difference</t>
  </si>
  <si>
    <t>Charter School Difference</t>
  </si>
  <si>
    <t>MN STATE ACADEMIES</t>
  </si>
  <si>
    <t>Detail:</t>
  </si>
  <si>
    <t>old alloc percent</t>
  </si>
  <si>
    <t>alloc percent calc</t>
  </si>
  <si>
    <t>from geneddb</t>
  </si>
  <si>
    <t>ONE-TIME GENERAL EDUCATION REDUCTION AND</t>
  </si>
  <si>
    <t>MDE, Program Finance</t>
  </si>
  <si>
    <t>OFFSETTING FISCAL STABILIZATION COMPONENT OF FEDERAL STIMULUS ACT (ARRA)</t>
  </si>
  <si>
    <t>LAWS 2009, CHAPTER 96, ARTICLE 1, SECTIONS 21 &amp; 25</t>
  </si>
  <si>
    <t>FY 2008</t>
  </si>
  <si>
    <t>FY 2010</t>
  </si>
  <si>
    <t>REDUCTION</t>
  </si>
  <si>
    <t>FEDERAL</t>
  </si>
  <si>
    <t>67% OF</t>
  </si>
  <si>
    <t>GENERAL</t>
  </si>
  <si>
    <t>ONE-TIME</t>
  </si>
  <si>
    <t>AS % OF</t>
  </si>
  <si>
    <t>STIMULUS</t>
  </si>
  <si>
    <t>FED FUNDS</t>
  </si>
  <si>
    <t>EDUCATION</t>
  </si>
  <si>
    <t>GEN ED</t>
  </si>
  <si>
    <t xml:space="preserve">GEN ED </t>
  </si>
  <si>
    <t>AVAILABLE</t>
  </si>
  <si>
    <t>DIST</t>
  </si>
  <si>
    <t>TYPE</t>
  </si>
  <si>
    <t>NAME</t>
  </si>
  <si>
    <t>REVENUE *</t>
  </si>
  <si>
    <t>REVENUE</t>
  </si>
  <si>
    <t>IN JULY</t>
  </si>
  <si>
    <t>STATE TOTAL</t>
  </si>
  <si>
    <t>Preliminary Final Allocation:  may require midyear adjustment if additional charter schools close</t>
  </si>
  <si>
    <t>CHANGES MADE SINCE POSTING OF ESTIMATED ALLOCATION, 6/11/2009:</t>
  </si>
  <si>
    <t>School District Correction</t>
  </si>
  <si>
    <t>Charter School Closings</t>
  </si>
  <si>
    <t>Allocation Percentage:</t>
  </si>
  <si>
    <t xml:space="preserve">Estimated:  </t>
  </si>
  <si>
    <t>Preliminary Actual:</t>
  </si>
  <si>
    <t>TOTAL TO REALLOCATE</t>
  </si>
  <si>
    <t>Pending Charter Schools</t>
  </si>
  <si>
    <t>OFFSETTING</t>
  </si>
  <si>
    <t>One-time Reduction Spreadsheet, June 11, 2009</t>
  </si>
  <si>
    <t>Other Difference</t>
  </si>
  <si>
    <t>7/02/2009</t>
  </si>
  <si>
    <t>ALLOCATION</t>
  </si>
  <si>
    <t>SPREADSHEET</t>
  </si>
  <si>
    <t>PRIOR</t>
  </si>
  <si>
    <t>FROM 6/11/2009</t>
  </si>
  <si>
    <t>DIFFERENCE</t>
  </si>
  <si>
    <t xml:space="preserve">FROM </t>
  </si>
  <si>
    <t>OFSETTING</t>
  </si>
  <si>
    <t>GRDREV-126C.10</t>
  </si>
  <si>
    <t>1-TIME REDUCT HF2-CORRECTED</t>
  </si>
  <si>
    <t>AITKIN</t>
  </si>
  <si>
    <t>MINNEAPOLIS</t>
  </si>
  <si>
    <t>HILL CITY</t>
  </si>
  <si>
    <t>MCGREGOR</t>
  </si>
  <si>
    <t>SOUTH ST. PAUL</t>
  </si>
  <si>
    <t>ANOKA-HENNEPIN</t>
  </si>
  <si>
    <t>CENTENNIAL</t>
  </si>
  <si>
    <t>COLUMBIA HEIGHTS</t>
  </si>
  <si>
    <t>FRIDLEY</t>
  </si>
  <si>
    <t>ST. FRANCIS</t>
  </si>
  <si>
    <t>SPRING LAKE PARK</t>
  </si>
  <si>
    <t>DETROIT LAKES</t>
  </si>
  <si>
    <t>FRAZEE</t>
  </si>
  <si>
    <t>PINE POINT</t>
  </si>
  <si>
    <t>BEMIDJI</t>
  </si>
  <si>
    <t>BLACKDUCK</t>
  </si>
  <si>
    <t>KELLIHER</t>
  </si>
  <si>
    <t>RED LAKE</t>
  </si>
  <si>
    <t>SAUK RAPIDS</t>
  </si>
  <si>
    <t>FOLEY</t>
  </si>
  <si>
    <t>ORTONVILLE</t>
  </si>
  <si>
    <t>ST. CLAIR</t>
  </si>
  <si>
    <t>MANKATO</t>
  </si>
  <si>
    <t>COMFREY</t>
  </si>
  <si>
    <t>SLEEPY EYE</t>
  </si>
  <si>
    <t>SPRINGFIELD</t>
  </si>
  <si>
    <t>NEW ULM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</si>
  <si>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</si>
  <si>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</si>
  <si>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</si>
  <si>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</si>
  <si>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</si>
  <si>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</si>
  <si>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</si>
  <si>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</si>
  <si>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</si>
  <si>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</si>
  <si>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CHASKA</t>
  </si>
  <si>
    <t>WALKER-AKELEY</t>
  </si>
  <si>
    <t>CASS LAKE</t>
  </si>
  <si>
    <t>PILLAGER</t>
  </si>
  <si>
    <t>REMER</t>
  </si>
  <si>
    <t>MONTEVIDEO</t>
  </si>
  <si>
    <t>NORTH BRANCH</t>
  </si>
  <si>
    <t>RUSH CITY</t>
  </si>
  <si>
    <t>BARNESVILLE</t>
  </si>
  <si>
    <t>HAWLEY</t>
  </si>
  <si>
    <t>MOORHEAD</t>
  </si>
  <si>
    <t>MN STATE ACADEMIES TRANSFER</t>
  </si>
  <si>
    <t>BAGLEY</t>
  </si>
  <si>
    <t>COOK COUNTY</t>
  </si>
  <si>
    <t>MOUNTAIN LAKE</t>
  </si>
  <si>
    <t>WINDOM</t>
  </si>
  <si>
    <t>BRAINERD</t>
  </si>
  <si>
    <t>CROSBY</t>
  </si>
  <si>
    <t>PEQUOT LAKES</t>
  </si>
  <si>
    <t>BURNSVILLE</t>
  </si>
  <si>
    <t>FARMINGTON</t>
  </si>
  <si>
    <t>LAKEVILLE</t>
  </si>
  <si>
    <t>RANDOLPH</t>
  </si>
  <si>
    <t>ROSEMOUNT-APPLE</t>
  </si>
  <si>
    <t>WEST ST. PAUL</t>
  </si>
  <si>
    <t>INVER GROVE</t>
  </si>
  <si>
    <t>HASTINGS</t>
  </si>
  <si>
    <t>HAYFIELD</t>
  </si>
  <si>
    <t>KASSON-MANTORVIL</t>
  </si>
  <si>
    <t>ALEXANDRIA</t>
  </si>
  <si>
    <t>BRANDON</t>
  </si>
  <si>
    <t>EVANSVILLE</t>
  </si>
  <si>
    <t>OSAKIS</t>
  </si>
  <si>
    <t>CHATFIELD</t>
  </si>
  <si>
    <t>LANESBORO</t>
  </si>
  <si>
    <t>MABEL-CANTON</t>
  </si>
  <si>
    <t>RUSHFORD-PETERSO</t>
  </si>
  <si>
    <t>ALBERT LEA</t>
  </si>
  <si>
    <t>ALDEN</t>
  </si>
  <si>
    <t>CANNON FALLS</t>
  </si>
  <si>
    <t>GOODHUE</t>
  </si>
  <si>
    <t>PINE ISLAND</t>
  </si>
  <si>
    <t>RED WING</t>
  </si>
  <si>
    <t>ASHBY</t>
  </si>
  <si>
    <t>HERMAN-NORCROSS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</si>
  <si>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</si>
  <si>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</si>
  <si>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</si>
  <si>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</si>
  <si>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</si>
  <si>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</si>
  <si>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</si>
  <si>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</si>
  <si>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</si>
  <si>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</si>
  <si>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ST. ANTHONY-NEW</t>
  </si>
  <si>
    <t>ST. LOUIS PARK</t>
  </si>
  <si>
    <t>WAYZATA</t>
  </si>
  <si>
    <t>BROOKLYN CENTER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</si>
  <si>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</si>
  <si>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</si>
  <si>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</si>
  <si>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</si>
  <si>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</si>
  <si>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</si>
  <si>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</si>
  <si>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</si>
  <si>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</si>
  <si>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</si>
  <si>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</si>
  <si>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</si>
  <si>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</si>
  <si>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</si>
  <si>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</si>
  <si>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</si>
  <si>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</t>
  </si>
  <si>
    <t>WILLMAR</t>
  </si>
  <si>
    <t>LANCASTER</t>
  </si>
  <si>
    <t>INTERNATIONAL FA</t>
  </si>
  <si>
    <t>LITTLEFORK-BIG F</t>
  </si>
  <si>
    <t>SOUTH KOOCHICHIN</t>
  </si>
  <si>
    <t>BELLINGHAM</t>
  </si>
  <si>
    <t>DAWSON</t>
  </si>
  <si>
    <t>LAKE SUPERIOR</t>
  </si>
  <si>
    <t>LAKE OF THE WOOD</t>
  </si>
  <si>
    <t>CLEVELAND</t>
  </si>
  <si>
    <t>LECENTER</t>
  </si>
  <si>
    <t>MONTGOMERY</t>
  </si>
  <si>
    <t>HENDRICKS</t>
  </si>
  <si>
    <t>IVANHOE</t>
  </si>
  <si>
    <t>LAKE BENTON</t>
  </si>
  <si>
    <t>BALATON</t>
  </si>
  <si>
    <t>MARSHALL</t>
  </si>
  <si>
    <t>MINNEOTA</t>
  </si>
  <si>
    <t>LYND</t>
  </si>
  <si>
    <t>TRACY</t>
  </si>
  <si>
    <t>HUTCHINSON</t>
  </si>
  <si>
    <t>LESTER PRAIRIE</t>
  </si>
  <si>
    <t>MAHNOMEN</t>
  </si>
  <si>
    <t>WAUBUN</t>
  </si>
  <si>
    <t>NEWFOLDEN</t>
  </si>
  <si>
    <t>GRYGLA</t>
  </si>
  <si>
    <t>TRUMAN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</si>
  <si>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</si>
  <si>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</si>
  <si>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</si>
  <si>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</si>
  <si>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</si>
  <si>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</si>
  <si>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</si>
  <si>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</si>
  <si>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</si>
  <si>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</si>
  <si>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</si>
  <si>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</si>
  <si>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</si>
  <si>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</si>
  <si>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LEROY</t>
  </si>
  <si>
    <t>SOUTHLAND</t>
  </si>
  <si>
    <t>FULDA</t>
  </si>
  <si>
    <t>NICOLLET</t>
  </si>
  <si>
    <t>ST. PETER</t>
  </si>
  <si>
    <t>ADRIAN</t>
  </si>
  <si>
    <t>BREWSTER</t>
  </si>
  <si>
    <t>ELLSWORTH</t>
  </si>
  <si>
    <t>ROUND LAKE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</si>
  <si>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</si>
  <si>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</si>
  <si>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</si>
  <si>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</si>
  <si>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</si>
  <si>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</si>
  <si>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</si>
  <si>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</si>
  <si>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</si>
  <si>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</si>
  <si>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</t>
  </si>
  <si>
    <t>UNDERWOOD</t>
  </si>
  <si>
    <t>NEW YORK MILLS</t>
  </si>
  <si>
    <t>GOODRIDGE</t>
  </si>
  <si>
    <t>THIEF RIVER FALL</t>
  </si>
  <si>
    <t>WILLOW RIVER</t>
  </si>
  <si>
    <t>PINE CITY</t>
  </si>
  <si>
    <t>EDGERTON</t>
  </si>
  <si>
    <t>CLIMAX</t>
  </si>
  <si>
    <t>CROOKSTON</t>
  </si>
  <si>
    <t>EAST GRAND FORKS</t>
  </si>
  <si>
    <t>FERTILE-BELTRAMI</t>
  </si>
  <si>
    <t>FISHER</t>
  </si>
  <si>
    <t>FOSSTON</t>
  </si>
  <si>
    <t>CYRUS</t>
  </si>
  <si>
    <t>MOUNDS VIEW</t>
  </si>
  <si>
    <t>NORTH ST. PAUL-M</t>
  </si>
  <si>
    <t>ROSEVILLE</t>
  </si>
  <si>
    <t>WHITE BEAR LAKE</t>
  </si>
  <si>
    <t>ST. PAUL</t>
  </si>
  <si>
    <t>OKLEE</t>
  </si>
  <si>
    <t>PLUMMER</t>
  </si>
  <si>
    <t>RED LAKE FALLS</t>
  </si>
  <si>
    <t>MILROY</t>
  </si>
  <si>
    <t>WABASSO</t>
  </si>
  <si>
    <t>FARIBAULT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</si>
  <si>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</si>
  <si>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</si>
  <si>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</si>
  <si>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</si>
  <si>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</si>
  <si>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</si>
  <si>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</si>
  <si>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</si>
  <si>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</si>
  <si>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</si>
  <si>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</si>
  <si>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</si>
  <si>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</si>
  <si>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</si>
  <si>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MOUNTAIN IRON-BU</t>
  </si>
  <si>
    <t>BELLE PLAINE</t>
  </si>
  <si>
    <t>JORDAN</t>
  </si>
  <si>
    <t>PRIOR LAKE</t>
  </si>
  <si>
    <t>SHAKOPEE</t>
  </si>
  <si>
    <t>NEW PRAGUE</t>
  </si>
  <si>
    <t>BECKER</t>
  </si>
  <si>
    <t>BIG LAKE</t>
  </si>
  <si>
    <t>ELK RIVER</t>
  </si>
  <si>
    <t>HOLDINGFORD</t>
  </si>
  <si>
    <t>KIMBALL</t>
  </si>
  <si>
    <t>MELROSE</t>
  </si>
  <si>
    <t>PAYNESVILLE</t>
  </si>
  <si>
    <t>ST. CLOUD</t>
  </si>
  <si>
    <t>SAUK CENTRE</t>
  </si>
  <si>
    <t>ALBANY</t>
  </si>
  <si>
    <t>SARTELL</t>
  </si>
  <si>
    <t>COLD SPRING</t>
  </si>
  <si>
    <t>BLOOMING PRAIRIE</t>
  </si>
  <si>
    <t>OWATONNA</t>
  </si>
  <si>
    <t>MEDFORD</t>
  </si>
  <si>
    <t>HANCOCK</t>
  </si>
  <si>
    <t>MORRIS</t>
  </si>
  <si>
    <t>CHOKIO-ALBERTA</t>
  </si>
  <si>
    <t>KERKHOVEN-MURDOC</t>
  </si>
  <si>
    <t>BENSON</t>
  </si>
  <si>
    <t>BERTHA-HEWITT</t>
  </si>
  <si>
    <t>BROWERVILLE</t>
  </si>
  <si>
    <t>BROWNS VALLEY</t>
  </si>
  <si>
    <t>WHEATON</t>
  </si>
  <si>
    <t>WABASHA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</si>
  <si>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</si>
  <si>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</si>
  <si>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</si>
  <si>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</si>
  <si>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</si>
  <si>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</si>
  <si>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</si>
  <si>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</si>
  <si>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SOUTH WASHINGTON</t>
  </si>
  <si>
    <t>STILLWATER</t>
  </si>
  <si>
    <t>BUTTERFIELD</t>
  </si>
  <si>
    <t>MADELIA</t>
  </si>
  <si>
    <t>ST. JAMES</t>
  </si>
  <si>
    <t>BRECKENRIDGE</t>
  </si>
  <si>
    <t>ROTHSAY</t>
  </si>
  <si>
    <t>CAMPBELL-TINTAH</t>
  </si>
  <si>
    <t>LEWISTON</t>
  </si>
  <si>
    <t>ST. CHARLES</t>
  </si>
  <si>
    <t>WINONA</t>
  </si>
  <si>
    <t>ANNANDALE</t>
  </si>
  <si>
    <t>BUFFALO</t>
  </si>
  <si>
    <t>DELANO</t>
  </si>
  <si>
    <t>MAPLE LAKE</t>
  </si>
  <si>
    <t>MONTICELLO</t>
  </si>
  <si>
    <t>ROCKFORD</t>
  </si>
  <si>
    <t>ST. MICHAEL-ALBE</t>
  </si>
  <si>
    <t>CANBY</t>
  </si>
  <si>
    <t>CAMBRIDGE-ISANTI</t>
  </si>
  <si>
    <t>MILACA</t>
  </si>
  <si>
    <t>ULEN-HITTERDAL</t>
  </si>
  <si>
    <t>LAKE CRYSTAL-WEL</t>
  </si>
  <si>
    <t>TRITON</t>
  </si>
  <si>
    <t>UNITED SOUTH CENTRAL</t>
  </si>
  <si>
    <t>MAPLE RIVER</t>
  </si>
  <si>
    <t>KINGSLAND</t>
  </si>
  <si>
    <t>ST. LOUIS COUNTY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</si>
  <si>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</si>
  <si>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</si>
  <si>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</si>
  <si>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</si>
  <si>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</si>
  <si>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</si>
  <si>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</si>
  <si>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</t>
  </si>
  <si>
    <t>NRHEG</t>
  </si>
  <si>
    <t>MURRAY COUNTY</t>
  </si>
  <si>
    <t>STAPLES-MOTLEY</t>
  </si>
  <si>
    <t>KITTSON CENTRAL</t>
  </si>
  <si>
    <t>KENYON-WANAMINGO</t>
  </si>
  <si>
    <t>PINE RIVER-BACKU</t>
  </si>
  <si>
    <t>WARREN-ALVARADO-</t>
  </si>
  <si>
    <t>MACCRAY</t>
  </si>
  <si>
    <t>LUVERNE</t>
  </si>
  <si>
    <t>FILMORE CENTRAL</t>
  </si>
  <si>
    <t>NORMAN COUNTY EAST</t>
  </si>
  <si>
    <t>SIBLEY EAST</t>
  </si>
  <si>
    <t>CLEARBROOK-GONVICK</t>
  </si>
  <si>
    <t>KARLSTAD-STRANDQ</t>
  </si>
  <si>
    <t>BELGRADE-BROOTEN-ELR</t>
  </si>
  <si>
    <t>LESUEUR-HENDERSO</t>
  </si>
  <si>
    <t>MARTIN COUNTY</t>
  </si>
  <si>
    <t>HALSTAD-HENDRUM</t>
  </si>
  <si>
    <t>OLIVIA-BIRD ISLA</t>
  </si>
  <si>
    <t>GRANADA HUNTLEY-</t>
  </si>
  <si>
    <t>SANDSTONE-ASKOV</t>
  </si>
  <si>
    <t>WIN-E-MAC</t>
  </si>
  <si>
    <t>GREENBUSH-MIDDLE RIV</t>
  </si>
  <si>
    <t>PIPESTONE-JASPER</t>
  </si>
  <si>
    <t>MESABI EAST</t>
  </si>
  <si>
    <t>FAIRMONT AREA SCHOOLS</t>
  </si>
  <si>
    <t>LONG PRAIRIE-GREY EA</t>
  </si>
  <si>
    <t>CEDAR MOUNTAIN</t>
  </si>
  <si>
    <t>EAGLE BEND-CLARISSA</t>
  </si>
  <si>
    <t>ZUMBROTA-MAZEPPA</t>
  </si>
  <si>
    <t>JANESVILLE-WALDO</t>
  </si>
  <si>
    <t>MADISON-MARIETTA-LACQUI PARLE-A.M.M.M.</t>
  </si>
  <si>
    <t>ADA-BORUP</t>
  </si>
  <si>
    <t>STEPHEN-ARGYLE</t>
  </si>
  <si>
    <t>GLENCOE-SILVER LAKE</t>
  </si>
  <si>
    <t>BLUE EARTH-DELAVAN-ELMORE</t>
  </si>
  <si>
    <t>RED ROCK CENTRAL</t>
  </si>
  <si>
    <t>GLENVILLE-EMMONS</t>
  </si>
  <si>
    <t>MCLEOD WEST SCHOOLS</t>
  </si>
  <si>
    <t>LAKE PARK-AUDUBON</t>
  </si>
  <si>
    <t>DRSH</t>
  </si>
  <si>
    <t>JACKSON COUNTY CENTRAL</t>
  </si>
  <si>
    <t>REDWOOD AREA SCHOOLS</t>
  </si>
  <si>
    <t>WESTBROOK-WALNUT GROVE</t>
  </si>
  <si>
    <t>RUSSELL-TYLER-RUTHTON</t>
  </si>
  <si>
    <t>NEW REFERENDUM GROWTH</t>
  </si>
  <si>
    <t>CFL V DST EST</t>
  </si>
  <si>
    <t>NEW HEIGHTS CHARTER SCHOOL</t>
  </si>
  <si>
    <t>CEDAR RIVERSIDE COMMUNITY SCHO</t>
  </si>
  <si>
    <t>METRO DEAF CHARTER SCHOOL</t>
  </si>
  <si>
    <t>SKILLS FOR TOMORROW CHARTER SC</t>
  </si>
  <si>
    <t>MINNESOTA TRANSITIONS CHARTER</t>
  </si>
  <si>
    <t>ACORN DUAL LANGUAGE COMM. ACAD</t>
  </si>
  <si>
    <t>ST. PAUL FAMILY LEARNING CENTE</t>
  </si>
  <si>
    <t>EDISON CHARTER SCHOOL</t>
  </si>
  <si>
    <t>VILLAGE SCHOOL OF NORTHFIELD</t>
  </si>
  <si>
    <t>NEW SPIRIT SCHOOL</t>
  </si>
  <si>
    <t>ODYSSEY CHARTER SCHOOL</t>
  </si>
  <si>
    <t>MINNESOTA TECHNOLOGY CHARTER S</t>
  </si>
  <si>
    <t>HARVEST PREP SCHOOL/SEED ACADE</t>
  </si>
  <si>
    <t>CONCORDIA CREATIVE LEARNING AC</t>
  </si>
  <si>
    <t>MARTIN HUGHES CHARTER</t>
  </si>
  <si>
    <t>PEAKS-ALEXANDRIA</t>
  </si>
  <si>
    <t>COON RAPIDS LEARNING CENTER</t>
  </si>
  <si>
    <t>LAFAYETTE PUBLIC CHARTER SCHOO</t>
  </si>
  <si>
    <t>HANSKA CHARTER SCHOOL</t>
  </si>
  <si>
    <t>FOUR DIRECTIONS CHARTER SCHOOL</t>
  </si>
  <si>
    <t>NORTH LAKES ACADEMY CHARTER</t>
  </si>
  <si>
    <t>ROCHESTER OFF CAMPUS CHARTER H</t>
  </si>
  <si>
    <t>SCHOOLCRAFT LEARNING COMMUNITY</t>
  </si>
  <si>
    <t>CROSSLAKE COMMUNITY CHARTER SC</t>
  </si>
  <si>
    <t>MEXICA MULTICULTURAL</t>
  </si>
  <si>
    <t>FAMILY ACADEMY CHARTER SCHOOL</t>
  </si>
  <si>
    <t>RIVERWAY LEARNING COMMUNITY CH</t>
  </si>
  <si>
    <t>MINNESOTA BUSINESS ACADEMY CHA</t>
  </si>
  <si>
    <t>RIVERBEND ACADEMY CHARTER SCHO</t>
  </si>
  <si>
    <t>EXCELL ACADEMY</t>
  </si>
  <si>
    <t>MN INSTITUTE OF TECHNOLOGY CHA</t>
  </si>
  <si>
    <t>HOPE ACADEMY CHARTER</t>
  </si>
  <si>
    <t>NATIVE ARTS CHARTER SCHOOL</t>
  </si>
  <si>
    <t>ACADEMIA CESAR CHAVEZ</t>
  </si>
  <si>
    <t>AGRICULTURAL FOOD SCIENCE ACADEMY</t>
  </si>
  <si>
    <t>AVALON SCHOL</t>
  </si>
  <si>
    <t>MN ACADEMY OF TECHNOLOGY</t>
  </si>
  <si>
    <t>TWIN CITIES INTERNATIONAL ELEMENTARY</t>
  </si>
  <si>
    <t>MN INTERNATIONAL MIDDLE</t>
  </si>
  <si>
    <t>FRIENDSHIP ACADEMY OF FINE ARTS</t>
  </si>
  <si>
    <t>PILLAGER AREA CHARTER SCHOOLS</t>
  </si>
  <si>
    <t>COVENANT</t>
  </si>
  <si>
    <t>BLUESKY</t>
  </si>
  <si>
    <t>HARBOR CITY INTERNATIONAL CHAR</t>
  </si>
  <si>
    <t>WOODSON INSTITUTE FOR EXCELLEN</t>
  </si>
  <si>
    <t>URBAN ACADEMY</t>
  </si>
  <si>
    <t>SE MN ARTS &amp; TECHNOLOGY</t>
  </si>
  <si>
    <t>TRIO WOLF CREEK DISTANCE LEARN</t>
  </si>
  <si>
    <t>CHIRON CHARTER SCHOOL</t>
  </si>
  <si>
    <t>NOVA CLASSICAL</t>
  </si>
  <si>
    <t>TAREK IBN ZIYAD</t>
  </si>
  <si>
    <t>MN INTERNSHIP</t>
  </si>
  <si>
    <t>HMONG ACADEMY</t>
  </si>
  <si>
    <t>LIBERTY HIGH SCHOOL</t>
  </si>
  <si>
    <t>TREKNORTH HIGH</t>
  </si>
  <si>
    <t>VOYAGEURS EXPE</t>
  </si>
  <si>
    <t>GENERAL JOHN VESSEY LEADERSHIP ACADEMY</t>
  </si>
  <si>
    <t>MAIN STREET SCHOOL OF PERFORMING ARTS</t>
  </si>
  <si>
    <t>AUGSBURG ACADEMY FOR HEALTH CA</t>
  </si>
  <si>
    <t>ST PAUL CONSERVATORY PERFORMIN</t>
  </si>
  <si>
    <t>ASCENSION ACADEMY</t>
  </si>
  <si>
    <t>MINNEAPOLIS ACADEMY</t>
  </si>
  <si>
    <t>LAKES INTERNATIONAL LANGUAGE ACADEMY</t>
  </si>
  <si>
    <t>UBAH MEDICAL ACADEMY</t>
  </si>
  <si>
    <t>EAGLE RIDGE ACADEMY</t>
  </si>
  <si>
    <t>DAKOTA AREA COMMUNITY SCHOOL</t>
  </si>
  <si>
    <t>WORTHINGTON AREA LANGUAGE ACAD</t>
  </si>
  <si>
    <t>COLONEL CHARLES D. YOUNG MILITARY ACADEMY</t>
  </si>
  <si>
    <t>MARY MCVOY EARLY LITERACY ACAD</t>
  </si>
  <si>
    <t>ADAM ABDULLE ACADEMY</t>
  </si>
  <si>
    <t>SOUL ACADEMY CHARTER SCHOOL</t>
  </si>
  <si>
    <t>SWAN RIVER MONTESSORI CHARTER</t>
  </si>
  <si>
    <t>NEW MILLENNIUM ACADEMY CHARTER</t>
  </si>
  <si>
    <t>NORTHERN LIGHTS COMMUNITY SCHO</t>
  </si>
  <si>
    <t>TWIN CITIES GERMAN IMMERSION C</t>
  </si>
  <si>
    <t>NAYTAUWAUSH COMMUNITY SCHOOL</t>
  </si>
  <si>
    <t>NEW SALEM ACADEMY</t>
  </si>
  <si>
    <t>DAKOTA ACADEMY</t>
  </si>
  <si>
    <t xml:space="preserve">LAURA JEFFREY ACADEMY CHARTER </t>
  </si>
  <si>
    <t>ELLIOT PARK COMMUNITY SCHOOL</t>
  </si>
  <si>
    <t xml:space="preserve">WAYNEWOOD SCHOOL OF HOPE </t>
  </si>
  <si>
    <t xml:space="preserve">QUEST ACADEMY </t>
  </si>
  <si>
    <t xml:space="preserve">LIONSGATE ACADEMY </t>
  </si>
  <si>
    <t xml:space="preserve">ASPEN ACADEMY </t>
  </si>
  <si>
    <t xml:space="preserve">DAVINCI ACADEMY </t>
  </si>
  <si>
    <t xml:space="preserve">GLOBAL ACADEMY </t>
  </si>
  <si>
    <t xml:space="preserve">MICHAEL FROME ACADEMY </t>
  </si>
  <si>
    <t xml:space="preserve">COLOGNE ACADEMY </t>
  </si>
  <si>
    <t xml:space="preserve">BRIGHT WATER ELEMENTARY </t>
  </si>
  <si>
    <t xml:space="preserve">KIPP MINNESOTA CHARTER SCHOOL </t>
  </si>
  <si>
    <t xml:space="preserve">BEST ACADEMY </t>
  </si>
  <si>
    <t>CFL V CHT EST</t>
  </si>
  <si>
    <t>CONSOLIDATIONS</t>
  </si>
  <si>
    <t>REALLOCATONS</t>
  </si>
  <si>
    <t>INVALID DISTRICTS</t>
  </si>
  <si>
    <t>PRINSBURG PUBLIC SCHOOL DISTRICT</t>
  </si>
  <si>
    <t xml:space="preserve">na  </t>
  </si>
  <si>
    <t>**</t>
  </si>
  <si>
    <t>*   General education revenue prior to school district underlevies.</t>
  </si>
  <si>
    <t xml:space="preserve">     Excludes pension adjustments, and school district referendum revenue, alternative attendance adjustment and contract penalties.</t>
  </si>
  <si>
    <t>** Newly consolidated July 1, 2009.</t>
  </si>
  <si>
    <t>CONSOLIDATION TOTALS</t>
  </si>
  <si>
    <t>Charter School Closings:</t>
  </si>
  <si>
    <t>Allocation</t>
  </si>
  <si>
    <t>Comments</t>
  </si>
  <si>
    <t>Not serving students.  No general education aid to reduce.</t>
  </si>
  <si>
    <t>The law applies only to school districts and charter schools.</t>
  </si>
  <si>
    <t>Minnesota State Academies is a state agency.</t>
  </si>
  <si>
    <t xml:space="preserve">Consolidated into ISD #2159, #2859, and #2365 </t>
  </si>
  <si>
    <t>Becomes ISD #2903</t>
  </si>
  <si>
    <t>Becomes ISD #2904</t>
  </si>
  <si>
    <t>CHANGES MADE SINCE JUNE 11, 2009:</t>
  </si>
  <si>
    <t>Other Corrections:</t>
  </si>
  <si>
    <t>Voted to close.</t>
  </si>
  <si>
    <t xml:space="preserve">PRELIMINARY </t>
  </si>
  <si>
    <t>33% OF</t>
  </si>
  <si>
    <t xml:space="preserve">STABILIZATION </t>
  </si>
  <si>
    <t>FROM 7/02/2009</t>
  </si>
  <si>
    <t>Midyear Allocation adjusted for closed charter schools</t>
  </si>
  <si>
    <t>Preliminary Actual (July 2, 2009 Load):</t>
  </si>
  <si>
    <t>Charter School Closings effecting allocation:</t>
  </si>
  <si>
    <t>CALCULATION OF PRORATION FACTOR:</t>
  </si>
  <si>
    <t>Federal Stabilization Total</t>
  </si>
  <si>
    <t>Proration Factor</t>
  </si>
  <si>
    <t>** Closed charter school.  Stabilization reallocated.</t>
  </si>
  <si>
    <t>CHANGES MADE SINCE POSTING OF ESTIMATED ALLOCATION, 7/02/2009:</t>
  </si>
  <si>
    <t>2/08/2010</t>
  </si>
  <si>
    <t>Midyear Allocation (February 8, 2010):</t>
  </si>
  <si>
    <t>IN JULY 2009</t>
  </si>
  <si>
    <t>IN SPRING 2010</t>
  </si>
  <si>
    <t>ECI' NOMPA WOONSPE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</si>
</sst>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000000000"/>
    <numFmt numFmtId="165" formatCode="0.0%"/>
    <numFmt numFmtId="166" formatCode="0.00000000%"/>
  </numFmts>
  <fonts count="11" x14ac:knownFonts="1"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10"/>
      <color indexed="10"/>
      <name val="Arial"/>
      <family val="2"/>
    </font>
    <font>
      <i/>
      <sz val="10"/>
      <color indexed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43" fontId="0" fillId="0" borderId="0" xfId="1" applyFont="1"/>
    <xf numFmtId="0" fontId="3" fillId="0" borderId="0" xfId="0" applyFont="1" applyAlignment="1">
      <alignment horizontal="right"/>
    </xf>
    <xf numFmtId="43" fontId="0" fillId="0" borderId="0" xfId="0" applyNumberFormat="1"/>
    <xf numFmtId="43" fontId="1" fillId="0" borderId="0" xfId="1" applyFont="1"/>
    <xf numFmtId="3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right"/>
    </xf>
    <xf numFmtId="43" fontId="0" fillId="0" borderId="0" xfId="1" applyFont="1" applyAlignment="1">
      <alignment horizontal="right"/>
    </xf>
    <xf numFmtId="43" fontId="0" fillId="0" borderId="0" xfId="1" applyFont="1" applyFill="1" applyAlignment="1">
      <alignment horizontal="right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right"/>
    </xf>
    <xf numFmtId="165" fontId="1" fillId="0" borderId="0" xfId="2" applyNumberFormat="1" applyFont="1" applyAlignment="1">
      <alignment horizontal="right"/>
    </xf>
    <xf numFmtId="0" fontId="0" fillId="0" borderId="0" xfId="0" applyBorder="1"/>
    <xf numFmtId="0" fontId="0" fillId="0" borderId="0" xfId="0" applyFill="1"/>
    <xf numFmtId="0" fontId="0" fillId="0" borderId="1" xfId="0" applyFill="1" applyBorder="1"/>
    <xf numFmtId="4" fontId="0" fillId="0" borderId="0" xfId="0" applyNumberFormat="1" applyAlignment="1">
      <alignment horizontal="right"/>
    </xf>
    <xf numFmtId="4" fontId="0" fillId="0" borderId="0" xfId="0" applyNumberFormat="1" applyFill="1" applyAlignment="1">
      <alignment horizontal="right"/>
    </xf>
    <xf numFmtId="166" fontId="1" fillId="0" borderId="0" xfId="2" applyNumberFormat="1" applyFont="1"/>
    <xf numFmtId="0" fontId="0" fillId="0" borderId="0" xfId="0" applyFill="1" applyAlignment="1">
      <alignment horizontal="right"/>
    </xf>
    <xf numFmtId="0" fontId="6" fillId="0" borderId="0" xfId="0" applyFont="1"/>
    <xf numFmtId="166" fontId="0" fillId="0" borderId="0" xfId="2" applyNumberFormat="1" applyFont="1" applyAlignment="1">
      <alignment horizontal="right"/>
    </xf>
    <xf numFmtId="0" fontId="0" fillId="2" borderId="0" xfId="0" applyFill="1"/>
    <xf numFmtId="43" fontId="1" fillId="2" borderId="0" xfId="1" applyFont="1" applyFill="1"/>
    <xf numFmtId="43" fontId="0" fillId="2" borderId="0" xfId="1" applyFont="1" applyFill="1"/>
    <xf numFmtId="43" fontId="0" fillId="2" borderId="0" xfId="0" applyNumberFormat="1" applyFill="1"/>
    <xf numFmtId="0" fontId="0" fillId="3" borderId="0" xfId="0" applyFill="1"/>
    <xf numFmtId="43" fontId="1" fillId="3" borderId="0" xfId="1" applyFont="1" applyFill="1"/>
    <xf numFmtId="43" fontId="0" fillId="3" borderId="0" xfId="1" applyFont="1" applyFill="1"/>
    <xf numFmtId="43" fontId="0" fillId="3" borderId="0" xfId="0" applyNumberFormat="1" applyFill="1"/>
    <xf numFmtId="0" fontId="0" fillId="0" borderId="4" xfId="0" applyBorder="1"/>
    <xf numFmtId="3" fontId="0" fillId="0" borderId="4" xfId="0" applyNumberFormat="1" applyBorder="1" applyAlignment="1">
      <alignment horizontal="right"/>
    </xf>
    <xf numFmtId="43" fontId="1" fillId="0" borderId="0" xfId="1" applyFont="1" applyFill="1"/>
    <xf numFmtId="43" fontId="0" fillId="0" borderId="0" xfId="1" applyFont="1" applyFill="1"/>
    <xf numFmtId="43" fontId="0" fillId="0" borderId="0" xfId="0" applyNumberFormat="1" applyFill="1"/>
    <xf numFmtId="0" fontId="0" fillId="0" borderId="0" xfId="0" applyFill="1" applyBorder="1" applyAlignment="1">
      <alignment horizontal="right"/>
    </xf>
    <xf numFmtId="14" fontId="0" fillId="0" borderId="0" xfId="0" applyNumberFormat="1"/>
    <xf numFmtId="165" fontId="1" fillId="0" borderId="0" xfId="2" applyNumberFormat="1" applyFont="1"/>
    <xf numFmtId="4" fontId="0" fillId="0" borderId="0" xfId="0" applyNumberFormat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4" fontId="0" fillId="0" borderId="0" xfId="0" applyNumberFormat="1" applyAlignment="1">
      <alignment horizontal="center"/>
    </xf>
    <xf numFmtId="166" fontId="1" fillId="0" borderId="0" xfId="2" applyNumberFormat="1" applyFont="1" applyAlignment="1">
      <alignment horizontal="right"/>
    </xf>
    <xf numFmtId="3" fontId="0" fillId="0" borderId="0" xfId="0" applyNumberFormat="1" applyBorder="1" applyAlignment="1">
      <alignment horizontal="right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left" wrapText="1"/>
    </xf>
    <xf numFmtId="166" fontId="1" fillId="0" borderId="0" xfId="3" applyNumberFormat="1" applyFont="1"/>
    <xf numFmtId="4" fontId="0" fillId="0" borderId="0" xfId="0" applyNumberFormat="1" applyBorder="1" applyAlignment="1">
      <alignment horizontal="right"/>
    </xf>
    <xf numFmtId="165" fontId="1" fillId="0" borderId="0" xfId="3" applyNumberFormat="1" applyFont="1" applyAlignment="1">
      <alignment horizontal="right"/>
    </xf>
    <xf numFmtId="0" fontId="7" fillId="0" borderId="0" xfId="0" applyFont="1"/>
    <xf numFmtId="164" fontId="0" fillId="0" borderId="0" xfId="0" applyNumberFormat="1" applyAlignment="1">
      <alignment horizontal="right"/>
    </xf>
    <xf numFmtId="4" fontId="0" fillId="0" borderId="0" xfId="1" applyNumberFormat="1" applyFont="1"/>
    <xf numFmtId="0" fontId="8" fillId="0" borderId="0" xfId="0" applyFont="1"/>
  </cellXfs>
  <cellStyles count="4">
    <cellStyle name="Comma" xfId="1" builtinId="3"/>
    <cellStyle name="Normal" xfId="0" builtinId="0"/>
    <cellStyle name="Percent" xfId="2" builtinId="5"/>
    <cellStyle name="Percent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Y10 School Districts Qualifying for Stabilization Funds" connectionId="2" autoFormatId="0" applyNumberFormats="0" applyBorderFormats="0" applyFontFormats="1" applyPatternFormats="1" applyAlignmentFormats="0" applyWidthHeightFormats="0">
  <queryTableRefresh nextId="7">
    <queryTableFields count="6">
      <queryTableField id="1" name="dat_yer"/>
      <queryTableField id="2" name="dst_num"/>
      <queryTableField id="3" name="dst_tye"/>
      <queryTableField id="4" name="uni_nam"/>
      <queryTableField id="5" name="tot_gen_edu_rev"/>
      <queryTableField id="6" name="fed_aid_red"/>
    </queryTableFields>
  </queryTableRefresh>
</queryTable>
</file>

<file path=xl/queryTables/queryTable2.xml><?xml version="1.0" encoding="utf-8"?>
<queryTable xmlns="http://schemas.openxmlformats.org/spreadsheetml/2006/main" name="FY10 School Districts Qualifying for Stabilization Funds" connectionId="3" autoFormatId="0" applyNumberFormats="0" applyBorderFormats="0" applyFontFormats="1" applyPatternFormats="1" applyAlignmentFormats="0" applyWidthHeightFormats="0">
  <queryTableRefresh nextId="7">
    <queryTableFields count="6">
      <queryTableField id="1" name="dat_yer"/>
      <queryTableField id="2" name="dst_num"/>
      <queryTableField id="3" name="dst_tye"/>
      <queryTableField id="4" name="uni_nam"/>
      <queryTableField id="5" name="tot_gen_edu_rev"/>
      <queryTableField id="6" name="fed_aid_red"/>
    </queryTableFields>
  </queryTableRefresh>
</queryTable>
</file>

<file path=xl/queryTables/queryTable3.xml><?xml version="1.0" encoding="utf-8"?>
<queryTable xmlns="http://schemas.openxmlformats.org/spreadsheetml/2006/main" name="FY10 Charter Schools Qualifying for Stabilization Funds" connectionId="1" autoFormatId="0" applyNumberFormats="0" applyBorderFormats="0" applyFontFormats="1" applyPatternFormats="1" applyAlignmentFormats="0" applyWidthHeightFormats="0">
  <queryTableRefresh nextId="7">
    <queryTableFields count="6">
      <queryTableField id="1" name="dat_yer"/>
      <queryTableField id="2" name="dst_num"/>
      <queryTableField id="3" name="dst_tye"/>
      <queryTableField id="4" name="uni_nam"/>
      <queryTableField id="6" dataBound="0" fillFormulas="1"/>
      <queryTableField id="5" name="fed_aid_red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520"/>
  <sheetViews>
    <sheetView tabSelected="1" zoomScale="90" workbookViewId="0">
      <pane xSplit="3" ySplit="13" topLeftCell="D14" activePane="bottomRight" state="frozen"/>
      <selection pane="topRight" activeCell="T1" sqref="T1"/>
      <selection pane="bottomLeft" activeCell="A14" sqref="A14"/>
      <selection pane="bottomRight"/>
    </sheetView>
  </sheetViews>
  <sheetFormatPr defaultRowHeight="12.75" x14ac:dyDescent="0.2"/>
  <cols>
    <col min="1" max="1" width="5.7109375" customWidth="1"/>
    <col min="2" max="2" width="6" bestFit="1" customWidth="1"/>
    <col min="3" max="3" width="38.28515625" customWidth="1"/>
    <col min="4" max="5" width="18.7109375" style="8" customWidth="1"/>
    <col min="6" max="6" width="16.7109375" style="8" customWidth="1"/>
    <col min="7" max="7" width="18.7109375" style="8" customWidth="1"/>
    <col min="8" max="11" width="18.7109375" customWidth="1"/>
  </cols>
  <sheetData>
    <row r="1" spans="1:11" x14ac:dyDescent="0.2">
      <c r="A1" t="s">
        <v>499</v>
      </c>
      <c r="H1" s="8"/>
      <c r="I1" s="8"/>
      <c r="K1" s="8" t="s">
        <v>500</v>
      </c>
    </row>
    <row r="2" spans="1:11" x14ac:dyDescent="0.2">
      <c r="A2" t="s">
        <v>501</v>
      </c>
      <c r="G2" s="9"/>
      <c r="H2" s="12"/>
      <c r="I2" s="12"/>
      <c r="K2" s="12" t="s">
        <v>1007</v>
      </c>
    </row>
    <row r="3" spans="1:11" x14ac:dyDescent="0.2">
      <c r="A3" t="s">
        <v>502</v>
      </c>
    </row>
    <row r="4" spans="1:11" x14ac:dyDescent="0.2">
      <c r="A4" s="25" t="s">
        <v>999</v>
      </c>
    </row>
    <row r="5" spans="1:11" x14ac:dyDescent="0.2">
      <c r="A5" s="25"/>
      <c r="B5" s="19"/>
      <c r="C5" s="19"/>
      <c r="D5" s="24"/>
      <c r="E5" s="24"/>
      <c r="F5" s="24"/>
      <c r="G5" s="24"/>
      <c r="H5" s="19"/>
      <c r="I5" s="20"/>
      <c r="J5" s="8"/>
    </row>
    <row r="6" spans="1:11" x14ac:dyDescent="0.2">
      <c r="A6" s="13"/>
      <c r="C6" s="7"/>
      <c r="D6" s="8" t="s">
        <v>503</v>
      </c>
      <c r="E6" s="8" t="s">
        <v>504</v>
      </c>
      <c r="F6" s="8" t="s">
        <v>505</v>
      </c>
      <c r="G6" s="8" t="s">
        <v>506</v>
      </c>
      <c r="H6" s="47" t="s">
        <v>507</v>
      </c>
      <c r="I6" s="44" t="s">
        <v>996</v>
      </c>
      <c r="J6" s="8" t="s">
        <v>995</v>
      </c>
      <c r="K6" s="8" t="s">
        <v>541</v>
      </c>
    </row>
    <row r="7" spans="1:11" x14ac:dyDescent="0.2">
      <c r="A7" s="13"/>
      <c r="C7" s="7"/>
      <c r="D7" s="8" t="s">
        <v>508</v>
      </c>
      <c r="E7" s="8" t="s">
        <v>509</v>
      </c>
      <c r="F7" s="8" t="s">
        <v>510</v>
      </c>
      <c r="G7" s="8" t="s">
        <v>997</v>
      </c>
      <c r="H7" s="47" t="s">
        <v>512</v>
      </c>
      <c r="I7" s="44" t="s">
        <v>512</v>
      </c>
      <c r="J7" s="40" t="s">
        <v>537</v>
      </c>
      <c r="K7" s="40" t="s">
        <v>542</v>
      </c>
    </row>
    <row r="8" spans="1:11" x14ac:dyDescent="0.2">
      <c r="A8" s="13"/>
      <c r="C8" s="7"/>
      <c r="D8" s="8" t="s">
        <v>513</v>
      </c>
      <c r="E8" s="8" t="s">
        <v>514</v>
      </c>
      <c r="F8" s="8" t="s">
        <v>515</v>
      </c>
      <c r="G8" s="8" t="s">
        <v>533</v>
      </c>
      <c r="H8" s="47" t="s">
        <v>516</v>
      </c>
      <c r="I8" s="44" t="s">
        <v>516</v>
      </c>
      <c r="J8" s="8" t="s">
        <v>998</v>
      </c>
      <c r="K8" s="41">
        <v>39996</v>
      </c>
    </row>
    <row r="9" spans="1:11" ht="13.5" thickBot="1" x14ac:dyDescent="0.25">
      <c r="A9" s="14" t="s">
        <v>517</v>
      </c>
      <c r="B9" s="14" t="s">
        <v>518</v>
      </c>
      <c r="C9" s="15" t="s">
        <v>519</v>
      </c>
      <c r="D9" s="16" t="s">
        <v>520</v>
      </c>
      <c r="E9" s="16" t="s">
        <v>505</v>
      </c>
      <c r="F9" s="16" t="s">
        <v>521</v>
      </c>
      <c r="G9" s="16" t="s">
        <v>505</v>
      </c>
      <c r="H9" s="16" t="s">
        <v>1009</v>
      </c>
      <c r="I9" s="45" t="s">
        <v>1010</v>
      </c>
      <c r="J9" s="16" t="s">
        <v>538</v>
      </c>
      <c r="K9" s="16" t="s">
        <v>538</v>
      </c>
    </row>
    <row r="10" spans="1:11" x14ac:dyDescent="0.2">
      <c r="C10" s="7"/>
      <c r="H10" s="47"/>
      <c r="I10" s="44"/>
    </row>
    <row r="11" spans="1:11" x14ac:dyDescent="0.2">
      <c r="C11" s="7" t="s">
        <v>523</v>
      </c>
      <c r="D11" s="21">
        <f>SUM(D14:D488)</f>
        <v>5746447407.1599998</v>
      </c>
      <c r="E11" s="21">
        <f>SUM(E14:E488)</f>
        <v>-500000000.00000018</v>
      </c>
      <c r="F11" s="54">
        <f>IF(D11&gt;0,ROUND(E11/D11,10),0)</f>
        <v>-8.7010280400000001E-2</v>
      </c>
      <c r="G11" s="21">
        <f>SUM(G14:G488)</f>
        <v>500000000.00000018</v>
      </c>
      <c r="H11" s="55">
        <f>SUM(H14:H488)</f>
        <v>334999999.94999993</v>
      </c>
      <c r="I11" s="46">
        <f>SUM(I14:I488)</f>
        <v>165000000.05000016</v>
      </c>
      <c r="J11" s="21">
        <f>SUM(J14:J488)</f>
        <v>499999999.9799999</v>
      </c>
      <c r="K11" s="21">
        <f>G11-J11</f>
        <v>2.0000278949737549E-2</v>
      </c>
    </row>
    <row r="12" spans="1:11" x14ac:dyDescent="0.2">
      <c r="C12" s="7"/>
      <c r="D12" s="21"/>
      <c r="E12" s="21"/>
      <c r="G12" s="21"/>
      <c r="H12" s="55"/>
      <c r="I12" s="46"/>
    </row>
    <row r="13" spans="1:11" hidden="1" x14ac:dyDescent="0.2">
      <c r="A13" t="s">
        <v>1</v>
      </c>
      <c r="B13" t="s">
        <v>2</v>
      </c>
      <c r="C13" s="7" t="s">
        <v>3</v>
      </c>
      <c r="D13" s="21" t="s">
        <v>4</v>
      </c>
      <c r="E13" s="21" t="s">
        <v>5</v>
      </c>
      <c r="G13" s="21"/>
      <c r="H13" s="55"/>
      <c r="I13" s="46"/>
    </row>
    <row r="14" spans="1:11" x14ac:dyDescent="0.2">
      <c r="A14">
        <v>1</v>
      </c>
      <c r="B14">
        <v>1</v>
      </c>
      <c r="C14" s="7" t="s">
        <v>7</v>
      </c>
      <c r="D14" s="21">
        <v>9328153.3599999994</v>
      </c>
      <c r="E14" s="59">
        <f>ROUND(-D14*$D$520,2)</f>
        <v>-811645.24</v>
      </c>
      <c r="F14" s="56">
        <f>IF(D14&gt;0,ROUND(E14/D14,7),"na   ")</f>
        <v>-8.7010299999999999E-2</v>
      </c>
      <c r="G14" s="21">
        <f t="shared" ref="G14:G77" si="0">E14*-1</f>
        <v>811645.24</v>
      </c>
      <c r="H14" s="55">
        <v>543783.07999999996</v>
      </c>
      <c r="I14" s="46">
        <f>G14-H14</f>
        <v>267862.16000000003</v>
      </c>
      <c r="J14" s="43">
        <v>811616.53</v>
      </c>
      <c r="K14" s="43">
        <f>G14-J14</f>
        <v>28.709999999962747</v>
      </c>
    </row>
    <row r="15" spans="1:11" x14ac:dyDescent="0.2">
      <c r="A15">
        <v>1</v>
      </c>
      <c r="B15">
        <v>3</v>
      </c>
      <c r="C15" s="7" t="s">
        <v>8</v>
      </c>
      <c r="D15" s="21">
        <v>294798519.26999998</v>
      </c>
      <c r="E15" s="59">
        <f>ROUND(-D15*$D$520,2)+0.15</f>
        <v>-25650501.670000002</v>
      </c>
      <c r="F15" s="56">
        <f t="shared" ref="F15:F78" si="1">IF(D15&gt;0,ROUND(E15/D15,7),"na   ")</f>
        <v>-8.7010299999999999E-2</v>
      </c>
      <c r="G15" s="21">
        <f>E15*-1</f>
        <v>25650501.670000002</v>
      </c>
      <c r="H15" s="55">
        <v>17185228.309999999</v>
      </c>
      <c r="I15" s="46">
        <f t="shared" ref="I15:I78" si="2">G15-H15</f>
        <v>8465273.3600000031</v>
      </c>
      <c r="J15" s="43">
        <v>25649594.489999998</v>
      </c>
      <c r="K15" s="43">
        <f t="shared" ref="K15:K78" si="3">G15-J15</f>
        <v>907.18000000342727</v>
      </c>
    </row>
    <row r="16" spans="1:11" x14ac:dyDescent="0.2">
      <c r="A16">
        <v>2</v>
      </c>
      <c r="B16">
        <v>1</v>
      </c>
      <c r="C16" s="7" t="s">
        <v>9</v>
      </c>
      <c r="D16" s="21">
        <v>2766922.62</v>
      </c>
      <c r="E16" s="59">
        <f t="shared" ref="E16:E78" si="4">ROUND(-D16*$D$520,2)</f>
        <v>-240750.71</v>
      </c>
      <c r="F16" s="56">
        <f t="shared" si="1"/>
        <v>-8.7010299999999999E-2</v>
      </c>
      <c r="G16" s="21">
        <f t="shared" si="0"/>
        <v>240750.71</v>
      </c>
      <c r="H16" s="55">
        <v>161297.26999999999</v>
      </c>
      <c r="I16" s="46">
        <f t="shared" si="2"/>
        <v>79453.440000000002</v>
      </c>
      <c r="J16" s="43">
        <v>240742.2</v>
      </c>
      <c r="K16" s="43">
        <f t="shared" si="3"/>
        <v>8.5099999999802094</v>
      </c>
    </row>
    <row r="17" spans="1:11" x14ac:dyDescent="0.2">
      <c r="A17">
        <v>4</v>
      </c>
      <c r="B17">
        <v>1</v>
      </c>
      <c r="C17" s="7" t="s">
        <v>10</v>
      </c>
      <c r="D17" s="21">
        <v>3657448.83</v>
      </c>
      <c r="E17" s="59">
        <f t="shared" si="4"/>
        <v>-318235.65000000002</v>
      </c>
      <c r="F17" s="56">
        <f t="shared" si="1"/>
        <v>-8.7010299999999999E-2</v>
      </c>
      <c r="G17" s="21">
        <f t="shared" si="0"/>
        <v>318235.65000000002</v>
      </c>
      <c r="H17" s="55">
        <v>213210.34</v>
      </c>
      <c r="I17" s="46">
        <f t="shared" si="2"/>
        <v>105025.31000000003</v>
      </c>
      <c r="J17" s="43">
        <v>318224.39</v>
      </c>
      <c r="K17" s="43">
        <f t="shared" si="3"/>
        <v>11.260000000009313</v>
      </c>
    </row>
    <row r="18" spans="1:11" x14ac:dyDescent="0.2">
      <c r="A18">
        <v>6</v>
      </c>
      <c r="B18">
        <v>3</v>
      </c>
      <c r="C18" s="7" t="s">
        <v>11</v>
      </c>
      <c r="D18" s="21">
        <v>23262965.870000001</v>
      </c>
      <c r="E18" s="59">
        <f t="shared" si="4"/>
        <v>-2024117.18</v>
      </c>
      <c r="F18" s="56">
        <f t="shared" si="1"/>
        <v>-8.7010299999999999E-2</v>
      </c>
      <c r="G18" s="21">
        <f t="shared" si="0"/>
        <v>2024117.18</v>
      </c>
      <c r="H18" s="55">
        <v>1356110.54</v>
      </c>
      <c r="I18" s="46">
        <f t="shared" si="2"/>
        <v>668006.6399999999</v>
      </c>
      <c r="J18" s="43">
        <v>2024045.58</v>
      </c>
      <c r="K18" s="43">
        <f t="shared" si="3"/>
        <v>71.599999999860302</v>
      </c>
    </row>
    <row r="19" spans="1:11" x14ac:dyDescent="0.2">
      <c r="A19">
        <v>11</v>
      </c>
      <c r="B19">
        <v>1</v>
      </c>
      <c r="C19" s="7" t="s">
        <v>12</v>
      </c>
      <c r="D19" s="21">
        <v>264601342.59</v>
      </c>
      <c r="E19" s="59">
        <f t="shared" si="4"/>
        <v>-23023037.010000002</v>
      </c>
      <c r="F19" s="56">
        <f t="shared" si="1"/>
        <v>-8.7010299999999999E-2</v>
      </c>
      <c r="G19" s="21">
        <f t="shared" si="0"/>
        <v>23023037.010000002</v>
      </c>
      <c r="H19" s="55">
        <v>15424889.16</v>
      </c>
      <c r="I19" s="46">
        <f t="shared" si="2"/>
        <v>7598147.8500000015</v>
      </c>
      <c r="J19" s="43">
        <v>23022222.620000001</v>
      </c>
      <c r="K19" s="43">
        <f t="shared" si="3"/>
        <v>814.39000000059605</v>
      </c>
    </row>
    <row r="20" spans="1:11" x14ac:dyDescent="0.2">
      <c r="A20">
        <v>12</v>
      </c>
      <c r="B20">
        <v>1</v>
      </c>
      <c r="C20" s="7" t="s">
        <v>13</v>
      </c>
      <c r="D20" s="21">
        <v>45771927.670000002</v>
      </c>
      <c r="E20" s="59">
        <f t="shared" si="4"/>
        <v>-3982628.26</v>
      </c>
      <c r="F20" s="56">
        <f t="shared" si="1"/>
        <v>-8.7010299999999999E-2</v>
      </c>
      <c r="G20" s="21">
        <f t="shared" si="0"/>
        <v>3982628.26</v>
      </c>
      <c r="H20" s="55">
        <v>2668266.54</v>
      </c>
      <c r="I20" s="46">
        <f t="shared" si="2"/>
        <v>1314361.7199999997</v>
      </c>
      <c r="J20" s="43">
        <v>3982487.38</v>
      </c>
      <c r="K20" s="43">
        <f t="shared" si="3"/>
        <v>140.87999999988824</v>
      </c>
    </row>
    <row r="21" spans="1:11" x14ac:dyDescent="0.2">
      <c r="A21">
        <v>13</v>
      </c>
      <c r="B21">
        <v>1</v>
      </c>
      <c r="C21" s="7" t="s">
        <v>14</v>
      </c>
      <c r="D21" s="21">
        <v>22123909.879999999</v>
      </c>
      <c r="E21" s="59">
        <f t="shared" si="4"/>
        <v>-1925007.6</v>
      </c>
      <c r="F21" s="56">
        <f t="shared" si="1"/>
        <v>-8.7010299999999999E-2</v>
      </c>
      <c r="G21" s="21">
        <f t="shared" si="0"/>
        <v>1925007.6</v>
      </c>
      <c r="H21" s="55">
        <v>1289709.47</v>
      </c>
      <c r="I21" s="46">
        <f t="shared" si="2"/>
        <v>635298.13000000012</v>
      </c>
      <c r="J21" s="43">
        <v>1924939.51</v>
      </c>
      <c r="K21" s="43">
        <f t="shared" si="3"/>
        <v>68.090000000083819</v>
      </c>
    </row>
    <row r="22" spans="1:11" x14ac:dyDescent="0.2">
      <c r="A22">
        <v>14</v>
      </c>
      <c r="B22">
        <v>1</v>
      </c>
      <c r="C22" s="7" t="s">
        <v>15</v>
      </c>
      <c r="D22" s="21">
        <v>19584387.93</v>
      </c>
      <c r="E22" s="59">
        <f t="shared" si="4"/>
        <v>-1704043.09</v>
      </c>
      <c r="F22" s="56">
        <f t="shared" si="1"/>
        <v>-8.7010299999999999E-2</v>
      </c>
      <c r="G22" s="21">
        <f t="shared" si="0"/>
        <v>1704043.09</v>
      </c>
      <c r="H22" s="55">
        <v>1141668.48</v>
      </c>
      <c r="I22" s="46">
        <f t="shared" si="2"/>
        <v>562374.6100000001</v>
      </c>
      <c r="J22" s="43">
        <v>1703982.81</v>
      </c>
      <c r="K22" s="43">
        <f t="shared" si="3"/>
        <v>60.28000000002794</v>
      </c>
    </row>
    <row r="23" spans="1:11" x14ac:dyDescent="0.2">
      <c r="A23">
        <v>15</v>
      </c>
      <c r="B23">
        <v>1</v>
      </c>
      <c r="C23" s="7" t="s">
        <v>16</v>
      </c>
      <c r="D23" s="21">
        <v>38514928.890000001</v>
      </c>
      <c r="E23" s="59">
        <f t="shared" si="4"/>
        <v>-3351194.76</v>
      </c>
      <c r="F23" s="56">
        <f t="shared" si="1"/>
        <v>-8.7010299999999999E-2</v>
      </c>
      <c r="G23" s="21">
        <f t="shared" si="0"/>
        <v>3351194.76</v>
      </c>
      <c r="H23" s="55">
        <v>2245221.0699999998</v>
      </c>
      <c r="I23" s="46">
        <f t="shared" si="2"/>
        <v>1105973.69</v>
      </c>
      <c r="J23" s="43">
        <v>3351076.22</v>
      </c>
      <c r="K23" s="43">
        <f t="shared" si="3"/>
        <v>118.53999999957159</v>
      </c>
    </row>
    <row r="24" spans="1:11" x14ac:dyDescent="0.2">
      <c r="A24">
        <v>16</v>
      </c>
      <c r="B24">
        <v>1</v>
      </c>
      <c r="C24" s="7" t="s">
        <v>17</v>
      </c>
      <c r="D24" s="21">
        <v>31292831.18</v>
      </c>
      <c r="E24" s="59">
        <f t="shared" si="4"/>
        <v>-2722798.02</v>
      </c>
      <c r="F24" s="56">
        <f t="shared" si="1"/>
        <v>-8.7010299999999999E-2</v>
      </c>
      <c r="G24" s="21">
        <f t="shared" si="0"/>
        <v>2722798.02</v>
      </c>
      <c r="H24" s="55">
        <v>1824210.14</v>
      </c>
      <c r="I24" s="46">
        <f t="shared" si="2"/>
        <v>898587.88000000012</v>
      </c>
      <c r="J24" s="43">
        <v>2722701.7</v>
      </c>
      <c r="K24" s="43">
        <f t="shared" si="3"/>
        <v>96.319999999832362</v>
      </c>
    </row>
    <row r="25" spans="1:11" x14ac:dyDescent="0.2">
      <c r="A25">
        <v>22</v>
      </c>
      <c r="B25">
        <v>1</v>
      </c>
      <c r="C25" s="7" t="s">
        <v>18</v>
      </c>
      <c r="D25" s="21">
        <v>18319097.809999999</v>
      </c>
      <c r="E25" s="59">
        <f t="shared" si="4"/>
        <v>-1593949.84</v>
      </c>
      <c r="F25" s="56">
        <f t="shared" si="1"/>
        <v>-8.7010299999999999E-2</v>
      </c>
      <c r="G25" s="21">
        <f t="shared" si="0"/>
        <v>1593949.84</v>
      </c>
      <c r="H25" s="55">
        <v>1067908.6100000001</v>
      </c>
      <c r="I25" s="46">
        <f t="shared" si="2"/>
        <v>526041.23</v>
      </c>
      <c r="J25" s="43">
        <v>1593893.45</v>
      </c>
      <c r="K25" s="43">
        <f t="shared" si="3"/>
        <v>56.390000000130385</v>
      </c>
    </row>
    <row r="26" spans="1:11" x14ac:dyDescent="0.2">
      <c r="A26">
        <v>23</v>
      </c>
      <c r="B26">
        <v>1</v>
      </c>
      <c r="C26" s="7" t="s">
        <v>19</v>
      </c>
      <c r="D26" s="21">
        <v>6750946.0700000003</v>
      </c>
      <c r="E26" s="59">
        <f t="shared" si="4"/>
        <v>-587401.71</v>
      </c>
      <c r="F26" s="56">
        <f t="shared" si="1"/>
        <v>-8.7010299999999999E-2</v>
      </c>
      <c r="G26" s="21">
        <f t="shared" si="0"/>
        <v>587401.71</v>
      </c>
      <c r="H26" s="55">
        <v>393545.22</v>
      </c>
      <c r="I26" s="46">
        <f t="shared" si="2"/>
        <v>193856.49</v>
      </c>
      <c r="J26" s="43">
        <v>587380.93000000005</v>
      </c>
      <c r="K26" s="43">
        <f t="shared" si="3"/>
        <v>20.779999999911524</v>
      </c>
    </row>
    <row r="27" spans="1:11" x14ac:dyDescent="0.2">
      <c r="A27">
        <v>25</v>
      </c>
      <c r="B27">
        <v>1</v>
      </c>
      <c r="C27" s="7" t="s">
        <v>20</v>
      </c>
      <c r="D27" s="21">
        <v>703111.69</v>
      </c>
      <c r="E27" s="59">
        <f t="shared" si="4"/>
        <v>-61177.95</v>
      </c>
      <c r="F27" s="56">
        <f t="shared" si="1"/>
        <v>-8.7010299999999999E-2</v>
      </c>
      <c r="G27" s="21">
        <f t="shared" si="0"/>
        <v>61177.95</v>
      </c>
      <c r="H27" s="55">
        <v>40987.769999999997</v>
      </c>
      <c r="I27" s="46">
        <f t="shared" si="2"/>
        <v>20190.18</v>
      </c>
      <c r="J27" s="43">
        <v>61175.78</v>
      </c>
      <c r="K27" s="43">
        <f t="shared" si="3"/>
        <v>2.1699999999982538</v>
      </c>
    </row>
    <row r="28" spans="1:11" x14ac:dyDescent="0.2">
      <c r="A28">
        <v>31</v>
      </c>
      <c r="B28">
        <v>1</v>
      </c>
      <c r="C28" s="7" t="s">
        <v>21</v>
      </c>
      <c r="D28" s="21">
        <v>33285009.010000002</v>
      </c>
      <c r="E28" s="59">
        <f t="shared" si="4"/>
        <v>-2896137.97</v>
      </c>
      <c r="F28" s="56">
        <f t="shared" si="1"/>
        <v>-8.7010299999999999E-2</v>
      </c>
      <c r="G28" s="21">
        <f t="shared" si="0"/>
        <v>2896137.97</v>
      </c>
      <c r="H28" s="55">
        <v>1940343.8</v>
      </c>
      <c r="I28" s="46">
        <f t="shared" si="2"/>
        <v>955794.17000000016</v>
      </c>
      <c r="J28" s="43">
        <v>2896035.52</v>
      </c>
      <c r="K28" s="43">
        <f t="shared" si="3"/>
        <v>102.45000000018626</v>
      </c>
    </row>
    <row r="29" spans="1:11" x14ac:dyDescent="0.2">
      <c r="A29">
        <v>32</v>
      </c>
      <c r="B29">
        <v>1</v>
      </c>
      <c r="C29" s="7" t="s">
        <v>22</v>
      </c>
      <c r="D29" s="21">
        <v>5224015.0199999996</v>
      </c>
      <c r="E29" s="59">
        <f t="shared" si="4"/>
        <v>-454543.01</v>
      </c>
      <c r="F29" s="56">
        <f t="shared" si="1"/>
        <v>-8.7010299999999999E-2</v>
      </c>
      <c r="G29" s="21">
        <f t="shared" si="0"/>
        <v>454543.01</v>
      </c>
      <c r="H29" s="55">
        <v>304533.03999999998</v>
      </c>
      <c r="I29" s="46">
        <f t="shared" si="2"/>
        <v>150009.97000000003</v>
      </c>
      <c r="J29" s="43">
        <v>454526.93</v>
      </c>
      <c r="K29" s="43">
        <f t="shared" si="3"/>
        <v>16.080000000016298</v>
      </c>
    </row>
    <row r="30" spans="1:11" x14ac:dyDescent="0.2">
      <c r="A30">
        <v>36</v>
      </c>
      <c r="B30">
        <v>1</v>
      </c>
      <c r="C30" s="7" t="s">
        <v>23</v>
      </c>
      <c r="D30" s="21">
        <v>2831595.59</v>
      </c>
      <c r="E30" s="59">
        <f t="shared" si="4"/>
        <v>-246377.93</v>
      </c>
      <c r="F30" s="56">
        <f t="shared" si="1"/>
        <v>-8.7010299999999999E-2</v>
      </c>
      <c r="G30" s="21">
        <f t="shared" si="0"/>
        <v>246377.93</v>
      </c>
      <c r="H30" s="55">
        <v>165067.37</v>
      </c>
      <c r="I30" s="46">
        <f t="shared" si="2"/>
        <v>81310.559999999998</v>
      </c>
      <c r="J30" s="43">
        <v>246369.21</v>
      </c>
      <c r="K30" s="43">
        <f t="shared" si="3"/>
        <v>8.7200000000011642</v>
      </c>
    </row>
    <row r="31" spans="1:11" x14ac:dyDescent="0.2">
      <c r="A31">
        <v>38</v>
      </c>
      <c r="B31">
        <v>1</v>
      </c>
      <c r="C31" s="7" t="s">
        <v>24</v>
      </c>
      <c r="D31" s="21">
        <v>11701654.779999999</v>
      </c>
      <c r="E31" s="59">
        <f t="shared" si="4"/>
        <v>-1018164.26</v>
      </c>
      <c r="F31" s="56">
        <f t="shared" si="1"/>
        <v>-8.7010299999999999E-2</v>
      </c>
      <c r="G31" s="21">
        <f t="shared" si="0"/>
        <v>1018164.26</v>
      </c>
      <c r="H31" s="55">
        <v>682145.93</v>
      </c>
      <c r="I31" s="46">
        <f t="shared" si="2"/>
        <v>336018.32999999996</v>
      </c>
      <c r="J31" s="43">
        <v>1018128.25</v>
      </c>
      <c r="K31" s="43">
        <f t="shared" si="3"/>
        <v>36.010000000009313</v>
      </c>
    </row>
    <row r="32" spans="1:11" x14ac:dyDescent="0.2">
      <c r="A32">
        <v>47</v>
      </c>
      <c r="B32">
        <v>1</v>
      </c>
      <c r="C32" s="7" t="s">
        <v>25</v>
      </c>
      <c r="D32" s="21">
        <v>23919347.190000001</v>
      </c>
      <c r="E32" s="59">
        <f t="shared" si="4"/>
        <v>-2081229.11</v>
      </c>
      <c r="F32" s="56">
        <f t="shared" si="1"/>
        <v>-8.7010299999999999E-2</v>
      </c>
      <c r="G32" s="21">
        <f t="shared" si="0"/>
        <v>2081229.11</v>
      </c>
      <c r="H32" s="55">
        <v>1394374.18</v>
      </c>
      <c r="I32" s="46">
        <f t="shared" si="2"/>
        <v>686854.93000000017</v>
      </c>
      <c r="J32" s="43">
        <v>2081155.49</v>
      </c>
      <c r="K32" s="43">
        <f t="shared" si="3"/>
        <v>73.620000000111759</v>
      </c>
    </row>
    <row r="33" spans="1:11" x14ac:dyDescent="0.2">
      <c r="A33">
        <v>51</v>
      </c>
      <c r="B33">
        <v>1</v>
      </c>
      <c r="C33" s="7" t="s">
        <v>26</v>
      </c>
      <c r="D33" s="21">
        <v>10962757.48</v>
      </c>
      <c r="E33" s="59">
        <f t="shared" si="4"/>
        <v>-953872.6</v>
      </c>
      <c r="F33" s="56">
        <f t="shared" si="1"/>
        <v>-8.7010299999999999E-2</v>
      </c>
      <c r="G33" s="21">
        <f t="shared" si="0"/>
        <v>953872.6</v>
      </c>
      <c r="H33" s="55">
        <v>639072.04</v>
      </c>
      <c r="I33" s="46">
        <f t="shared" si="2"/>
        <v>314800.55999999994</v>
      </c>
      <c r="J33" s="43">
        <v>953838.86</v>
      </c>
      <c r="K33" s="43">
        <f t="shared" si="3"/>
        <v>33.739999999990687</v>
      </c>
    </row>
    <row r="34" spans="1:11" x14ac:dyDescent="0.2">
      <c r="A34">
        <v>75</v>
      </c>
      <c r="B34">
        <v>1</v>
      </c>
      <c r="C34" s="7" t="s">
        <v>27</v>
      </c>
      <c r="D34" s="21">
        <v>4013758.68</v>
      </c>
      <c r="E34" s="59">
        <f t="shared" si="4"/>
        <v>-349238.27</v>
      </c>
      <c r="F34" s="56">
        <f t="shared" si="1"/>
        <v>-8.7010299999999999E-2</v>
      </c>
      <c r="G34" s="21">
        <f t="shared" si="0"/>
        <v>349238.27</v>
      </c>
      <c r="H34" s="55">
        <v>233981.36</v>
      </c>
      <c r="I34" s="46">
        <f t="shared" si="2"/>
        <v>115256.91000000003</v>
      </c>
      <c r="J34" s="43">
        <v>349225.91</v>
      </c>
      <c r="K34" s="43">
        <f t="shared" si="3"/>
        <v>12.360000000044238</v>
      </c>
    </row>
    <row r="35" spans="1:11" x14ac:dyDescent="0.2">
      <c r="A35">
        <v>77</v>
      </c>
      <c r="B35">
        <v>1</v>
      </c>
      <c r="C35" s="7" t="s">
        <v>28</v>
      </c>
      <c r="D35" s="21">
        <v>47753478.630000003</v>
      </c>
      <c r="E35" s="59">
        <f t="shared" si="4"/>
        <v>-4155043.57</v>
      </c>
      <c r="F35" s="56">
        <f t="shared" si="1"/>
        <v>-8.7010299999999999E-2</v>
      </c>
      <c r="G35" s="21">
        <f t="shared" si="0"/>
        <v>4155043.57</v>
      </c>
      <c r="H35" s="55">
        <v>2783780.72</v>
      </c>
      <c r="I35" s="46">
        <f t="shared" si="2"/>
        <v>1371262.8499999996</v>
      </c>
      <c r="J35" s="43">
        <v>4154896.59</v>
      </c>
      <c r="K35" s="43">
        <f t="shared" si="3"/>
        <v>146.97999999998137</v>
      </c>
    </row>
    <row r="36" spans="1:11" x14ac:dyDescent="0.2">
      <c r="A36">
        <v>81</v>
      </c>
      <c r="B36">
        <v>1</v>
      </c>
      <c r="C36" s="7" t="s">
        <v>29</v>
      </c>
      <c r="D36" s="21">
        <v>1107975.04</v>
      </c>
      <c r="E36" s="59">
        <f t="shared" si="4"/>
        <v>-96405.22</v>
      </c>
      <c r="F36" s="56">
        <f t="shared" si="1"/>
        <v>-8.7010299999999999E-2</v>
      </c>
      <c r="G36" s="21">
        <f t="shared" si="0"/>
        <v>96405.22</v>
      </c>
      <c r="H36" s="55">
        <v>64589.21</v>
      </c>
      <c r="I36" s="46">
        <f t="shared" si="2"/>
        <v>31816.010000000002</v>
      </c>
      <c r="J36" s="43">
        <v>96401.81</v>
      </c>
      <c r="K36" s="43">
        <f t="shared" si="3"/>
        <v>3.4100000000034925</v>
      </c>
    </row>
    <row r="37" spans="1:11" x14ac:dyDescent="0.2">
      <c r="A37">
        <v>84</v>
      </c>
      <c r="B37">
        <v>1</v>
      </c>
      <c r="C37" s="7" t="s">
        <v>30</v>
      </c>
      <c r="D37" s="21">
        <v>4791215.55</v>
      </c>
      <c r="E37" s="59">
        <f t="shared" si="4"/>
        <v>-416885.01</v>
      </c>
      <c r="F37" s="56">
        <f t="shared" si="1"/>
        <v>-8.7010299999999999E-2</v>
      </c>
      <c r="G37" s="21">
        <f t="shared" si="0"/>
        <v>416885.01</v>
      </c>
      <c r="H37" s="55">
        <v>279303.07</v>
      </c>
      <c r="I37" s="46">
        <f t="shared" si="2"/>
        <v>137581.94</v>
      </c>
      <c r="J37" s="43">
        <v>416870.26</v>
      </c>
      <c r="K37" s="43">
        <f t="shared" si="3"/>
        <v>14.75</v>
      </c>
    </row>
    <row r="38" spans="1:11" x14ac:dyDescent="0.2">
      <c r="A38">
        <v>85</v>
      </c>
      <c r="B38">
        <v>1</v>
      </c>
      <c r="C38" s="7" t="s">
        <v>31</v>
      </c>
      <c r="D38" s="21">
        <v>4048622.9</v>
      </c>
      <c r="E38" s="59">
        <f t="shared" si="4"/>
        <v>-352271.81</v>
      </c>
      <c r="F38" s="56">
        <f t="shared" si="1"/>
        <v>-8.7010299999999999E-2</v>
      </c>
      <c r="G38" s="21">
        <f t="shared" si="0"/>
        <v>352271.81</v>
      </c>
      <c r="H38" s="55">
        <v>236013.76</v>
      </c>
      <c r="I38" s="46">
        <f t="shared" si="2"/>
        <v>116258.04999999999</v>
      </c>
      <c r="J38" s="43">
        <v>352259.35</v>
      </c>
      <c r="K38" s="43">
        <f t="shared" si="3"/>
        <v>12.460000000020955</v>
      </c>
    </row>
    <row r="39" spans="1:11" x14ac:dyDescent="0.2">
      <c r="A39">
        <v>88</v>
      </c>
      <c r="B39">
        <v>1</v>
      </c>
      <c r="C39" s="7" t="s">
        <v>32</v>
      </c>
      <c r="D39" s="21">
        <v>13827462.58</v>
      </c>
      <c r="E39" s="59">
        <f t="shared" si="4"/>
        <v>-1203131.3999999999</v>
      </c>
      <c r="F39" s="56">
        <f t="shared" si="1"/>
        <v>-8.7010299999999999E-2</v>
      </c>
      <c r="G39" s="21">
        <f t="shared" si="0"/>
        <v>1203131.3999999999</v>
      </c>
      <c r="H39" s="55">
        <v>806069.52</v>
      </c>
      <c r="I39" s="46">
        <f t="shared" si="2"/>
        <v>397061.87999999989</v>
      </c>
      <c r="J39" s="43">
        <v>1203088.8400000001</v>
      </c>
      <c r="K39" s="43">
        <f t="shared" si="3"/>
        <v>42.559999999823049</v>
      </c>
    </row>
    <row r="40" spans="1:11" x14ac:dyDescent="0.2">
      <c r="A40">
        <v>91</v>
      </c>
      <c r="B40">
        <v>1</v>
      </c>
      <c r="C40" s="7" t="s">
        <v>33</v>
      </c>
      <c r="D40" s="21">
        <v>4777300.3600000003</v>
      </c>
      <c r="E40" s="59">
        <f t="shared" si="4"/>
        <v>-415674.24</v>
      </c>
      <c r="F40" s="56">
        <f t="shared" si="1"/>
        <v>-8.7010299999999999E-2</v>
      </c>
      <c r="G40" s="21">
        <f t="shared" si="0"/>
        <v>415674.24</v>
      </c>
      <c r="H40" s="55">
        <v>278491.89</v>
      </c>
      <c r="I40" s="46">
        <f t="shared" si="2"/>
        <v>137182.34999999998</v>
      </c>
      <c r="J40" s="43">
        <v>415659.54</v>
      </c>
      <c r="K40" s="43">
        <f t="shared" si="3"/>
        <v>14.700000000011642</v>
      </c>
    </row>
    <row r="41" spans="1:11" x14ac:dyDescent="0.2">
      <c r="A41">
        <v>93</v>
      </c>
      <c r="B41">
        <v>1</v>
      </c>
      <c r="C41" s="7" t="s">
        <v>34</v>
      </c>
      <c r="D41" s="21">
        <v>4149454.88</v>
      </c>
      <c r="E41" s="59">
        <f t="shared" si="4"/>
        <v>-361045.23</v>
      </c>
      <c r="F41" s="56">
        <f t="shared" si="1"/>
        <v>-8.7010299999999999E-2</v>
      </c>
      <c r="G41" s="21">
        <f t="shared" si="0"/>
        <v>361045.23</v>
      </c>
      <c r="H41" s="55">
        <v>241891.75</v>
      </c>
      <c r="I41" s="46">
        <f t="shared" si="2"/>
        <v>119153.47999999998</v>
      </c>
      <c r="J41" s="43">
        <v>361032.46</v>
      </c>
      <c r="K41" s="43">
        <f t="shared" si="3"/>
        <v>12.769999999960419</v>
      </c>
    </row>
    <row r="42" spans="1:11" x14ac:dyDescent="0.2">
      <c r="A42">
        <v>94</v>
      </c>
      <c r="B42">
        <v>1</v>
      </c>
      <c r="C42" s="7" t="s">
        <v>35</v>
      </c>
      <c r="D42" s="21">
        <v>17938946.800000001</v>
      </c>
      <c r="E42" s="59">
        <f t="shared" si="4"/>
        <v>-1560872.79</v>
      </c>
      <c r="F42" s="56">
        <f t="shared" si="1"/>
        <v>-8.7010299999999999E-2</v>
      </c>
      <c r="G42" s="21">
        <f t="shared" si="0"/>
        <v>1560872.79</v>
      </c>
      <c r="H42" s="55">
        <v>1045747.78</v>
      </c>
      <c r="I42" s="46">
        <f t="shared" si="2"/>
        <v>515125.01</v>
      </c>
      <c r="J42" s="43">
        <v>1560817.58</v>
      </c>
      <c r="K42" s="43">
        <f t="shared" si="3"/>
        <v>55.209999999962747</v>
      </c>
    </row>
    <row r="43" spans="1:11" x14ac:dyDescent="0.2">
      <c r="A43">
        <v>95</v>
      </c>
      <c r="B43">
        <v>1</v>
      </c>
      <c r="C43" s="7" t="s">
        <v>36</v>
      </c>
      <c r="D43" s="21">
        <v>2589685.4900000002</v>
      </c>
      <c r="E43" s="59">
        <f t="shared" si="4"/>
        <v>-225329.26</v>
      </c>
      <c r="F43" s="56">
        <f t="shared" si="1"/>
        <v>-8.7010299999999999E-2</v>
      </c>
      <c r="G43" s="21">
        <f t="shared" si="0"/>
        <v>225329.26</v>
      </c>
      <c r="H43" s="55">
        <v>150965.26</v>
      </c>
      <c r="I43" s="46">
        <f t="shared" si="2"/>
        <v>74364</v>
      </c>
      <c r="J43" s="43">
        <v>225321.29</v>
      </c>
      <c r="K43" s="43">
        <f t="shared" si="3"/>
        <v>7.9700000000011642</v>
      </c>
    </row>
    <row r="44" spans="1:11" x14ac:dyDescent="0.2">
      <c r="A44">
        <v>97</v>
      </c>
      <c r="B44">
        <v>1</v>
      </c>
      <c r="C44" s="7" t="s">
        <v>37</v>
      </c>
      <c r="D44" s="21">
        <v>4964273.46</v>
      </c>
      <c r="E44" s="59">
        <f t="shared" si="4"/>
        <v>-431942.83</v>
      </c>
      <c r="F44" s="56">
        <f t="shared" si="1"/>
        <v>-8.7010299999999999E-2</v>
      </c>
      <c r="G44" s="21">
        <f t="shared" si="0"/>
        <v>431942.83</v>
      </c>
      <c r="H44" s="55">
        <v>289391.46000000002</v>
      </c>
      <c r="I44" s="46">
        <f t="shared" si="2"/>
        <v>142551.37</v>
      </c>
      <c r="J44" s="43">
        <v>431927.55</v>
      </c>
      <c r="K44" s="43">
        <f t="shared" si="3"/>
        <v>15.28000000002794</v>
      </c>
    </row>
    <row r="45" spans="1:11" x14ac:dyDescent="0.2">
      <c r="A45">
        <v>99</v>
      </c>
      <c r="B45">
        <v>1</v>
      </c>
      <c r="C45" s="7" t="s">
        <v>38</v>
      </c>
      <c r="D45" s="21">
        <v>7290763.1200000001</v>
      </c>
      <c r="E45" s="59">
        <f t="shared" si="4"/>
        <v>-634371.34</v>
      </c>
      <c r="F45" s="56">
        <f t="shared" si="1"/>
        <v>-8.7010299999999999E-2</v>
      </c>
      <c r="G45" s="21">
        <f t="shared" si="0"/>
        <v>634371.34</v>
      </c>
      <c r="H45" s="55">
        <v>425013.76000000001</v>
      </c>
      <c r="I45" s="46">
        <f t="shared" si="2"/>
        <v>209357.57999999996</v>
      </c>
      <c r="J45" s="43">
        <v>634348.9</v>
      </c>
      <c r="K45" s="43">
        <f t="shared" si="3"/>
        <v>22.439999999944121</v>
      </c>
    </row>
    <row r="46" spans="1:11" x14ac:dyDescent="0.2">
      <c r="A46">
        <v>100</v>
      </c>
      <c r="B46">
        <v>1</v>
      </c>
      <c r="C46" s="7" t="s">
        <v>39</v>
      </c>
      <c r="D46" s="21">
        <v>2276453.91</v>
      </c>
      <c r="E46" s="59">
        <f t="shared" si="4"/>
        <v>-198074.89</v>
      </c>
      <c r="F46" s="56">
        <f t="shared" si="1"/>
        <v>-8.7010299999999999E-2</v>
      </c>
      <c r="G46" s="21">
        <f t="shared" si="0"/>
        <v>198074.89</v>
      </c>
      <c r="H46" s="55">
        <v>132705.49</v>
      </c>
      <c r="I46" s="46">
        <f t="shared" si="2"/>
        <v>65369.400000000023</v>
      </c>
      <c r="J46" s="43">
        <v>198067.89</v>
      </c>
      <c r="K46" s="43">
        <f t="shared" si="3"/>
        <v>7</v>
      </c>
    </row>
    <row r="47" spans="1:11" x14ac:dyDescent="0.2">
      <c r="A47">
        <v>108</v>
      </c>
      <c r="B47">
        <v>1</v>
      </c>
      <c r="C47" s="7" t="s">
        <v>40</v>
      </c>
      <c r="D47" s="21">
        <v>6986442.8399999999</v>
      </c>
      <c r="E47" s="59">
        <f t="shared" si="4"/>
        <v>-607892.35</v>
      </c>
      <c r="F47" s="56">
        <f t="shared" si="1"/>
        <v>-8.7010299999999999E-2</v>
      </c>
      <c r="G47" s="21">
        <f t="shared" si="0"/>
        <v>607892.35</v>
      </c>
      <c r="H47" s="55">
        <v>407273.47</v>
      </c>
      <c r="I47" s="46">
        <f t="shared" si="2"/>
        <v>200618.88</v>
      </c>
      <c r="J47" s="43">
        <v>607870.85</v>
      </c>
      <c r="K47" s="43">
        <f t="shared" si="3"/>
        <v>21.5</v>
      </c>
    </row>
    <row r="48" spans="1:11" x14ac:dyDescent="0.2">
      <c r="A48">
        <v>110</v>
      </c>
      <c r="B48">
        <v>1</v>
      </c>
      <c r="C48" s="7" t="s">
        <v>41</v>
      </c>
      <c r="D48" s="21">
        <v>18710844.699999999</v>
      </c>
      <c r="E48" s="59">
        <f t="shared" si="4"/>
        <v>-1628035.84</v>
      </c>
      <c r="F48" s="56">
        <f t="shared" si="1"/>
        <v>-8.7010299999999999E-2</v>
      </c>
      <c r="G48" s="21">
        <f t="shared" si="0"/>
        <v>1628035.84</v>
      </c>
      <c r="H48" s="55">
        <v>1090745.43</v>
      </c>
      <c r="I48" s="46">
        <f t="shared" si="2"/>
        <v>537290.41000000015</v>
      </c>
      <c r="J48" s="43">
        <v>1627978.26</v>
      </c>
      <c r="K48" s="43">
        <f t="shared" si="3"/>
        <v>57.580000000074506</v>
      </c>
    </row>
    <row r="49" spans="1:11" x14ac:dyDescent="0.2">
      <c r="A49">
        <v>111</v>
      </c>
      <c r="B49">
        <v>1</v>
      </c>
      <c r="C49" s="7" t="s">
        <v>42</v>
      </c>
      <c r="D49" s="21">
        <v>10478602.869999999</v>
      </c>
      <c r="E49" s="59">
        <f t="shared" si="4"/>
        <v>-911746.17</v>
      </c>
      <c r="F49" s="56">
        <f t="shared" si="1"/>
        <v>-8.7010299999999999E-2</v>
      </c>
      <c r="G49" s="21">
        <f t="shared" si="0"/>
        <v>911746.17</v>
      </c>
      <c r="H49" s="55">
        <v>610848.32999999996</v>
      </c>
      <c r="I49" s="46">
        <f t="shared" si="2"/>
        <v>300897.84000000008</v>
      </c>
      <c r="J49" s="43">
        <v>911713.92</v>
      </c>
      <c r="K49" s="43">
        <f t="shared" si="3"/>
        <v>32.25</v>
      </c>
    </row>
    <row r="50" spans="1:11" x14ac:dyDescent="0.2">
      <c r="A50">
        <v>112</v>
      </c>
      <c r="B50">
        <v>1</v>
      </c>
      <c r="C50" s="7" t="s">
        <v>43</v>
      </c>
      <c r="D50" s="21">
        <v>56770389.479999997</v>
      </c>
      <c r="E50" s="59">
        <f t="shared" si="4"/>
        <v>-4939607.51</v>
      </c>
      <c r="F50" s="56">
        <f t="shared" si="1"/>
        <v>-8.7010299999999999E-2</v>
      </c>
      <c r="G50" s="21">
        <f t="shared" si="0"/>
        <v>4939607.51</v>
      </c>
      <c r="H50" s="55">
        <v>3309419.96</v>
      </c>
      <c r="I50" s="46">
        <f t="shared" si="2"/>
        <v>1630187.5499999998</v>
      </c>
      <c r="J50" s="43">
        <v>4939432.78</v>
      </c>
      <c r="K50" s="43">
        <f t="shared" si="3"/>
        <v>174.72999999951571</v>
      </c>
    </row>
    <row r="51" spans="1:11" x14ac:dyDescent="0.2">
      <c r="A51">
        <v>113</v>
      </c>
      <c r="B51">
        <v>1</v>
      </c>
      <c r="C51" s="7" t="s">
        <v>44</v>
      </c>
      <c r="D51" s="21">
        <v>6365281.71</v>
      </c>
      <c r="E51" s="59">
        <f t="shared" si="4"/>
        <v>-553844.94999999995</v>
      </c>
      <c r="F51" s="56">
        <f t="shared" si="1"/>
        <v>-8.7010299999999999E-2</v>
      </c>
      <c r="G51" s="21">
        <f t="shared" si="0"/>
        <v>553844.94999999995</v>
      </c>
      <c r="H51" s="55">
        <v>371062.99</v>
      </c>
      <c r="I51" s="46">
        <f t="shared" si="2"/>
        <v>182781.95999999996</v>
      </c>
      <c r="J51" s="43">
        <v>553825.36</v>
      </c>
      <c r="K51" s="43">
        <f t="shared" si="3"/>
        <v>19.589999999967404</v>
      </c>
    </row>
    <row r="52" spans="1:11" x14ac:dyDescent="0.2">
      <c r="A52">
        <v>115</v>
      </c>
      <c r="B52">
        <v>1</v>
      </c>
      <c r="C52" s="7" t="s">
        <v>45</v>
      </c>
      <c r="D52" s="21">
        <v>9403896.3100000005</v>
      </c>
      <c r="E52" s="59">
        <f t="shared" si="4"/>
        <v>-818235.65</v>
      </c>
      <c r="F52" s="56">
        <f t="shared" si="1"/>
        <v>-8.7010299999999999E-2</v>
      </c>
      <c r="G52" s="21">
        <f t="shared" si="0"/>
        <v>818235.65</v>
      </c>
      <c r="H52" s="55">
        <v>548198.5</v>
      </c>
      <c r="I52" s="46">
        <f t="shared" si="2"/>
        <v>270037.15000000002</v>
      </c>
      <c r="J52" s="43">
        <v>818206.71</v>
      </c>
      <c r="K52" s="43">
        <f t="shared" si="3"/>
        <v>28.940000000060536</v>
      </c>
    </row>
    <row r="53" spans="1:11" x14ac:dyDescent="0.2">
      <c r="A53">
        <v>116</v>
      </c>
      <c r="B53">
        <v>1</v>
      </c>
      <c r="C53" s="7" t="s">
        <v>46</v>
      </c>
      <c r="D53" s="21">
        <v>5556607.75</v>
      </c>
      <c r="E53" s="59">
        <f t="shared" si="4"/>
        <v>-483482</v>
      </c>
      <c r="F53" s="56">
        <f t="shared" si="1"/>
        <v>-8.7010299999999999E-2</v>
      </c>
      <c r="G53" s="21">
        <f t="shared" si="0"/>
        <v>483482</v>
      </c>
      <c r="H53" s="55">
        <v>323921.48</v>
      </c>
      <c r="I53" s="46">
        <f t="shared" si="2"/>
        <v>159560.52000000002</v>
      </c>
      <c r="J53" s="43">
        <v>483464.9</v>
      </c>
      <c r="K53" s="43">
        <f t="shared" si="3"/>
        <v>17.099999999976717</v>
      </c>
    </row>
    <row r="54" spans="1:11" x14ac:dyDescent="0.2">
      <c r="A54">
        <v>118</v>
      </c>
      <c r="B54">
        <v>1</v>
      </c>
      <c r="C54" s="7" t="s">
        <v>47</v>
      </c>
      <c r="D54" s="21">
        <v>4122306.45</v>
      </c>
      <c r="E54" s="59">
        <f t="shared" si="4"/>
        <v>-358683.04</v>
      </c>
      <c r="F54" s="56">
        <f t="shared" si="1"/>
        <v>-8.7010299999999999E-2</v>
      </c>
      <c r="G54" s="21">
        <f t="shared" si="0"/>
        <v>358683.04</v>
      </c>
      <c r="H54" s="55">
        <v>240309.13</v>
      </c>
      <c r="I54" s="46">
        <f t="shared" si="2"/>
        <v>118373.90999999997</v>
      </c>
      <c r="J54" s="43">
        <v>358670.35</v>
      </c>
      <c r="K54" s="43">
        <f t="shared" si="3"/>
        <v>12.690000000002328</v>
      </c>
    </row>
    <row r="55" spans="1:11" x14ac:dyDescent="0.2">
      <c r="A55">
        <v>129</v>
      </c>
      <c r="B55">
        <v>1</v>
      </c>
      <c r="C55" s="7" t="s">
        <v>48</v>
      </c>
      <c r="D55" s="21">
        <v>10622835.41</v>
      </c>
      <c r="E55" s="59">
        <f t="shared" si="4"/>
        <v>-924295.89</v>
      </c>
      <c r="F55" s="56">
        <f t="shared" si="1"/>
        <v>-8.7010299999999999E-2</v>
      </c>
      <c r="G55" s="21">
        <f t="shared" si="0"/>
        <v>924295.89</v>
      </c>
      <c r="H55" s="55">
        <v>619256.34</v>
      </c>
      <c r="I55" s="46">
        <f t="shared" si="2"/>
        <v>305039.55000000005</v>
      </c>
      <c r="J55" s="43">
        <v>924263.19</v>
      </c>
      <c r="K55" s="43">
        <f t="shared" si="3"/>
        <v>32.700000000069849</v>
      </c>
    </row>
    <row r="56" spans="1:11" x14ac:dyDescent="0.2">
      <c r="A56">
        <v>138</v>
      </c>
      <c r="B56">
        <v>1</v>
      </c>
      <c r="C56" s="7" t="s">
        <v>49</v>
      </c>
      <c r="D56" s="21">
        <v>24894662.449999999</v>
      </c>
      <c r="E56" s="59">
        <f t="shared" si="4"/>
        <v>-2166091.56</v>
      </c>
      <c r="F56" s="56">
        <f t="shared" si="1"/>
        <v>-8.7010299999999999E-2</v>
      </c>
      <c r="G56" s="21">
        <f t="shared" si="0"/>
        <v>2166091.56</v>
      </c>
      <c r="H56" s="55">
        <v>1451230.01</v>
      </c>
      <c r="I56" s="46">
        <f t="shared" si="2"/>
        <v>714861.55</v>
      </c>
      <c r="J56" s="43">
        <v>2166014.94</v>
      </c>
      <c r="K56" s="43">
        <f t="shared" si="3"/>
        <v>76.620000000111759</v>
      </c>
    </row>
    <row r="57" spans="1:11" x14ac:dyDescent="0.2">
      <c r="A57">
        <v>139</v>
      </c>
      <c r="B57">
        <v>1</v>
      </c>
      <c r="C57" s="7" t="s">
        <v>50</v>
      </c>
      <c r="D57" s="21">
        <v>6178459.2400000002</v>
      </c>
      <c r="E57" s="59">
        <f t="shared" si="4"/>
        <v>-537589.47</v>
      </c>
      <c r="F57" s="56">
        <f t="shared" si="1"/>
        <v>-8.7010299999999999E-2</v>
      </c>
      <c r="G57" s="21">
        <f t="shared" si="0"/>
        <v>537589.47</v>
      </c>
      <c r="H57" s="55">
        <v>360172.2</v>
      </c>
      <c r="I57" s="46">
        <f t="shared" si="2"/>
        <v>177417.26999999996</v>
      </c>
      <c r="J57" s="43">
        <v>537570.44999999995</v>
      </c>
      <c r="K57" s="43">
        <f t="shared" si="3"/>
        <v>19.020000000018626</v>
      </c>
    </row>
    <row r="58" spans="1:11" x14ac:dyDescent="0.2">
      <c r="A58">
        <v>146</v>
      </c>
      <c r="B58">
        <v>1</v>
      </c>
      <c r="C58" s="7" t="s">
        <v>51</v>
      </c>
      <c r="D58" s="21">
        <v>5381438.3399999999</v>
      </c>
      <c r="E58" s="59">
        <f t="shared" si="4"/>
        <v>-468240.46</v>
      </c>
      <c r="F58" s="56">
        <f t="shared" si="1"/>
        <v>-8.7010299999999999E-2</v>
      </c>
      <c r="G58" s="21">
        <f t="shared" si="0"/>
        <v>468240.46</v>
      </c>
      <c r="H58" s="55">
        <v>313710.01</v>
      </c>
      <c r="I58" s="46">
        <f t="shared" si="2"/>
        <v>154530.45000000001</v>
      </c>
      <c r="J58" s="43">
        <v>468223.9</v>
      </c>
      <c r="K58" s="43">
        <f t="shared" si="3"/>
        <v>16.559999999997672</v>
      </c>
    </row>
    <row r="59" spans="1:11" x14ac:dyDescent="0.2">
      <c r="A59">
        <v>150</v>
      </c>
      <c r="B59">
        <v>1</v>
      </c>
      <c r="C59" s="7" t="s">
        <v>52</v>
      </c>
      <c r="D59" s="21">
        <v>5921082.2800000003</v>
      </c>
      <c r="E59" s="59">
        <f t="shared" si="4"/>
        <v>-515195.03</v>
      </c>
      <c r="F59" s="56">
        <f t="shared" si="1"/>
        <v>-8.7010299999999999E-2</v>
      </c>
      <c r="G59" s="21">
        <f t="shared" si="0"/>
        <v>515195.03</v>
      </c>
      <c r="H59" s="55">
        <v>345168.46</v>
      </c>
      <c r="I59" s="46">
        <f t="shared" si="2"/>
        <v>170026.57</v>
      </c>
      <c r="J59" s="43">
        <v>515176.81</v>
      </c>
      <c r="K59" s="43">
        <f t="shared" si="3"/>
        <v>18.220000000030268</v>
      </c>
    </row>
    <row r="60" spans="1:11" x14ac:dyDescent="0.2">
      <c r="A60">
        <v>152</v>
      </c>
      <c r="B60">
        <v>1</v>
      </c>
      <c r="C60" s="7" t="s">
        <v>53</v>
      </c>
      <c r="D60" s="21">
        <v>36330345.409999996</v>
      </c>
      <c r="E60" s="59">
        <f t="shared" si="4"/>
        <v>-3161113.54</v>
      </c>
      <c r="F60" s="56">
        <f t="shared" si="1"/>
        <v>-8.7010299999999999E-2</v>
      </c>
      <c r="G60" s="21">
        <f t="shared" si="0"/>
        <v>3161113.54</v>
      </c>
      <c r="H60" s="55">
        <v>2117871.15</v>
      </c>
      <c r="I60" s="46">
        <f t="shared" si="2"/>
        <v>1043242.3900000001</v>
      </c>
      <c r="J60" s="43">
        <v>3161001.72</v>
      </c>
      <c r="K60" s="43">
        <f t="shared" si="3"/>
        <v>111.81999999983236</v>
      </c>
    </row>
    <row r="61" spans="1:11" x14ac:dyDescent="0.2">
      <c r="A61">
        <v>162</v>
      </c>
      <c r="B61">
        <v>1</v>
      </c>
      <c r="C61" s="7" t="s">
        <v>54</v>
      </c>
      <c r="D61" s="21">
        <v>7520934.0700000003</v>
      </c>
      <c r="E61" s="59">
        <f t="shared" si="4"/>
        <v>-654398.57999999996</v>
      </c>
      <c r="F61" s="56">
        <f t="shared" si="1"/>
        <v>-8.7010299999999999E-2</v>
      </c>
      <c r="G61" s="21">
        <f t="shared" si="0"/>
        <v>654398.57999999996</v>
      </c>
      <c r="H61" s="55">
        <v>438431.54</v>
      </c>
      <c r="I61" s="46">
        <f t="shared" si="2"/>
        <v>215967.03999999998</v>
      </c>
      <c r="J61" s="43">
        <v>654375.43000000005</v>
      </c>
      <c r="K61" s="43">
        <f t="shared" si="3"/>
        <v>23.149999999906868</v>
      </c>
    </row>
    <row r="62" spans="1:11" x14ac:dyDescent="0.2">
      <c r="A62">
        <v>166</v>
      </c>
      <c r="B62">
        <v>1</v>
      </c>
      <c r="C62" s="7" t="s">
        <v>55</v>
      </c>
      <c r="D62" s="21">
        <v>4582830.83</v>
      </c>
      <c r="E62" s="59">
        <f t="shared" si="4"/>
        <v>-398753.4</v>
      </c>
      <c r="F62" s="56">
        <f t="shared" si="1"/>
        <v>-8.7010299999999999E-2</v>
      </c>
      <c r="G62" s="21">
        <f t="shared" si="0"/>
        <v>398753.4</v>
      </c>
      <c r="H62" s="55">
        <v>267155.32</v>
      </c>
      <c r="I62" s="46">
        <f t="shared" si="2"/>
        <v>131598.08000000002</v>
      </c>
      <c r="J62" s="43">
        <v>398739.29</v>
      </c>
      <c r="K62" s="43">
        <f t="shared" si="3"/>
        <v>14.110000000044238</v>
      </c>
    </row>
    <row r="63" spans="1:11" x14ac:dyDescent="0.2">
      <c r="A63">
        <v>173</v>
      </c>
      <c r="B63">
        <v>1</v>
      </c>
      <c r="C63" s="7" t="s">
        <v>56</v>
      </c>
      <c r="D63" s="21">
        <v>3563392.7</v>
      </c>
      <c r="E63" s="59">
        <f t="shared" si="4"/>
        <v>-310051.8</v>
      </c>
      <c r="F63" s="56">
        <f t="shared" si="1"/>
        <v>-8.7010299999999999E-2</v>
      </c>
      <c r="G63" s="21">
        <f t="shared" si="0"/>
        <v>310051.8</v>
      </c>
      <c r="H63" s="55">
        <v>207727.35999999999</v>
      </c>
      <c r="I63" s="46">
        <f t="shared" si="2"/>
        <v>102324.44</v>
      </c>
      <c r="J63" s="43">
        <v>310040.83</v>
      </c>
      <c r="K63" s="43">
        <f t="shared" si="3"/>
        <v>10.96999999997206</v>
      </c>
    </row>
    <row r="64" spans="1:11" x14ac:dyDescent="0.2">
      <c r="A64">
        <v>177</v>
      </c>
      <c r="B64">
        <v>1</v>
      </c>
      <c r="C64" s="7" t="s">
        <v>57</v>
      </c>
      <c r="D64" s="21">
        <v>6613691.2800000003</v>
      </c>
      <c r="E64" s="59">
        <f t="shared" si="4"/>
        <v>-575459.13</v>
      </c>
      <c r="F64" s="56">
        <f t="shared" si="1"/>
        <v>-8.7010299999999999E-2</v>
      </c>
      <c r="G64" s="21">
        <f t="shared" si="0"/>
        <v>575459.13</v>
      </c>
      <c r="H64" s="55">
        <v>385543.98</v>
      </c>
      <c r="I64" s="46">
        <f t="shared" si="2"/>
        <v>189915.15000000002</v>
      </c>
      <c r="J64" s="43">
        <v>575438.78</v>
      </c>
      <c r="K64" s="43">
        <f t="shared" si="3"/>
        <v>20.349999999976717</v>
      </c>
    </row>
    <row r="65" spans="1:11" x14ac:dyDescent="0.2">
      <c r="A65">
        <v>181</v>
      </c>
      <c r="B65">
        <v>1</v>
      </c>
      <c r="C65" s="7" t="s">
        <v>58</v>
      </c>
      <c r="D65" s="21">
        <v>49764601.039999999</v>
      </c>
      <c r="E65" s="59">
        <f t="shared" si="4"/>
        <v>-4330031.8899999997</v>
      </c>
      <c r="F65" s="56">
        <f t="shared" si="1"/>
        <v>-8.7010299999999999E-2</v>
      </c>
      <c r="G65" s="21">
        <f t="shared" si="0"/>
        <v>4330031.8899999997</v>
      </c>
      <c r="H65" s="55">
        <v>2901018.74</v>
      </c>
      <c r="I65" s="46">
        <f t="shared" si="2"/>
        <v>1429013.1499999994</v>
      </c>
      <c r="J65" s="43">
        <v>4329878.72</v>
      </c>
      <c r="K65" s="43">
        <f t="shared" si="3"/>
        <v>153.16999999992549</v>
      </c>
    </row>
    <row r="66" spans="1:11" x14ac:dyDescent="0.2">
      <c r="A66">
        <v>182</v>
      </c>
      <c r="B66">
        <v>1</v>
      </c>
      <c r="C66" s="7" t="s">
        <v>59</v>
      </c>
      <c r="D66" s="21">
        <v>8572276.0299999993</v>
      </c>
      <c r="E66" s="59">
        <f t="shared" si="4"/>
        <v>-745876.14</v>
      </c>
      <c r="F66" s="56">
        <f t="shared" si="1"/>
        <v>-8.7010299999999999E-2</v>
      </c>
      <c r="G66" s="21">
        <f t="shared" si="0"/>
        <v>745876.14</v>
      </c>
      <c r="H66" s="55">
        <v>499719.34</v>
      </c>
      <c r="I66" s="46">
        <f t="shared" si="2"/>
        <v>246156.79999999999</v>
      </c>
      <c r="J66" s="43">
        <v>745849.76</v>
      </c>
      <c r="K66" s="43">
        <f t="shared" si="3"/>
        <v>26.380000000004657</v>
      </c>
    </row>
    <row r="67" spans="1:11" x14ac:dyDescent="0.2">
      <c r="A67">
        <v>186</v>
      </c>
      <c r="B67">
        <v>1</v>
      </c>
      <c r="C67" s="7" t="s">
        <v>60</v>
      </c>
      <c r="D67" s="21">
        <v>10435381.09</v>
      </c>
      <c r="E67" s="59">
        <f t="shared" si="4"/>
        <v>-907985.43</v>
      </c>
      <c r="F67" s="56">
        <f t="shared" si="1"/>
        <v>-8.7010299999999999E-2</v>
      </c>
      <c r="G67" s="21">
        <f t="shared" si="0"/>
        <v>907985.43</v>
      </c>
      <c r="H67" s="55">
        <v>608328.72</v>
      </c>
      <c r="I67" s="46">
        <f t="shared" si="2"/>
        <v>299656.71000000008</v>
      </c>
      <c r="J67" s="43">
        <v>907953.32</v>
      </c>
      <c r="K67" s="43">
        <f t="shared" si="3"/>
        <v>32.110000000102445</v>
      </c>
    </row>
    <row r="68" spans="1:11" x14ac:dyDescent="0.2">
      <c r="A68">
        <v>191</v>
      </c>
      <c r="B68">
        <v>1</v>
      </c>
      <c r="C68" s="7" t="s">
        <v>61</v>
      </c>
      <c r="D68" s="21">
        <v>70865310.709999993</v>
      </c>
      <c r="E68" s="59">
        <f t="shared" si="4"/>
        <v>-6166010.5599999996</v>
      </c>
      <c r="F68" s="56">
        <f t="shared" si="1"/>
        <v>-8.7010299999999999E-2</v>
      </c>
      <c r="G68" s="21">
        <f t="shared" si="0"/>
        <v>6166010.5599999996</v>
      </c>
      <c r="H68" s="55">
        <v>4131080.94</v>
      </c>
      <c r="I68" s="46">
        <f t="shared" si="2"/>
        <v>2034929.6199999996</v>
      </c>
      <c r="J68" s="43">
        <v>6165792.4500000002</v>
      </c>
      <c r="K68" s="43">
        <f t="shared" si="3"/>
        <v>218.10999999940395</v>
      </c>
    </row>
    <row r="69" spans="1:11" x14ac:dyDescent="0.2">
      <c r="A69">
        <v>192</v>
      </c>
      <c r="B69">
        <v>1</v>
      </c>
      <c r="C69" s="7" t="s">
        <v>62</v>
      </c>
      <c r="D69" s="21">
        <v>40949415.670000002</v>
      </c>
      <c r="E69" s="59">
        <f t="shared" si="4"/>
        <v>-3563020.14</v>
      </c>
      <c r="F69" s="56">
        <f t="shared" si="1"/>
        <v>-8.7010299999999999E-2</v>
      </c>
      <c r="G69" s="21">
        <f t="shared" si="0"/>
        <v>3563020.14</v>
      </c>
      <c r="H69" s="55">
        <v>2387139.0499999998</v>
      </c>
      <c r="I69" s="46">
        <f t="shared" si="2"/>
        <v>1175881.0900000003</v>
      </c>
      <c r="J69" s="43">
        <v>3562894.11</v>
      </c>
      <c r="K69" s="43">
        <f t="shared" si="3"/>
        <v>126.03000000026077</v>
      </c>
    </row>
    <row r="70" spans="1:11" x14ac:dyDescent="0.2">
      <c r="A70">
        <v>194</v>
      </c>
      <c r="B70">
        <v>1</v>
      </c>
      <c r="C70" s="7" t="s">
        <v>63</v>
      </c>
      <c r="D70" s="21">
        <v>70774219.709999993</v>
      </c>
      <c r="E70" s="59">
        <f t="shared" si="4"/>
        <v>-6158084.7000000002</v>
      </c>
      <c r="F70" s="56">
        <f t="shared" si="1"/>
        <v>-8.7010299999999999E-2</v>
      </c>
      <c r="G70" s="21">
        <f t="shared" si="0"/>
        <v>6158084.7000000002</v>
      </c>
      <c r="H70" s="55">
        <v>4125770.8</v>
      </c>
      <c r="I70" s="46">
        <f t="shared" si="2"/>
        <v>2032313.9000000004</v>
      </c>
      <c r="J70" s="43">
        <v>6157866.8700000001</v>
      </c>
      <c r="K70" s="43">
        <f t="shared" si="3"/>
        <v>217.83000000007451</v>
      </c>
    </row>
    <row r="71" spans="1:11" x14ac:dyDescent="0.2">
      <c r="A71">
        <v>195</v>
      </c>
      <c r="B71">
        <v>1</v>
      </c>
      <c r="C71" s="7" t="s">
        <v>64</v>
      </c>
      <c r="D71" s="21">
        <v>3422634.02</v>
      </c>
      <c r="E71" s="59">
        <f t="shared" si="4"/>
        <v>-297804.34999999998</v>
      </c>
      <c r="F71" s="56">
        <f t="shared" si="1"/>
        <v>-8.7010299999999999E-2</v>
      </c>
      <c r="G71" s="21">
        <f t="shared" si="0"/>
        <v>297804.34999999998</v>
      </c>
      <c r="H71" s="55">
        <v>199521.85</v>
      </c>
      <c r="I71" s="46">
        <f t="shared" si="2"/>
        <v>98282.499999999971</v>
      </c>
      <c r="J71" s="43">
        <v>297793.81</v>
      </c>
      <c r="K71" s="43">
        <f t="shared" si="3"/>
        <v>10.539999999979045</v>
      </c>
    </row>
    <row r="72" spans="1:11" x14ac:dyDescent="0.2">
      <c r="A72">
        <v>196</v>
      </c>
      <c r="B72">
        <v>1</v>
      </c>
      <c r="C72" s="7" t="s">
        <v>65</v>
      </c>
      <c r="D72" s="21">
        <v>184307886.22</v>
      </c>
      <c r="E72" s="59">
        <f t="shared" si="4"/>
        <v>-16036680.859999999</v>
      </c>
      <c r="F72" s="56">
        <f t="shared" si="1"/>
        <v>-8.7010299999999999E-2</v>
      </c>
      <c r="G72" s="21">
        <f t="shared" si="0"/>
        <v>16036680.859999999</v>
      </c>
      <c r="H72" s="55">
        <v>10744196.109999999</v>
      </c>
      <c r="I72" s="46">
        <f t="shared" si="2"/>
        <v>5292484.75</v>
      </c>
      <c r="J72" s="43">
        <v>16036113.6</v>
      </c>
      <c r="K72" s="43">
        <f t="shared" si="3"/>
        <v>567.25999999977648</v>
      </c>
    </row>
    <row r="73" spans="1:11" x14ac:dyDescent="0.2">
      <c r="A73">
        <v>197</v>
      </c>
      <c r="B73">
        <v>1</v>
      </c>
      <c r="C73" s="7" t="s">
        <v>66</v>
      </c>
      <c r="D73" s="21">
        <v>29971805.370000001</v>
      </c>
      <c r="E73" s="59">
        <f t="shared" si="4"/>
        <v>-2607855.19</v>
      </c>
      <c r="F73" s="56">
        <f t="shared" si="1"/>
        <v>-8.7010299999999999E-2</v>
      </c>
      <c r="G73" s="21">
        <f t="shared" si="0"/>
        <v>2607855.19</v>
      </c>
      <c r="H73" s="55">
        <v>1747201.17</v>
      </c>
      <c r="I73" s="46">
        <f t="shared" si="2"/>
        <v>860654.02</v>
      </c>
      <c r="J73" s="43">
        <v>2607762.94</v>
      </c>
      <c r="K73" s="43">
        <f t="shared" si="3"/>
        <v>92.25</v>
      </c>
    </row>
    <row r="74" spans="1:11" x14ac:dyDescent="0.2">
      <c r="A74">
        <v>199</v>
      </c>
      <c r="B74">
        <v>1</v>
      </c>
      <c r="C74" s="7" t="s">
        <v>67</v>
      </c>
      <c r="D74" s="21">
        <v>24793751.300000001</v>
      </c>
      <c r="E74" s="59">
        <f t="shared" si="4"/>
        <v>-2157311.25</v>
      </c>
      <c r="F74" s="56">
        <f t="shared" si="1"/>
        <v>-8.7010299999999999E-2</v>
      </c>
      <c r="G74" s="21">
        <f t="shared" si="0"/>
        <v>2157311.25</v>
      </c>
      <c r="H74" s="55">
        <v>1445347.41</v>
      </c>
      <c r="I74" s="46">
        <f t="shared" si="2"/>
        <v>711963.84000000008</v>
      </c>
      <c r="J74" s="43">
        <v>2157234.94</v>
      </c>
      <c r="K74" s="43">
        <f t="shared" si="3"/>
        <v>76.310000000055879</v>
      </c>
    </row>
    <row r="75" spans="1:11" x14ac:dyDescent="0.2">
      <c r="A75">
        <v>200</v>
      </c>
      <c r="B75">
        <v>1</v>
      </c>
      <c r="C75" s="7" t="s">
        <v>68</v>
      </c>
      <c r="D75" s="21">
        <v>32493650.649999999</v>
      </c>
      <c r="E75" s="59">
        <f t="shared" si="4"/>
        <v>-2827281.65</v>
      </c>
      <c r="F75" s="56">
        <f t="shared" si="1"/>
        <v>-8.7010299999999999E-2</v>
      </c>
      <c r="G75" s="21">
        <f t="shared" si="0"/>
        <v>2827281.65</v>
      </c>
      <c r="H75" s="55">
        <v>1894211.71</v>
      </c>
      <c r="I75" s="46">
        <f t="shared" si="2"/>
        <v>933069.94</v>
      </c>
      <c r="J75" s="43">
        <v>2827181.65</v>
      </c>
      <c r="K75" s="43">
        <f t="shared" si="3"/>
        <v>100</v>
      </c>
    </row>
    <row r="76" spans="1:11" x14ac:dyDescent="0.2">
      <c r="A76">
        <v>203</v>
      </c>
      <c r="B76">
        <v>1</v>
      </c>
      <c r="C76" s="7" t="s">
        <v>69</v>
      </c>
      <c r="D76" s="21">
        <v>5671496.8300000001</v>
      </c>
      <c r="E76" s="59">
        <f t="shared" si="4"/>
        <v>-493478.53</v>
      </c>
      <c r="F76" s="56">
        <f t="shared" si="1"/>
        <v>-8.7010299999999999E-2</v>
      </c>
      <c r="G76" s="21">
        <f t="shared" si="0"/>
        <v>493478.53</v>
      </c>
      <c r="H76" s="55">
        <v>330618.92</v>
      </c>
      <c r="I76" s="46">
        <f t="shared" si="2"/>
        <v>162859.61000000004</v>
      </c>
      <c r="J76" s="43">
        <v>493461.07</v>
      </c>
      <c r="K76" s="43">
        <f t="shared" si="3"/>
        <v>17.460000000020955</v>
      </c>
    </row>
    <row r="77" spans="1:11" x14ac:dyDescent="0.2">
      <c r="A77">
        <v>204</v>
      </c>
      <c r="B77">
        <v>1</v>
      </c>
      <c r="C77" s="7" t="s">
        <v>70</v>
      </c>
      <c r="D77" s="21">
        <v>12942676.560000001</v>
      </c>
      <c r="E77" s="59">
        <f t="shared" si="4"/>
        <v>-1126145.92</v>
      </c>
      <c r="F77" s="56">
        <f t="shared" si="1"/>
        <v>-8.7010299999999999E-2</v>
      </c>
      <c r="G77" s="21">
        <f t="shared" si="0"/>
        <v>1126145.92</v>
      </c>
      <c r="H77" s="55">
        <v>754491.07</v>
      </c>
      <c r="I77" s="46">
        <f t="shared" si="2"/>
        <v>371654.85</v>
      </c>
      <c r="J77" s="43">
        <v>1126106.08</v>
      </c>
      <c r="K77" s="43">
        <f t="shared" si="3"/>
        <v>39.839999999850988</v>
      </c>
    </row>
    <row r="78" spans="1:11" x14ac:dyDescent="0.2">
      <c r="A78">
        <v>206</v>
      </c>
      <c r="B78">
        <v>1</v>
      </c>
      <c r="C78" s="7" t="s">
        <v>71</v>
      </c>
      <c r="D78" s="21">
        <v>26882855.940000001</v>
      </c>
      <c r="E78" s="59">
        <f t="shared" si="4"/>
        <v>-2339084.83</v>
      </c>
      <c r="F78" s="56">
        <f t="shared" si="1"/>
        <v>-8.7010299999999999E-2</v>
      </c>
      <c r="G78" s="21">
        <f t="shared" ref="G78:G141" si="5">E78*-1</f>
        <v>2339084.83</v>
      </c>
      <c r="H78" s="55">
        <v>1567131.4</v>
      </c>
      <c r="I78" s="46">
        <f t="shared" si="2"/>
        <v>771953.43000000017</v>
      </c>
      <c r="J78" s="43">
        <v>2339002.09</v>
      </c>
      <c r="K78" s="43">
        <f t="shared" si="3"/>
        <v>82.740000000223517</v>
      </c>
    </row>
    <row r="79" spans="1:11" x14ac:dyDescent="0.2">
      <c r="A79">
        <v>207</v>
      </c>
      <c r="B79">
        <v>1</v>
      </c>
      <c r="C79" s="7" t="s">
        <v>72</v>
      </c>
      <c r="D79" s="21">
        <v>2083722</v>
      </c>
      <c r="E79" s="59">
        <f t="shared" ref="E79:E142" si="6">ROUND(-D79*$D$520,2)</f>
        <v>-181305.24</v>
      </c>
      <c r="F79" s="56">
        <f t="shared" ref="F79:F142" si="7">IF(D79&gt;0,ROUND(E79/D79,7),"na   ")</f>
        <v>-8.7010299999999999E-2</v>
      </c>
      <c r="G79" s="21">
        <f t="shared" si="5"/>
        <v>181305.24</v>
      </c>
      <c r="H79" s="55">
        <v>121470.21</v>
      </c>
      <c r="I79" s="46">
        <f t="shared" ref="I79:I142" si="8">G79-H79</f>
        <v>59835.029999999984</v>
      </c>
      <c r="J79" s="43">
        <v>181298.82</v>
      </c>
      <c r="K79" s="43">
        <f t="shared" ref="K79:K142" si="9">G79-J79</f>
        <v>6.4199999999837019</v>
      </c>
    </row>
    <row r="80" spans="1:11" x14ac:dyDescent="0.2">
      <c r="A80">
        <v>208</v>
      </c>
      <c r="B80">
        <v>1</v>
      </c>
      <c r="C80" s="7" t="s">
        <v>73</v>
      </c>
      <c r="D80" s="21">
        <v>1207264.82</v>
      </c>
      <c r="E80" s="59">
        <f t="shared" si="6"/>
        <v>-105044.45</v>
      </c>
      <c r="F80" s="56">
        <f t="shared" si="7"/>
        <v>-8.7010299999999999E-2</v>
      </c>
      <c r="G80" s="21">
        <f t="shared" si="5"/>
        <v>105044.45</v>
      </c>
      <c r="H80" s="55">
        <v>70377.289999999994</v>
      </c>
      <c r="I80" s="46">
        <f t="shared" si="8"/>
        <v>34667.160000000003</v>
      </c>
      <c r="J80" s="43">
        <v>105040.73</v>
      </c>
      <c r="K80" s="43">
        <f t="shared" si="9"/>
        <v>3.7200000000011642</v>
      </c>
    </row>
    <row r="81" spans="1:11" x14ac:dyDescent="0.2">
      <c r="A81">
        <v>213</v>
      </c>
      <c r="B81">
        <v>1</v>
      </c>
      <c r="C81" s="7" t="s">
        <v>74</v>
      </c>
      <c r="D81" s="21">
        <v>5003964.83</v>
      </c>
      <c r="E81" s="59">
        <f t="shared" si="6"/>
        <v>-435396.38</v>
      </c>
      <c r="F81" s="56">
        <f t="shared" si="7"/>
        <v>-8.7010299999999999E-2</v>
      </c>
      <c r="G81" s="21">
        <f t="shared" si="5"/>
        <v>435396.38</v>
      </c>
      <c r="H81" s="55">
        <v>291705.26</v>
      </c>
      <c r="I81" s="46">
        <f t="shared" si="8"/>
        <v>143691.12</v>
      </c>
      <c r="J81" s="43">
        <v>435380.98</v>
      </c>
      <c r="K81" s="43">
        <f t="shared" si="9"/>
        <v>15.400000000023283</v>
      </c>
    </row>
    <row r="82" spans="1:11" x14ac:dyDescent="0.2">
      <c r="A82">
        <v>227</v>
      </c>
      <c r="B82">
        <v>1</v>
      </c>
      <c r="C82" s="7" t="s">
        <v>75</v>
      </c>
      <c r="D82" s="21">
        <v>5789751.71</v>
      </c>
      <c r="E82" s="59">
        <f t="shared" si="6"/>
        <v>-503767.92</v>
      </c>
      <c r="F82" s="56">
        <f t="shared" si="7"/>
        <v>-8.7010299999999999E-2</v>
      </c>
      <c r="G82" s="21">
        <f t="shared" si="5"/>
        <v>503767.92</v>
      </c>
      <c r="H82" s="55">
        <v>337512.57</v>
      </c>
      <c r="I82" s="46">
        <f t="shared" si="8"/>
        <v>166255.34999999998</v>
      </c>
      <c r="J82" s="43">
        <v>503750.1</v>
      </c>
      <c r="K82" s="43">
        <f t="shared" si="9"/>
        <v>17.820000000006985</v>
      </c>
    </row>
    <row r="83" spans="1:11" x14ac:dyDescent="0.2">
      <c r="A83">
        <v>229</v>
      </c>
      <c r="B83">
        <v>1</v>
      </c>
      <c r="C83" s="7" t="s">
        <v>76</v>
      </c>
      <c r="D83" s="21">
        <v>2472913</v>
      </c>
      <c r="E83" s="59">
        <f t="shared" si="6"/>
        <v>-215168.85</v>
      </c>
      <c r="F83" s="56">
        <f t="shared" si="7"/>
        <v>-8.7010299999999999E-2</v>
      </c>
      <c r="G83" s="21">
        <f t="shared" si="5"/>
        <v>215168.85</v>
      </c>
      <c r="H83" s="55">
        <v>144158.03</v>
      </c>
      <c r="I83" s="46">
        <f t="shared" si="8"/>
        <v>71010.820000000007</v>
      </c>
      <c r="J83" s="43">
        <v>215161.24</v>
      </c>
      <c r="K83" s="43">
        <f t="shared" si="9"/>
        <v>7.610000000015134</v>
      </c>
    </row>
    <row r="84" spans="1:11" x14ac:dyDescent="0.2">
      <c r="A84">
        <v>238</v>
      </c>
      <c r="B84">
        <v>1</v>
      </c>
      <c r="C84" s="7" t="s">
        <v>77</v>
      </c>
      <c r="D84" s="21">
        <v>2155235.85</v>
      </c>
      <c r="E84" s="59">
        <f t="shared" si="6"/>
        <v>-187527.67999999999</v>
      </c>
      <c r="F84" s="56">
        <f t="shared" si="7"/>
        <v>-8.7010299999999999E-2</v>
      </c>
      <c r="G84" s="21">
        <f t="shared" si="5"/>
        <v>187527.67999999999</v>
      </c>
      <c r="H84" s="55">
        <v>125639.1</v>
      </c>
      <c r="I84" s="46">
        <f t="shared" si="8"/>
        <v>61888.579999999987</v>
      </c>
      <c r="J84" s="43">
        <v>187521.04</v>
      </c>
      <c r="K84" s="43">
        <f t="shared" si="9"/>
        <v>6.639999999984866</v>
      </c>
    </row>
    <row r="85" spans="1:11" x14ac:dyDescent="0.2">
      <c r="A85">
        <v>239</v>
      </c>
      <c r="B85">
        <v>1</v>
      </c>
      <c r="C85" s="7" t="s">
        <v>78</v>
      </c>
      <c r="D85" s="21">
        <v>4550467.13</v>
      </c>
      <c r="E85" s="59">
        <f t="shared" si="6"/>
        <v>-395937.42</v>
      </c>
      <c r="F85" s="56">
        <f t="shared" si="7"/>
        <v>-8.7010299999999999E-2</v>
      </c>
      <c r="G85" s="21">
        <f t="shared" si="5"/>
        <v>395937.42</v>
      </c>
      <c r="H85" s="55">
        <v>265268.69</v>
      </c>
      <c r="I85" s="46">
        <f t="shared" si="8"/>
        <v>130668.72999999998</v>
      </c>
      <c r="J85" s="43">
        <v>395923.42</v>
      </c>
      <c r="K85" s="43">
        <f t="shared" si="9"/>
        <v>14</v>
      </c>
    </row>
    <row r="86" spans="1:11" x14ac:dyDescent="0.2">
      <c r="A86">
        <v>241</v>
      </c>
      <c r="B86">
        <v>1</v>
      </c>
      <c r="C86" s="7" t="s">
        <v>79</v>
      </c>
      <c r="D86" s="21">
        <v>24421009.620000001</v>
      </c>
      <c r="E86" s="59">
        <f t="shared" si="6"/>
        <v>-2124878.89</v>
      </c>
      <c r="F86" s="56">
        <f t="shared" si="7"/>
        <v>-8.7010299999999999E-2</v>
      </c>
      <c r="G86" s="21">
        <f t="shared" si="5"/>
        <v>2124878.89</v>
      </c>
      <c r="H86" s="55">
        <v>1423618.5</v>
      </c>
      <c r="I86" s="46">
        <f t="shared" si="8"/>
        <v>701260.39000000013</v>
      </c>
      <c r="J86" s="43">
        <v>2124803.73</v>
      </c>
      <c r="K86" s="43">
        <f t="shared" si="9"/>
        <v>75.160000000149012</v>
      </c>
    </row>
    <row r="87" spans="1:11" x14ac:dyDescent="0.2">
      <c r="A87">
        <v>242</v>
      </c>
      <c r="B87">
        <v>1</v>
      </c>
      <c r="C87" s="7" t="s">
        <v>80</v>
      </c>
      <c r="D87" s="21">
        <v>2983552.86</v>
      </c>
      <c r="E87" s="59">
        <f t="shared" si="6"/>
        <v>-259599.77</v>
      </c>
      <c r="F87" s="56">
        <f t="shared" si="7"/>
        <v>-8.7010299999999999E-2</v>
      </c>
      <c r="G87" s="21">
        <f t="shared" si="5"/>
        <v>259599.77</v>
      </c>
      <c r="H87" s="55">
        <v>173925.7</v>
      </c>
      <c r="I87" s="46">
        <f t="shared" si="8"/>
        <v>85674.069999999978</v>
      </c>
      <c r="J87" s="43">
        <v>259590.59</v>
      </c>
      <c r="K87" s="43">
        <f t="shared" si="9"/>
        <v>9.1799999999930151</v>
      </c>
    </row>
    <row r="88" spans="1:11" x14ac:dyDescent="0.2">
      <c r="A88">
        <v>252</v>
      </c>
      <c r="B88">
        <v>1</v>
      </c>
      <c r="C88" s="7" t="s">
        <v>81</v>
      </c>
      <c r="D88" s="21">
        <v>8388430.1200000001</v>
      </c>
      <c r="E88" s="59">
        <f t="shared" si="6"/>
        <v>-729879.66</v>
      </c>
      <c r="F88" s="56">
        <f t="shared" si="7"/>
        <v>-8.7010299999999999E-2</v>
      </c>
      <c r="G88" s="21">
        <f t="shared" si="5"/>
        <v>729879.66</v>
      </c>
      <c r="H88" s="55">
        <v>489002.07</v>
      </c>
      <c r="I88" s="46">
        <f t="shared" si="8"/>
        <v>240877.59000000003</v>
      </c>
      <c r="J88" s="43">
        <v>729853.84</v>
      </c>
      <c r="K88" s="43">
        <f t="shared" si="9"/>
        <v>25.820000000065193</v>
      </c>
    </row>
    <row r="89" spans="1:11" x14ac:dyDescent="0.2">
      <c r="A89">
        <v>253</v>
      </c>
      <c r="B89">
        <v>1</v>
      </c>
      <c r="C89" s="7" t="s">
        <v>82</v>
      </c>
      <c r="D89" s="21">
        <v>4233434.8499999996</v>
      </c>
      <c r="E89" s="59">
        <f t="shared" si="6"/>
        <v>-368352.35</v>
      </c>
      <c r="F89" s="56">
        <f t="shared" si="7"/>
        <v>-8.7010299999999999E-2</v>
      </c>
      <c r="G89" s="21">
        <f t="shared" si="5"/>
        <v>368352.35</v>
      </c>
      <c r="H89" s="55">
        <v>246787.34</v>
      </c>
      <c r="I89" s="46">
        <f t="shared" si="8"/>
        <v>121565.00999999998</v>
      </c>
      <c r="J89" s="43">
        <v>368339.32</v>
      </c>
      <c r="K89" s="43">
        <f t="shared" si="9"/>
        <v>13.029999999969732</v>
      </c>
    </row>
    <row r="90" spans="1:11" x14ac:dyDescent="0.2">
      <c r="A90">
        <v>255</v>
      </c>
      <c r="B90">
        <v>1</v>
      </c>
      <c r="C90" s="7" t="s">
        <v>83</v>
      </c>
      <c r="D90" s="21">
        <v>8002177.9900000002</v>
      </c>
      <c r="E90" s="59">
        <f t="shared" si="6"/>
        <v>-696271.75</v>
      </c>
      <c r="F90" s="56">
        <f t="shared" si="7"/>
        <v>-8.7010299999999999E-2</v>
      </c>
      <c r="G90" s="21">
        <f t="shared" si="5"/>
        <v>696271.75</v>
      </c>
      <c r="H90" s="55">
        <v>466485.57</v>
      </c>
      <c r="I90" s="46">
        <f t="shared" si="8"/>
        <v>229786.18</v>
      </c>
      <c r="J90" s="43">
        <v>696247.12</v>
      </c>
      <c r="K90" s="43">
        <f t="shared" si="9"/>
        <v>24.630000000004657</v>
      </c>
    </row>
    <row r="91" spans="1:11" x14ac:dyDescent="0.2">
      <c r="A91">
        <v>256</v>
      </c>
      <c r="B91">
        <v>1</v>
      </c>
      <c r="C91" s="7" t="s">
        <v>84</v>
      </c>
      <c r="D91" s="21">
        <v>18870545.98</v>
      </c>
      <c r="E91" s="59">
        <f t="shared" si="6"/>
        <v>-1641931.5</v>
      </c>
      <c r="F91" s="56">
        <f t="shared" si="7"/>
        <v>-8.7010299999999999E-2</v>
      </c>
      <c r="G91" s="21">
        <f t="shared" si="5"/>
        <v>1641931.5</v>
      </c>
      <c r="H91" s="55">
        <v>1100055.19</v>
      </c>
      <c r="I91" s="46">
        <f t="shared" si="8"/>
        <v>541876.31000000006</v>
      </c>
      <c r="J91" s="43">
        <v>1641873.42</v>
      </c>
      <c r="K91" s="43">
        <f t="shared" si="9"/>
        <v>58.080000000074506</v>
      </c>
    </row>
    <row r="92" spans="1:11" x14ac:dyDescent="0.2">
      <c r="A92">
        <v>261</v>
      </c>
      <c r="B92">
        <v>1</v>
      </c>
      <c r="C92" s="7" t="s">
        <v>85</v>
      </c>
      <c r="D92" s="21">
        <v>1803283.23</v>
      </c>
      <c r="E92" s="59">
        <f t="shared" si="6"/>
        <v>-156904.18</v>
      </c>
      <c r="F92" s="56">
        <f t="shared" si="7"/>
        <v>-8.7010299999999999E-2</v>
      </c>
      <c r="G92" s="21">
        <f t="shared" si="5"/>
        <v>156904.18</v>
      </c>
      <c r="H92" s="55">
        <v>105122.08</v>
      </c>
      <c r="I92" s="46">
        <f t="shared" si="8"/>
        <v>51782.099999999991</v>
      </c>
      <c r="J92" s="43">
        <v>156898.63</v>
      </c>
      <c r="K92" s="43">
        <f t="shared" si="9"/>
        <v>5.5499999999883585</v>
      </c>
    </row>
    <row r="93" spans="1:11" x14ac:dyDescent="0.2">
      <c r="A93">
        <v>264</v>
      </c>
      <c r="B93">
        <v>1</v>
      </c>
      <c r="C93" s="7" t="s">
        <v>86</v>
      </c>
      <c r="D93" s="21">
        <v>1095049.8400000001</v>
      </c>
      <c r="E93" s="59">
        <f t="shared" si="6"/>
        <v>-95280.59</v>
      </c>
      <c r="F93" s="56">
        <f t="shared" si="7"/>
        <v>-8.7010299999999999E-2</v>
      </c>
      <c r="G93" s="21">
        <f t="shared" si="5"/>
        <v>95280.59</v>
      </c>
      <c r="H93" s="55">
        <v>63835.74</v>
      </c>
      <c r="I93" s="46">
        <f t="shared" si="8"/>
        <v>31444.85</v>
      </c>
      <c r="J93" s="43">
        <v>95277.22</v>
      </c>
      <c r="K93" s="43">
        <f t="shared" si="9"/>
        <v>3.3699999999953434</v>
      </c>
    </row>
    <row r="94" spans="1:11" x14ac:dyDescent="0.2">
      <c r="A94">
        <v>270</v>
      </c>
      <c r="B94">
        <v>1</v>
      </c>
      <c r="C94" s="7" t="s">
        <v>87</v>
      </c>
      <c r="D94" s="21">
        <v>52450634.030000001</v>
      </c>
      <c r="E94" s="59">
        <f t="shared" si="6"/>
        <v>-4563744.37</v>
      </c>
      <c r="F94" s="56">
        <f t="shared" si="7"/>
        <v>-8.7010299999999999E-2</v>
      </c>
      <c r="G94" s="21">
        <f t="shared" si="5"/>
        <v>4563744.37</v>
      </c>
      <c r="H94" s="55">
        <v>3057600.57</v>
      </c>
      <c r="I94" s="46">
        <f t="shared" si="8"/>
        <v>1506143.8000000003</v>
      </c>
      <c r="J94" s="43">
        <v>4563582.9400000004</v>
      </c>
      <c r="K94" s="43">
        <f t="shared" si="9"/>
        <v>161.42999999970198</v>
      </c>
    </row>
    <row r="95" spans="1:11" x14ac:dyDescent="0.2">
      <c r="A95">
        <v>271</v>
      </c>
      <c r="B95">
        <v>1</v>
      </c>
      <c r="C95" s="7" t="s">
        <v>88</v>
      </c>
      <c r="D95" s="21">
        <v>70213016.079999998</v>
      </c>
      <c r="E95" s="59">
        <f t="shared" si="6"/>
        <v>-6109254.2199999997</v>
      </c>
      <c r="F95" s="56">
        <f t="shared" si="7"/>
        <v>-8.7010299999999999E-2</v>
      </c>
      <c r="G95" s="21">
        <f t="shared" si="5"/>
        <v>6109254.2199999997</v>
      </c>
      <c r="H95" s="55">
        <v>4093055.54</v>
      </c>
      <c r="I95" s="46">
        <f t="shared" si="8"/>
        <v>2016198.6799999997</v>
      </c>
      <c r="J95" s="43">
        <v>6109038.1200000001</v>
      </c>
      <c r="K95" s="43">
        <f t="shared" si="9"/>
        <v>216.09999999962747</v>
      </c>
    </row>
    <row r="96" spans="1:11" x14ac:dyDescent="0.2">
      <c r="A96">
        <v>272</v>
      </c>
      <c r="B96">
        <v>1</v>
      </c>
      <c r="C96" s="7" t="s">
        <v>89</v>
      </c>
      <c r="D96" s="21">
        <v>65503747.100000001</v>
      </c>
      <c r="E96" s="59">
        <f t="shared" si="6"/>
        <v>-5699499.4000000004</v>
      </c>
      <c r="F96" s="56">
        <f t="shared" si="7"/>
        <v>-8.7010299999999999E-2</v>
      </c>
      <c r="G96" s="21">
        <f t="shared" si="5"/>
        <v>5699499.4000000004</v>
      </c>
      <c r="H96" s="55">
        <v>3818529.52</v>
      </c>
      <c r="I96" s="46">
        <f t="shared" si="8"/>
        <v>1880969.8800000004</v>
      </c>
      <c r="J96" s="43">
        <v>5699297.79</v>
      </c>
      <c r="K96" s="43">
        <f t="shared" si="9"/>
        <v>201.61000000033528</v>
      </c>
    </row>
    <row r="97" spans="1:11" x14ac:dyDescent="0.2">
      <c r="A97">
        <v>273</v>
      </c>
      <c r="B97">
        <v>1</v>
      </c>
      <c r="C97" s="7" t="s">
        <v>90</v>
      </c>
      <c r="D97" s="21">
        <v>48456113.549999997</v>
      </c>
      <c r="E97" s="59">
        <f t="shared" si="6"/>
        <v>-4216180.03</v>
      </c>
      <c r="F97" s="56">
        <f t="shared" si="7"/>
        <v>-8.7010299999999999E-2</v>
      </c>
      <c r="G97" s="21">
        <f t="shared" si="5"/>
        <v>4216180.03</v>
      </c>
      <c r="H97" s="55">
        <v>2824740.7</v>
      </c>
      <c r="I97" s="46">
        <f t="shared" si="8"/>
        <v>1391439.33</v>
      </c>
      <c r="J97" s="43">
        <v>4216030.8899999997</v>
      </c>
      <c r="K97" s="43">
        <f t="shared" si="9"/>
        <v>149.14000000059605</v>
      </c>
    </row>
    <row r="98" spans="1:11" x14ac:dyDescent="0.2">
      <c r="A98">
        <v>276</v>
      </c>
      <c r="B98">
        <v>1</v>
      </c>
      <c r="C98" s="7" t="s">
        <v>91</v>
      </c>
      <c r="D98" s="21">
        <v>51815271.880000003</v>
      </c>
      <c r="E98" s="59">
        <f t="shared" si="6"/>
        <v>-4508461.34</v>
      </c>
      <c r="F98" s="56">
        <f t="shared" si="7"/>
        <v>-8.7010299999999999E-2</v>
      </c>
      <c r="G98" s="21">
        <f t="shared" si="5"/>
        <v>4508461.34</v>
      </c>
      <c r="H98" s="55">
        <v>3020562.25</v>
      </c>
      <c r="I98" s="46">
        <f t="shared" si="8"/>
        <v>1487899.0899999999</v>
      </c>
      <c r="J98" s="43">
        <v>4508301.8600000003</v>
      </c>
      <c r="K98" s="43">
        <f t="shared" si="9"/>
        <v>159.47999999951571</v>
      </c>
    </row>
    <row r="99" spans="1:11" x14ac:dyDescent="0.2">
      <c r="A99">
        <v>277</v>
      </c>
      <c r="B99">
        <v>1</v>
      </c>
      <c r="C99" s="7" t="s">
        <v>92</v>
      </c>
      <c r="D99" s="21">
        <v>14407446.43</v>
      </c>
      <c r="E99" s="59">
        <f t="shared" si="6"/>
        <v>-1253595.95</v>
      </c>
      <c r="F99" s="56">
        <f t="shared" si="7"/>
        <v>-8.7010299999999999E-2</v>
      </c>
      <c r="G99" s="21">
        <f t="shared" si="5"/>
        <v>1253595.95</v>
      </c>
      <c r="H99" s="55">
        <v>839879.58</v>
      </c>
      <c r="I99" s="46">
        <f t="shared" si="8"/>
        <v>413716.37</v>
      </c>
      <c r="J99" s="43">
        <v>1253551.6100000001</v>
      </c>
      <c r="K99" s="43">
        <f t="shared" si="9"/>
        <v>44.339999999850988</v>
      </c>
    </row>
    <row r="100" spans="1:11" x14ac:dyDescent="0.2">
      <c r="A100">
        <v>278</v>
      </c>
      <c r="B100">
        <v>1</v>
      </c>
      <c r="C100" s="7" t="s">
        <v>93</v>
      </c>
      <c r="D100" s="21">
        <v>17443482.800000001</v>
      </c>
      <c r="E100" s="59">
        <f t="shared" si="6"/>
        <v>-1517762.33</v>
      </c>
      <c r="F100" s="56">
        <f t="shared" si="7"/>
        <v>-8.7010299999999999E-2</v>
      </c>
      <c r="G100" s="21">
        <f t="shared" si="5"/>
        <v>1517762.33</v>
      </c>
      <c r="H100" s="55">
        <v>1016864.79</v>
      </c>
      <c r="I100" s="46">
        <f t="shared" si="8"/>
        <v>500897.54000000004</v>
      </c>
      <c r="J100" s="43">
        <v>1517708.64</v>
      </c>
      <c r="K100" s="43">
        <f t="shared" si="9"/>
        <v>53.690000000176951</v>
      </c>
    </row>
    <row r="101" spans="1:11" x14ac:dyDescent="0.2">
      <c r="A101">
        <v>279</v>
      </c>
      <c r="B101">
        <v>1</v>
      </c>
      <c r="C101" s="7" t="s">
        <v>94</v>
      </c>
      <c r="D101" s="21">
        <v>154194390.36000001</v>
      </c>
      <c r="E101" s="59">
        <f t="shared" si="6"/>
        <v>-13416497.140000001</v>
      </c>
      <c r="F101" s="56">
        <f t="shared" si="7"/>
        <v>-8.7010299999999999E-2</v>
      </c>
      <c r="G101" s="21">
        <f t="shared" si="5"/>
        <v>13416497.140000001</v>
      </c>
      <c r="H101" s="55">
        <v>8988735.1199999992</v>
      </c>
      <c r="I101" s="46">
        <f t="shared" si="8"/>
        <v>4427762.0200000014</v>
      </c>
      <c r="J101" s="43">
        <v>13416022.560000001</v>
      </c>
      <c r="K101" s="43">
        <f t="shared" si="9"/>
        <v>474.58000000007451</v>
      </c>
    </row>
    <row r="102" spans="1:11" x14ac:dyDescent="0.2">
      <c r="A102">
        <v>280</v>
      </c>
      <c r="B102">
        <v>1</v>
      </c>
      <c r="C102" s="7" t="s">
        <v>95</v>
      </c>
      <c r="D102" s="21">
        <v>30774775.25</v>
      </c>
      <c r="E102" s="59">
        <f t="shared" si="6"/>
        <v>-2677721.8199999998</v>
      </c>
      <c r="F102" s="56">
        <f t="shared" si="7"/>
        <v>-8.7010299999999999E-2</v>
      </c>
      <c r="G102" s="21">
        <f t="shared" si="5"/>
        <v>2677721.8199999998</v>
      </c>
      <c r="H102" s="55">
        <v>1794010.16</v>
      </c>
      <c r="I102" s="46">
        <f t="shared" si="8"/>
        <v>883711.65999999992</v>
      </c>
      <c r="J102" s="43">
        <v>2677627.11</v>
      </c>
      <c r="K102" s="43">
        <f t="shared" si="9"/>
        <v>94.709999999962747</v>
      </c>
    </row>
    <row r="103" spans="1:11" x14ac:dyDescent="0.2">
      <c r="A103">
        <v>281</v>
      </c>
      <c r="B103">
        <v>1</v>
      </c>
      <c r="C103" s="7" t="s">
        <v>96</v>
      </c>
      <c r="D103" s="21">
        <v>91148060.409999996</v>
      </c>
      <c r="E103" s="59">
        <f t="shared" si="6"/>
        <v>-7930818.29</v>
      </c>
      <c r="F103" s="56">
        <f t="shared" si="7"/>
        <v>-8.7010299999999999E-2</v>
      </c>
      <c r="G103" s="21">
        <f t="shared" si="5"/>
        <v>7930818.29</v>
      </c>
      <c r="H103" s="55">
        <v>5313460.3</v>
      </c>
      <c r="I103" s="46">
        <f t="shared" si="8"/>
        <v>2617357.9900000002</v>
      </c>
      <c r="J103" s="43">
        <v>7930537.7599999998</v>
      </c>
      <c r="K103" s="43">
        <f t="shared" si="9"/>
        <v>280.53000000026077</v>
      </c>
    </row>
    <row r="104" spans="1:11" x14ac:dyDescent="0.2">
      <c r="A104">
        <v>282</v>
      </c>
      <c r="B104">
        <v>1</v>
      </c>
      <c r="C104" s="7" t="s">
        <v>97</v>
      </c>
      <c r="D104" s="21">
        <v>11470890.85</v>
      </c>
      <c r="E104" s="59">
        <f t="shared" si="6"/>
        <v>-998085.43</v>
      </c>
      <c r="F104" s="56">
        <f t="shared" si="7"/>
        <v>-8.7010299999999999E-2</v>
      </c>
      <c r="G104" s="21">
        <f t="shared" si="5"/>
        <v>998085.43</v>
      </c>
      <c r="H104" s="55">
        <v>668693.57999999996</v>
      </c>
      <c r="I104" s="46">
        <f t="shared" si="8"/>
        <v>329391.85000000009</v>
      </c>
      <c r="J104" s="43">
        <v>998050.12</v>
      </c>
      <c r="K104" s="43">
        <f t="shared" si="9"/>
        <v>35.310000000055879</v>
      </c>
    </row>
    <row r="105" spans="1:11" x14ac:dyDescent="0.2">
      <c r="A105">
        <v>283</v>
      </c>
      <c r="B105">
        <v>1</v>
      </c>
      <c r="C105" s="7" t="s">
        <v>98</v>
      </c>
      <c r="D105" s="21">
        <v>29326079.850000001</v>
      </c>
      <c r="E105" s="59">
        <f t="shared" si="6"/>
        <v>-2551670.4300000002</v>
      </c>
      <c r="F105" s="56">
        <f t="shared" si="7"/>
        <v>-8.7010299999999999E-2</v>
      </c>
      <c r="G105" s="21">
        <f t="shared" si="5"/>
        <v>2551670.4300000002</v>
      </c>
      <c r="H105" s="55">
        <v>1709558.71</v>
      </c>
      <c r="I105" s="46">
        <f t="shared" si="8"/>
        <v>842111.7200000002</v>
      </c>
      <c r="J105" s="43">
        <v>2551580.17</v>
      </c>
      <c r="K105" s="43">
        <f t="shared" si="9"/>
        <v>90.260000000242144</v>
      </c>
    </row>
    <row r="106" spans="1:11" x14ac:dyDescent="0.2">
      <c r="A106">
        <v>284</v>
      </c>
      <c r="B106">
        <v>1</v>
      </c>
      <c r="C106" s="7" t="s">
        <v>99</v>
      </c>
      <c r="D106" s="21">
        <v>66040372.5</v>
      </c>
      <c r="E106" s="59">
        <f t="shared" si="6"/>
        <v>-5746191.3300000001</v>
      </c>
      <c r="F106" s="56">
        <f t="shared" si="7"/>
        <v>-8.7010299999999999E-2</v>
      </c>
      <c r="G106" s="21">
        <f t="shared" si="5"/>
        <v>5746191.3300000001</v>
      </c>
      <c r="H106" s="55">
        <v>3849812.01</v>
      </c>
      <c r="I106" s="46">
        <f t="shared" si="8"/>
        <v>1896379.3200000003</v>
      </c>
      <c r="J106" s="43">
        <v>5745988.0700000003</v>
      </c>
      <c r="K106" s="43">
        <f t="shared" si="9"/>
        <v>203.25999999977648</v>
      </c>
    </row>
    <row r="107" spans="1:11" x14ac:dyDescent="0.2">
      <c r="A107">
        <v>286</v>
      </c>
      <c r="B107">
        <v>1</v>
      </c>
      <c r="C107" s="7" t="s">
        <v>100</v>
      </c>
      <c r="D107" s="21">
        <v>14228786.34</v>
      </c>
      <c r="E107" s="59">
        <f t="shared" si="6"/>
        <v>-1238050.69</v>
      </c>
      <c r="F107" s="56">
        <f t="shared" si="7"/>
        <v>-8.7010299999999999E-2</v>
      </c>
      <c r="G107" s="21">
        <f t="shared" si="5"/>
        <v>1238050.69</v>
      </c>
      <c r="H107" s="55">
        <v>829464.62</v>
      </c>
      <c r="I107" s="46">
        <f t="shared" si="8"/>
        <v>408586.06999999995</v>
      </c>
      <c r="J107" s="43">
        <v>1238006.8999999999</v>
      </c>
      <c r="K107" s="43">
        <f t="shared" si="9"/>
        <v>43.790000000037253</v>
      </c>
    </row>
    <row r="108" spans="1:11" x14ac:dyDescent="0.2">
      <c r="A108">
        <v>294</v>
      </c>
      <c r="B108">
        <v>1</v>
      </c>
      <c r="C108" s="7" t="s">
        <v>101</v>
      </c>
      <c r="D108" s="21">
        <v>8802665.2300000004</v>
      </c>
      <c r="E108" s="59">
        <f t="shared" si="6"/>
        <v>-765922.37</v>
      </c>
      <c r="F108" s="56">
        <f t="shared" si="7"/>
        <v>-8.7010299999999999E-2</v>
      </c>
      <c r="G108" s="21">
        <f t="shared" si="5"/>
        <v>765922.37</v>
      </c>
      <c r="H108" s="55">
        <v>513149.84</v>
      </c>
      <c r="I108" s="46">
        <f t="shared" si="8"/>
        <v>252772.52999999997</v>
      </c>
      <c r="J108" s="43">
        <v>765895.28</v>
      </c>
      <c r="K108" s="43">
        <f t="shared" si="9"/>
        <v>27.089999999967404</v>
      </c>
    </row>
    <row r="109" spans="1:11" x14ac:dyDescent="0.2">
      <c r="A109">
        <v>297</v>
      </c>
      <c r="B109">
        <v>1</v>
      </c>
      <c r="C109" s="7" t="s">
        <v>102</v>
      </c>
      <c r="D109" s="21">
        <v>2231786.66</v>
      </c>
      <c r="E109" s="59">
        <f t="shared" si="6"/>
        <v>-194188.38</v>
      </c>
      <c r="F109" s="56">
        <f t="shared" si="7"/>
        <v>-8.7010299999999999E-2</v>
      </c>
      <c r="G109" s="21">
        <f t="shared" si="5"/>
        <v>194188.38</v>
      </c>
      <c r="H109" s="55">
        <v>130101.61</v>
      </c>
      <c r="I109" s="46">
        <f t="shared" si="8"/>
        <v>64086.770000000004</v>
      </c>
      <c r="J109" s="43">
        <v>194181.51</v>
      </c>
      <c r="K109" s="43">
        <f t="shared" si="9"/>
        <v>6.8699999999953434</v>
      </c>
    </row>
    <row r="110" spans="1:11" x14ac:dyDescent="0.2">
      <c r="A110">
        <v>299</v>
      </c>
      <c r="B110">
        <v>1</v>
      </c>
      <c r="C110" s="7" t="s">
        <v>103</v>
      </c>
      <c r="D110" s="21">
        <v>5488022.8099999996</v>
      </c>
      <c r="E110" s="59">
        <f t="shared" si="6"/>
        <v>-477514.4</v>
      </c>
      <c r="F110" s="56">
        <f t="shared" si="7"/>
        <v>-8.7010299999999999E-2</v>
      </c>
      <c r="G110" s="21">
        <f t="shared" si="5"/>
        <v>477514.4</v>
      </c>
      <c r="H110" s="55">
        <v>319923.33</v>
      </c>
      <c r="I110" s="46">
        <f t="shared" si="8"/>
        <v>157591.07</v>
      </c>
      <c r="J110" s="43">
        <v>477497.51</v>
      </c>
      <c r="K110" s="43">
        <f t="shared" si="9"/>
        <v>16.89000000001397</v>
      </c>
    </row>
    <row r="111" spans="1:11" x14ac:dyDescent="0.2">
      <c r="A111">
        <v>300</v>
      </c>
      <c r="B111">
        <v>1</v>
      </c>
      <c r="C111" s="7" t="s">
        <v>104</v>
      </c>
      <c r="D111" s="21">
        <v>9699093.4600000009</v>
      </c>
      <c r="E111" s="59">
        <f t="shared" si="6"/>
        <v>-843920.84</v>
      </c>
      <c r="F111" s="56">
        <f t="shared" si="7"/>
        <v>-8.7010299999999999E-2</v>
      </c>
      <c r="G111" s="21">
        <f t="shared" si="5"/>
        <v>843920.84</v>
      </c>
      <c r="H111" s="55">
        <v>565406.96</v>
      </c>
      <c r="I111" s="46">
        <f t="shared" si="8"/>
        <v>278513.88</v>
      </c>
      <c r="J111" s="43">
        <v>843890.99</v>
      </c>
      <c r="K111" s="43">
        <f t="shared" si="9"/>
        <v>29.849999999976717</v>
      </c>
    </row>
    <row r="112" spans="1:11" x14ac:dyDescent="0.2">
      <c r="A112">
        <v>306</v>
      </c>
      <c r="B112">
        <v>1</v>
      </c>
      <c r="C112" s="7" t="s">
        <v>105</v>
      </c>
      <c r="D112" s="21">
        <v>2119739.52</v>
      </c>
      <c r="E112" s="59">
        <f t="shared" si="6"/>
        <v>-184439.13</v>
      </c>
      <c r="F112" s="56">
        <f t="shared" si="7"/>
        <v>-8.7010299999999999E-2</v>
      </c>
      <c r="G112" s="21">
        <f t="shared" si="5"/>
        <v>184439.13</v>
      </c>
      <c r="H112" s="55">
        <v>123569.85</v>
      </c>
      <c r="I112" s="46">
        <f t="shared" si="8"/>
        <v>60869.279999999999</v>
      </c>
      <c r="J112" s="43">
        <v>184432.61</v>
      </c>
      <c r="K112" s="43">
        <f t="shared" si="9"/>
        <v>6.5200000000186265</v>
      </c>
    </row>
    <row r="113" spans="1:11" x14ac:dyDescent="0.2">
      <c r="A113">
        <v>308</v>
      </c>
      <c r="B113">
        <v>1</v>
      </c>
      <c r="C113" s="7" t="s">
        <v>106</v>
      </c>
      <c r="D113" s="21">
        <v>3884423.44</v>
      </c>
      <c r="E113" s="59">
        <f t="shared" si="6"/>
        <v>-337984.77</v>
      </c>
      <c r="F113" s="56">
        <f t="shared" si="7"/>
        <v>-8.7010299999999999E-2</v>
      </c>
      <c r="G113" s="21">
        <f t="shared" si="5"/>
        <v>337984.77</v>
      </c>
      <c r="H113" s="55">
        <v>226441.79</v>
      </c>
      <c r="I113" s="46">
        <f t="shared" si="8"/>
        <v>111542.98000000001</v>
      </c>
      <c r="J113" s="43">
        <v>337972.82</v>
      </c>
      <c r="K113" s="43">
        <f t="shared" si="9"/>
        <v>11.950000000011642</v>
      </c>
    </row>
    <row r="114" spans="1:11" x14ac:dyDescent="0.2">
      <c r="A114">
        <v>309</v>
      </c>
      <c r="B114">
        <v>1</v>
      </c>
      <c r="C114" s="7" t="s">
        <v>107</v>
      </c>
      <c r="D114" s="21">
        <v>11177399.99</v>
      </c>
      <c r="E114" s="59">
        <f t="shared" si="6"/>
        <v>-972548.71</v>
      </c>
      <c r="F114" s="56">
        <f t="shared" si="7"/>
        <v>-8.7010299999999999E-2</v>
      </c>
      <c r="G114" s="21">
        <f t="shared" si="5"/>
        <v>972548.71</v>
      </c>
      <c r="H114" s="55">
        <v>651584.59</v>
      </c>
      <c r="I114" s="46">
        <f t="shared" si="8"/>
        <v>320964.12</v>
      </c>
      <c r="J114" s="43">
        <v>972514.31</v>
      </c>
      <c r="K114" s="43">
        <f t="shared" si="9"/>
        <v>34.399999999906868</v>
      </c>
    </row>
    <row r="115" spans="1:11" x14ac:dyDescent="0.2">
      <c r="A115">
        <v>314</v>
      </c>
      <c r="B115">
        <v>1</v>
      </c>
      <c r="C115" s="7" t="s">
        <v>108</v>
      </c>
      <c r="D115" s="21">
        <v>6399664.2999999998</v>
      </c>
      <c r="E115" s="59">
        <f t="shared" si="6"/>
        <v>-556836.59</v>
      </c>
      <c r="F115" s="56">
        <f t="shared" si="7"/>
        <v>-8.7010299999999999E-2</v>
      </c>
      <c r="G115" s="21">
        <f t="shared" si="5"/>
        <v>556836.59</v>
      </c>
      <c r="H115" s="55">
        <v>373067.32</v>
      </c>
      <c r="I115" s="46">
        <f t="shared" si="8"/>
        <v>183769.26999999996</v>
      </c>
      <c r="J115" s="43">
        <v>556816.89</v>
      </c>
      <c r="K115" s="43">
        <f t="shared" si="9"/>
        <v>19.699999999953434</v>
      </c>
    </row>
    <row r="116" spans="1:11" x14ac:dyDescent="0.2">
      <c r="A116">
        <v>316</v>
      </c>
      <c r="B116">
        <v>1</v>
      </c>
      <c r="C116" s="7" t="s">
        <v>109</v>
      </c>
      <c r="D116" s="21">
        <v>8233106.9100000001</v>
      </c>
      <c r="E116" s="59">
        <f t="shared" si="6"/>
        <v>-716364.94</v>
      </c>
      <c r="F116" s="56">
        <f t="shared" si="7"/>
        <v>-8.7010299999999999E-2</v>
      </c>
      <c r="G116" s="21">
        <f t="shared" si="5"/>
        <v>716364.94</v>
      </c>
      <c r="H116" s="55">
        <v>479947.53</v>
      </c>
      <c r="I116" s="46">
        <f t="shared" si="8"/>
        <v>236417.40999999992</v>
      </c>
      <c r="J116" s="43">
        <v>716339.6</v>
      </c>
      <c r="K116" s="43">
        <f t="shared" si="9"/>
        <v>25.339999999967404</v>
      </c>
    </row>
    <row r="117" spans="1:11" x14ac:dyDescent="0.2">
      <c r="A117">
        <v>317</v>
      </c>
      <c r="B117">
        <v>1</v>
      </c>
      <c r="C117" s="7" t="s">
        <v>110</v>
      </c>
      <c r="D117" s="21">
        <v>7217422.3099999996</v>
      </c>
      <c r="E117" s="59">
        <f t="shared" si="6"/>
        <v>-627989.93999999994</v>
      </c>
      <c r="F117" s="56">
        <f t="shared" si="7"/>
        <v>-8.7010299999999999E-2</v>
      </c>
      <c r="G117" s="21">
        <f t="shared" si="5"/>
        <v>627989.93999999994</v>
      </c>
      <c r="H117" s="55">
        <v>420738.38</v>
      </c>
      <c r="I117" s="46">
        <f t="shared" si="8"/>
        <v>207251.55999999994</v>
      </c>
      <c r="J117" s="43">
        <v>627967.73</v>
      </c>
      <c r="K117" s="43">
        <f t="shared" si="9"/>
        <v>22.209999999962747</v>
      </c>
    </row>
    <row r="118" spans="1:11" x14ac:dyDescent="0.2">
      <c r="A118">
        <v>318</v>
      </c>
      <c r="B118">
        <v>1</v>
      </c>
      <c r="C118" s="7" t="s">
        <v>111</v>
      </c>
      <c r="D118" s="21">
        <v>26819494.870000001</v>
      </c>
      <c r="E118" s="59">
        <f t="shared" si="6"/>
        <v>-2333571.77</v>
      </c>
      <c r="F118" s="56">
        <f t="shared" si="7"/>
        <v>-8.7010299999999999E-2</v>
      </c>
      <c r="G118" s="21">
        <f t="shared" si="5"/>
        <v>2333571.77</v>
      </c>
      <c r="H118" s="55">
        <v>1563437.78</v>
      </c>
      <c r="I118" s="46">
        <f t="shared" si="8"/>
        <v>770133.99</v>
      </c>
      <c r="J118" s="43">
        <v>2333489.2200000002</v>
      </c>
      <c r="K118" s="43">
        <f t="shared" si="9"/>
        <v>82.549999999813735</v>
      </c>
    </row>
    <row r="119" spans="1:11" x14ac:dyDescent="0.2">
      <c r="A119">
        <v>319</v>
      </c>
      <c r="B119">
        <v>1</v>
      </c>
      <c r="C119" s="7" t="s">
        <v>112</v>
      </c>
      <c r="D119" s="21">
        <v>4504709.0599999996</v>
      </c>
      <c r="E119" s="59">
        <f t="shared" si="6"/>
        <v>-391956</v>
      </c>
      <c r="F119" s="56">
        <f t="shared" si="7"/>
        <v>-8.7010299999999999E-2</v>
      </c>
      <c r="G119" s="21">
        <f t="shared" si="5"/>
        <v>391956</v>
      </c>
      <c r="H119" s="55">
        <v>262601.23</v>
      </c>
      <c r="I119" s="46">
        <f t="shared" si="8"/>
        <v>129354.77000000002</v>
      </c>
      <c r="J119" s="43">
        <v>391942.13</v>
      </c>
      <c r="K119" s="43">
        <f t="shared" si="9"/>
        <v>13.869999999995343</v>
      </c>
    </row>
    <row r="120" spans="1:11" x14ac:dyDescent="0.2">
      <c r="A120">
        <v>323</v>
      </c>
      <c r="B120">
        <v>2</v>
      </c>
      <c r="C120" s="7" t="s">
        <v>113</v>
      </c>
      <c r="D120" s="21">
        <v>217007.94</v>
      </c>
      <c r="E120" s="59">
        <f t="shared" si="6"/>
        <v>-18881.919999999998</v>
      </c>
      <c r="F120" s="56">
        <f t="shared" si="7"/>
        <v>-8.7010299999999999E-2</v>
      </c>
      <c r="G120" s="21">
        <f t="shared" si="5"/>
        <v>18881.919999999998</v>
      </c>
      <c r="H120" s="55">
        <v>12650.44</v>
      </c>
      <c r="I120" s="46">
        <f t="shared" si="8"/>
        <v>6231.4799999999977</v>
      </c>
      <c r="J120" s="43">
        <v>18881.25</v>
      </c>
      <c r="K120" s="43">
        <f t="shared" si="9"/>
        <v>0.66999999999825377</v>
      </c>
    </row>
    <row r="121" spans="1:11" x14ac:dyDescent="0.2">
      <c r="A121">
        <v>330</v>
      </c>
      <c r="B121">
        <v>1</v>
      </c>
      <c r="C121" s="7" t="s">
        <v>114</v>
      </c>
      <c r="D121" s="21">
        <v>2560127.5</v>
      </c>
      <c r="E121" s="59">
        <f t="shared" si="6"/>
        <v>-222757.41</v>
      </c>
      <c r="F121" s="56">
        <f t="shared" si="7"/>
        <v>-8.7010299999999999E-2</v>
      </c>
      <c r="G121" s="21">
        <f t="shared" si="5"/>
        <v>222757.41</v>
      </c>
      <c r="H121" s="55">
        <v>149242.19</v>
      </c>
      <c r="I121" s="46">
        <f t="shared" si="8"/>
        <v>73515.22</v>
      </c>
      <c r="J121" s="43">
        <v>222749.53</v>
      </c>
      <c r="K121" s="43">
        <f t="shared" si="9"/>
        <v>7.8800000000046566</v>
      </c>
    </row>
    <row r="122" spans="1:11" x14ac:dyDescent="0.2">
      <c r="A122">
        <v>332</v>
      </c>
      <c r="B122">
        <v>1</v>
      </c>
      <c r="C122" s="7" t="s">
        <v>115</v>
      </c>
      <c r="D122" s="21">
        <v>12738160.710000001</v>
      </c>
      <c r="E122" s="59">
        <f t="shared" si="6"/>
        <v>-1108350.94</v>
      </c>
      <c r="F122" s="56">
        <f t="shared" si="7"/>
        <v>-8.7010299999999999E-2</v>
      </c>
      <c r="G122" s="21">
        <f t="shared" si="5"/>
        <v>1108350.94</v>
      </c>
      <c r="H122" s="55">
        <v>742568.86</v>
      </c>
      <c r="I122" s="46">
        <f t="shared" si="8"/>
        <v>365782.07999999996</v>
      </c>
      <c r="J122" s="43">
        <v>1108311.73</v>
      </c>
      <c r="K122" s="43">
        <f t="shared" si="9"/>
        <v>39.209999999962747</v>
      </c>
    </row>
    <row r="123" spans="1:11" x14ac:dyDescent="0.2">
      <c r="A123">
        <v>333</v>
      </c>
      <c r="B123">
        <v>1</v>
      </c>
      <c r="C123" s="7" t="s">
        <v>116</v>
      </c>
      <c r="D123" s="21">
        <v>4420792.7</v>
      </c>
      <c r="E123" s="59">
        <f t="shared" si="6"/>
        <v>-384654.41</v>
      </c>
      <c r="F123" s="56">
        <f t="shared" si="7"/>
        <v>-8.7010299999999999E-2</v>
      </c>
      <c r="G123" s="21">
        <f t="shared" si="5"/>
        <v>384654.41</v>
      </c>
      <c r="H123" s="55">
        <v>257709.34</v>
      </c>
      <c r="I123" s="46">
        <f t="shared" si="8"/>
        <v>126945.06999999998</v>
      </c>
      <c r="J123" s="43">
        <v>384640.81</v>
      </c>
      <c r="K123" s="43">
        <f t="shared" si="9"/>
        <v>13.599999999976717</v>
      </c>
    </row>
    <row r="124" spans="1:11" x14ac:dyDescent="0.2">
      <c r="A124">
        <v>345</v>
      </c>
      <c r="B124">
        <v>1</v>
      </c>
      <c r="C124" s="7" t="s">
        <v>117</v>
      </c>
      <c r="D124" s="21">
        <v>10401678.189999999</v>
      </c>
      <c r="E124" s="59">
        <f t="shared" si="6"/>
        <v>-905052.94</v>
      </c>
      <c r="F124" s="56">
        <f t="shared" si="7"/>
        <v>-8.7010299999999999E-2</v>
      </c>
      <c r="G124" s="21">
        <f t="shared" si="5"/>
        <v>905052.94</v>
      </c>
      <c r="H124" s="55">
        <v>606364.02</v>
      </c>
      <c r="I124" s="46">
        <f t="shared" si="8"/>
        <v>298688.91999999993</v>
      </c>
      <c r="J124" s="43">
        <v>905020.92</v>
      </c>
      <c r="K124" s="43">
        <f t="shared" si="9"/>
        <v>32.019999999902211</v>
      </c>
    </row>
    <row r="125" spans="1:11" x14ac:dyDescent="0.2">
      <c r="A125">
        <v>347</v>
      </c>
      <c r="B125">
        <v>1</v>
      </c>
      <c r="C125" s="7" t="s">
        <v>118</v>
      </c>
      <c r="D125" s="21">
        <v>29359812.899999999</v>
      </c>
      <c r="E125" s="59">
        <f t="shared" si="6"/>
        <v>-2554605.5499999998</v>
      </c>
      <c r="F125" s="56">
        <f t="shared" si="7"/>
        <v>-8.7010299999999999E-2</v>
      </c>
      <c r="G125" s="21">
        <f t="shared" si="5"/>
        <v>2554605.5499999998</v>
      </c>
      <c r="H125" s="55">
        <v>1711525.18</v>
      </c>
      <c r="I125" s="46">
        <f t="shared" si="8"/>
        <v>843080.36999999988</v>
      </c>
      <c r="J125" s="43">
        <v>2554515.19</v>
      </c>
      <c r="K125" s="43">
        <f t="shared" si="9"/>
        <v>90.359999999869615</v>
      </c>
    </row>
    <row r="126" spans="1:11" x14ac:dyDescent="0.2">
      <c r="A126">
        <v>356</v>
      </c>
      <c r="B126">
        <v>1</v>
      </c>
      <c r="C126" s="7" t="s">
        <v>119</v>
      </c>
      <c r="D126" s="21">
        <v>1626425.79</v>
      </c>
      <c r="E126" s="59">
        <f t="shared" si="6"/>
        <v>-141515.76</v>
      </c>
      <c r="F126" s="56">
        <f t="shared" si="7"/>
        <v>-8.7010299999999999E-2</v>
      </c>
      <c r="G126" s="21">
        <f t="shared" si="5"/>
        <v>141515.76</v>
      </c>
      <c r="H126" s="55">
        <v>94812.21</v>
      </c>
      <c r="I126" s="46">
        <f t="shared" si="8"/>
        <v>46703.55</v>
      </c>
      <c r="J126" s="43">
        <v>141510.76</v>
      </c>
      <c r="K126" s="43">
        <f t="shared" si="9"/>
        <v>5</v>
      </c>
    </row>
    <row r="127" spans="1:11" x14ac:dyDescent="0.2">
      <c r="A127">
        <v>361</v>
      </c>
      <c r="B127">
        <v>1</v>
      </c>
      <c r="C127" s="7" t="s">
        <v>120</v>
      </c>
      <c r="D127" s="21">
        <v>9422960.7200000007</v>
      </c>
      <c r="E127" s="59">
        <f t="shared" si="6"/>
        <v>-819894.45</v>
      </c>
      <c r="F127" s="56">
        <f t="shared" si="7"/>
        <v>-8.7010299999999999E-2</v>
      </c>
      <c r="G127" s="21">
        <f t="shared" si="5"/>
        <v>819894.45</v>
      </c>
      <c r="H127" s="55">
        <v>549309.85</v>
      </c>
      <c r="I127" s="46">
        <f t="shared" si="8"/>
        <v>270584.59999999998</v>
      </c>
      <c r="J127" s="43">
        <v>819865.45</v>
      </c>
      <c r="K127" s="43">
        <f t="shared" si="9"/>
        <v>29</v>
      </c>
    </row>
    <row r="128" spans="1:11" x14ac:dyDescent="0.2">
      <c r="A128">
        <v>362</v>
      </c>
      <c r="B128">
        <v>1</v>
      </c>
      <c r="C128" s="7" t="s">
        <v>121</v>
      </c>
      <c r="D128" s="21">
        <v>3087047.56</v>
      </c>
      <c r="E128" s="59">
        <f t="shared" si="6"/>
        <v>-268604.87</v>
      </c>
      <c r="F128" s="56">
        <f t="shared" si="7"/>
        <v>-8.7010299999999999E-2</v>
      </c>
      <c r="G128" s="21">
        <f t="shared" si="5"/>
        <v>268604.87</v>
      </c>
      <c r="H128" s="55">
        <v>179958.9</v>
      </c>
      <c r="I128" s="46">
        <f t="shared" si="8"/>
        <v>88645.97</v>
      </c>
      <c r="J128" s="43">
        <v>268595.37</v>
      </c>
      <c r="K128" s="43">
        <f t="shared" si="9"/>
        <v>9.5</v>
      </c>
    </row>
    <row r="129" spans="1:11" x14ac:dyDescent="0.2">
      <c r="A129">
        <v>363</v>
      </c>
      <c r="B129">
        <v>1</v>
      </c>
      <c r="C129" s="7" t="s">
        <v>122</v>
      </c>
      <c r="D129" s="21">
        <v>4076213.88</v>
      </c>
      <c r="E129" s="59">
        <f t="shared" si="6"/>
        <v>-354672.51</v>
      </c>
      <c r="F129" s="56">
        <f t="shared" si="7"/>
        <v>-8.7010299999999999E-2</v>
      </c>
      <c r="G129" s="21">
        <f t="shared" si="5"/>
        <v>354672.51</v>
      </c>
      <c r="H129" s="55">
        <v>237622.18</v>
      </c>
      <c r="I129" s="46">
        <f t="shared" si="8"/>
        <v>117050.33000000002</v>
      </c>
      <c r="J129" s="43">
        <v>354659.97</v>
      </c>
      <c r="K129" s="43">
        <f t="shared" si="9"/>
        <v>12.540000000037253</v>
      </c>
    </row>
    <row r="130" spans="1:11" x14ac:dyDescent="0.2">
      <c r="A130">
        <v>378</v>
      </c>
      <c r="B130">
        <v>1</v>
      </c>
      <c r="C130" s="7" t="s">
        <v>123</v>
      </c>
      <c r="D130" s="21">
        <v>3531957.89</v>
      </c>
      <c r="E130" s="59">
        <f t="shared" si="6"/>
        <v>-307316.65000000002</v>
      </c>
      <c r="F130" s="56">
        <f t="shared" si="7"/>
        <v>-8.7010299999999999E-2</v>
      </c>
      <c r="G130" s="21">
        <f t="shared" si="5"/>
        <v>307316.65000000002</v>
      </c>
      <c r="H130" s="55">
        <v>205894.87</v>
      </c>
      <c r="I130" s="46">
        <f t="shared" si="8"/>
        <v>101421.78000000003</v>
      </c>
      <c r="J130" s="43">
        <v>307305.78000000003</v>
      </c>
      <c r="K130" s="43">
        <f t="shared" si="9"/>
        <v>10.869999999995343</v>
      </c>
    </row>
    <row r="131" spans="1:11" x14ac:dyDescent="0.2">
      <c r="A131">
        <v>381</v>
      </c>
      <c r="B131">
        <v>1</v>
      </c>
      <c r="C131" s="7" t="s">
        <v>124</v>
      </c>
      <c r="D131" s="21">
        <v>11052067.960000001</v>
      </c>
      <c r="E131" s="59">
        <f t="shared" si="6"/>
        <v>-961643.53</v>
      </c>
      <c r="F131" s="56">
        <f t="shared" si="7"/>
        <v>-8.7010299999999999E-2</v>
      </c>
      <c r="G131" s="21">
        <f t="shared" si="5"/>
        <v>961643.53</v>
      </c>
      <c r="H131" s="55">
        <v>644278.38</v>
      </c>
      <c r="I131" s="46">
        <f t="shared" si="8"/>
        <v>317365.15000000002</v>
      </c>
      <c r="J131" s="43">
        <v>961609.52</v>
      </c>
      <c r="K131" s="43">
        <f t="shared" si="9"/>
        <v>34.010000000009313</v>
      </c>
    </row>
    <row r="132" spans="1:11" x14ac:dyDescent="0.2">
      <c r="A132">
        <v>390</v>
      </c>
      <c r="B132">
        <v>1</v>
      </c>
      <c r="C132" s="7" t="s">
        <v>125</v>
      </c>
      <c r="D132" s="21">
        <v>4422877.1500000004</v>
      </c>
      <c r="E132" s="59">
        <f t="shared" si="6"/>
        <v>-384835.78</v>
      </c>
      <c r="F132" s="56">
        <f t="shared" si="7"/>
        <v>-8.7010299999999999E-2</v>
      </c>
      <c r="G132" s="21">
        <f t="shared" si="5"/>
        <v>384835.78</v>
      </c>
      <c r="H132" s="55">
        <v>257830.85</v>
      </c>
      <c r="I132" s="46">
        <f t="shared" si="8"/>
        <v>127004.93000000002</v>
      </c>
      <c r="J132" s="43">
        <v>384822.17</v>
      </c>
      <c r="K132" s="43">
        <f t="shared" si="9"/>
        <v>13.610000000044238</v>
      </c>
    </row>
    <row r="133" spans="1:11" x14ac:dyDescent="0.2">
      <c r="A133">
        <v>391</v>
      </c>
      <c r="B133">
        <v>1</v>
      </c>
      <c r="C133" s="7" t="s">
        <v>126</v>
      </c>
      <c r="D133" s="21">
        <v>2798971.7</v>
      </c>
      <c r="E133" s="59">
        <f t="shared" si="6"/>
        <v>-243539.31</v>
      </c>
      <c r="F133" s="56">
        <f t="shared" si="7"/>
        <v>-8.7010299999999999E-2</v>
      </c>
      <c r="G133" s="21">
        <f t="shared" si="5"/>
        <v>243539.31</v>
      </c>
      <c r="H133" s="55">
        <v>163165.57</v>
      </c>
      <c r="I133" s="46">
        <f t="shared" si="8"/>
        <v>80373.739999999991</v>
      </c>
      <c r="J133" s="43">
        <v>243530.7</v>
      </c>
      <c r="K133" s="43">
        <f t="shared" si="9"/>
        <v>8.6099999999860302</v>
      </c>
    </row>
    <row r="134" spans="1:11" x14ac:dyDescent="0.2">
      <c r="A134">
        <v>392</v>
      </c>
      <c r="B134">
        <v>1</v>
      </c>
      <c r="C134" s="7" t="s">
        <v>127</v>
      </c>
      <c r="D134" s="21">
        <v>4551734.74</v>
      </c>
      <c r="E134" s="59">
        <f t="shared" si="6"/>
        <v>-396047.72</v>
      </c>
      <c r="F134" s="56">
        <f t="shared" si="7"/>
        <v>-8.7010299999999999E-2</v>
      </c>
      <c r="G134" s="21">
        <f t="shared" si="5"/>
        <v>396047.72</v>
      </c>
      <c r="H134" s="55">
        <v>265342.59000000003</v>
      </c>
      <c r="I134" s="46">
        <f t="shared" si="8"/>
        <v>130705.12999999995</v>
      </c>
      <c r="J134" s="43">
        <v>396033.71</v>
      </c>
      <c r="K134" s="43">
        <f t="shared" si="9"/>
        <v>14.009999999951106</v>
      </c>
    </row>
    <row r="135" spans="1:11" x14ac:dyDescent="0.2">
      <c r="A135">
        <v>394</v>
      </c>
      <c r="B135">
        <v>1</v>
      </c>
      <c r="C135" s="7" t="s">
        <v>128</v>
      </c>
      <c r="D135" s="21">
        <v>7140942.3399999999</v>
      </c>
      <c r="E135" s="59">
        <f t="shared" si="6"/>
        <v>-621335.4</v>
      </c>
      <c r="F135" s="56">
        <f t="shared" si="7"/>
        <v>-8.7010299999999999E-2</v>
      </c>
      <c r="G135" s="21">
        <f t="shared" si="5"/>
        <v>621335.4</v>
      </c>
      <c r="H135" s="55">
        <v>416279.99</v>
      </c>
      <c r="I135" s="46">
        <f t="shared" si="8"/>
        <v>205055.41000000003</v>
      </c>
      <c r="J135" s="43">
        <v>621313.42000000004</v>
      </c>
      <c r="K135" s="43">
        <f t="shared" si="9"/>
        <v>21.979999999981374</v>
      </c>
    </row>
    <row r="136" spans="1:11" x14ac:dyDescent="0.2">
      <c r="A136">
        <v>402</v>
      </c>
      <c r="B136">
        <v>1</v>
      </c>
      <c r="C136" s="7" t="s">
        <v>129</v>
      </c>
      <c r="D136" s="21">
        <v>1196663.1299999999</v>
      </c>
      <c r="E136" s="59">
        <f t="shared" si="6"/>
        <v>-104121.99</v>
      </c>
      <c r="F136" s="56">
        <f t="shared" si="7"/>
        <v>-8.7010299999999999E-2</v>
      </c>
      <c r="G136" s="21">
        <f t="shared" si="5"/>
        <v>104121.99</v>
      </c>
      <c r="H136" s="55">
        <v>69759.27</v>
      </c>
      <c r="I136" s="46">
        <f t="shared" si="8"/>
        <v>34362.720000000001</v>
      </c>
      <c r="J136" s="43">
        <v>104118.31</v>
      </c>
      <c r="K136" s="43">
        <f t="shared" si="9"/>
        <v>3.680000000007567</v>
      </c>
    </row>
    <row r="137" spans="1:11" x14ac:dyDescent="0.2">
      <c r="A137">
        <v>403</v>
      </c>
      <c r="B137">
        <v>1</v>
      </c>
      <c r="C137" s="7" t="s">
        <v>130</v>
      </c>
      <c r="D137" s="21">
        <v>1318825.54</v>
      </c>
      <c r="E137" s="59">
        <f t="shared" si="6"/>
        <v>-114751.38</v>
      </c>
      <c r="F137" s="56">
        <f t="shared" si="7"/>
        <v>-8.7010299999999999E-2</v>
      </c>
      <c r="G137" s="21">
        <f t="shared" si="5"/>
        <v>114751.38</v>
      </c>
      <c r="H137" s="55">
        <v>76880.7</v>
      </c>
      <c r="I137" s="46">
        <f t="shared" si="8"/>
        <v>37870.680000000008</v>
      </c>
      <c r="J137" s="43">
        <v>114747.32</v>
      </c>
      <c r="K137" s="43">
        <f t="shared" si="9"/>
        <v>4.0599999999976717</v>
      </c>
    </row>
    <row r="138" spans="1:11" x14ac:dyDescent="0.2">
      <c r="A138">
        <v>404</v>
      </c>
      <c r="B138">
        <v>1</v>
      </c>
      <c r="C138" s="7" t="s">
        <v>131</v>
      </c>
      <c r="D138" s="21">
        <v>1399461.63</v>
      </c>
      <c r="E138" s="59">
        <f t="shared" si="6"/>
        <v>-121767.55</v>
      </c>
      <c r="F138" s="56">
        <f t="shared" si="7"/>
        <v>-8.7010299999999999E-2</v>
      </c>
      <c r="G138" s="21">
        <f t="shared" si="5"/>
        <v>121767.55</v>
      </c>
      <c r="H138" s="55">
        <v>81581.37</v>
      </c>
      <c r="I138" s="46">
        <f t="shared" si="8"/>
        <v>40186.180000000008</v>
      </c>
      <c r="J138" s="43">
        <v>121763.24</v>
      </c>
      <c r="K138" s="43">
        <f t="shared" si="9"/>
        <v>4.3099999999976717</v>
      </c>
    </row>
    <row r="139" spans="1:11" x14ac:dyDescent="0.2">
      <c r="A139">
        <v>413</v>
      </c>
      <c r="B139">
        <v>1</v>
      </c>
      <c r="C139" s="7" t="s">
        <v>132</v>
      </c>
      <c r="D139" s="21">
        <v>15409387.460000001</v>
      </c>
      <c r="E139" s="59">
        <f t="shared" si="6"/>
        <v>-1340775.1200000001</v>
      </c>
      <c r="F139" s="56">
        <f t="shared" si="7"/>
        <v>-8.7010299999999999E-2</v>
      </c>
      <c r="G139" s="21">
        <f t="shared" si="5"/>
        <v>1340775.1200000001</v>
      </c>
      <c r="H139" s="55">
        <v>898287.56</v>
      </c>
      <c r="I139" s="46">
        <f t="shared" si="8"/>
        <v>442487.56000000006</v>
      </c>
      <c r="J139" s="43">
        <v>1340727.7</v>
      </c>
      <c r="K139" s="43">
        <f t="shared" si="9"/>
        <v>47.420000000158325</v>
      </c>
    </row>
    <row r="140" spans="1:11" x14ac:dyDescent="0.2">
      <c r="A140">
        <v>414</v>
      </c>
      <c r="B140">
        <v>1</v>
      </c>
      <c r="C140" s="7" t="s">
        <v>133</v>
      </c>
      <c r="D140" s="21">
        <v>3266306.58</v>
      </c>
      <c r="E140" s="59">
        <f t="shared" si="6"/>
        <v>-284202.25</v>
      </c>
      <c r="F140" s="56">
        <f t="shared" si="7"/>
        <v>-8.7010299999999999E-2</v>
      </c>
      <c r="G140" s="21">
        <f t="shared" si="5"/>
        <v>284202.25</v>
      </c>
      <c r="H140" s="55">
        <v>190408.77</v>
      </c>
      <c r="I140" s="46">
        <f t="shared" si="8"/>
        <v>93793.48000000001</v>
      </c>
      <c r="J140" s="43">
        <v>284192.2</v>
      </c>
      <c r="K140" s="43">
        <f t="shared" si="9"/>
        <v>10.049999999988358</v>
      </c>
    </row>
    <row r="141" spans="1:11" x14ac:dyDescent="0.2">
      <c r="A141">
        <v>415</v>
      </c>
      <c r="B141">
        <v>1</v>
      </c>
      <c r="C141" s="7" t="s">
        <v>134</v>
      </c>
      <c r="D141" s="21">
        <v>1275318.8600000001</v>
      </c>
      <c r="E141" s="59">
        <f t="shared" si="6"/>
        <v>-110965.85</v>
      </c>
      <c r="F141" s="56">
        <f t="shared" si="7"/>
        <v>-8.7010299999999999E-2</v>
      </c>
      <c r="G141" s="21">
        <f t="shared" si="5"/>
        <v>110965.85</v>
      </c>
      <c r="H141" s="55">
        <v>74344.490000000005</v>
      </c>
      <c r="I141" s="46">
        <f t="shared" si="8"/>
        <v>36621.360000000001</v>
      </c>
      <c r="J141" s="43">
        <v>110961.93</v>
      </c>
      <c r="K141" s="43">
        <f t="shared" si="9"/>
        <v>3.9200000000128057</v>
      </c>
    </row>
    <row r="142" spans="1:11" x14ac:dyDescent="0.2">
      <c r="A142">
        <v>423</v>
      </c>
      <c r="B142">
        <v>1</v>
      </c>
      <c r="C142" s="7" t="s">
        <v>135</v>
      </c>
      <c r="D142" s="21">
        <v>19405960.469999999</v>
      </c>
      <c r="E142" s="59">
        <f t="shared" si="6"/>
        <v>-1688518.06</v>
      </c>
      <c r="F142" s="56">
        <f t="shared" si="7"/>
        <v>-8.7010299999999999E-2</v>
      </c>
      <c r="G142" s="21">
        <f t="shared" ref="G142:G205" si="10">E142*-1</f>
        <v>1688518.06</v>
      </c>
      <c r="H142" s="55">
        <v>1131267.08</v>
      </c>
      <c r="I142" s="46">
        <f t="shared" si="8"/>
        <v>557250.98</v>
      </c>
      <c r="J142" s="43">
        <v>1688458.33</v>
      </c>
      <c r="K142" s="43">
        <f t="shared" si="9"/>
        <v>59.729999999981374</v>
      </c>
    </row>
    <row r="143" spans="1:11" x14ac:dyDescent="0.2">
      <c r="A143">
        <v>424</v>
      </c>
      <c r="B143">
        <v>1</v>
      </c>
      <c r="C143" s="7" t="s">
        <v>136</v>
      </c>
      <c r="D143" s="21">
        <v>2963244.29</v>
      </c>
      <c r="E143" s="59">
        <f t="shared" ref="E143:E206" si="11">ROUND(-D143*$D$520,2)</f>
        <v>-257832.72</v>
      </c>
      <c r="F143" s="56">
        <f t="shared" ref="F143:F206" si="12">IF(D143&gt;0,ROUND(E143/D143,7),"na   ")</f>
        <v>-8.7010299999999999E-2</v>
      </c>
      <c r="G143" s="21">
        <f t="shared" si="10"/>
        <v>257832.72</v>
      </c>
      <c r="H143" s="55">
        <v>172741.81</v>
      </c>
      <c r="I143" s="46">
        <f t="shared" ref="I143:I206" si="13">G143-H143</f>
        <v>85090.91</v>
      </c>
      <c r="J143" s="43">
        <v>257823.6</v>
      </c>
      <c r="K143" s="43">
        <f t="shared" ref="K143:K206" si="14">G143-J143</f>
        <v>9.1199999999953434</v>
      </c>
    </row>
    <row r="144" spans="1:11" x14ac:dyDescent="0.2">
      <c r="A144">
        <v>432</v>
      </c>
      <c r="B144">
        <v>1</v>
      </c>
      <c r="C144" s="7" t="s">
        <v>137</v>
      </c>
      <c r="D144" s="21">
        <v>5400865.3300000001</v>
      </c>
      <c r="E144" s="59">
        <f t="shared" si="11"/>
        <v>-469930.81</v>
      </c>
      <c r="F144" s="56">
        <f t="shared" si="12"/>
        <v>-8.7010299999999999E-2</v>
      </c>
      <c r="G144" s="21">
        <f t="shared" si="10"/>
        <v>469930.81</v>
      </c>
      <c r="H144" s="55">
        <v>314842.5</v>
      </c>
      <c r="I144" s="46">
        <f t="shared" si="13"/>
        <v>155088.31</v>
      </c>
      <c r="J144" s="43">
        <v>469914.18</v>
      </c>
      <c r="K144" s="43">
        <f t="shared" si="14"/>
        <v>16.630000000004657</v>
      </c>
    </row>
    <row r="145" spans="1:11" x14ac:dyDescent="0.2">
      <c r="A145">
        <v>435</v>
      </c>
      <c r="B145">
        <v>1</v>
      </c>
      <c r="C145" s="7" t="s">
        <v>138</v>
      </c>
      <c r="D145" s="21">
        <v>5138450.3099999996</v>
      </c>
      <c r="E145" s="59">
        <f t="shared" si="11"/>
        <v>-447098</v>
      </c>
      <c r="F145" s="56">
        <f t="shared" si="12"/>
        <v>-8.7010299999999999E-2</v>
      </c>
      <c r="G145" s="21">
        <f t="shared" si="10"/>
        <v>447098</v>
      </c>
      <c r="H145" s="55">
        <v>299545.07</v>
      </c>
      <c r="I145" s="46">
        <f t="shared" si="13"/>
        <v>147552.93</v>
      </c>
      <c r="J145" s="43">
        <v>447082.19</v>
      </c>
      <c r="K145" s="43">
        <f t="shared" si="14"/>
        <v>15.809999999997672</v>
      </c>
    </row>
    <row r="146" spans="1:11" x14ac:dyDescent="0.2">
      <c r="A146">
        <v>441</v>
      </c>
      <c r="B146">
        <v>1</v>
      </c>
      <c r="C146" s="7" t="s">
        <v>139</v>
      </c>
      <c r="D146" s="21">
        <v>3070229.57</v>
      </c>
      <c r="E146" s="59">
        <f t="shared" si="11"/>
        <v>-267141.53999999998</v>
      </c>
      <c r="F146" s="56">
        <f t="shared" si="12"/>
        <v>-8.7010299999999999E-2</v>
      </c>
      <c r="G146" s="21">
        <f t="shared" si="10"/>
        <v>267141.53999999998</v>
      </c>
      <c r="H146" s="55">
        <v>178978.5</v>
      </c>
      <c r="I146" s="46">
        <f t="shared" si="13"/>
        <v>88163.039999999979</v>
      </c>
      <c r="J146" s="43">
        <v>267132.09000000003</v>
      </c>
      <c r="K146" s="43">
        <f t="shared" si="14"/>
        <v>9.4499999999534339</v>
      </c>
    </row>
    <row r="147" spans="1:11" x14ac:dyDescent="0.2">
      <c r="A147">
        <v>447</v>
      </c>
      <c r="B147">
        <v>1</v>
      </c>
      <c r="C147" s="7" t="s">
        <v>140</v>
      </c>
      <c r="D147" s="21">
        <v>2165896.7999999998</v>
      </c>
      <c r="E147" s="59">
        <f t="shared" si="11"/>
        <v>-188455.29</v>
      </c>
      <c r="F147" s="56">
        <f t="shared" si="12"/>
        <v>-8.7010299999999999E-2</v>
      </c>
      <c r="G147" s="21">
        <f t="shared" si="10"/>
        <v>188455.29</v>
      </c>
      <c r="H147" s="55">
        <v>126260.58</v>
      </c>
      <c r="I147" s="46">
        <f t="shared" si="13"/>
        <v>62194.710000000006</v>
      </c>
      <c r="J147" s="43">
        <v>188448.62</v>
      </c>
      <c r="K147" s="43">
        <f t="shared" si="14"/>
        <v>6.6700000000128057</v>
      </c>
    </row>
    <row r="148" spans="1:11" x14ac:dyDescent="0.2">
      <c r="A148">
        <v>458</v>
      </c>
      <c r="B148">
        <v>1</v>
      </c>
      <c r="C148" s="7" t="s">
        <v>141</v>
      </c>
      <c r="D148" s="21">
        <v>2373910.94</v>
      </c>
      <c r="E148" s="59">
        <f t="shared" si="11"/>
        <v>-206554.66</v>
      </c>
      <c r="F148" s="56">
        <f t="shared" si="12"/>
        <v>-8.7010299999999999E-2</v>
      </c>
      <c r="G148" s="21">
        <f t="shared" si="10"/>
        <v>206554.66</v>
      </c>
      <c r="H148" s="55">
        <v>138386.72</v>
      </c>
      <c r="I148" s="46">
        <f t="shared" si="13"/>
        <v>68167.94</v>
      </c>
      <c r="J148" s="43">
        <v>206547.35</v>
      </c>
      <c r="K148" s="43">
        <f t="shared" si="14"/>
        <v>7.3099999999976717</v>
      </c>
    </row>
    <row r="149" spans="1:11" x14ac:dyDescent="0.2">
      <c r="A149">
        <v>463</v>
      </c>
      <c r="B149">
        <v>1</v>
      </c>
      <c r="C149" s="7" t="s">
        <v>142</v>
      </c>
      <c r="D149" s="21">
        <v>5901165.3200000003</v>
      </c>
      <c r="E149" s="59">
        <f t="shared" si="11"/>
        <v>-513462.05</v>
      </c>
      <c r="F149" s="56">
        <f t="shared" si="12"/>
        <v>-8.7010299999999999E-2</v>
      </c>
      <c r="G149" s="21">
        <f t="shared" si="10"/>
        <v>513462.05</v>
      </c>
      <c r="H149" s="55">
        <v>344007.41</v>
      </c>
      <c r="I149" s="46">
        <f t="shared" si="13"/>
        <v>169454.64</v>
      </c>
      <c r="J149" s="43">
        <v>513443.89</v>
      </c>
      <c r="K149" s="43">
        <f t="shared" si="14"/>
        <v>18.159999999974389</v>
      </c>
    </row>
    <row r="150" spans="1:11" x14ac:dyDescent="0.2">
      <c r="A150">
        <v>465</v>
      </c>
      <c r="B150">
        <v>1</v>
      </c>
      <c r="C150" s="7" t="s">
        <v>143</v>
      </c>
      <c r="D150" s="21">
        <v>11953938.619999999</v>
      </c>
      <c r="E150" s="59">
        <f t="shared" si="11"/>
        <v>-1040115.55</v>
      </c>
      <c r="F150" s="56">
        <f t="shared" si="12"/>
        <v>-8.7010299999999999E-2</v>
      </c>
      <c r="G150" s="21">
        <f t="shared" si="10"/>
        <v>1040115.55</v>
      </c>
      <c r="H150" s="55">
        <v>696852.77</v>
      </c>
      <c r="I150" s="46">
        <f t="shared" si="13"/>
        <v>343262.78</v>
      </c>
      <c r="J150" s="43">
        <v>1040078.76</v>
      </c>
      <c r="K150" s="43">
        <f t="shared" si="14"/>
        <v>36.790000000037253</v>
      </c>
    </row>
    <row r="151" spans="1:11" x14ac:dyDescent="0.2">
      <c r="A151">
        <v>466</v>
      </c>
      <c r="B151">
        <v>1</v>
      </c>
      <c r="C151" s="7" t="s">
        <v>144</v>
      </c>
      <c r="D151" s="21">
        <v>15363156.119999999</v>
      </c>
      <c r="E151" s="59">
        <f t="shared" si="11"/>
        <v>-1336752.52</v>
      </c>
      <c r="F151" s="56">
        <f t="shared" si="12"/>
        <v>-8.7010299999999999E-2</v>
      </c>
      <c r="G151" s="21">
        <f t="shared" si="10"/>
        <v>1336752.52</v>
      </c>
      <c r="H151" s="55">
        <v>895592.51</v>
      </c>
      <c r="I151" s="46">
        <f t="shared" si="13"/>
        <v>441160.01</v>
      </c>
      <c r="J151" s="43">
        <v>1336705.24</v>
      </c>
      <c r="K151" s="43">
        <f t="shared" si="14"/>
        <v>47.28000000002794</v>
      </c>
    </row>
    <row r="152" spans="1:11" x14ac:dyDescent="0.2">
      <c r="A152">
        <v>473</v>
      </c>
      <c r="B152">
        <v>1</v>
      </c>
      <c r="C152" s="7" t="s">
        <v>145</v>
      </c>
      <c r="D152" s="21">
        <v>4122487.57</v>
      </c>
      <c r="E152" s="59">
        <f t="shared" si="11"/>
        <v>-358698.8</v>
      </c>
      <c r="F152" s="56">
        <f t="shared" si="12"/>
        <v>-8.7010299999999999E-2</v>
      </c>
      <c r="G152" s="21">
        <f t="shared" si="10"/>
        <v>358698.8</v>
      </c>
      <c r="H152" s="55">
        <v>240319.69</v>
      </c>
      <c r="I152" s="46">
        <f t="shared" si="13"/>
        <v>118379.10999999999</v>
      </c>
      <c r="J152" s="43">
        <v>358686.11</v>
      </c>
      <c r="K152" s="43">
        <f t="shared" si="14"/>
        <v>12.690000000002328</v>
      </c>
    </row>
    <row r="153" spans="1:11" x14ac:dyDescent="0.2">
      <c r="A153">
        <v>477</v>
      </c>
      <c r="B153">
        <v>1</v>
      </c>
      <c r="C153" s="7" t="s">
        <v>146</v>
      </c>
      <c r="D153" s="21">
        <v>23360544.699999999</v>
      </c>
      <c r="E153" s="59">
        <f t="shared" si="11"/>
        <v>-2032607.54</v>
      </c>
      <c r="F153" s="56">
        <f t="shared" si="12"/>
        <v>-8.7010299999999999E-2</v>
      </c>
      <c r="G153" s="21">
        <f t="shared" si="10"/>
        <v>2032607.54</v>
      </c>
      <c r="H153" s="55">
        <v>1361798.89</v>
      </c>
      <c r="I153" s="46">
        <f t="shared" si="13"/>
        <v>670808.65000000014</v>
      </c>
      <c r="J153" s="43">
        <v>2032535.65</v>
      </c>
      <c r="K153" s="43">
        <f t="shared" si="14"/>
        <v>71.890000000130385</v>
      </c>
    </row>
    <row r="154" spans="1:11" x14ac:dyDescent="0.2">
      <c r="A154">
        <v>480</v>
      </c>
      <c r="B154">
        <v>1</v>
      </c>
      <c r="C154" s="7" t="s">
        <v>147</v>
      </c>
      <c r="D154" s="21">
        <v>5628118.6200000001</v>
      </c>
      <c r="E154" s="59">
        <f t="shared" si="11"/>
        <v>-489704.18</v>
      </c>
      <c r="F154" s="56">
        <f t="shared" si="12"/>
        <v>-8.7010299999999999E-2</v>
      </c>
      <c r="G154" s="21">
        <f t="shared" si="10"/>
        <v>489704.18</v>
      </c>
      <c r="H154" s="55">
        <v>328090.2</v>
      </c>
      <c r="I154" s="46">
        <f t="shared" si="13"/>
        <v>161613.97999999998</v>
      </c>
      <c r="J154" s="43">
        <v>489686.86</v>
      </c>
      <c r="K154" s="43">
        <f t="shared" si="14"/>
        <v>17.320000000006985</v>
      </c>
    </row>
    <row r="155" spans="1:11" x14ac:dyDescent="0.2">
      <c r="A155">
        <v>482</v>
      </c>
      <c r="B155">
        <v>1</v>
      </c>
      <c r="C155" s="7" t="s">
        <v>148</v>
      </c>
      <c r="D155" s="21">
        <v>17487219.68</v>
      </c>
      <c r="E155" s="59">
        <f t="shared" si="11"/>
        <v>-1521567.89</v>
      </c>
      <c r="F155" s="56">
        <f t="shared" si="12"/>
        <v>-8.7010299999999999E-2</v>
      </c>
      <c r="G155" s="21">
        <f t="shared" si="10"/>
        <v>1521567.89</v>
      </c>
      <c r="H155" s="55">
        <v>1019414.43</v>
      </c>
      <c r="I155" s="46">
        <f t="shared" si="13"/>
        <v>502153.45999999985</v>
      </c>
      <c r="J155" s="43">
        <v>1521514.07</v>
      </c>
      <c r="K155" s="43">
        <f t="shared" si="14"/>
        <v>53.819999999832362</v>
      </c>
    </row>
    <row r="156" spans="1:11" x14ac:dyDescent="0.2">
      <c r="A156">
        <v>484</v>
      </c>
      <c r="B156">
        <v>1</v>
      </c>
      <c r="C156" s="7" t="s">
        <v>149</v>
      </c>
      <c r="D156" s="21">
        <v>7297465.5899999999</v>
      </c>
      <c r="E156" s="59">
        <f t="shared" si="11"/>
        <v>-634954.53</v>
      </c>
      <c r="F156" s="56">
        <f t="shared" si="12"/>
        <v>-8.7010299999999999E-2</v>
      </c>
      <c r="G156" s="21">
        <f t="shared" si="10"/>
        <v>634954.53</v>
      </c>
      <c r="H156" s="55">
        <v>425404.49</v>
      </c>
      <c r="I156" s="46">
        <f t="shared" si="13"/>
        <v>209550.04000000004</v>
      </c>
      <c r="J156" s="43">
        <v>634932.06999999995</v>
      </c>
      <c r="K156" s="43">
        <f t="shared" si="14"/>
        <v>22.460000000079162</v>
      </c>
    </row>
    <row r="157" spans="1:11" x14ac:dyDescent="0.2">
      <c r="A157">
        <v>485</v>
      </c>
      <c r="B157">
        <v>1</v>
      </c>
      <c r="C157" s="7" t="s">
        <v>150</v>
      </c>
      <c r="D157" s="21">
        <v>4748334.8</v>
      </c>
      <c r="E157" s="59">
        <f t="shared" si="11"/>
        <v>-413153.94</v>
      </c>
      <c r="F157" s="56">
        <f t="shared" si="12"/>
        <v>-8.7010299999999999E-2</v>
      </c>
      <c r="G157" s="21">
        <f t="shared" si="10"/>
        <v>413153.94</v>
      </c>
      <c r="H157" s="55">
        <v>276803.34999999998</v>
      </c>
      <c r="I157" s="46">
        <f t="shared" si="13"/>
        <v>136350.59000000003</v>
      </c>
      <c r="J157" s="43">
        <v>413139.33</v>
      </c>
      <c r="K157" s="43">
        <f t="shared" si="14"/>
        <v>14.60999999998603</v>
      </c>
    </row>
    <row r="158" spans="1:11" x14ac:dyDescent="0.2">
      <c r="A158">
        <v>486</v>
      </c>
      <c r="B158">
        <v>1</v>
      </c>
      <c r="C158" s="7" t="s">
        <v>151</v>
      </c>
      <c r="D158" s="21">
        <v>2477007.79</v>
      </c>
      <c r="E158" s="59">
        <f t="shared" si="11"/>
        <v>-215525.14</v>
      </c>
      <c r="F158" s="56">
        <f t="shared" si="12"/>
        <v>-8.7010299999999999E-2</v>
      </c>
      <c r="G158" s="21">
        <f t="shared" si="10"/>
        <v>215525.14</v>
      </c>
      <c r="H158" s="55">
        <v>144396.74</v>
      </c>
      <c r="I158" s="46">
        <f t="shared" si="13"/>
        <v>71128.400000000023</v>
      </c>
      <c r="J158" s="43">
        <v>215517.52</v>
      </c>
      <c r="K158" s="43">
        <f t="shared" si="14"/>
        <v>7.6200000000244472</v>
      </c>
    </row>
    <row r="159" spans="1:11" x14ac:dyDescent="0.2">
      <c r="A159">
        <v>487</v>
      </c>
      <c r="B159">
        <v>1</v>
      </c>
      <c r="C159" s="7" t="s">
        <v>152</v>
      </c>
      <c r="D159" s="21">
        <v>2689076.88</v>
      </c>
      <c r="E159" s="59">
        <f t="shared" si="11"/>
        <v>-233977.33</v>
      </c>
      <c r="F159" s="56">
        <f t="shared" si="12"/>
        <v>-8.7010299999999999E-2</v>
      </c>
      <c r="G159" s="21">
        <f t="shared" si="10"/>
        <v>233977.33</v>
      </c>
      <c r="H159" s="55">
        <v>156759.26999999999</v>
      </c>
      <c r="I159" s="46">
        <f t="shared" si="13"/>
        <v>77218.06</v>
      </c>
      <c r="J159" s="43">
        <v>233969.06</v>
      </c>
      <c r="K159" s="43">
        <f t="shared" si="14"/>
        <v>8.2699999999895226</v>
      </c>
    </row>
    <row r="160" spans="1:11" x14ac:dyDescent="0.2">
      <c r="A160">
        <v>492</v>
      </c>
      <c r="B160">
        <v>1</v>
      </c>
      <c r="C160" s="7" t="s">
        <v>153</v>
      </c>
      <c r="D160" s="21">
        <v>30305241.670000002</v>
      </c>
      <c r="E160" s="59">
        <f t="shared" si="11"/>
        <v>-2636867.58</v>
      </c>
      <c r="F160" s="56">
        <f t="shared" si="12"/>
        <v>-8.7010299999999999E-2</v>
      </c>
      <c r="G160" s="21">
        <f t="shared" si="10"/>
        <v>2636867.58</v>
      </c>
      <c r="H160" s="55">
        <v>1766638.78</v>
      </c>
      <c r="I160" s="46">
        <f t="shared" si="13"/>
        <v>870228.8</v>
      </c>
      <c r="J160" s="43">
        <v>2636774.2999999998</v>
      </c>
      <c r="K160" s="43">
        <f t="shared" si="14"/>
        <v>93.28000000026077</v>
      </c>
    </row>
    <row r="161" spans="1:11" x14ac:dyDescent="0.2">
      <c r="A161">
        <v>495</v>
      </c>
      <c r="B161">
        <v>1</v>
      </c>
      <c r="C161" s="7" t="s">
        <v>154</v>
      </c>
      <c r="D161" s="21">
        <v>2502616.13</v>
      </c>
      <c r="E161" s="59">
        <f t="shared" si="11"/>
        <v>-217753.33</v>
      </c>
      <c r="F161" s="56">
        <f t="shared" si="12"/>
        <v>-8.7010299999999999E-2</v>
      </c>
      <c r="G161" s="21">
        <f t="shared" si="10"/>
        <v>217753.33</v>
      </c>
      <c r="H161" s="55">
        <v>145889.57</v>
      </c>
      <c r="I161" s="46">
        <f t="shared" si="13"/>
        <v>71863.75999999998</v>
      </c>
      <c r="J161" s="43">
        <v>217745.63</v>
      </c>
      <c r="K161" s="43">
        <f t="shared" si="14"/>
        <v>7.6999999999825377</v>
      </c>
    </row>
    <row r="162" spans="1:11" x14ac:dyDescent="0.2">
      <c r="A162">
        <v>497</v>
      </c>
      <c r="B162">
        <v>1</v>
      </c>
      <c r="C162" s="7" t="s">
        <v>155</v>
      </c>
      <c r="D162" s="21">
        <v>1768282.49</v>
      </c>
      <c r="E162" s="59">
        <f t="shared" si="11"/>
        <v>-153858.76</v>
      </c>
      <c r="F162" s="56">
        <f t="shared" si="12"/>
        <v>-8.7010299999999999E-2</v>
      </c>
      <c r="G162" s="21">
        <f t="shared" si="10"/>
        <v>153858.76</v>
      </c>
      <c r="H162" s="55">
        <v>103081.72</v>
      </c>
      <c r="I162" s="46">
        <f t="shared" si="13"/>
        <v>50777.040000000008</v>
      </c>
      <c r="J162" s="43">
        <v>153853.31</v>
      </c>
      <c r="K162" s="43">
        <f t="shared" si="14"/>
        <v>5.4500000000116415</v>
      </c>
    </row>
    <row r="163" spans="1:11" x14ac:dyDescent="0.2">
      <c r="A163">
        <v>499</v>
      </c>
      <c r="B163">
        <v>1</v>
      </c>
      <c r="C163" s="7" t="s">
        <v>156</v>
      </c>
      <c r="D163" s="21">
        <v>2111320.92</v>
      </c>
      <c r="E163" s="59">
        <f t="shared" si="11"/>
        <v>-183706.63</v>
      </c>
      <c r="F163" s="56">
        <f t="shared" si="12"/>
        <v>-8.7010299999999999E-2</v>
      </c>
      <c r="G163" s="21">
        <f t="shared" si="10"/>
        <v>183706.63</v>
      </c>
      <c r="H163" s="55">
        <v>123079.09</v>
      </c>
      <c r="I163" s="46">
        <f t="shared" si="13"/>
        <v>60627.540000000008</v>
      </c>
      <c r="J163" s="43">
        <v>183700.13</v>
      </c>
      <c r="K163" s="43">
        <f t="shared" si="14"/>
        <v>6.5</v>
      </c>
    </row>
    <row r="164" spans="1:11" x14ac:dyDescent="0.2">
      <c r="A164">
        <v>500</v>
      </c>
      <c r="B164">
        <v>1</v>
      </c>
      <c r="C164" s="7" t="s">
        <v>157</v>
      </c>
      <c r="D164" s="21">
        <v>3943722.78</v>
      </c>
      <c r="E164" s="59">
        <f t="shared" si="11"/>
        <v>-343144.42</v>
      </c>
      <c r="F164" s="56">
        <f t="shared" si="12"/>
        <v>-8.7010299999999999E-2</v>
      </c>
      <c r="G164" s="21">
        <f t="shared" si="10"/>
        <v>343144.42</v>
      </c>
      <c r="H164" s="55">
        <v>229898.63</v>
      </c>
      <c r="I164" s="46">
        <f t="shared" si="13"/>
        <v>113245.78999999998</v>
      </c>
      <c r="J164" s="43">
        <v>343132.29</v>
      </c>
      <c r="K164" s="43">
        <f t="shared" si="14"/>
        <v>12.130000000004657</v>
      </c>
    </row>
    <row r="165" spans="1:11" x14ac:dyDescent="0.2">
      <c r="A165">
        <v>505</v>
      </c>
      <c r="B165">
        <v>1</v>
      </c>
      <c r="C165" s="7" t="s">
        <v>158</v>
      </c>
      <c r="D165" s="21">
        <v>2979908.39</v>
      </c>
      <c r="E165" s="59">
        <f t="shared" si="11"/>
        <v>-259282.66</v>
      </c>
      <c r="F165" s="56">
        <f t="shared" si="12"/>
        <v>-8.7010299999999999E-2</v>
      </c>
      <c r="G165" s="21">
        <f t="shared" si="10"/>
        <v>259282.66</v>
      </c>
      <c r="H165" s="55">
        <v>173713.24</v>
      </c>
      <c r="I165" s="46">
        <f t="shared" si="13"/>
        <v>85569.420000000013</v>
      </c>
      <c r="J165" s="43">
        <v>259273.49</v>
      </c>
      <c r="K165" s="43">
        <f t="shared" si="14"/>
        <v>9.1700000000128057</v>
      </c>
    </row>
    <row r="166" spans="1:11" x14ac:dyDescent="0.2">
      <c r="A166">
        <v>507</v>
      </c>
      <c r="B166">
        <v>1</v>
      </c>
      <c r="C166" s="7" t="s">
        <v>159</v>
      </c>
      <c r="D166" s="21">
        <v>2057885.38</v>
      </c>
      <c r="E166" s="59">
        <f t="shared" si="11"/>
        <v>-179057.18</v>
      </c>
      <c r="F166" s="56">
        <f t="shared" si="12"/>
        <v>-8.7010299999999999E-2</v>
      </c>
      <c r="G166" s="21">
        <f t="shared" si="10"/>
        <v>179057.18</v>
      </c>
      <c r="H166" s="55">
        <v>119964.07</v>
      </c>
      <c r="I166" s="46">
        <f t="shared" si="13"/>
        <v>59093.109999999986</v>
      </c>
      <c r="J166" s="43">
        <v>179050.85</v>
      </c>
      <c r="K166" s="43">
        <f t="shared" si="14"/>
        <v>6.3299999999871943</v>
      </c>
    </row>
    <row r="167" spans="1:11" x14ac:dyDescent="0.2">
      <c r="A167">
        <v>508</v>
      </c>
      <c r="B167">
        <v>1</v>
      </c>
      <c r="C167" s="7" t="s">
        <v>160</v>
      </c>
      <c r="D167" s="21">
        <v>12443672</v>
      </c>
      <c r="E167" s="59">
        <f t="shared" si="11"/>
        <v>-1082727.3899999999</v>
      </c>
      <c r="F167" s="56">
        <f t="shared" si="12"/>
        <v>-8.7010299999999999E-2</v>
      </c>
      <c r="G167" s="21">
        <f t="shared" si="10"/>
        <v>1082727.3899999999</v>
      </c>
      <c r="H167" s="55">
        <v>725401.69</v>
      </c>
      <c r="I167" s="46">
        <f t="shared" si="13"/>
        <v>357325.69999999995</v>
      </c>
      <c r="J167" s="43">
        <v>1082689.0900000001</v>
      </c>
      <c r="K167" s="43">
        <f t="shared" si="14"/>
        <v>38.299999999813735</v>
      </c>
    </row>
    <row r="168" spans="1:11" x14ac:dyDescent="0.2">
      <c r="A168">
        <v>511</v>
      </c>
      <c r="B168">
        <v>1</v>
      </c>
      <c r="C168" s="7" t="s">
        <v>161</v>
      </c>
      <c r="D168" s="21">
        <v>4406521.5999999996</v>
      </c>
      <c r="E168" s="59">
        <f t="shared" si="11"/>
        <v>-383412.68</v>
      </c>
      <c r="F168" s="56">
        <f t="shared" si="12"/>
        <v>-8.7010299999999999E-2</v>
      </c>
      <c r="G168" s="21">
        <f t="shared" si="10"/>
        <v>383412.68</v>
      </c>
      <c r="H168" s="55">
        <v>256877.41</v>
      </c>
      <c r="I168" s="46">
        <f t="shared" si="13"/>
        <v>126535.26999999999</v>
      </c>
      <c r="J168" s="43">
        <v>383399.12</v>
      </c>
      <c r="K168" s="43">
        <f t="shared" si="14"/>
        <v>13.559999999997672</v>
      </c>
    </row>
    <row r="169" spans="1:11" x14ac:dyDescent="0.2">
      <c r="A169">
        <v>513</v>
      </c>
      <c r="B169">
        <v>1</v>
      </c>
      <c r="C169" s="7" t="s">
        <v>162</v>
      </c>
      <c r="D169" s="21">
        <v>1158921.19</v>
      </c>
      <c r="E169" s="59">
        <f t="shared" si="11"/>
        <v>-100838.06</v>
      </c>
      <c r="F169" s="56">
        <f t="shared" si="12"/>
        <v>-8.7010299999999999E-2</v>
      </c>
      <c r="G169" s="21">
        <f t="shared" si="10"/>
        <v>100838.06</v>
      </c>
      <c r="H169" s="55">
        <v>67559.11</v>
      </c>
      <c r="I169" s="46">
        <f t="shared" si="13"/>
        <v>33278.949999999997</v>
      </c>
      <c r="J169" s="43">
        <v>100834.49</v>
      </c>
      <c r="K169" s="43">
        <f t="shared" si="14"/>
        <v>3.569999999992433</v>
      </c>
    </row>
    <row r="170" spans="1:11" x14ac:dyDescent="0.2">
      <c r="A170">
        <v>514</v>
      </c>
      <c r="B170">
        <v>1</v>
      </c>
      <c r="C170" s="7" t="s">
        <v>163</v>
      </c>
      <c r="D170" s="21">
        <v>1347154.19</v>
      </c>
      <c r="E170" s="59">
        <f t="shared" si="11"/>
        <v>-117216.26</v>
      </c>
      <c r="F170" s="56">
        <f t="shared" si="12"/>
        <v>-8.7010299999999999E-2</v>
      </c>
      <c r="G170" s="21">
        <f t="shared" si="10"/>
        <v>117216.26</v>
      </c>
      <c r="H170" s="55">
        <v>78532.12</v>
      </c>
      <c r="I170" s="46">
        <f t="shared" si="13"/>
        <v>38684.14</v>
      </c>
      <c r="J170" s="43">
        <v>117212.12</v>
      </c>
      <c r="K170" s="43">
        <f t="shared" si="14"/>
        <v>4.1399999999994179</v>
      </c>
    </row>
    <row r="171" spans="1:11" x14ac:dyDescent="0.2">
      <c r="A171">
        <v>516</v>
      </c>
      <c r="B171">
        <v>1</v>
      </c>
      <c r="C171" s="7" t="s">
        <v>164</v>
      </c>
      <c r="D171" s="21">
        <v>801193.04</v>
      </c>
      <c r="E171" s="59">
        <f t="shared" si="11"/>
        <v>-69712.03</v>
      </c>
      <c r="F171" s="56">
        <f t="shared" si="12"/>
        <v>-8.7010299999999999E-2</v>
      </c>
      <c r="G171" s="21">
        <f t="shared" si="10"/>
        <v>69712.03</v>
      </c>
      <c r="H171" s="55">
        <v>46705.41</v>
      </c>
      <c r="I171" s="46">
        <f t="shared" si="13"/>
        <v>23006.619999999995</v>
      </c>
      <c r="J171" s="43">
        <v>69709.570000000007</v>
      </c>
      <c r="K171" s="43">
        <f t="shared" si="14"/>
        <v>2.4599999999918509</v>
      </c>
    </row>
    <row r="172" spans="1:11" x14ac:dyDescent="0.2">
      <c r="A172">
        <v>518</v>
      </c>
      <c r="B172">
        <v>1</v>
      </c>
      <c r="C172" s="7" t="s">
        <v>165</v>
      </c>
      <c r="D172" s="21">
        <v>15952797.25</v>
      </c>
      <c r="E172" s="59">
        <f t="shared" si="11"/>
        <v>-1388057.36</v>
      </c>
      <c r="F172" s="56">
        <f t="shared" si="12"/>
        <v>-8.7010299999999999E-2</v>
      </c>
      <c r="G172" s="21">
        <f t="shared" si="10"/>
        <v>1388057.36</v>
      </c>
      <c r="H172" s="55">
        <v>929965.53</v>
      </c>
      <c r="I172" s="46">
        <f t="shared" si="13"/>
        <v>458091.83000000007</v>
      </c>
      <c r="J172" s="43">
        <v>1388008.26</v>
      </c>
      <c r="K172" s="43">
        <f t="shared" si="14"/>
        <v>49.100000000093132</v>
      </c>
    </row>
    <row r="173" spans="1:11" x14ac:dyDescent="0.2">
      <c r="A173">
        <v>531</v>
      </c>
      <c r="B173">
        <v>1</v>
      </c>
      <c r="C173" s="7" t="s">
        <v>166</v>
      </c>
      <c r="D173" s="21">
        <v>10666621.609999999</v>
      </c>
      <c r="E173" s="59">
        <f t="shared" si="11"/>
        <v>-928105.74</v>
      </c>
      <c r="F173" s="56">
        <f t="shared" si="12"/>
        <v>-8.7010299999999999E-2</v>
      </c>
      <c r="G173" s="21">
        <f t="shared" si="10"/>
        <v>928105.74</v>
      </c>
      <c r="H173" s="55">
        <v>621808.85</v>
      </c>
      <c r="I173" s="46">
        <f t="shared" si="13"/>
        <v>306296.89</v>
      </c>
      <c r="J173" s="43">
        <v>928072.91</v>
      </c>
      <c r="K173" s="43">
        <f t="shared" si="14"/>
        <v>32.82999999995809</v>
      </c>
    </row>
    <row r="174" spans="1:11" x14ac:dyDescent="0.2">
      <c r="A174">
        <v>533</v>
      </c>
      <c r="B174">
        <v>1</v>
      </c>
      <c r="C174" s="7" t="s">
        <v>167</v>
      </c>
      <c r="D174" s="21">
        <v>8048290.75</v>
      </c>
      <c r="E174" s="59">
        <f t="shared" si="11"/>
        <v>-700284.03</v>
      </c>
      <c r="F174" s="56">
        <f t="shared" si="12"/>
        <v>-8.7010299999999999E-2</v>
      </c>
      <c r="G174" s="21">
        <f t="shared" si="10"/>
        <v>700284.03</v>
      </c>
      <c r="H174" s="55">
        <v>469173.7</v>
      </c>
      <c r="I174" s="46">
        <f t="shared" si="13"/>
        <v>231110.33000000002</v>
      </c>
      <c r="J174" s="43">
        <v>700259.26</v>
      </c>
      <c r="K174" s="43">
        <f t="shared" si="14"/>
        <v>24.770000000018626</v>
      </c>
    </row>
    <row r="175" spans="1:11" x14ac:dyDescent="0.2">
      <c r="A175">
        <v>534</v>
      </c>
      <c r="B175">
        <v>1</v>
      </c>
      <c r="C175" s="7" t="s">
        <v>168</v>
      </c>
      <c r="D175" s="21">
        <v>11402959.33</v>
      </c>
      <c r="E175" s="59">
        <f t="shared" si="11"/>
        <v>-992174.69</v>
      </c>
      <c r="F175" s="56">
        <f t="shared" si="12"/>
        <v>-8.7010299999999999E-2</v>
      </c>
      <c r="G175" s="21">
        <f t="shared" si="10"/>
        <v>992174.69</v>
      </c>
      <c r="H175" s="55">
        <v>664733.53</v>
      </c>
      <c r="I175" s="46">
        <f t="shared" si="13"/>
        <v>327441.15999999992</v>
      </c>
      <c r="J175" s="43">
        <v>992139.59</v>
      </c>
      <c r="K175" s="43">
        <f t="shared" si="14"/>
        <v>35.099999999976717</v>
      </c>
    </row>
    <row r="176" spans="1:11" x14ac:dyDescent="0.2">
      <c r="A176">
        <v>535</v>
      </c>
      <c r="B176">
        <v>1</v>
      </c>
      <c r="C176" s="7" t="s">
        <v>169</v>
      </c>
      <c r="D176" s="21">
        <v>107240858.17</v>
      </c>
      <c r="E176" s="59">
        <f t="shared" si="11"/>
        <v>-9331057.1400000006</v>
      </c>
      <c r="F176" s="56">
        <f t="shared" si="12"/>
        <v>-8.7010299999999999E-2</v>
      </c>
      <c r="G176" s="21">
        <f t="shared" si="10"/>
        <v>9331057.1400000006</v>
      </c>
      <c r="H176" s="55">
        <v>6251587.1399999997</v>
      </c>
      <c r="I176" s="46">
        <f t="shared" si="13"/>
        <v>3079470.0000000009</v>
      </c>
      <c r="J176" s="43">
        <v>9330727.0700000003</v>
      </c>
      <c r="K176" s="43">
        <f t="shared" si="14"/>
        <v>330.07000000029802</v>
      </c>
    </row>
    <row r="177" spans="1:11" x14ac:dyDescent="0.2">
      <c r="A177">
        <v>542</v>
      </c>
      <c r="B177">
        <v>1</v>
      </c>
      <c r="C177" s="7" t="s">
        <v>170</v>
      </c>
      <c r="D177" s="21">
        <v>3599553.94</v>
      </c>
      <c r="E177" s="59">
        <f t="shared" si="11"/>
        <v>-313198.2</v>
      </c>
      <c r="F177" s="56">
        <f t="shared" si="12"/>
        <v>-8.7010299999999999E-2</v>
      </c>
      <c r="G177" s="21">
        <f t="shared" si="10"/>
        <v>313198.2</v>
      </c>
      <c r="H177" s="55">
        <v>209835.37</v>
      </c>
      <c r="I177" s="46">
        <f t="shared" si="13"/>
        <v>103362.83000000002</v>
      </c>
      <c r="J177" s="43">
        <v>313187.12</v>
      </c>
      <c r="K177" s="43">
        <f t="shared" si="14"/>
        <v>11.080000000016298</v>
      </c>
    </row>
    <row r="178" spans="1:11" x14ac:dyDescent="0.2">
      <c r="A178">
        <v>544</v>
      </c>
      <c r="B178">
        <v>1</v>
      </c>
      <c r="C178" s="7" t="s">
        <v>171</v>
      </c>
      <c r="D178" s="21">
        <v>17036698.059999999</v>
      </c>
      <c r="E178" s="59">
        <f t="shared" si="11"/>
        <v>-1482367.88</v>
      </c>
      <c r="F178" s="56">
        <f t="shared" si="12"/>
        <v>-8.7010299999999999E-2</v>
      </c>
      <c r="G178" s="21">
        <f t="shared" si="10"/>
        <v>1482367.88</v>
      </c>
      <c r="H178" s="55">
        <v>993151.34</v>
      </c>
      <c r="I178" s="46">
        <f t="shared" si="13"/>
        <v>489216.53999999992</v>
      </c>
      <c r="J178" s="43">
        <v>1482315.44</v>
      </c>
      <c r="K178" s="43">
        <f t="shared" si="14"/>
        <v>52.439999999944121</v>
      </c>
    </row>
    <row r="179" spans="1:11" x14ac:dyDescent="0.2">
      <c r="A179">
        <v>545</v>
      </c>
      <c r="B179">
        <v>1</v>
      </c>
      <c r="C179" s="7" t="s">
        <v>172</v>
      </c>
      <c r="D179" s="21">
        <v>2721970.11</v>
      </c>
      <c r="E179" s="59">
        <f t="shared" si="11"/>
        <v>-236839.38</v>
      </c>
      <c r="F179" s="56">
        <f t="shared" si="12"/>
        <v>-8.7010299999999999E-2</v>
      </c>
      <c r="G179" s="21">
        <f t="shared" si="10"/>
        <v>236839.38</v>
      </c>
      <c r="H179" s="55">
        <v>158676.76999999999</v>
      </c>
      <c r="I179" s="46">
        <f t="shared" si="13"/>
        <v>78162.610000000015</v>
      </c>
      <c r="J179" s="43">
        <v>236831</v>
      </c>
      <c r="K179" s="43">
        <f t="shared" si="14"/>
        <v>8.3800000000046566</v>
      </c>
    </row>
    <row r="180" spans="1:11" x14ac:dyDescent="0.2">
      <c r="A180">
        <v>547</v>
      </c>
      <c r="B180">
        <v>1</v>
      </c>
      <c r="C180" s="7" t="s">
        <v>173</v>
      </c>
      <c r="D180" s="21">
        <v>3992717.85</v>
      </c>
      <c r="E180" s="59">
        <f t="shared" si="11"/>
        <v>-347407.5</v>
      </c>
      <c r="F180" s="56">
        <f t="shared" si="12"/>
        <v>-8.7010299999999999E-2</v>
      </c>
      <c r="G180" s="21">
        <f t="shared" si="10"/>
        <v>347407.5</v>
      </c>
      <c r="H180" s="55">
        <v>232754.79</v>
      </c>
      <c r="I180" s="46">
        <f t="shared" si="13"/>
        <v>114652.70999999999</v>
      </c>
      <c r="J180" s="43">
        <v>347395.21</v>
      </c>
      <c r="K180" s="43">
        <f t="shared" si="14"/>
        <v>12.289999999979045</v>
      </c>
    </row>
    <row r="181" spans="1:11" x14ac:dyDescent="0.2">
      <c r="A181">
        <v>548</v>
      </c>
      <c r="B181">
        <v>1</v>
      </c>
      <c r="C181" s="7" t="s">
        <v>174</v>
      </c>
      <c r="D181" s="21">
        <v>7321552.0499999998</v>
      </c>
      <c r="E181" s="59">
        <f t="shared" si="11"/>
        <v>-637050.30000000005</v>
      </c>
      <c r="F181" s="56">
        <f t="shared" si="12"/>
        <v>-8.7010299999999999E-2</v>
      </c>
      <c r="G181" s="21">
        <f t="shared" si="10"/>
        <v>637050.30000000005</v>
      </c>
      <c r="H181" s="55">
        <v>426808.6</v>
      </c>
      <c r="I181" s="46">
        <f t="shared" si="13"/>
        <v>210241.70000000007</v>
      </c>
      <c r="J181" s="43">
        <v>637027.76</v>
      </c>
      <c r="K181" s="43">
        <f t="shared" si="14"/>
        <v>22.540000000037253</v>
      </c>
    </row>
    <row r="182" spans="1:11" x14ac:dyDescent="0.2">
      <c r="A182">
        <v>549</v>
      </c>
      <c r="B182">
        <v>1</v>
      </c>
      <c r="C182" s="7" t="s">
        <v>175</v>
      </c>
      <c r="D182" s="21">
        <v>10765084.970000001</v>
      </c>
      <c r="E182" s="59">
        <f t="shared" si="11"/>
        <v>-936673.06</v>
      </c>
      <c r="F182" s="56">
        <f t="shared" si="12"/>
        <v>-8.7010299999999999E-2</v>
      </c>
      <c r="G182" s="21">
        <f t="shared" si="10"/>
        <v>936673.06</v>
      </c>
      <c r="H182" s="55">
        <v>627548.75</v>
      </c>
      <c r="I182" s="46">
        <f t="shared" si="13"/>
        <v>309124.31000000006</v>
      </c>
      <c r="J182" s="43">
        <v>936639.93</v>
      </c>
      <c r="K182" s="43">
        <f t="shared" si="14"/>
        <v>33.130000000004657</v>
      </c>
    </row>
    <row r="183" spans="1:11" x14ac:dyDescent="0.2">
      <c r="A183">
        <v>550</v>
      </c>
      <c r="B183">
        <v>1</v>
      </c>
      <c r="C183" s="7" t="s">
        <v>176</v>
      </c>
      <c r="D183" s="21">
        <v>3629971.34</v>
      </c>
      <c r="E183" s="59">
        <f t="shared" si="11"/>
        <v>-315844.82</v>
      </c>
      <c r="F183" s="56">
        <f t="shared" si="12"/>
        <v>-8.7010299999999999E-2</v>
      </c>
      <c r="G183" s="21">
        <f t="shared" si="10"/>
        <v>315844.82</v>
      </c>
      <c r="H183" s="55">
        <v>211608.55</v>
      </c>
      <c r="I183" s="46">
        <f t="shared" si="13"/>
        <v>104236.27000000002</v>
      </c>
      <c r="J183" s="43">
        <v>315833.65000000002</v>
      </c>
      <c r="K183" s="43">
        <f t="shared" si="14"/>
        <v>11.169999999983702</v>
      </c>
    </row>
    <row r="184" spans="1:11" x14ac:dyDescent="0.2">
      <c r="A184">
        <v>553</v>
      </c>
      <c r="B184">
        <v>1</v>
      </c>
      <c r="C184" s="7" t="s">
        <v>177</v>
      </c>
      <c r="D184" s="21">
        <v>5102378</v>
      </c>
      <c r="E184" s="59">
        <f t="shared" si="11"/>
        <v>-443959.34</v>
      </c>
      <c r="F184" s="56">
        <f t="shared" si="12"/>
        <v>-8.7010299999999999E-2</v>
      </c>
      <c r="G184" s="21">
        <f t="shared" si="10"/>
        <v>443959.34</v>
      </c>
      <c r="H184" s="55">
        <v>297442.24</v>
      </c>
      <c r="I184" s="46">
        <f t="shared" si="13"/>
        <v>146517.10000000003</v>
      </c>
      <c r="J184" s="43">
        <v>443943.64</v>
      </c>
      <c r="K184" s="43">
        <f t="shared" si="14"/>
        <v>15.700000000011642</v>
      </c>
    </row>
    <row r="185" spans="1:11" x14ac:dyDescent="0.2">
      <c r="A185">
        <v>561</v>
      </c>
      <c r="B185">
        <v>1</v>
      </c>
      <c r="C185" s="7" t="s">
        <v>178</v>
      </c>
      <c r="D185" s="21">
        <v>1794875.46</v>
      </c>
      <c r="E185" s="59">
        <f t="shared" si="11"/>
        <v>-156172.62</v>
      </c>
      <c r="F185" s="56">
        <f t="shared" si="12"/>
        <v>-8.7010299999999999E-2</v>
      </c>
      <c r="G185" s="21">
        <f t="shared" si="10"/>
        <v>156172.62</v>
      </c>
      <c r="H185" s="55">
        <v>104631.95</v>
      </c>
      <c r="I185" s="46">
        <f t="shared" si="13"/>
        <v>51540.67</v>
      </c>
      <c r="J185" s="43">
        <v>156167.09</v>
      </c>
      <c r="K185" s="43">
        <f t="shared" si="14"/>
        <v>5.5299999999988358</v>
      </c>
    </row>
    <row r="186" spans="1:11" x14ac:dyDescent="0.2">
      <c r="A186">
        <v>564</v>
      </c>
      <c r="B186">
        <v>1</v>
      </c>
      <c r="C186" s="7" t="s">
        <v>179</v>
      </c>
      <c r="D186" s="21">
        <v>13477363.220000001</v>
      </c>
      <c r="E186" s="59">
        <f t="shared" si="11"/>
        <v>-1172669.1499999999</v>
      </c>
      <c r="F186" s="56">
        <f t="shared" si="12"/>
        <v>-8.7010299999999999E-2</v>
      </c>
      <c r="G186" s="21">
        <f t="shared" si="10"/>
        <v>1172669.1499999999</v>
      </c>
      <c r="H186" s="55">
        <v>785660.54</v>
      </c>
      <c r="I186" s="46">
        <f t="shared" si="13"/>
        <v>387008.60999999987</v>
      </c>
      <c r="J186" s="43">
        <v>1172627.67</v>
      </c>
      <c r="K186" s="43">
        <f t="shared" si="14"/>
        <v>41.479999999981374</v>
      </c>
    </row>
    <row r="187" spans="1:11" x14ac:dyDescent="0.2">
      <c r="A187">
        <v>577</v>
      </c>
      <c r="B187">
        <v>1</v>
      </c>
      <c r="C187" s="7" t="s">
        <v>180</v>
      </c>
      <c r="D187" s="21">
        <v>3409973.21</v>
      </c>
      <c r="E187" s="59">
        <f t="shared" si="11"/>
        <v>-296702.73</v>
      </c>
      <c r="F187" s="56">
        <f t="shared" si="12"/>
        <v>-8.7010299999999999E-2</v>
      </c>
      <c r="G187" s="21">
        <f t="shared" si="10"/>
        <v>296702.73</v>
      </c>
      <c r="H187" s="55">
        <v>198783.79</v>
      </c>
      <c r="I187" s="46">
        <f t="shared" si="13"/>
        <v>97918.939999999973</v>
      </c>
      <c r="J187" s="43">
        <v>296692.23</v>
      </c>
      <c r="K187" s="43">
        <f t="shared" si="14"/>
        <v>10.5</v>
      </c>
    </row>
    <row r="188" spans="1:11" x14ac:dyDescent="0.2">
      <c r="A188">
        <v>578</v>
      </c>
      <c r="B188">
        <v>1</v>
      </c>
      <c r="C188" s="7" t="s">
        <v>181</v>
      </c>
      <c r="D188" s="21">
        <v>10969128.789999999</v>
      </c>
      <c r="E188" s="59">
        <f t="shared" si="11"/>
        <v>-954426.97</v>
      </c>
      <c r="F188" s="56">
        <f t="shared" si="12"/>
        <v>-8.7010299999999999E-2</v>
      </c>
      <c r="G188" s="21">
        <f t="shared" si="10"/>
        <v>954426.97</v>
      </c>
      <c r="H188" s="55">
        <v>639443.44999999995</v>
      </c>
      <c r="I188" s="46">
        <f t="shared" si="13"/>
        <v>314983.52</v>
      </c>
      <c r="J188" s="43">
        <v>954393.21</v>
      </c>
      <c r="K188" s="43">
        <f t="shared" si="14"/>
        <v>33.760000000009313</v>
      </c>
    </row>
    <row r="189" spans="1:11" x14ac:dyDescent="0.2">
      <c r="A189">
        <v>581</v>
      </c>
      <c r="B189">
        <v>1</v>
      </c>
      <c r="C189" s="7" t="s">
        <v>182</v>
      </c>
      <c r="D189" s="21">
        <v>2196336.7599999998</v>
      </c>
      <c r="E189" s="59">
        <f t="shared" si="11"/>
        <v>-191103.88</v>
      </c>
      <c r="F189" s="56">
        <f t="shared" si="12"/>
        <v>-8.7010299999999999E-2</v>
      </c>
      <c r="G189" s="21">
        <f t="shared" si="10"/>
        <v>191103.88</v>
      </c>
      <c r="H189" s="55">
        <v>128035.07</v>
      </c>
      <c r="I189" s="46">
        <f t="shared" si="13"/>
        <v>63068.81</v>
      </c>
      <c r="J189" s="43">
        <v>191097.12</v>
      </c>
      <c r="K189" s="43">
        <f t="shared" si="14"/>
        <v>6.7600000000093132</v>
      </c>
    </row>
    <row r="190" spans="1:11" x14ac:dyDescent="0.2">
      <c r="A190">
        <v>592</v>
      </c>
      <c r="B190">
        <v>1</v>
      </c>
      <c r="C190" s="7" t="s">
        <v>183</v>
      </c>
      <c r="D190" s="21">
        <v>1120008.46</v>
      </c>
      <c r="E190" s="59">
        <f t="shared" si="11"/>
        <v>-97452.25</v>
      </c>
      <c r="F190" s="56">
        <f t="shared" si="12"/>
        <v>-8.7010299999999999E-2</v>
      </c>
      <c r="G190" s="21">
        <f t="shared" si="10"/>
        <v>97452.25</v>
      </c>
      <c r="H190" s="55">
        <v>65290.7</v>
      </c>
      <c r="I190" s="46">
        <f t="shared" si="13"/>
        <v>32161.550000000003</v>
      </c>
      <c r="J190" s="43">
        <v>97448.8</v>
      </c>
      <c r="K190" s="43">
        <f t="shared" si="14"/>
        <v>3.4499999999970896</v>
      </c>
    </row>
    <row r="191" spans="1:11" x14ac:dyDescent="0.2">
      <c r="A191">
        <v>593</v>
      </c>
      <c r="B191">
        <v>1</v>
      </c>
      <c r="C191" s="7" t="s">
        <v>184</v>
      </c>
      <c r="D191" s="21">
        <v>9476436.7300000004</v>
      </c>
      <c r="E191" s="59">
        <f t="shared" si="11"/>
        <v>-824547.42</v>
      </c>
      <c r="F191" s="56">
        <f t="shared" si="12"/>
        <v>-8.7010299999999999E-2</v>
      </c>
      <c r="G191" s="21">
        <f t="shared" si="10"/>
        <v>824547.42</v>
      </c>
      <c r="H191" s="55">
        <v>552427.23</v>
      </c>
      <c r="I191" s="46">
        <f t="shared" si="13"/>
        <v>272120.19000000006</v>
      </c>
      <c r="J191" s="43">
        <v>824518.25</v>
      </c>
      <c r="K191" s="43">
        <f t="shared" si="14"/>
        <v>29.17000000004191</v>
      </c>
    </row>
    <row r="192" spans="1:11" x14ac:dyDescent="0.2">
      <c r="A192">
        <v>595</v>
      </c>
      <c r="B192">
        <v>1</v>
      </c>
      <c r="C192" s="7" t="s">
        <v>185</v>
      </c>
      <c r="D192" s="21">
        <v>11531837.199999999</v>
      </c>
      <c r="E192" s="59">
        <f t="shared" si="11"/>
        <v>-1003388.39</v>
      </c>
      <c r="F192" s="56">
        <f t="shared" si="12"/>
        <v>-8.7010299999999999E-2</v>
      </c>
      <c r="G192" s="21">
        <f t="shared" si="10"/>
        <v>1003388.39</v>
      </c>
      <c r="H192" s="55">
        <v>672246.44</v>
      </c>
      <c r="I192" s="46">
        <f t="shared" si="13"/>
        <v>331141.95000000007</v>
      </c>
      <c r="J192" s="43">
        <v>1003352.9</v>
      </c>
      <c r="K192" s="43">
        <f t="shared" si="14"/>
        <v>35.489999999990687</v>
      </c>
    </row>
    <row r="193" spans="1:11" x14ac:dyDescent="0.2">
      <c r="A193">
        <v>599</v>
      </c>
      <c r="B193">
        <v>1</v>
      </c>
      <c r="C193" s="7" t="s">
        <v>186</v>
      </c>
      <c r="D193" s="21">
        <v>3685944.51</v>
      </c>
      <c r="E193" s="59">
        <f t="shared" si="11"/>
        <v>-320715.07</v>
      </c>
      <c r="F193" s="56">
        <f t="shared" si="12"/>
        <v>-8.7010299999999999E-2</v>
      </c>
      <c r="G193" s="21">
        <f t="shared" si="10"/>
        <v>320715.07</v>
      </c>
      <c r="H193" s="55">
        <v>214871.49</v>
      </c>
      <c r="I193" s="46">
        <f t="shared" si="13"/>
        <v>105843.58000000002</v>
      </c>
      <c r="J193" s="43">
        <v>320703.71999999997</v>
      </c>
      <c r="K193" s="43">
        <f t="shared" si="14"/>
        <v>11.350000000034925</v>
      </c>
    </row>
    <row r="194" spans="1:11" x14ac:dyDescent="0.2">
      <c r="A194">
        <v>600</v>
      </c>
      <c r="B194">
        <v>1</v>
      </c>
      <c r="C194" s="7" t="s">
        <v>187</v>
      </c>
      <c r="D194" s="21">
        <v>1923168.11</v>
      </c>
      <c r="E194" s="59">
        <f t="shared" si="11"/>
        <v>-167335.4</v>
      </c>
      <c r="F194" s="56">
        <f t="shared" si="12"/>
        <v>-8.7010299999999999E-2</v>
      </c>
      <c r="G194" s="21">
        <f t="shared" si="10"/>
        <v>167335.4</v>
      </c>
      <c r="H194" s="55">
        <v>112110.75</v>
      </c>
      <c r="I194" s="46">
        <f t="shared" si="13"/>
        <v>55224.649999999994</v>
      </c>
      <c r="J194" s="43">
        <v>167329.48000000001</v>
      </c>
      <c r="K194" s="43">
        <f t="shared" si="14"/>
        <v>5.9199999999837019</v>
      </c>
    </row>
    <row r="195" spans="1:11" x14ac:dyDescent="0.2">
      <c r="A195">
        <v>601</v>
      </c>
      <c r="B195">
        <v>1</v>
      </c>
      <c r="C195" s="7" t="s">
        <v>188</v>
      </c>
      <c r="D195" s="21">
        <v>4824920.16</v>
      </c>
      <c r="E195" s="59">
        <f t="shared" si="11"/>
        <v>-419817.66</v>
      </c>
      <c r="F195" s="56">
        <f t="shared" si="12"/>
        <v>-8.7010299999999999E-2</v>
      </c>
      <c r="G195" s="21">
        <f t="shared" si="10"/>
        <v>419817.66</v>
      </c>
      <c r="H195" s="55">
        <v>281267.88</v>
      </c>
      <c r="I195" s="46">
        <f t="shared" si="13"/>
        <v>138549.77999999997</v>
      </c>
      <c r="J195" s="43">
        <v>419802.81</v>
      </c>
      <c r="K195" s="43">
        <f t="shared" si="14"/>
        <v>14.849999999976717</v>
      </c>
    </row>
    <row r="196" spans="1:11" x14ac:dyDescent="0.2">
      <c r="A196">
        <v>611</v>
      </c>
      <c r="B196">
        <v>1</v>
      </c>
      <c r="C196" s="7" t="s">
        <v>189</v>
      </c>
      <c r="D196" s="21">
        <v>690839.14</v>
      </c>
      <c r="E196" s="59">
        <f t="shared" si="11"/>
        <v>-60110.11</v>
      </c>
      <c r="F196" s="56">
        <f t="shared" si="12"/>
        <v>-8.7010299999999999E-2</v>
      </c>
      <c r="G196" s="21">
        <f t="shared" si="10"/>
        <v>60110.11</v>
      </c>
      <c r="H196" s="55">
        <v>40272.35</v>
      </c>
      <c r="I196" s="46">
        <f t="shared" si="13"/>
        <v>19837.760000000002</v>
      </c>
      <c r="J196" s="43">
        <v>60107.98</v>
      </c>
      <c r="K196" s="43">
        <f t="shared" si="14"/>
        <v>2.1299999999973807</v>
      </c>
    </row>
    <row r="197" spans="1:11" x14ac:dyDescent="0.2">
      <c r="A197">
        <v>621</v>
      </c>
      <c r="B197">
        <v>1</v>
      </c>
      <c r="C197" s="7" t="s">
        <v>190</v>
      </c>
      <c r="D197" s="21">
        <v>68201223.810000002</v>
      </c>
      <c r="E197" s="59">
        <f t="shared" si="11"/>
        <v>-5934207.6100000003</v>
      </c>
      <c r="F197" s="56">
        <f t="shared" si="12"/>
        <v>-8.7010299999999999E-2</v>
      </c>
      <c r="G197" s="21">
        <f t="shared" si="10"/>
        <v>5934207.6100000003</v>
      </c>
      <c r="H197" s="55">
        <v>3975778.46</v>
      </c>
      <c r="I197" s="46">
        <f t="shared" si="13"/>
        <v>1958429.1500000004</v>
      </c>
      <c r="J197" s="43">
        <v>5933997.7000000002</v>
      </c>
      <c r="K197" s="43">
        <f t="shared" si="14"/>
        <v>209.91000000014901</v>
      </c>
    </row>
    <row r="198" spans="1:11" x14ac:dyDescent="0.2">
      <c r="A198">
        <v>622</v>
      </c>
      <c r="B198">
        <v>1</v>
      </c>
      <c r="C198" s="7" t="s">
        <v>191</v>
      </c>
      <c r="D198" s="21">
        <v>81981289.430000007</v>
      </c>
      <c r="E198" s="59">
        <f t="shared" si="11"/>
        <v>-7133214.9800000004</v>
      </c>
      <c r="F198" s="56">
        <f t="shared" si="12"/>
        <v>-8.7010299999999999E-2</v>
      </c>
      <c r="G198" s="21">
        <f t="shared" si="10"/>
        <v>7133214.9800000004</v>
      </c>
      <c r="H198" s="55">
        <v>4779084.9800000004</v>
      </c>
      <c r="I198" s="46">
        <f t="shared" si="13"/>
        <v>2354130</v>
      </c>
      <c r="J198" s="43">
        <v>7132962.6600000001</v>
      </c>
      <c r="K198" s="43">
        <f t="shared" si="14"/>
        <v>252.32000000029802</v>
      </c>
    </row>
    <row r="199" spans="1:11" x14ac:dyDescent="0.2">
      <c r="A199">
        <v>623</v>
      </c>
      <c r="B199">
        <v>1</v>
      </c>
      <c r="C199" s="7" t="s">
        <v>192</v>
      </c>
      <c r="D199" s="21">
        <v>44335145.140000001</v>
      </c>
      <c r="E199" s="59">
        <f t="shared" si="11"/>
        <v>-3857613.41</v>
      </c>
      <c r="F199" s="56">
        <f t="shared" si="12"/>
        <v>-8.7010299999999999E-2</v>
      </c>
      <c r="G199" s="21">
        <f t="shared" si="10"/>
        <v>3857613.41</v>
      </c>
      <c r="H199" s="55">
        <v>2584509.56</v>
      </c>
      <c r="I199" s="46">
        <f t="shared" si="13"/>
        <v>1273103.8500000001</v>
      </c>
      <c r="J199" s="43">
        <v>3857476.96</v>
      </c>
      <c r="K199" s="43">
        <f t="shared" si="14"/>
        <v>136.45000000018626</v>
      </c>
    </row>
    <row r="200" spans="1:11" x14ac:dyDescent="0.2">
      <c r="A200">
        <v>624</v>
      </c>
      <c r="B200">
        <v>1</v>
      </c>
      <c r="C200" s="7" t="s">
        <v>193</v>
      </c>
      <c r="D200" s="21">
        <v>55095000.630000003</v>
      </c>
      <c r="E200" s="59">
        <f t="shared" si="11"/>
        <v>-4793831.45</v>
      </c>
      <c r="F200" s="56">
        <f t="shared" si="12"/>
        <v>-8.7010299999999999E-2</v>
      </c>
      <c r="G200" s="21">
        <f t="shared" si="10"/>
        <v>4793831.45</v>
      </c>
      <c r="H200" s="55">
        <v>3211753.46</v>
      </c>
      <c r="I200" s="46">
        <f t="shared" si="13"/>
        <v>1582077.9900000002</v>
      </c>
      <c r="J200" s="43">
        <v>4793661.88</v>
      </c>
      <c r="K200" s="43">
        <f t="shared" si="14"/>
        <v>169.57000000029802</v>
      </c>
    </row>
    <row r="201" spans="1:11" x14ac:dyDescent="0.2">
      <c r="A201">
        <v>625</v>
      </c>
      <c r="B201">
        <v>1</v>
      </c>
      <c r="C201" s="7" t="s">
        <v>194</v>
      </c>
      <c r="D201" s="21">
        <v>334836995.85000002</v>
      </c>
      <c r="E201" s="59">
        <f>ROUND(-D201*$D$520,2)</f>
        <v>-29134260.899999999</v>
      </c>
      <c r="F201" s="56">
        <f t="shared" si="12"/>
        <v>-8.7010299999999999E-2</v>
      </c>
      <c r="G201" s="21">
        <f t="shared" si="10"/>
        <v>29134260.899999999</v>
      </c>
      <c r="H201" s="55">
        <v>19519264.329999998</v>
      </c>
      <c r="I201" s="46">
        <f t="shared" si="13"/>
        <v>9614996.5700000003</v>
      </c>
      <c r="J201" s="43">
        <v>29133230.34</v>
      </c>
      <c r="K201" s="43">
        <f t="shared" si="14"/>
        <v>1030.5599999986589</v>
      </c>
    </row>
    <row r="202" spans="1:11" x14ac:dyDescent="0.2">
      <c r="A202">
        <v>627</v>
      </c>
      <c r="B202">
        <v>1</v>
      </c>
      <c r="C202" s="7" t="s">
        <v>195</v>
      </c>
      <c r="D202" s="21">
        <v>1769241.78</v>
      </c>
      <c r="E202" s="59">
        <f t="shared" si="11"/>
        <v>-153942.22</v>
      </c>
      <c r="F202" s="56">
        <f t="shared" si="12"/>
        <v>-8.7010299999999999E-2</v>
      </c>
      <c r="G202" s="21">
        <f t="shared" si="10"/>
        <v>153942.22</v>
      </c>
      <c r="H202" s="55">
        <v>103137.64</v>
      </c>
      <c r="I202" s="46">
        <f t="shared" si="13"/>
        <v>50804.58</v>
      </c>
      <c r="J202" s="43">
        <v>153936.78</v>
      </c>
      <c r="K202" s="43">
        <f t="shared" si="14"/>
        <v>5.4400000000023283</v>
      </c>
    </row>
    <row r="203" spans="1:11" x14ac:dyDescent="0.2">
      <c r="A203">
        <v>628</v>
      </c>
      <c r="B203">
        <v>1</v>
      </c>
      <c r="C203" s="7" t="s">
        <v>196</v>
      </c>
      <c r="D203" s="21">
        <v>1117493.81</v>
      </c>
      <c r="E203" s="59">
        <f t="shared" si="11"/>
        <v>-97233.45</v>
      </c>
      <c r="F203" s="56">
        <f t="shared" si="12"/>
        <v>-8.7010299999999999E-2</v>
      </c>
      <c r="G203" s="21">
        <f t="shared" si="10"/>
        <v>97233.45</v>
      </c>
      <c r="H203" s="55">
        <v>65144.11</v>
      </c>
      <c r="I203" s="46">
        <f t="shared" si="13"/>
        <v>32089.339999999997</v>
      </c>
      <c r="J203" s="43">
        <v>97230.01</v>
      </c>
      <c r="K203" s="43">
        <f t="shared" si="14"/>
        <v>3.4400000000023283</v>
      </c>
    </row>
    <row r="204" spans="1:11" x14ac:dyDescent="0.2">
      <c r="A204">
        <v>630</v>
      </c>
      <c r="B204">
        <v>1</v>
      </c>
      <c r="C204" s="7" t="s">
        <v>197</v>
      </c>
      <c r="D204" s="21">
        <v>2816764.31</v>
      </c>
      <c r="E204" s="59">
        <f t="shared" si="11"/>
        <v>-245087.45</v>
      </c>
      <c r="F204" s="56">
        <f t="shared" si="12"/>
        <v>-8.7010299999999999E-2</v>
      </c>
      <c r="G204" s="21">
        <f t="shared" si="10"/>
        <v>245087.45</v>
      </c>
      <c r="H204" s="55">
        <v>164202.78</v>
      </c>
      <c r="I204" s="46">
        <f t="shared" si="13"/>
        <v>80884.670000000013</v>
      </c>
      <c r="J204" s="43">
        <v>245078.78</v>
      </c>
      <c r="K204" s="43">
        <f t="shared" si="14"/>
        <v>8.6700000000128057</v>
      </c>
    </row>
    <row r="205" spans="1:11" x14ac:dyDescent="0.2">
      <c r="A205">
        <v>635</v>
      </c>
      <c r="B205">
        <v>1</v>
      </c>
      <c r="C205" s="7" t="s">
        <v>198</v>
      </c>
      <c r="D205" s="21">
        <v>576068.79</v>
      </c>
      <c r="E205" s="59">
        <f t="shared" si="11"/>
        <v>-50123.91</v>
      </c>
      <c r="F205" s="56">
        <f t="shared" si="12"/>
        <v>-8.7010299999999999E-2</v>
      </c>
      <c r="G205" s="21">
        <f t="shared" si="10"/>
        <v>50123.91</v>
      </c>
      <c r="H205" s="55">
        <v>33581.83</v>
      </c>
      <c r="I205" s="46">
        <f t="shared" si="13"/>
        <v>16542.080000000002</v>
      </c>
      <c r="J205" s="43">
        <v>50122.13</v>
      </c>
      <c r="K205" s="43">
        <f t="shared" si="14"/>
        <v>1.7800000000061118</v>
      </c>
    </row>
    <row r="206" spans="1:11" x14ac:dyDescent="0.2">
      <c r="A206">
        <v>640</v>
      </c>
      <c r="B206">
        <v>1</v>
      </c>
      <c r="C206" s="7" t="s">
        <v>199</v>
      </c>
      <c r="D206" s="21">
        <v>2819744.72</v>
      </c>
      <c r="E206" s="59">
        <f t="shared" si="11"/>
        <v>-245346.78</v>
      </c>
      <c r="F206" s="56">
        <f t="shared" si="12"/>
        <v>-8.7010299999999999E-2</v>
      </c>
      <c r="G206" s="21">
        <f t="shared" ref="G206:G269" si="15">E206*-1</f>
        <v>245346.78</v>
      </c>
      <c r="H206" s="55">
        <v>164376.53</v>
      </c>
      <c r="I206" s="46">
        <f t="shared" si="13"/>
        <v>80970.25</v>
      </c>
      <c r="J206" s="43">
        <v>245338.1</v>
      </c>
      <c r="K206" s="43">
        <f t="shared" si="14"/>
        <v>8.6799999999930151</v>
      </c>
    </row>
    <row r="207" spans="1:11" x14ac:dyDescent="0.2">
      <c r="A207">
        <v>656</v>
      </c>
      <c r="B207">
        <v>1</v>
      </c>
      <c r="C207" s="7" t="s">
        <v>200</v>
      </c>
      <c r="D207" s="21">
        <v>28096250.100000001</v>
      </c>
      <c r="E207" s="59">
        <f t="shared" ref="E207:E270" si="16">ROUND(-D207*$D$520,2)</f>
        <v>-2444662.6</v>
      </c>
      <c r="F207" s="56">
        <f t="shared" ref="F207:F270" si="17">IF(D207&gt;0,ROUND(E207/D207,7),"na   ")</f>
        <v>-8.7010299999999999E-2</v>
      </c>
      <c r="G207" s="21">
        <f t="shared" si="15"/>
        <v>2444662.6</v>
      </c>
      <c r="H207" s="55">
        <v>1637866</v>
      </c>
      <c r="I207" s="46">
        <f t="shared" ref="I207:I270" si="18">G207-H207</f>
        <v>806796.60000000009</v>
      </c>
      <c r="J207" s="43">
        <v>2444576.12</v>
      </c>
      <c r="K207" s="43">
        <f t="shared" ref="K207:K253" si="19">G207-J207</f>
        <v>86.479999999981374</v>
      </c>
    </row>
    <row r="208" spans="1:11" x14ac:dyDescent="0.2">
      <c r="A208">
        <v>659</v>
      </c>
      <c r="B208">
        <v>1</v>
      </c>
      <c r="C208" s="7" t="s">
        <v>201</v>
      </c>
      <c r="D208" s="21">
        <v>25393784.75</v>
      </c>
      <c r="E208" s="59">
        <f t="shared" si="16"/>
        <v>-2209520.33</v>
      </c>
      <c r="F208" s="56">
        <f t="shared" si="17"/>
        <v>-8.7010299999999999E-2</v>
      </c>
      <c r="G208" s="21">
        <f t="shared" si="15"/>
        <v>2209520.33</v>
      </c>
      <c r="H208" s="55">
        <v>1480326.25</v>
      </c>
      <c r="I208" s="46">
        <f t="shared" si="18"/>
        <v>729194.08000000007</v>
      </c>
      <c r="J208" s="43">
        <v>2209442.17</v>
      </c>
      <c r="K208" s="43">
        <f t="shared" si="19"/>
        <v>78.160000000149012</v>
      </c>
    </row>
    <row r="209" spans="1:11" x14ac:dyDescent="0.2">
      <c r="A209">
        <v>671</v>
      </c>
      <c r="B209">
        <v>1</v>
      </c>
      <c r="C209" s="7" t="s">
        <v>202</v>
      </c>
      <c r="D209" s="21">
        <v>2267884.0299999998</v>
      </c>
      <c r="E209" s="59">
        <f t="shared" si="16"/>
        <v>-197329.23</v>
      </c>
      <c r="F209" s="56">
        <f t="shared" si="17"/>
        <v>-8.7010299999999999E-2</v>
      </c>
      <c r="G209" s="21">
        <f t="shared" si="15"/>
        <v>197329.23</v>
      </c>
      <c r="H209" s="55">
        <v>132205.91</v>
      </c>
      <c r="I209" s="46">
        <f t="shared" si="18"/>
        <v>65123.320000000007</v>
      </c>
      <c r="J209" s="43">
        <v>197322.25</v>
      </c>
      <c r="K209" s="43">
        <f t="shared" si="19"/>
        <v>6.9800000000104774</v>
      </c>
    </row>
    <row r="210" spans="1:11" x14ac:dyDescent="0.2">
      <c r="A210">
        <v>676</v>
      </c>
      <c r="B210">
        <v>1</v>
      </c>
      <c r="C210" s="7" t="s">
        <v>203</v>
      </c>
      <c r="D210" s="21">
        <v>1614074.47</v>
      </c>
      <c r="E210" s="59">
        <f t="shared" si="16"/>
        <v>-140441.07</v>
      </c>
      <c r="F210" s="56">
        <f t="shared" si="17"/>
        <v>-8.7010299999999999E-2</v>
      </c>
      <c r="G210" s="21">
        <f t="shared" si="15"/>
        <v>140441.07</v>
      </c>
      <c r="H210" s="55">
        <v>94092.19</v>
      </c>
      <c r="I210" s="46">
        <f t="shared" si="18"/>
        <v>46348.880000000005</v>
      </c>
      <c r="J210" s="43">
        <v>140436.1</v>
      </c>
      <c r="K210" s="43">
        <f t="shared" si="19"/>
        <v>4.9700000000011642</v>
      </c>
    </row>
    <row r="211" spans="1:11" x14ac:dyDescent="0.2">
      <c r="A211">
        <v>682</v>
      </c>
      <c r="B211">
        <v>1</v>
      </c>
      <c r="C211" s="7" t="s">
        <v>204</v>
      </c>
      <c r="D211" s="21">
        <v>8808220.8399999999</v>
      </c>
      <c r="E211" s="59">
        <f t="shared" si="16"/>
        <v>-766405.77</v>
      </c>
      <c r="F211" s="56">
        <f t="shared" si="17"/>
        <v>-8.7010299999999999E-2</v>
      </c>
      <c r="G211" s="21">
        <f t="shared" si="15"/>
        <v>766405.77</v>
      </c>
      <c r="H211" s="55">
        <v>513473.7</v>
      </c>
      <c r="I211" s="46">
        <f t="shared" si="18"/>
        <v>252932.07</v>
      </c>
      <c r="J211" s="43">
        <v>766378.66</v>
      </c>
      <c r="K211" s="43">
        <f t="shared" si="19"/>
        <v>27.10999999998603</v>
      </c>
    </row>
    <row r="212" spans="1:11" x14ac:dyDescent="0.2">
      <c r="A212">
        <v>690</v>
      </c>
      <c r="B212">
        <v>1</v>
      </c>
      <c r="C212" s="7" t="s">
        <v>205</v>
      </c>
      <c r="D212" s="21">
        <v>8340059.3700000001</v>
      </c>
      <c r="E212" s="59">
        <f t="shared" si="16"/>
        <v>-725670.9</v>
      </c>
      <c r="F212" s="56">
        <f t="shared" si="17"/>
        <v>-8.7010299999999999E-2</v>
      </c>
      <c r="G212" s="21">
        <f t="shared" si="15"/>
        <v>725670.9</v>
      </c>
      <c r="H212" s="55">
        <v>486182.31</v>
      </c>
      <c r="I212" s="46">
        <f t="shared" si="18"/>
        <v>239488.59000000003</v>
      </c>
      <c r="J212" s="43">
        <v>725645.24</v>
      </c>
      <c r="K212" s="43">
        <f t="shared" si="19"/>
        <v>25.660000000032596</v>
      </c>
    </row>
    <row r="213" spans="1:11" x14ac:dyDescent="0.2">
      <c r="A213">
        <v>695</v>
      </c>
      <c r="B213">
        <v>1</v>
      </c>
      <c r="C213" s="7" t="s">
        <v>206</v>
      </c>
      <c r="D213" s="21">
        <v>5205674.91</v>
      </c>
      <c r="E213" s="59">
        <f t="shared" si="16"/>
        <v>-452947.23</v>
      </c>
      <c r="F213" s="56">
        <f t="shared" si="17"/>
        <v>-8.7010299999999999E-2</v>
      </c>
      <c r="G213" s="21">
        <f t="shared" si="15"/>
        <v>452947.23</v>
      </c>
      <c r="H213" s="55">
        <v>303463.90999999997</v>
      </c>
      <c r="I213" s="46">
        <f t="shared" si="18"/>
        <v>149483.32</v>
      </c>
      <c r="J213" s="43">
        <v>452931.21</v>
      </c>
      <c r="K213" s="43">
        <f t="shared" si="19"/>
        <v>16.019999999960419</v>
      </c>
    </row>
    <row r="214" spans="1:11" x14ac:dyDescent="0.2">
      <c r="A214">
        <v>696</v>
      </c>
      <c r="B214">
        <v>1</v>
      </c>
      <c r="C214" s="7" t="s">
        <v>207</v>
      </c>
      <c r="D214" s="21">
        <v>3922032.03</v>
      </c>
      <c r="E214" s="59">
        <f t="shared" si="16"/>
        <v>-341257.11</v>
      </c>
      <c r="F214" s="56">
        <f t="shared" si="17"/>
        <v>-8.7010299999999999E-2</v>
      </c>
      <c r="G214" s="21">
        <f t="shared" si="15"/>
        <v>341257.11</v>
      </c>
      <c r="H214" s="55">
        <v>228634.18</v>
      </c>
      <c r="I214" s="46">
        <f t="shared" si="18"/>
        <v>112622.93</v>
      </c>
      <c r="J214" s="43">
        <v>341245.04</v>
      </c>
      <c r="K214" s="43">
        <f t="shared" si="19"/>
        <v>12.070000000006985</v>
      </c>
    </row>
    <row r="215" spans="1:11" x14ac:dyDescent="0.2">
      <c r="A215">
        <v>698</v>
      </c>
      <c r="B215">
        <v>1</v>
      </c>
      <c r="C215" s="7" t="s">
        <v>208</v>
      </c>
      <c r="D215" s="21">
        <v>3001981.8</v>
      </c>
      <c r="E215" s="59">
        <f t="shared" si="16"/>
        <v>-261203.28</v>
      </c>
      <c r="F215" s="56">
        <f t="shared" si="17"/>
        <v>-8.7010299999999999E-2</v>
      </c>
      <c r="G215" s="21">
        <f t="shared" si="15"/>
        <v>261203.28</v>
      </c>
      <c r="H215" s="55">
        <v>175000.01</v>
      </c>
      <c r="I215" s="46">
        <f t="shared" si="18"/>
        <v>86203.26999999999</v>
      </c>
      <c r="J215" s="43">
        <v>261194.04</v>
      </c>
      <c r="K215" s="43">
        <f t="shared" si="19"/>
        <v>9.2399999999906868</v>
      </c>
    </row>
    <row r="216" spans="1:11" x14ac:dyDescent="0.2">
      <c r="A216">
        <v>700</v>
      </c>
      <c r="B216">
        <v>1</v>
      </c>
      <c r="C216" s="7" t="s">
        <v>209</v>
      </c>
      <c r="D216" s="21">
        <v>13085981.439999999</v>
      </c>
      <c r="E216" s="59">
        <f t="shared" si="16"/>
        <v>-1138614.9099999999</v>
      </c>
      <c r="F216" s="56">
        <f t="shared" si="17"/>
        <v>-8.7010299999999999E-2</v>
      </c>
      <c r="G216" s="21">
        <f t="shared" si="15"/>
        <v>1138614.9099999999</v>
      </c>
      <c r="H216" s="55">
        <v>762845.01</v>
      </c>
      <c r="I216" s="46">
        <f t="shared" si="18"/>
        <v>375769.89999999991</v>
      </c>
      <c r="J216" s="43">
        <v>1138574.6399999999</v>
      </c>
      <c r="K216" s="43">
        <f t="shared" si="19"/>
        <v>40.270000000018626</v>
      </c>
    </row>
    <row r="217" spans="1:11" x14ac:dyDescent="0.2">
      <c r="A217">
        <v>701</v>
      </c>
      <c r="B217">
        <v>1</v>
      </c>
      <c r="C217" s="7" t="s">
        <v>210</v>
      </c>
      <c r="D217" s="21">
        <v>16398914.789999999</v>
      </c>
      <c r="E217" s="59">
        <f t="shared" si="16"/>
        <v>-1426874.17</v>
      </c>
      <c r="F217" s="56">
        <f t="shared" si="17"/>
        <v>-8.7010299999999999E-2</v>
      </c>
      <c r="G217" s="21">
        <f t="shared" si="15"/>
        <v>1426874.17</v>
      </c>
      <c r="H217" s="55">
        <v>955971.88</v>
      </c>
      <c r="I217" s="46">
        <f t="shared" si="18"/>
        <v>470902.28999999992</v>
      </c>
      <c r="J217" s="43">
        <v>1426823.7</v>
      </c>
      <c r="K217" s="43">
        <f t="shared" si="19"/>
        <v>50.46999999997206</v>
      </c>
    </row>
    <row r="218" spans="1:11" x14ac:dyDescent="0.2">
      <c r="A218">
        <v>704</v>
      </c>
      <c r="B218">
        <v>1</v>
      </c>
      <c r="C218" s="7" t="s">
        <v>211</v>
      </c>
      <c r="D218" s="21">
        <v>11844276.359999999</v>
      </c>
      <c r="E218" s="59">
        <f t="shared" si="16"/>
        <v>-1030573.81</v>
      </c>
      <c r="F218" s="56">
        <f t="shared" si="17"/>
        <v>-8.7010299999999999E-2</v>
      </c>
      <c r="G218" s="21">
        <f t="shared" si="15"/>
        <v>1030573.81</v>
      </c>
      <c r="H218" s="55">
        <v>690460.02</v>
      </c>
      <c r="I218" s="46">
        <f t="shared" si="18"/>
        <v>340113.79000000004</v>
      </c>
      <c r="J218" s="43">
        <v>1030537.35</v>
      </c>
      <c r="K218" s="43">
        <f t="shared" si="19"/>
        <v>36.460000000079162</v>
      </c>
    </row>
    <row r="219" spans="1:11" x14ac:dyDescent="0.2">
      <c r="A219">
        <v>706</v>
      </c>
      <c r="B219">
        <v>1</v>
      </c>
      <c r="C219" s="7" t="s">
        <v>212</v>
      </c>
      <c r="D219" s="21">
        <v>10870090.42</v>
      </c>
      <c r="E219" s="59">
        <f t="shared" si="16"/>
        <v>-945809.62</v>
      </c>
      <c r="F219" s="56">
        <f t="shared" si="17"/>
        <v>-8.7010299999999999E-2</v>
      </c>
      <c r="G219" s="21">
        <f t="shared" si="15"/>
        <v>945809.62</v>
      </c>
      <c r="H219" s="55">
        <v>633670.03</v>
      </c>
      <c r="I219" s="46">
        <f t="shared" si="18"/>
        <v>312139.58999999997</v>
      </c>
      <c r="J219" s="43">
        <v>945776.16</v>
      </c>
      <c r="K219" s="43">
        <f t="shared" si="19"/>
        <v>33.459999999962747</v>
      </c>
    </row>
    <row r="220" spans="1:11" x14ac:dyDescent="0.2">
      <c r="A220">
        <v>707</v>
      </c>
      <c r="B220">
        <v>1</v>
      </c>
      <c r="C220" s="7" t="s">
        <v>213</v>
      </c>
      <c r="D220" s="21">
        <v>1034372.84</v>
      </c>
      <c r="E220" s="59">
        <f t="shared" si="16"/>
        <v>-90001.07</v>
      </c>
      <c r="F220" s="56">
        <f t="shared" si="17"/>
        <v>-8.7010299999999999E-2</v>
      </c>
      <c r="G220" s="21">
        <f t="shared" si="15"/>
        <v>90001.07</v>
      </c>
      <c r="H220" s="55">
        <v>60298.59</v>
      </c>
      <c r="I220" s="46">
        <f t="shared" si="18"/>
        <v>29702.48000000001</v>
      </c>
      <c r="J220" s="43">
        <v>89997.89</v>
      </c>
      <c r="K220" s="43">
        <f t="shared" si="19"/>
        <v>3.180000000007567</v>
      </c>
    </row>
    <row r="221" spans="1:11" x14ac:dyDescent="0.2">
      <c r="A221">
        <v>709</v>
      </c>
      <c r="B221">
        <v>1</v>
      </c>
      <c r="C221" s="7" t="s">
        <v>214</v>
      </c>
      <c r="D221" s="21">
        <v>68804266.359999999</v>
      </c>
      <c r="E221" s="59">
        <f t="shared" si="16"/>
        <v>-5986678.5099999998</v>
      </c>
      <c r="F221" s="56">
        <f t="shared" si="17"/>
        <v>-8.7010299999999999E-2</v>
      </c>
      <c r="G221" s="21">
        <f t="shared" si="15"/>
        <v>5986678.5099999998</v>
      </c>
      <c r="H221" s="55">
        <v>4010932.72</v>
      </c>
      <c r="I221" s="46">
        <f t="shared" si="18"/>
        <v>1975745.7899999996</v>
      </c>
      <c r="J221" s="43">
        <v>5986466.7400000002</v>
      </c>
      <c r="K221" s="43">
        <f t="shared" si="19"/>
        <v>211.76999999955297</v>
      </c>
    </row>
    <row r="222" spans="1:11" x14ac:dyDescent="0.2">
      <c r="A222">
        <v>712</v>
      </c>
      <c r="B222">
        <v>1</v>
      </c>
      <c r="C222" s="7" t="s">
        <v>215</v>
      </c>
      <c r="D222" s="21">
        <v>3999359.88</v>
      </c>
      <c r="E222" s="59">
        <f t="shared" si="16"/>
        <v>-347985.42</v>
      </c>
      <c r="F222" s="56">
        <f t="shared" si="17"/>
        <v>-8.7010299999999999E-2</v>
      </c>
      <c r="G222" s="21">
        <f t="shared" si="15"/>
        <v>347985.42</v>
      </c>
      <c r="H222" s="55">
        <v>233141.99</v>
      </c>
      <c r="I222" s="46">
        <f t="shared" si="18"/>
        <v>114843.43</v>
      </c>
      <c r="J222" s="43">
        <v>347973.12</v>
      </c>
      <c r="K222" s="43">
        <f t="shared" si="19"/>
        <v>12.299999999988358</v>
      </c>
    </row>
    <row r="223" spans="1:11" x14ac:dyDescent="0.2">
      <c r="A223">
        <v>716</v>
      </c>
      <c r="B223">
        <v>1</v>
      </c>
      <c r="C223" s="7" t="s">
        <v>216</v>
      </c>
      <c r="D223" s="21">
        <v>9769626.8699999992</v>
      </c>
      <c r="E223" s="59">
        <f t="shared" si="16"/>
        <v>-850057.97</v>
      </c>
      <c r="F223" s="56">
        <f t="shared" si="17"/>
        <v>-8.7010299999999999E-2</v>
      </c>
      <c r="G223" s="21">
        <f t="shared" si="15"/>
        <v>850057.97</v>
      </c>
      <c r="H223" s="55">
        <v>569518.68999999994</v>
      </c>
      <c r="I223" s="46">
        <f t="shared" si="18"/>
        <v>280539.28000000003</v>
      </c>
      <c r="J223" s="43">
        <v>850027.9</v>
      </c>
      <c r="K223" s="43">
        <f t="shared" si="19"/>
        <v>30.069999999948777</v>
      </c>
    </row>
    <row r="224" spans="1:11" x14ac:dyDescent="0.2">
      <c r="A224">
        <v>717</v>
      </c>
      <c r="B224">
        <v>1</v>
      </c>
      <c r="C224" s="7" t="s">
        <v>217</v>
      </c>
      <c r="D224" s="21">
        <v>10499082.720000001</v>
      </c>
      <c r="E224" s="59">
        <f t="shared" si="16"/>
        <v>-913528.13</v>
      </c>
      <c r="F224" s="56">
        <f t="shared" si="17"/>
        <v>-8.7010299999999999E-2</v>
      </c>
      <c r="G224" s="21">
        <f t="shared" si="15"/>
        <v>913528.13</v>
      </c>
      <c r="H224" s="55">
        <v>612042.19999999995</v>
      </c>
      <c r="I224" s="46">
        <f t="shared" si="18"/>
        <v>301485.93000000005</v>
      </c>
      <c r="J224" s="43">
        <v>913495.82</v>
      </c>
      <c r="K224" s="43">
        <f t="shared" si="19"/>
        <v>32.310000000055879</v>
      </c>
    </row>
    <row r="225" spans="1:11" x14ac:dyDescent="0.2">
      <c r="A225">
        <v>719</v>
      </c>
      <c r="B225">
        <v>1</v>
      </c>
      <c r="C225" s="7" t="s">
        <v>218</v>
      </c>
      <c r="D225" s="21">
        <v>42629873.770000003</v>
      </c>
      <c r="E225" s="59">
        <f t="shared" si="16"/>
        <v>-3709237.27</v>
      </c>
      <c r="F225" s="56">
        <f t="shared" si="17"/>
        <v>-8.7010299999999999E-2</v>
      </c>
      <c r="G225" s="21">
        <f t="shared" si="15"/>
        <v>3709237.27</v>
      </c>
      <c r="H225" s="55">
        <v>2485101.06</v>
      </c>
      <c r="I225" s="46">
        <f t="shared" si="18"/>
        <v>1224136.21</v>
      </c>
      <c r="J225" s="43">
        <v>3709106.06</v>
      </c>
      <c r="K225" s="43">
        <f t="shared" si="19"/>
        <v>131.20999999996275</v>
      </c>
    </row>
    <row r="226" spans="1:11" x14ac:dyDescent="0.2">
      <c r="A226">
        <v>720</v>
      </c>
      <c r="B226">
        <v>1</v>
      </c>
      <c r="C226" s="7" t="s">
        <v>219</v>
      </c>
      <c r="D226" s="21">
        <v>41839780.93</v>
      </c>
      <c r="E226" s="59">
        <f t="shared" si="16"/>
        <v>-3640491.07</v>
      </c>
      <c r="F226" s="56">
        <f t="shared" si="17"/>
        <v>-8.7010299999999999E-2</v>
      </c>
      <c r="G226" s="21">
        <f t="shared" si="15"/>
        <v>3640491.07</v>
      </c>
      <c r="H226" s="55">
        <v>2439042.7400000002</v>
      </c>
      <c r="I226" s="46">
        <f t="shared" si="18"/>
        <v>1201448.3299999996</v>
      </c>
      <c r="J226" s="43">
        <v>3640362.3</v>
      </c>
      <c r="K226" s="43">
        <f t="shared" si="19"/>
        <v>128.77000000001863</v>
      </c>
    </row>
    <row r="227" spans="1:11" x14ac:dyDescent="0.2">
      <c r="A227">
        <v>721</v>
      </c>
      <c r="B227">
        <v>1</v>
      </c>
      <c r="C227" s="7" t="s">
        <v>220</v>
      </c>
      <c r="D227" s="21">
        <v>22435660.510000002</v>
      </c>
      <c r="E227" s="59">
        <f t="shared" si="16"/>
        <v>-1952133.11</v>
      </c>
      <c r="F227" s="56">
        <f t="shared" si="17"/>
        <v>-8.7010299999999999E-2</v>
      </c>
      <c r="G227" s="21">
        <f t="shared" si="15"/>
        <v>1952133.11</v>
      </c>
      <c r="H227" s="55">
        <v>1307882.92</v>
      </c>
      <c r="I227" s="46">
        <f t="shared" si="18"/>
        <v>644250.19000000018</v>
      </c>
      <c r="J227" s="43">
        <v>1952064.06</v>
      </c>
      <c r="K227" s="43">
        <f t="shared" si="19"/>
        <v>69.050000000046566</v>
      </c>
    </row>
    <row r="228" spans="1:11" x14ac:dyDescent="0.2">
      <c r="A228">
        <v>726</v>
      </c>
      <c r="B228">
        <v>1</v>
      </c>
      <c r="C228" s="7" t="s">
        <v>221</v>
      </c>
      <c r="D228" s="21">
        <v>16876169.77</v>
      </c>
      <c r="E228" s="59">
        <f t="shared" si="16"/>
        <v>-1468400.26</v>
      </c>
      <c r="F228" s="56">
        <f t="shared" si="17"/>
        <v>-8.7010299999999999E-2</v>
      </c>
      <c r="G228" s="21">
        <f t="shared" si="15"/>
        <v>1468400.26</v>
      </c>
      <c r="H228" s="55">
        <v>983793.37</v>
      </c>
      <c r="I228" s="46">
        <f t="shared" si="18"/>
        <v>484606.89</v>
      </c>
      <c r="J228" s="43">
        <v>1468348.32</v>
      </c>
      <c r="K228" s="43">
        <f t="shared" si="19"/>
        <v>51.939999999944121</v>
      </c>
    </row>
    <row r="229" spans="1:11" x14ac:dyDescent="0.2">
      <c r="A229">
        <v>727</v>
      </c>
      <c r="B229">
        <v>1</v>
      </c>
      <c r="C229" s="7" t="s">
        <v>222</v>
      </c>
      <c r="D229" s="21">
        <v>23104429.27</v>
      </c>
      <c r="E229" s="59">
        <f t="shared" si="16"/>
        <v>-2010322.87</v>
      </c>
      <c r="F229" s="56">
        <f t="shared" si="17"/>
        <v>-8.7010299999999999E-2</v>
      </c>
      <c r="G229" s="21">
        <f t="shared" si="15"/>
        <v>2010322.87</v>
      </c>
      <c r="H229" s="55">
        <v>1346868.68</v>
      </c>
      <c r="I229" s="46">
        <f t="shared" si="18"/>
        <v>663454.19000000018</v>
      </c>
      <c r="J229" s="43">
        <v>2010251.76</v>
      </c>
      <c r="K229" s="43">
        <f t="shared" si="19"/>
        <v>71.110000000102445</v>
      </c>
    </row>
    <row r="230" spans="1:11" x14ac:dyDescent="0.2">
      <c r="A230">
        <v>728</v>
      </c>
      <c r="B230">
        <v>1</v>
      </c>
      <c r="C230" s="7" t="s">
        <v>223</v>
      </c>
      <c r="D230" s="21">
        <v>77348652.060000002</v>
      </c>
      <c r="E230" s="59">
        <f t="shared" si="16"/>
        <v>-6730127.9000000004</v>
      </c>
      <c r="F230" s="56">
        <f t="shared" si="17"/>
        <v>-8.7010299999999999E-2</v>
      </c>
      <c r="G230" s="21">
        <f t="shared" si="15"/>
        <v>6730127.9000000004</v>
      </c>
      <c r="H230" s="55">
        <v>4509026.1900000004</v>
      </c>
      <c r="I230" s="46">
        <f t="shared" si="18"/>
        <v>2221101.71</v>
      </c>
      <c r="J230" s="43">
        <v>6729889.8399999999</v>
      </c>
      <c r="K230" s="43">
        <f t="shared" si="19"/>
        <v>238.06000000052154</v>
      </c>
    </row>
    <row r="231" spans="1:11" x14ac:dyDescent="0.2">
      <c r="A231">
        <v>738</v>
      </c>
      <c r="B231">
        <v>1</v>
      </c>
      <c r="C231" s="7" t="s">
        <v>224</v>
      </c>
      <c r="D231" s="21">
        <v>6572306.6699999999</v>
      </c>
      <c r="E231" s="59">
        <f t="shared" si="16"/>
        <v>-571858.25</v>
      </c>
      <c r="F231" s="56">
        <f t="shared" si="17"/>
        <v>-8.7010299999999999E-2</v>
      </c>
      <c r="G231" s="21">
        <f t="shared" si="15"/>
        <v>571858.25</v>
      </c>
      <c r="H231" s="55">
        <v>383131.47</v>
      </c>
      <c r="I231" s="46">
        <f t="shared" si="18"/>
        <v>188726.78000000003</v>
      </c>
      <c r="J231" s="43">
        <v>571838.02</v>
      </c>
      <c r="K231" s="43">
        <f t="shared" si="19"/>
        <v>20.229999999981374</v>
      </c>
    </row>
    <row r="232" spans="1:11" x14ac:dyDescent="0.2">
      <c r="A232">
        <v>739</v>
      </c>
      <c r="B232">
        <v>1</v>
      </c>
      <c r="C232" s="7" t="s">
        <v>225</v>
      </c>
      <c r="D232" s="21">
        <v>4968801.95</v>
      </c>
      <c r="E232" s="59">
        <f t="shared" si="16"/>
        <v>-432336.85</v>
      </c>
      <c r="F232" s="56">
        <f t="shared" si="17"/>
        <v>-8.7010299999999999E-2</v>
      </c>
      <c r="G232" s="21">
        <f t="shared" si="15"/>
        <v>432336.85</v>
      </c>
      <c r="H232" s="55">
        <v>289655.45</v>
      </c>
      <c r="I232" s="46">
        <f t="shared" si="18"/>
        <v>142681.39999999997</v>
      </c>
      <c r="J232" s="43">
        <v>432321.56</v>
      </c>
      <c r="K232" s="43">
        <f t="shared" si="19"/>
        <v>15.289999999979045</v>
      </c>
    </row>
    <row r="233" spans="1:11" x14ac:dyDescent="0.2">
      <c r="A233">
        <v>740</v>
      </c>
      <c r="B233">
        <v>1</v>
      </c>
      <c r="C233" s="7" t="s">
        <v>226</v>
      </c>
      <c r="D233" s="21">
        <v>9655482.6699999999</v>
      </c>
      <c r="E233" s="59">
        <f t="shared" si="16"/>
        <v>-840126.25</v>
      </c>
      <c r="F233" s="56">
        <f t="shared" si="17"/>
        <v>-8.7010299999999999E-2</v>
      </c>
      <c r="G233" s="21">
        <f t="shared" si="15"/>
        <v>840126.25</v>
      </c>
      <c r="H233" s="55">
        <v>562864.68000000005</v>
      </c>
      <c r="I233" s="46">
        <f t="shared" si="18"/>
        <v>277261.56999999995</v>
      </c>
      <c r="J233" s="43">
        <v>840096.54</v>
      </c>
      <c r="K233" s="43">
        <f t="shared" si="19"/>
        <v>29.709999999962747</v>
      </c>
    </row>
    <row r="234" spans="1:11" x14ac:dyDescent="0.2">
      <c r="A234">
        <v>741</v>
      </c>
      <c r="B234">
        <v>1</v>
      </c>
      <c r="C234" s="7" t="s">
        <v>227</v>
      </c>
      <c r="D234" s="21">
        <v>7086515.2199999997</v>
      </c>
      <c r="E234" s="59">
        <f t="shared" si="16"/>
        <v>-616599.68000000005</v>
      </c>
      <c r="F234" s="56">
        <f t="shared" si="17"/>
        <v>-8.7010299999999999E-2</v>
      </c>
      <c r="G234" s="21">
        <f t="shared" si="15"/>
        <v>616599.68000000005</v>
      </c>
      <c r="H234" s="55">
        <v>413107.17</v>
      </c>
      <c r="I234" s="46">
        <f t="shared" si="18"/>
        <v>203492.51000000007</v>
      </c>
      <c r="J234" s="43">
        <v>616577.87</v>
      </c>
      <c r="K234" s="43">
        <f t="shared" si="19"/>
        <v>21.810000000055879</v>
      </c>
    </row>
    <row r="235" spans="1:11" x14ac:dyDescent="0.2">
      <c r="A235">
        <v>742</v>
      </c>
      <c r="B235">
        <v>1</v>
      </c>
      <c r="C235" s="7" t="s">
        <v>228</v>
      </c>
      <c r="D235" s="21">
        <v>68183562.379999995</v>
      </c>
      <c r="E235" s="59">
        <f t="shared" si="16"/>
        <v>-5932670.8799999999</v>
      </c>
      <c r="F235" s="56">
        <f t="shared" si="17"/>
        <v>-8.7010299999999999E-2</v>
      </c>
      <c r="G235" s="21">
        <f t="shared" si="15"/>
        <v>5932670.8799999999</v>
      </c>
      <c r="H235" s="55">
        <v>3974748.89</v>
      </c>
      <c r="I235" s="46">
        <f t="shared" si="18"/>
        <v>1957921.9899999998</v>
      </c>
      <c r="J235" s="43">
        <v>5932461.0300000003</v>
      </c>
      <c r="K235" s="43">
        <f t="shared" si="19"/>
        <v>209.84999999962747</v>
      </c>
    </row>
    <row r="236" spans="1:11" x14ac:dyDescent="0.2">
      <c r="A236">
        <v>743</v>
      </c>
      <c r="B236">
        <v>1</v>
      </c>
      <c r="C236" s="7" t="s">
        <v>229</v>
      </c>
      <c r="D236" s="21">
        <v>7422659.4800000004</v>
      </c>
      <c r="E236" s="59">
        <f t="shared" si="16"/>
        <v>-645847.68000000005</v>
      </c>
      <c r="F236" s="56">
        <f t="shared" si="17"/>
        <v>-8.7010299999999999E-2</v>
      </c>
      <c r="G236" s="21">
        <f t="shared" si="15"/>
        <v>645847.68000000005</v>
      </c>
      <c r="H236" s="55">
        <v>432702.64</v>
      </c>
      <c r="I236" s="46">
        <f t="shared" si="18"/>
        <v>213145.04000000004</v>
      </c>
      <c r="J236" s="43">
        <v>645824.84</v>
      </c>
      <c r="K236" s="43">
        <f t="shared" si="19"/>
        <v>22.840000000083819</v>
      </c>
    </row>
    <row r="237" spans="1:11" x14ac:dyDescent="0.2">
      <c r="A237">
        <v>745</v>
      </c>
      <c r="B237">
        <v>1</v>
      </c>
      <c r="C237" s="7" t="s">
        <v>230</v>
      </c>
      <c r="D237" s="21">
        <v>10462020.810000001</v>
      </c>
      <c r="E237" s="59">
        <f t="shared" si="16"/>
        <v>-910303.36</v>
      </c>
      <c r="F237" s="56">
        <f t="shared" si="17"/>
        <v>-8.7010299999999999E-2</v>
      </c>
      <c r="G237" s="21">
        <f t="shared" si="15"/>
        <v>910303.36</v>
      </c>
      <c r="H237" s="55">
        <v>609881.68000000005</v>
      </c>
      <c r="I237" s="46">
        <f t="shared" si="18"/>
        <v>300421.67999999993</v>
      </c>
      <c r="J237" s="43">
        <v>910271.16</v>
      </c>
      <c r="K237" s="43">
        <f t="shared" si="19"/>
        <v>32.199999999953434</v>
      </c>
    </row>
    <row r="238" spans="1:11" x14ac:dyDescent="0.2">
      <c r="A238">
        <v>748</v>
      </c>
      <c r="B238">
        <v>1</v>
      </c>
      <c r="C238" s="7" t="s">
        <v>231</v>
      </c>
      <c r="D238" s="21">
        <v>20129056.91</v>
      </c>
      <c r="E238" s="59">
        <f t="shared" si="16"/>
        <v>-1751434.89</v>
      </c>
      <c r="F238" s="56">
        <f t="shared" si="17"/>
        <v>-8.7010299999999999E-2</v>
      </c>
      <c r="G238" s="21">
        <f t="shared" si="15"/>
        <v>1751434.89</v>
      </c>
      <c r="H238" s="55">
        <v>1173419.8600000001</v>
      </c>
      <c r="I238" s="46">
        <f t="shared" si="18"/>
        <v>578015.0299999998</v>
      </c>
      <c r="J238" s="43">
        <v>1751372.93</v>
      </c>
      <c r="K238" s="43">
        <f t="shared" si="19"/>
        <v>61.959999999962747</v>
      </c>
    </row>
    <row r="239" spans="1:11" x14ac:dyDescent="0.2">
      <c r="A239">
        <v>750</v>
      </c>
      <c r="B239">
        <v>1</v>
      </c>
      <c r="C239" s="7" t="s">
        <v>232</v>
      </c>
      <c r="D239" s="21">
        <v>14814767.279999999</v>
      </c>
      <c r="E239" s="59">
        <f t="shared" si="16"/>
        <v>-1289037.06</v>
      </c>
      <c r="F239" s="56">
        <f t="shared" si="17"/>
        <v>-8.7010299999999999E-2</v>
      </c>
      <c r="G239" s="21">
        <f t="shared" si="15"/>
        <v>1289037.06</v>
      </c>
      <c r="H239" s="55">
        <v>863624.28</v>
      </c>
      <c r="I239" s="46">
        <f t="shared" si="18"/>
        <v>425412.78</v>
      </c>
      <c r="J239" s="43">
        <v>1288991.46</v>
      </c>
      <c r="K239" s="43">
        <f t="shared" si="19"/>
        <v>45.600000000093132</v>
      </c>
    </row>
    <row r="240" spans="1:11" x14ac:dyDescent="0.2">
      <c r="A240">
        <v>756</v>
      </c>
      <c r="B240">
        <v>1</v>
      </c>
      <c r="C240" s="7" t="s">
        <v>233</v>
      </c>
      <c r="D240" s="21">
        <v>4714952.51</v>
      </c>
      <c r="E240" s="59">
        <f t="shared" si="16"/>
        <v>-410249.34</v>
      </c>
      <c r="F240" s="56">
        <f t="shared" si="17"/>
        <v>-8.7010299999999999E-2</v>
      </c>
      <c r="G240" s="21">
        <f t="shared" si="15"/>
        <v>410249.34</v>
      </c>
      <c r="H240" s="55">
        <v>274857.34000000003</v>
      </c>
      <c r="I240" s="46">
        <f t="shared" si="18"/>
        <v>135392</v>
      </c>
      <c r="J240" s="43">
        <v>410234.83</v>
      </c>
      <c r="K240" s="43">
        <f t="shared" si="19"/>
        <v>14.510000000009313</v>
      </c>
    </row>
    <row r="241" spans="1:11" x14ac:dyDescent="0.2">
      <c r="A241">
        <v>761</v>
      </c>
      <c r="B241">
        <v>1</v>
      </c>
      <c r="C241" s="7" t="s">
        <v>234</v>
      </c>
      <c r="D241" s="21">
        <v>33429498.449999999</v>
      </c>
      <c r="E241" s="59">
        <f t="shared" si="16"/>
        <v>-2908710.03</v>
      </c>
      <c r="F241" s="56">
        <f t="shared" si="17"/>
        <v>-8.7010299999999999E-2</v>
      </c>
      <c r="G241" s="21">
        <f t="shared" si="15"/>
        <v>2908710.03</v>
      </c>
      <c r="H241" s="55">
        <v>1948766.78</v>
      </c>
      <c r="I241" s="46">
        <f t="shared" si="18"/>
        <v>959943.24999999977</v>
      </c>
      <c r="J241" s="43">
        <v>2908607.14</v>
      </c>
      <c r="K241" s="43">
        <f t="shared" si="19"/>
        <v>102.88999999966472</v>
      </c>
    </row>
    <row r="242" spans="1:11" x14ac:dyDescent="0.2">
      <c r="A242">
        <v>763</v>
      </c>
      <c r="B242">
        <v>1</v>
      </c>
      <c r="C242" s="7" t="s">
        <v>235</v>
      </c>
      <c r="D242" s="21">
        <v>4859035.88</v>
      </c>
      <c r="E242" s="59">
        <f t="shared" si="16"/>
        <v>-422786.07</v>
      </c>
      <c r="F242" s="56">
        <f t="shared" si="17"/>
        <v>-8.7010299999999999E-2</v>
      </c>
      <c r="G242" s="21">
        <f t="shared" si="15"/>
        <v>422786.07</v>
      </c>
      <c r="H242" s="55">
        <v>283256.65000000002</v>
      </c>
      <c r="I242" s="46">
        <f t="shared" si="18"/>
        <v>139529.41999999998</v>
      </c>
      <c r="J242" s="43">
        <v>422771.12</v>
      </c>
      <c r="K242" s="43">
        <f t="shared" si="19"/>
        <v>14.950000000011642</v>
      </c>
    </row>
    <row r="243" spans="1:11" x14ac:dyDescent="0.2">
      <c r="A243">
        <v>768</v>
      </c>
      <c r="B243">
        <v>1</v>
      </c>
      <c r="C243" s="7" t="s">
        <v>236</v>
      </c>
      <c r="D243" s="21">
        <v>1734731.61</v>
      </c>
      <c r="E243" s="59">
        <f t="shared" si="16"/>
        <v>-150939.48000000001</v>
      </c>
      <c r="F243" s="56">
        <f t="shared" si="17"/>
        <v>-8.7010299999999999E-2</v>
      </c>
      <c r="G243" s="21">
        <f t="shared" si="15"/>
        <v>150939.48000000001</v>
      </c>
      <c r="H243" s="55">
        <v>101125.87</v>
      </c>
      <c r="I243" s="46">
        <f t="shared" si="18"/>
        <v>49813.610000000015</v>
      </c>
      <c r="J243" s="43">
        <v>150934.14000000001</v>
      </c>
      <c r="K243" s="43">
        <f t="shared" si="19"/>
        <v>5.3399999999965075</v>
      </c>
    </row>
    <row r="244" spans="1:11" x14ac:dyDescent="0.2">
      <c r="A244">
        <v>769</v>
      </c>
      <c r="B244">
        <v>1</v>
      </c>
      <c r="C244" s="7" t="s">
        <v>237</v>
      </c>
      <c r="D244" s="21">
        <v>5877890.3399999999</v>
      </c>
      <c r="E244" s="59">
        <f t="shared" si="16"/>
        <v>-511436.89</v>
      </c>
      <c r="F244" s="56">
        <f t="shared" si="17"/>
        <v>-8.7010299999999999E-2</v>
      </c>
      <c r="G244" s="21">
        <f t="shared" si="15"/>
        <v>511436.89</v>
      </c>
      <c r="H244" s="55">
        <v>342650.6</v>
      </c>
      <c r="I244" s="46">
        <f t="shared" si="18"/>
        <v>168786.29000000004</v>
      </c>
      <c r="J244" s="43">
        <v>511418.8</v>
      </c>
      <c r="K244" s="43">
        <f t="shared" si="19"/>
        <v>18.090000000025611</v>
      </c>
    </row>
    <row r="245" spans="1:11" x14ac:dyDescent="0.2">
      <c r="A245">
        <v>771</v>
      </c>
      <c r="B245">
        <v>1</v>
      </c>
      <c r="C245" s="7" t="s">
        <v>238</v>
      </c>
      <c r="D245" s="21">
        <v>1236179.24</v>
      </c>
      <c r="E245" s="59">
        <f t="shared" si="16"/>
        <v>-107560.3</v>
      </c>
      <c r="F245" s="56">
        <f t="shared" si="17"/>
        <v>-8.7010299999999999E-2</v>
      </c>
      <c r="G245" s="21">
        <f t="shared" si="15"/>
        <v>107560.3</v>
      </c>
      <c r="H245" s="55">
        <v>72062.86</v>
      </c>
      <c r="I245" s="46">
        <f t="shared" si="18"/>
        <v>35497.440000000002</v>
      </c>
      <c r="J245" s="43">
        <v>107556.5</v>
      </c>
      <c r="K245" s="43">
        <f t="shared" si="19"/>
        <v>3.8000000000029104</v>
      </c>
    </row>
    <row r="246" spans="1:11" x14ac:dyDescent="0.2">
      <c r="A246">
        <v>775</v>
      </c>
      <c r="B246">
        <v>1</v>
      </c>
      <c r="C246" s="7" t="s">
        <v>239</v>
      </c>
      <c r="D246" s="21">
        <v>3916906</v>
      </c>
      <c r="E246" s="59">
        <f t="shared" si="16"/>
        <v>-340811.09</v>
      </c>
      <c r="F246" s="56">
        <f t="shared" si="17"/>
        <v>-8.7010299999999999E-2</v>
      </c>
      <c r="G246" s="21">
        <f t="shared" si="15"/>
        <v>340811.09</v>
      </c>
      <c r="H246" s="55">
        <v>228335.35</v>
      </c>
      <c r="I246" s="46">
        <f t="shared" si="18"/>
        <v>112475.74000000002</v>
      </c>
      <c r="J246" s="43">
        <v>340799.03</v>
      </c>
      <c r="K246" s="43">
        <f t="shared" si="19"/>
        <v>12.059999999997672</v>
      </c>
    </row>
    <row r="247" spans="1:11" x14ac:dyDescent="0.2">
      <c r="A247">
        <v>777</v>
      </c>
      <c r="B247">
        <v>1</v>
      </c>
      <c r="C247" s="7" t="s">
        <v>240</v>
      </c>
      <c r="D247" s="21">
        <v>6752405.5</v>
      </c>
      <c r="E247" s="59">
        <f t="shared" si="16"/>
        <v>-587528.69999999995</v>
      </c>
      <c r="F247" s="56">
        <f t="shared" si="17"/>
        <v>-8.7010299999999999E-2</v>
      </c>
      <c r="G247" s="21">
        <f t="shared" si="15"/>
        <v>587528.69999999995</v>
      </c>
      <c r="H247" s="55">
        <v>393630.3</v>
      </c>
      <c r="I247" s="46">
        <f t="shared" si="18"/>
        <v>193898.39999999997</v>
      </c>
      <c r="J247" s="43">
        <v>587507.91</v>
      </c>
      <c r="K247" s="43">
        <f t="shared" si="19"/>
        <v>20.789999999920838</v>
      </c>
    </row>
    <row r="248" spans="1:11" x14ac:dyDescent="0.2">
      <c r="A248">
        <v>786</v>
      </c>
      <c r="B248">
        <v>1</v>
      </c>
      <c r="C248" s="7" t="s">
        <v>241</v>
      </c>
      <c r="D248" s="21">
        <v>3609064.76</v>
      </c>
      <c r="E248" s="59">
        <f t="shared" si="16"/>
        <v>-314025.74</v>
      </c>
      <c r="F248" s="56">
        <f t="shared" si="17"/>
        <v>-8.7010299999999999E-2</v>
      </c>
      <c r="G248" s="21">
        <f t="shared" si="15"/>
        <v>314025.74</v>
      </c>
      <c r="H248" s="55">
        <v>210389.8</v>
      </c>
      <c r="I248" s="46">
        <f t="shared" si="18"/>
        <v>103635.94</v>
      </c>
      <c r="J248" s="43">
        <v>314014.63</v>
      </c>
      <c r="K248" s="43">
        <f t="shared" si="19"/>
        <v>11.10999999998603</v>
      </c>
    </row>
    <row r="249" spans="1:11" x14ac:dyDescent="0.2">
      <c r="A249">
        <v>787</v>
      </c>
      <c r="B249">
        <v>1</v>
      </c>
      <c r="C249" s="7" t="s">
        <v>242</v>
      </c>
      <c r="D249" s="21">
        <v>3715947.52</v>
      </c>
      <c r="E249" s="59">
        <f t="shared" si="16"/>
        <v>-323325.64</v>
      </c>
      <c r="F249" s="56">
        <f t="shared" si="17"/>
        <v>-8.7010299999999999E-2</v>
      </c>
      <c r="G249" s="21">
        <f t="shared" si="15"/>
        <v>323325.64</v>
      </c>
      <c r="H249" s="55">
        <v>216620.51</v>
      </c>
      <c r="I249" s="46">
        <f t="shared" si="18"/>
        <v>106705.13</v>
      </c>
      <c r="J249" s="43">
        <v>323314.2</v>
      </c>
      <c r="K249" s="43">
        <f t="shared" si="19"/>
        <v>11.440000000002328</v>
      </c>
    </row>
    <row r="250" spans="1:11" x14ac:dyDescent="0.2">
      <c r="A250">
        <v>801</v>
      </c>
      <c r="B250">
        <v>1</v>
      </c>
      <c r="C250" s="7" t="s">
        <v>243</v>
      </c>
      <c r="D250" s="21">
        <v>931871.55</v>
      </c>
      <c r="E250" s="59">
        <f t="shared" si="16"/>
        <v>-81082.399999999994</v>
      </c>
      <c r="F250" s="56">
        <f t="shared" si="17"/>
        <v>-8.7010299999999999E-2</v>
      </c>
      <c r="G250" s="21">
        <f t="shared" si="15"/>
        <v>81082.399999999994</v>
      </c>
      <c r="H250" s="55">
        <v>54323.29</v>
      </c>
      <c r="I250" s="46">
        <f t="shared" si="18"/>
        <v>26759.109999999993</v>
      </c>
      <c r="J250" s="43">
        <v>81079.539999999994</v>
      </c>
      <c r="K250" s="43">
        <f t="shared" si="19"/>
        <v>2.8600000000005821</v>
      </c>
    </row>
    <row r="251" spans="1:11" x14ac:dyDescent="0.2">
      <c r="A251">
        <v>803</v>
      </c>
      <c r="B251">
        <v>1</v>
      </c>
      <c r="C251" s="7" t="s">
        <v>244</v>
      </c>
      <c r="D251" s="21">
        <v>3165087.18</v>
      </c>
      <c r="E251" s="59">
        <f t="shared" si="16"/>
        <v>-275395.12</v>
      </c>
      <c r="F251" s="56">
        <f t="shared" si="17"/>
        <v>-8.7010299999999999E-2</v>
      </c>
      <c r="G251" s="21">
        <f t="shared" si="15"/>
        <v>275395.12</v>
      </c>
      <c r="H251" s="55">
        <v>184508.2</v>
      </c>
      <c r="I251" s="46">
        <f t="shared" si="18"/>
        <v>90886.919999999984</v>
      </c>
      <c r="J251" s="43">
        <v>275385.38</v>
      </c>
      <c r="K251" s="43">
        <f t="shared" si="19"/>
        <v>9.7399999999906868</v>
      </c>
    </row>
    <row r="252" spans="1:11" x14ac:dyDescent="0.2">
      <c r="A252">
        <v>811</v>
      </c>
      <c r="B252">
        <v>1</v>
      </c>
      <c r="C252" s="7" t="s">
        <v>245</v>
      </c>
      <c r="D252" s="21">
        <v>4266788.67</v>
      </c>
      <c r="E252" s="59">
        <f t="shared" si="16"/>
        <v>-371254.48</v>
      </c>
      <c r="F252" s="56">
        <f t="shared" si="17"/>
        <v>-8.7010299999999999E-2</v>
      </c>
      <c r="G252" s="21">
        <f t="shared" si="15"/>
        <v>371254.48</v>
      </c>
      <c r="H252" s="55">
        <v>248731.7</v>
      </c>
      <c r="I252" s="46">
        <f t="shared" si="18"/>
        <v>122522.77999999997</v>
      </c>
      <c r="J252" s="43">
        <v>371241.35</v>
      </c>
      <c r="K252" s="43">
        <f t="shared" si="19"/>
        <v>13.130000000004657</v>
      </c>
    </row>
    <row r="253" spans="1:11" x14ac:dyDescent="0.2">
      <c r="A253">
        <v>813</v>
      </c>
      <c r="B253">
        <v>1</v>
      </c>
      <c r="C253" s="7" t="s">
        <v>246</v>
      </c>
      <c r="D253" s="21">
        <v>8536766.8399999999</v>
      </c>
      <c r="E253" s="59">
        <f t="shared" si="16"/>
        <v>-742786.48</v>
      </c>
      <c r="F253" s="56">
        <f t="shared" si="17"/>
        <v>-8.7010299999999999E-2</v>
      </c>
      <c r="G253" s="21">
        <f t="shared" si="15"/>
        <v>742786.48</v>
      </c>
      <c r="H253" s="55">
        <v>497649.33</v>
      </c>
      <c r="I253" s="46">
        <f t="shared" si="18"/>
        <v>245137.14999999997</v>
      </c>
      <c r="J253" s="43">
        <v>742760.2</v>
      </c>
      <c r="K253" s="43">
        <f t="shared" si="19"/>
        <v>26.28000000002794</v>
      </c>
    </row>
    <row r="254" spans="1:11" x14ac:dyDescent="0.2">
      <c r="A254">
        <v>815</v>
      </c>
      <c r="B254">
        <v>2</v>
      </c>
      <c r="C254" s="7" t="s">
        <v>976</v>
      </c>
      <c r="D254" s="21">
        <v>0</v>
      </c>
      <c r="E254" s="59">
        <f t="shared" si="16"/>
        <v>0</v>
      </c>
      <c r="F254" s="56" t="str">
        <f t="shared" si="17"/>
        <v xml:space="preserve">na   </v>
      </c>
      <c r="G254" s="21">
        <f t="shared" si="15"/>
        <v>0</v>
      </c>
      <c r="H254" s="55">
        <v>0</v>
      </c>
      <c r="I254" s="46">
        <f t="shared" si="18"/>
        <v>0</v>
      </c>
      <c r="J254" s="21">
        <v>0</v>
      </c>
      <c r="K254" s="43">
        <v>0</v>
      </c>
    </row>
    <row r="255" spans="1:11" x14ac:dyDescent="0.2">
      <c r="A255">
        <v>818</v>
      </c>
      <c r="B255">
        <v>1</v>
      </c>
      <c r="C255" s="7" t="s">
        <v>247</v>
      </c>
      <c r="D255" s="21">
        <v>3196582.14</v>
      </c>
      <c r="E255" s="59">
        <f t="shared" si="16"/>
        <v>-278135.51</v>
      </c>
      <c r="F255" s="56">
        <f t="shared" si="17"/>
        <v>-8.7010299999999999E-2</v>
      </c>
      <c r="G255" s="21">
        <f t="shared" si="15"/>
        <v>278135.51</v>
      </c>
      <c r="H255" s="55">
        <v>186344.2</v>
      </c>
      <c r="I255" s="46">
        <f t="shared" si="18"/>
        <v>91791.31</v>
      </c>
      <c r="J255" s="43">
        <v>278125.67</v>
      </c>
      <c r="K255" s="43">
        <f t="shared" ref="K255:K318" si="20">G255-J255</f>
        <v>9.8400000000256114</v>
      </c>
    </row>
    <row r="256" spans="1:11" x14ac:dyDescent="0.2">
      <c r="A256">
        <v>820</v>
      </c>
      <c r="B256">
        <v>1</v>
      </c>
      <c r="C256" s="7" t="s">
        <v>248</v>
      </c>
      <c r="D256" s="21">
        <v>4067506.42</v>
      </c>
      <c r="E256" s="59">
        <f t="shared" si="16"/>
        <v>-353914.87</v>
      </c>
      <c r="F256" s="56">
        <f t="shared" si="17"/>
        <v>-8.7010299999999999E-2</v>
      </c>
      <c r="G256" s="21">
        <f t="shared" si="15"/>
        <v>353914.87</v>
      </c>
      <c r="H256" s="55">
        <v>237114.58</v>
      </c>
      <c r="I256" s="46">
        <f t="shared" si="18"/>
        <v>116800.29000000001</v>
      </c>
      <c r="J256" s="43">
        <v>353902.36</v>
      </c>
      <c r="K256" s="43">
        <f t="shared" si="20"/>
        <v>12.510000000009313</v>
      </c>
    </row>
    <row r="257" spans="1:11" x14ac:dyDescent="0.2">
      <c r="A257">
        <v>821</v>
      </c>
      <c r="B257">
        <v>1</v>
      </c>
      <c r="C257" s="7" t="s">
        <v>249</v>
      </c>
      <c r="D257" s="21">
        <v>5534817.1200000001</v>
      </c>
      <c r="E257" s="59">
        <f t="shared" si="16"/>
        <v>-481585.99</v>
      </c>
      <c r="F257" s="56">
        <f t="shared" si="17"/>
        <v>-8.7010299999999999E-2</v>
      </c>
      <c r="G257" s="21">
        <f t="shared" si="15"/>
        <v>481585.99</v>
      </c>
      <c r="H257" s="55">
        <v>322651.2</v>
      </c>
      <c r="I257" s="46">
        <f t="shared" si="18"/>
        <v>158934.78999999998</v>
      </c>
      <c r="J257" s="43">
        <v>481568.95</v>
      </c>
      <c r="K257" s="43">
        <f t="shared" si="20"/>
        <v>17.039999999979045</v>
      </c>
    </row>
    <row r="258" spans="1:11" x14ac:dyDescent="0.2">
      <c r="A258">
        <v>829</v>
      </c>
      <c r="B258">
        <v>1</v>
      </c>
      <c r="C258" s="7" t="s">
        <v>250</v>
      </c>
      <c r="D258" s="21">
        <v>12816951.23</v>
      </c>
      <c r="E258" s="59">
        <f t="shared" si="16"/>
        <v>-1115206.52</v>
      </c>
      <c r="F258" s="56">
        <f t="shared" si="17"/>
        <v>-8.7010299999999999E-2</v>
      </c>
      <c r="G258" s="21">
        <f t="shared" si="15"/>
        <v>1115206.52</v>
      </c>
      <c r="H258" s="55">
        <v>747161.94</v>
      </c>
      <c r="I258" s="46">
        <f t="shared" si="18"/>
        <v>368044.58000000007</v>
      </c>
      <c r="J258" s="43">
        <v>1115167.07</v>
      </c>
      <c r="K258" s="43">
        <f t="shared" si="20"/>
        <v>39.449999999953434</v>
      </c>
    </row>
    <row r="259" spans="1:11" x14ac:dyDescent="0.2">
      <c r="A259">
        <v>831</v>
      </c>
      <c r="B259">
        <v>1</v>
      </c>
      <c r="C259" s="7" t="s">
        <v>251</v>
      </c>
      <c r="D259" s="21">
        <v>48882098.619999997</v>
      </c>
      <c r="E259" s="59">
        <f t="shared" si="16"/>
        <v>-4253245.1100000003</v>
      </c>
      <c r="F259" s="56">
        <f t="shared" si="17"/>
        <v>-8.7010299999999999E-2</v>
      </c>
      <c r="G259" s="21">
        <f t="shared" si="15"/>
        <v>4253245.1100000003</v>
      </c>
      <c r="H259" s="55">
        <v>2849573.42</v>
      </c>
      <c r="I259" s="46">
        <f t="shared" si="18"/>
        <v>1403671.6900000004</v>
      </c>
      <c r="J259" s="43">
        <v>4253094.66</v>
      </c>
      <c r="K259" s="43">
        <f t="shared" si="20"/>
        <v>150.45000000018626</v>
      </c>
    </row>
    <row r="260" spans="1:11" x14ac:dyDescent="0.2">
      <c r="A260">
        <v>832</v>
      </c>
      <c r="B260">
        <v>1</v>
      </c>
      <c r="C260" s="7" t="s">
        <v>252</v>
      </c>
      <c r="D260" s="21">
        <v>20028722.690000001</v>
      </c>
      <c r="E260" s="59">
        <f t="shared" si="16"/>
        <v>-1742704.78</v>
      </c>
      <c r="F260" s="56">
        <f t="shared" si="17"/>
        <v>-8.7010299999999999E-2</v>
      </c>
      <c r="G260" s="21">
        <f t="shared" si="15"/>
        <v>1742704.78</v>
      </c>
      <c r="H260" s="55">
        <v>1167570.8999999999</v>
      </c>
      <c r="I260" s="46">
        <f t="shared" si="18"/>
        <v>575133.88000000012</v>
      </c>
      <c r="J260" s="43">
        <v>1742643.13</v>
      </c>
      <c r="K260" s="43">
        <f t="shared" si="20"/>
        <v>61.650000000139698</v>
      </c>
    </row>
    <row r="261" spans="1:11" x14ac:dyDescent="0.2">
      <c r="A261">
        <v>833</v>
      </c>
      <c r="B261">
        <v>1</v>
      </c>
      <c r="C261" s="7" t="s">
        <v>253</v>
      </c>
      <c r="D261" s="21">
        <v>110294545.02</v>
      </c>
      <c r="E261" s="59">
        <f t="shared" si="16"/>
        <v>-9596759.2899999991</v>
      </c>
      <c r="F261" s="56">
        <f t="shared" si="17"/>
        <v>-8.7010299999999999E-2</v>
      </c>
      <c r="G261" s="21">
        <f t="shared" si="15"/>
        <v>9596759.2899999991</v>
      </c>
      <c r="H261" s="55">
        <v>6429601.2800000003</v>
      </c>
      <c r="I261" s="46">
        <f t="shared" si="18"/>
        <v>3167158.0099999988</v>
      </c>
      <c r="J261" s="43">
        <v>9596419.8200000003</v>
      </c>
      <c r="K261" s="43">
        <f t="shared" si="20"/>
        <v>339.46999999880791</v>
      </c>
    </row>
    <row r="262" spans="1:11" x14ac:dyDescent="0.2">
      <c r="A262">
        <v>834</v>
      </c>
      <c r="B262">
        <v>1</v>
      </c>
      <c r="C262" s="7" t="s">
        <v>254</v>
      </c>
      <c r="D262" s="21">
        <v>57262946.649999999</v>
      </c>
      <c r="E262" s="59">
        <f t="shared" si="16"/>
        <v>-4982465.04</v>
      </c>
      <c r="F262" s="56">
        <f t="shared" si="17"/>
        <v>-8.7010299999999999E-2</v>
      </c>
      <c r="G262" s="21">
        <f t="shared" si="15"/>
        <v>4982465.04</v>
      </c>
      <c r="H262" s="55">
        <v>3338133.5</v>
      </c>
      <c r="I262" s="46">
        <f t="shared" si="18"/>
        <v>1644331.54</v>
      </c>
      <c r="J262" s="43">
        <v>4982288.8</v>
      </c>
      <c r="K262" s="43">
        <f t="shared" si="20"/>
        <v>176.24000000022352</v>
      </c>
    </row>
    <row r="263" spans="1:11" x14ac:dyDescent="0.2">
      <c r="A263">
        <v>836</v>
      </c>
      <c r="B263">
        <v>1</v>
      </c>
      <c r="C263" s="7" t="s">
        <v>255</v>
      </c>
      <c r="D263" s="21">
        <v>1575224.73</v>
      </c>
      <c r="E263" s="59">
        <f t="shared" si="16"/>
        <v>-137060.75</v>
      </c>
      <c r="F263" s="56">
        <f t="shared" si="17"/>
        <v>-8.7010299999999999E-2</v>
      </c>
      <c r="G263" s="21">
        <f t="shared" si="15"/>
        <v>137060.75</v>
      </c>
      <c r="H263" s="55">
        <v>91827.45</v>
      </c>
      <c r="I263" s="46">
        <f t="shared" si="18"/>
        <v>45233.3</v>
      </c>
      <c r="J263" s="43">
        <v>137055.9</v>
      </c>
      <c r="K263" s="43">
        <f t="shared" si="20"/>
        <v>4.8500000000058208</v>
      </c>
    </row>
    <row r="264" spans="1:11" x14ac:dyDescent="0.2">
      <c r="A264">
        <v>837</v>
      </c>
      <c r="B264">
        <v>1</v>
      </c>
      <c r="C264" s="7" t="s">
        <v>256</v>
      </c>
      <c r="D264" s="21">
        <v>3927281.73</v>
      </c>
      <c r="E264" s="59">
        <f t="shared" si="16"/>
        <v>-341713.88</v>
      </c>
      <c r="F264" s="56">
        <f t="shared" si="17"/>
        <v>-8.7010299999999999E-2</v>
      </c>
      <c r="G264" s="21">
        <f t="shared" si="15"/>
        <v>341713.88</v>
      </c>
      <c r="H264" s="55">
        <v>228940.21</v>
      </c>
      <c r="I264" s="46">
        <f t="shared" si="18"/>
        <v>112773.67000000001</v>
      </c>
      <c r="J264" s="43">
        <v>341701.8</v>
      </c>
      <c r="K264" s="43">
        <f t="shared" si="20"/>
        <v>12.080000000016298</v>
      </c>
    </row>
    <row r="265" spans="1:11" x14ac:dyDescent="0.2">
      <c r="A265">
        <v>840</v>
      </c>
      <c r="B265">
        <v>1</v>
      </c>
      <c r="C265" s="7" t="s">
        <v>257</v>
      </c>
      <c r="D265" s="21">
        <v>8409479.9800000004</v>
      </c>
      <c r="E265" s="59">
        <f t="shared" si="16"/>
        <v>-731711.21</v>
      </c>
      <c r="F265" s="56">
        <f t="shared" si="17"/>
        <v>-8.7010299999999999E-2</v>
      </c>
      <c r="G265" s="21">
        <f t="shared" si="15"/>
        <v>731711.21</v>
      </c>
      <c r="H265" s="55">
        <v>490229.17</v>
      </c>
      <c r="I265" s="46">
        <f t="shared" si="18"/>
        <v>241482.03999999998</v>
      </c>
      <c r="J265" s="43">
        <v>731685.33</v>
      </c>
      <c r="K265" s="43">
        <f t="shared" si="20"/>
        <v>25.880000000004657</v>
      </c>
    </row>
    <row r="266" spans="1:11" x14ac:dyDescent="0.2">
      <c r="A266">
        <v>846</v>
      </c>
      <c r="B266">
        <v>1</v>
      </c>
      <c r="C266" s="7" t="s">
        <v>258</v>
      </c>
      <c r="D266" s="21">
        <v>5800579.21</v>
      </c>
      <c r="E266" s="59">
        <f t="shared" si="16"/>
        <v>-504710.02</v>
      </c>
      <c r="F266" s="56">
        <f t="shared" si="17"/>
        <v>-8.7010299999999999E-2</v>
      </c>
      <c r="G266" s="21">
        <f t="shared" si="15"/>
        <v>504710.02</v>
      </c>
      <c r="H266" s="55">
        <v>338143.75</v>
      </c>
      <c r="I266" s="46">
        <f t="shared" si="18"/>
        <v>166566.27000000002</v>
      </c>
      <c r="J266" s="43">
        <v>504692.17</v>
      </c>
      <c r="K266" s="43">
        <f t="shared" si="20"/>
        <v>17.850000000034925</v>
      </c>
    </row>
    <row r="267" spans="1:11" x14ac:dyDescent="0.2">
      <c r="A267">
        <v>850</v>
      </c>
      <c r="B267">
        <v>1</v>
      </c>
      <c r="C267" s="7" t="s">
        <v>259</v>
      </c>
      <c r="D267" s="21">
        <v>1484488.61</v>
      </c>
      <c r="E267" s="59">
        <f t="shared" si="16"/>
        <v>-129165.77</v>
      </c>
      <c r="F267" s="56">
        <f t="shared" si="17"/>
        <v>-8.7010299999999999E-2</v>
      </c>
      <c r="G267" s="21">
        <f t="shared" si="15"/>
        <v>129165.77</v>
      </c>
      <c r="H267" s="55">
        <v>86538</v>
      </c>
      <c r="I267" s="46">
        <f t="shared" si="18"/>
        <v>42627.770000000004</v>
      </c>
      <c r="J267" s="43">
        <v>129161.2</v>
      </c>
      <c r="K267" s="43">
        <f t="shared" si="20"/>
        <v>4.5700000000069849</v>
      </c>
    </row>
    <row r="268" spans="1:11" x14ac:dyDescent="0.2">
      <c r="A268">
        <v>852</v>
      </c>
      <c r="B268">
        <v>1</v>
      </c>
      <c r="C268" s="7" t="s">
        <v>260</v>
      </c>
      <c r="D268" s="21">
        <v>971008.11</v>
      </c>
      <c r="E268" s="59">
        <f t="shared" si="16"/>
        <v>-84487.69</v>
      </c>
      <c r="F268" s="56">
        <f t="shared" si="17"/>
        <v>-8.7010299999999999E-2</v>
      </c>
      <c r="G268" s="21">
        <f t="shared" si="15"/>
        <v>84487.69</v>
      </c>
      <c r="H268" s="55">
        <v>56604.75</v>
      </c>
      <c r="I268" s="46">
        <f t="shared" si="18"/>
        <v>27882.940000000002</v>
      </c>
      <c r="J268" s="43">
        <v>84484.7</v>
      </c>
      <c r="K268" s="43">
        <f t="shared" si="20"/>
        <v>2.9900000000052387</v>
      </c>
    </row>
    <row r="269" spans="1:11" x14ac:dyDescent="0.2">
      <c r="A269">
        <v>857</v>
      </c>
      <c r="B269">
        <v>1</v>
      </c>
      <c r="C269" s="7" t="s">
        <v>261</v>
      </c>
      <c r="D269" s="21">
        <v>4991132.0199999996</v>
      </c>
      <c r="E269" s="59">
        <f t="shared" si="16"/>
        <v>-434279.8</v>
      </c>
      <c r="F269" s="56">
        <f t="shared" si="17"/>
        <v>-8.7010299999999999E-2</v>
      </c>
      <c r="G269" s="21">
        <f t="shared" si="15"/>
        <v>434279.8</v>
      </c>
      <c r="H269" s="55">
        <v>290957.17</v>
      </c>
      <c r="I269" s="46">
        <f t="shared" si="18"/>
        <v>143322.63</v>
      </c>
      <c r="J269" s="43">
        <v>434264.43</v>
      </c>
      <c r="K269" s="43">
        <f t="shared" si="20"/>
        <v>15.369999999995343</v>
      </c>
    </row>
    <row r="270" spans="1:11" x14ac:dyDescent="0.2">
      <c r="A270">
        <v>858</v>
      </c>
      <c r="B270">
        <v>1</v>
      </c>
      <c r="C270" s="7" t="s">
        <v>262</v>
      </c>
      <c r="D270" s="21">
        <v>6736317.2300000004</v>
      </c>
      <c r="E270" s="59">
        <f t="shared" si="16"/>
        <v>-586128.85</v>
      </c>
      <c r="F270" s="56">
        <f t="shared" si="17"/>
        <v>-8.7010299999999999E-2</v>
      </c>
      <c r="G270" s="21">
        <f t="shared" ref="G270:G333" si="21">E270*-1</f>
        <v>586128.85</v>
      </c>
      <c r="H270" s="55">
        <v>392692.44</v>
      </c>
      <c r="I270" s="46">
        <f t="shared" si="18"/>
        <v>193436.40999999997</v>
      </c>
      <c r="J270" s="43">
        <v>586108.12</v>
      </c>
      <c r="K270" s="43">
        <f t="shared" si="20"/>
        <v>20.729999999981374</v>
      </c>
    </row>
    <row r="271" spans="1:11" x14ac:dyDescent="0.2">
      <c r="A271">
        <v>861</v>
      </c>
      <c r="B271">
        <v>1</v>
      </c>
      <c r="C271" s="7" t="s">
        <v>263</v>
      </c>
      <c r="D271" s="21">
        <v>24441445.09</v>
      </c>
      <c r="E271" s="59">
        <f t="shared" ref="E271:E334" si="22">ROUND(-D271*$D$520,2)</f>
        <v>-2126656.9900000002</v>
      </c>
      <c r="F271" s="56">
        <f t="shared" ref="F271:F334" si="23">IF(D271&gt;0,ROUND(E271/D271,7),"na   ")</f>
        <v>-8.7010299999999999E-2</v>
      </c>
      <c r="G271" s="21">
        <f t="shared" si="21"/>
        <v>2126656.9900000002</v>
      </c>
      <c r="H271" s="55">
        <v>1424809.78</v>
      </c>
      <c r="I271" s="46">
        <f t="shared" ref="I271:I334" si="24">G271-H271</f>
        <v>701847.2100000002</v>
      </c>
      <c r="J271" s="43">
        <v>2126581.7599999998</v>
      </c>
      <c r="K271" s="43">
        <f t="shared" si="20"/>
        <v>75.230000000447035</v>
      </c>
    </row>
    <row r="272" spans="1:11" x14ac:dyDescent="0.2">
      <c r="A272">
        <v>876</v>
      </c>
      <c r="B272">
        <v>1</v>
      </c>
      <c r="C272" s="7" t="s">
        <v>264</v>
      </c>
      <c r="D272" s="21">
        <v>11749875.77</v>
      </c>
      <c r="E272" s="59">
        <f t="shared" si="22"/>
        <v>-1022359.99</v>
      </c>
      <c r="F272" s="56">
        <f t="shared" si="23"/>
        <v>-8.7010299999999999E-2</v>
      </c>
      <c r="G272" s="21">
        <f t="shared" si="21"/>
        <v>1022359.99</v>
      </c>
      <c r="H272" s="55">
        <v>684956.96</v>
      </c>
      <c r="I272" s="46">
        <f t="shared" si="24"/>
        <v>337403.03</v>
      </c>
      <c r="J272" s="43">
        <v>1022323.82</v>
      </c>
      <c r="K272" s="43">
        <f t="shared" si="20"/>
        <v>36.17000000004191</v>
      </c>
    </row>
    <row r="273" spans="1:11" x14ac:dyDescent="0.2">
      <c r="A273">
        <v>877</v>
      </c>
      <c r="B273">
        <v>1</v>
      </c>
      <c r="C273" s="7" t="s">
        <v>265</v>
      </c>
      <c r="D273" s="21">
        <v>36707230.229999997</v>
      </c>
      <c r="E273" s="59">
        <f t="shared" si="22"/>
        <v>-3193906.4</v>
      </c>
      <c r="F273" s="56">
        <f t="shared" si="23"/>
        <v>-8.7010299999999999E-2</v>
      </c>
      <c r="G273" s="21">
        <f t="shared" si="21"/>
        <v>3193906.4</v>
      </c>
      <c r="H273" s="55">
        <v>2139841.59</v>
      </c>
      <c r="I273" s="46">
        <f t="shared" si="24"/>
        <v>1054064.81</v>
      </c>
      <c r="J273" s="43">
        <v>3193793.42</v>
      </c>
      <c r="K273" s="43">
        <f t="shared" si="20"/>
        <v>112.97999999998137</v>
      </c>
    </row>
    <row r="274" spans="1:11" x14ac:dyDescent="0.2">
      <c r="A274">
        <v>879</v>
      </c>
      <c r="B274">
        <v>1</v>
      </c>
      <c r="C274" s="7" t="s">
        <v>266</v>
      </c>
      <c r="D274" s="21">
        <v>15095080.99</v>
      </c>
      <c r="E274" s="59">
        <f t="shared" si="22"/>
        <v>-1313427.23</v>
      </c>
      <c r="F274" s="56">
        <f t="shared" si="23"/>
        <v>-8.7010299999999999E-2</v>
      </c>
      <c r="G274" s="21">
        <f t="shared" si="21"/>
        <v>1313427.23</v>
      </c>
      <c r="H274" s="55">
        <v>879965.12</v>
      </c>
      <c r="I274" s="46">
        <f t="shared" si="24"/>
        <v>433462.11</v>
      </c>
      <c r="J274" s="43">
        <v>1313380.77</v>
      </c>
      <c r="K274" s="43">
        <f t="shared" si="20"/>
        <v>46.459999999962747</v>
      </c>
    </row>
    <row r="275" spans="1:11" x14ac:dyDescent="0.2">
      <c r="A275">
        <v>881</v>
      </c>
      <c r="B275">
        <v>1</v>
      </c>
      <c r="C275" s="7" t="s">
        <v>267</v>
      </c>
      <c r="D275" s="21">
        <v>6516329.9100000001</v>
      </c>
      <c r="E275" s="59">
        <f t="shared" si="22"/>
        <v>-566987.68999999994</v>
      </c>
      <c r="F275" s="56">
        <f t="shared" si="23"/>
        <v>-8.7010299999999999E-2</v>
      </c>
      <c r="G275" s="21">
        <f t="shared" si="21"/>
        <v>566987.68999999994</v>
      </c>
      <c r="H275" s="55">
        <v>379868.32</v>
      </c>
      <c r="I275" s="46">
        <f t="shared" si="24"/>
        <v>187119.36999999994</v>
      </c>
      <c r="J275" s="43">
        <v>566967.64</v>
      </c>
      <c r="K275" s="43">
        <f t="shared" si="20"/>
        <v>20.049999999930151</v>
      </c>
    </row>
    <row r="276" spans="1:11" x14ac:dyDescent="0.2">
      <c r="A276">
        <v>882</v>
      </c>
      <c r="B276">
        <v>1</v>
      </c>
      <c r="C276" s="7" t="s">
        <v>268</v>
      </c>
      <c r="D276" s="21">
        <v>25314776.699999999</v>
      </c>
      <c r="E276" s="59">
        <f t="shared" si="22"/>
        <v>-2202645.8199999998</v>
      </c>
      <c r="F276" s="56">
        <f t="shared" si="23"/>
        <v>-8.7010299999999999E-2</v>
      </c>
      <c r="G276" s="21">
        <f t="shared" si="21"/>
        <v>2202645.8199999998</v>
      </c>
      <c r="H276" s="55">
        <v>1475720.5</v>
      </c>
      <c r="I276" s="46">
        <f t="shared" si="24"/>
        <v>726925.31999999983</v>
      </c>
      <c r="J276" s="43">
        <v>2202567.91</v>
      </c>
      <c r="K276" s="43">
        <f t="shared" si="20"/>
        <v>77.90999999968335</v>
      </c>
    </row>
    <row r="277" spans="1:11" x14ac:dyDescent="0.2">
      <c r="A277">
        <v>883</v>
      </c>
      <c r="B277">
        <v>1</v>
      </c>
      <c r="C277" s="7" t="s">
        <v>269</v>
      </c>
      <c r="D277" s="21">
        <v>10358693.98</v>
      </c>
      <c r="E277" s="59">
        <f t="shared" si="22"/>
        <v>-901312.87</v>
      </c>
      <c r="F277" s="56">
        <f t="shared" si="23"/>
        <v>-8.7010299999999999E-2</v>
      </c>
      <c r="G277" s="21">
        <f t="shared" si="21"/>
        <v>901312.87</v>
      </c>
      <c r="H277" s="55">
        <v>603858.26</v>
      </c>
      <c r="I277" s="46">
        <f t="shared" si="24"/>
        <v>297454.61</v>
      </c>
      <c r="J277" s="43">
        <v>901280.99</v>
      </c>
      <c r="K277" s="43">
        <f t="shared" si="20"/>
        <v>31.880000000004657</v>
      </c>
    </row>
    <row r="278" spans="1:11" x14ac:dyDescent="0.2">
      <c r="A278">
        <v>885</v>
      </c>
      <c r="B278">
        <v>1</v>
      </c>
      <c r="C278" s="7" t="s">
        <v>270</v>
      </c>
      <c r="D278" s="21">
        <v>28847955.09</v>
      </c>
      <c r="E278" s="59">
        <f t="shared" si="22"/>
        <v>-2510068.66</v>
      </c>
      <c r="F278" s="56">
        <f t="shared" si="23"/>
        <v>-8.7010299999999999E-2</v>
      </c>
      <c r="G278" s="21">
        <f t="shared" si="21"/>
        <v>2510068.66</v>
      </c>
      <c r="H278" s="55">
        <v>1681686.51</v>
      </c>
      <c r="I278" s="46">
        <f t="shared" si="24"/>
        <v>828382.15000000014</v>
      </c>
      <c r="J278" s="43">
        <v>2509979.87</v>
      </c>
      <c r="K278" s="43">
        <f t="shared" si="20"/>
        <v>88.790000000037253</v>
      </c>
    </row>
    <row r="279" spans="1:11" x14ac:dyDescent="0.2">
      <c r="A279">
        <v>891</v>
      </c>
      <c r="B279">
        <v>1</v>
      </c>
      <c r="C279" s="7" t="s">
        <v>271</v>
      </c>
      <c r="D279" s="21">
        <v>3968677.62</v>
      </c>
      <c r="E279" s="59">
        <f t="shared" si="22"/>
        <v>-345315.75</v>
      </c>
      <c r="F279" s="56">
        <f t="shared" si="23"/>
        <v>-8.7010299999999999E-2</v>
      </c>
      <c r="G279" s="21">
        <f t="shared" si="21"/>
        <v>345315.75</v>
      </c>
      <c r="H279" s="55">
        <v>231353.37</v>
      </c>
      <c r="I279" s="46">
        <f t="shared" si="24"/>
        <v>113962.38</v>
      </c>
      <c r="J279" s="43">
        <v>345303.54</v>
      </c>
      <c r="K279" s="43">
        <f t="shared" si="20"/>
        <v>12.210000000020955</v>
      </c>
    </row>
    <row r="280" spans="1:11" x14ac:dyDescent="0.2">
      <c r="A280">
        <v>911</v>
      </c>
      <c r="B280">
        <v>1</v>
      </c>
      <c r="C280" s="7" t="s">
        <v>272</v>
      </c>
      <c r="D280" s="21">
        <v>34662211.229999997</v>
      </c>
      <c r="E280" s="59">
        <f t="shared" si="22"/>
        <v>-3015968.72</v>
      </c>
      <c r="F280" s="56">
        <f t="shared" si="23"/>
        <v>-8.7010299999999999E-2</v>
      </c>
      <c r="G280" s="21">
        <f t="shared" si="21"/>
        <v>3015968.72</v>
      </c>
      <c r="H280" s="55">
        <v>2020627.57</v>
      </c>
      <c r="I280" s="46">
        <f t="shared" si="24"/>
        <v>995341.15000000014</v>
      </c>
      <c r="J280" s="43">
        <v>3015862.04</v>
      </c>
      <c r="K280" s="43">
        <f t="shared" si="20"/>
        <v>106.68000000016764</v>
      </c>
    </row>
    <row r="281" spans="1:11" x14ac:dyDescent="0.2">
      <c r="A281">
        <v>912</v>
      </c>
      <c r="B281">
        <v>1</v>
      </c>
      <c r="C281" s="7" t="s">
        <v>273</v>
      </c>
      <c r="D281" s="21">
        <v>12853126.390000001</v>
      </c>
      <c r="E281" s="59">
        <f t="shared" si="22"/>
        <v>-1118354.1299999999</v>
      </c>
      <c r="F281" s="56">
        <f t="shared" si="23"/>
        <v>-8.7010299999999999E-2</v>
      </c>
      <c r="G281" s="21">
        <f t="shared" si="21"/>
        <v>1118354.1299999999</v>
      </c>
      <c r="H281" s="55">
        <v>749270.76</v>
      </c>
      <c r="I281" s="46">
        <f t="shared" si="24"/>
        <v>369083.36999999988</v>
      </c>
      <c r="J281" s="43">
        <v>1118314.57</v>
      </c>
      <c r="K281" s="43">
        <f t="shared" si="20"/>
        <v>39.559999999823049</v>
      </c>
    </row>
    <row r="282" spans="1:11" x14ac:dyDescent="0.2">
      <c r="A282">
        <v>914</v>
      </c>
      <c r="B282">
        <v>1</v>
      </c>
      <c r="C282" s="7" t="s">
        <v>274</v>
      </c>
      <c r="D282" s="21">
        <v>1980035.01</v>
      </c>
      <c r="E282" s="59">
        <f t="shared" si="22"/>
        <v>-172283.4</v>
      </c>
      <c r="F282" s="56">
        <f t="shared" si="23"/>
        <v>-8.7010299999999999E-2</v>
      </c>
      <c r="G282" s="21">
        <f t="shared" si="21"/>
        <v>172283.4</v>
      </c>
      <c r="H282" s="55">
        <v>115425.8</v>
      </c>
      <c r="I282" s="46">
        <f t="shared" si="24"/>
        <v>56857.599999999991</v>
      </c>
      <c r="J282" s="43">
        <v>172277.31</v>
      </c>
      <c r="K282" s="43">
        <f t="shared" si="20"/>
        <v>6.0899999999965075</v>
      </c>
    </row>
    <row r="283" spans="1:11" x14ac:dyDescent="0.2">
      <c r="A283">
        <v>2071</v>
      </c>
      <c r="B283">
        <v>1</v>
      </c>
      <c r="C283" s="7" t="s">
        <v>275</v>
      </c>
      <c r="D283" s="21">
        <v>5260973.6399999997</v>
      </c>
      <c r="E283" s="59">
        <f t="shared" si="22"/>
        <v>-457758.79</v>
      </c>
      <c r="F283" s="56">
        <f t="shared" si="23"/>
        <v>-8.7010299999999999E-2</v>
      </c>
      <c r="G283" s="21">
        <f t="shared" si="21"/>
        <v>457758.79</v>
      </c>
      <c r="H283" s="55">
        <v>306687.53999999998</v>
      </c>
      <c r="I283" s="46">
        <f t="shared" si="24"/>
        <v>151071.25</v>
      </c>
      <c r="J283" s="43">
        <v>457742.6</v>
      </c>
      <c r="K283" s="43">
        <f t="shared" si="20"/>
        <v>16.190000000002328</v>
      </c>
    </row>
    <row r="284" spans="1:11" x14ac:dyDescent="0.2">
      <c r="A284">
        <v>2125</v>
      </c>
      <c r="B284">
        <v>1</v>
      </c>
      <c r="C284" s="7" t="s">
        <v>276</v>
      </c>
      <c r="D284" s="21">
        <v>7591873.0999999996</v>
      </c>
      <c r="E284" s="59">
        <f t="shared" si="22"/>
        <v>-660571.01</v>
      </c>
      <c r="F284" s="56">
        <f t="shared" si="23"/>
        <v>-8.7010299999999999E-2</v>
      </c>
      <c r="G284" s="21">
        <f t="shared" si="21"/>
        <v>660571.01</v>
      </c>
      <c r="H284" s="55">
        <v>442566.92</v>
      </c>
      <c r="I284" s="46">
        <f t="shared" si="24"/>
        <v>218004.09000000003</v>
      </c>
      <c r="J284" s="43">
        <v>660547.64</v>
      </c>
      <c r="K284" s="43">
        <f t="shared" si="20"/>
        <v>23.369999999995343</v>
      </c>
    </row>
    <row r="285" spans="1:11" x14ac:dyDescent="0.2">
      <c r="A285">
        <v>2134</v>
      </c>
      <c r="B285">
        <v>1</v>
      </c>
      <c r="C285" s="7" t="s">
        <v>277</v>
      </c>
      <c r="D285" s="21">
        <v>5750030.5800000001</v>
      </c>
      <c r="E285" s="59">
        <f t="shared" si="22"/>
        <v>-500311.77</v>
      </c>
      <c r="F285" s="56">
        <f t="shared" si="23"/>
        <v>-8.7010299999999999E-2</v>
      </c>
      <c r="G285" s="21">
        <f t="shared" si="21"/>
        <v>500311.77</v>
      </c>
      <c r="H285" s="55">
        <v>335197.03000000003</v>
      </c>
      <c r="I285" s="46">
        <f t="shared" si="24"/>
        <v>165114.74</v>
      </c>
      <c r="J285" s="43">
        <v>500294.08</v>
      </c>
      <c r="K285" s="43">
        <f t="shared" si="20"/>
        <v>17.690000000002328</v>
      </c>
    </row>
    <row r="286" spans="1:11" x14ac:dyDescent="0.2">
      <c r="A286">
        <v>2135</v>
      </c>
      <c r="B286">
        <v>1</v>
      </c>
      <c r="C286" s="7" t="s">
        <v>278</v>
      </c>
      <c r="D286" s="21">
        <v>7884543.04</v>
      </c>
      <c r="E286" s="59">
        <f t="shared" si="22"/>
        <v>-686036.3</v>
      </c>
      <c r="F286" s="56">
        <f t="shared" si="23"/>
        <v>-8.7010299999999999E-2</v>
      </c>
      <c r="G286" s="21">
        <f t="shared" si="21"/>
        <v>686036.3</v>
      </c>
      <c r="H286" s="55">
        <v>459628.06</v>
      </c>
      <c r="I286" s="46">
        <f t="shared" si="24"/>
        <v>226408.24000000005</v>
      </c>
      <c r="J286" s="43">
        <v>686012.03</v>
      </c>
      <c r="K286" s="43">
        <f t="shared" si="20"/>
        <v>24.270000000018626</v>
      </c>
    </row>
    <row r="287" spans="1:11" x14ac:dyDescent="0.2">
      <c r="A287">
        <v>2137</v>
      </c>
      <c r="B287">
        <v>1</v>
      </c>
      <c r="C287" s="7" t="s">
        <v>279</v>
      </c>
      <c r="D287" s="21">
        <v>5040158.92</v>
      </c>
      <c r="E287" s="59">
        <f t="shared" si="22"/>
        <v>-438545.64</v>
      </c>
      <c r="F287" s="56">
        <f t="shared" si="23"/>
        <v>-8.7010299999999999E-2</v>
      </c>
      <c r="G287" s="21">
        <f t="shared" si="21"/>
        <v>438545.64</v>
      </c>
      <c r="H287" s="55">
        <v>293815.19</v>
      </c>
      <c r="I287" s="46">
        <f t="shared" si="24"/>
        <v>144730.45000000001</v>
      </c>
      <c r="J287" s="43">
        <v>438530.13</v>
      </c>
      <c r="K287" s="43">
        <f t="shared" si="20"/>
        <v>15.510000000009313</v>
      </c>
    </row>
    <row r="288" spans="1:11" x14ac:dyDescent="0.2">
      <c r="A288">
        <v>2142</v>
      </c>
      <c r="B288">
        <v>1</v>
      </c>
      <c r="C288" s="7" t="s">
        <v>280</v>
      </c>
      <c r="D288" s="21">
        <v>18523820.280000001</v>
      </c>
      <c r="E288" s="59">
        <f t="shared" si="22"/>
        <v>-1611762.8</v>
      </c>
      <c r="F288" s="56">
        <f t="shared" si="23"/>
        <v>-8.7010299999999999E-2</v>
      </c>
      <c r="G288" s="21">
        <f t="shared" si="21"/>
        <v>1611762.8</v>
      </c>
      <c r="H288" s="55">
        <v>1079842.8700000001</v>
      </c>
      <c r="I288" s="46">
        <f t="shared" si="24"/>
        <v>531919.92999999993</v>
      </c>
      <c r="J288" s="43">
        <v>1611705.78</v>
      </c>
      <c r="K288" s="43">
        <f t="shared" si="20"/>
        <v>57.020000000018626</v>
      </c>
    </row>
    <row r="289" spans="1:11" x14ac:dyDescent="0.2">
      <c r="A289">
        <v>2143</v>
      </c>
      <c r="B289">
        <v>1</v>
      </c>
      <c r="C289" s="7" t="s">
        <v>281</v>
      </c>
      <c r="D289" s="21">
        <v>6454619.3600000003</v>
      </c>
      <c r="E289" s="59">
        <f t="shared" si="22"/>
        <v>-561618.24</v>
      </c>
      <c r="F289" s="56">
        <f t="shared" si="23"/>
        <v>-8.7010299999999999E-2</v>
      </c>
      <c r="G289" s="21">
        <f t="shared" si="21"/>
        <v>561618.24</v>
      </c>
      <c r="H289" s="55">
        <v>376270.91</v>
      </c>
      <c r="I289" s="46">
        <f t="shared" si="24"/>
        <v>185347.33000000002</v>
      </c>
      <c r="J289" s="43">
        <v>561598.37</v>
      </c>
      <c r="K289" s="43">
        <f t="shared" si="20"/>
        <v>19.869999999995343</v>
      </c>
    </row>
    <row r="290" spans="1:11" x14ac:dyDescent="0.2">
      <c r="A290">
        <v>2144</v>
      </c>
      <c r="B290">
        <v>1</v>
      </c>
      <c r="C290" s="7" t="s">
        <v>282</v>
      </c>
      <c r="D290" s="21">
        <v>22708874.280000001</v>
      </c>
      <c r="E290" s="59">
        <f t="shared" si="22"/>
        <v>-1975905.52</v>
      </c>
      <c r="F290" s="56">
        <f t="shared" si="23"/>
        <v>-8.7010299999999999E-2</v>
      </c>
      <c r="G290" s="21">
        <f t="shared" si="21"/>
        <v>1975905.52</v>
      </c>
      <c r="H290" s="55">
        <v>1323809.8700000001</v>
      </c>
      <c r="I290" s="46">
        <f t="shared" si="24"/>
        <v>652095.64999999991</v>
      </c>
      <c r="J290" s="43">
        <v>1975835.63</v>
      </c>
      <c r="K290" s="43">
        <f t="shared" si="20"/>
        <v>69.890000000130385</v>
      </c>
    </row>
    <row r="291" spans="1:11" x14ac:dyDescent="0.2">
      <c r="A291">
        <v>2149</v>
      </c>
      <c r="B291">
        <v>1</v>
      </c>
      <c r="C291" s="7" t="s">
        <v>283</v>
      </c>
      <c r="D291" s="21">
        <v>8201971.3099999996</v>
      </c>
      <c r="E291" s="59">
        <f t="shared" si="22"/>
        <v>-713655.82</v>
      </c>
      <c r="F291" s="56">
        <f t="shared" si="23"/>
        <v>-8.7010299999999999E-2</v>
      </c>
      <c r="G291" s="21">
        <f t="shared" si="21"/>
        <v>713655.82</v>
      </c>
      <c r="H291" s="55">
        <v>478132.49</v>
      </c>
      <c r="I291" s="46">
        <f t="shared" si="24"/>
        <v>235523.32999999996</v>
      </c>
      <c r="J291" s="43">
        <v>713630.58</v>
      </c>
      <c r="K291" s="43">
        <f t="shared" si="20"/>
        <v>25.239999999990687</v>
      </c>
    </row>
    <row r="292" spans="1:11" x14ac:dyDescent="0.2">
      <c r="A292">
        <v>2154</v>
      </c>
      <c r="B292">
        <v>1</v>
      </c>
      <c r="C292" s="7" t="s">
        <v>284</v>
      </c>
      <c r="D292" s="21">
        <v>8548524.8900000006</v>
      </c>
      <c r="E292" s="59">
        <f t="shared" si="22"/>
        <v>-743809.55</v>
      </c>
      <c r="F292" s="56">
        <f t="shared" si="23"/>
        <v>-8.7010299999999999E-2</v>
      </c>
      <c r="G292" s="21">
        <f t="shared" si="21"/>
        <v>743809.55</v>
      </c>
      <c r="H292" s="55">
        <v>498334.77</v>
      </c>
      <c r="I292" s="46">
        <f t="shared" si="24"/>
        <v>245474.78000000003</v>
      </c>
      <c r="J292" s="43">
        <v>743783.24</v>
      </c>
      <c r="K292" s="43">
        <f t="shared" si="20"/>
        <v>26.310000000055879</v>
      </c>
    </row>
    <row r="293" spans="1:11" x14ac:dyDescent="0.2">
      <c r="A293">
        <v>2155</v>
      </c>
      <c r="B293">
        <v>1</v>
      </c>
      <c r="C293" s="7" t="s">
        <v>285</v>
      </c>
      <c r="D293" s="21">
        <v>8362204.1699999999</v>
      </c>
      <c r="E293" s="59">
        <f t="shared" si="22"/>
        <v>-727597.73</v>
      </c>
      <c r="F293" s="56">
        <f t="shared" si="23"/>
        <v>-8.7010299999999999E-2</v>
      </c>
      <c r="G293" s="21">
        <f t="shared" si="21"/>
        <v>727597.73</v>
      </c>
      <c r="H293" s="55">
        <v>487473.23</v>
      </c>
      <c r="I293" s="46">
        <f t="shared" si="24"/>
        <v>240124.5</v>
      </c>
      <c r="J293" s="43">
        <v>727571.99</v>
      </c>
      <c r="K293" s="43">
        <f t="shared" si="20"/>
        <v>25.739999999990687</v>
      </c>
    </row>
    <row r="294" spans="1:11" x14ac:dyDescent="0.2">
      <c r="A294">
        <v>2159</v>
      </c>
      <c r="B294">
        <v>1</v>
      </c>
      <c r="C294" s="7" t="s">
        <v>286</v>
      </c>
      <c r="D294" s="21">
        <v>4408474.4000000004</v>
      </c>
      <c r="E294" s="59">
        <f t="shared" si="22"/>
        <v>-383582.59</v>
      </c>
      <c r="F294" s="56">
        <f t="shared" si="23"/>
        <v>-8.7010299999999999E-2</v>
      </c>
      <c r="G294" s="21">
        <f t="shared" si="21"/>
        <v>383582.59</v>
      </c>
      <c r="H294" s="55">
        <v>256991.25</v>
      </c>
      <c r="I294" s="46">
        <f t="shared" si="24"/>
        <v>126591.34000000003</v>
      </c>
      <c r="J294" s="43">
        <v>383569.03</v>
      </c>
      <c r="K294" s="43">
        <f t="shared" si="20"/>
        <v>13.559999999997672</v>
      </c>
    </row>
    <row r="295" spans="1:11" x14ac:dyDescent="0.2">
      <c r="A295">
        <v>2164</v>
      </c>
      <c r="B295">
        <v>1</v>
      </c>
      <c r="C295" s="7" t="s">
        <v>287</v>
      </c>
      <c r="D295" s="21">
        <v>8646834.8100000005</v>
      </c>
      <c r="E295" s="59">
        <f t="shared" si="22"/>
        <v>-752363.52000000002</v>
      </c>
      <c r="F295" s="56">
        <f t="shared" si="23"/>
        <v>-8.7010299999999999E-2</v>
      </c>
      <c r="G295" s="21">
        <f t="shared" si="21"/>
        <v>752363.52000000002</v>
      </c>
      <c r="H295" s="55">
        <v>504065.73</v>
      </c>
      <c r="I295" s="46">
        <f t="shared" si="24"/>
        <v>248297.79000000004</v>
      </c>
      <c r="J295" s="43">
        <v>752336.91</v>
      </c>
      <c r="K295" s="43">
        <f t="shared" si="20"/>
        <v>26.60999999998603</v>
      </c>
    </row>
    <row r="296" spans="1:11" x14ac:dyDescent="0.2">
      <c r="A296">
        <v>2165</v>
      </c>
      <c r="B296">
        <v>1</v>
      </c>
      <c r="C296" s="7" t="s">
        <v>288</v>
      </c>
      <c r="D296" s="21">
        <v>7312800.4199999999</v>
      </c>
      <c r="E296" s="59">
        <f t="shared" si="22"/>
        <v>-636288.81999999995</v>
      </c>
      <c r="F296" s="56">
        <f t="shared" si="23"/>
        <v>-8.7010299999999999E-2</v>
      </c>
      <c r="G296" s="21">
        <f t="shared" si="21"/>
        <v>636288.81999999995</v>
      </c>
      <c r="H296" s="55">
        <v>426298.43</v>
      </c>
      <c r="I296" s="46">
        <f t="shared" si="24"/>
        <v>209990.38999999996</v>
      </c>
      <c r="J296" s="43">
        <v>636266.31000000006</v>
      </c>
      <c r="K296" s="43">
        <f t="shared" si="20"/>
        <v>22.509999999892898</v>
      </c>
    </row>
    <row r="297" spans="1:11" x14ac:dyDescent="0.2">
      <c r="A297">
        <v>2167</v>
      </c>
      <c r="B297">
        <v>1</v>
      </c>
      <c r="C297" s="7" t="s">
        <v>289</v>
      </c>
      <c r="D297" s="21">
        <v>3894076.29</v>
      </c>
      <c r="E297" s="59">
        <f t="shared" si="22"/>
        <v>-338824.67</v>
      </c>
      <c r="F297" s="56">
        <f t="shared" si="23"/>
        <v>-8.7010299999999999E-2</v>
      </c>
      <c r="G297" s="21">
        <f t="shared" si="21"/>
        <v>338824.67</v>
      </c>
      <c r="H297" s="55">
        <v>227004.5</v>
      </c>
      <c r="I297" s="46">
        <f t="shared" si="24"/>
        <v>111820.16999999998</v>
      </c>
      <c r="J297" s="43">
        <v>338812.68</v>
      </c>
      <c r="K297" s="43">
        <f t="shared" si="20"/>
        <v>11.989999999990687</v>
      </c>
    </row>
    <row r="298" spans="1:11" x14ac:dyDescent="0.2">
      <c r="A298">
        <v>2168</v>
      </c>
      <c r="B298">
        <v>1</v>
      </c>
      <c r="C298" s="7" t="s">
        <v>290</v>
      </c>
      <c r="D298" s="21">
        <v>6548859.7699999996</v>
      </c>
      <c r="E298" s="59">
        <f t="shared" si="22"/>
        <v>-569818.12</v>
      </c>
      <c r="F298" s="56">
        <f t="shared" si="23"/>
        <v>-8.7010299999999999E-2</v>
      </c>
      <c r="G298" s="21">
        <f t="shared" si="21"/>
        <v>569818.12</v>
      </c>
      <c r="H298" s="55">
        <v>381764.64</v>
      </c>
      <c r="I298" s="46">
        <f t="shared" si="24"/>
        <v>188053.47999999998</v>
      </c>
      <c r="J298" s="43">
        <v>569797.97</v>
      </c>
      <c r="K298" s="43">
        <f t="shared" si="20"/>
        <v>20.150000000023283</v>
      </c>
    </row>
    <row r="299" spans="1:11" x14ac:dyDescent="0.2">
      <c r="A299">
        <v>2169</v>
      </c>
      <c r="B299">
        <v>1</v>
      </c>
      <c r="C299" s="7" t="s">
        <v>291</v>
      </c>
      <c r="D299" s="21">
        <v>5073420.33</v>
      </c>
      <c r="E299" s="59">
        <f t="shared" si="22"/>
        <v>-441439.73</v>
      </c>
      <c r="F299" s="56">
        <f t="shared" si="23"/>
        <v>-8.7010299999999999E-2</v>
      </c>
      <c r="G299" s="21">
        <f t="shared" si="21"/>
        <v>441439.73</v>
      </c>
      <c r="H299" s="55">
        <v>295754.15000000002</v>
      </c>
      <c r="I299" s="46">
        <f t="shared" si="24"/>
        <v>145685.57999999996</v>
      </c>
      <c r="J299" s="43">
        <v>441424.11</v>
      </c>
      <c r="K299" s="43">
        <f t="shared" si="20"/>
        <v>15.619999999995343</v>
      </c>
    </row>
    <row r="300" spans="1:11" x14ac:dyDescent="0.2">
      <c r="A300">
        <v>2170</v>
      </c>
      <c r="B300">
        <v>1</v>
      </c>
      <c r="C300" s="7" t="s">
        <v>292</v>
      </c>
      <c r="D300" s="21">
        <v>10744759.27</v>
      </c>
      <c r="E300" s="59">
        <f t="shared" si="22"/>
        <v>-934904.52</v>
      </c>
      <c r="F300" s="56">
        <f t="shared" si="23"/>
        <v>-8.7010299999999999E-2</v>
      </c>
      <c r="G300" s="21">
        <f t="shared" si="21"/>
        <v>934904.52</v>
      </c>
      <c r="H300" s="55">
        <v>626363.87</v>
      </c>
      <c r="I300" s="46">
        <f t="shared" si="24"/>
        <v>308540.65000000002</v>
      </c>
      <c r="J300" s="43">
        <v>934871.45</v>
      </c>
      <c r="K300" s="43">
        <f t="shared" si="20"/>
        <v>33.070000000065193</v>
      </c>
    </row>
    <row r="301" spans="1:11" x14ac:dyDescent="0.2">
      <c r="A301">
        <v>2171</v>
      </c>
      <c r="B301">
        <v>1</v>
      </c>
      <c r="C301" s="7" t="s">
        <v>293</v>
      </c>
      <c r="D301" s="21">
        <v>2428562.75</v>
      </c>
      <c r="E301" s="59">
        <f t="shared" si="22"/>
        <v>-211309.93</v>
      </c>
      <c r="F301" s="56">
        <f t="shared" si="23"/>
        <v>-8.7010299999999999E-2</v>
      </c>
      <c r="G301" s="21">
        <f t="shared" si="21"/>
        <v>211309.93</v>
      </c>
      <c r="H301" s="55">
        <v>141572.64000000001</v>
      </c>
      <c r="I301" s="46">
        <f t="shared" si="24"/>
        <v>69737.289999999979</v>
      </c>
      <c r="J301" s="43">
        <v>211302.45</v>
      </c>
      <c r="K301" s="43">
        <f t="shared" si="20"/>
        <v>7.4799999999813735</v>
      </c>
    </row>
    <row r="302" spans="1:11" x14ac:dyDescent="0.2">
      <c r="A302">
        <v>2172</v>
      </c>
      <c r="B302">
        <v>1</v>
      </c>
      <c r="C302" s="7" t="s">
        <v>294</v>
      </c>
      <c r="D302" s="21">
        <v>5812764.8399999999</v>
      </c>
      <c r="E302" s="59">
        <f t="shared" si="22"/>
        <v>-505770.3</v>
      </c>
      <c r="F302" s="56">
        <f t="shared" si="23"/>
        <v>-8.7010299999999999E-2</v>
      </c>
      <c r="G302" s="21">
        <f t="shared" si="21"/>
        <v>505770.3</v>
      </c>
      <c r="H302" s="55">
        <v>338854.11</v>
      </c>
      <c r="I302" s="46">
        <f t="shared" si="24"/>
        <v>166916.19</v>
      </c>
      <c r="J302" s="43">
        <v>505752.41</v>
      </c>
      <c r="K302" s="43">
        <f t="shared" si="20"/>
        <v>17.89000000001397</v>
      </c>
    </row>
    <row r="303" spans="1:11" x14ac:dyDescent="0.2">
      <c r="A303">
        <v>2174</v>
      </c>
      <c r="B303">
        <v>1</v>
      </c>
      <c r="C303" s="7" t="s">
        <v>295</v>
      </c>
      <c r="D303" s="21">
        <v>7625110.4199999999</v>
      </c>
      <c r="E303" s="59">
        <f t="shared" si="22"/>
        <v>-663463</v>
      </c>
      <c r="F303" s="56">
        <f t="shared" si="23"/>
        <v>-8.7010299999999999E-2</v>
      </c>
      <c r="G303" s="21">
        <f t="shared" si="21"/>
        <v>663463</v>
      </c>
      <c r="H303" s="55">
        <v>444504.49</v>
      </c>
      <c r="I303" s="46">
        <f t="shared" si="24"/>
        <v>218958.51</v>
      </c>
      <c r="J303" s="43">
        <v>663439.53</v>
      </c>
      <c r="K303" s="43">
        <f t="shared" si="20"/>
        <v>23.46999999997206</v>
      </c>
    </row>
    <row r="304" spans="1:11" x14ac:dyDescent="0.2">
      <c r="A304">
        <v>2176</v>
      </c>
      <c r="B304">
        <v>1</v>
      </c>
      <c r="C304" s="7" t="s">
        <v>296</v>
      </c>
      <c r="D304" s="21">
        <v>3777308.02</v>
      </c>
      <c r="E304" s="59">
        <f t="shared" si="22"/>
        <v>-328664.63</v>
      </c>
      <c r="F304" s="56">
        <f t="shared" si="23"/>
        <v>-8.7010299999999999E-2</v>
      </c>
      <c r="G304" s="21">
        <f t="shared" si="21"/>
        <v>328664.63</v>
      </c>
      <c r="H304" s="55">
        <v>220197.51</v>
      </c>
      <c r="I304" s="46">
        <f t="shared" si="24"/>
        <v>108467.12</v>
      </c>
      <c r="J304" s="43">
        <v>328653</v>
      </c>
      <c r="K304" s="43">
        <f t="shared" si="20"/>
        <v>11.630000000004657</v>
      </c>
    </row>
    <row r="305" spans="1:11" x14ac:dyDescent="0.2">
      <c r="A305">
        <v>2180</v>
      </c>
      <c r="B305">
        <v>1</v>
      </c>
      <c r="C305" s="7" t="s">
        <v>297</v>
      </c>
      <c r="D305" s="21">
        <v>5091767.42</v>
      </c>
      <c r="E305" s="59">
        <f t="shared" si="22"/>
        <v>-443036.11</v>
      </c>
      <c r="F305" s="56">
        <f t="shared" si="23"/>
        <v>-8.7010299999999999E-2</v>
      </c>
      <c r="G305" s="21">
        <f t="shared" si="21"/>
        <v>443036.11</v>
      </c>
      <c r="H305" s="55">
        <v>296823.69</v>
      </c>
      <c r="I305" s="46">
        <f t="shared" si="24"/>
        <v>146212.41999999998</v>
      </c>
      <c r="J305" s="43">
        <v>443020.44</v>
      </c>
      <c r="K305" s="43">
        <f t="shared" si="20"/>
        <v>15.669999999983702</v>
      </c>
    </row>
    <row r="306" spans="1:11" x14ac:dyDescent="0.2">
      <c r="A306">
        <v>2184</v>
      </c>
      <c r="B306">
        <v>1</v>
      </c>
      <c r="C306" s="7" t="s">
        <v>298</v>
      </c>
      <c r="D306" s="21">
        <v>8091635.5599999996</v>
      </c>
      <c r="E306" s="59">
        <f t="shared" si="22"/>
        <v>-704055.48</v>
      </c>
      <c r="F306" s="56">
        <f t="shared" si="23"/>
        <v>-8.7010299999999999E-2</v>
      </c>
      <c r="G306" s="21">
        <f t="shared" si="21"/>
        <v>704055.48</v>
      </c>
      <c r="H306" s="55">
        <v>471700.47999999998</v>
      </c>
      <c r="I306" s="46">
        <f t="shared" si="24"/>
        <v>232355</v>
      </c>
      <c r="J306" s="43">
        <v>704030.57</v>
      </c>
      <c r="K306" s="43">
        <f t="shared" si="20"/>
        <v>24.910000000032596</v>
      </c>
    </row>
    <row r="307" spans="1:11" x14ac:dyDescent="0.2">
      <c r="A307">
        <v>2190</v>
      </c>
      <c r="B307">
        <v>1</v>
      </c>
      <c r="C307" s="7" t="s">
        <v>299</v>
      </c>
      <c r="D307" s="21">
        <v>6841023.8099999996</v>
      </c>
      <c r="E307" s="59">
        <f t="shared" si="22"/>
        <v>-595239.4</v>
      </c>
      <c r="F307" s="56">
        <f t="shared" si="23"/>
        <v>-8.7010299999999999E-2</v>
      </c>
      <c r="G307" s="21">
        <f t="shared" si="21"/>
        <v>595239.4</v>
      </c>
      <c r="H307" s="55">
        <v>398796.29</v>
      </c>
      <c r="I307" s="46">
        <f t="shared" si="24"/>
        <v>196443.11000000004</v>
      </c>
      <c r="J307" s="43">
        <v>595218.34</v>
      </c>
      <c r="K307" s="43">
        <f t="shared" si="20"/>
        <v>21.060000000055879</v>
      </c>
    </row>
    <row r="308" spans="1:11" x14ac:dyDescent="0.2">
      <c r="A308">
        <v>2198</v>
      </c>
      <c r="B308">
        <v>1</v>
      </c>
      <c r="C308" s="7" t="s">
        <v>300</v>
      </c>
      <c r="D308" s="21">
        <v>4020918.06</v>
      </c>
      <c r="E308" s="59">
        <f t="shared" si="22"/>
        <v>-349861.21</v>
      </c>
      <c r="F308" s="56">
        <f t="shared" si="23"/>
        <v>-8.7010299999999999E-2</v>
      </c>
      <c r="G308" s="21">
        <f t="shared" si="21"/>
        <v>349861.21</v>
      </c>
      <c r="H308" s="55">
        <v>234398.72</v>
      </c>
      <c r="I308" s="46">
        <f t="shared" si="24"/>
        <v>115462.49000000002</v>
      </c>
      <c r="J308" s="43">
        <v>349848.83</v>
      </c>
      <c r="K308" s="43">
        <f t="shared" si="20"/>
        <v>12.380000000004657</v>
      </c>
    </row>
    <row r="309" spans="1:11" x14ac:dyDescent="0.2">
      <c r="A309">
        <v>2215</v>
      </c>
      <c r="B309">
        <v>1</v>
      </c>
      <c r="C309" s="7" t="s">
        <v>301</v>
      </c>
      <c r="D309" s="21">
        <v>2712653.03</v>
      </c>
      <c r="E309" s="59">
        <f t="shared" si="22"/>
        <v>-236028.7</v>
      </c>
      <c r="F309" s="56">
        <f t="shared" si="23"/>
        <v>-8.7010299999999999E-2</v>
      </c>
      <c r="G309" s="21">
        <f t="shared" si="21"/>
        <v>236028.7</v>
      </c>
      <c r="H309" s="55">
        <v>158133.63</v>
      </c>
      <c r="I309" s="46">
        <f t="shared" si="24"/>
        <v>77895.070000000007</v>
      </c>
      <c r="J309" s="43">
        <v>236020.35</v>
      </c>
      <c r="K309" s="43">
        <f t="shared" si="20"/>
        <v>8.3500000000058208</v>
      </c>
    </row>
    <row r="310" spans="1:11" x14ac:dyDescent="0.2">
      <c r="A310">
        <v>2310</v>
      </c>
      <c r="B310">
        <v>1</v>
      </c>
      <c r="C310" s="7" t="s">
        <v>302</v>
      </c>
      <c r="D310" s="21">
        <v>8445557.0299999993</v>
      </c>
      <c r="E310" s="59">
        <f t="shared" si="22"/>
        <v>-734850.29</v>
      </c>
      <c r="F310" s="56">
        <f t="shared" si="23"/>
        <v>-8.7010299999999999E-2</v>
      </c>
      <c r="G310" s="21">
        <f t="shared" si="21"/>
        <v>734850.29</v>
      </c>
      <c r="H310" s="55">
        <v>492332.27</v>
      </c>
      <c r="I310" s="46">
        <f t="shared" si="24"/>
        <v>242518.02000000002</v>
      </c>
      <c r="J310" s="43">
        <v>734824.29</v>
      </c>
      <c r="K310" s="43">
        <f t="shared" si="20"/>
        <v>26</v>
      </c>
    </row>
    <row r="311" spans="1:11" x14ac:dyDescent="0.2">
      <c r="A311">
        <v>2311</v>
      </c>
      <c r="B311">
        <v>1</v>
      </c>
      <c r="C311" s="7" t="s">
        <v>303</v>
      </c>
      <c r="D311" s="21">
        <v>3666422.76</v>
      </c>
      <c r="E311" s="59">
        <f t="shared" si="22"/>
        <v>-319016.46999999997</v>
      </c>
      <c r="F311" s="56">
        <f t="shared" si="23"/>
        <v>-8.7010299999999999E-2</v>
      </c>
      <c r="G311" s="21">
        <f t="shared" si="21"/>
        <v>319016.46999999997</v>
      </c>
      <c r="H311" s="55">
        <v>213733.48</v>
      </c>
      <c r="I311" s="46">
        <f t="shared" si="24"/>
        <v>105282.98999999996</v>
      </c>
      <c r="J311" s="43">
        <v>319005.19</v>
      </c>
      <c r="K311" s="43">
        <f t="shared" si="20"/>
        <v>11.279999999969732</v>
      </c>
    </row>
    <row r="312" spans="1:11" x14ac:dyDescent="0.2">
      <c r="A312">
        <v>2342</v>
      </c>
      <c r="B312">
        <v>1</v>
      </c>
      <c r="C312" s="7" t="s">
        <v>304</v>
      </c>
      <c r="D312" s="21">
        <v>5465587.2000000002</v>
      </c>
      <c r="E312" s="59">
        <f t="shared" si="22"/>
        <v>-475562.27</v>
      </c>
      <c r="F312" s="56">
        <f t="shared" si="23"/>
        <v>-8.7010299999999999E-2</v>
      </c>
      <c r="G312" s="21">
        <f t="shared" si="21"/>
        <v>475562.27</v>
      </c>
      <c r="H312" s="55">
        <v>318615.45</v>
      </c>
      <c r="I312" s="46">
        <f t="shared" si="24"/>
        <v>156946.82</v>
      </c>
      <c r="J312" s="43">
        <v>475545.45</v>
      </c>
      <c r="K312" s="43">
        <f t="shared" si="20"/>
        <v>16.820000000006985</v>
      </c>
    </row>
    <row r="313" spans="1:11" x14ac:dyDescent="0.2">
      <c r="A313">
        <v>2358</v>
      </c>
      <c r="B313">
        <v>1</v>
      </c>
      <c r="C313" s="7" t="s">
        <v>305</v>
      </c>
      <c r="D313" s="21">
        <v>2228563.91</v>
      </c>
      <c r="E313" s="59">
        <f t="shared" si="22"/>
        <v>-193907.97</v>
      </c>
      <c r="F313" s="56">
        <f t="shared" si="23"/>
        <v>-8.7010299999999999E-2</v>
      </c>
      <c r="G313" s="21">
        <f t="shared" si="21"/>
        <v>193907.97</v>
      </c>
      <c r="H313" s="55">
        <v>129913.74</v>
      </c>
      <c r="I313" s="46">
        <f t="shared" si="24"/>
        <v>63994.229999999996</v>
      </c>
      <c r="J313" s="43">
        <v>193901.11</v>
      </c>
      <c r="K313" s="43">
        <f t="shared" si="20"/>
        <v>6.860000000015134</v>
      </c>
    </row>
    <row r="314" spans="1:11" x14ac:dyDescent="0.2">
      <c r="A314">
        <v>2364</v>
      </c>
      <c r="B314">
        <v>1</v>
      </c>
      <c r="C314" s="7" t="s">
        <v>306</v>
      </c>
      <c r="D314" s="21">
        <v>5025553.3499999996</v>
      </c>
      <c r="E314" s="59">
        <f t="shared" si="22"/>
        <v>-437274.81</v>
      </c>
      <c r="F314" s="56">
        <f t="shared" si="23"/>
        <v>-8.7010299999999999E-2</v>
      </c>
      <c r="G314" s="21">
        <f t="shared" si="21"/>
        <v>437274.81</v>
      </c>
      <c r="H314" s="55">
        <v>292963.76</v>
      </c>
      <c r="I314" s="46">
        <f t="shared" si="24"/>
        <v>144311.04999999999</v>
      </c>
      <c r="J314" s="43">
        <v>437259.34</v>
      </c>
      <c r="K314" s="43">
        <f t="shared" si="20"/>
        <v>15.46999999997206</v>
      </c>
    </row>
    <row r="315" spans="1:11" x14ac:dyDescent="0.2">
      <c r="A315">
        <v>2365</v>
      </c>
      <c r="B315">
        <v>1</v>
      </c>
      <c r="C315" s="7" t="s">
        <v>307</v>
      </c>
      <c r="D315" s="21">
        <v>6203333.79</v>
      </c>
      <c r="E315" s="59">
        <f t="shared" si="22"/>
        <v>-539753.81000000006</v>
      </c>
      <c r="F315" s="56">
        <f t="shared" si="23"/>
        <v>-8.7010299999999999E-2</v>
      </c>
      <c r="G315" s="21">
        <f t="shared" si="21"/>
        <v>539753.81000000006</v>
      </c>
      <c r="H315" s="55">
        <v>361622.26</v>
      </c>
      <c r="I315" s="46">
        <f t="shared" si="24"/>
        <v>178131.55000000005</v>
      </c>
      <c r="J315" s="43">
        <v>539734.72</v>
      </c>
      <c r="K315" s="43">
        <f t="shared" si="20"/>
        <v>19.090000000083819</v>
      </c>
    </row>
    <row r="316" spans="1:11" x14ac:dyDescent="0.2">
      <c r="A316">
        <v>2396</v>
      </c>
      <c r="B316">
        <v>1</v>
      </c>
      <c r="C316" s="7" t="s">
        <v>308</v>
      </c>
      <c r="D316" s="21">
        <v>5667473.79</v>
      </c>
      <c r="E316" s="59">
        <f t="shared" si="22"/>
        <v>-493128.48</v>
      </c>
      <c r="F316" s="56">
        <f t="shared" si="23"/>
        <v>-8.7010299999999999E-2</v>
      </c>
      <c r="G316" s="21">
        <f t="shared" si="21"/>
        <v>493128.48</v>
      </c>
      <c r="H316" s="55">
        <v>330384.40000000002</v>
      </c>
      <c r="I316" s="46">
        <f t="shared" si="24"/>
        <v>162744.07999999996</v>
      </c>
      <c r="J316" s="43">
        <v>493111.03999999998</v>
      </c>
      <c r="K316" s="43">
        <f t="shared" si="20"/>
        <v>17.440000000002328</v>
      </c>
    </row>
    <row r="317" spans="1:11" x14ac:dyDescent="0.2">
      <c r="A317">
        <v>2397</v>
      </c>
      <c r="B317">
        <v>1</v>
      </c>
      <c r="C317" s="7" t="s">
        <v>309</v>
      </c>
      <c r="D317" s="21">
        <v>8433392.4900000002</v>
      </c>
      <c r="E317" s="59">
        <f t="shared" si="22"/>
        <v>-733791.85</v>
      </c>
      <c r="F317" s="56">
        <f t="shared" si="23"/>
        <v>-8.7010299999999999E-2</v>
      </c>
      <c r="G317" s="21">
        <f t="shared" si="21"/>
        <v>733791.85</v>
      </c>
      <c r="H317" s="55">
        <v>491623.15</v>
      </c>
      <c r="I317" s="46">
        <f t="shared" si="24"/>
        <v>242168.69999999995</v>
      </c>
      <c r="J317" s="43">
        <v>733765.89</v>
      </c>
      <c r="K317" s="43">
        <f t="shared" si="20"/>
        <v>25.959999999962747</v>
      </c>
    </row>
    <row r="318" spans="1:11" x14ac:dyDescent="0.2">
      <c r="A318">
        <v>2448</v>
      </c>
      <c r="B318">
        <v>1</v>
      </c>
      <c r="C318" s="7" t="s">
        <v>310</v>
      </c>
      <c r="D318" s="21">
        <v>5618824.7800000003</v>
      </c>
      <c r="E318" s="59">
        <f t="shared" si="22"/>
        <v>-488895.52</v>
      </c>
      <c r="F318" s="56">
        <f t="shared" si="23"/>
        <v>-8.7010299999999999E-2</v>
      </c>
      <c r="G318" s="21">
        <f t="shared" si="21"/>
        <v>488895.52</v>
      </c>
      <c r="H318" s="55">
        <v>327548.40999999997</v>
      </c>
      <c r="I318" s="46">
        <f t="shared" si="24"/>
        <v>161347.11000000004</v>
      </c>
      <c r="J318" s="43">
        <v>488878.23</v>
      </c>
      <c r="K318" s="43">
        <f t="shared" si="20"/>
        <v>17.290000000037253</v>
      </c>
    </row>
    <row r="319" spans="1:11" x14ac:dyDescent="0.2">
      <c r="A319">
        <v>2527</v>
      </c>
      <c r="B319">
        <v>1</v>
      </c>
      <c r="C319" s="7" t="s">
        <v>311</v>
      </c>
      <c r="D319" s="21">
        <v>2193765.9300000002</v>
      </c>
      <c r="E319" s="59">
        <f t="shared" si="22"/>
        <v>-190880.19</v>
      </c>
      <c r="F319" s="56">
        <f t="shared" si="23"/>
        <v>-8.7010299999999999E-2</v>
      </c>
      <c r="G319" s="21">
        <f t="shared" si="21"/>
        <v>190880.19</v>
      </c>
      <c r="H319" s="55">
        <v>127885.2</v>
      </c>
      <c r="I319" s="46">
        <f t="shared" si="24"/>
        <v>62994.990000000005</v>
      </c>
      <c r="J319" s="43">
        <v>190873.44</v>
      </c>
      <c r="K319" s="43">
        <f t="shared" ref="K319:K382" si="25">G319-J319</f>
        <v>6.75</v>
      </c>
    </row>
    <row r="320" spans="1:11" x14ac:dyDescent="0.2">
      <c r="A320">
        <v>2534</v>
      </c>
      <c r="B320">
        <v>1</v>
      </c>
      <c r="C320" s="7" t="s">
        <v>312</v>
      </c>
      <c r="D320" s="21">
        <v>5654362.5199999996</v>
      </c>
      <c r="E320" s="59">
        <f t="shared" si="22"/>
        <v>-491987.67</v>
      </c>
      <c r="F320" s="56">
        <f t="shared" si="23"/>
        <v>-8.7010299999999999E-2</v>
      </c>
      <c r="G320" s="21">
        <f t="shared" si="21"/>
        <v>491987.67</v>
      </c>
      <c r="H320" s="55">
        <v>329620.08</v>
      </c>
      <c r="I320" s="46">
        <f t="shared" si="24"/>
        <v>162367.58999999997</v>
      </c>
      <c r="J320" s="43">
        <v>491970.27</v>
      </c>
      <c r="K320" s="43">
        <f t="shared" si="25"/>
        <v>17.399999999965075</v>
      </c>
    </row>
    <row r="321" spans="1:11" x14ac:dyDescent="0.2">
      <c r="A321">
        <v>2536</v>
      </c>
      <c r="B321">
        <v>1</v>
      </c>
      <c r="C321" s="7" t="s">
        <v>313</v>
      </c>
      <c r="D321" s="21">
        <v>2156090.09</v>
      </c>
      <c r="E321" s="59">
        <f t="shared" si="22"/>
        <v>-187602</v>
      </c>
      <c r="F321" s="56">
        <f t="shared" si="23"/>
        <v>-8.7010299999999999E-2</v>
      </c>
      <c r="G321" s="21">
        <f t="shared" si="21"/>
        <v>187602</v>
      </c>
      <c r="H321" s="55">
        <v>125688.9</v>
      </c>
      <c r="I321" s="46">
        <f t="shared" si="24"/>
        <v>61913.100000000006</v>
      </c>
      <c r="J321" s="43">
        <v>187595.37</v>
      </c>
      <c r="K321" s="43">
        <f t="shared" si="25"/>
        <v>6.6300000000046566</v>
      </c>
    </row>
    <row r="322" spans="1:11" x14ac:dyDescent="0.2">
      <c r="A322">
        <v>2580</v>
      </c>
      <c r="B322">
        <v>1</v>
      </c>
      <c r="C322" s="7" t="s">
        <v>314</v>
      </c>
      <c r="D322" s="21">
        <v>5962259.9100000001</v>
      </c>
      <c r="E322" s="59">
        <f t="shared" si="22"/>
        <v>-518777.91</v>
      </c>
      <c r="F322" s="56">
        <f t="shared" si="23"/>
        <v>-8.7010299999999999E-2</v>
      </c>
      <c r="G322" s="21">
        <f t="shared" si="21"/>
        <v>518777.91</v>
      </c>
      <c r="H322" s="55">
        <v>347568.91</v>
      </c>
      <c r="I322" s="46">
        <f t="shared" si="24"/>
        <v>171209</v>
      </c>
      <c r="J322" s="43">
        <v>518759.56</v>
      </c>
      <c r="K322" s="43">
        <f t="shared" si="25"/>
        <v>18.349999999976717</v>
      </c>
    </row>
    <row r="323" spans="1:11" x14ac:dyDescent="0.2">
      <c r="A323">
        <v>2609</v>
      </c>
      <c r="B323">
        <v>1</v>
      </c>
      <c r="C323" s="7" t="s">
        <v>315</v>
      </c>
      <c r="D323" s="21">
        <v>3497042.94</v>
      </c>
      <c r="E323" s="59">
        <f t="shared" si="22"/>
        <v>-304278.69</v>
      </c>
      <c r="F323" s="56">
        <f t="shared" si="23"/>
        <v>-8.7010299999999999E-2</v>
      </c>
      <c r="G323" s="21">
        <f t="shared" si="21"/>
        <v>304278.69</v>
      </c>
      <c r="H323" s="55">
        <v>203859.51</v>
      </c>
      <c r="I323" s="46">
        <f t="shared" si="24"/>
        <v>100419.18</v>
      </c>
      <c r="J323" s="43">
        <v>304267.92</v>
      </c>
      <c r="K323" s="43">
        <f t="shared" si="25"/>
        <v>10.770000000018626</v>
      </c>
    </row>
    <row r="324" spans="1:11" x14ac:dyDescent="0.2">
      <c r="A324">
        <v>2683</v>
      </c>
      <c r="B324">
        <v>1</v>
      </c>
      <c r="C324" s="7" t="s">
        <v>316</v>
      </c>
      <c r="D324" s="21">
        <v>4022595.05</v>
      </c>
      <c r="E324" s="59">
        <f t="shared" si="22"/>
        <v>-350007.12</v>
      </c>
      <c r="F324" s="56">
        <f t="shared" si="23"/>
        <v>-8.7010299999999999E-2</v>
      </c>
      <c r="G324" s="21">
        <f t="shared" si="21"/>
        <v>350007.12</v>
      </c>
      <c r="H324" s="55">
        <v>234496.48</v>
      </c>
      <c r="I324" s="46">
        <f t="shared" si="24"/>
        <v>115510.63999999998</v>
      </c>
      <c r="J324" s="43">
        <v>349994.74</v>
      </c>
      <c r="K324" s="43">
        <f t="shared" si="25"/>
        <v>12.380000000004657</v>
      </c>
    </row>
    <row r="325" spans="1:11" x14ac:dyDescent="0.2">
      <c r="A325">
        <v>2687</v>
      </c>
      <c r="B325">
        <v>1</v>
      </c>
      <c r="C325" s="7" t="s">
        <v>317</v>
      </c>
      <c r="D325" s="21">
        <v>6691338.3099999996</v>
      </c>
      <c r="E325" s="59">
        <f t="shared" si="22"/>
        <v>-582215.22</v>
      </c>
      <c r="F325" s="56">
        <f t="shared" si="23"/>
        <v>-8.7010299999999999E-2</v>
      </c>
      <c r="G325" s="21">
        <f t="shared" si="21"/>
        <v>582215.22</v>
      </c>
      <c r="H325" s="55">
        <v>390070.4</v>
      </c>
      <c r="I325" s="46">
        <f t="shared" si="24"/>
        <v>192144.81999999995</v>
      </c>
      <c r="J325" s="43">
        <v>582194.63</v>
      </c>
      <c r="K325" s="43">
        <f t="shared" si="25"/>
        <v>20.589999999967404</v>
      </c>
    </row>
    <row r="326" spans="1:11" x14ac:dyDescent="0.2">
      <c r="A326">
        <v>2689</v>
      </c>
      <c r="B326">
        <v>1</v>
      </c>
      <c r="C326" s="7" t="s">
        <v>318</v>
      </c>
      <c r="D326" s="21">
        <v>8255161.1100000003</v>
      </c>
      <c r="E326" s="59">
        <f t="shared" si="22"/>
        <v>-718283.88</v>
      </c>
      <c r="F326" s="56">
        <f t="shared" si="23"/>
        <v>-8.7010299999999999E-2</v>
      </c>
      <c r="G326" s="21">
        <f t="shared" si="21"/>
        <v>718283.88</v>
      </c>
      <c r="H326" s="55">
        <v>481233.18</v>
      </c>
      <c r="I326" s="46">
        <f t="shared" si="24"/>
        <v>237050.7</v>
      </c>
      <c r="J326" s="43">
        <v>718258.48</v>
      </c>
      <c r="K326" s="43">
        <f t="shared" si="25"/>
        <v>25.400000000023283</v>
      </c>
    </row>
    <row r="327" spans="1:11" x14ac:dyDescent="0.2">
      <c r="A327">
        <v>2711</v>
      </c>
      <c r="B327">
        <v>1</v>
      </c>
      <c r="C327" s="7" t="s">
        <v>319</v>
      </c>
      <c r="D327" s="21">
        <v>6135992.7699999996</v>
      </c>
      <c r="E327" s="59">
        <f t="shared" si="22"/>
        <v>-533894.44999999995</v>
      </c>
      <c r="F327" s="56">
        <f t="shared" si="23"/>
        <v>-8.7010299999999999E-2</v>
      </c>
      <c r="G327" s="21">
        <f t="shared" si="21"/>
        <v>533894.44999999995</v>
      </c>
      <c r="H327" s="55">
        <v>357696.63</v>
      </c>
      <c r="I327" s="46">
        <f t="shared" si="24"/>
        <v>176197.81999999995</v>
      </c>
      <c r="J327" s="43">
        <v>533875.56999999995</v>
      </c>
      <c r="K327" s="43">
        <f t="shared" si="25"/>
        <v>18.880000000004657</v>
      </c>
    </row>
    <row r="328" spans="1:11" x14ac:dyDescent="0.2">
      <c r="A328">
        <v>2752</v>
      </c>
      <c r="B328">
        <v>1</v>
      </c>
      <c r="C328" s="7" t="s">
        <v>320</v>
      </c>
      <c r="D328" s="21">
        <v>12537253.24</v>
      </c>
      <c r="E328" s="59">
        <f t="shared" si="22"/>
        <v>-1090869.92</v>
      </c>
      <c r="F328" s="56">
        <f t="shared" si="23"/>
        <v>-8.7010299999999999E-2</v>
      </c>
      <c r="G328" s="21">
        <f t="shared" si="21"/>
        <v>1090869.92</v>
      </c>
      <c r="H328" s="55">
        <v>730856.99</v>
      </c>
      <c r="I328" s="46">
        <f t="shared" si="24"/>
        <v>360012.92999999993</v>
      </c>
      <c r="J328" s="43">
        <v>1090831.33</v>
      </c>
      <c r="K328" s="43">
        <f t="shared" si="25"/>
        <v>38.589999999850988</v>
      </c>
    </row>
    <row r="329" spans="1:11" x14ac:dyDescent="0.2">
      <c r="A329">
        <v>2753</v>
      </c>
      <c r="B329">
        <v>1</v>
      </c>
      <c r="C329" s="7" t="s">
        <v>321</v>
      </c>
      <c r="D329" s="21">
        <v>9149970.7200000007</v>
      </c>
      <c r="E329" s="59">
        <f t="shared" si="22"/>
        <v>-796141.52</v>
      </c>
      <c r="F329" s="56">
        <f t="shared" si="23"/>
        <v>-8.7010299999999999E-2</v>
      </c>
      <c r="G329" s="21">
        <f t="shared" si="21"/>
        <v>796141.52</v>
      </c>
      <c r="H329" s="55">
        <v>533395.94999999995</v>
      </c>
      <c r="I329" s="46">
        <f t="shared" si="24"/>
        <v>262745.57000000007</v>
      </c>
      <c r="J329" s="43">
        <v>796113.36</v>
      </c>
      <c r="K329" s="43">
        <f t="shared" si="25"/>
        <v>28.160000000032596</v>
      </c>
    </row>
    <row r="330" spans="1:11" x14ac:dyDescent="0.2">
      <c r="A330">
        <v>2754</v>
      </c>
      <c r="B330">
        <v>1</v>
      </c>
      <c r="C330" s="7" t="s">
        <v>322</v>
      </c>
      <c r="D330" s="21">
        <v>2961675.72</v>
      </c>
      <c r="E330" s="59">
        <f t="shared" si="22"/>
        <v>-257696.23</v>
      </c>
      <c r="F330" s="56">
        <f t="shared" si="23"/>
        <v>-8.7010299999999999E-2</v>
      </c>
      <c r="G330" s="21">
        <f t="shared" si="21"/>
        <v>257696.23</v>
      </c>
      <c r="H330" s="55">
        <v>172650.37</v>
      </c>
      <c r="I330" s="46">
        <f t="shared" si="24"/>
        <v>85045.860000000015</v>
      </c>
      <c r="J330" s="43">
        <v>257687.12</v>
      </c>
      <c r="K330" s="43">
        <f t="shared" si="25"/>
        <v>9.110000000015134</v>
      </c>
    </row>
    <row r="331" spans="1:11" x14ac:dyDescent="0.2">
      <c r="A331">
        <v>2759</v>
      </c>
      <c r="B331">
        <v>1</v>
      </c>
      <c r="C331" s="7" t="s">
        <v>323</v>
      </c>
      <c r="D331" s="21">
        <v>2478229.29</v>
      </c>
      <c r="E331" s="59">
        <f t="shared" si="22"/>
        <v>-215631.43</v>
      </c>
      <c r="F331" s="56">
        <f t="shared" si="23"/>
        <v>-8.7010299999999999E-2</v>
      </c>
      <c r="G331" s="21">
        <f t="shared" si="21"/>
        <v>215631.43</v>
      </c>
      <c r="H331" s="55">
        <v>144467.95000000001</v>
      </c>
      <c r="I331" s="46">
        <f t="shared" si="24"/>
        <v>71163.479999999981</v>
      </c>
      <c r="J331" s="43">
        <v>215623.8</v>
      </c>
      <c r="K331" s="43">
        <f t="shared" si="25"/>
        <v>7.6300000000046566</v>
      </c>
    </row>
    <row r="332" spans="1:11" x14ac:dyDescent="0.2">
      <c r="A332">
        <v>2805</v>
      </c>
      <c r="B332">
        <v>1</v>
      </c>
      <c r="C332" s="7" t="s">
        <v>324</v>
      </c>
      <c r="D332" s="21">
        <v>7242903.3600000003</v>
      </c>
      <c r="E332" s="59">
        <f t="shared" si="22"/>
        <v>-630207.05000000005</v>
      </c>
      <c r="F332" s="56">
        <f t="shared" si="23"/>
        <v>-8.7010299999999999E-2</v>
      </c>
      <c r="G332" s="21">
        <f t="shared" si="21"/>
        <v>630207.05000000005</v>
      </c>
      <c r="H332" s="55">
        <v>422223.79</v>
      </c>
      <c r="I332" s="46">
        <f t="shared" si="24"/>
        <v>207983.26000000007</v>
      </c>
      <c r="J332" s="43">
        <v>630184.76</v>
      </c>
      <c r="K332" s="43">
        <f t="shared" si="25"/>
        <v>22.290000000037253</v>
      </c>
    </row>
    <row r="333" spans="1:11" x14ac:dyDescent="0.2">
      <c r="A333">
        <v>2835</v>
      </c>
      <c r="B333">
        <v>1</v>
      </c>
      <c r="C333" s="7" t="s">
        <v>325</v>
      </c>
      <c r="D333" s="21">
        <v>3525890.31</v>
      </c>
      <c r="E333" s="59">
        <f t="shared" si="22"/>
        <v>-306788.7</v>
      </c>
      <c r="F333" s="56">
        <f t="shared" si="23"/>
        <v>-8.7010299999999999E-2</v>
      </c>
      <c r="G333" s="21">
        <f t="shared" si="21"/>
        <v>306788.7</v>
      </c>
      <c r="H333" s="55">
        <v>205541.16</v>
      </c>
      <c r="I333" s="46">
        <f t="shared" si="24"/>
        <v>101247.54000000001</v>
      </c>
      <c r="J333" s="43">
        <v>306777.84999999998</v>
      </c>
      <c r="K333" s="43">
        <f t="shared" si="25"/>
        <v>10.850000000034925</v>
      </c>
    </row>
    <row r="334" spans="1:11" x14ac:dyDescent="0.2">
      <c r="A334">
        <v>2853</v>
      </c>
      <c r="B334">
        <v>1</v>
      </c>
      <c r="C334" s="7" t="s">
        <v>326</v>
      </c>
      <c r="D334" s="21">
        <v>6917745.3899999997</v>
      </c>
      <c r="E334" s="59">
        <f t="shared" si="22"/>
        <v>-601914.97</v>
      </c>
      <c r="F334" s="56">
        <f t="shared" si="23"/>
        <v>-8.7010299999999999E-2</v>
      </c>
      <c r="G334" s="21">
        <f t="shared" ref="G334:G397" si="26">E334*-1</f>
        <v>601914.97</v>
      </c>
      <c r="H334" s="55">
        <v>403268.76</v>
      </c>
      <c r="I334" s="46">
        <f t="shared" si="24"/>
        <v>198646.20999999996</v>
      </c>
      <c r="J334" s="43">
        <v>601893.67000000004</v>
      </c>
      <c r="K334" s="43">
        <f t="shared" si="25"/>
        <v>21.299999999930151</v>
      </c>
    </row>
    <row r="335" spans="1:11" x14ac:dyDescent="0.2">
      <c r="A335">
        <v>2854</v>
      </c>
      <c r="B335">
        <v>1</v>
      </c>
      <c r="C335" s="7" t="s">
        <v>327</v>
      </c>
      <c r="D335" s="21">
        <v>4131307.02</v>
      </c>
      <c r="E335" s="59">
        <f t="shared" ref="E335:E398" si="27">ROUND(-D335*$D$520,2)</f>
        <v>-359466.18</v>
      </c>
      <c r="F335" s="56">
        <f t="shared" ref="F335:F398" si="28">IF(D335&gt;0,ROUND(E335/D335,7),"na   ")</f>
        <v>-8.7010299999999999E-2</v>
      </c>
      <c r="G335" s="21">
        <f t="shared" si="26"/>
        <v>359466.18</v>
      </c>
      <c r="H335" s="55">
        <v>240833.82</v>
      </c>
      <c r="I335" s="46">
        <f t="shared" ref="I335:I398" si="29">G335-H335</f>
        <v>118632.35999999999</v>
      </c>
      <c r="J335" s="43">
        <v>359453.47</v>
      </c>
      <c r="K335" s="43">
        <f t="shared" si="25"/>
        <v>12.710000000020955</v>
      </c>
    </row>
    <row r="336" spans="1:11" x14ac:dyDescent="0.2">
      <c r="A336">
        <v>2856</v>
      </c>
      <c r="B336">
        <v>1</v>
      </c>
      <c r="C336" s="7" t="s">
        <v>328</v>
      </c>
      <c r="D336" s="21">
        <v>2950180.72</v>
      </c>
      <c r="E336" s="59">
        <f t="shared" si="27"/>
        <v>-256696.05</v>
      </c>
      <c r="F336" s="56">
        <f t="shared" si="28"/>
        <v>-8.7010299999999999E-2</v>
      </c>
      <c r="G336" s="21">
        <f t="shared" si="26"/>
        <v>256696.05</v>
      </c>
      <c r="H336" s="55">
        <v>171980.27</v>
      </c>
      <c r="I336" s="46">
        <f t="shared" si="29"/>
        <v>84715.78</v>
      </c>
      <c r="J336" s="43">
        <v>256686.97</v>
      </c>
      <c r="K336" s="43">
        <f t="shared" si="25"/>
        <v>9.0799999999871943</v>
      </c>
    </row>
    <row r="337" spans="1:11" x14ac:dyDescent="0.2">
      <c r="A337">
        <v>2859</v>
      </c>
      <c r="B337">
        <v>1</v>
      </c>
      <c r="C337" s="7" t="s">
        <v>329</v>
      </c>
      <c r="D337" s="21">
        <v>12305536.029999999</v>
      </c>
      <c r="E337" s="59">
        <f t="shared" si="27"/>
        <v>-1070708.1399999999</v>
      </c>
      <c r="F337" s="56">
        <f t="shared" si="28"/>
        <v>-8.7010299999999999E-2</v>
      </c>
      <c r="G337" s="21">
        <f t="shared" si="26"/>
        <v>1070708.1399999999</v>
      </c>
      <c r="H337" s="55">
        <v>717349.08</v>
      </c>
      <c r="I337" s="46">
        <f t="shared" si="29"/>
        <v>353359.05999999994</v>
      </c>
      <c r="J337" s="43">
        <v>1070670.27</v>
      </c>
      <c r="K337" s="43">
        <f t="shared" si="25"/>
        <v>37.869999999878928</v>
      </c>
    </row>
    <row r="338" spans="1:11" x14ac:dyDescent="0.2">
      <c r="A338">
        <v>2860</v>
      </c>
      <c r="B338">
        <v>1</v>
      </c>
      <c r="C338" s="7" t="s">
        <v>330</v>
      </c>
      <c r="D338" s="21">
        <v>8708198.9700000007</v>
      </c>
      <c r="E338" s="59">
        <f t="shared" si="27"/>
        <v>-757702.83</v>
      </c>
      <c r="F338" s="56">
        <f t="shared" si="28"/>
        <v>-8.7010299999999999E-2</v>
      </c>
      <c r="G338" s="21">
        <f t="shared" si="26"/>
        <v>757702.83</v>
      </c>
      <c r="H338" s="55">
        <v>507642.94</v>
      </c>
      <c r="I338" s="46">
        <f t="shared" si="29"/>
        <v>250059.88999999996</v>
      </c>
      <c r="J338" s="43">
        <v>757676.03</v>
      </c>
      <c r="K338" s="43">
        <f t="shared" si="25"/>
        <v>26.799999999930151</v>
      </c>
    </row>
    <row r="339" spans="1:11" x14ac:dyDescent="0.2">
      <c r="A339">
        <v>2884</v>
      </c>
      <c r="B339">
        <v>1</v>
      </c>
      <c r="C339" s="7" t="s">
        <v>331</v>
      </c>
      <c r="D339" s="21">
        <v>3766772.9</v>
      </c>
      <c r="E339" s="59">
        <f t="shared" si="27"/>
        <v>-327747.96999999997</v>
      </c>
      <c r="F339" s="56">
        <f t="shared" si="28"/>
        <v>-8.7010299999999999E-2</v>
      </c>
      <c r="G339" s="21">
        <f t="shared" si="26"/>
        <v>327747.96999999997</v>
      </c>
      <c r="H339" s="55">
        <v>219583.37</v>
      </c>
      <c r="I339" s="46">
        <f t="shared" si="29"/>
        <v>108164.59999999998</v>
      </c>
      <c r="J339" s="43">
        <v>327736.37</v>
      </c>
      <c r="K339" s="43">
        <f t="shared" si="25"/>
        <v>11.599999999976717</v>
      </c>
    </row>
    <row r="340" spans="1:11" x14ac:dyDescent="0.2">
      <c r="A340">
        <v>2886</v>
      </c>
      <c r="B340">
        <v>1</v>
      </c>
      <c r="C340" s="7" t="s">
        <v>332</v>
      </c>
      <c r="D340" s="21">
        <v>2877592.69</v>
      </c>
      <c r="E340" s="59">
        <f t="shared" si="27"/>
        <v>-250380.15</v>
      </c>
      <c r="F340" s="56">
        <f t="shared" si="28"/>
        <v>-8.7010299999999999E-2</v>
      </c>
      <c r="G340" s="21">
        <f t="shared" si="26"/>
        <v>250380.15</v>
      </c>
      <c r="H340" s="55">
        <v>167748.76</v>
      </c>
      <c r="I340" s="46">
        <f t="shared" si="29"/>
        <v>82631.389999999985</v>
      </c>
      <c r="J340" s="43">
        <v>250371.29</v>
      </c>
      <c r="K340" s="43">
        <f t="shared" si="25"/>
        <v>8.8599999999860302</v>
      </c>
    </row>
    <row r="341" spans="1:11" x14ac:dyDescent="0.2">
      <c r="A341">
        <v>2888</v>
      </c>
      <c r="B341">
        <v>1</v>
      </c>
      <c r="C341" s="7" t="s">
        <v>333</v>
      </c>
      <c r="D341" s="21">
        <v>3175545.66</v>
      </c>
      <c r="E341" s="59">
        <f t="shared" si="27"/>
        <v>-276305.12</v>
      </c>
      <c r="F341" s="56">
        <f t="shared" si="28"/>
        <v>-8.7010299999999999E-2</v>
      </c>
      <c r="G341" s="21">
        <f t="shared" si="26"/>
        <v>276305.12</v>
      </c>
      <c r="H341" s="55">
        <v>185117.88</v>
      </c>
      <c r="I341" s="46">
        <f t="shared" si="29"/>
        <v>91187.239999999991</v>
      </c>
      <c r="J341" s="43">
        <v>276295.34000000003</v>
      </c>
      <c r="K341" s="43">
        <f t="shared" si="25"/>
        <v>9.779999999969732</v>
      </c>
    </row>
    <row r="342" spans="1:11" x14ac:dyDescent="0.2">
      <c r="A342">
        <v>2889</v>
      </c>
      <c r="B342">
        <v>1</v>
      </c>
      <c r="C342" s="7" t="s">
        <v>334</v>
      </c>
      <c r="D342" s="21">
        <v>4282064.18</v>
      </c>
      <c r="E342" s="59">
        <f t="shared" si="27"/>
        <v>-372583.6</v>
      </c>
      <c r="F342" s="56">
        <f t="shared" si="28"/>
        <v>-8.7010299999999999E-2</v>
      </c>
      <c r="G342" s="21">
        <f t="shared" si="26"/>
        <v>372583.6</v>
      </c>
      <c r="H342" s="55">
        <v>249622.19</v>
      </c>
      <c r="I342" s="46">
        <f t="shared" si="29"/>
        <v>122961.40999999997</v>
      </c>
      <c r="J342" s="43">
        <v>372570.43</v>
      </c>
      <c r="K342" s="43">
        <f t="shared" si="25"/>
        <v>13.169999999983702</v>
      </c>
    </row>
    <row r="343" spans="1:11" x14ac:dyDescent="0.2">
      <c r="A343">
        <v>2890</v>
      </c>
      <c r="B343">
        <v>1</v>
      </c>
      <c r="C343" s="7" t="s">
        <v>335</v>
      </c>
      <c r="D343" s="21">
        <v>4264010.62</v>
      </c>
      <c r="E343" s="59">
        <f t="shared" si="27"/>
        <v>-371012.76</v>
      </c>
      <c r="F343" s="56">
        <f t="shared" si="28"/>
        <v>-8.7010299999999999E-2</v>
      </c>
      <c r="G343" s="21">
        <f t="shared" si="26"/>
        <v>371012.76</v>
      </c>
      <c r="H343" s="55">
        <v>248569.76</v>
      </c>
      <c r="I343" s="46">
        <f t="shared" si="29"/>
        <v>122443</v>
      </c>
      <c r="J343" s="43">
        <v>370999.64</v>
      </c>
      <c r="K343" s="43">
        <f t="shared" si="25"/>
        <v>13.119999999995343</v>
      </c>
    </row>
    <row r="344" spans="1:11" x14ac:dyDescent="0.2">
      <c r="A344">
        <v>2895</v>
      </c>
      <c r="B344">
        <v>1</v>
      </c>
      <c r="C344" s="7" t="s">
        <v>336</v>
      </c>
      <c r="D344" s="21">
        <v>8122771.0700000003</v>
      </c>
      <c r="E344" s="59">
        <f t="shared" si="27"/>
        <v>-706764.59</v>
      </c>
      <c r="F344" s="56">
        <f t="shared" si="28"/>
        <v>-8.7010299999999999E-2</v>
      </c>
      <c r="G344" s="21">
        <f t="shared" si="26"/>
        <v>706764.59</v>
      </c>
      <c r="H344" s="55">
        <v>473515.53</v>
      </c>
      <c r="I344" s="46">
        <f t="shared" si="29"/>
        <v>233249.05999999994</v>
      </c>
      <c r="J344" s="43">
        <v>706739.59</v>
      </c>
      <c r="K344" s="43">
        <f t="shared" si="25"/>
        <v>25</v>
      </c>
    </row>
    <row r="345" spans="1:11" x14ac:dyDescent="0.2">
      <c r="A345">
        <v>2897</v>
      </c>
      <c r="B345">
        <v>1</v>
      </c>
      <c r="C345" s="7" t="s">
        <v>337</v>
      </c>
      <c r="D345" s="21">
        <v>8576580.2400000002</v>
      </c>
      <c r="E345" s="59">
        <f t="shared" si="27"/>
        <v>-746250.65</v>
      </c>
      <c r="F345" s="56">
        <f t="shared" si="28"/>
        <v>-8.7010299999999999E-2</v>
      </c>
      <c r="G345" s="21">
        <f t="shared" si="26"/>
        <v>746250.65</v>
      </c>
      <c r="H345" s="55">
        <v>499970.25</v>
      </c>
      <c r="I345" s="46">
        <f t="shared" si="29"/>
        <v>246280.40000000002</v>
      </c>
      <c r="J345" s="43">
        <v>746224.25</v>
      </c>
      <c r="K345" s="43">
        <f t="shared" si="25"/>
        <v>26.400000000023283</v>
      </c>
    </row>
    <row r="346" spans="1:11" x14ac:dyDescent="0.2">
      <c r="A346">
        <v>2898</v>
      </c>
      <c r="B346">
        <v>1</v>
      </c>
      <c r="C346" s="7" t="s">
        <v>338</v>
      </c>
      <c r="D346" s="21">
        <v>4528594.37</v>
      </c>
      <c r="E346" s="59">
        <f t="shared" si="27"/>
        <v>-394034.27</v>
      </c>
      <c r="F346" s="56">
        <f t="shared" si="28"/>
        <v>-8.7010299999999999E-2</v>
      </c>
      <c r="G346" s="21">
        <f t="shared" si="26"/>
        <v>394034.27</v>
      </c>
      <c r="H346" s="55">
        <v>263993.62</v>
      </c>
      <c r="I346" s="46">
        <f t="shared" si="29"/>
        <v>130040.65000000002</v>
      </c>
      <c r="J346" s="43">
        <v>394020.33</v>
      </c>
      <c r="K346" s="43">
        <f t="shared" si="25"/>
        <v>13.940000000002328</v>
      </c>
    </row>
    <row r="347" spans="1:11" x14ac:dyDescent="0.2">
      <c r="A347">
        <v>2899</v>
      </c>
      <c r="B347">
        <v>1</v>
      </c>
      <c r="C347" s="7" t="s">
        <v>339</v>
      </c>
      <c r="D347" s="21">
        <v>10201955.619999999</v>
      </c>
      <c r="E347" s="59">
        <f t="shared" si="27"/>
        <v>-887675.02</v>
      </c>
      <c r="F347" s="56">
        <f t="shared" si="28"/>
        <v>-8.7010299999999999E-2</v>
      </c>
      <c r="G347" s="21">
        <f t="shared" si="26"/>
        <v>887675.02</v>
      </c>
      <c r="H347" s="55">
        <v>594721.23</v>
      </c>
      <c r="I347" s="46">
        <f t="shared" si="29"/>
        <v>292953.79000000004</v>
      </c>
      <c r="J347" s="43">
        <v>887643.62</v>
      </c>
      <c r="K347" s="43">
        <f t="shared" si="25"/>
        <v>31.400000000023283</v>
      </c>
    </row>
    <row r="348" spans="1:11" x14ac:dyDescent="0.2">
      <c r="A348" s="19">
        <v>2902</v>
      </c>
      <c r="B348" s="19">
        <v>1</v>
      </c>
      <c r="C348" s="20" t="s">
        <v>340</v>
      </c>
      <c r="D348" s="22">
        <v>3760780.62</v>
      </c>
      <c r="E348" s="59">
        <f t="shared" si="27"/>
        <v>-327226.58</v>
      </c>
      <c r="F348" s="56">
        <f t="shared" si="28"/>
        <v>-8.7010299999999999E-2</v>
      </c>
      <c r="G348" s="21">
        <f t="shared" si="26"/>
        <v>327226.58</v>
      </c>
      <c r="H348" s="55">
        <v>219234.05</v>
      </c>
      <c r="I348" s="46">
        <f t="shared" si="29"/>
        <v>107992.53000000003</v>
      </c>
      <c r="J348" s="43">
        <v>327215</v>
      </c>
      <c r="K348" s="43">
        <f t="shared" si="25"/>
        <v>11.580000000016298</v>
      </c>
    </row>
    <row r="349" spans="1:11" x14ac:dyDescent="0.2">
      <c r="A349">
        <v>2903</v>
      </c>
      <c r="B349">
        <v>1</v>
      </c>
      <c r="C349" s="7" t="s">
        <v>341</v>
      </c>
      <c r="D349" s="21">
        <v>4153839.63</v>
      </c>
      <c r="E349" s="59">
        <f t="shared" si="27"/>
        <v>-361426.75</v>
      </c>
      <c r="F349" s="56">
        <f t="shared" si="28"/>
        <v>-8.7010299999999999E-2</v>
      </c>
      <c r="G349" s="21">
        <f t="shared" si="26"/>
        <v>361426.75</v>
      </c>
      <c r="H349" s="55">
        <v>242147.36</v>
      </c>
      <c r="I349" s="46">
        <f t="shared" si="29"/>
        <v>119279.39000000001</v>
      </c>
      <c r="J349" s="43">
        <v>361413.97</v>
      </c>
      <c r="K349" s="43">
        <f t="shared" si="25"/>
        <v>12.78000000002794</v>
      </c>
    </row>
    <row r="350" spans="1:11" x14ac:dyDescent="0.2">
      <c r="A350">
        <v>2904</v>
      </c>
      <c r="B350">
        <v>1</v>
      </c>
      <c r="C350" s="7" t="s">
        <v>342</v>
      </c>
      <c r="D350" s="21">
        <v>5680176.2800000003</v>
      </c>
      <c r="E350" s="59">
        <f t="shared" si="27"/>
        <v>-494233.73</v>
      </c>
      <c r="F350" s="56">
        <f t="shared" si="28"/>
        <v>-8.7010299999999999E-2</v>
      </c>
      <c r="G350" s="21">
        <f t="shared" si="26"/>
        <v>494233.73</v>
      </c>
      <c r="H350" s="55">
        <v>331124.89</v>
      </c>
      <c r="I350" s="46">
        <f t="shared" si="29"/>
        <v>163108.83999999997</v>
      </c>
      <c r="J350" s="43">
        <v>494216.25</v>
      </c>
      <c r="K350" s="43">
        <f t="shared" si="25"/>
        <v>17.479999999981374</v>
      </c>
    </row>
    <row r="351" spans="1:11" x14ac:dyDescent="0.2">
      <c r="A351">
        <v>4000</v>
      </c>
      <c r="B351">
        <v>7</v>
      </c>
      <c r="C351" s="7" t="s">
        <v>345</v>
      </c>
      <c r="D351" s="21">
        <v>1235522.1000000001</v>
      </c>
      <c r="E351" s="59">
        <f t="shared" si="27"/>
        <v>-107503.12</v>
      </c>
      <c r="F351" s="56">
        <f t="shared" si="28"/>
        <v>-8.7010299999999999E-2</v>
      </c>
      <c r="G351" s="21">
        <f t="shared" si="26"/>
        <v>107503.12</v>
      </c>
      <c r="H351" s="55">
        <v>72024.539999999994</v>
      </c>
      <c r="I351" s="46">
        <f t="shared" si="29"/>
        <v>35478.58</v>
      </c>
      <c r="J351" s="43">
        <v>107499.32</v>
      </c>
      <c r="K351" s="43">
        <f t="shared" si="25"/>
        <v>3.7999999999883585</v>
      </c>
    </row>
    <row r="352" spans="1:11" x14ac:dyDescent="0.2">
      <c r="A352">
        <v>4001</v>
      </c>
      <c r="B352">
        <v>7</v>
      </c>
      <c r="C352" s="7" t="s">
        <v>346</v>
      </c>
      <c r="D352" s="21">
        <v>1154761.8400000001</v>
      </c>
      <c r="E352" s="59">
        <f t="shared" si="27"/>
        <v>-100476.15</v>
      </c>
      <c r="F352" s="56">
        <f t="shared" si="28"/>
        <v>-8.7010299999999999E-2</v>
      </c>
      <c r="G352" s="21">
        <f t="shared" si="26"/>
        <v>100476.15</v>
      </c>
      <c r="H352" s="55">
        <v>67316.639999999999</v>
      </c>
      <c r="I352" s="46">
        <f t="shared" si="29"/>
        <v>33159.509999999995</v>
      </c>
      <c r="J352" s="43">
        <v>100472.6</v>
      </c>
      <c r="K352" s="43">
        <f t="shared" si="25"/>
        <v>3.5499999999883585</v>
      </c>
    </row>
    <row r="353" spans="1:11" x14ac:dyDescent="0.2">
      <c r="A353">
        <v>4003</v>
      </c>
      <c r="B353">
        <v>7</v>
      </c>
      <c r="C353" s="7" t="s">
        <v>347</v>
      </c>
      <c r="D353" s="21">
        <v>851306.25</v>
      </c>
      <c r="E353" s="59">
        <f t="shared" si="27"/>
        <v>-74072.399999999994</v>
      </c>
      <c r="F353" s="56">
        <f t="shared" si="28"/>
        <v>-8.7010299999999999E-2</v>
      </c>
      <c r="G353" s="21">
        <f t="shared" si="26"/>
        <v>74072.399999999994</v>
      </c>
      <c r="H353" s="55">
        <v>49626.75</v>
      </c>
      <c r="I353" s="46">
        <f t="shared" si="29"/>
        <v>24445.649999999994</v>
      </c>
      <c r="J353" s="43">
        <v>74069.78</v>
      </c>
      <c r="K353" s="43">
        <f t="shared" si="25"/>
        <v>2.6199999999953434</v>
      </c>
    </row>
    <row r="354" spans="1:11" x14ac:dyDescent="0.2">
      <c r="A354">
        <v>4004</v>
      </c>
      <c r="B354">
        <v>7</v>
      </c>
      <c r="C354" s="7" t="s">
        <v>348</v>
      </c>
      <c r="D354" s="21">
        <v>991209.81</v>
      </c>
      <c r="E354" s="59">
        <f t="shared" si="27"/>
        <v>-86245.440000000002</v>
      </c>
      <c r="F354" s="56">
        <f t="shared" si="28"/>
        <v>-8.7010299999999999E-2</v>
      </c>
      <c r="G354" s="21">
        <f t="shared" si="26"/>
        <v>86245.440000000002</v>
      </c>
      <c r="H354" s="55">
        <v>57782.400000000001</v>
      </c>
      <c r="I354" s="46">
        <f t="shared" si="29"/>
        <v>28463.040000000001</v>
      </c>
      <c r="J354" s="43">
        <v>86242.39</v>
      </c>
      <c r="K354" s="43">
        <f t="shared" si="25"/>
        <v>3.0500000000029104</v>
      </c>
    </row>
    <row r="355" spans="1:11" x14ac:dyDescent="0.2">
      <c r="A355">
        <v>4005</v>
      </c>
      <c r="B355">
        <v>7</v>
      </c>
      <c r="C355" s="7" t="s">
        <v>349</v>
      </c>
      <c r="D355" s="21">
        <v>62476.43</v>
      </c>
      <c r="E355" s="59">
        <f t="shared" si="27"/>
        <v>-5436.09</v>
      </c>
      <c r="F355" s="56">
        <f t="shared" si="28"/>
        <v>-8.7010299999999999E-2</v>
      </c>
      <c r="G355" s="21">
        <f t="shared" si="26"/>
        <v>5436.09</v>
      </c>
      <c r="H355" s="55">
        <v>3642.05</v>
      </c>
      <c r="I355" s="46">
        <f t="shared" si="29"/>
        <v>1794.04</v>
      </c>
      <c r="J355" s="43">
        <v>5435.9</v>
      </c>
      <c r="K355" s="43">
        <f t="shared" si="25"/>
        <v>0.19000000000050932</v>
      </c>
    </row>
    <row r="356" spans="1:11" x14ac:dyDescent="0.2">
      <c r="A356">
        <v>4006</v>
      </c>
      <c r="B356">
        <v>7</v>
      </c>
      <c r="C356" s="7" t="s">
        <v>350</v>
      </c>
      <c r="D356" s="21">
        <v>657273.76</v>
      </c>
      <c r="E356" s="59">
        <f t="shared" si="27"/>
        <v>-57189.57</v>
      </c>
      <c r="F356" s="56">
        <f t="shared" si="28"/>
        <v>-8.7010299999999999E-2</v>
      </c>
      <c r="G356" s="21">
        <f t="shared" si="26"/>
        <v>57189.57</v>
      </c>
      <c r="H356" s="55">
        <v>38315.660000000003</v>
      </c>
      <c r="I356" s="46">
        <f t="shared" si="29"/>
        <v>18873.909999999996</v>
      </c>
      <c r="J356" s="43">
        <v>57187.55</v>
      </c>
      <c r="K356" s="43">
        <f t="shared" si="25"/>
        <v>2.0199999999967986</v>
      </c>
    </row>
    <row r="357" spans="1:11" x14ac:dyDescent="0.2">
      <c r="A357">
        <v>4007</v>
      </c>
      <c r="B357">
        <v>7</v>
      </c>
      <c r="C357" s="7" t="s">
        <v>351</v>
      </c>
      <c r="D357" s="21">
        <v>853443.87</v>
      </c>
      <c r="E357" s="59">
        <f t="shared" si="27"/>
        <v>-74258.39</v>
      </c>
      <c r="F357" s="56">
        <f t="shared" si="28"/>
        <v>-8.7010299999999999E-2</v>
      </c>
      <c r="G357" s="21">
        <f t="shared" si="26"/>
        <v>74258.39</v>
      </c>
      <c r="H357" s="55">
        <v>49751.360000000001</v>
      </c>
      <c r="I357" s="46">
        <f t="shared" si="29"/>
        <v>24507.03</v>
      </c>
      <c r="J357" s="43">
        <v>74255.759999999995</v>
      </c>
      <c r="K357" s="43">
        <f t="shared" si="25"/>
        <v>2.6300000000046566</v>
      </c>
    </row>
    <row r="358" spans="1:11" x14ac:dyDescent="0.2">
      <c r="A358">
        <v>4008</v>
      </c>
      <c r="B358">
        <v>7</v>
      </c>
      <c r="C358" s="7" t="s">
        <v>352</v>
      </c>
      <c r="D358" s="21">
        <v>3524311.36</v>
      </c>
      <c r="E358" s="59">
        <f t="shared" si="27"/>
        <v>-306651.32</v>
      </c>
      <c r="F358" s="56">
        <f t="shared" si="28"/>
        <v>-8.7010299999999999E-2</v>
      </c>
      <c r="G358" s="21">
        <f t="shared" si="26"/>
        <v>306651.32</v>
      </c>
      <c r="H358" s="55">
        <v>205449.11</v>
      </c>
      <c r="I358" s="46">
        <f t="shared" si="29"/>
        <v>101202.21000000002</v>
      </c>
      <c r="J358" s="43">
        <v>306640.46999999997</v>
      </c>
      <c r="K358" s="43">
        <f t="shared" si="25"/>
        <v>10.850000000034925</v>
      </c>
    </row>
    <row r="359" spans="1:11" x14ac:dyDescent="0.2">
      <c r="A359">
        <v>4011</v>
      </c>
      <c r="B359">
        <v>7</v>
      </c>
      <c r="C359" s="7" t="s">
        <v>353</v>
      </c>
      <c r="D359" s="21">
        <v>2127545.48</v>
      </c>
      <c r="E359" s="59">
        <f t="shared" si="27"/>
        <v>-185118.33</v>
      </c>
      <c r="F359" s="56">
        <f t="shared" si="28"/>
        <v>-8.7010299999999999E-2</v>
      </c>
      <c r="G359" s="21">
        <f t="shared" si="26"/>
        <v>185118.33</v>
      </c>
      <c r="H359" s="55">
        <v>124024.89</v>
      </c>
      <c r="I359" s="46">
        <f t="shared" si="29"/>
        <v>61093.439999999988</v>
      </c>
      <c r="J359" s="43">
        <v>185111.78</v>
      </c>
      <c r="K359" s="43">
        <f t="shared" si="25"/>
        <v>6.5499999999883585</v>
      </c>
    </row>
    <row r="360" spans="1:11" x14ac:dyDescent="0.2">
      <c r="A360">
        <v>4012</v>
      </c>
      <c r="B360">
        <v>7</v>
      </c>
      <c r="C360" s="7" t="s">
        <v>354</v>
      </c>
      <c r="D360" s="21">
        <v>304644.03999999998</v>
      </c>
      <c r="E360" s="59">
        <f t="shared" si="27"/>
        <v>-26507.16</v>
      </c>
      <c r="F360" s="56">
        <f t="shared" si="28"/>
        <v>-8.7010299999999999E-2</v>
      </c>
      <c r="G360" s="21">
        <f t="shared" si="26"/>
        <v>26507.16</v>
      </c>
      <c r="H360" s="55">
        <v>17759.169999999998</v>
      </c>
      <c r="I360" s="46">
        <f t="shared" si="29"/>
        <v>8747.9900000000016</v>
      </c>
      <c r="J360" s="43">
        <v>26506.23</v>
      </c>
      <c r="K360" s="43">
        <f t="shared" si="25"/>
        <v>0.93000000000029104</v>
      </c>
    </row>
    <row r="361" spans="1:11" x14ac:dyDescent="0.2">
      <c r="A361">
        <v>4015</v>
      </c>
      <c r="B361">
        <v>7</v>
      </c>
      <c r="C361" s="7" t="s">
        <v>355</v>
      </c>
      <c r="D361" s="21">
        <v>5315638.79</v>
      </c>
      <c r="E361" s="59">
        <f t="shared" si="27"/>
        <v>-462515.22</v>
      </c>
      <c r="F361" s="56">
        <f t="shared" si="28"/>
        <v>-8.7010299999999999E-2</v>
      </c>
      <c r="G361" s="21">
        <f t="shared" si="26"/>
        <v>462515.22</v>
      </c>
      <c r="H361" s="55">
        <v>309874.24</v>
      </c>
      <c r="I361" s="46">
        <f t="shared" si="29"/>
        <v>152640.97999999998</v>
      </c>
      <c r="J361" s="43">
        <v>462498.86</v>
      </c>
      <c r="K361" s="43">
        <f t="shared" si="25"/>
        <v>16.35999999998603</v>
      </c>
    </row>
    <row r="362" spans="1:11" x14ac:dyDescent="0.2">
      <c r="A362">
        <v>4016</v>
      </c>
      <c r="B362">
        <v>7</v>
      </c>
      <c r="C362" s="7" t="s">
        <v>356</v>
      </c>
      <c r="D362" s="21">
        <v>971428.64</v>
      </c>
      <c r="E362" s="59">
        <f t="shared" si="27"/>
        <v>-84524.28</v>
      </c>
      <c r="F362" s="56">
        <f t="shared" si="28"/>
        <v>-8.7010299999999999E-2</v>
      </c>
      <c r="G362" s="21">
        <f t="shared" si="26"/>
        <v>84524.28</v>
      </c>
      <c r="H362" s="55">
        <v>56629.26</v>
      </c>
      <c r="I362" s="46">
        <f t="shared" si="29"/>
        <v>27895.019999999997</v>
      </c>
      <c r="J362" s="43">
        <v>84521.29</v>
      </c>
      <c r="K362" s="43">
        <f t="shared" si="25"/>
        <v>2.9900000000052387</v>
      </c>
    </row>
    <row r="363" spans="1:11" x14ac:dyDescent="0.2">
      <c r="A363">
        <v>4017</v>
      </c>
      <c r="B363">
        <v>7</v>
      </c>
      <c r="C363" s="7" t="s">
        <v>357</v>
      </c>
      <c r="D363" s="21">
        <v>14845661.17</v>
      </c>
      <c r="E363" s="59">
        <f t="shared" si="27"/>
        <v>-1291725.1399999999</v>
      </c>
      <c r="F363" s="56">
        <f t="shared" si="28"/>
        <v>-8.7010299999999999E-2</v>
      </c>
      <c r="G363" s="21">
        <f t="shared" si="26"/>
        <v>1291725.1399999999</v>
      </c>
      <c r="H363" s="55">
        <v>865425.23</v>
      </c>
      <c r="I363" s="46">
        <f t="shared" si="29"/>
        <v>426299.90999999992</v>
      </c>
      <c r="J363" s="43">
        <v>1291679.45</v>
      </c>
      <c r="K363" s="43">
        <f t="shared" si="25"/>
        <v>45.689999999944121</v>
      </c>
    </row>
    <row r="364" spans="1:11" x14ac:dyDescent="0.2">
      <c r="A364">
        <v>4018</v>
      </c>
      <c r="B364">
        <v>7</v>
      </c>
      <c r="C364" s="7" t="s">
        <v>358</v>
      </c>
      <c r="D364" s="21">
        <v>3458936.31</v>
      </c>
      <c r="E364" s="59">
        <f t="shared" si="27"/>
        <v>-300963.02</v>
      </c>
      <c r="F364" s="56">
        <f t="shared" si="28"/>
        <v>-8.7010299999999999E-2</v>
      </c>
      <c r="G364" s="21">
        <f t="shared" si="26"/>
        <v>300963.02</v>
      </c>
      <c r="H364" s="55">
        <v>201638.09</v>
      </c>
      <c r="I364" s="46">
        <f t="shared" si="29"/>
        <v>99324.930000000022</v>
      </c>
      <c r="J364" s="43">
        <v>300952.37</v>
      </c>
      <c r="K364" s="43">
        <f t="shared" si="25"/>
        <v>10.650000000023283</v>
      </c>
    </row>
    <row r="365" spans="1:11" x14ac:dyDescent="0.2">
      <c r="A365">
        <v>4020</v>
      </c>
      <c r="B365">
        <v>7</v>
      </c>
      <c r="C365" s="7" t="s">
        <v>359</v>
      </c>
      <c r="D365" s="21">
        <v>5591735.0800000001</v>
      </c>
      <c r="E365" s="59">
        <f t="shared" si="27"/>
        <v>-486538.44</v>
      </c>
      <c r="F365" s="56">
        <f t="shared" si="28"/>
        <v>-8.7010299999999999E-2</v>
      </c>
      <c r="G365" s="21">
        <f t="shared" si="26"/>
        <v>486538.44</v>
      </c>
      <c r="H365" s="55">
        <v>325969.21999999997</v>
      </c>
      <c r="I365" s="46">
        <f t="shared" si="29"/>
        <v>160569.22000000003</v>
      </c>
      <c r="J365" s="43">
        <v>486521.23</v>
      </c>
      <c r="K365" s="43">
        <f t="shared" si="25"/>
        <v>17.210000000020955</v>
      </c>
    </row>
    <row r="366" spans="1:11" x14ac:dyDescent="0.2">
      <c r="A366" s="19">
        <v>4025</v>
      </c>
      <c r="B366" s="19">
        <v>7</v>
      </c>
      <c r="C366" s="20" t="s">
        <v>360</v>
      </c>
      <c r="D366" s="22">
        <v>777176.38</v>
      </c>
      <c r="E366" s="59">
        <f t="shared" si="27"/>
        <v>-67622.33</v>
      </c>
      <c r="F366" s="56">
        <f t="shared" si="28"/>
        <v>-8.7010299999999999E-2</v>
      </c>
      <c r="G366" s="21">
        <f t="shared" si="26"/>
        <v>67622.33</v>
      </c>
      <c r="H366" s="55">
        <v>45305.36</v>
      </c>
      <c r="I366" s="46">
        <f t="shared" si="29"/>
        <v>22316.97</v>
      </c>
      <c r="J366" s="43">
        <v>67619.94</v>
      </c>
      <c r="K366" s="43">
        <f t="shared" si="25"/>
        <v>2.3899999999994179</v>
      </c>
    </row>
    <row r="367" spans="1:11" x14ac:dyDescent="0.2">
      <c r="A367">
        <v>4026</v>
      </c>
      <c r="B367">
        <v>7</v>
      </c>
      <c r="C367" s="7" t="s">
        <v>361</v>
      </c>
      <c r="D367" s="21">
        <v>1323641.05</v>
      </c>
      <c r="E367" s="59">
        <f t="shared" si="27"/>
        <v>-115170.38</v>
      </c>
      <c r="F367" s="56">
        <f t="shared" si="28"/>
        <v>-8.7010299999999999E-2</v>
      </c>
      <c r="G367" s="21">
        <f t="shared" si="26"/>
        <v>115170.38</v>
      </c>
      <c r="H367" s="55">
        <v>77161.429999999993</v>
      </c>
      <c r="I367" s="46">
        <f t="shared" si="29"/>
        <v>38008.950000000012</v>
      </c>
      <c r="J367" s="43">
        <v>115166.31</v>
      </c>
      <c r="K367" s="43">
        <f t="shared" si="25"/>
        <v>4.0700000000069849</v>
      </c>
    </row>
    <row r="368" spans="1:11" x14ac:dyDescent="0.2">
      <c r="A368">
        <v>4027</v>
      </c>
      <c r="B368">
        <v>7</v>
      </c>
      <c r="C368" s="7" t="s">
        <v>362</v>
      </c>
      <c r="D368" s="21">
        <v>4886388.59</v>
      </c>
      <c r="E368" s="59">
        <f t="shared" si="27"/>
        <v>-425166.04</v>
      </c>
      <c r="F368" s="56">
        <f t="shared" si="28"/>
        <v>-8.7010299999999999E-2</v>
      </c>
      <c r="G368" s="21">
        <f t="shared" si="26"/>
        <v>425166.04</v>
      </c>
      <c r="H368" s="55">
        <v>284851.17</v>
      </c>
      <c r="I368" s="46">
        <f t="shared" si="29"/>
        <v>140314.87</v>
      </c>
      <c r="J368" s="43">
        <v>425151</v>
      </c>
      <c r="K368" s="43">
        <f t="shared" si="25"/>
        <v>15.039999999979045</v>
      </c>
    </row>
    <row r="369" spans="1:11" x14ac:dyDescent="0.2">
      <c r="A369">
        <v>4028</v>
      </c>
      <c r="B369">
        <v>7</v>
      </c>
      <c r="C369" s="7" t="s">
        <v>1011</v>
      </c>
      <c r="D369" s="21">
        <v>0</v>
      </c>
      <c r="E369" s="59">
        <f>ROUND(-D369*$D$520,2)</f>
        <v>0</v>
      </c>
      <c r="F369" s="56" t="str">
        <f t="shared" si="28"/>
        <v xml:space="preserve">na   </v>
      </c>
      <c r="G369" s="21">
        <f t="shared" si="26"/>
        <v>0</v>
      </c>
      <c r="H369" s="55">
        <v>11849.74</v>
      </c>
      <c r="I369" s="46">
        <f t="shared" si="29"/>
        <v>-11849.74</v>
      </c>
      <c r="J369" s="43">
        <v>17686.18</v>
      </c>
      <c r="K369" s="43">
        <f t="shared" si="25"/>
        <v>-17686.18</v>
      </c>
    </row>
    <row r="370" spans="1:11" x14ac:dyDescent="0.2">
      <c r="A370">
        <v>4029</v>
      </c>
      <c r="B370">
        <v>7</v>
      </c>
      <c r="C370" s="7" t="s">
        <v>364</v>
      </c>
      <c r="D370" s="21">
        <v>2810262.65</v>
      </c>
      <c r="E370" s="59">
        <f t="shared" si="27"/>
        <v>-244521.74</v>
      </c>
      <c r="F370" s="56">
        <f t="shared" si="28"/>
        <v>-8.7010299999999999E-2</v>
      </c>
      <c r="G370" s="21">
        <f t="shared" si="26"/>
        <v>244521.74</v>
      </c>
      <c r="H370" s="55">
        <v>163823.76999999999</v>
      </c>
      <c r="I370" s="46">
        <f t="shared" si="29"/>
        <v>80697.97</v>
      </c>
      <c r="J370" s="43">
        <v>244513.09</v>
      </c>
      <c r="K370" s="43">
        <f t="shared" si="25"/>
        <v>8.6499999999941792</v>
      </c>
    </row>
    <row r="371" spans="1:11" x14ac:dyDescent="0.2">
      <c r="A371">
        <v>4030</v>
      </c>
      <c r="B371">
        <v>7</v>
      </c>
      <c r="C371" s="7" t="s">
        <v>365</v>
      </c>
      <c r="D371" s="21">
        <v>1248582.1599999999</v>
      </c>
      <c r="E371" s="59">
        <f t="shared" si="27"/>
        <v>-108639.48</v>
      </c>
      <c r="F371" s="56">
        <f t="shared" si="28"/>
        <v>-8.7010299999999999E-2</v>
      </c>
      <c r="G371" s="21">
        <f t="shared" si="26"/>
        <v>108639.48</v>
      </c>
      <c r="H371" s="55">
        <v>72785.88</v>
      </c>
      <c r="I371" s="46">
        <f t="shared" si="29"/>
        <v>35853.599999999991</v>
      </c>
      <c r="J371" s="43">
        <v>108635.64</v>
      </c>
      <c r="K371" s="43">
        <f t="shared" si="25"/>
        <v>3.8399999999965075</v>
      </c>
    </row>
    <row r="372" spans="1:11" x14ac:dyDescent="0.2">
      <c r="A372">
        <v>4031</v>
      </c>
      <c r="B372">
        <v>7</v>
      </c>
      <c r="C372" s="7" t="s">
        <v>366</v>
      </c>
      <c r="D372" s="21">
        <v>444958.8</v>
      </c>
      <c r="E372" s="59">
        <f t="shared" si="27"/>
        <v>-38715.99</v>
      </c>
      <c r="F372" s="56">
        <f t="shared" si="28"/>
        <v>-8.7010299999999999E-2</v>
      </c>
      <c r="G372" s="21">
        <f t="shared" si="26"/>
        <v>38715.99</v>
      </c>
      <c r="H372" s="55">
        <v>25938.799999999999</v>
      </c>
      <c r="I372" s="46">
        <f t="shared" si="29"/>
        <v>12777.189999999999</v>
      </c>
      <c r="J372" s="43">
        <v>38714.620000000003</v>
      </c>
      <c r="K372" s="43">
        <f t="shared" si="25"/>
        <v>1.3699999999953434</v>
      </c>
    </row>
    <row r="373" spans="1:11" x14ac:dyDescent="0.2">
      <c r="A373">
        <v>4032</v>
      </c>
      <c r="B373">
        <v>7</v>
      </c>
      <c r="C373" s="7" t="s">
        <v>367</v>
      </c>
      <c r="D373" s="21">
        <v>3194215.62</v>
      </c>
      <c r="E373" s="59">
        <f t="shared" si="27"/>
        <v>-277929.59999999998</v>
      </c>
      <c r="F373" s="56">
        <f t="shared" si="28"/>
        <v>-8.7010299999999999E-2</v>
      </c>
      <c r="G373" s="21">
        <f t="shared" si="26"/>
        <v>277929.59999999998</v>
      </c>
      <c r="H373" s="55">
        <v>186206.25</v>
      </c>
      <c r="I373" s="46">
        <f t="shared" si="29"/>
        <v>91723.349999999977</v>
      </c>
      <c r="J373" s="43">
        <v>277919.77</v>
      </c>
      <c r="K373" s="43">
        <f t="shared" si="25"/>
        <v>9.8299999999580905</v>
      </c>
    </row>
    <row r="374" spans="1:11" x14ac:dyDescent="0.2">
      <c r="A374">
        <v>4035</v>
      </c>
      <c r="B374">
        <v>7</v>
      </c>
      <c r="C374" s="7" t="s">
        <v>368</v>
      </c>
      <c r="D374" s="21">
        <v>1845742.86</v>
      </c>
      <c r="E374" s="59">
        <f t="shared" si="27"/>
        <v>-160598.6</v>
      </c>
      <c r="F374" s="56">
        <f t="shared" si="28"/>
        <v>-8.7010299999999999E-2</v>
      </c>
      <c r="G374" s="21">
        <f t="shared" si="26"/>
        <v>160598.6</v>
      </c>
      <c r="H374" s="55">
        <v>107597.26</v>
      </c>
      <c r="I374" s="46">
        <f t="shared" si="29"/>
        <v>53001.340000000011</v>
      </c>
      <c r="J374" s="43">
        <v>160592.92000000001</v>
      </c>
      <c r="K374" s="43">
        <f t="shared" si="25"/>
        <v>5.6799999999930151</v>
      </c>
    </row>
    <row r="375" spans="1:11" x14ac:dyDescent="0.2">
      <c r="A375">
        <v>4036</v>
      </c>
      <c r="B375">
        <v>7</v>
      </c>
      <c r="C375" s="7" t="s">
        <v>369</v>
      </c>
      <c r="D375" s="21">
        <v>573663.39</v>
      </c>
      <c r="E375" s="59">
        <f t="shared" si="27"/>
        <v>-49914.61</v>
      </c>
      <c r="F375" s="56">
        <f t="shared" si="28"/>
        <v>-8.7010299999999999E-2</v>
      </c>
      <c r="G375" s="21">
        <f t="shared" si="26"/>
        <v>49914.61</v>
      </c>
      <c r="H375" s="55">
        <v>33441.61</v>
      </c>
      <c r="I375" s="46">
        <f t="shared" si="29"/>
        <v>16473</v>
      </c>
      <c r="J375" s="43">
        <v>49912.85</v>
      </c>
      <c r="K375" s="43">
        <f t="shared" si="25"/>
        <v>1.7600000000020373</v>
      </c>
    </row>
    <row r="376" spans="1:11" x14ac:dyDescent="0.2">
      <c r="A376">
        <v>4038</v>
      </c>
      <c r="B376">
        <v>7</v>
      </c>
      <c r="C376" s="7" t="s">
        <v>370</v>
      </c>
      <c r="D376" s="21">
        <v>2253332.2400000002</v>
      </c>
      <c r="E376" s="59">
        <f t="shared" si="27"/>
        <v>-196063.07</v>
      </c>
      <c r="F376" s="56">
        <f t="shared" si="28"/>
        <v>-8.7010299999999999E-2</v>
      </c>
      <c r="G376" s="21">
        <f t="shared" si="26"/>
        <v>196063.07</v>
      </c>
      <c r="H376" s="55">
        <v>131357.60999999999</v>
      </c>
      <c r="I376" s="46">
        <f t="shared" si="29"/>
        <v>64705.460000000021</v>
      </c>
      <c r="J376" s="43">
        <v>196056.13</v>
      </c>
      <c r="K376" s="43">
        <f t="shared" si="25"/>
        <v>6.9400000000023283</v>
      </c>
    </row>
    <row r="377" spans="1:11" x14ac:dyDescent="0.2">
      <c r="A377">
        <v>4039</v>
      </c>
      <c r="B377">
        <v>7</v>
      </c>
      <c r="C377" s="7" t="s">
        <v>371</v>
      </c>
      <c r="D377" s="21">
        <v>1998896.27</v>
      </c>
      <c r="E377" s="59">
        <f t="shared" si="27"/>
        <v>-173924.52</v>
      </c>
      <c r="F377" s="56">
        <f t="shared" si="28"/>
        <v>-8.7010299999999999E-2</v>
      </c>
      <c r="G377" s="21">
        <f t="shared" si="26"/>
        <v>173924.52</v>
      </c>
      <c r="H377" s="55">
        <v>116525.31</v>
      </c>
      <c r="I377" s="46">
        <f t="shared" si="29"/>
        <v>57399.209999999992</v>
      </c>
      <c r="J377" s="43">
        <v>173918.37</v>
      </c>
      <c r="K377" s="43">
        <f t="shared" si="25"/>
        <v>6.1499999999941792</v>
      </c>
    </row>
    <row r="378" spans="1:11" x14ac:dyDescent="0.2">
      <c r="A378">
        <v>4042</v>
      </c>
      <c r="B378">
        <v>7</v>
      </c>
      <c r="C378" s="7" t="s">
        <v>372</v>
      </c>
      <c r="D378" s="21">
        <v>1301084.53</v>
      </c>
      <c r="E378" s="59">
        <f t="shared" si="27"/>
        <v>-113207.73</v>
      </c>
      <c r="F378" s="56">
        <f t="shared" si="28"/>
        <v>-8.7010299999999999E-2</v>
      </c>
      <c r="G378" s="21">
        <f t="shared" si="26"/>
        <v>113207.73</v>
      </c>
      <c r="H378" s="55">
        <v>75846.5</v>
      </c>
      <c r="I378" s="46">
        <f t="shared" si="29"/>
        <v>37361.229999999996</v>
      </c>
      <c r="J378" s="43">
        <v>113203.73</v>
      </c>
      <c r="K378" s="43">
        <f t="shared" si="25"/>
        <v>4</v>
      </c>
    </row>
    <row r="379" spans="1:11" x14ac:dyDescent="0.2">
      <c r="A379">
        <v>4043</v>
      </c>
      <c r="B379">
        <v>7</v>
      </c>
      <c r="C379" s="7" t="s">
        <v>373</v>
      </c>
      <c r="D379" s="21">
        <v>1850749.87</v>
      </c>
      <c r="E379" s="59">
        <f t="shared" si="27"/>
        <v>-161034.26999999999</v>
      </c>
      <c r="F379" s="56">
        <f t="shared" si="28"/>
        <v>-8.7010299999999999E-2</v>
      </c>
      <c r="G379" s="21">
        <f t="shared" si="26"/>
        <v>161034.26999999999</v>
      </c>
      <c r="H379" s="55">
        <v>107889.14</v>
      </c>
      <c r="I379" s="46">
        <f t="shared" si="29"/>
        <v>53145.12999999999</v>
      </c>
      <c r="J379" s="43">
        <v>161028.57</v>
      </c>
      <c r="K379" s="43">
        <f t="shared" si="25"/>
        <v>5.6999999999825377</v>
      </c>
    </row>
    <row r="380" spans="1:11" x14ac:dyDescent="0.2">
      <c r="A380">
        <v>4045</v>
      </c>
      <c r="B380">
        <v>7</v>
      </c>
      <c r="C380" s="7" t="s">
        <v>374</v>
      </c>
      <c r="D380" s="21">
        <v>485695.69</v>
      </c>
      <c r="E380" s="59">
        <f t="shared" si="27"/>
        <v>-42260.52</v>
      </c>
      <c r="F380" s="56">
        <f t="shared" si="28"/>
        <v>-8.7010299999999999E-2</v>
      </c>
      <c r="G380" s="21">
        <f t="shared" si="26"/>
        <v>42260.52</v>
      </c>
      <c r="H380" s="55">
        <v>28313.54</v>
      </c>
      <c r="I380" s="46">
        <f t="shared" si="29"/>
        <v>13946.979999999996</v>
      </c>
      <c r="J380" s="43">
        <v>42259.02</v>
      </c>
      <c r="K380" s="43">
        <f t="shared" si="25"/>
        <v>1.5</v>
      </c>
    </row>
    <row r="381" spans="1:11" x14ac:dyDescent="0.2">
      <c r="A381">
        <v>4046</v>
      </c>
      <c r="B381">
        <v>7</v>
      </c>
      <c r="C381" s="7" t="s">
        <v>375</v>
      </c>
      <c r="D381" s="21">
        <v>641262.72</v>
      </c>
      <c r="E381" s="59">
        <f t="shared" si="27"/>
        <v>-55796.45</v>
      </c>
      <c r="F381" s="56">
        <f t="shared" si="28"/>
        <v>-8.7010299999999999E-2</v>
      </c>
      <c r="G381" s="21">
        <f t="shared" si="26"/>
        <v>55796.45</v>
      </c>
      <c r="H381" s="55">
        <v>37382.300000000003</v>
      </c>
      <c r="I381" s="46">
        <f t="shared" si="29"/>
        <v>18414.149999999994</v>
      </c>
      <c r="J381" s="43">
        <v>55794.48</v>
      </c>
      <c r="K381" s="43">
        <f t="shared" si="25"/>
        <v>1.9699999999938882</v>
      </c>
    </row>
    <row r="382" spans="1:11" x14ac:dyDescent="0.2">
      <c r="A382">
        <v>4048</v>
      </c>
      <c r="B382">
        <v>7</v>
      </c>
      <c r="C382" s="7" t="s">
        <v>376</v>
      </c>
      <c r="D382" s="21">
        <v>301833.64</v>
      </c>
      <c r="E382" s="59">
        <f t="shared" si="27"/>
        <v>-26262.63</v>
      </c>
      <c r="F382" s="56">
        <f t="shared" si="28"/>
        <v>-8.7010299999999999E-2</v>
      </c>
      <c r="G382" s="21">
        <f t="shared" si="26"/>
        <v>26262.63</v>
      </c>
      <c r="H382" s="55">
        <v>17595.34</v>
      </c>
      <c r="I382" s="46">
        <f t="shared" si="29"/>
        <v>8667.2900000000009</v>
      </c>
      <c r="J382" s="43">
        <v>26261.7</v>
      </c>
      <c r="K382" s="43">
        <f t="shared" si="25"/>
        <v>0.93000000000029104</v>
      </c>
    </row>
    <row r="383" spans="1:11" x14ac:dyDescent="0.2">
      <c r="A383">
        <v>4049</v>
      </c>
      <c r="B383">
        <v>7</v>
      </c>
      <c r="C383" s="7" t="s">
        <v>377</v>
      </c>
      <c r="D383" s="21">
        <v>1123032.04</v>
      </c>
      <c r="E383" s="59">
        <f t="shared" si="27"/>
        <v>-97715.33</v>
      </c>
      <c r="F383" s="56">
        <f t="shared" si="28"/>
        <v>-8.7010299999999999E-2</v>
      </c>
      <c r="G383" s="21">
        <f t="shared" si="26"/>
        <v>97715.33</v>
      </c>
      <c r="H383" s="55">
        <v>65466.96</v>
      </c>
      <c r="I383" s="46">
        <f t="shared" si="29"/>
        <v>32248.370000000003</v>
      </c>
      <c r="J383" s="43">
        <v>97711.88</v>
      </c>
      <c r="K383" s="43">
        <f t="shared" ref="K383:K446" si="30">G383-J383</f>
        <v>3.4499999999970896</v>
      </c>
    </row>
    <row r="384" spans="1:11" x14ac:dyDescent="0.2">
      <c r="A384">
        <v>4050</v>
      </c>
      <c r="B384">
        <v>7</v>
      </c>
      <c r="C384" s="7" t="s">
        <v>378</v>
      </c>
      <c r="D384" s="21">
        <v>542033.80000000005</v>
      </c>
      <c r="E384" s="59">
        <f t="shared" si="27"/>
        <v>-47162.51</v>
      </c>
      <c r="F384" s="56">
        <f t="shared" si="28"/>
        <v>-8.7010299999999999E-2</v>
      </c>
      <c r="G384" s="21">
        <f t="shared" si="26"/>
        <v>47162.51</v>
      </c>
      <c r="H384" s="55">
        <v>31597.759999999998</v>
      </c>
      <c r="I384" s="46">
        <f t="shared" si="29"/>
        <v>15564.750000000004</v>
      </c>
      <c r="J384" s="43">
        <v>47160.84</v>
      </c>
      <c r="K384" s="43">
        <f t="shared" si="30"/>
        <v>1.6700000000055297</v>
      </c>
    </row>
    <row r="385" spans="1:11" x14ac:dyDescent="0.2">
      <c r="A385">
        <v>4052</v>
      </c>
      <c r="B385">
        <v>7</v>
      </c>
      <c r="C385" s="7" t="s">
        <v>379</v>
      </c>
      <c r="D385" s="21">
        <v>984488.11</v>
      </c>
      <c r="E385" s="59">
        <f t="shared" si="27"/>
        <v>-85660.59</v>
      </c>
      <c r="F385" s="56">
        <f t="shared" si="28"/>
        <v>-8.7010299999999999E-2</v>
      </c>
      <c r="G385" s="21">
        <f t="shared" si="26"/>
        <v>85660.59</v>
      </c>
      <c r="H385" s="55">
        <v>57390.57</v>
      </c>
      <c r="I385" s="46">
        <f t="shared" si="29"/>
        <v>28270.019999999997</v>
      </c>
      <c r="J385" s="43">
        <v>85657.56</v>
      </c>
      <c r="K385" s="43">
        <f t="shared" si="30"/>
        <v>3.0299999999988358</v>
      </c>
    </row>
    <row r="386" spans="1:11" x14ac:dyDescent="0.2">
      <c r="A386">
        <v>4053</v>
      </c>
      <c r="B386">
        <v>7</v>
      </c>
      <c r="C386" s="7" t="s">
        <v>380</v>
      </c>
      <c r="D386" s="21">
        <v>1179920.97</v>
      </c>
      <c r="E386" s="59">
        <f t="shared" si="27"/>
        <v>-102665.25</v>
      </c>
      <c r="F386" s="56">
        <f t="shared" si="28"/>
        <v>-8.7010299999999999E-2</v>
      </c>
      <c r="G386" s="21">
        <f t="shared" si="26"/>
        <v>102665.25</v>
      </c>
      <c r="H386" s="55">
        <v>68783.289999999994</v>
      </c>
      <c r="I386" s="46">
        <f t="shared" si="29"/>
        <v>33881.960000000006</v>
      </c>
      <c r="J386" s="43">
        <v>102661.62</v>
      </c>
      <c r="K386" s="43">
        <f t="shared" si="30"/>
        <v>3.6300000000046566</v>
      </c>
    </row>
    <row r="387" spans="1:11" x14ac:dyDescent="0.2">
      <c r="A387">
        <v>4054</v>
      </c>
      <c r="B387">
        <v>7</v>
      </c>
      <c r="C387" s="7" t="s">
        <v>381</v>
      </c>
      <c r="D387" s="21">
        <v>293368.52</v>
      </c>
      <c r="E387" s="59">
        <f t="shared" si="27"/>
        <v>-25526.080000000002</v>
      </c>
      <c r="F387" s="56">
        <f t="shared" si="28"/>
        <v>-8.7010299999999999E-2</v>
      </c>
      <c r="G387" s="21">
        <f t="shared" si="26"/>
        <v>25526.080000000002</v>
      </c>
      <c r="H387" s="55">
        <v>17101.86</v>
      </c>
      <c r="I387" s="46">
        <f t="shared" si="29"/>
        <v>8424.2200000000012</v>
      </c>
      <c r="J387" s="43">
        <v>25525.17</v>
      </c>
      <c r="K387" s="43">
        <f t="shared" si="30"/>
        <v>0.91000000000349246</v>
      </c>
    </row>
    <row r="388" spans="1:11" x14ac:dyDescent="0.2">
      <c r="A388">
        <v>4055</v>
      </c>
      <c r="B388">
        <v>7</v>
      </c>
      <c r="C388" s="7" t="s">
        <v>382</v>
      </c>
      <c r="D388" s="21">
        <v>851317.02</v>
      </c>
      <c r="E388" s="59">
        <f t="shared" si="27"/>
        <v>-74073.33</v>
      </c>
      <c r="F388" s="56">
        <f t="shared" si="28"/>
        <v>-8.7010299999999999E-2</v>
      </c>
      <c r="G388" s="21">
        <f t="shared" si="26"/>
        <v>74073.33</v>
      </c>
      <c r="H388" s="55">
        <v>49627.38</v>
      </c>
      <c r="I388" s="46">
        <f t="shared" si="29"/>
        <v>24445.950000000004</v>
      </c>
      <c r="J388" s="43">
        <v>74070.710000000006</v>
      </c>
      <c r="K388" s="43">
        <f t="shared" si="30"/>
        <v>2.6199999999953434</v>
      </c>
    </row>
    <row r="389" spans="1:11" x14ac:dyDescent="0.2">
      <c r="A389">
        <v>4056</v>
      </c>
      <c r="B389">
        <v>7</v>
      </c>
      <c r="C389" s="7" t="s">
        <v>383</v>
      </c>
      <c r="D389" s="21">
        <v>825622.75</v>
      </c>
      <c r="E389" s="59">
        <f t="shared" si="27"/>
        <v>-71837.67</v>
      </c>
      <c r="F389" s="56">
        <f t="shared" si="28"/>
        <v>-8.7010299999999999E-2</v>
      </c>
      <c r="G389" s="21">
        <f t="shared" si="26"/>
        <v>71837.67</v>
      </c>
      <c r="H389" s="55">
        <v>48129.54</v>
      </c>
      <c r="I389" s="46">
        <f t="shared" si="29"/>
        <v>23708.129999999997</v>
      </c>
      <c r="J389" s="43">
        <v>71835.13</v>
      </c>
      <c r="K389" s="43">
        <f t="shared" si="30"/>
        <v>2.5399999999935972</v>
      </c>
    </row>
    <row r="390" spans="1:11" x14ac:dyDescent="0.2">
      <c r="A390">
        <v>4057</v>
      </c>
      <c r="B390">
        <v>7</v>
      </c>
      <c r="C390" s="7" t="s">
        <v>384</v>
      </c>
      <c r="D390" s="21">
        <v>947473.25</v>
      </c>
      <c r="E390" s="59">
        <f t="shared" si="27"/>
        <v>-82439.91</v>
      </c>
      <c r="F390" s="56">
        <f t="shared" si="28"/>
        <v>-8.7010299999999999E-2</v>
      </c>
      <c r="G390" s="21">
        <f t="shared" si="26"/>
        <v>82439.91</v>
      </c>
      <c r="H390" s="55">
        <v>55232.79</v>
      </c>
      <c r="I390" s="46">
        <f t="shared" si="29"/>
        <v>27207.120000000003</v>
      </c>
      <c r="J390" s="43">
        <v>82437</v>
      </c>
      <c r="K390" s="43">
        <f t="shared" si="30"/>
        <v>2.9100000000034925</v>
      </c>
    </row>
    <row r="391" spans="1:11" x14ac:dyDescent="0.2">
      <c r="A391">
        <v>4058</v>
      </c>
      <c r="B391">
        <v>7</v>
      </c>
      <c r="C391" s="7" t="s">
        <v>385</v>
      </c>
      <c r="D391" s="21">
        <v>1020027.38</v>
      </c>
      <c r="E391" s="59">
        <f t="shared" si="27"/>
        <v>-88752.87</v>
      </c>
      <c r="F391" s="56">
        <f t="shared" si="28"/>
        <v>-8.7010299999999999E-2</v>
      </c>
      <c r="G391" s="21">
        <f t="shared" si="26"/>
        <v>88752.87</v>
      </c>
      <c r="H391" s="55">
        <v>59462.32</v>
      </c>
      <c r="I391" s="46">
        <f t="shared" si="29"/>
        <v>29290.549999999996</v>
      </c>
      <c r="J391" s="43">
        <v>88749.73</v>
      </c>
      <c r="K391" s="43">
        <f t="shared" si="30"/>
        <v>3.1399999999994179</v>
      </c>
    </row>
    <row r="392" spans="1:11" x14ac:dyDescent="0.2">
      <c r="A392">
        <v>4059</v>
      </c>
      <c r="B392">
        <v>7</v>
      </c>
      <c r="C392" s="7" t="s">
        <v>386</v>
      </c>
      <c r="D392" s="21">
        <v>674541.83</v>
      </c>
      <c r="E392" s="59">
        <f t="shared" si="27"/>
        <v>-58692.07</v>
      </c>
      <c r="F392" s="56">
        <f t="shared" si="28"/>
        <v>-8.7010299999999999E-2</v>
      </c>
      <c r="G392" s="21">
        <f t="shared" si="26"/>
        <v>58692.07</v>
      </c>
      <c r="H392" s="55">
        <v>39322.300000000003</v>
      </c>
      <c r="I392" s="46">
        <f t="shared" si="29"/>
        <v>19369.769999999997</v>
      </c>
      <c r="J392" s="43">
        <v>58690</v>
      </c>
      <c r="K392" s="43">
        <f t="shared" si="30"/>
        <v>2.069999999999709</v>
      </c>
    </row>
    <row r="393" spans="1:11" x14ac:dyDescent="0.2">
      <c r="A393">
        <v>4061</v>
      </c>
      <c r="B393">
        <v>7</v>
      </c>
      <c r="C393" s="7" t="s">
        <v>387</v>
      </c>
      <c r="D393" s="21">
        <v>842208.65</v>
      </c>
      <c r="E393" s="59">
        <f t="shared" si="27"/>
        <v>-73280.81</v>
      </c>
      <c r="F393" s="56">
        <f t="shared" si="28"/>
        <v>-8.7010299999999999E-2</v>
      </c>
      <c r="G393" s="21">
        <f t="shared" si="26"/>
        <v>73280.81</v>
      </c>
      <c r="H393" s="55">
        <v>49096.41</v>
      </c>
      <c r="I393" s="46">
        <f t="shared" si="29"/>
        <v>24184.399999999994</v>
      </c>
      <c r="J393" s="43">
        <v>73278.22</v>
      </c>
      <c r="K393" s="43">
        <f t="shared" si="30"/>
        <v>2.5899999999965075</v>
      </c>
    </row>
    <row r="394" spans="1:11" x14ac:dyDescent="0.2">
      <c r="A394">
        <v>4064</v>
      </c>
      <c r="B394">
        <v>7</v>
      </c>
      <c r="C394" s="7" t="s">
        <v>388</v>
      </c>
      <c r="D394" s="21">
        <v>689530.15</v>
      </c>
      <c r="E394" s="59">
        <f t="shared" si="27"/>
        <v>-59996.21</v>
      </c>
      <c r="F394" s="56">
        <f t="shared" si="28"/>
        <v>-8.7010299999999999E-2</v>
      </c>
      <c r="G394" s="21">
        <f t="shared" si="26"/>
        <v>59996.21</v>
      </c>
      <c r="H394" s="55">
        <v>40196.04</v>
      </c>
      <c r="I394" s="46">
        <f t="shared" si="29"/>
        <v>19800.169999999998</v>
      </c>
      <c r="J394" s="43">
        <v>59994.09</v>
      </c>
      <c r="K394" s="43">
        <f t="shared" si="30"/>
        <v>2.1200000000026193</v>
      </c>
    </row>
    <row r="395" spans="1:11" x14ac:dyDescent="0.2">
      <c r="A395">
        <v>4066</v>
      </c>
      <c r="B395">
        <v>7</v>
      </c>
      <c r="C395" s="7" t="s">
        <v>389</v>
      </c>
      <c r="D395" s="21">
        <v>627826.12</v>
      </c>
      <c r="E395" s="59">
        <f t="shared" si="27"/>
        <v>-54627.33</v>
      </c>
      <c r="F395" s="56">
        <f t="shared" si="28"/>
        <v>-8.7010299999999999E-2</v>
      </c>
      <c r="G395" s="21">
        <f t="shared" si="26"/>
        <v>54627.33</v>
      </c>
      <c r="H395" s="55">
        <v>36599.01</v>
      </c>
      <c r="I395" s="46">
        <f t="shared" si="29"/>
        <v>18028.32</v>
      </c>
      <c r="J395" s="43">
        <v>54625.39</v>
      </c>
      <c r="K395" s="43">
        <f t="shared" si="30"/>
        <v>1.9400000000023283</v>
      </c>
    </row>
    <row r="396" spans="1:11" x14ac:dyDescent="0.2">
      <c r="A396">
        <v>4067</v>
      </c>
      <c r="B396">
        <v>7</v>
      </c>
      <c r="C396" s="7" t="s">
        <v>390</v>
      </c>
      <c r="D396" s="21">
        <v>2394296.2599999998</v>
      </c>
      <c r="E396" s="59">
        <f t="shared" si="27"/>
        <v>-208328.39</v>
      </c>
      <c r="F396" s="56">
        <f t="shared" si="28"/>
        <v>-8.7010299999999999E-2</v>
      </c>
      <c r="G396" s="21">
        <f t="shared" si="26"/>
        <v>208328.39</v>
      </c>
      <c r="H396" s="55">
        <v>139575.07999999999</v>
      </c>
      <c r="I396" s="46">
        <f t="shared" si="29"/>
        <v>68753.310000000027</v>
      </c>
      <c r="J396" s="43">
        <v>208321.02</v>
      </c>
      <c r="K396" s="43">
        <f t="shared" si="30"/>
        <v>7.3700000000244472</v>
      </c>
    </row>
    <row r="397" spans="1:11" x14ac:dyDescent="0.2">
      <c r="A397">
        <v>4068</v>
      </c>
      <c r="B397">
        <v>7</v>
      </c>
      <c r="C397" s="7" t="s">
        <v>391</v>
      </c>
      <c r="D397" s="21">
        <v>2411697.84</v>
      </c>
      <c r="E397" s="59">
        <f t="shared" si="27"/>
        <v>-209842.51</v>
      </c>
      <c r="F397" s="56">
        <f t="shared" si="28"/>
        <v>-8.7010299999999999E-2</v>
      </c>
      <c r="G397" s="21">
        <f t="shared" si="26"/>
        <v>209842.51</v>
      </c>
      <c r="H397" s="55">
        <v>140589.5</v>
      </c>
      <c r="I397" s="46">
        <f t="shared" si="29"/>
        <v>69253.010000000009</v>
      </c>
      <c r="J397" s="43">
        <v>209835.08</v>
      </c>
      <c r="K397" s="43">
        <f t="shared" si="30"/>
        <v>7.4300000000221189</v>
      </c>
    </row>
    <row r="398" spans="1:11" x14ac:dyDescent="0.2">
      <c r="A398">
        <v>4070</v>
      </c>
      <c r="B398">
        <v>7</v>
      </c>
      <c r="C398" s="7" t="s">
        <v>392</v>
      </c>
      <c r="D398" s="21">
        <v>4364606.84</v>
      </c>
      <c r="E398" s="59">
        <f t="shared" si="27"/>
        <v>-379765.66</v>
      </c>
      <c r="F398" s="56">
        <f t="shared" si="28"/>
        <v>-8.7010299999999999E-2</v>
      </c>
      <c r="G398" s="21">
        <f t="shared" ref="G398:G461" si="31">E398*-1</f>
        <v>379765.66</v>
      </c>
      <c r="H398" s="55">
        <v>254433.99</v>
      </c>
      <c r="I398" s="46">
        <f t="shared" si="29"/>
        <v>125331.66999999998</v>
      </c>
      <c r="J398" s="43">
        <v>379752.23</v>
      </c>
      <c r="K398" s="43">
        <f t="shared" si="30"/>
        <v>13.429999999993015</v>
      </c>
    </row>
    <row r="399" spans="1:11" x14ac:dyDescent="0.2">
      <c r="A399">
        <v>4073</v>
      </c>
      <c r="B399">
        <v>7</v>
      </c>
      <c r="C399" s="7" t="s">
        <v>393</v>
      </c>
      <c r="D399" s="21">
        <v>2200314.9</v>
      </c>
      <c r="E399" s="59">
        <f t="shared" ref="E399:E462" si="32">ROUND(-D399*$D$520,2)</f>
        <v>-191450.02</v>
      </c>
      <c r="F399" s="56">
        <f t="shared" ref="F399:F462" si="33">IF(D399&gt;0,ROUND(E399/D399,7),"na   ")</f>
        <v>-8.7010299999999999E-2</v>
      </c>
      <c r="G399" s="21">
        <f t="shared" si="31"/>
        <v>191450.02</v>
      </c>
      <c r="H399" s="55">
        <v>128266.97</v>
      </c>
      <c r="I399" s="46">
        <f t="shared" ref="I399:I462" si="34">G399-H399</f>
        <v>63183.049999999988</v>
      </c>
      <c r="J399" s="43">
        <v>191443.24</v>
      </c>
      <c r="K399" s="43">
        <f t="shared" si="30"/>
        <v>6.7799999999988358</v>
      </c>
    </row>
    <row r="400" spans="1:11" x14ac:dyDescent="0.2">
      <c r="A400">
        <v>4074</v>
      </c>
      <c r="B400">
        <v>7</v>
      </c>
      <c r="C400" s="7" t="s">
        <v>394</v>
      </c>
      <c r="D400" s="21">
        <v>1513743.39</v>
      </c>
      <c r="E400" s="59">
        <f t="shared" si="32"/>
        <v>-131711.24</v>
      </c>
      <c r="F400" s="56">
        <f t="shared" si="33"/>
        <v>-8.7010299999999999E-2</v>
      </c>
      <c r="G400" s="21">
        <f t="shared" si="31"/>
        <v>131711.24</v>
      </c>
      <c r="H400" s="55">
        <v>88243.41</v>
      </c>
      <c r="I400" s="46">
        <f t="shared" si="34"/>
        <v>43467.829999999987</v>
      </c>
      <c r="J400" s="43">
        <v>131706.57999999999</v>
      </c>
      <c r="K400" s="43">
        <f t="shared" si="30"/>
        <v>4.6600000000034925</v>
      </c>
    </row>
    <row r="401" spans="1:11" x14ac:dyDescent="0.2">
      <c r="A401">
        <v>4075</v>
      </c>
      <c r="B401">
        <v>7</v>
      </c>
      <c r="C401" s="7" t="s">
        <v>395</v>
      </c>
      <c r="D401" s="21">
        <v>1285425.33</v>
      </c>
      <c r="E401" s="59">
        <f t="shared" si="32"/>
        <v>-111845.22</v>
      </c>
      <c r="F401" s="56">
        <f t="shared" si="33"/>
        <v>-8.7010299999999999E-2</v>
      </c>
      <c r="G401" s="21">
        <f t="shared" si="31"/>
        <v>111845.22</v>
      </c>
      <c r="H401" s="55">
        <v>74933.64</v>
      </c>
      <c r="I401" s="46">
        <f t="shared" si="34"/>
        <v>36911.58</v>
      </c>
      <c r="J401" s="43">
        <v>111841.26</v>
      </c>
      <c r="K401" s="43">
        <f t="shared" si="30"/>
        <v>3.9600000000064028</v>
      </c>
    </row>
    <row r="402" spans="1:11" x14ac:dyDescent="0.2">
      <c r="A402">
        <v>4077</v>
      </c>
      <c r="B402">
        <v>7</v>
      </c>
      <c r="C402" s="7" t="s">
        <v>396</v>
      </c>
      <c r="D402" s="21">
        <v>5206503.96</v>
      </c>
      <c r="E402" s="59">
        <f t="shared" si="32"/>
        <v>-453019.37</v>
      </c>
      <c r="F402" s="56">
        <f t="shared" si="33"/>
        <v>-8.7010299999999999E-2</v>
      </c>
      <c r="G402" s="21">
        <f t="shared" si="31"/>
        <v>453019.37</v>
      </c>
      <c r="H402" s="55">
        <v>303512.24</v>
      </c>
      <c r="I402" s="46">
        <f t="shared" si="34"/>
        <v>149507.13</v>
      </c>
      <c r="J402" s="43">
        <v>453003.34</v>
      </c>
      <c r="K402" s="43">
        <f t="shared" si="30"/>
        <v>16.029999999969732</v>
      </c>
    </row>
    <row r="403" spans="1:11" x14ac:dyDescent="0.2">
      <c r="A403">
        <v>4078</v>
      </c>
      <c r="B403">
        <v>7</v>
      </c>
      <c r="C403" s="7" t="s">
        <v>397</v>
      </c>
      <c r="D403" s="21">
        <v>3302331.86</v>
      </c>
      <c r="E403" s="59">
        <f t="shared" si="32"/>
        <v>-287336.82</v>
      </c>
      <c r="F403" s="56">
        <f t="shared" si="33"/>
        <v>-8.7010299999999999E-2</v>
      </c>
      <c r="G403" s="21">
        <f t="shared" si="31"/>
        <v>287336.82</v>
      </c>
      <c r="H403" s="55">
        <v>192508.86</v>
      </c>
      <c r="I403" s="46">
        <f t="shared" si="34"/>
        <v>94827.960000000021</v>
      </c>
      <c r="J403" s="43">
        <v>287326.65999999997</v>
      </c>
      <c r="K403" s="43">
        <f t="shared" si="30"/>
        <v>10.160000000032596</v>
      </c>
    </row>
    <row r="404" spans="1:11" x14ac:dyDescent="0.2">
      <c r="A404">
        <v>4079</v>
      </c>
      <c r="B404">
        <v>7</v>
      </c>
      <c r="C404" s="7" t="s">
        <v>398</v>
      </c>
      <c r="D404" s="21">
        <v>765874.68</v>
      </c>
      <c r="E404" s="59">
        <f t="shared" si="32"/>
        <v>-66638.97</v>
      </c>
      <c r="F404" s="56">
        <f t="shared" si="33"/>
        <v>-8.7010299999999999E-2</v>
      </c>
      <c r="G404" s="21">
        <f t="shared" si="31"/>
        <v>66638.97</v>
      </c>
      <c r="H404" s="55">
        <v>44646.53</v>
      </c>
      <c r="I404" s="46">
        <f t="shared" si="34"/>
        <v>21992.440000000002</v>
      </c>
      <c r="J404" s="43">
        <v>66636.61</v>
      </c>
      <c r="K404" s="43">
        <f t="shared" si="30"/>
        <v>2.3600000000005821</v>
      </c>
    </row>
    <row r="405" spans="1:11" x14ac:dyDescent="0.2">
      <c r="A405">
        <v>4080</v>
      </c>
      <c r="B405">
        <v>7</v>
      </c>
      <c r="C405" s="7" t="s">
        <v>399</v>
      </c>
      <c r="D405" s="21">
        <v>422512.45</v>
      </c>
      <c r="E405" s="59">
        <f t="shared" si="32"/>
        <v>-36762.93</v>
      </c>
      <c r="F405" s="56">
        <f t="shared" si="33"/>
        <v>-8.7010299999999999E-2</v>
      </c>
      <c r="G405" s="21">
        <f t="shared" si="31"/>
        <v>36762.93</v>
      </c>
      <c r="H405" s="55">
        <v>24630.29</v>
      </c>
      <c r="I405" s="46">
        <f t="shared" si="34"/>
        <v>12132.64</v>
      </c>
      <c r="J405" s="43">
        <v>36761.629999999997</v>
      </c>
      <c r="K405" s="43">
        <f t="shared" si="30"/>
        <v>1.3000000000029104</v>
      </c>
    </row>
    <row r="406" spans="1:11" x14ac:dyDescent="0.2">
      <c r="A406">
        <v>4081</v>
      </c>
      <c r="B406">
        <v>7</v>
      </c>
      <c r="C406" s="7" t="s">
        <v>400</v>
      </c>
      <c r="D406" s="21">
        <v>443603.92</v>
      </c>
      <c r="E406" s="59">
        <f t="shared" si="32"/>
        <v>-38598.1</v>
      </c>
      <c r="F406" s="56">
        <f t="shared" si="33"/>
        <v>-8.7010299999999999E-2</v>
      </c>
      <c r="G406" s="21">
        <f t="shared" si="31"/>
        <v>38598.1</v>
      </c>
      <c r="H406" s="55">
        <v>25859.82</v>
      </c>
      <c r="I406" s="46">
        <f t="shared" si="34"/>
        <v>12738.279999999999</v>
      </c>
      <c r="J406" s="43">
        <v>38596.74</v>
      </c>
      <c r="K406" s="43">
        <f t="shared" si="30"/>
        <v>1.3600000000005821</v>
      </c>
    </row>
    <row r="407" spans="1:11" x14ac:dyDescent="0.2">
      <c r="A407">
        <v>4082</v>
      </c>
      <c r="B407">
        <v>7</v>
      </c>
      <c r="C407" s="7" t="s">
        <v>401</v>
      </c>
      <c r="D407" s="21">
        <v>5565809.7300000004</v>
      </c>
      <c r="E407" s="59">
        <f t="shared" si="32"/>
        <v>-484282.67</v>
      </c>
      <c r="F407" s="56">
        <f t="shared" si="33"/>
        <v>-8.7010299999999999E-2</v>
      </c>
      <c r="G407" s="21">
        <f t="shared" si="31"/>
        <v>484282.67</v>
      </c>
      <c r="H407" s="55">
        <v>324457.90999999997</v>
      </c>
      <c r="I407" s="46">
        <f t="shared" si="34"/>
        <v>159824.76</v>
      </c>
      <c r="J407" s="43">
        <v>484265.53</v>
      </c>
      <c r="K407" s="43">
        <f t="shared" si="30"/>
        <v>17.139999999955762</v>
      </c>
    </row>
    <row r="408" spans="1:11" x14ac:dyDescent="0.2">
      <c r="A408">
        <v>4083</v>
      </c>
      <c r="B408">
        <v>7</v>
      </c>
      <c r="C408" s="7" t="s">
        <v>402</v>
      </c>
      <c r="D408" s="21">
        <v>418500.44</v>
      </c>
      <c r="E408" s="59">
        <f t="shared" si="32"/>
        <v>-36413.839999999997</v>
      </c>
      <c r="F408" s="56">
        <f t="shared" si="33"/>
        <v>-8.7010299999999999E-2</v>
      </c>
      <c r="G408" s="21">
        <f t="shared" si="31"/>
        <v>36413.839999999997</v>
      </c>
      <c r="H408" s="55">
        <v>24396.41</v>
      </c>
      <c r="I408" s="46">
        <f t="shared" si="34"/>
        <v>12017.429999999997</v>
      </c>
      <c r="J408" s="43">
        <v>36412.550000000003</v>
      </c>
      <c r="K408" s="43">
        <f t="shared" si="30"/>
        <v>1.2899999999935972</v>
      </c>
    </row>
    <row r="409" spans="1:11" x14ac:dyDescent="0.2">
      <c r="A409">
        <v>4084</v>
      </c>
      <c r="B409">
        <v>7</v>
      </c>
      <c r="C409" s="7" t="s">
        <v>403</v>
      </c>
      <c r="D409" s="21">
        <v>1548627.13</v>
      </c>
      <c r="E409" s="59">
        <f t="shared" si="32"/>
        <v>-134746.48000000001</v>
      </c>
      <c r="F409" s="56">
        <f t="shared" si="33"/>
        <v>-8.7010299999999999E-2</v>
      </c>
      <c r="G409" s="21">
        <f t="shared" si="31"/>
        <v>134746.48000000001</v>
      </c>
      <c r="H409" s="55">
        <v>90276.95</v>
      </c>
      <c r="I409" s="46">
        <f t="shared" si="34"/>
        <v>44469.530000000013</v>
      </c>
      <c r="J409" s="43">
        <v>134741.71</v>
      </c>
      <c r="K409" s="43">
        <f t="shared" si="30"/>
        <v>4.7700000000186265</v>
      </c>
    </row>
    <row r="410" spans="1:11" x14ac:dyDescent="0.2">
      <c r="A410">
        <v>4085</v>
      </c>
      <c r="B410">
        <v>7</v>
      </c>
      <c r="C410" s="7" t="s">
        <v>404</v>
      </c>
      <c r="D410" s="21">
        <v>1521745.71</v>
      </c>
      <c r="E410" s="59">
        <f t="shared" si="32"/>
        <v>-132407.51999999999</v>
      </c>
      <c r="F410" s="56">
        <f t="shared" si="33"/>
        <v>-8.7010299999999999E-2</v>
      </c>
      <c r="G410" s="21">
        <f t="shared" si="31"/>
        <v>132407.51999999999</v>
      </c>
      <c r="H410" s="55">
        <v>88709.9</v>
      </c>
      <c r="I410" s="46">
        <f t="shared" si="34"/>
        <v>43697.619999999995</v>
      </c>
      <c r="J410" s="43">
        <v>132402.84</v>
      </c>
      <c r="K410" s="43">
        <f t="shared" si="30"/>
        <v>4.6799999999930151</v>
      </c>
    </row>
    <row r="411" spans="1:11" x14ac:dyDescent="0.2">
      <c r="A411">
        <v>4086</v>
      </c>
      <c r="B411">
        <v>7</v>
      </c>
      <c r="C411" s="7" t="s">
        <v>405</v>
      </c>
      <c r="D411" s="21">
        <v>1985909.42</v>
      </c>
      <c r="E411" s="59">
        <f t="shared" si="32"/>
        <v>-172794.54</v>
      </c>
      <c r="F411" s="56">
        <f t="shared" si="33"/>
        <v>-8.7010299999999999E-2</v>
      </c>
      <c r="G411" s="21">
        <f t="shared" si="31"/>
        <v>172794.54</v>
      </c>
      <c r="H411" s="55">
        <v>115768.24</v>
      </c>
      <c r="I411" s="46">
        <f t="shared" si="34"/>
        <v>57026.3</v>
      </c>
      <c r="J411" s="43">
        <v>172788.42</v>
      </c>
      <c r="K411" s="43">
        <f t="shared" si="30"/>
        <v>6.1199999999953434</v>
      </c>
    </row>
    <row r="412" spans="1:11" x14ac:dyDescent="0.2">
      <c r="A412">
        <v>4087</v>
      </c>
      <c r="B412">
        <v>7</v>
      </c>
      <c r="C412" s="7" t="s">
        <v>406</v>
      </c>
      <c r="D412" s="21">
        <v>634060.98</v>
      </c>
      <c r="E412" s="59">
        <f t="shared" si="32"/>
        <v>-55169.82</v>
      </c>
      <c r="F412" s="56">
        <f t="shared" si="33"/>
        <v>-8.7010299999999999E-2</v>
      </c>
      <c r="G412" s="21">
        <f t="shared" si="31"/>
        <v>55169.82</v>
      </c>
      <c r="H412" s="55">
        <v>36962.47</v>
      </c>
      <c r="I412" s="46">
        <f t="shared" si="34"/>
        <v>18207.349999999999</v>
      </c>
      <c r="J412" s="43">
        <v>55167.87</v>
      </c>
      <c r="K412" s="43">
        <f t="shared" si="30"/>
        <v>1.9499999999970896</v>
      </c>
    </row>
    <row r="413" spans="1:11" x14ac:dyDescent="0.2">
      <c r="A413">
        <v>4088</v>
      </c>
      <c r="B413">
        <v>7</v>
      </c>
      <c r="C413" s="7" t="s">
        <v>407</v>
      </c>
      <c r="D413" s="21">
        <v>2064664.62</v>
      </c>
      <c r="E413" s="59">
        <f t="shared" si="32"/>
        <v>-179647.05</v>
      </c>
      <c r="F413" s="56">
        <f t="shared" si="33"/>
        <v>-8.7010299999999999E-2</v>
      </c>
      <c r="G413" s="21">
        <f t="shared" si="31"/>
        <v>179647.05</v>
      </c>
      <c r="H413" s="55">
        <v>120359.26</v>
      </c>
      <c r="I413" s="46">
        <f t="shared" si="34"/>
        <v>59287.789999999994</v>
      </c>
      <c r="J413" s="43">
        <v>179640.69</v>
      </c>
      <c r="K413" s="43">
        <f t="shared" si="30"/>
        <v>6.3599999999860302</v>
      </c>
    </row>
    <row r="414" spans="1:11" x14ac:dyDescent="0.2">
      <c r="A414">
        <v>4089</v>
      </c>
      <c r="B414">
        <v>7</v>
      </c>
      <c r="C414" s="7" t="s">
        <v>408</v>
      </c>
      <c r="D414" s="21">
        <v>767964.8</v>
      </c>
      <c r="E414" s="59">
        <f t="shared" si="32"/>
        <v>-66820.83</v>
      </c>
      <c r="F414" s="56">
        <f t="shared" si="33"/>
        <v>-8.7010299999999999E-2</v>
      </c>
      <c r="G414" s="21">
        <f t="shared" si="31"/>
        <v>66820.83</v>
      </c>
      <c r="H414" s="55">
        <v>44768.37</v>
      </c>
      <c r="I414" s="46">
        <f t="shared" si="34"/>
        <v>22052.46</v>
      </c>
      <c r="J414" s="43">
        <v>66818.47</v>
      </c>
      <c r="K414" s="43">
        <f t="shared" si="30"/>
        <v>2.3600000000005821</v>
      </c>
    </row>
    <row r="415" spans="1:11" x14ac:dyDescent="0.2">
      <c r="A415" s="19">
        <v>4090</v>
      </c>
      <c r="B415" s="19">
        <v>7</v>
      </c>
      <c r="C415" s="20" t="s">
        <v>409</v>
      </c>
      <c r="D415" s="22">
        <v>653056.06999999995</v>
      </c>
      <c r="E415" s="59">
        <f t="shared" si="32"/>
        <v>-56822.59</v>
      </c>
      <c r="F415" s="56">
        <f t="shared" si="33"/>
        <v>-8.7010299999999999E-2</v>
      </c>
      <c r="G415" s="21">
        <f t="shared" si="31"/>
        <v>56822.59</v>
      </c>
      <c r="H415" s="55">
        <v>38069.79</v>
      </c>
      <c r="I415" s="46">
        <f t="shared" si="34"/>
        <v>18752.799999999996</v>
      </c>
      <c r="J415" s="43">
        <v>56820.58</v>
      </c>
      <c r="K415" s="43">
        <f t="shared" si="30"/>
        <v>2.0099999999947613</v>
      </c>
    </row>
    <row r="416" spans="1:11" x14ac:dyDescent="0.2">
      <c r="A416">
        <v>4091</v>
      </c>
      <c r="B416">
        <v>7</v>
      </c>
      <c r="C416" s="7" t="s">
        <v>410</v>
      </c>
      <c r="D416" s="21">
        <v>840153.76</v>
      </c>
      <c r="E416" s="59">
        <f t="shared" si="32"/>
        <v>-73102.009999999995</v>
      </c>
      <c r="F416" s="56">
        <f t="shared" si="33"/>
        <v>-8.7010299999999999E-2</v>
      </c>
      <c r="G416" s="21">
        <f t="shared" si="31"/>
        <v>73102.009999999995</v>
      </c>
      <c r="H416" s="55">
        <v>48976.62</v>
      </c>
      <c r="I416" s="46">
        <f t="shared" si="34"/>
        <v>24125.389999999992</v>
      </c>
      <c r="J416" s="43">
        <v>73099.429999999993</v>
      </c>
      <c r="K416" s="43">
        <f t="shared" si="30"/>
        <v>2.5800000000017462</v>
      </c>
    </row>
    <row r="417" spans="1:11" x14ac:dyDescent="0.2">
      <c r="A417">
        <v>4092</v>
      </c>
      <c r="B417">
        <v>7</v>
      </c>
      <c r="C417" s="7" t="s">
        <v>411</v>
      </c>
      <c r="D417" s="21">
        <v>648834.24</v>
      </c>
      <c r="E417" s="59">
        <f t="shared" si="32"/>
        <v>-56455.25</v>
      </c>
      <c r="F417" s="56">
        <f t="shared" si="33"/>
        <v>-8.7010299999999999E-2</v>
      </c>
      <c r="G417" s="21">
        <f t="shared" si="31"/>
        <v>56455.25</v>
      </c>
      <c r="H417" s="55">
        <v>37823.68</v>
      </c>
      <c r="I417" s="46">
        <f t="shared" si="34"/>
        <v>18631.57</v>
      </c>
      <c r="J417" s="43">
        <v>56453.25</v>
      </c>
      <c r="K417" s="43">
        <f t="shared" si="30"/>
        <v>2</v>
      </c>
    </row>
    <row r="418" spans="1:11" x14ac:dyDescent="0.2">
      <c r="A418">
        <v>4093</v>
      </c>
      <c r="B418">
        <v>7</v>
      </c>
      <c r="C418" s="7" t="s">
        <v>412</v>
      </c>
      <c r="D418" s="21">
        <v>1051726.28</v>
      </c>
      <c r="E418" s="59">
        <f t="shared" si="32"/>
        <v>-91511</v>
      </c>
      <c r="F418" s="56">
        <f t="shared" si="33"/>
        <v>-8.7010299999999999E-2</v>
      </c>
      <c r="G418" s="21">
        <f t="shared" si="31"/>
        <v>91511</v>
      </c>
      <c r="H418" s="55">
        <v>61310.2</v>
      </c>
      <c r="I418" s="46">
        <f t="shared" si="34"/>
        <v>30200.800000000003</v>
      </c>
      <c r="J418" s="43">
        <v>91507.76</v>
      </c>
      <c r="K418" s="43">
        <f t="shared" si="30"/>
        <v>3.2400000000052387</v>
      </c>
    </row>
    <row r="419" spans="1:11" x14ac:dyDescent="0.2">
      <c r="A419">
        <v>4095</v>
      </c>
      <c r="B419">
        <v>7</v>
      </c>
      <c r="C419" s="7" t="s">
        <v>413</v>
      </c>
      <c r="D419" s="21">
        <v>1022615.6</v>
      </c>
      <c r="E419" s="59">
        <f t="shared" si="32"/>
        <v>-88978.07</v>
      </c>
      <c r="F419" s="56">
        <f t="shared" si="33"/>
        <v>-8.7010299999999999E-2</v>
      </c>
      <c r="G419" s="21">
        <f t="shared" si="31"/>
        <v>88978.07</v>
      </c>
      <c r="H419" s="55">
        <v>59613.2</v>
      </c>
      <c r="I419" s="46">
        <f t="shared" si="34"/>
        <v>29364.87000000001</v>
      </c>
      <c r="J419" s="43">
        <v>88974.92</v>
      </c>
      <c r="K419" s="43">
        <f t="shared" si="30"/>
        <v>3.1500000000087311</v>
      </c>
    </row>
    <row r="420" spans="1:11" x14ac:dyDescent="0.2">
      <c r="A420">
        <v>4097</v>
      </c>
      <c r="B420">
        <v>7</v>
      </c>
      <c r="C420" s="7" t="s">
        <v>414</v>
      </c>
      <c r="D420" s="21">
        <v>2079309.84</v>
      </c>
      <c r="E420" s="59">
        <f t="shared" si="32"/>
        <v>-180921.33</v>
      </c>
      <c r="F420" s="56">
        <f t="shared" si="33"/>
        <v>-8.7010299999999999E-2</v>
      </c>
      <c r="G420" s="21">
        <f t="shared" si="31"/>
        <v>180921.33</v>
      </c>
      <c r="H420" s="55">
        <v>121213</v>
      </c>
      <c r="I420" s="46">
        <f t="shared" si="34"/>
        <v>59708.329999999987</v>
      </c>
      <c r="J420" s="43">
        <v>180914.93</v>
      </c>
      <c r="K420" s="43">
        <f t="shared" si="30"/>
        <v>6.3999999999941792</v>
      </c>
    </row>
    <row r="421" spans="1:11" x14ac:dyDescent="0.2">
      <c r="A421">
        <v>4098</v>
      </c>
      <c r="B421">
        <v>7</v>
      </c>
      <c r="C421" s="7" t="s">
        <v>415</v>
      </c>
      <c r="D421" s="21">
        <v>2126114.89</v>
      </c>
      <c r="E421" s="59">
        <f t="shared" si="32"/>
        <v>-184993.85</v>
      </c>
      <c r="F421" s="56">
        <f t="shared" si="33"/>
        <v>-8.7010299999999999E-2</v>
      </c>
      <c r="G421" s="21">
        <f t="shared" si="31"/>
        <v>184993.85</v>
      </c>
      <c r="H421" s="55">
        <v>123941.5</v>
      </c>
      <c r="I421" s="46">
        <f t="shared" si="34"/>
        <v>61052.350000000006</v>
      </c>
      <c r="J421" s="43">
        <v>184987.31</v>
      </c>
      <c r="K421" s="43">
        <f t="shared" si="30"/>
        <v>6.5400000000081491</v>
      </c>
    </row>
    <row r="422" spans="1:11" x14ac:dyDescent="0.2">
      <c r="A422">
        <v>4099</v>
      </c>
      <c r="B422">
        <v>7</v>
      </c>
      <c r="C422" s="7" t="s">
        <v>416</v>
      </c>
      <c r="D422" s="21">
        <v>3360556.83</v>
      </c>
      <c r="E422" s="59">
        <f t="shared" si="32"/>
        <v>-292402.99</v>
      </c>
      <c r="F422" s="56">
        <f t="shared" si="33"/>
        <v>-8.7010299999999999E-2</v>
      </c>
      <c r="G422" s="21">
        <f t="shared" si="31"/>
        <v>292402.99</v>
      </c>
      <c r="H422" s="55">
        <v>195903.08</v>
      </c>
      <c r="I422" s="46">
        <f t="shared" si="34"/>
        <v>96499.91</v>
      </c>
      <c r="J422" s="43">
        <v>292392.65000000002</v>
      </c>
      <c r="K422" s="43">
        <f t="shared" si="30"/>
        <v>10.339999999967404</v>
      </c>
    </row>
    <row r="423" spans="1:11" x14ac:dyDescent="0.2">
      <c r="A423">
        <v>4100</v>
      </c>
      <c r="B423">
        <v>7</v>
      </c>
      <c r="C423" s="7" t="s">
        <v>417</v>
      </c>
      <c r="D423" s="21">
        <v>256766.05</v>
      </c>
      <c r="E423" s="59">
        <f t="shared" si="32"/>
        <v>-22341.29</v>
      </c>
      <c r="F423" s="56">
        <f t="shared" si="33"/>
        <v>-8.7010299999999999E-2</v>
      </c>
      <c r="G423" s="21">
        <f t="shared" si="31"/>
        <v>22341.29</v>
      </c>
      <c r="H423" s="55">
        <v>14968.14</v>
      </c>
      <c r="I423" s="46">
        <f t="shared" si="34"/>
        <v>7373.1500000000015</v>
      </c>
      <c r="J423" s="43">
        <v>22340.5</v>
      </c>
      <c r="K423" s="43">
        <f t="shared" si="30"/>
        <v>0.79000000000087311</v>
      </c>
    </row>
    <row r="424" spans="1:11" x14ac:dyDescent="0.2">
      <c r="A424">
        <v>4102</v>
      </c>
      <c r="B424">
        <v>7</v>
      </c>
      <c r="C424" s="7" t="s">
        <v>418</v>
      </c>
      <c r="D424" s="21">
        <v>4400163.82</v>
      </c>
      <c r="E424" s="59">
        <f t="shared" si="32"/>
        <v>-382859.49</v>
      </c>
      <c r="F424" s="56">
        <f t="shared" si="33"/>
        <v>-8.7010299999999999E-2</v>
      </c>
      <c r="G424" s="21">
        <f t="shared" si="31"/>
        <v>382859.49</v>
      </c>
      <c r="H424" s="55">
        <v>256506.78</v>
      </c>
      <c r="I424" s="46">
        <f t="shared" si="34"/>
        <v>126352.70999999999</v>
      </c>
      <c r="J424" s="43">
        <v>382845.94</v>
      </c>
      <c r="K424" s="43">
        <f t="shared" si="30"/>
        <v>13.549999999988358</v>
      </c>
    </row>
    <row r="425" spans="1:11" x14ac:dyDescent="0.2">
      <c r="A425">
        <v>4103</v>
      </c>
      <c r="B425">
        <v>7</v>
      </c>
      <c r="C425" s="7" t="s">
        <v>419</v>
      </c>
      <c r="D425" s="21">
        <v>4266706.0599999996</v>
      </c>
      <c r="E425" s="59">
        <f t="shared" si="32"/>
        <v>-371247.29</v>
      </c>
      <c r="F425" s="56">
        <f t="shared" si="33"/>
        <v>-8.7010299999999999E-2</v>
      </c>
      <c r="G425" s="21">
        <f t="shared" si="31"/>
        <v>371247.29</v>
      </c>
      <c r="H425" s="55">
        <v>248726.89</v>
      </c>
      <c r="I425" s="46">
        <f t="shared" si="34"/>
        <v>122520.39999999997</v>
      </c>
      <c r="J425" s="43">
        <v>371234.16</v>
      </c>
      <c r="K425" s="43">
        <f t="shared" si="30"/>
        <v>13.130000000004657</v>
      </c>
    </row>
    <row r="426" spans="1:11" x14ac:dyDescent="0.2">
      <c r="A426">
        <v>4104</v>
      </c>
      <c r="B426">
        <v>7</v>
      </c>
      <c r="C426" s="7" t="s">
        <v>420</v>
      </c>
      <c r="D426" s="21">
        <v>1388448.5</v>
      </c>
      <c r="E426" s="59">
        <f t="shared" si="32"/>
        <v>-120809.29</v>
      </c>
      <c r="F426" s="56">
        <f t="shared" si="33"/>
        <v>-8.7010299999999999E-2</v>
      </c>
      <c r="G426" s="21">
        <f t="shared" si="31"/>
        <v>120809.29</v>
      </c>
      <c r="H426" s="55">
        <v>80939.360000000001</v>
      </c>
      <c r="I426" s="46">
        <f t="shared" si="34"/>
        <v>39869.929999999993</v>
      </c>
      <c r="J426" s="43">
        <v>120805.02</v>
      </c>
      <c r="K426" s="43">
        <f t="shared" si="30"/>
        <v>4.2699999999895226</v>
      </c>
    </row>
    <row r="427" spans="1:11" x14ac:dyDescent="0.2">
      <c r="A427">
        <v>4105</v>
      </c>
      <c r="B427">
        <v>7</v>
      </c>
      <c r="C427" s="7" t="s">
        <v>421</v>
      </c>
      <c r="D427" s="21">
        <v>1464388.58</v>
      </c>
      <c r="E427" s="59">
        <f t="shared" si="32"/>
        <v>-127416.86</v>
      </c>
      <c r="F427" s="56">
        <f t="shared" si="33"/>
        <v>-8.7010299999999999E-2</v>
      </c>
      <c r="G427" s="21">
        <f t="shared" si="31"/>
        <v>127416.86</v>
      </c>
      <c r="H427" s="55">
        <v>85366.27</v>
      </c>
      <c r="I427" s="46">
        <f t="shared" si="34"/>
        <v>42050.59</v>
      </c>
      <c r="J427" s="43">
        <v>127412.35</v>
      </c>
      <c r="K427" s="43">
        <f t="shared" si="30"/>
        <v>4.5099999999947613</v>
      </c>
    </row>
    <row r="428" spans="1:11" x14ac:dyDescent="0.2">
      <c r="A428">
        <v>4106</v>
      </c>
      <c r="B428">
        <v>7</v>
      </c>
      <c r="C428" s="7" t="s">
        <v>422</v>
      </c>
      <c r="D428" s="21">
        <v>1223443.8600000001</v>
      </c>
      <c r="E428" s="59">
        <f t="shared" si="32"/>
        <v>-106452.19</v>
      </c>
      <c r="F428" s="56">
        <f t="shared" si="33"/>
        <v>-8.7010299999999999E-2</v>
      </c>
      <c r="G428" s="21">
        <f t="shared" si="31"/>
        <v>106452.19</v>
      </c>
      <c r="H428" s="55">
        <v>71320.45</v>
      </c>
      <c r="I428" s="46">
        <f t="shared" si="34"/>
        <v>35131.740000000005</v>
      </c>
      <c r="J428" s="43">
        <v>106448.43</v>
      </c>
      <c r="K428" s="43">
        <f t="shared" si="30"/>
        <v>3.7600000000093132</v>
      </c>
    </row>
    <row r="429" spans="1:11" x14ac:dyDescent="0.2">
      <c r="A429">
        <v>4107</v>
      </c>
      <c r="B429">
        <v>7</v>
      </c>
      <c r="C429" s="7" t="s">
        <v>423</v>
      </c>
      <c r="D429" s="21">
        <v>592432.5</v>
      </c>
      <c r="E429" s="59">
        <f t="shared" si="32"/>
        <v>-51547.72</v>
      </c>
      <c r="F429" s="56">
        <f t="shared" si="33"/>
        <v>-8.7010299999999999E-2</v>
      </c>
      <c r="G429" s="21">
        <f t="shared" si="31"/>
        <v>51547.72</v>
      </c>
      <c r="H429" s="55">
        <v>34535.75</v>
      </c>
      <c r="I429" s="46">
        <f t="shared" si="34"/>
        <v>17011.97</v>
      </c>
      <c r="J429" s="43">
        <v>51545.89</v>
      </c>
      <c r="K429" s="43">
        <f t="shared" si="30"/>
        <v>1.8300000000017462</v>
      </c>
    </row>
    <row r="430" spans="1:11" x14ac:dyDescent="0.2">
      <c r="A430">
        <v>4108</v>
      </c>
      <c r="B430">
        <v>7</v>
      </c>
      <c r="C430" s="7" t="s">
        <v>424</v>
      </c>
      <c r="D430" s="21">
        <v>906736.24</v>
      </c>
      <c r="E430" s="59">
        <f t="shared" si="32"/>
        <v>-78895.37</v>
      </c>
      <c r="F430" s="56">
        <f t="shared" si="33"/>
        <v>-8.7010299999999999E-2</v>
      </c>
      <c r="G430" s="21">
        <f t="shared" si="31"/>
        <v>78895.37</v>
      </c>
      <c r="H430" s="55">
        <v>52858.03</v>
      </c>
      <c r="I430" s="46">
        <f t="shared" si="34"/>
        <v>26037.339999999997</v>
      </c>
      <c r="J430" s="43">
        <v>78892.58</v>
      </c>
      <c r="K430" s="43">
        <f t="shared" si="30"/>
        <v>2.7899999999935972</v>
      </c>
    </row>
    <row r="431" spans="1:11" x14ac:dyDescent="0.2">
      <c r="A431">
        <v>4109</v>
      </c>
      <c r="B431">
        <v>7</v>
      </c>
      <c r="C431" s="7" t="s">
        <v>425</v>
      </c>
      <c r="D431" s="21">
        <v>1508232.05</v>
      </c>
      <c r="E431" s="59">
        <f t="shared" si="32"/>
        <v>-131231.69</v>
      </c>
      <c r="F431" s="56">
        <f t="shared" si="33"/>
        <v>-8.7010299999999999E-2</v>
      </c>
      <c r="G431" s="21">
        <f t="shared" si="31"/>
        <v>131231.69</v>
      </c>
      <c r="H431" s="55">
        <v>87922.12</v>
      </c>
      <c r="I431" s="46">
        <f t="shared" si="34"/>
        <v>43309.570000000007</v>
      </c>
      <c r="J431" s="43">
        <v>131227.04999999999</v>
      </c>
      <c r="K431" s="43">
        <f t="shared" si="30"/>
        <v>4.6400000000139698</v>
      </c>
    </row>
    <row r="432" spans="1:11" x14ac:dyDescent="0.2">
      <c r="A432">
        <v>4110</v>
      </c>
      <c r="B432">
        <v>7</v>
      </c>
      <c r="C432" s="7" t="s">
        <v>426</v>
      </c>
      <c r="D432" s="21">
        <v>1448231.71</v>
      </c>
      <c r="E432" s="59">
        <f t="shared" si="32"/>
        <v>-126011.05</v>
      </c>
      <c r="F432" s="56">
        <f t="shared" si="33"/>
        <v>-8.7010299999999999E-2</v>
      </c>
      <c r="G432" s="21">
        <f t="shared" si="31"/>
        <v>126011.05</v>
      </c>
      <c r="H432" s="55">
        <v>84424.42</v>
      </c>
      <c r="I432" s="46">
        <f t="shared" si="34"/>
        <v>41586.630000000005</v>
      </c>
      <c r="J432" s="43">
        <v>126006.59</v>
      </c>
      <c r="K432" s="43">
        <f t="shared" si="30"/>
        <v>4.4600000000064028</v>
      </c>
    </row>
    <row r="433" spans="1:11" x14ac:dyDescent="0.2">
      <c r="A433">
        <v>4111</v>
      </c>
      <c r="B433">
        <v>7</v>
      </c>
      <c r="C433" s="7" t="s">
        <v>427</v>
      </c>
      <c r="D433" s="21">
        <v>692670.48</v>
      </c>
      <c r="E433" s="59">
        <f t="shared" si="32"/>
        <v>-60269.45</v>
      </c>
      <c r="F433" s="56">
        <f t="shared" si="33"/>
        <v>-8.7010299999999999E-2</v>
      </c>
      <c r="G433" s="21">
        <f t="shared" si="31"/>
        <v>60269.45</v>
      </c>
      <c r="H433" s="55">
        <v>40379.1</v>
      </c>
      <c r="I433" s="46">
        <f t="shared" si="34"/>
        <v>19890.349999999999</v>
      </c>
      <c r="J433" s="43">
        <v>60267.32</v>
      </c>
      <c r="K433" s="43">
        <f t="shared" si="30"/>
        <v>2.1299999999973807</v>
      </c>
    </row>
    <row r="434" spans="1:11" x14ac:dyDescent="0.2">
      <c r="A434">
        <v>4112</v>
      </c>
      <c r="B434">
        <v>7</v>
      </c>
      <c r="C434" s="7" t="s">
        <v>428</v>
      </c>
      <c r="D434" s="21">
        <v>2476506.36</v>
      </c>
      <c r="E434" s="59">
        <f t="shared" si="32"/>
        <v>-215481.51</v>
      </c>
      <c r="F434" s="56">
        <f t="shared" si="33"/>
        <v>-8.7010299999999999E-2</v>
      </c>
      <c r="G434" s="21">
        <f t="shared" si="31"/>
        <v>215481.51</v>
      </c>
      <c r="H434" s="55">
        <v>144367.51</v>
      </c>
      <c r="I434" s="46">
        <f t="shared" si="34"/>
        <v>71114</v>
      </c>
      <c r="J434" s="43">
        <v>215473.89</v>
      </c>
      <c r="K434" s="43">
        <f t="shared" si="30"/>
        <v>7.6199999999953434</v>
      </c>
    </row>
    <row r="435" spans="1:11" x14ac:dyDescent="0.2">
      <c r="A435">
        <v>4113</v>
      </c>
      <c r="B435">
        <v>7</v>
      </c>
      <c r="C435" s="7" t="s">
        <v>429</v>
      </c>
      <c r="D435" s="21">
        <v>409900.4</v>
      </c>
      <c r="E435" s="59">
        <f t="shared" si="32"/>
        <v>-35665.550000000003</v>
      </c>
      <c r="F435" s="56">
        <f t="shared" si="33"/>
        <v>-8.7010299999999999E-2</v>
      </c>
      <c r="G435" s="21">
        <f t="shared" si="31"/>
        <v>35665.550000000003</v>
      </c>
      <c r="H435" s="55">
        <v>23895.07</v>
      </c>
      <c r="I435" s="46">
        <f t="shared" si="34"/>
        <v>11770.480000000003</v>
      </c>
      <c r="J435" s="43">
        <v>35664.29</v>
      </c>
      <c r="K435" s="43">
        <f t="shared" si="30"/>
        <v>1.2600000000020373</v>
      </c>
    </row>
    <row r="436" spans="1:11" x14ac:dyDescent="0.2">
      <c r="A436">
        <v>4114</v>
      </c>
      <c r="B436">
        <v>7</v>
      </c>
      <c r="C436" s="7" t="s">
        <v>430</v>
      </c>
      <c r="D436" s="21">
        <v>799085.36</v>
      </c>
      <c r="E436" s="59">
        <f t="shared" si="32"/>
        <v>-69528.639999999999</v>
      </c>
      <c r="F436" s="56">
        <f t="shared" si="33"/>
        <v>-8.7010299999999999E-2</v>
      </c>
      <c r="G436" s="21">
        <f t="shared" si="31"/>
        <v>69528.639999999999</v>
      </c>
      <c r="H436" s="55">
        <v>46582.54</v>
      </c>
      <c r="I436" s="46">
        <f t="shared" si="34"/>
        <v>22946.1</v>
      </c>
      <c r="J436" s="43">
        <v>69526.179999999993</v>
      </c>
      <c r="K436" s="43">
        <f t="shared" si="30"/>
        <v>2.4600000000064028</v>
      </c>
    </row>
    <row r="437" spans="1:11" x14ac:dyDescent="0.2">
      <c r="A437">
        <v>4115</v>
      </c>
      <c r="B437">
        <v>7</v>
      </c>
      <c r="C437" s="7" t="s">
        <v>431</v>
      </c>
      <c r="D437" s="21">
        <v>1074485.0900000001</v>
      </c>
      <c r="E437" s="59">
        <f t="shared" si="32"/>
        <v>-93491.25</v>
      </c>
      <c r="F437" s="56">
        <f t="shared" si="33"/>
        <v>-8.7010299999999999E-2</v>
      </c>
      <c r="G437" s="21">
        <f t="shared" si="31"/>
        <v>93491.25</v>
      </c>
      <c r="H437" s="55">
        <v>62636.92</v>
      </c>
      <c r="I437" s="46">
        <f t="shared" si="34"/>
        <v>30854.33</v>
      </c>
      <c r="J437" s="43">
        <v>93487.94</v>
      </c>
      <c r="K437" s="43">
        <f t="shared" si="30"/>
        <v>3.3099999999976717</v>
      </c>
    </row>
    <row r="438" spans="1:11" x14ac:dyDescent="0.2">
      <c r="A438">
        <v>4116</v>
      </c>
      <c r="B438">
        <v>7</v>
      </c>
      <c r="C438" s="7" t="s">
        <v>432</v>
      </c>
      <c r="D438" s="21">
        <v>2347179.75</v>
      </c>
      <c r="E438" s="59">
        <f t="shared" si="32"/>
        <v>-204228.77</v>
      </c>
      <c r="F438" s="56">
        <f t="shared" si="33"/>
        <v>-8.7010299999999999E-2</v>
      </c>
      <c r="G438" s="21">
        <f t="shared" si="31"/>
        <v>204228.77</v>
      </c>
      <c r="H438" s="55">
        <v>136828.43</v>
      </c>
      <c r="I438" s="46">
        <f t="shared" si="34"/>
        <v>67400.34</v>
      </c>
      <c r="J438" s="43">
        <v>204221.54</v>
      </c>
      <c r="K438" s="43">
        <f t="shared" si="30"/>
        <v>7.2299999999813735</v>
      </c>
    </row>
    <row r="439" spans="1:11" x14ac:dyDescent="0.2">
      <c r="A439">
        <v>4118</v>
      </c>
      <c r="B439">
        <v>7</v>
      </c>
      <c r="C439" s="7" t="s">
        <v>433</v>
      </c>
      <c r="D439" s="21">
        <v>1412617.25</v>
      </c>
      <c r="E439" s="59">
        <f t="shared" si="32"/>
        <v>-122912.22</v>
      </c>
      <c r="F439" s="56">
        <f t="shared" si="33"/>
        <v>-8.7010299999999999E-2</v>
      </c>
      <c r="G439" s="21">
        <f t="shared" si="31"/>
        <v>122912.22</v>
      </c>
      <c r="H439" s="55">
        <v>82348.28</v>
      </c>
      <c r="I439" s="46">
        <f t="shared" si="34"/>
        <v>40563.94</v>
      </c>
      <c r="J439" s="43">
        <v>122907.88</v>
      </c>
      <c r="K439" s="43">
        <f t="shared" si="30"/>
        <v>4.3399999999965075</v>
      </c>
    </row>
    <row r="440" spans="1:11" x14ac:dyDescent="0.2">
      <c r="A440">
        <v>4119</v>
      </c>
      <c r="B440">
        <v>7</v>
      </c>
      <c r="C440" s="7" t="s">
        <v>434</v>
      </c>
      <c r="D440" s="21">
        <v>568320.36</v>
      </c>
      <c r="E440" s="59">
        <f t="shared" si="32"/>
        <v>-49449.71</v>
      </c>
      <c r="F440" s="56">
        <f t="shared" si="33"/>
        <v>-8.7010299999999999E-2</v>
      </c>
      <c r="G440" s="21">
        <f t="shared" si="31"/>
        <v>49449.71</v>
      </c>
      <c r="H440" s="55">
        <v>33130.129999999997</v>
      </c>
      <c r="I440" s="46">
        <f t="shared" si="34"/>
        <v>16319.580000000002</v>
      </c>
      <c r="J440" s="43">
        <v>49447.96</v>
      </c>
      <c r="K440" s="43">
        <f t="shared" si="30"/>
        <v>1.75</v>
      </c>
    </row>
    <row r="441" spans="1:11" x14ac:dyDescent="0.2">
      <c r="A441">
        <v>4120</v>
      </c>
      <c r="B441">
        <v>7</v>
      </c>
      <c r="C441" s="7" t="s">
        <v>435</v>
      </c>
      <c r="D441" s="21">
        <v>2515714.9500000002</v>
      </c>
      <c r="E441" s="59">
        <f t="shared" si="32"/>
        <v>-218893.06</v>
      </c>
      <c r="F441" s="56">
        <f t="shared" si="33"/>
        <v>-8.7010299999999999E-2</v>
      </c>
      <c r="G441" s="21">
        <f t="shared" si="31"/>
        <v>218893.06</v>
      </c>
      <c r="H441" s="55">
        <v>146653.16</v>
      </c>
      <c r="I441" s="46">
        <f t="shared" si="34"/>
        <v>72239.899999999994</v>
      </c>
      <c r="J441" s="43">
        <v>218885.32</v>
      </c>
      <c r="K441" s="43">
        <f t="shared" si="30"/>
        <v>7.7399999999906868</v>
      </c>
    </row>
    <row r="442" spans="1:11" x14ac:dyDescent="0.2">
      <c r="A442">
        <v>4121</v>
      </c>
      <c r="B442">
        <v>7</v>
      </c>
      <c r="C442" s="7" t="s">
        <v>436</v>
      </c>
      <c r="D442" s="21">
        <v>2685526.3</v>
      </c>
      <c r="E442" s="59">
        <f t="shared" si="32"/>
        <v>-233668.4</v>
      </c>
      <c r="F442" s="56">
        <f t="shared" si="33"/>
        <v>-8.7010299999999999E-2</v>
      </c>
      <c r="G442" s="21">
        <f t="shared" si="31"/>
        <v>233668.4</v>
      </c>
      <c r="H442" s="55">
        <v>156552.29</v>
      </c>
      <c r="I442" s="46">
        <f t="shared" si="34"/>
        <v>77116.109999999986</v>
      </c>
      <c r="J442" s="43">
        <v>233660.13</v>
      </c>
      <c r="K442" s="43">
        <f t="shared" si="30"/>
        <v>8.2699999999895226</v>
      </c>
    </row>
    <row r="443" spans="1:11" x14ac:dyDescent="0.2">
      <c r="A443" s="19">
        <v>4122</v>
      </c>
      <c r="B443" s="19">
        <v>7</v>
      </c>
      <c r="C443" s="20" t="s">
        <v>437</v>
      </c>
      <c r="D443" s="22">
        <v>1952089.63</v>
      </c>
      <c r="E443" s="59">
        <f t="shared" si="32"/>
        <v>-169851.87</v>
      </c>
      <c r="F443" s="56">
        <f t="shared" si="33"/>
        <v>-8.7010299999999999E-2</v>
      </c>
      <c r="G443" s="21">
        <f t="shared" si="31"/>
        <v>169851.87</v>
      </c>
      <c r="H443" s="55">
        <v>113796.73</v>
      </c>
      <c r="I443" s="46">
        <f t="shared" si="34"/>
        <v>56055.14</v>
      </c>
      <c r="J443" s="43">
        <v>169845.86</v>
      </c>
      <c r="K443" s="43">
        <f t="shared" si="30"/>
        <v>6.0100000000093132</v>
      </c>
    </row>
    <row r="444" spans="1:11" x14ac:dyDescent="0.2">
      <c r="A444">
        <v>4123</v>
      </c>
      <c r="B444">
        <v>7</v>
      </c>
      <c r="C444" s="7" t="s">
        <v>438</v>
      </c>
      <c r="D444" s="21">
        <v>265857.40000000002</v>
      </c>
      <c r="E444" s="59">
        <f t="shared" si="32"/>
        <v>-23132.33</v>
      </c>
      <c r="F444" s="56">
        <f t="shared" si="33"/>
        <v>-8.7010299999999999E-2</v>
      </c>
      <c r="G444" s="21">
        <f t="shared" si="31"/>
        <v>23132.33</v>
      </c>
      <c r="H444" s="55">
        <v>15498.11</v>
      </c>
      <c r="I444" s="46">
        <f t="shared" si="34"/>
        <v>7634.2200000000012</v>
      </c>
      <c r="J444" s="43">
        <v>23131.51</v>
      </c>
      <c r="K444" s="43">
        <f t="shared" si="30"/>
        <v>0.82000000000334694</v>
      </c>
    </row>
    <row r="445" spans="1:11" x14ac:dyDescent="0.2">
      <c r="A445">
        <v>4124</v>
      </c>
      <c r="B445">
        <v>7</v>
      </c>
      <c r="C445" s="7" t="s">
        <v>439</v>
      </c>
      <c r="D445" s="21">
        <v>1508996.71</v>
      </c>
      <c r="E445" s="59">
        <f t="shared" si="32"/>
        <v>-131298.23000000001</v>
      </c>
      <c r="F445" s="56">
        <f t="shared" si="33"/>
        <v>-8.7010299999999999E-2</v>
      </c>
      <c r="G445" s="21">
        <f t="shared" si="31"/>
        <v>131298.23000000001</v>
      </c>
      <c r="H445" s="55">
        <v>87966.7</v>
      </c>
      <c r="I445" s="46">
        <f t="shared" si="34"/>
        <v>43331.530000000013</v>
      </c>
      <c r="J445" s="43">
        <v>131293.57999999999</v>
      </c>
      <c r="K445" s="43">
        <f t="shared" si="30"/>
        <v>4.6500000000232831</v>
      </c>
    </row>
    <row r="446" spans="1:11" x14ac:dyDescent="0.2">
      <c r="A446">
        <v>4125</v>
      </c>
      <c r="B446">
        <v>7</v>
      </c>
      <c r="C446" s="7" t="s">
        <v>440</v>
      </c>
      <c r="D446" s="21">
        <v>848263.52</v>
      </c>
      <c r="E446" s="59">
        <f t="shared" si="32"/>
        <v>-73807.649999999994</v>
      </c>
      <c r="F446" s="56">
        <f t="shared" si="33"/>
        <v>-8.7010299999999999E-2</v>
      </c>
      <c r="G446" s="21">
        <f t="shared" si="31"/>
        <v>73807.649999999994</v>
      </c>
      <c r="H446" s="55">
        <v>49449.38</v>
      </c>
      <c r="I446" s="46">
        <f t="shared" si="34"/>
        <v>24358.269999999997</v>
      </c>
      <c r="J446" s="43">
        <v>73805.039999999994</v>
      </c>
      <c r="K446" s="43">
        <f t="shared" si="30"/>
        <v>2.6100000000005821</v>
      </c>
    </row>
    <row r="447" spans="1:11" x14ac:dyDescent="0.2">
      <c r="A447">
        <v>4126</v>
      </c>
      <c r="B447">
        <v>7</v>
      </c>
      <c r="C447" s="7" t="s">
        <v>441</v>
      </c>
      <c r="D447" s="21">
        <v>3108063.18</v>
      </c>
      <c r="E447" s="59">
        <f t="shared" si="32"/>
        <v>-270433.45</v>
      </c>
      <c r="F447" s="56">
        <f t="shared" si="33"/>
        <v>-8.7010299999999999E-2</v>
      </c>
      <c r="G447" s="21">
        <f t="shared" si="31"/>
        <v>270433.45</v>
      </c>
      <c r="H447" s="55">
        <v>181184</v>
      </c>
      <c r="I447" s="46">
        <f t="shared" si="34"/>
        <v>89249.450000000012</v>
      </c>
      <c r="J447" s="43">
        <v>270423.88</v>
      </c>
      <c r="K447" s="43">
        <f t="shared" ref="K447:K488" si="35">G447-J447</f>
        <v>9.5700000000069849</v>
      </c>
    </row>
    <row r="448" spans="1:11" x14ac:dyDescent="0.2">
      <c r="A448">
        <v>4127</v>
      </c>
      <c r="B448">
        <v>7</v>
      </c>
      <c r="C448" s="7" t="s">
        <v>442</v>
      </c>
      <c r="D448" s="21">
        <v>800295.51</v>
      </c>
      <c r="E448" s="59">
        <f t="shared" si="32"/>
        <v>-69633.94</v>
      </c>
      <c r="F448" s="56">
        <f t="shared" si="33"/>
        <v>-8.7010299999999999E-2</v>
      </c>
      <c r="G448" s="21">
        <f t="shared" si="31"/>
        <v>69633.94</v>
      </c>
      <c r="H448" s="55">
        <v>46653.08</v>
      </c>
      <c r="I448" s="46">
        <f t="shared" si="34"/>
        <v>22980.86</v>
      </c>
      <c r="J448" s="43">
        <v>69631.47</v>
      </c>
      <c r="K448" s="43">
        <f t="shared" si="35"/>
        <v>2.4700000000011642</v>
      </c>
    </row>
    <row r="449" spans="1:11" x14ac:dyDescent="0.2">
      <c r="A449">
        <v>4131</v>
      </c>
      <c r="B449">
        <v>7</v>
      </c>
      <c r="C449" s="7" t="s">
        <v>443</v>
      </c>
      <c r="D449" s="21">
        <v>1738036.11</v>
      </c>
      <c r="E449" s="59">
        <f t="shared" si="32"/>
        <v>-151227.01</v>
      </c>
      <c r="F449" s="56">
        <f t="shared" si="33"/>
        <v>-8.7010299999999999E-2</v>
      </c>
      <c r="G449" s="21">
        <f t="shared" si="31"/>
        <v>151227.01</v>
      </c>
      <c r="H449" s="55">
        <v>101318.51</v>
      </c>
      <c r="I449" s="46">
        <f t="shared" si="34"/>
        <v>49908.500000000015</v>
      </c>
      <c r="J449" s="43">
        <v>151221.66</v>
      </c>
      <c r="K449" s="43">
        <f t="shared" si="35"/>
        <v>5.3500000000058208</v>
      </c>
    </row>
    <row r="450" spans="1:11" x14ac:dyDescent="0.2">
      <c r="A450">
        <v>4132</v>
      </c>
      <c r="B450">
        <v>7</v>
      </c>
      <c r="C450" s="7" t="s">
        <v>444</v>
      </c>
      <c r="D450" s="21">
        <v>566893.84</v>
      </c>
      <c r="E450" s="59">
        <f t="shared" si="32"/>
        <v>-49325.59</v>
      </c>
      <c r="F450" s="56">
        <f t="shared" si="33"/>
        <v>-8.7010299999999999E-2</v>
      </c>
      <c r="G450" s="21">
        <f t="shared" si="31"/>
        <v>49325.59</v>
      </c>
      <c r="H450" s="55">
        <v>33046.980000000003</v>
      </c>
      <c r="I450" s="46">
        <f t="shared" si="34"/>
        <v>16278.609999999993</v>
      </c>
      <c r="J450" s="43">
        <v>49323.85</v>
      </c>
      <c r="K450" s="43">
        <f t="shared" si="35"/>
        <v>1.7399999999979627</v>
      </c>
    </row>
    <row r="451" spans="1:11" x14ac:dyDescent="0.2">
      <c r="A451">
        <v>4133</v>
      </c>
      <c r="B451">
        <v>7</v>
      </c>
      <c r="C451" s="7" t="s">
        <v>445</v>
      </c>
      <c r="D451" s="21">
        <v>435771.27</v>
      </c>
      <c r="E451" s="59">
        <f t="shared" si="32"/>
        <v>-37916.58</v>
      </c>
      <c r="F451" s="56">
        <f t="shared" si="33"/>
        <v>-8.7010299999999999E-2</v>
      </c>
      <c r="G451" s="21">
        <f t="shared" si="31"/>
        <v>37916.58</v>
      </c>
      <c r="H451" s="55">
        <v>25403.21</v>
      </c>
      <c r="I451" s="46">
        <f t="shared" si="34"/>
        <v>12513.370000000003</v>
      </c>
      <c r="J451" s="43">
        <v>37915.24</v>
      </c>
      <c r="K451" s="43">
        <f t="shared" si="35"/>
        <v>1.3400000000037835</v>
      </c>
    </row>
    <row r="452" spans="1:11" x14ac:dyDescent="0.2">
      <c r="A452">
        <v>4135</v>
      </c>
      <c r="B452">
        <v>7</v>
      </c>
      <c r="C452" s="7" t="s">
        <v>446</v>
      </c>
      <c r="D452" s="21">
        <v>1079597.75</v>
      </c>
      <c r="E452" s="59">
        <f t="shared" si="32"/>
        <v>-93936.1</v>
      </c>
      <c r="F452" s="56">
        <f t="shared" si="33"/>
        <v>-8.7010299999999999E-2</v>
      </c>
      <c r="G452" s="21">
        <f t="shared" si="31"/>
        <v>93936.1</v>
      </c>
      <c r="H452" s="55">
        <v>62934.96</v>
      </c>
      <c r="I452" s="46">
        <f t="shared" si="34"/>
        <v>31001.140000000007</v>
      </c>
      <c r="J452" s="43">
        <v>93932.78</v>
      </c>
      <c r="K452" s="43">
        <f t="shared" si="35"/>
        <v>3.3200000000069849</v>
      </c>
    </row>
    <row r="453" spans="1:11" x14ac:dyDescent="0.2">
      <c r="A453">
        <v>4137</v>
      </c>
      <c r="B453">
        <v>7</v>
      </c>
      <c r="C453" s="7" t="s">
        <v>447</v>
      </c>
      <c r="D453" s="21">
        <v>739697.58</v>
      </c>
      <c r="E453" s="59">
        <f t="shared" si="32"/>
        <v>-64361.29</v>
      </c>
      <c r="F453" s="56">
        <f t="shared" si="33"/>
        <v>-8.7010299999999999E-2</v>
      </c>
      <c r="G453" s="21">
        <f t="shared" si="31"/>
        <v>64361.29</v>
      </c>
      <c r="H453" s="55">
        <v>43120.54</v>
      </c>
      <c r="I453" s="46">
        <f t="shared" si="34"/>
        <v>21240.75</v>
      </c>
      <c r="J453" s="43">
        <v>64359.02</v>
      </c>
      <c r="K453" s="43">
        <f t="shared" si="35"/>
        <v>2.2700000000040745</v>
      </c>
    </row>
    <row r="454" spans="1:11" x14ac:dyDescent="0.2">
      <c r="A454">
        <v>4138</v>
      </c>
      <c r="B454">
        <v>7</v>
      </c>
      <c r="C454" s="7" t="s">
        <v>448</v>
      </c>
      <c r="D454" s="21">
        <v>327710.12</v>
      </c>
      <c r="E454" s="59">
        <f t="shared" si="32"/>
        <v>-28514.15</v>
      </c>
      <c r="F454" s="56">
        <f t="shared" si="33"/>
        <v>-8.7010299999999999E-2</v>
      </c>
      <c r="G454" s="21">
        <f t="shared" si="31"/>
        <v>28514.15</v>
      </c>
      <c r="H454" s="55">
        <v>19103.8</v>
      </c>
      <c r="I454" s="46">
        <f t="shared" si="34"/>
        <v>9410.3500000000022</v>
      </c>
      <c r="J454" s="43">
        <v>28513.14</v>
      </c>
      <c r="K454" s="43">
        <f t="shared" si="35"/>
        <v>1.0100000000020373</v>
      </c>
    </row>
    <row r="455" spans="1:11" x14ac:dyDescent="0.2">
      <c r="A455">
        <v>4139</v>
      </c>
      <c r="B455">
        <v>7</v>
      </c>
      <c r="C455" s="7" t="s">
        <v>449</v>
      </c>
      <c r="D455" s="21">
        <v>2231380.36</v>
      </c>
      <c r="E455" s="59">
        <f t="shared" si="32"/>
        <v>-194153.03</v>
      </c>
      <c r="F455" s="56">
        <f t="shared" si="33"/>
        <v>-8.7010299999999999E-2</v>
      </c>
      <c r="G455" s="21">
        <f t="shared" si="31"/>
        <v>194153.03</v>
      </c>
      <c r="H455" s="55">
        <v>130077.93</v>
      </c>
      <c r="I455" s="46">
        <f t="shared" si="34"/>
        <v>64075.100000000006</v>
      </c>
      <c r="J455" s="43">
        <v>194146.16</v>
      </c>
      <c r="K455" s="43">
        <f t="shared" si="35"/>
        <v>6.8699999999953434</v>
      </c>
    </row>
    <row r="456" spans="1:11" x14ac:dyDescent="0.2">
      <c r="A456">
        <v>4140</v>
      </c>
      <c r="B456">
        <v>7</v>
      </c>
      <c r="C456" s="7" t="s">
        <v>450</v>
      </c>
      <c r="D456" s="21">
        <v>805787.71</v>
      </c>
      <c r="E456" s="59">
        <f t="shared" si="32"/>
        <v>-70111.81</v>
      </c>
      <c r="F456" s="56">
        <f t="shared" si="33"/>
        <v>-8.7010299999999999E-2</v>
      </c>
      <c r="G456" s="21">
        <f t="shared" si="31"/>
        <v>70111.81</v>
      </c>
      <c r="H456" s="55">
        <v>46973.25</v>
      </c>
      <c r="I456" s="46">
        <f t="shared" si="34"/>
        <v>23138.559999999998</v>
      </c>
      <c r="J456" s="43">
        <v>70109.33</v>
      </c>
      <c r="K456" s="43">
        <f t="shared" si="35"/>
        <v>2.4799999999959255</v>
      </c>
    </row>
    <row r="457" spans="1:11" x14ac:dyDescent="0.2">
      <c r="A457">
        <v>4141</v>
      </c>
      <c r="B457">
        <v>7</v>
      </c>
      <c r="C457" s="7" t="s">
        <v>451</v>
      </c>
      <c r="D457" s="21">
        <v>1950999.02</v>
      </c>
      <c r="E457" s="59">
        <f t="shared" si="32"/>
        <v>-169756.97</v>
      </c>
      <c r="F457" s="56">
        <f t="shared" si="33"/>
        <v>-8.7010299999999999E-2</v>
      </c>
      <c r="G457" s="21">
        <f t="shared" si="31"/>
        <v>169756.97</v>
      </c>
      <c r="H457" s="55">
        <v>113733.15</v>
      </c>
      <c r="I457" s="46">
        <f t="shared" si="34"/>
        <v>56023.820000000007</v>
      </c>
      <c r="J457" s="43">
        <v>169750.97</v>
      </c>
      <c r="K457" s="43">
        <f t="shared" si="35"/>
        <v>6</v>
      </c>
    </row>
    <row r="458" spans="1:11" x14ac:dyDescent="0.2">
      <c r="A458">
        <v>4142</v>
      </c>
      <c r="B458">
        <v>7</v>
      </c>
      <c r="C458" s="7" t="s">
        <v>452</v>
      </c>
      <c r="D458" s="21">
        <v>1672263.91</v>
      </c>
      <c r="E458" s="59">
        <f t="shared" si="32"/>
        <v>-145504.15</v>
      </c>
      <c r="F458" s="56">
        <f t="shared" si="33"/>
        <v>-8.7010299999999999E-2</v>
      </c>
      <c r="G458" s="21">
        <f t="shared" si="31"/>
        <v>145504.15</v>
      </c>
      <c r="H458" s="55">
        <v>97484.33</v>
      </c>
      <c r="I458" s="46">
        <f t="shared" si="34"/>
        <v>48019.819999999992</v>
      </c>
      <c r="J458" s="43">
        <v>145499</v>
      </c>
      <c r="K458" s="43">
        <f t="shared" si="35"/>
        <v>5.1499999999941792</v>
      </c>
    </row>
    <row r="459" spans="1:11" x14ac:dyDescent="0.2">
      <c r="A459">
        <v>4143</v>
      </c>
      <c r="B459">
        <v>7</v>
      </c>
      <c r="C459" s="7" t="s">
        <v>453</v>
      </c>
      <c r="D459" s="21">
        <v>3227263.51</v>
      </c>
      <c r="E459" s="59">
        <f t="shared" si="32"/>
        <v>-280805.09999999998</v>
      </c>
      <c r="F459" s="56">
        <f t="shared" si="33"/>
        <v>-8.7010299999999999E-2</v>
      </c>
      <c r="G459" s="21">
        <f t="shared" si="31"/>
        <v>280805.09999999998</v>
      </c>
      <c r="H459" s="55">
        <v>188132.76</v>
      </c>
      <c r="I459" s="46">
        <f t="shared" si="34"/>
        <v>92672.339999999967</v>
      </c>
      <c r="J459" s="43">
        <v>280795.17</v>
      </c>
      <c r="K459" s="43">
        <f t="shared" si="35"/>
        <v>9.9299999999930151</v>
      </c>
    </row>
    <row r="460" spans="1:11" x14ac:dyDescent="0.2">
      <c r="A460">
        <v>4144</v>
      </c>
      <c r="B460">
        <v>7</v>
      </c>
      <c r="C460" s="7" t="s">
        <v>454</v>
      </c>
      <c r="D460" s="21">
        <v>489582.59</v>
      </c>
      <c r="E460" s="59">
        <f t="shared" si="32"/>
        <v>-42598.720000000001</v>
      </c>
      <c r="F460" s="56">
        <f t="shared" si="33"/>
        <v>-8.7010299999999999E-2</v>
      </c>
      <c r="G460" s="21">
        <f t="shared" si="31"/>
        <v>42598.720000000001</v>
      </c>
      <c r="H460" s="55">
        <v>28540.13</v>
      </c>
      <c r="I460" s="46">
        <f t="shared" si="34"/>
        <v>14058.59</v>
      </c>
      <c r="J460" s="43">
        <v>42597.21</v>
      </c>
      <c r="K460" s="43">
        <f t="shared" si="35"/>
        <v>1.5100000000020373</v>
      </c>
    </row>
    <row r="461" spans="1:11" x14ac:dyDescent="0.2">
      <c r="A461">
        <v>4145</v>
      </c>
      <c r="B461">
        <v>7</v>
      </c>
      <c r="C461" s="7" t="s">
        <v>455</v>
      </c>
      <c r="D461" s="21">
        <v>324110.2</v>
      </c>
      <c r="E461" s="59">
        <f t="shared" si="32"/>
        <v>-28200.92</v>
      </c>
      <c r="F461" s="56">
        <f t="shared" si="33"/>
        <v>-8.7010299999999999E-2</v>
      </c>
      <c r="G461" s="21">
        <f t="shared" si="31"/>
        <v>28200.92</v>
      </c>
      <c r="H461" s="55">
        <v>18893.95</v>
      </c>
      <c r="I461" s="46">
        <f t="shared" si="34"/>
        <v>9306.9699999999975</v>
      </c>
      <c r="J461" s="43">
        <v>28199.919999999998</v>
      </c>
      <c r="K461" s="43">
        <f t="shared" si="35"/>
        <v>1</v>
      </c>
    </row>
    <row r="462" spans="1:11" x14ac:dyDescent="0.2">
      <c r="A462">
        <v>4146</v>
      </c>
      <c r="B462">
        <v>7</v>
      </c>
      <c r="C462" s="7" t="s">
        <v>456</v>
      </c>
      <c r="D462" s="21">
        <v>722498.86</v>
      </c>
      <c r="E462" s="59">
        <f t="shared" si="32"/>
        <v>-62864.83</v>
      </c>
      <c r="F462" s="56">
        <f t="shared" si="33"/>
        <v>-8.7010299999999999E-2</v>
      </c>
      <c r="G462" s="21">
        <f t="shared" ref="G462:G488" si="36">E462*-1</f>
        <v>62864.83</v>
      </c>
      <c r="H462" s="55">
        <v>42117.94</v>
      </c>
      <c r="I462" s="46">
        <f t="shared" si="34"/>
        <v>20746.89</v>
      </c>
      <c r="J462" s="43">
        <v>62862.6</v>
      </c>
      <c r="K462" s="43">
        <f t="shared" si="35"/>
        <v>2.2300000000032014</v>
      </c>
    </row>
    <row r="463" spans="1:11" x14ac:dyDescent="0.2">
      <c r="A463">
        <v>4149</v>
      </c>
      <c r="B463">
        <v>7</v>
      </c>
      <c r="C463" s="7" t="s">
        <v>457</v>
      </c>
      <c r="D463" s="21">
        <v>632914.72</v>
      </c>
      <c r="E463" s="59">
        <f t="shared" ref="E463:E488" si="37">ROUND(-D463*$D$520,2)</f>
        <v>-55070.09</v>
      </c>
      <c r="F463" s="56">
        <f t="shared" ref="F463:F488" si="38">IF(D463&gt;0,ROUND(E463/D463,7),"na   ")</f>
        <v>-8.7010299999999999E-2</v>
      </c>
      <c r="G463" s="21">
        <f t="shared" si="36"/>
        <v>55070.09</v>
      </c>
      <c r="H463" s="55">
        <v>36895.65</v>
      </c>
      <c r="I463" s="46">
        <f t="shared" ref="I463:I488" si="39">G463-H463</f>
        <v>18174.439999999995</v>
      </c>
      <c r="J463" s="43">
        <v>55068.14</v>
      </c>
      <c r="K463" s="43">
        <f t="shared" si="35"/>
        <v>1.9499999999970896</v>
      </c>
    </row>
    <row r="464" spans="1:11" x14ac:dyDescent="0.2">
      <c r="A464">
        <v>4150</v>
      </c>
      <c r="B464">
        <v>7</v>
      </c>
      <c r="C464" s="7" t="s">
        <v>458</v>
      </c>
      <c r="D464" s="21">
        <v>690299.95</v>
      </c>
      <c r="E464" s="59">
        <f t="shared" si="37"/>
        <v>-60063.19</v>
      </c>
      <c r="F464" s="56">
        <f t="shared" si="38"/>
        <v>-8.7010299999999999E-2</v>
      </c>
      <c r="G464" s="21">
        <f t="shared" si="36"/>
        <v>60063.19</v>
      </c>
      <c r="H464" s="55">
        <v>40240.92</v>
      </c>
      <c r="I464" s="46">
        <f t="shared" si="39"/>
        <v>19822.270000000004</v>
      </c>
      <c r="J464" s="43">
        <v>60061.07</v>
      </c>
      <c r="K464" s="43">
        <f t="shared" si="35"/>
        <v>2.1200000000026193</v>
      </c>
    </row>
    <row r="465" spans="1:11" x14ac:dyDescent="0.2">
      <c r="A465">
        <v>4151</v>
      </c>
      <c r="B465">
        <v>7</v>
      </c>
      <c r="C465" s="7" t="s">
        <v>459</v>
      </c>
      <c r="D465" s="21">
        <v>558154.28</v>
      </c>
      <c r="E465" s="59">
        <f t="shared" si="37"/>
        <v>-48565.16</v>
      </c>
      <c r="F465" s="56">
        <f t="shared" si="38"/>
        <v>-8.7010299999999999E-2</v>
      </c>
      <c r="G465" s="21">
        <f t="shared" si="36"/>
        <v>48565.16</v>
      </c>
      <c r="H465" s="55">
        <v>32537.5</v>
      </c>
      <c r="I465" s="46">
        <f t="shared" si="39"/>
        <v>16027.660000000003</v>
      </c>
      <c r="J465" s="43">
        <v>48563.44</v>
      </c>
      <c r="K465" s="43">
        <f t="shared" si="35"/>
        <v>1.7200000000011642</v>
      </c>
    </row>
    <row r="466" spans="1:11" x14ac:dyDescent="0.2">
      <c r="A466">
        <v>4152</v>
      </c>
      <c r="B466">
        <v>7</v>
      </c>
      <c r="C466" s="7" t="s">
        <v>460</v>
      </c>
      <c r="D466" s="21">
        <v>664226.96</v>
      </c>
      <c r="E466" s="59">
        <f t="shared" si="37"/>
        <v>-57794.57</v>
      </c>
      <c r="F466" s="56">
        <f t="shared" si="38"/>
        <v>-8.7010299999999999E-2</v>
      </c>
      <c r="G466" s="21">
        <f t="shared" si="36"/>
        <v>57794.57</v>
      </c>
      <c r="H466" s="55">
        <v>38721</v>
      </c>
      <c r="I466" s="46">
        <f t="shared" si="39"/>
        <v>19073.57</v>
      </c>
      <c r="J466" s="43">
        <v>57792.53</v>
      </c>
      <c r="K466" s="43">
        <f t="shared" si="35"/>
        <v>2.0400000000008731</v>
      </c>
    </row>
    <row r="467" spans="1:11" x14ac:dyDescent="0.2">
      <c r="A467">
        <v>4153</v>
      </c>
      <c r="B467">
        <v>7</v>
      </c>
      <c r="C467" s="7" t="s">
        <v>461</v>
      </c>
      <c r="D467" s="21">
        <v>1771954.17</v>
      </c>
      <c r="E467" s="59">
        <f t="shared" si="37"/>
        <v>-154178.23000000001</v>
      </c>
      <c r="F467" s="56">
        <f t="shared" si="38"/>
        <v>-8.7010299999999999E-2</v>
      </c>
      <c r="G467" s="21">
        <f t="shared" si="36"/>
        <v>154178.23000000001</v>
      </c>
      <c r="H467" s="55">
        <v>103295.76</v>
      </c>
      <c r="I467" s="46">
        <f t="shared" si="39"/>
        <v>50882.470000000016</v>
      </c>
      <c r="J467" s="43">
        <v>154172.78</v>
      </c>
      <c r="K467" s="43">
        <f t="shared" si="35"/>
        <v>5.4500000000116415</v>
      </c>
    </row>
    <row r="468" spans="1:11" x14ac:dyDescent="0.2">
      <c r="A468">
        <v>4154</v>
      </c>
      <c r="B468">
        <v>7</v>
      </c>
      <c r="C468" s="7" t="s">
        <v>462</v>
      </c>
      <c r="D468" s="21">
        <v>288582.03000000003</v>
      </c>
      <c r="E468" s="59">
        <f t="shared" si="37"/>
        <v>-25109.599999999999</v>
      </c>
      <c r="F468" s="56">
        <f t="shared" si="38"/>
        <v>-8.7010299999999999E-2</v>
      </c>
      <c r="G468" s="21">
        <f t="shared" si="36"/>
        <v>25109.599999999999</v>
      </c>
      <c r="H468" s="55">
        <v>16822.84</v>
      </c>
      <c r="I468" s="46">
        <f t="shared" si="39"/>
        <v>8286.7599999999984</v>
      </c>
      <c r="J468" s="43">
        <v>25108.720000000001</v>
      </c>
      <c r="K468" s="43">
        <f t="shared" si="35"/>
        <v>0.87999999999738066</v>
      </c>
    </row>
    <row r="469" spans="1:11" x14ac:dyDescent="0.2">
      <c r="A469">
        <v>4155</v>
      </c>
      <c r="B469">
        <v>7</v>
      </c>
      <c r="C469" s="7" t="s">
        <v>463</v>
      </c>
      <c r="D469" s="21">
        <v>667194.92000000004</v>
      </c>
      <c r="E469" s="59">
        <f t="shared" si="37"/>
        <v>-58052.82</v>
      </c>
      <c r="F469" s="56">
        <f t="shared" si="38"/>
        <v>-8.7010299999999999E-2</v>
      </c>
      <c r="G469" s="21">
        <f t="shared" si="36"/>
        <v>58052.82</v>
      </c>
      <c r="H469" s="55">
        <v>38894.01</v>
      </c>
      <c r="I469" s="46">
        <f t="shared" si="39"/>
        <v>19158.809999999998</v>
      </c>
      <c r="J469" s="43">
        <v>58050.76</v>
      </c>
      <c r="K469" s="43">
        <f t="shared" si="35"/>
        <v>2.0599999999976717</v>
      </c>
    </row>
    <row r="470" spans="1:11" x14ac:dyDescent="0.2">
      <c r="A470">
        <v>4159</v>
      </c>
      <c r="B470">
        <v>7</v>
      </c>
      <c r="C470" s="7" t="s">
        <v>464</v>
      </c>
      <c r="D470" s="21">
        <v>1592678.17</v>
      </c>
      <c r="E470" s="59">
        <f t="shared" si="37"/>
        <v>-138579.37</v>
      </c>
      <c r="F470" s="56">
        <f t="shared" si="38"/>
        <v>-8.7010299999999999E-2</v>
      </c>
      <c r="G470" s="21">
        <f t="shared" si="36"/>
        <v>138579.37</v>
      </c>
      <c r="H470" s="55">
        <v>92844.89</v>
      </c>
      <c r="I470" s="46">
        <f t="shared" si="39"/>
        <v>45734.479999999996</v>
      </c>
      <c r="J470" s="43">
        <v>138574.47</v>
      </c>
      <c r="K470" s="43">
        <f t="shared" si="35"/>
        <v>4.8999999999941792</v>
      </c>
    </row>
    <row r="471" spans="1:11" x14ac:dyDescent="0.2">
      <c r="A471">
        <v>4160</v>
      </c>
      <c r="B471">
        <v>7</v>
      </c>
      <c r="C471" s="7" t="s">
        <v>465</v>
      </c>
      <c r="D471" s="21">
        <v>806001.44</v>
      </c>
      <c r="E471" s="59">
        <f t="shared" si="37"/>
        <v>-70130.41</v>
      </c>
      <c r="F471" s="56">
        <f t="shared" si="38"/>
        <v>-8.7010299999999999E-2</v>
      </c>
      <c r="G471" s="21">
        <f t="shared" si="36"/>
        <v>70130.41</v>
      </c>
      <c r="H471" s="55">
        <v>46985.71</v>
      </c>
      <c r="I471" s="46">
        <f t="shared" si="39"/>
        <v>23144.700000000004</v>
      </c>
      <c r="J471" s="43">
        <v>70127.929999999993</v>
      </c>
      <c r="K471" s="43">
        <f t="shared" si="35"/>
        <v>2.4800000000104774</v>
      </c>
    </row>
    <row r="472" spans="1:11" x14ac:dyDescent="0.2">
      <c r="A472">
        <v>4161</v>
      </c>
      <c r="B472">
        <v>7</v>
      </c>
      <c r="C472" s="7" t="s">
        <v>466</v>
      </c>
      <c r="D472" s="21">
        <v>594048.61</v>
      </c>
      <c r="E472" s="59">
        <f t="shared" si="37"/>
        <v>-51688.34</v>
      </c>
      <c r="F472" s="56">
        <f t="shared" si="38"/>
        <v>-8.7010299999999999E-2</v>
      </c>
      <c r="G472" s="21">
        <f t="shared" si="36"/>
        <v>51688.34</v>
      </c>
      <c r="H472" s="55">
        <v>34629.96</v>
      </c>
      <c r="I472" s="46">
        <f t="shared" si="39"/>
        <v>17058.379999999997</v>
      </c>
      <c r="J472" s="43">
        <v>51686.51</v>
      </c>
      <c r="K472" s="43">
        <f t="shared" si="35"/>
        <v>1.8299999999944703</v>
      </c>
    </row>
    <row r="473" spans="1:11" x14ac:dyDescent="0.2">
      <c r="A473">
        <v>4162</v>
      </c>
      <c r="B473">
        <v>7</v>
      </c>
      <c r="C473" s="7" t="s">
        <v>467</v>
      </c>
      <c r="D473" s="21">
        <v>620407.49</v>
      </c>
      <c r="E473" s="59">
        <f t="shared" si="37"/>
        <v>-53981.83</v>
      </c>
      <c r="F473" s="56">
        <f t="shared" si="38"/>
        <v>-8.7010299999999999E-2</v>
      </c>
      <c r="G473" s="21">
        <f t="shared" si="36"/>
        <v>53981.83</v>
      </c>
      <c r="H473" s="55">
        <v>36166.550000000003</v>
      </c>
      <c r="I473" s="46">
        <f t="shared" si="39"/>
        <v>17815.28</v>
      </c>
      <c r="J473" s="43">
        <v>53979.92</v>
      </c>
      <c r="K473" s="43">
        <f t="shared" si="35"/>
        <v>1.9100000000034925</v>
      </c>
    </row>
    <row r="474" spans="1:11" x14ac:dyDescent="0.2">
      <c r="A474">
        <v>4163</v>
      </c>
      <c r="B474">
        <v>7</v>
      </c>
      <c r="C474" s="7" t="s">
        <v>468</v>
      </c>
      <c r="D474" s="21">
        <v>1382419.03</v>
      </c>
      <c r="E474" s="59">
        <f t="shared" si="37"/>
        <v>-120284.67</v>
      </c>
      <c r="F474" s="56">
        <f t="shared" si="38"/>
        <v>-8.7010299999999999E-2</v>
      </c>
      <c r="G474" s="21">
        <f t="shared" si="36"/>
        <v>120284.67</v>
      </c>
      <c r="H474" s="55">
        <v>80587.87</v>
      </c>
      <c r="I474" s="46">
        <f t="shared" si="39"/>
        <v>39696.800000000003</v>
      </c>
      <c r="J474" s="43">
        <v>120280.41</v>
      </c>
      <c r="K474" s="43">
        <f t="shared" si="35"/>
        <v>4.2599999999947613</v>
      </c>
    </row>
    <row r="475" spans="1:11" x14ac:dyDescent="0.2">
      <c r="A475">
        <v>4166</v>
      </c>
      <c r="B475">
        <v>7</v>
      </c>
      <c r="C475" s="7" t="s">
        <v>469</v>
      </c>
      <c r="D475" s="21">
        <v>599295.96</v>
      </c>
      <c r="E475" s="59">
        <f t="shared" si="37"/>
        <v>-52144.91</v>
      </c>
      <c r="F475" s="56">
        <f t="shared" si="38"/>
        <v>-8.7010299999999999E-2</v>
      </c>
      <c r="G475" s="21">
        <f t="shared" si="36"/>
        <v>52144.91</v>
      </c>
      <c r="H475" s="55">
        <v>34935.86</v>
      </c>
      <c r="I475" s="46">
        <f t="shared" si="39"/>
        <v>17209.050000000003</v>
      </c>
      <c r="J475" s="43">
        <v>52143.07</v>
      </c>
      <c r="K475" s="43">
        <f t="shared" si="35"/>
        <v>1.8400000000037835</v>
      </c>
    </row>
    <row r="476" spans="1:11" x14ac:dyDescent="0.2">
      <c r="A476">
        <v>4167</v>
      </c>
      <c r="B476">
        <v>7</v>
      </c>
      <c r="C476" s="7" t="s">
        <v>470</v>
      </c>
      <c r="D476" s="21">
        <v>340460.17</v>
      </c>
      <c r="E476" s="59">
        <f t="shared" si="37"/>
        <v>-29623.53</v>
      </c>
      <c r="F476" s="56">
        <f t="shared" si="38"/>
        <v>-8.7010299999999999E-2</v>
      </c>
      <c r="G476" s="21">
        <f t="shared" si="36"/>
        <v>29623.53</v>
      </c>
      <c r="H476" s="55">
        <v>19847.07</v>
      </c>
      <c r="I476" s="46">
        <f t="shared" si="39"/>
        <v>9776.4599999999991</v>
      </c>
      <c r="J476" s="43">
        <v>29622.49</v>
      </c>
      <c r="K476" s="43">
        <f t="shared" si="35"/>
        <v>1.0399999999972351</v>
      </c>
    </row>
    <row r="477" spans="1:11" x14ac:dyDescent="0.2">
      <c r="A477">
        <v>4168</v>
      </c>
      <c r="B477">
        <v>7</v>
      </c>
      <c r="C477" s="7" t="s">
        <v>471</v>
      </c>
      <c r="D477" s="21">
        <v>491243.51</v>
      </c>
      <c r="E477" s="59">
        <f t="shared" si="37"/>
        <v>-42743.24</v>
      </c>
      <c r="F477" s="56">
        <f t="shared" si="38"/>
        <v>-8.7010299999999999E-2</v>
      </c>
      <c r="G477" s="21">
        <f t="shared" si="36"/>
        <v>42743.24</v>
      </c>
      <c r="H477" s="55">
        <v>28636.95</v>
      </c>
      <c r="I477" s="46">
        <f t="shared" si="39"/>
        <v>14106.289999999997</v>
      </c>
      <c r="J477" s="43">
        <v>42741.72</v>
      </c>
      <c r="K477" s="43">
        <f t="shared" si="35"/>
        <v>1.5199999999967986</v>
      </c>
    </row>
    <row r="478" spans="1:11" x14ac:dyDescent="0.2">
      <c r="A478">
        <v>4169</v>
      </c>
      <c r="B478">
        <v>7</v>
      </c>
      <c r="C478" s="7" t="s">
        <v>472</v>
      </c>
      <c r="D478" s="21">
        <v>967038.84</v>
      </c>
      <c r="E478" s="59">
        <f t="shared" si="37"/>
        <v>-84142.32</v>
      </c>
      <c r="F478" s="56">
        <f t="shared" si="38"/>
        <v>-8.7010299999999999E-2</v>
      </c>
      <c r="G478" s="21">
        <f t="shared" si="36"/>
        <v>84142.32</v>
      </c>
      <c r="H478" s="55">
        <v>56373.36</v>
      </c>
      <c r="I478" s="46">
        <f t="shared" si="39"/>
        <v>27768.960000000006</v>
      </c>
      <c r="J478" s="43">
        <v>84139.34</v>
      </c>
      <c r="K478" s="43">
        <f t="shared" si="35"/>
        <v>2.9800000000104774</v>
      </c>
    </row>
    <row r="479" spans="1:11" x14ac:dyDescent="0.2">
      <c r="A479">
        <v>4170</v>
      </c>
      <c r="B479">
        <v>7</v>
      </c>
      <c r="C479" s="7" t="s">
        <v>473</v>
      </c>
      <c r="D479" s="21">
        <v>949834.57</v>
      </c>
      <c r="E479" s="59">
        <f t="shared" si="37"/>
        <v>-82645.37</v>
      </c>
      <c r="F479" s="56">
        <f t="shared" si="38"/>
        <v>-8.7010299999999999E-2</v>
      </c>
      <c r="G479" s="21">
        <f t="shared" si="36"/>
        <v>82645.37</v>
      </c>
      <c r="H479" s="55">
        <v>55370.44</v>
      </c>
      <c r="I479" s="46">
        <f t="shared" si="39"/>
        <v>27274.929999999993</v>
      </c>
      <c r="J479" s="43">
        <v>82642.45</v>
      </c>
      <c r="K479" s="43">
        <f t="shared" si="35"/>
        <v>2.9199999999982538</v>
      </c>
    </row>
    <row r="480" spans="1:11" x14ac:dyDescent="0.2">
      <c r="A480">
        <v>4171</v>
      </c>
      <c r="B480">
        <v>7</v>
      </c>
      <c r="C480" s="7" t="s">
        <v>474</v>
      </c>
      <c r="D480" s="21">
        <v>1788907.2</v>
      </c>
      <c r="E480" s="59">
        <f t="shared" si="37"/>
        <v>-155653.32</v>
      </c>
      <c r="F480" s="56">
        <f t="shared" si="38"/>
        <v>-8.7010299999999999E-2</v>
      </c>
      <c r="G480" s="21">
        <f t="shared" si="36"/>
        <v>155653.32</v>
      </c>
      <c r="H480" s="55">
        <v>104284.03</v>
      </c>
      <c r="I480" s="46">
        <f t="shared" si="39"/>
        <v>51369.290000000008</v>
      </c>
      <c r="J480" s="43">
        <v>155647.81</v>
      </c>
      <c r="K480" s="43">
        <f t="shared" si="35"/>
        <v>5.5100000000093132</v>
      </c>
    </row>
    <row r="481" spans="1:11" x14ac:dyDescent="0.2">
      <c r="A481">
        <v>4172</v>
      </c>
      <c r="B481">
        <v>7</v>
      </c>
      <c r="C481" s="7" t="s">
        <v>475</v>
      </c>
      <c r="D481" s="21">
        <v>395264.7</v>
      </c>
      <c r="E481" s="59">
        <f t="shared" si="37"/>
        <v>-34392.089999999997</v>
      </c>
      <c r="F481" s="56">
        <f t="shared" si="38"/>
        <v>-8.7010299999999999E-2</v>
      </c>
      <c r="G481" s="21">
        <f t="shared" si="36"/>
        <v>34392.089999999997</v>
      </c>
      <c r="H481" s="55">
        <v>23041.89</v>
      </c>
      <c r="I481" s="46">
        <f t="shared" si="39"/>
        <v>11350.199999999997</v>
      </c>
      <c r="J481" s="43">
        <v>34390.879999999997</v>
      </c>
      <c r="K481" s="43">
        <f t="shared" si="35"/>
        <v>1.2099999999991269</v>
      </c>
    </row>
    <row r="482" spans="1:11" x14ac:dyDescent="0.2">
      <c r="A482">
        <v>4173</v>
      </c>
      <c r="B482">
        <v>7</v>
      </c>
      <c r="C482" s="7" t="s">
        <v>476</v>
      </c>
      <c r="D482" s="21">
        <v>1310561.17</v>
      </c>
      <c r="E482" s="59">
        <f t="shared" si="37"/>
        <v>-114032.29</v>
      </c>
      <c r="F482" s="56">
        <f t="shared" si="38"/>
        <v>-8.7010299999999999E-2</v>
      </c>
      <c r="G482" s="21">
        <f t="shared" si="36"/>
        <v>114032.29</v>
      </c>
      <c r="H482" s="55">
        <v>76398.929999999993</v>
      </c>
      <c r="I482" s="46">
        <f t="shared" si="39"/>
        <v>37633.360000000001</v>
      </c>
      <c r="J482" s="43">
        <v>114028.26</v>
      </c>
      <c r="K482" s="43">
        <f t="shared" si="35"/>
        <v>4.0299999999988358</v>
      </c>
    </row>
    <row r="483" spans="1:11" x14ac:dyDescent="0.2">
      <c r="A483">
        <v>4174</v>
      </c>
      <c r="B483">
        <v>7</v>
      </c>
      <c r="C483" s="7" t="s">
        <v>477</v>
      </c>
      <c r="D483" s="21">
        <v>304596.61</v>
      </c>
      <c r="E483" s="59">
        <f t="shared" si="37"/>
        <v>-26503.040000000001</v>
      </c>
      <c r="F483" s="56">
        <f t="shared" si="38"/>
        <v>-8.7010299999999999E-2</v>
      </c>
      <c r="G483" s="21">
        <f t="shared" si="36"/>
        <v>26503.040000000001</v>
      </c>
      <c r="H483" s="55">
        <v>17756.41</v>
      </c>
      <c r="I483" s="46">
        <f t="shared" si="39"/>
        <v>8746.630000000001</v>
      </c>
      <c r="J483" s="43">
        <v>26502.1</v>
      </c>
      <c r="K483" s="43">
        <f t="shared" si="35"/>
        <v>0.94000000000232831</v>
      </c>
    </row>
    <row r="484" spans="1:11" x14ac:dyDescent="0.2">
      <c r="A484">
        <v>4175</v>
      </c>
      <c r="B484">
        <v>7</v>
      </c>
      <c r="C484" s="7" t="s">
        <v>478</v>
      </c>
      <c r="D484" s="21">
        <v>384607.68</v>
      </c>
      <c r="E484" s="59">
        <f t="shared" si="37"/>
        <v>-33464.82</v>
      </c>
      <c r="F484" s="56">
        <f t="shared" si="38"/>
        <v>-8.7010299999999999E-2</v>
      </c>
      <c r="G484" s="21">
        <f t="shared" si="36"/>
        <v>33464.82</v>
      </c>
      <c r="H484" s="55">
        <v>22420.639999999999</v>
      </c>
      <c r="I484" s="46">
        <f t="shared" si="39"/>
        <v>11044.18</v>
      </c>
      <c r="J484" s="43">
        <v>33463.64</v>
      </c>
      <c r="K484" s="43">
        <f t="shared" si="35"/>
        <v>1.180000000000291</v>
      </c>
    </row>
    <row r="485" spans="1:11" x14ac:dyDescent="0.2">
      <c r="A485">
        <v>4177</v>
      </c>
      <c r="B485">
        <v>7</v>
      </c>
      <c r="C485" s="7" t="s">
        <v>479</v>
      </c>
      <c r="D485" s="21">
        <v>460543.39</v>
      </c>
      <c r="E485" s="59">
        <f t="shared" si="37"/>
        <v>-40072.01</v>
      </c>
      <c r="F485" s="56">
        <f t="shared" si="38"/>
        <v>-8.7010299999999999E-2</v>
      </c>
      <c r="G485" s="21">
        <f t="shared" si="36"/>
        <v>40072.01</v>
      </c>
      <c r="H485" s="55">
        <v>26847.3</v>
      </c>
      <c r="I485" s="46">
        <f t="shared" si="39"/>
        <v>13224.710000000003</v>
      </c>
      <c r="J485" s="43">
        <v>40070.589999999997</v>
      </c>
      <c r="K485" s="43">
        <f t="shared" si="35"/>
        <v>1.4200000000055297</v>
      </c>
    </row>
    <row r="486" spans="1:11" x14ac:dyDescent="0.2">
      <c r="A486" s="19">
        <v>4178</v>
      </c>
      <c r="B486" s="19">
        <v>7</v>
      </c>
      <c r="C486" s="20" t="s">
        <v>480</v>
      </c>
      <c r="D486" s="22">
        <v>1920288.68</v>
      </c>
      <c r="E486" s="59">
        <f>ROUND(-D486*$D$520,2)</f>
        <v>-167084.85999999999</v>
      </c>
      <c r="F486" s="56">
        <f t="shared" si="38"/>
        <v>-8.7010299999999999E-2</v>
      </c>
      <c r="G486" s="21">
        <f t="shared" si="36"/>
        <v>167084.85999999999</v>
      </c>
      <c r="H486" s="55">
        <v>111942.9</v>
      </c>
      <c r="I486" s="46">
        <f t="shared" si="39"/>
        <v>55141.959999999992</v>
      </c>
      <c r="J486" s="43">
        <v>167078.95000000001</v>
      </c>
      <c r="K486" s="43">
        <f t="shared" si="35"/>
        <v>5.9099999999743886</v>
      </c>
    </row>
    <row r="487" spans="1:11" x14ac:dyDescent="0.2">
      <c r="A487">
        <v>4180</v>
      </c>
      <c r="B487">
        <v>7</v>
      </c>
      <c r="C487" s="7" t="s">
        <v>481</v>
      </c>
      <c r="D487" s="21">
        <v>1119018.27</v>
      </c>
      <c r="E487" s="59">
        <f t="shared" si="37"/>
        <v>-97366.09</v>
      </c>
      <c r="F487" s="56">
        <f t="shared" si="38"/>
        <v>-8.7010299999999999E-2</v>
      </c>
      <c r="G487" s="21">
        <f t="shared" si="36"/>
        <v>97366.09</v>
      </c>
      <c r="H487" s="55">
        <v>65232.98</v>
      </c>
      <c r="I487" s="46">
        <f t="shared" si="39"/>
        <v>32133.109999999993</v>
      </c>
      <c r="J487" s="43">
        <v>97362.65</v>
      </c>
      <c r="K487" s="43">
        <f t="shared" si="35"/>
        <v>3.4400000000023283</v>
      </c>
    </row>
    <row r="488" spans="1:11" x14ac:dyDescent="0.2">
      <c r="A488">
        <v>4181</v>
      </c>
      <c r="B488">
        <v>7</v>
      </c>
      <c r="C488" s="7" t="s">
        <v>482</v>
      </c>
      <c r="D488" s="21">
        <v>1466263.35</v>
      </c>
      <c r="E488" s="59">
        <f t="shared" si="37"/>
        <v>-127579.99</v>
      </c>
      <c r="F488" s="56">
        <f t="shared" si="38"/>
        <v>-8.7010299999999999E-2</v>
      </c>
      <c r="G488" s="21">
        <f t="shared" si="36"/>
        <v>127579.99</v>
      </c>
      <c r="H488" s="55">
        <v>85475.56</v>
      </c>
      <c r="I488" s="46">
        <f t="shared" si="39"/>
        <v>42104.430000000008</v>
      </c>
      <c r="J488" s="43">
        <v>127575.47</v>
      </c>
      <c r="K488" s="43">
        <f t="shared" si="35"/>
        <v>4.5200000000040745</v>
      </c>
    </row>
    <row r="489" spans="1:11" x14ac:dyDescent="0.2">
      <c r="C489" s="18"/>
      <c r="D489" s="6"/>
      <c r="E489" s="6"/>
      <c r="F489" s="56"/>
      <c r="G489" s="6"/>
      <c r="H489" s="6"/>
      <c r="I489" s="6"/>
    </row>
    <row r="490" spans="1:11" x14ac:dyDescent="0.2">
      <c r="A490" t="s">
        <v>979</v>
      </c>
      <c r="C490" s="18"/>
      <c r="D490" s="6"/>
      <c r="E490" s="6"/>
      <c r="F490" s="56"/>
      <c r="G490" s="6"/>
      <c r="H490" s="6"/>
      <c r="I490" s="6"/>
    </row>
    <row r="491" spans="1:11" x14ac:dyDescent="0.2">
      <c r="A491" t="s">
        <v>980</v>
      </c>
      <c r="C491" s="18"/>
      <c r="D491" s="6"/>
      <c r="E491" s="6"/>
      <c r="F491" s="56"/>
      <c r="G491" s="6"/>
      <c r="H491" s="6"/>
      <c r="I491" s="6"/>
    </row>
    <row r="492" spans="1:11" x14ac:dyDescent="0.2">
      <c r="C492" s="18"/>
      <c r="D492" s="6"/>
      <c r="E492" s="6"/>
      <c r="F492" s="56"/>
      <c r="G492" s="6"/>
      <c r="H492" s="6"/>
      <c r="I492" s="6"/>
    </row>
    <row r="493" spans="1:11" x14ac:dyDescent="0.2">
      <c r="A493" s="57" t="s">
        <v>1005</v>
      </c>
      <c r="C493" s="18"/>
      <c r="D493" s="6"/>
      <c r="E493" s="6"/>
      <c r="F493" s="56"/>
      <c r="G493" s="6"/>
      <c r="H493" s="6"/>
      <c r="I493" s="6"/>
    </row>
    <row r="496" spans="1:11" x14ac:dyDescent="0.2">
      <c r="A496" s="57" t="s">
        <v>1006</v>
      </c>
      <c r="C496" s="18"/>
      <c r="D496" s="6"/>
      <c r="E496" s="6"/>
    </row>
    <row r="497" spans="1:7" x14ac:dyDescent="0.2">
      <c r="C497" s="18"/>
      <c r="D497" s="6"/>
      <c r="E497" s="6"/>
    </row>
    <row r="498" spans="1:7" x14ac:dyDescent="0.2">
      <c r="A498" t="s">
        <v>528</v>
      </c>
      <c r="C498" s="18"/>
      <c r="D498" s="6"/>
      <c r="E498" s="6"/>
    </row>
    <row r="499" spans="1:7" x14ac:dyDescent="0.2">
      <c r="B499" t="s">
        <v>1000</v>
      </c>
      <c r="C499" s="18"/>
      <c r="D499" s="26">
        <v>8.70072026E-2</v>
      </c>
    </row>
    <row r="500" spans="1:7" x14ac:dyDescent="0.2">
      <c r="B500" t="s">
        <v>1008</v>
      </c>
      <c r="C500" s="18"/>
      <c r="D500" s="26">
        <f>D520</f>
        <v>8.7010280400000001E-2</v>
      </c>
      <c r="E500" s="6"/>
    </row>
    <row r="503" spans="1:7" x14ac:dyDescent="0.2">
      <c r="A503" s="60" t="s">
        <v>1001</v>
      </c>
      <c r="C503" s="18"/>
      <c r="D503" s="6"/>
      <c r="E503" s="6"/>
    </row>
    <row r="504" spans="1:7" x14ac:dyDescent="0.2">
      <c r="C504" s="18"/>
      <c r="D504" s="6"/>
      <c r="E504" s="6"/>
    </row>
    <row r="505" spans="1:7" x14ac:dyDescent="0.2">
      <c r="A505">
        <v>4028</v>
      </c>
      <c r="B505">
        <v>7</v>
      </c>
      <c r="C505" s="18" t="s">
        <v>1011</v>
      </c>
      <c r="D505" s="6">
        <v>203272.58</v>
      </c>
      <c r="E505" s="6">
        <v>-17684.71</v>
      </c>
    </row>
    <row r="506" spans="1:7" x14ac:dyDescent="0.2">
      <c r="C506" s="18"/>
      <c r="D506" s="6"/>
      <c r="E506" s="6"/>
    </row>
    <row r="507" spans="1:7" x14ac:dyDescent="0.2">
      <c r="A507" t="s">
        <v>531</v>
      </c>
      <c r="C507" s="18"/>
      <c r="D507" s="6"/>
      <c r="E507" s="6">
        <f>SUM(E505:E506)</f>
        <v>-17684.71</v>
      </c>
    </row>
    <row r="510" spans="1:7" x14ac:dyDescent="0.2">
      <c r="A510" t="s">
        <v>1002</v>
      </c>
    </row>
    <row r="512" spans="1:7" x14ac:dyDescent="0.2">
      <c r="C512" t="s">
        <v>489</v>
      </c>
      <c r="D512" s="43">
        <f>SUM(D14:D350)</f>
        <v>5537362553.0900002</v>
      </c>
      <c r="E512" s="43">
        <f>SUM(E14:E350)</f>
        <v>-481807468.26000023</v>
      </c>
      <c r="F512" s="21">
        <v>481807468.26000023</v>
      </c>
      <c r="G512" s="21">
        <f>F512+E512</f>
        <v>0</v>
      </c>
    </row>
    <row r="513" spans="3:7" x14ac:dyDescent="0.2">
      <c r="C513" t="s">
        <v>490</v>
      </c>
      <c r="D513" s="43">
        <f>SUM(D351:D488)</f>
        <v>209084854.07000014</v>
      </c>
      <c r="E513" s="43">
        <f>SUM(E351:E488)</f>
        <v>-18192531.739999995</v>
      </c>
      <c r="F513" s="21">
        <v>18192531.739999995</v>
      </c>
      <c r="G513" s="21"/>
    </row>
    <row r="514" spans="3:7" x14ac:dyDescent="0.2">
      <c r="D514" s="43"/>
      <c r="E514" s="43"/>
    </row>
    <row r="515" spans="3:7" x14ac:dyDescent="0.2">
      <c r="C515" t="s">
        <v>491</v>
      </c>
      <c r="D515" s="43">
        <f>SUM(D512:D513)</f>
        <v>5746447407.1599998</v>
      </c>
      <c r="E515" s="43">
        <f>SUM(E512:E513)</f>
        <v>-500000000.00000024</v>
      </c>
      <c r="F515" s="21">
        <f>F512+F513</f>
        <v>500000000.00000024</v>
      </c>
    </row>
    <row r="516" spans="3:7" x14ac:dyDescent="0.2">
      <c r="D516" s="21"/>
    </row>
    <row r="517" spans="3:7" x14ac:dyDescent="0.2">
      <c r="C517" t="s">
        <v>1003</v>
      </c>
      <c r="D517" s="21">
        <v>500000000</v>
      </c>
    </row>
    <row r="518" spans="3:7" x14ac:dyDescent="0.2">
      <c r="C518" s="57"/>
      <c r="D518" s="58">
        <f>ROUND(D517/D515,10)</f>
        <v>8.7010280400000001E-2</v>
      </c>
    </row>
    <row r="520" spans="3:7" x14ac:dyDescent="0.2">
      <c r="C520" s="57" t="s">
        <v>1004</v>
      </c>
      <c r="D520" s="58">
        <v>8.7010280400000001E-2</v>
      </c>
    </row>
  </sheetData>
  <printOptions gridLines="1"/>
  <pageMargins left="0.75" right="0.5" top="1" bottom="0.75" header="0.5" footer="0.25"/>
  <pageSetup scale="64" fitToHeight="15" orientation="landscape" r:id="rId1"/>
  <headerFooter alignWithMargins="0">
    <oddHeader xml:space="preserve">&amp;LMDE, Program Finance&amp;COne-Time General Education Reduction and
Offsetting Fiscal Stabilization Component of Federal Stimulus Act (ARRA)
Laws 2009, Chapter 96, Article 1, Sections 21 &amp;&amp; 25&amp;R2/08/2010
</oddHeader>
    <oddFooter>&amp;L*  General ed revenue prior to school district underlevies.
    Excludes pension adjust's, and school district referendum revenue, alternative attendance adjust and contract penalties.
** Closed charter school. Stabilization reallocated.  &amp;R&amp;P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94"/>
  <sheetViews>
    <sheetView zoomScale="90" workbookViewId="0">
      <pane xSplit="3" ySplit="13" topLeftCell="D340" activePane="bottomRight" state="frozen"/>
      <selection activeCell="C364" sqref="C364"/>
      <selection pane="topRight" activeCell="C364" sqref="C364"/>
      <selection pane="bottomLeft" activeCell="C364" sqref="C364"/>
      <selection pane="bottomRight" activeCell="C364" sqref="C364"/>
    </sheetView>
  </sheetViews>
  <sheetFormatPr defaultRowHeight="12.75" x14ac:dyDescent="0.2"/>
  <cols>
    <col min="1" max="1" width="5.7109375" customWidth="1"/>
    <col min="2" max="2" width="6" bestFit="1" customWidth="1"/>
    <col min="3" max="3" width="38.28515625" customWidth="1"/>
    <col min="4" max="5" width="18.7109375" style="8" customWidth="1"/>
    <col min="6" max="6" width="16.7109375" style="8" customWidth="1"/>
    <col min="7" max="7" width="18.7109375" style="8" customWidth="1"/>
    <col min="8" max="10" width="18.7109375" customWidth="1"/>
    <col min="11" max="11" width="3.7109375" customWidth="1"/>
    <col min="15" max="15" width="18.28515625" customWidth="1"/>
    <col min="16" max="20" width="18.7109375" customWidth="1"/>
  </cols>
  <sheetData>
    <row r="1" spans="1:20" x14ac:dyDescent="0.2">
      <c r="A1" t="s">
        <v>499</v>
      </c>
      <c r="H1" s="8"/>
      <c r="J1" s="8" t="s">
        <v>500</v>
      </c>
      <c r="K1" s="8"/>
    </row>
    <row r="2" spans="1:20" x14ac:dyDescent="0.2">
      <c r="A2" t="s">
        <v>501</v>
      </c>
      <c r="H2" s="12"/>
      <c r="J2" s="12" t="s">
        <v>536</v>
      </c>
      <c r="K2" s="12"/>
    </row>
    <row r="3" spans="1:20" x14ac:dyDescent="0.2">
      <c r="A3" t="s">
        <v>502</v>
      </c>
    </row>
    <row r="4" spans="1:20" x14ac:dyDescent="0.2">
      <c r="A4" s="25" t="s">
        <v>524</v>
      </c>
    </row>
    <row r="5" spans="1:20" x14ac:dyDescent="0.2">
      <c r="A5" s="19"/>
      <c r="B5" s="19"/>
      <c r="C5" s="19"/>
      <c r="D5" s="24"/>
      <c r="E5" s="24"/>
      <c r="F5" s="24"/>
      <c r="G5" s="24"/>
      <c r="H5" s="19"/>
    </row>
    <row r="6" spans="1:20" x14ac:dyDescent="0.2">
      <c r="A6" s="13"/>
      <c r="C6" s="7"/>
      <c r="D6" s="8" t="s">
        <v>503</v>
      </c>
      <c r="E6" s="8" t="s">
        <v>504</v>
      </c>
      <c r="F6" s="8" t="s">
        <v>505</v>
      </c>
      <c r="G6" s="8" t="s">
        <v>506</v>
      </c>
      <c r="H6" s="44" t="s">
        <v>507</v>
      </c>
      <c r="I6" s="8" t="s">
        <v>539</v>
      </c>
      <c r="J6" s="8" t="s">
        <v>541</v>
      </c>
      <c r="K6" s="8"/>
      <c r="M6" s="13"/>
      <c r="O6" s="7"/>
      <c r="P6" s="8" t="s">
        <v>503</v>
      </c>
      <c r="Q6" s="8" t="s">
        <v>504</v>
      </c>
      <c r="R6" s="8" t="s">
        <v>505</v>
      </c>
      <c r="S6" s="8" t="s">
        <v>506</v>
      </c>
      <c r="T6" s="8" t="s">
        <v>507</v>
      </c>
    </row>
    <row r="7" spans="1:20" x14ac:dyDescent="0.2">
      <c r="A7" s="13"/>
      <c r="C7" s="7"/>
      <c r="D7" s="8" t="s">
        <v>508</v>
      </c>
      <c r="E7" s="8" t="s">
        <v>509</v>
      </c>
      <c r="F7" s="8" t="s">
        <v>510</v>
      </c>
      <c r="G7" s="8" t="s">
        <v>511</v>
      </c>
      <c r="H7" s="44" t="s">
        <v>512</v>
      </c>
      <c r="I7" s="40" t="s">
        <v>537</v>
      </c>
      <c r="J7" s="40" t="s">
        <v>542</v>
      </c>
      <c r="K7" s="40"/>
      <c r="M7" s="13"/>
      <c r="O7" s="7"/>
      <c r="P7" s="8" t="s">
        <v>508</v>
      </c>
      <c r="Q7" s="8" t="s">
        <v>509</v>
      </c>
      <c r="R7" s="8" t="s">
        <v>510</v>
      </c>
      <c r="S7" s="8" t="s">
        <v>511</v>
      </c>
      <c r="T7" s="8" t="s">
        <v>512</v>
      </c>
    </row>
    <row r="8" spans="1:20" x14ac:dyDescent="0.2">
      <c r="A8" s="13"/>
      <c r="C8" s="7"/>
      <c r="D8" s="8" t="s">
        <v>513</v>
      </c>
      <c r="E8" s="8" t="s">
        <v>514</v>
      </c>
      <c r="F8" s="8" t="s">
        <v>515</v>
      </c>
      <c r="G8" s="8" t="s">
        <v>533</v>
      </c>
      <c r="H8" s="44" t="s">
        <v>516</v>
      </c>
      <c r="I8" s="8" t="s">
        <v>540</v>
      </c>
      <c r="J8" s="41">
        <v>39975</v>
      </c>
      <c r="K8" s="41"/>
      <c r="M8" s="13"/>
      <c r="O8" s="7"/>
      <c r="P8" s="8" t="s">
        <v>513</v>
      </c>
      <c r="Q8" s="8" t="s">
        <v>514</v>
      </c>
      <c r="R8" s="8" t="s">
        <v>515</v>
      </c>
      <c r="S8" s="8" t="s">
        <v>543</v>
      </c>
      <c r="T8" s="8" t="s">
        <v>516</v>
      </c>
    </row>
    <row r="9" spans="1:20" ht="13.5" thickBot="1" x14ac:dyDescent="0.25">
      <c r="A9" s="14" t="s">
        <v>517</v>
      </c>
      <c r="B9" s="14" t="s">
        <v>518</v>
      </c>
      <c r="C9" s="15" t="s">
        <v>519</v>
      </c>
      <c r="D9" s="16" t="s">
        <v>520</v>
      </c>
      <c r="E9" s="16" t="s">
        <v>505</v>
      </c>
      <c r="F9" s="16" t="s">
        <v>521</v>
      </c>
      <c r="G9" s="16" t="s">
        <v>505</v>
      </c>
      <c r="H9" s="45" t="s">
        <v>522</v>
      </c>
      <c r="I9" s="16" t="s">
        <v>538</v>
      </c>
      <c r="J9" s="16" t="s">
        <v>538</v>
      </c>
      <c r="K9" s="47"/>
      <c r="M9" s="14" t="s">
        <v>517</v>
      </c>
      <c r="N9" s="14" t="s">
        <v>518</v>
      </c>
      <c r="O9" s="15" t="s">
        <v>519</v>
      </c>
      <c r="P9" s="16" t="s">
        <v>520</v>
      </c>
      <c r="Q9" s="16" t="s">
        <v>505</v>
      </c>
      <c r="R9" s="16" t="s">
        <v>521</v>
      </c>
      <c r="S9" s="16" t="s">
        <v>505</v>
      </c>
      <c r="T9" s="16" t="s">
        <v>522</v>
      </c>
    </row>
    <row r="10" spans="1:20" x14ac:dyDescent="0.2">
      <c r="C10" s="7"/>
      <c r="H10" s="44"/>
      <c r="O10" s="7"/>
      <c r="P10" s="8"/>
      <c r="Q10" s="8"/>
      <c r="R10" s="8"/>
      <c r="S10" s="8"/>
      <c r="T10" s="8"/>
    </row>
    <row r="11" spans="1:20" x14ac:dyDescent="0.2">
      <c r="C11" s="7" t="s">
        <v>523</v>
      </c>
      <c r="D11" s="21">
        <f>SUM(D14:D488)</f>
        <v>5746650679.7399998</v>
      </c>
      <c r="E11" s="21">
        <f>SUM(E14:E488)</f>
        <v>-499999999.9799999</v>
      </c>
      <c r="F11" s="23">
        <f>IF(D11&gt;0,ROUND(E11/D11,10),0)</f>
        <v>-8.70072026E-2</v>
      </c>
      <c r="G11" s="21">
        <f>SUM(G14:G488)</f>
        <v>499999999.9799999</v>
      </c>
      <c r="H11" s="46">
        <f>SUM(H14:H488)</f>
        <v>334999999.94999993</v>
      </c>
      <c r="I11" s="21">
        <f>SUM(I14:I488)-'Changes since 6-11-2009'!D39</f>
        <v>499877921.13999993</v>
      </c>
      <c r="J11" s="21">
        <f>G11-I11</f>
        <v>122078.83999997377</v>
      </c>
      <c r="K11" s="21"/>
      <c r="O11" s="7" t="s">
        <v>523</v>
      </c>
      <c r="P11" s="6">
        <f>SUM(P14:P594)</f>
        <v>5748054111.2400017</v>
      </c>
      <c r="Q11" s="6">
        <f>SUM(Q14:Q594)</f>
        <v>-499999999.96999985</v>
      </c>
      <c r="R11" s="42">
        <f>IF(P11&gt;0,ROUND(Q11/P11,3),0)</f>
        <v>-8.6999999999999994E-2</v>
      </c>
      <c r="S11" s="6">
        <f>SUM(S14:S594)</f>
        <v>501058686.12999988</v>
      </c>
      <c r="T11" s="6">
        <f>SUM(T14:T594)</f>
        <v>335000000.01000059</v>
      </c>
    </row>
    <row r="12" spans="1:20" x14ac:dyDescent="0.2">
      <c r="C12" s="7"/>
      <c r="D12" s="21"/>
      <c r="E12" s="21"/>
      <c r="G12" s="21"/>
      <c r="H12" s="46"/>
      <c r="O12" s="7"/>
      <c r="P12" s="8"/>
      <c r="Q12" s="8"/>
      <c r="R12" s="8"/>
      <c r="S12" s="8"/>
      <c r="T12" s="8"/>
    </row>
    <row r="13" spans="1:20" x14ac:dyDescent="0.2">
      <c r="A13" t="s">
        <v>1</v>
      </c>
      <c r="B13" t="s">
        <v>2</v>
      </c>
      <c r="C13" s="7" t="s">
        <v>3</v>
      </c>
      <c r="D13" s="21" t="s">
        <v>4</v>
      </c>
      <c r="E13" s="21" t="s">
        <v>5</v>
      </c>
      <c r="G13" s="21"/>
      <c r="H13" s="46"/>
      <c r="M13" t="s">
        <v>517</v>
      </c>
      <c r="N13" t="s">
        <v>518</v>
      </c>
      <c r="O13" s="7" t="s">
        <v>519</v>
      </c>
      <c r="P13" s="8" t="s">
        <v>544</v>
      </c>
      <c r="Q13" s="8" t="s">
        <v>545</v>
      </c>
      <c r="R13" s="8"/>
      <c r="S13" s="8"/>
      <c r="T13" s="8"/>
    </row>
    <row r="14" spans="1:20" x14ac:dyDescent="0.2">
      <c r="A14">
        <v>1</v>
      </c>
      <c r="B14">
        <v>1</v>
      </c>
      <c r="C14" s="7" t="s">
        <v>7</v>
      </c>
      <c r="D14" s="21">
        <v>9328153.3599999994</v>
      </c>
      <c r="E14" s="21">
        <v>-811616.53</v>
      </c>
      <c r="F14" s="17">
        <f>IF(D14&gt;0,ROUND(E14/D14,10),"na   ")</f>
        <v>-8.7007202699999994E-2</v>
      </c>
      <c r="G14" s="21">
        <f t="shared" ref="G14:G77" si="0">E14*-1</f>
        <v>811616.53</v>
      </c>
      <c r="H14" s="46">
        <f t="shared" ref="H14:H77" si="1">ROUND(G14*0.67,2)</f>
        <v>543783.07999999996</v>
      </c>
      <c r="I14" s="43">
        <v>811418.37</v>
      </c>
      <c r="J14" s="43">
        <f>G14-I14</f>
        <v>198.1600000000326</v>
      </c>
      <c r="K14" s="43"/>
      <c r="L14">
        <f t="shared" ref="L14:L77" si="2">M14-A14</f>
        <v>0</v>
      </c>
      <c r="M14">
        <v>1</v>
      </c>
      <c r="N14">
        <v>1</v>
      </c>
      <c r="O14" s="7" t="s">
        <v>546</v>
      </c>
      <c r="P14" s="6">
        <v>9328153.3599999994</v>
      </c>
      <c r="Q14" s="6">
        <v>-811418.37</v>
      </c>
      <c r="R14" s="17">
        <f t="shared" ref="R14:R77" si="3">IF(P14&gt;0,ROUND(Q14/P14,3),"na   ")</f>
        <v>-8.6999999999999994E-2</v>
      </c>
      <c r="S14" s="6">
        <f t="shared" ref="S14:S45" si="4">Q14*-1</f>
        <v>811418.37</v>
      </c>
      <c r="T14" s="6">
        <f t="shared" ref="T14:T45" si="5">ROUND(S14*0.67,2)</f>
        <v>543650.31000000006</v>
      </c>
    </row>
    <row r="15" spans="1:20" x14ac:dyDescent="0.2">
      <c r="A15">
        <v>1</v>
      </c>
      <c r="B15">
        <v>3</v>
      </c>
      <c r="C15" s="7" t="s">
        <v>8</v>
      </c>
      <c r="D15" s="21">
        <v>294798519.26999998</v>
      </c>
      <c r="E15" s="21">
        <v>-25649594.489999998</v>
      </c>
      <c r="F15" s="17">
        <f t="shared" ref="F15:F78" si="6">IF(D15&gt;0,ROUND(E15/D15,10),"na   ")</f>
        <v>-8.70072026E-2</v>
      </c>
      <c r="G15" s="21">
        <f>E15*-1</f>
        <v>25649594.489999998</v>
      </c>
      <c r="H15" s="46">
        <f t="shared" si="1"/>
        <v>17185228.309999999</v>
      </c>
      <c r="I15" s="43">
        <v>25643331.949999999</v>
      </c>
      <c r="J15" s="43">
        <f t="shared" ref="J15:J78" si="7">G15-I15</f>
        <v>6262.5399999991059</v>
      </c>
      <c r="K15" s="43"/>
      <c r="L15">
        <f t="shared" si="2"/>
        <v>0</v>
      </c>
      <c r="M15">
        <v>1</v>
      </c>
      <c r="N15">
        <v>3</v>
      </c>
      <c r="O15" s="7" t="s">
        <v>547</v>
      </c>
      <c r="P15" s="6">
        <v>294798519.26999998</v>
      </c>
      <c r="Q15" s="6">
        <v>-25643331.949999999</v>
      </c>
      <c r="R15" s="17">
        <f t="shared" si="3"/>
        <v>-8.6999999999999994E-2</v>
      </c>
      <c r="S15" s="6">
        <f t="shared" si="4"/>
        <v>25643331.949999999</v>
      </c>
      <c r="T15" s="6">
        <f t="shared" si="5"/>
        <v>17181032.41</v>
      </c>
    </row>
    <row r="16" spans="1:20" x14ac:dyDescent="0.2">
      <c r="A16">
        <v>2</v>
      </c>
      <c r="B16">
        <v>1</v>
      </c>
      <c r="C16" s="7" t="s">
        <v>9</v>
      </c>
      <c r="D16" s="21">
        <v>2766922.62</v>
      </c>
      <c r="E16" s="21">
        <v>-240742.2</v>
      </c>
      <c r="F16" s="17">
        <f t="shared" si="6"/>
        <v>-8.7007203699999994E-2</v>
      </c>
      <c r="G16" s="21">
        <f t="shared" si="0"/>
        <v>240742.2</v>
      </c>
      <c r="H16" s="46">
        <f>ROUND(G16*0.67,2)</f>
        <v>161297.26999999999</v>
      </c>
      <c r="I16" s="43">
        <v>240683.42</v>
      </c>
      <c r="J16" s="43">
        <f t="shared" si="7"/>
        <v>58.779999999998836</v>
      </c>
      <c r="K16" s="43"/>
      <c r="L16">
        <f t="shared" si="2"/>
        <v>0</v>
      </c>
      <c r="M16">
        <v>2</v>
      </c>
      <c r="N16">
        <v>1</v>
      </c>
      <c r="O16" s="7" t="s">
        <v>548</v>
      </c>
      <c r="P16" s="6">
        <v>2766922.62</v>
      </c>
      <c r="Q16" s="6">
        <v>-240683.42</v>
      </c>
      <c r="R16" s="17">
        <f t="shared" si="3"/>
        <v>-8.6999999999999994E-2</v>
      </c>
      <c r="S16" s="6">
        <f t="shared" si="4"/>
        <v>240683.42</v>
      </c>
      <c r="T16" s="6">
        <f t="shared" si="5"/>
        <v>161257.89000000001</v>
      </c>
    </row>
    <row r="17" spans="1:20" x14ac:dyDescent="0.2">
      <c r="A17">
        <v>4</v>
      </c>
      <c r="B17">
        <v>1</v>
      </c>
      <c r="C17" s="7" t="s">
        <v>10</v>
      </c>
      <c r="D17" s="21">
        <v>3657448.83</v>
      </c>
      <c r="E17" s="21">
        <v>-318224.39</v>
      </c>
      <c r="F17" s="17">
        <f t="shared" si="6"/>
        <v>-8.7007202199999994E-2</v>
      </c>
      <c r="G17" s="21">
        <f t="shared" si="0"/>
        <v>318224.39</v>
      </c>
      <c r="H17" s="46">
        <f t="shared" si="1"/>
        <v>213210.34</v>
      </c>
      <c r="I17" s="43">
        <v>318146.69</v>
      </c>
      <c r="J17" s="43">
        <f t="shared" si="7"/>
        <v>77.700000000011642</v>
      </c>
      <c r="K17" s="43"/>
      <c r="L17">
        <f t="shared" si="2"/>
        <v>0</v>
      </c>
      <c r="M17">
        <v>4</v>
      </c>
      <c r="N17">
        <v>1</v>
      </c>
      <c r="O17" s="7" t="s">
        <v>549</v>
      </c>
      <c r="P17" s="6">
        <v>3657448.83</v>
      </c>
      <c r="Q17" s="6">
        <v>-318146.69</v>
      </c>
      <c r="R17" s="17">
        <f t="shared" si="3"/>
        <v>-8.6999999999999994E-2</v>
      </c>
      <c r="S17" s="6">
        <f t="shared" si="4"/>
        <v>318146.69</v>
      </c>
      <c r="T17" s="6">
        <f t="shared" si="5"/>
        <v>213158.28</v>
      </c>
    </row>
    <row r="18" spans="1:20" x14ac:dyDescent="0.2">
      <c r="A18">
        <v>6</v>
      </c>
      <c r="B18">
        <v>3</v>
      </c>
      <c r="C18" s="7" t="s">
        <v>11</v>
      </c>
      <c r="D18" s="21">
        <v>23262965.870000001</v>
      </c>
      <c r="E18" s="21">
        <v>-2024045.58</v>
      </c>
      <c r="F18" s="17">
        <f t="shared" si="6"/>
        <v>-8.7007202399999997E-2</v>
      </c>
      <c r="G18" s="21">
        <f t="shared" si="0"/>
        <v>2024045.58</v>
      </c>
      <c r="H18" s="46">
        <f t="shared" si="1"/>
        <v>1356110.54</v>
      </c>
      <c r="I18" s="43">
        <v>2023551.4</v>
      </c>
      <c r="J18" s="43">
        <f t="shared" si="7"/>
        <v>494.18000000016764</v>
      </c>
      <c r="K18" s="43"/>
      <c r="L18">
        <f t="shared" si="2"/>
        <v>0</v>
      </c>
      <c r="M18">
        <v>6</v>
      </c>
      <c r="N18">
        <v>3</v>
      </c>
      <c r="O18" s="7" t="s">
        <v>550</v>
      </c>
      <c r="P18" s="6">
        <v>23262965.870000001</v>
      </c>
      <c r="Q18" s="6">
        <v>-2023551.4</v>
      </c>
      <c r="R18" s="17">
        <f t="shared" si="3"/>
        <v>-8.6999999999999994E-2</v>
      </c>
      <c r="S18" s="6">
        <f t="shared" si="4"/>
        <v>2023551.4</v>
      </c>
      <c r="T18" s="6">
        <f t="shared" si="5"/>
        <v>1355779.44</v>
      </c>
    </row>
    <row r="19" spans="1:20" x14ac:dyDescent="0.2">
      <c r="A19">
        <v>11</v>
      </c>
      <c r="B19">
        <v>1</v>
      </c>
      <c r="C19" s="7" t="s">
        <v>12</v>
      </c>
      <c r="D19" s="21">
        <v>264601342.59</v>
      </c>
      <c r="E19" s="21">
        <v>-23022222.620000001</v>
      </c>
      <c r="F19" s="17">
        <f t="shared" si="6"/>
        <v>-8.70072026E-2</v>
      </c>
      <c r="G19" s="21">
        <f t="shared" si="0"/>
        <v>23022222.620000001</v>
      </c>
      <c r="H19" s="46">
        <f t="shared" si="1"/>
        <v>15424889.16</v>
      </c>
      <c r="I19" s="43">
        <v>23016601.57</v>
      </c>
      <c r="J19" s="43">
        <f t="shared" si="7"/>
        <v>5621.0500000007451</v>
      </c>
      <c r="K19" s="43"/>
      <c r="L19">
        <f t="shared" si="2"/>
        <v>0</v>
      </c>
      <c r="M19">
        <v>11</v>
      </c>
      <c r="N19">
        <v>1</v>
      </c>
      <c r="O19" s="7" t="s">
        <v>551</v>
      </c>
      <c r="P19" s="6">
        <v>264601342.59</v>
      </c>
      <c r="Q19" s="6">
        <v>-23016601.57</v>
      </c>
      <c r="R19" s="17">
        <f t="shared" si="3"/>
        <v>-8.6999999999999994E-2</v>
      </c>
      <c r="S19" s="6">
        <f t="shared" si="4"/>
        <v>23016601.57</v>
      </c>
      <c r="T19" s="6">
        <f t="shared" si="5"/>
        <v>15421123.050000001</v>
      </c>
    </row>
    <row r="20" spans="1:20" x14ac:dyDescent="0.2">
      <c r="A20">
        <v>12</v>
      </c>
      <c r="B20">
        <v>1</v>
      </c>
      <c r="C20" s="7" t="s">
        <v>13</v>
      </c>
      <c r="D20" s="21">
        <v>45771927.670000002</v>
      </c>
      <c r="E20" s="21">
        <v>-3982487.38</v>
      </c>
      <c r="F20" s="17">
        <f t="shared" si="6"/>
        <v>-8.7007202500000005E-2</v>
      </c>
      <c r="G20" s="21">
        <f t="shared" si="0"/>
        <v>3982487.38</v>
      </c>
      <c r="H20" s="46">
        <f t="shared" si="1"/>
        <v>2668266.54</v>
      </c>
      <c r="I20" s="43">
        <v>3981515.03</v>
      </c>
      <c r="J20" s="43">
        <f t="shared" si="7"/>
        <v>972.35000000009313</v>
      </c>
      <c r="K20" s="43"/>
      <c r="L20">
        <f t="shared" si="2"/>
        <v>0</v>
      </c>
      <c r="M20">
        <v>12</v>
      </c>
      <c r="N20">
        <v>1</v>
      </c>
      <c r="O20" s="7" t="s">
        <v>552</v>
      </c>
      <c r="P20" s="6">
        <v>45771927.670000002</v>
      </c>
      <c r="Q20" s="6">
        <v>-3981515.03</v>
      </c>
      <c r="R20" s="17">
        <f t="shared" si="3"/>
        <v>-8.6999999999999994E-2</v>
      </c>
      <c r="S20" s="6">
        <f t="shared" si="4"/>
        <v>3981515.03</v>
      </c>
      <c r="T20" s="6">
        <f t="shared" si="5"/>
        <v>2667615.0699999998</v>
      </c>
    </row>
    <row r="21" spans="1:20" x14ac:dyDescent="0.2">
      <c r="A21">
        <v>13</v>
      </c>
      <c r="B21">
        <v>1</v>
      </c>
      <c r="C21" s="7" t="s">
        <v>14</v>
      </c>
      <c r="D21" s="21">
        <v>22123909.879999999</v>
      </c>
      <c r="E21" s="21">
        <v>-1924939.51</v>
      </c>
      <c r="F21" s="17">
        <f t="shared" si="6"/>
        <v>-8.70072026E-2</v>
      </c>
      <c r="G21" s="21">
        <f t="shared" si="0"/>
        <v>1924939.51</v>
      </c>
      <c r="H21" s="46">
        <f t="shared" si="1"/>
        <v>1289709.47</v>
      </c>
      <c r="I21" s="43">
        <v>1924469.52</v>
      </c>
      <c r="J21" s="43">
        <f t="shared" si="7"/>
        <v>469.98999999999069</v>
      </c>
      <c r="K21" s="43"/>
      <c r="L21">
        <f t="shared" si="2"/>
        <v>0</v>
      </c>
      <c r="M21">
        <v>13</v>
      </c>
      <c r="N21">
        <v>1</v>
      </c>
      <c r="O21" s="7" t="s">
        <v>553</v>
      </c>
      <c r="P21" s="6">
        <v>22123909.879999999</v>
      </c>
      <c r="Q21" s="6">
        <v>-1924469.52</v>
      </c>
      <c r="R21" s="17">
        <f t="shared" si="3"/>
        <v>-8.6999999999999994E-2</v>
      </c>
      <c r="S21" s="6">
        <f t="shared" si="4"/>
        <v>1924469.52</v>
      </c>
      <c r="T21" s="6">
        <f t="shared" si="5"/>
        <v>1289394.58</v>
      </c>
    </row>
    <row r="22" spans="1:20" x14ac:dyDescent="0.2">
      <c r="A22">
        <v>14</v>
      </c>
      <c r="B22">
        <v>1</v>
      </c>
      <c r="C22" s="7" t="s">
        <v>15</v>
      </c>
      <c r="D22" s="21">
        <v>19584387.93</v>
      </c>
      <c r="E22" s="21">
        <v>-1703982.81</v>
      </c>
      <c r="F22" s="17">
        <f t="shared" si="6"/>
        <v>-8.7007202699999994E-2</v>
      </c>
      <c r="G22" s="21">
        <f t="shared" si="0"/>
        <v>1703982.81</v>
      </c>
      <c r="H22" s="46">
        <f t="shared" si="1"/>
        <v>1141668.48</v>
      </c>
      <c r="I22" s="43">
        <v>1703566.77</v>
      </c>
      <c r="J22" s="43">
        <f t="shared" si="7"/>
        <v>416.04000000003725</v>
      </c>
      <c r="K22" s="43"/>
      <c r="L22">
        <f t="shared" si="2"/>
        <v>0</v>
      </c>
      <c r="M22">
        <v>14</v>
      </c>
      <c r="N22">
        <v>1</v>
      </c>
      <c r="O22" s="7" t="s">
        <v>554</v>
      </c>
      <c r="P22" s="6">
        <v>19584387.93</v>
      </c>
      <c r="Q22" s="6">
        <v>-1703566.77</v>
      </c>
      <c r="R22" s="17">
        <f t="shared" si="3"/>
        <v>-8.6999999999999994E-2</v>
      </c>
      <c r="S22" s="6">
        <f t="shared" si="4"/>
        <v>1703566.77</v>
      </c>
      <c r="T22" s="6">
        <f t="shared" si="5"/>
        <v>1141389.74</v>
      </c>
    </row>
    <row r="23" spans="1:20" x14ac:dyDescent="0.2">
      <c r="A23">
        <v>15</v>
      </c>
      <c r="B23">
        <v>1</v>
      </c>
      <c r="C23" s="7" t="s">
        <v>16</v>
      </c>
      <c r="D23" s="21">
        <v>38514928.890000001</v>
      </c>
      <c r="E23" s="21">
        <v>-3351076.22</v>
      </c>
      <c r="F23" s="17">
        <f t="shared" si="6"/>
        <v>-8.70072026E-2</v>
      </c>
      <c r="G23" s="21">
        <f t="shared" si="0"/>
        <v>3351076.22</v>
      </c>
      <c r="H23" s="46">
        <f t="shared" si="1"/>
        <v>2245221.0699999998</v>
      </c>
      <c r="I23" s="43">
        <v>3350258.03</v>
      </c>
      <c r="J23" s="43">
        <f t="shared" si="7"/>
        <v>818.19000000040978</v>
      </c>
      <c r="K23" s="43"/>
      <c r="L23">
        <f t="shared" si="2"/>
        <v>0</v>
      </c>
      <c r="M23">
        <v>15</v>
      </c>
      <c r="N23">
        <v>1</v>
      </c>
      <c r="O23" s="7" t="s">
        <v>555</v>
      </c>
      <c r="P23" s="6">
        <v>38514928.890000001</v>
      </c>
      <c r="Q23" s="6">
        <v>-3350258.03</v>
      </c>
      <c r="R23" s="17">
        <f t="shared" si="3"/>
        <v>-8.6999999999999994E-2</v>
      </c>
      <c r="S23" s="6">
        <f t="shared" si="4"/>
        <v>3350258.03</v>
      </c>
      <c r="T23" s="6">
        <f t="shared" si="5"/>
        <v>2244672.88</v>
      </c>
    </row>
    <row r="24" spans="1:20" x14ac:dyDescent="0.2">
      <c r="A24">
        <v>16</v>
      </c>
      <c r="B24">
        <v>1</v>
      </c>
      <c r="C24" s="7" t="s">
        <v>17</v>
      </c>
      <c r="D24" s="21">
        <v>31292831.18</v>
      </c>
      <c r="E24" s="21">
        <v>-2722701.7</v>
      </c>
      <c r="F24" s="17">
        <f t="shared" si="6"/>
        <v>-8.7007202500000005E-2</v>
      </c>
      <c r="G24" s="21">
        <f t="shared" si="0"/>
        <v>2722701.7</v>
      </c>
      <c r="H24" s="46">
        <f t="shared" si="1"/>
        <v>1824210.14</v>
      </c>
      <c r="I24" s="43">
        <v>2722036.93</v>
      </c>
      <c r="J24" s="43">
        <f t="shared" si="7"/>
        <v>664.77000000001863</v>
      </c>
      <c r="K24" s="43"/>
      <c r="L24">
        <f t="shared" si="2"/>
        <v>0</v>
      </c>
      <c r="M24">
        <v>16</v>
      </c>
      <c r="N24">
        <v>1</v>
      </c>
      <c r="O24" s="7" t="s">
        <v>556</v>
      </c>
      <c r="P24" s="6">
        <v>31292831.18</v>
      </c>
      <c r="Q24" s="6">
        <v>-2722036.93</v>
      </c>
      <c r="R24" s="17">
        <f t="shared" si="3"/>
        <v>-8.6999999999999994E-2</v>
      </c>
      <c r="S24" s="6">
        <f t="shared" si="4"/>
        <v>2722036.93</v>
      </c>
      <c r="T24" s="6">
        <f t="shared" si="5"/>
        <v>1823764.74</v>
      </c>
    </row>
    <row r="25" spans="1:20" x14ac:dyDescent="0.2">
      <c r="A25">
        <v>22</v>
      </c>
      <c r="B25">
        <v>1</v>
      </c>
      <c r="C25" s="7" t="s">
        <v>18</v>
      </c>
      <c r="D25" s="21">
        <v>18319097.809999999</v>
      </c>
      <c r="E25" s="21">
        <v>-1593893.45</v>
      </c>
      <c r="F25" s="17">
        <f t="shared" si="6"/>
        <v>-8.7007202300000003E-2</v>
      </c>
      <c r="G25" s="21">
        <f t="shared" si="0"/>
        <v>1593893.45</v>
      </c>
      <c r="H25" s="46">
        <f t="shared" si="1"/>
        <v>1067908.6100000001</v>
      </c>
      <c r="I25" s="43">
        <v>1593504.29</v>
      </c>
      <c r="J25" s="43">
        <f t="shared" si="7"/>
        <v>389.15999999991618</v>
      </c>
      <c r="K25" s="43"/>
      <c r="L25">
        <f t="shared" si="2"/>
        <v>0</v>
      </c>
      <c r="M25">
        <v>22</v>
      </c>
      <c r="N25">
        <v>1</v>
      </c>
      <c r="O25" s="7" t="s">
        <v>557</v>
      </c>
      <c r="P25" s="6">
        <v>18319097.809999999</v>
      </c>
      <c r="Q25" s="6">
        <v>-1593504.29</v>
      </c>
      <c r="R25" s="17">
        <f t="shared" si="3"/>
        <v>-8.6999999999999994E-2</v>
      </c>
      <c r="S25" s="6">
        <f t="shared" si="4"/>
        <v>1593504.29</v>
      </c>
      <c r="T25" s="6">
        <f t="shared" si="5"/>
        <v>1067647.8700000001</v>
      </c>
    </row>
    <row r="26" spans="1:20" x14ac:dyDescent="0.2">
      <c r="A26">
        <v>23</v>
      </c>
      <c r="B26">
        <v>1</v>
      </c>
      <c r="C26" s="7" t="s">
        <v>19</v>
      </c>
      <c r="D26" s="21">
        <v>6750946.0700000003</v>
      </c>
      <c r="E26" s="21">
        <v>-587380.93000000005</v>
      </c>
      <c r="F26" s="17">
        <f t="shared" si="6"/>
        <v>-8.7007202199999994E-2</v>
      </c>
      <c r="G26" s="21">
        <f t="shared" si="0"/>
        <v>587380.93000000005</v>
      </c>
      <c r="H26" s="46">
        <f t="shared" si="1"/>
        <v>393545.22</v>
      </c>
      <c r="I26" s="43">
        <v>587237.52</v>
      </c>
      <c r="J26" s="43">
        <f t="shared" si="7"/>
        <v>143.4100000000326</v>
      </c>
      <c r="K26" s="43"/>
      <c r="L26">
        <f t="shared" si="2"/>
        <v>0</v>
      </c>
      <c r="M26">
        <v>23</v>
      </c>
      <c r="N26">
        <v>1</v>
      </c>
      <c r="O26" s="7" t="s">
        <v>558</v>
      </c>
      <c r="P26" s="6">
        <v>6750946.0700000003</v>
      </c>
      <c r="Q26" s="6">
        <v>-587237.52</v>
      </c>
      <c r="R26" s="17">
        <f t="shared" si="3"/>
        <v>-8.6999999999999994E-2</v>
      </c>
      <c r="S26" s="6">
        <f t="shared" si="4"/>
        <v>587237.52</v>
      </c>
      <c r="T26" s="6">
        <f t="shared" si="5"/>
        <v>393449.14</v>
      </c>
    </row>
    <row r="27" spans="1:20" x14ac:dyDescent="0.2">
      <c r="A27">
        <v>25</v>
      </c>
      <c r="B27">
        <v>1</v>
      </c>
      <c r="C27" s="7" t="s">
        <v>20</v>
      </c>
      <c r="D27" s="21">
        <v>703111.69</v>
      </c>
      <c r="E27" s="21">
        <v>-61175.78</v>
      </c>
      <c r="F27" s="17">
        <f t="shared" si="6"/>
        <v>-8.7007200800000004E-2</v>
      </c>
      <c r="G27" s="21">
        <f t="shared" si="0"/>
        <v>61175.78</v>
      </c>
      <c r="H27" s="46">
        <f t="shared" si="1"/>
        <v>40987.769999999997</v>
      </c>
      <c r="I27" s="43">
        <v>61160.84</v>
      </c>
      <c r="J27" s="43">
        <f t="shared" si="7"/>
        <v>14.940000000002328</v>
      </c>
      <c r="K27" s="43"/>
      <c r="L27">
        <f t="shared" si="2"/>
        <v>0</v>
      </c>
      <c r="M27">
        <v>25</v>
      </c>
      <c r="N27">
        <v>1</v>
      </c>
      <c r="O27" s="7" t="s">
        <v>559</v>
      </c>
      <c r="P27" s="6">
        <v>703111.69</v>
      </c>
      <c r="Q27" s="6">
        <v>-61160.84</v>
      </c>
      <c r="R27" s="17">
        <f t="shared" si="3"/>
        <v>-8.6999999999999994E-2</v>
      </c>
      <c r="S27" s="6">
        <f t="shared" si="4"/>
        <v>61160.84</v>
      </c>
      <c r="T27" s="6">
        <f t="shared" si="5"/>
        <v>40977.760000000002</v>
      </c>
    </row>
    <row r="28" spans="1:20" x14ac:dyDescent="0.2">
      <c r="A28">
        <v>31</v>
      </c>
      <c r="B28">
        <v>1</v>
      </c>
      <c r="C28" s="7" t="s">
        <v>21</v>
      </c>
      <c r="D28" s="21">
        <v>33285009.010000002</v>
      </c>
      <c r="E28" s="21">
        <v>-2896035.52</v>
      </c>
      <c r="F28" s="17">
        <f t="shared" si="6"/>
        <v>-8.7007202500000005E-2</v>
      </c>
      <c r="G28" s="21">
        <f t="shared" si="0"/>
        <v>2896035.52</v>
      </c>
      <c r="H28" s="46">
        <f t="shared" si="1"/>
        <v>1940343.8</v>
      </c>
      <c r="I28" s="43">
        <v>2895328.43</v>
      </c>
      <c r="J28" s="43">
        <f t="shared" si="7"/>
        <v>707.08999999985099</v>
      </c>
      <c r="K28" s="43"/>
      <c r="L28">
        <f t="shared" si="2"/>
        <v>0</v>
      </c>
      <c r="M28">
        <v>31</v>
      </c>
      <c r="N28">
        <v>1</v>
      </c>
      <c r="O28" s="7" t="s">
        <v>560</v>
      </c>
      <c r="P28" s="6">
        <v>33285009.010000002</v>
      </c>
      <c r="Q28" s="6">
        <v>-2895328.43</v>
      </c>
      <c r="R28" s="17">
        <f t="shared" si="3"/>
        <v>-8.6999999999999994E-2</v>
      </c>
      <c r="S28" s="6">
        <f t="shared" si="4"/>
        <v>2895328.43</v>
      </c>
      <c r="T28" s="6">
        <f t="shared" si="5"/>
        <v>1939870.05</v>
      </c>
    </row>
    <row r="29" spans="1:20" x14ac:dyDescent="0.2">
      <c r="A29">
        <v>32</v>
      </c>
      <c r="B29">
        <v>1</v>
      </c>
      <c r="C29" s="7" t="s">
        <v>22</v>
      </c>
      <c r="D29" s="21">
        <v>5224015.0199999996</v>
      </c>
      <c r="E29" s="21">
        <v>-454526.93</v>
      </c>
      <c r="F29" s="17">
        <f t="shared" si="6"/>
        <v>-8.7007202000000006E-2</v>
      </c>
      <c r="G29" s="21">
        <f t="shared" si="0"/>
        <v>454526.93</v>
      </c>
      <c r="H29" s="46">
        <f t="shared" si="1"/>
        <v>304533.03999999998</v>
      </c>
      <c r="I29" s="43">
        <v>454415.96</v>
      </c>
      <c r="J29" s="43">
        <f t="shared" si="7"/>
        <v>110.96999999997206</v>
      </c>
      <c r="K29" s="43"/>
      <c r="L29">
        <f t="shared" si="2"/>
        <v>0</v>
      </c>
      <c r="M29">
        <v>32</v>
      </c>
      <c r="N29">
        <v>1</v>
      </c>
      <c r="O29" s="7" t="s">
        <v>561</v>
      </c>
      <c r="P29" s="6">
        <v>5224015.0199999996</v>
      </c>
      <c r="Q29" s="6">
        <v>-454415.96</v>
      </c>
      <c r="R29" s="17">
        <f t="shared" si="3"/>
        <v>-8.6999999999999994E-2</v>
      </c>
      <c r="S29" s="6">
        <f t="shared" si="4"/>
        <v>454415.96</v>
      </c>
      <c r="T29" s="6">
        <f t="shared" si="5"/>
        <v>304458.69</v>
      </c>
    </row>
    <row r="30" spans="1:20" x14ac:dyDescent="0.2">
      <c r="A30">
        <v>36</v>
      </c>
      <c r="B30">
        <v>1</v>
      </c>
      <c r="C30" s="7" t="s">
        <v>23</v>
      </c>
      <c r="D30" s="21">
        <v>2831595.59</v>
      </c>
      <c r="E30" s="21">
        <v>-246369.21</v>
      </c>
      <c r="F30" s="17">
        <f t="shared" si="6"/>
        <v>-8.7007202199999994E-2</v>
      </c>
      <c r="G30" s="21">
        <f t="shared" si="0"/>
        <v>246369.21</v>
      </c>
      <c r="H30" s="46">
        <f t="shared" si="1"/>
        <v>165067.37</v>
      </c>
      <c r="I30" s="43">
        <v>246309.06</v>
      </c>
      <c r="J30" s="43">
        <f t="shared" si="7"/>
        <v>60.149999999994179</v>
      </c>
      <c r="K30" s="43"/>
      <c r="L30">
        <f t="shared" si="2"/>
        <v>0</v>
      </c>
      <c r="M30">
        <v>36</v>
      </c>
      <c r="N30">
        <v>1</v>
      </c>
      <c r="O30" s="7" t="s">
        <v>562</v>
      </c>
      <c r="P30" s="6">
        <v>2831595.59</v>
      </c>
      <c r="Q30" s="6">
        <v>-246309.06</v>
      </c>
      <c r="R30" s="17">
        <f t="shared" si="3"/>
        <v>-8.6999999999999994E-2</v>
      </c>
      <c r="S30" s="6">
        <f t="shared" si="4"/>
        <v>246309.06</v>
      </c>
      <c r="T30" s="6">
        <f t="shared" si="5"/>
        <v>165027.07</v>
      </c>
    </row>
    <row r="31" spans="1:20" x14ac:dyDescent="0.2">
      <c r="A31">
        <v>38</v>
      </c>
      <c r="B31">
        <v>1</v>
      </c>
      <c r="C31" s="7" t="s">
        <v>24</v>
      </c>
      <c r="D31" s="21">
        <v>11701654.779999999</v>
      </c>
      <c r="E31" s="21">
        <v>-1018128.25</v>
      </c>
      <c r="F31" s="17">
        <f t="shared" si="6"/>
        <v>-8.7007202800000003E-2</v>
      </c>
      <c r="G31" s="21">
        <f t="shared" si="0"/>
        <v>1018128.25</v>
      </c>
      <c r="H31" s="46">
        <f t="shared" si="1"/>
        <v>682145.93</v>
      </c>
      <c r="I31" s="43">
        <v>1017879.66</v>
      </c>
      <c r="J31" s="43">
        <f t="shared" si="7"/>
        <v>248.5899999999674</v>
      </c>
      <c r="K31" s="43"/>
      <c r="L31">
        <f t="shared" si="2"/>
        <v>0</v>
      </c>
      <c r="M31">
        <v>38</v>
      </c>
      <c r="N31">
        <v>1</v>
      </c>
      <c r="O31" s="7" t="s">
        <v>563</v>
      </c>
      <c r="P31" s="6">
        <v>11701654.779999999</v>
      </c>
      <c r="Q31" s="6">
        <v>-1017879.66</v>
      </c>
      <c r="R31" s="17">
        <f t="shared" si="3"/>
        <v>-8.6999999999999994E-2</v>
      </c>
      <c r="S31" s="6">
        <f t="shared" si="4"/>
        <v>1017879.66</v>
      </c>
      <c r="T31" s="6">
        <f t="shared" si="5"/>
        <v>681979.37</v>
      </c>
    </row>
    <row r="32" spans="1:20" x14ac:dyDescent="0.2">
      <c r="A32">
        <v>47</v>
      </c>
      <c r="B32">
        <v>1</v>
      </c>
      <c r="C32" s="7" t="s">
        <v>25</v>
      </c>
      <c r="D32" s="21">
        <v>23919347.190000001</v>
      </c>
      <c r="E32" s="21">
        <v>-2081155.49</v>
      </c>
      <c r="F32" s="17">
        <f t="shared" si="6"/>
        <v>-8.7007202699999994E-2</v>
      </c>
      <c r="G32" s="21">
        <f t="shared" si="0"/>
        <v>2081155.49</v>
      </c>
      <c r="H32" s="46">
        <f t="shared" si="1"/>
        <v>1394374.18</v>
      </c>
      <c r="I32" s="43">
        <v>2080647.36</v>
      </c>
      <c r="J32" s="43">
        <f t="shared" si="7"/>
        <v>508.12999999988824</v>
      </c>
      <c r="K32" s="43"/>
      <c r="L32">
        <f t="shared" si="2"/>
        <v>0</v>
      </c>
      <c r="M32">
        <v>47</v>
      </c>
      <c r="N32">
        <v>1</v>
      </c>
      <c r="O32" s="7" t="s">
        <v>564</v>
      </c>
      <c r="P32" s="6">
        <v>23919347.190000001</v>
      </c>
      <c r="Q32" s="6">
        <v>-2080647.36</v>
      </c>
      <c r="R32" s="17">
        <f t="shared" si="3"/>
        <v>-8.6999999999999994E-2</v>
      </c>
      <c r="S32" s="6">
        <f t="shared" si="4"/>
        <v>2080647.36</v>
      </c>
      <c r="T32" s="6">
        <f t="shared" si="5"/>
        <v>1394033.73</v>
      </c>
    </row>
    <row r="33" spans="1:20" x14ac:dyDescent="0.2">
      <c r="A33">
        <v>51</v>
      </c>
      <c r="B33">
        <v>1</v>
      </c>
      <c r="C33" s="7" t="s">
        <v>26</v>
      </c>
      <c r="D33" s="21">
        <v>10962757.48</v>
      </c>
      <c r="E33" s="21">
        <v>-953838.86</v>
      </c>
      <c r="F33" s="17">
        <f t="shared" si="6"/>
        <v>-8.7007202500000005E-2</v>
      </c>
      <c r="G33" s="21">
        <f t="shared" si="0"/>
        <v>953838.86</v>
      </c>
      <c r="H33" s="46">
        <f t="shared" si="1"/>
        <v>639072.04</v>
      </c>
      <c r="I33" s="43">
        <v>953605.97</v>
      </c>
      <c r="J33" s="43">
        <f t="shared" si="7"/>
        <v>232.89000000001397</v>
      </c>
      <c r="K33" s="43"/>
      <c r="L33">
        <f t="shared" si="2"/>
        <v>0</v>
      </c>
      <c r="M33">
        <v>51</v>
      </c>
      <c r="N33">
        <v>1</v>
      </c>
      <c r="O33" s="7" t="s">
        <v>565</v>
      </c>
      <c r="P33" s="6">
        <v>10962757.48</v>
      </c>
      <c r="Q33" s="6">
        <v>-953605.97</v>
      </c>
      <c r="R33" s="17">
        <f t="shared" si="3"/>
        <v>-8.6999999999999994E-2</v>
      </c>
      <c r="S33" s="6">
        <f t="shared" si="4"/>
        <v>953605.97</v>
      </c>
      <c r="T33" s="6">
        <f t="shared" si="5"/>
        <v>638916</v>
      </c>
    </row>
    <row r="34" spans="1:20" x14ac:dyDescent="0.2">
      <c r="A34">
        <v>75</v>
      </c>
      <c r="B34">
        <v>1</v>
      </c>
      <c r="C34" s="7" t="s">
        <v>27</v>
      </c>
      <c r="D34" s="21">
        <v>4013758.68</v>
      </c>
      <c r="E34" s="21">
        <v>-349225.91</v>
      </c>
      <c r="F34" s="17">
        <f t="shared" si="6"/>
        <v>-8.7007201399999998E-2</v>
      </c>
      <c r="G34" s="21">
        <f t="shared" si="0"/>
        <v>349225.91</v>
      </c>
      <c r="H34" s="46">
        <f t="shared" si="1"/>
        <v>233981.36</v>
      </c>
      <c r="I34" s="43">
        <v>349140.65</v>
      </c>
      <c r="J34" s="43">
        <f t="shared" si="7"/>
        <v>85.259999999951106</v>
      </c>
      <c r="K34" s="43"/>
      <c r="L34">
        <f t="shared" si="2"/>
        <v>0</v>
      </c>
      <c r="M34">
        <v>75</v>
      </c>
      <c r="N34">
        <v>1</v>
      </c>
      <c r="O34" s="7" t="s">
        <v>567</v>
      </c>
      <c r="P34" s="6">
        <v>4013758.68</v>
      </c>
      <c r="Q34" s="6">
        <v>-349140.65</v>
      </c>
      <c r="R34" s="17">
        <f t="shared" si="3"/>
        <v>-8.6999999999999994E-2</v>
      </c>
      <c r="S34" s="6">
        <f t="shared" si="4"/>
        <v>349140.65</v>
      </c>
      <c r="T34" s="6">
        <f t="shared" si="5"/>
        <v>233924.24</v>
      </c>
    </row>
    <row r="35" spans="1:20" x14ac:dyDescent="0.2">
      <c r="A35">
        <v>77</v>
      </c>
      <c r="B35">
        <v>1</v>
      </c>
      <c r="C35" s="7" t="s">
        <v>28</v>
      </c>
      <c r="D35" s="21">
        <v>47753478.630000003</v>
      </c>
      <c r="E35" s="21">
        <v>-4154896.59</v>
      </c>
      <c r="F35" s="17">
        <f t="shared" si="6"/>
        <v>-8.70072026E-2</v>
      </c>
      <c r="G35" s="21">
        <f t="shared" si="0"/>
        <v>4154896.59</v>
      </c>
      <c r="H35" s="46">
        <f t="shared" si="1"/>
        <v>2783780.72</v>
      </c>
      <c r="I35" s="43">
        <v>4153882.14</v>
      </c>
      <c r="J35" s="43">
        <f t="shared" si="7"/>
        <v>1014.4499999997206</v>
      </c>
      <c r="K35" s="43"/>
      <c r="L35">
        <f t="shared" si="2"/>
        <v>0</v>
      </c>
      <c r="M35">
        <v>77</v>
      </c>
      <c r="N35">
        <v>1</v>
      </c>
      <c r="O35" s="7" t="s">
        <v>568</v>
      </c>
      <c r="P35" s="6">
        <v>47753478.630000003</v>
      </c>
      <c r="Q35" s="6">
        <v>-4153882.14</v>
      </c>
      <c r="R35" s="17">
        <f t="shared" si="3"/>
        <v>-8.6999999999999994E-2</v>
      </c>
      <c r="S35" s="6">
        <f t="shared" si="4"/>
        <v>4153882.14</v>
      </c>
      <c r="T35" s="6">
        <f t="shared" si="5"/>
        <v>2783101.03</v>
      </c>
    </row>
    <row r="36" spans="1:20" x14ac:dyDescent="0.2">
      <c r="A36">
        <v>81</v>
      </c>
      <c r="B36">
        <v>1</v>
      </c>
      <c r="C36" s="7" t="s">
        <v>29</v>
      </c>
      <c r="D36" s="21">
        <v>1107975.04</v>
      </c>
      <c r="E36" s="21">
        <v>-96401.81</v>
      </c>
      <c r="F36" s="17">
        <f t="shared" si="6"/>
        <v>-8.7007203699999994E-2</v>
      </c>
      <c r="G36" s="21">
        <f t="shared" si="0"/>
        <v>96401.81</v>
      </c>
      <c r="H36" s="46">
        <f t="shared" si="1"/>
        <v>64589.21</v>
      </c>
      <c r="I36" s="43">
        <v>96378.27</v>
      </c>
      <c r="J36" s="43">
        <f t="shared" si="7"/>
        <v>23.539999999993597</v>
      </c>
      <c r="K36" s="43"/>
      <c r="L36">
        <f t="shared" si="2"/>
        <v>0</v>
      </c>
      <c r="M36">
        <v>81</v>
      </c>
      <c r="N36">
        <v>1</v>
      </c>
      <c r="O36" s="7" t="s">
        <v>569</v>
      </c>
      <c r="P36" s="6">
        <v>1107975.04</v>
      </c>
      <c r="Q36" s="6">
        <v>-96378.27</v>
      </c>
      <c r="R36" s="17">
        <f t="shared" si="3"/>
        <v>-8.6999999999999994E-2</v>
      </c>
      <c r="S36" s="6">
        <f t="shared" si="4"/>
        <v>96378.27</v>
      </c>
      <c r="T36" s="6">
        <f t="shared" si="5"/>
        <v>64573.440000000002</v>
      </c>
    </row>
    <row r="37" spans="1:20" x14ac:dyDescent="0.2">
      <c r="A37">
        <v>84</v>
      </c>
      <c r="B37">
        <v>1</v>
      </c>
      <c r="C37" s="7" t="s">
        <v>30</v>
      </c>
      <c r="D37" s="21">
        <v>4791215.55</v>
      </c>
      <c r="E37" s="21">
        <v>-416870.26</v>
      </c>
      <c r="F37" s="17">
        <f t="shared" si="6"/>
        <v>-8.7007202199999994E-2</v>
      </c>
      <c r="G37" s="21">
        <f t="shared" si="0"/>
        <v>416870.26</v>
      </c>
      <c r="H37" s="46">
        <f t="shared" si="1"/>
        <v>279303.07</v>
      </c>
      <c r="I37" s="43">
        <v>416768.48</v>
      </c>
      <c r="J37" s="43">
        <f t="shared" si="7"/>
        <v>101.78000000002794</v>
      </c>
      <c r="K37" s="43"/>
      <c r="L37">
        <f t="shared" si="2"/>
        <v>0</v>
      </c>
      <c r="M37">
        <v>84</v>
      </c>
      <c r="N37">
        <v>1</v>
      </c>
      <c r="O37" s="7" t="s">
        <v>570</v>
      </c>
      <c r="P37" s="6">
        <v>4791215.55</v>
      </c>
      <c r="Q37" s="6">
        <v>-416768.48</v>
      </c>
      <c r="R37" s="17">
        <f t="shared" si="3"/>
        <v>-8.6999999999999994E-2</v>
      </c>
      <c r="S37" s="6">
        <f t="shared" si="4"/>
        <v>416768.48</v>
      </c>
      <c r="T37" s="6">
        <f t="shared" si="5"/>
        <v>279234.88</v>
      </c>
    </row>
    <row r="38" spans="1:20" x14ac:dyDescent="0.2">
      <c r="A38">
        <v>85</v>
      </c>
      <c r="B38">
        <v>1</v>
      </c>
      <c r="C38" s="7" t="s">
        <v>31</v>
      </c>
      <c r="D38" s="21">
        <v>4048622.9</v>
      </c>
      <c r="E38" s="21">
        <v>-352259.35</v>
      </c>
      <c r="F38" s="17">
        <f t="shared" si="6"/>
        <v>-8.7007201899999997E-2</v>
      </c>
      <c r="G38" s="21">
        <f t="shared" si="0"/>
        <v>352259.35</v>
      </c>
      <c r="H38" s="46">
        <f t="shared" si="1"/>
        <v>236013.76</v>
      </c>
      <c r="I38" s="43">
        <v>352173.35</v>
      </c>
      <c r="J38" s="43">
        <f t="shared" si="7"/>
        <v>86</v>
      </c>
      <c r="K38" s="43"/>
      <c r="L38">
        <f t="shared" si="2"/>
        <v>0</v>
      </c>
      <c r="M38">
        <v>85</v>
      </c>
      <c r="N38">
        <v>1</v>
      </c>
      <c r="O38" s="7" t="s">
        <v>571</v>
      </c>
      <c r="P38" s="6">
        <v>4048622.9</v>
      </c>
      <c r="Q38" s="6">
        <v>-352173.35</v>
      </c>
      <c r="R38" s="17">
        <f t="shared" si="3"/>
        <v>-8.6999999999999994E-2</v>
      </c>
      <c r="S38" s="6">
        <f t="shared" si="4"/>
        <v>352173.35</v>
      </c>
      <c r="T38" s="6">
        <f t="shared" si="5"/>
        <v>235956.14</v>
      </c>
    </row>
    <row r="39" spans="1:20" x14ac:dyDescent="0.2">
      <c r="A39">
        <v>88</v>
      </c>
      <c r="B39">
        <v>1</v>
      </c>
      <c r="C39" s="7" t="s">
        <v>32</v>
      </c>
      <c r="D39" s="21">
        <v>13827462.58</v>
      </c>
      <c r="E39" s="21">
        <v>-1203088.8400000001</v>
      </c>
      <c r="F39" s="17">
        <f t="shared" si="6"/>
        <v>-8.7007202699999994E-2</v>
      </c>
      <c r="G39" s="21">
        <f t="shared" si="0"/>
        <v>1203088.8400000001</v>
      </c>
      <c r="H39" s="46">
        <f t="shared" si="1"/>
        <v>806069.52</v>
      </c>
      <c r="I39" s="43">
        <v>1202795.0900000001</v>
      </c>
      <c r="J39" s="43">
        <f t="shared" si="7"/>
        <v>293.75</v>
      </c>
      <c r="K39" s="43"/>
      <c r="L39">
        <f t="shared" si="2"/>
        <v>0</v>
      </c>
      <c r="M39">
        <v>88</v>
      </c>
      <c r="N39">
        <v>1</v>
      </c>
      <c r="O39" s="7" t="s">
        <v>572</v>
      </c>
      <c r="P39" s="6">
        <v>13827462.58</v>
      </c>
      <c r="Q39" s="6">
        <v>-1202795.0900000001</v>
      </c>
      <c r="R39" s="17">
        <f t="shared" si="3"/>
        <v>-8.6999999999999994E-2</v>
      </c>
      <c r="S39" s="6">
        <f t="shared" si="4"/>
        <v>1202795.0900000001</v>
      </c>
      <c r="T39" s="6">
        <f t="shared" si="5"/>
        <v>805872.71</v>
      </c>
    </row>
    <row r="40" spans="1:20" x14ac:dyDescent="0.2">
      <c r="A40">
        <v>91</v>
      </c>
      <c r="B40">
        <v>1</v>
      </c>
      <c r="C40" s="7" t="s">
        <v>33</v>
      </c>
      <c r="D40" s="21">
        <v>4777300.3600000003</v>
      </c>
      <c r="E40" s="21">
        <v>-415659.54</v>
      </c>
      <c r="F40" s="17">
        <f t="shared" si="6"/>
        <v>-8.7007202500000005E-2</v>
      </c>
      <c r="G40" s="21">
        <f t="shared" si="0"/>
        <v>415659.54</v>
      </c>
      <c r="H40" s="46">
        <f t="shared" si="1"/>
        <v>278491.89</v>
      </c>
      <c r="I40" s="43">
        <v>415558.05</v>
      </c>
      <c r="J40" s="43">
        <f t="shared" si="7"/>
        <v>101.48999999999069</v>
      </c>
      <c r="K40" s="43"/>
      <c r="L40">
        <f t="shared" si="2"/>
        <v>0</v>
      </c>
      <c r="M40">
        <v>91</v>
      </c>
      <c r="N40">
        <v>1</v>
      </c>
      <c r="O40" s="7" t="s">
        <v>573</v>
      </c>
      <c r="P40" s="6">
        <v>4777300.3600000003</v>
      </c>
      <c r="Q40" s="6">
        <v>-415558.05</v>
      </c>
      <c r="R40" s="17">
        <f t="shared" si="3"/>
        <v>-8.6999999999999994E-2</v>
      </c>
      <c r="S40" s="6">
        <f t="shared" si="4"/>
        <v>415558.05</v>
      </c>
      <c r="T40" s="6">
        <f t="shared" si="5"/>
        <v>278423.89</v>
      </c>
    </row>
    <row r="41" spans="1:20" x14ac:dyDescent="0.2">
      <c r="A41">
        <v>93</v>
      </c>
      <c r="B41">
        <v>1</v>
      </c>
      <c r="C41" s="7" t="s">
        <v>34</v>
      </c>
      <c r="D41" s="21">
        <v>4149454.88</v>
      </c>
      <c r="E41" s="21">
        <v>-361032.46</v>
      </c>
      <c r="F41" s="17">
        <f t="shared" si="6"/>
        <v>-8.7007202300000003E-2</v>
      </c>
      <c r="G41" s="21">
        <f t="shared" si="0"/>
        <v>361032.46</v>
      </c>
      <c r="H41" s="46">
        <f t="shared" si="1"/>
        <v>241891.75</v>
      </c>
      <c r="I41" s="43">
        <v>360944.31</v>
      </c>
      <c r="J41" s="43">
        <f t="shared" si="7"/>
        <v>88.150000000023283</v>
      </c>
      <c r="K41" s="43"/>
      <c r="L41">
        <f t="shared" si="2"/>
        <v>0</v>
      </c>
      <c r="M41">
        <v>93</v>
      </c>
      <c r="N41">
        <v>1</v>
      </c>
      <c r="O41" s="7" t="s">
        <v>574</v>
      </c>
      <c r="P41" s="6">
        <v>4149454.88</v>
      </c>
      <c r="Q41" s="6">
        <v>-360944.31</v>
      </c>
      <c r="R41" s="17">
        <f t="shared" si="3"/>
        <v>-8.6999999999999994E-2</v>
      </c>
      <c r="S41" s="6">
        <f t="shared" si="4"/>
        <v>360944.31</v>
      </c>
      <c r="T41" s="6">
        <f t="shared" si="5"/>
        <v>241832.69</v>
      </c>
    </row>
    <row r="42" spans="1:20" x14ac:dyDescent="0.2">
      <c r="A42">
        <v>94</v>
      </c>
      <c r="B42">
        <v>1</v>
      </c>
      <c r="C42" s="7" t="s">
        <v>35</v>
      </c>
      <c r="D42" s="21">
        <v>17938946.800000001</v>
      </c>
      <c r="E42" s="21">
        <v>-1560817.58</v>
      </c>
      <c r="F42" s="17">
        <f t="shared" si="6"/>
        <v>-8.7007202699999994E-2</v>
      </c>
      <c r="G42" s="21">
        <f t="shared" si="0"/>
        <v>1560817.58</v>
      </c>
      <c r="H42" s="46">
        <f t="shared" si="1"/>
        <v>1045747.78</v>
      </c>
      <c r="I42" s="43">
        <v>1560436.49</v>
      </c>
      <c r="J42" s="43">
        <f t="shared" si="7"/>
        <v>381.09000000008382</v>
      </c>
      <c r="K42" s="43"/>
      <c r="L42">
        <f t="shared" si="2"/>
        <v>0</v>
      </c>
      <c r="M42">
        <v>94</v>
      </c>
      <c r="N42">
        <v>1</v>
      </c>
      <c r="O42" s="7" t="s">
        <v>575</v>
      </c>
      <c r="P42" s="6">
        <v>17938946.800000001</v>
      </c>
      <c r="Q42" s="6">
        <v>-1560436.49</v>
      </c>
      <c r="R42" s="17">
        <f t="shared" si="3"/>
        <v>-8.6999999999999994E-2</v>
      </c>
      <c r="S42" s="6">
        <f t="shared" si="4"/>
        <v>1560436.49</v>
      </c>
      <c r="T42" s="6">
        <f t="shared" si="5"/>
        <v>1045492.45</v>
      </c>
    </row>
    <row r="43" spans="1:20" x14ac:dyDescent="0.2">
      <c r="A43">
        <v>95</v>
      </c>
      <c r="B43">
        <v>1</v>
      </c>
      <c r="C43" s="7" t="s">
        <v>36</v>
      </c>
      <c r="D43" s="21">
        <v>2589685.4900000002</v>
      </c>
      <c r="E43" s="21">
        <v>-225321.29</v>
      </c>
      <c r="F43" s="17">
        <f t="shared" si="6"/>
        <v>-8.70072026E-2</v>
      </c>
      <c r="G43" s="21">
        <f t="shared" si="0"/>
        <v>225321.29</v>
      </c>
      <c r="H43" s="46">
        <f t="shared" si="1"/>
        <v>150965.26</v>
      </c>
      <c r="I43" s="43">
        <v>225266.28</v>
      </c>
      <c r="J43" s="43">
        <f t="shared" si="7"/>
        <v>55.010000000009313</v>
      </c>
      <c r="K43" s="43"/>
      <c r="L43">
        <f t="shared" si="2"/>
        <v>0</v>
      </c>
      <c r="M43">
        <v>95</v>
      </c>
      <c r="N43">
        <v>1</v>
      </c>
      <c r="O43" s="7" t="s">
        <v>576</v>
      </c>
      <c r="P43" s="6">
        <v>2589685.4900000002</v>
      </c>
      <c r="Q43" s="6">
        <v>-225266.28</v>
      </c>
      <c r="R43" s="17">
        <f t="shared" si="3"/>
        <v>-8.6999999999999994E-2</v>
      </c>
      <c r="S43" s="6">
        <f t="shared" si="4"/>
        <v>225266.28</v>
      </c>
      <c r="T43" s="6">
        <f t="shared" si="5"/>
        <v>150928.41</v>
      </c>
    </row>
    <row r="44" spans="1:20" x14ac:dyDescent="0.2">
      <c r="A44">
        <v>97</v>
      </c>
      <c r="B44">
        <v>1</v>
      </c>
      <c r="C44" s="7" t="s">
        <v>37</v>
      </c>
      <c r="D44" s="21">
        <v>4964273.46</v>
      </c>
      <c r="E44" s="21">
        <v>-431927.55</v>
      </c>
      <c r="F44" s="17">
        <f t="shared" si="6"/>
        <v>-8.7007203300000002E-2</v>
      </c>
      <c r="G44" s="21">
        <f t="shared" si="0"/>
        <v>431927.55</v>
      </c>
      <c r="H44" s="46">
        <f t="shared" si="1"/>
        <v>289391.46000000002</v>
      </c>
      <c r="I44" s="43">
        <v>431822.09</v>
      </c>
      <c r="J44" s="43">
        <f t="shared" si="7"/>
        <v>105.45999999996275</v>
      </c>
      <c r="K44" s="43"/>
      <c r="L44">
        <f t="shared" si="2"/>
        <v>0</v>
      </c>
      <c r="M44">
        <v>97</v>
      </c>
      <c r="N44">
        <v>1</v>
      </c>
      <c r="O44" s="7" t="s">
        <v>577</v>
      </c>
      <c r="P44" s="6">
        <v>4964273.46</v>
      </c>
      <c r="Q44" s="6">
        <v>-431822.09</v>
      </c>
      <c r="R44" s="17">
        <f t="shared" si="3"/>
        <v>-8.6999999999999994E-2</v>
      </c>
      <c r="S44" s="6">
        <f t="shared" si="4"/>
        <v>431822.09</v>
      </c>
      <c r="T44" s="6">
        <f t="shared" si="5"/>
        <v>289320.8</v>
      </c>
    </row>
    <row r="45" spans="1:20" x14ac:dyDescent="0.2">
      <c r="A45">
        <v>99</v>
      </c>
      <c r="B45">
        <v>1</v>
      </c>
      <c r="C45" s="7" t="s">
        <v>38</v>
      </c>
      <c r="D45" s="21">
        <v>7290763.1200000001</v>
      </c>
      <c r="E45" s="21">
        <v>-634348.9</v>
      </c>
      <c r="F45" s="17">
        <f t="shared" si="6"/>
        <v>-8.70072021E-2</v>
      </c>
      <c r="G45" s="21">
        <f t="shared" si="0"/>
        <v>634348.9</v>
      </c>
      <c r="H45" s="46">
        <f t="shared" si="1"/>
        <v>425013.76000000001</v>
      </c>
      <c r="I45" s="43">
        <v>634194.02</v>
      </c>
      <c r="J45" s="43">
        <f t="shared" si="7"/>
        <v>154.88000000000466</v>
      </c>
      <c r="K45" s="43"/>
      <c r="L45">
        <f t="shared" si="2"/>
        <v>0</v>
      </c>
      <c r="M45">
        <v>99</v>
      </c>
      <c r="N45">
        <v>1</v>
      </c>
      <c r="O45" s="7" t="s">
        <v>578</v>
      </c>
      <c r="P45" s="6">
        <v>7290763.1200000001</v>
      </c>
      <c r="Q45" s="6">
        <v>-634194.02</v>
      </c>
      <c r="R45" s="17">
        <f t="shared" si="3"/>
        <v>-8.6999999999999994E-2</v>
      </c>
      <c r="S45" s="6">
        <f t="shared" si="4"/>
        <v>634194.02</v>
      </c>
      <c r="T45" s="6">
        <f t="shared" si="5"/>
        <v>424909.99</v>
      </c>
    </row>
    <row r="46" spans="1:20" x14ac:dyDescent="0.2">
      <c r="A46">
        <v>100</v>
      </c>
      <c r="B46">
        <v>1</v>
      </c>
      <c r="C46" s="7" t="s">
        <v>39</v>
      </c>
      <c r="D46" s="21">
        <v>2276453.91</v>
      </c>
      <c r="E46" s="21">
        <v>-198067.89</v>
      </c>
      <c r="F46" s="17">
        <f t="shared" si="6"/>
        <v>-8.7007204099999999E-2</v>
      </c>
      <c r="G46" s="21">
        <f t="shared" si="0"/>
        <v>198067.89</v>
      </c>
      <c r="H46" s="46">
        <f t="shared" si="1"/>
        <v>132705.49</v>
      </c>
      <c r="I46" s="43">
        <v>198019.53</v>
      </c>
      <c r="J46" s="43">
        <f t="shared" si="7"/>
        <v>48.360000000015134</v>
      </c>
      <c r="K46" s="43"/>
      <c r="L46">
        <f t="shared" si="2"/>
        <v>0</v>
      </c>
      <c r="M46">
        <v>100</v>
      </c>
      <c r="N46">
        <v>1</v>
      </c>
      <c r="O46" s="7" t="s">
        <v>579</v>
      </c>
      <c r="P46" s="6">
        <v>2276453.91</v>
      </c>
      <c r="Q46" s="6">
        <v>-198019.53</v>
      </c>
      <c r="R46" s="17">
        <f t="shared" si="3"/>
        <v>-8.6999999999999994E-2</v>
      </c>
      <c r="S46" s="6">
        <f t="shared" ref="S46:S77" si="8">Q46*-1</f>
        <v>198019.53</v>
      </c>
      <c r="T46" s="6">
        <f t="shared" ref="T46:T77" si="9">ROUND(S46*0.67,2)</f>
        <v>132673.09</v>
      </c>
    </row>
    <row r="47" spans="1:20" x14ac:dyDescent="0.2">
      <c r="A47">
        <v>108</v>
      </c>
      <c r="B47">
        <v>1</v>
      </c>
      <c r="C47" s="7" t="s">
        <v>40</v>
      </c>
      <c r="D47" s="21">
        <v>6986442.8399999999</v>
      </c>
      <c r="E47" s="21">
        <v>-607870.85</v>
      </c>
      <c r="F47" s="17">
        <f t="shared" si="6"/>
        <v>-8.7007202899999997E-2</v>
      </c>
      <c r="G47" s="21">
        <f t="shared" si="0"/>
        <v>607870.85</v>
      </c>
      <c r="H47" s="46">
        <f t="shared" si="1"/>
        <v>407273.47</v>
      </c>
      <c r="I47" s="43">
        <v>607722.43000000005</v>
      </c>
      <c r="J47" s="43">
        <f t="shared" si="7"/>
        <v>148.41999999992549</v>
      </c>
      <c r="K47" s="43"/>
      <c r="L47">
        <f t="shared" si="2"/>
        <v>0</v>
      </c>
      <c r="M47">
        <v>108</v>
      </c>
      <c r="N47">
        <v>1</v>
      </c>
      <c r="O47" s="7" t="s">
        <v>580</v>
      </c>
      <c r="P47" s="6">
        <v>6986442.8399999999</v>
      </c>
      <c r="Q47" s="6">
        <v>-607722.43000000005</v>
      </c>
      <c r="R47" s="17">
        <f t="shared" si="3"/>
        <v>-8.6999999999999994E-2</v>
      </c>
      <c r="S47" s="6">
        <f t="shared" si="8"/>
        <v>607722.43000000005</v>
      </c>
      <c r="T47" s="6">
        <f t="shared" si="9"/>
        <v>407174.03</v>
      </c>
    </row>
    <row r="48" spans="1:20" x14ac:dyDescent="0.2">
      <c r="A48">
        <v>110</v>
      </c>
      <c r="B48">
        <v>1</v>
      </c>
      <c r="C48" s="7" t="s">
        <v>41</v>
      </c>
      <c r="D48" s="21">
        <v>18710844.699999999</v>
      </c>
      <c r="E48" s="21">
        <v>-1627978.26</v>
      </c>
      <c r="F48" s="17">
        <f t="shared" si="6"/>
        <v>-8.7007202800000003E-2</v>
      </c>
      <c r="G48" s="21">
        <f t="shared" si="0"/>
        <v>1627978.26</v>
      </c>
      <c r="H48" s="46">
        <f t="shared" si="1"/>
        <v>1090745.43</v>
      </c>
      <c r="I48" s="43">
        <v>1627580.77</v>
      </c>
      <c r="J48" s="43">
        <f t="shared" si="7"/>
        <v>397.48999999999069</v>
      </c>
      <c r="K48" s="43"/>
      <c r="L48">
        <f t="shared" si="2"/>
        <v>0</v>
      </c>
      <c r="M48">
        <v>110</v>
      </c>
      <c r="N48">
        <v>1</v>
      </c>
      <c r="O48" s="7" t="s">
        <v>581</v>
      </c>
      <c r="P48" s="6">
        <v>18710844.699999999</v>
      </c>
      <c r="Q48" s="6">
        <v>-1627580.77</v>
      </c>
      <c r="R48" s="17">
        <f t="shared" si="3"/>
        <v>-8.6999999999999994E-2</v>
      </c>
      <c r="S48" s="6">
        <f t="shared" si="8"/>
        <v>1627580.77</v>
      </c>
      <c r="T48" s="6">
        <f t="shared" si="9"/>
        <v>1090479.1200000001</v>
      </c>
    </row>
    <row r="49" spans="1:20" x14ac:dyDescent="0.2">
      <c r="A49">
        <v>111</v>
      </c>
      <c r="B49">
        <v>1</v>
      </c>
      <c r="C49" s="7" t="s">
        <v>42</v>
      </c>
      <c r="D49" s="21">
        <v>10478602.869999999</v>
      </c>
      <c r="E49" s="21">
        <v>-911713.92</v>
      </c>
      <c r="F49" s="17">
        <f t="shared" si="6"/>
        <v>-8.7007202300000003E-2</v>
      </c>
      <c r="G49" s="21">
        <f t="shared" si="0"/>
        <v>911713.92</v>
      </c>
      <c r="H49" s="46">
        <f t="shared" si="1"/>
        <v>610848.32999999996</v>
      </c>
      <c r="I49" s="43">
        <v>911491.32</v>
      </c>
      <c r="J49" s="43">
        <f t="shared" si="7"/>
        <v>222.60000000009313</v>
      </c>
      <c r="K49" s="43"/>
      <c r="L49">
        <f t="shared" si="2"/>
        <v>0</v>
      </c>
      <c r="M49">
        <v>111</v>
      </c>
      <c r="N49">
        <v>1</v>
      </c>
      <c r="O49" s="7" t="s">
        <v>582</v>
      </c>
      <c r="P49" s="6">
        <v>10478602.869999999</v>
      </c>
      <c r="Q49" s="6">
        <v>-911491.32</v>
      </c>
      <c r="R49" s="17">
        <f t="shared" si="3"/>
        <v>-8.6999999999999994E-2</v>
      </c>
      <c r="S49" s="6">
        <f t="shared" si="8"/>
        <v>911491.32</v>
      </c>
      <c r="T49" s="6">
        <f t="shared" si="9"/>
        <v>610699.18000000005</v>
      </c>
    </row>
    <row r="50" spans="1:20" x14ac:dyDescent="0.2">
      <c r="A50">
        <v>112</v>
      </c>
      <c r="B50">
        <v>1</v>
      </c>
      <c r="C50" s="7" t="s">
        <v>43</v>
      </c>
      <c r="D50" s="21">
        <v>56770389.479999997</v>
      </c>
      <c r="E50" s="21">
        <v>-4939432.78</v>
      </c>
      <c r="F50" s="17">
        <f t="shared" si="6"/>
        <v>-8.70072026E-2</v>
      </c>
      <c r="G50" s="21">
        <f t="shared" si="0"/>
        <v>4939432.78</v>
      </c>
      <c r="H50" s="46">
        <f t="shared" si="1"/>
        <v>3309419.96</v>
      </c>
      <c r="I50" s="43">
        <v>4938226.78</v>
      </c>
      <c r="J50" s="43">
        <f t="shared" si="7"/>
        <v>1206</v>
      </c>
      <c r="K50" s="43"/>
      <c r="L50">
        <f t="shared" si="2"/>
        <v>0</v>
      </c>
      <c r="M50">
        <v>112</v>
      </c>
      <c r="N50">
        <v>1</v>
      </c>
      <c r="O50" s="7" t="s">
        <v>583</v>
      </c>
      <c r="P50" s="6">
        <v>56770389.479999997</v>
      </c>
      <c r="Q50" s="6">
        <v>-4938226.78</v>
      </c>
      <c r="R50" s="17">
        <f t="shared" si="3"/>
        <v>-8.6999999999999994E-2</v>
      </c>
      <c r="S50" s="6">
        <f t="shared" si="8"/>
        <v>4938226.78</v>
      </c>
      <c r="T50" s="6">
        <f t="shared" si="9"/>
        <v>3308611.94</v>
      </c>
    </row>
    <row r="51" spans="1:20" x14ac:dyDescent="0.2">
      <c r="A51">
        <v>113</v>
      </c>
      <c r="B51">
        <v>1</v>
      </c>
      <c r="C51" s="7" t="s">
        <v>44</v>
      </c>
      <c r="D51" s="21">
        <v>6365281.71</v>
      </c>
      <c r="E51" s="21">
        <v>-553825.36</v>
      </c>
      <c r="F51" s="17">
        <f t="shared" si="6"/>
        <v>-8.7007203300000002E-2</v>
      </c>
      <c r="G51" s="21">
        <f t="shared" si="0"/>
        <v>553825.36</v>
      </c>
      <c r="H51" s="46">
        <f t="shared" si="1"/>
        <v>371062.99</v>
      </c>
      <c r="I51" s="43">
        <v>553690.13</v>
      </c>
      <c r="J51" s="43">
        <f t="shared" si="7"/>
        <v>135.22999999998137</v>
      </c>
      <c r="K51" s="43"/>
      <c r="L51">
        <f t="shared" si="2"/>
        <v>0</v>
      </c>
      <c r="M51">
        <v>113</v>
      </c>
      <c r="N51">
        <v>1</v>
      </c>
      <c r="O51" s="7" t="s">
        <v>584</v>
      </c>
      <c r="P51" s="6">
        <v>6365281.71</v>
      </c>
      <c r="Q51" s="6">
        <v>-553690.13</v>
      </c>
      <c r="R51" s="17">
        <f t="shared" si="3"/>
        <v>-8.6999999999999994E-2</v>
      </c>
      <c r="S51" s="6">
        <f t="shared" si="8"/>
        <v>553690.13</v>
      </c>
      <c r="T51" s="6">
        <f t="shared" si="9"/>
        <v>370972.39</v>
      </c>
    </row>
    <row r="52" spans="1:20" x14ac:dyDescent="0.2">
      <c r="A52">
        <v>115</v>
      </c>
      <c r="B52">
        <v>1</v>
      </c>
      <c r="C52" s="7" t="s">
        <v>45</v>
      </c>
      <c r="D52" s="21">
        <v>9403896.3100000005</v>
      </c>
      <c r="E52" s="21">
        <v>-818206.71</v>
      </c>
      <c r="F52" s="17">
        <f t="shared" si="6"/>
        <v>-8.7007202399999997E-2</v>
      </c>
      <c r="G52" s="21">
        <f t="shared" si="0"/>
        <v>818206.71</v>
      </c>
      <c r="H52" s="46">
        <f t="shared" si="1"/>
        <v>548198.5</v>
      </c>
      <c r="I52" s="43">
        <v>818006.94</v>
      </c>
      <c r="J52" s="43">
        <f t="shared" si="7"/>
        <v>199.77000000001863</v>
      </c>
      <c r="K52" s="43"/>
      <c r="L52">
        <f t="shared" si="2"/>
        <v>0</v>
      </c>
      <c r="M52">
        <v>115</v>
      </c>
      <c r="N52">
        <v>1</v>
      </c>
      <c r="O52" s="7" t="s">
        <v>585</v>
      </c>
      <c r="P52" s="6">
        <v>9403896.3100000005</v>
      </c>
      <c r="Q52" s="6">
        <v>-818006.94</v>
      </c>
      <c r="R52" s="17">
        <f t="shared" si="3"/>
        <v>-8.6999999999999994E-2</v>
      </c>
      <c r="S52" s="6">
        <f t="shared" si="8"/>
        <v>818006.94</v>
      </c>
      <c r="T52" s="6">
        <f t="shared" si="9"/>
        <v>548064.65</v>
      </c>
    </row>
    <row r="53" spans="1:20" x14ac:dyDescent="0.2">
      <c r="A53">
        <v>116</v>
      </c>
      <c r="B53">
        <v>1</v>
      </c>
      <c r="C53" s="7" t="s">
        <v>46</v>
      </c>
      <c r="D53" s="21">
        <v>5556607.75</v>
      </c>
      <c r="E53" s="21">
        <v>-483464.9</v>
      </c>
      <c r="F53" s="17">
        <f t="shared" si="6"/>
        <v>-8.7007203300000002E-2</v>
      </c>
      <c r="G53" s="21">
        <f t="shared" si="0"/>
        <v>483464.9</v>
      </c>
      <c r="H53" s="46">
        <f t="shared" si="1"/>
        <v>323921.48</v>
      </c>
      <c r="I53" s="43">
        <v>483346.85</v>
      </c>
      <c r="J53" s="43">
        <f t="shared" si="7"/>
        <v>118.05000000004657</v>
      </c>
      <c r="K53" s="43"/>
      <c r="L53">
        <f t="shared" si="2"/>
        <v>0</v>
      </c>
      <c r="M53">
        <v>116</v>
      </c>
      <c r="N53">
        <v>1</v>
      </c>
      <c r="O53" s="7" t="s">
        <v>586</v>
      </c>
      <c r="P53" s="6">
        <v>5556607.75</v>
      </c>
      <c r="Q53" s="6">
        <v>-483346.85</v>
      </c>
      <c r="R53" s="17">
        <f t="shared" si="3"/>
        <v>-8.6999999999999994E-2</v>
      </c>
      <c r="S53" s="6">
        <f t="shared" si="8"/>
        <v>483346.85</v>
      </c>
      <c r="T53" s="6">
        <f t="shared" si="9"/>
        <v>323842.39</v>
      </c>
    </row>
    <row r="54" spans="1:20" x14ac:dyDescent="0.2">
      <c r="A54">
        <v>118</v>
      </c>
      <c r="B54">
        <v>1</v>
      </c>
      <c r="C54" s="7" t="s">
        <v>47</v>
      </c>
      <c r="D54" s="21">
        <v>4122306.45</v>
      </c>
      <c r="E54" s="21">
        <v>-358670.35</v>
      </c>
      <c r="F54" s="17">
        <f t="shared" si="6"/>
        <v>-8.7007202000000006E-2</v>
      </c>
      <c r="G54" s="21">
        <f t="shared" si="0"/>
        <v>358670.35</v>
      </c>
      <c r="H54" s="46">
        <f t="shared" si="1"/>
        <v>240309.13</v>
      </c>
      <c r="I54" s="43">
        <v>358582.78</v>
      </c>
      <c r="J54" s="43">
        <f t="shared" si="7"/>
        <v>87.569999999948777</v>
      </c>
      <c r="K54" s="43"/>
      <c r="L54">
        <f t="shared" si="2"/>
        <v>0</v>
      </c>
      <c r="M54">
        <v>118</v>
      </c>
      <c r="N54">
        <v>1</v>
      </c>
      <c r="O54" s="7" t="s">
        <v>587</v>
      </c>
      <c r="P54" s="6">
        <v>4122306.45</v>
      </c>
      <c r="Q54" s="6">
        <v>-358582.78</v>
      </c>
      <c r="R54" s="17">
        <f t="shared" si="3"/>
        <v>-8.6999999999999994E-2</v>
      </c>
      <c r="S54" s="6">
        <f t="shared" si="8"/>
        <v>358582.78</v>
      </c>
      <c r="T54" s="6">
        <f t="shared" si="9"/>
        <v>240250.46</v>
      </c>
    </row>
    <row r="55" spans="1:20" x14ac:dyDescent="0.2">
      <c r="A55">
        <v>129</v>
      </c>
      <c r="B55">
        <v>1</v>
      </c>
      <c r="C55" s="7" t="s">
        <v>48</v>
      </c>
      <c r="D55" s="21">
        <v>10622835.41</v>
      </c>
      <c r="E55" s="21">
        <v>-924263.19</v>
      </c>
      <c r="F55" s="17">
        <f t="shared" si="6"/>
        <v>-8.7007202300000003E-2</v>
      </c>
      <c r="G55" s="21">
        <f t="shared" si="0"/>
        <v>924263.19</v>
      </c>
      <c r="H55" s="46">
        <f t="shared" si="1"/>
        <v>619256.34</v>
      </c>
      <c r="I55" s="43">
        <v>924037.53</v>
      </c>
      <c r="J55" s="43">
        <f t="shared" si="7"/>
        <v>225.65999999991618</v>
      </c>
      <c r="K55" s="43"/>
      <c r="L55">
        <f t="shared" si="2"/>
        <v>0</v>
      </c>
      <c r="M55">
        <v>129</v>
      </c>
      <c r="N55">
        <v>1</v>
      </c>
      <c r="O55" s="7" t="s">
        <v>588</v>
      </c>
      <c r="P55" s="6">
        <v>10622835.41</v>
      </c>
      <c r="Q55" s="6">
        <v>-924037.53</v>
      </c>
      <c r="R55" s="17">
        <f t="shared" si="3"/>
        <v>-8.6999999999999994E-2</v>
      </c>
      <c r="S55" s="6">
        <f t="shared" si="8"/>
        <v>924037.53</v>
      </c>
      <c r="T55" s="6">
        <f t="shared" si="9"/>
        <v>619105.15</v>
      </c>
    </row>
    <row r="56" spans="1:20" x14ac:dyDescent="0.2">
      <c r="A56">
        <v>138</v>
      </c>
      <c r="B56">
        <v>1</v>
      </c>
      <c r="C56" s="7" t="s">
        <v>49</v>
      </c>
      <c r="D56" s="21">
        <v>24894662.449999999</v>
      </c>
      <c r="E56" s="21">
        <v>-2166014.94</v>
      </c>
      <c r="F56" s="17">
        <f t="shared" si="6"/>
        <v>-8.70072026E-2</v>
      </c>
      <c r="G56" s="21">
        <f t="shared" si="0"/>
        <v>2166014.94</v>
      </c>
      <c r="H56" s="46">
        <f t="shared" si="1"/>
        <v>1451230.01</v>
      </c>
      <c r="I56" s="43">
        <v>2165486.09</v>
      </c>
      <c r="J56" s="43">
        <f t="shared" si="7"/>
        <v>528.85000000009313</v>
      </c>
      <c r="K56" s="43"/>
      <c r="L56">
        <f t="shared" si="2"/>
        <v>0</v>
      </c>
      <c r="M56">
        <v>138</v>
      </c>
      <c r="N56">
        <v>1</v>
      </c>
      <c r="O56" s="7" t="s">
        <v>589</v>
      </c>
      <c r="P56" s="6">
        <v>24894662.449999999</v>
      </c>
      <c r="Q56" s="6">
        <v>-2165486.09</v>
      </c>
      <c r="R56" s="17">
        <f t="shared" si="3"/>
        <v>-8.6999999999999994E-2</v>
      </c>
      <c r="S56" s="6">
        <f t="shared" si="8"/>
        <v>2165486.09</v>
      </c>
      <c r="T56" s="6">
        <f t="shared" si="9"/>
        <v>1450875.68</v>
      </c>
    </row>
    <row r="57" spans="1:20" x14ac:dyDescent="0.2">
      <c r="A57">
        <v>139</v>
      </c>
      <c r="B57">
        <v>1</v>
      </c>
      <c r="C57" s="7" t="s">
        <v>50</v>
      </c>
      <c r="D57" s="21">
        <v>6178459.2400000002</v>
      </c>
      <c r="E57" s="21">
        <v>-537570.44999999995</v>
      </c>
      <c r="F57" s="17">
        <f t="shared" si="6"/>
        <v>-8.7007201800000003E-2</v>
      </c>
      <c r="G57" s="21">
        <f t="shared" si="0"/>
        <v>537570.44999999995</v>
      </c>
      <c r="H57" s="46">
        <f t="shared" si="1"/>
        <v>360172.2</v>
      </c>
      <c r="I57" s="43">
        <v>537439.19999999995</v>
      </c>
      <c r="J57" s="43">
        <f t="shared" si="7"/>
        <v>131.25</v>
      </c>
      <c r="K57" s="43"/>
      <c r="L57">
        <f t="shared" si="2"/>
        <v>0</v>
      </c>
      <c r="M57">
        <v>139</v>
      </c>
      <c r="N57">
        <v>1</v>
      </c>
      <c r="O57" s="7" t="s">
        <v>590</v>
      </c>
      <c r="P57" s="6">
        <v>6178459.2400000002</v>
      </c>
      <c r="Q57" s="6">
        <v>-537439.19999999995</v>
      </c>
      <c r="R57" s="17">
        <f t="shared" si="3"/>
        <v>-8.6999999999999994E-2</v>
      </c>
      <c r="S57" s="6">
        <f t="shared" si="8"/>
        <v>537439.19999999995</v>
      </c>
      <c r="T57" s="6">
        <f t="shared" si="9"/>
        <v>360084.26</v>
      </c>
    </row>
    <row r="58" spans="1:20" x14ac:dyDescent="0.2">
      <c r="A58">
        <v>146</v>
      </c>
      <c r="B58">
        <v>1</v>
      </c>
      <c r="C58" s="7" t="s">
        <v>51</v>
      </c>
      <c r="D58" s="21">
        <v>5381438.3399999999</v>
      </c>
      <c r="E58" s="21">
        <v>-468223.9</v>
      </c>
      <c r="F58" s="17">
        <f t="shared" si="6"/>
        <v>-8.7007203399999997E-2</v>
      </c>
      <c r="G58" s="21">
        <f t="shared" si="0"/>
        <v>468223.9</v>
      </c>
      <c r="H58" s="46">
        <f t="shared" si="1"/>
        <v>313710.01</v>
      </c>
      <c r="I58" s="43">
        <v>468109.58</v>
      </c>
      <c r="J58" s="43">
        <f t="shared" si="7"/>
        <v>114.32000000000698</v>
      </c>
      <c r="K58" s="43"/>
      <c r="L58">
        <f t="shared" si="2"/>
        <v>0</v>
      </c>
      <c r="M58">
        <v>146</v>
      </c>
      <c r="N58">
        <v>1</v>
      </c>
      <c r="O58" s="7" t="s">
        <v>591</v>
      </c>
      <c r="P58" s="6">
        <v>5381438.3399999999</v>
      </c>
      <c r="Q58" s="6">
        <v>-468109.58</v>
      </c>
      <c r="R58" s="17">
        <f t="shared" si="3"/>
        <v>-8.6999999999999994E-2</v>
      </c>
      <c r="S58" s="6">
        <f t="shared" si="8"/>
        <v>468109.58</v>
      </c>
      <c r="T58" s="6">
        <f t="shared" si="9"/>
        <v>313633.42</v>
      </c>
    </row>
    <row r="59" spans="1:20" x14ac:dyDescent="0.2">
      <c r="A59">
        <v>150</v>
      </c>
      <c r="B59">
        <v>1</v>
      </c>
      <c r="C59" s="7" t="s">
        <v>52</v>
      </c>
      <c r="D59" s="21">
        <v>5921082.2800000003</v>
      </c>
      <c r="E59" s="21">
        <v>-515176.81</v>
      </c>
      <c r="F59" s="17">
        <f t="shared" si="6"/>
        <v>-8.7007203399999997E-2</v>
      </c>
      <c r="G59" s="21">
        <f t="shared" si="0"/>
        <v>515176.81</v>
      </c>
      <c r="H59" s="46">
        <f t="shared" si="1"/>
        <v>345168.46</v>
      </c>
      <c r="I59" s="43">
        <v>515051.02</v>
      </c>
      <c r="J59" s="43">
        <f t="shared" si="7"/>
        <v>125.78999999997905</v>
      </c>
      <c r="K59" s="43"/>
      <c r="L59">
        <f t="shared" si="2"/>
        <v>0</v>
      </c>
      <c r="M59">
        <v>150</v>
      </c>
      <c r="N59">
        <v>1</v>
      </c>
      <c r="O59" s="7" t="s">
        <v>592</v>
      </c>
      <c r="P59" s="6">
        <v>5921082.2800000003</v>
      </c>
      <c r="Q59" s="6">
        <v>-515051.02</v>
      </c>
      <c r="R59" s="17">
        <f t="shared" si="3"/>
        <v>-8.6999999999999994E-2</v>
      </c>
      <c r="S59" s="6">
        <f t="shared" si="8"/>
        <v>515051.02</v>
      </c>
      <c r="T59" s="6">
        <f t="shared" si="9"/>
        <v>345084.18</v>
      </c>
    </row>
    <row r="60" spans="1:20" x14ac:dyDescent="0.2">
      <c r="A60">
        <v>152</v>
      </c>
      <c r="B60">
        <v>1</v>
      </c>
      <c r="C60" s="7" t="s">
        <v>53</v>
      </c>
      <c r="D60" s="21">
        <v>36330345.409999996</v>
      </c>
      <c r="E60" s="21">
        <v>-3161001.72</v>
      </c>
      <c r="F60" s="17">
        <f t="shared" si="6"/>
        <v>-8.7007202500000005E-2</v>
      </c>
      <c r="G60" s="21">
        <f t="shared" si="0"/>
        <v>3161001.72</v>
      </c>
      <c r="H60" s="46">
        <f t="shared" si="1"/>
        <v>2117871.15</v>
      </c>
      <c r="I60" s="43">
        <v>3160229.94</v>
      </c>
      <c r="J60" s="43">
        <f t="shared" si="7"/>
        <v>771.78000000026077</v>
      </c>
      <c r="K60" s="43"/>
      <c r="L60">
        <f t="shared" si="2"/>
        <v>0</v>
      </c>
      <c r="M60">
        <v>152</v>
      </c>
      <c r="N60">
        <v>1</v>
      </c>
      <c r="O60" s="7" t="s">
        <v>593</v>
      </c>
      <c r="P60" s="6">
        <v>36330345.409999996</v>
      </c>
      <c r="Q60" s="6">
        <v>-3160229.94</v>
      </c>
      <c r="R60" s="17">
        <f t="shared" si="3"/>
        <v>-8.6999999999999994E-2</v>
      </c>
      <c r="S60" s="6">
        <f t="shared" si="8"/>
        <v>3160229.94</v>
      </c>
      <c r="T60" s="6">
        <f t="shared" si="9"/>
        <v>2117354.06</v>
      </c>
    </row>
    <row r="61" spans="1:20" x14ac:dyDescent="0.2">
      <c r="A61">
        <v>162</v>
      </c>
      <c r="B61">
        <v>1</v>
      </c>
      <c r="C61" s="7" t="s">
        <v>54</v>
      </c>
      <c r="D61" s="21">
        <v>7520934.0700000003</v>
      </c>
      <c r="E61" s="21">
        <v>-654375.43000000005</v>
      </c>
      <c r="F61" s="17">
        <f t="shared" si="6"/>
        <v>-8.7007202000000006E-2</v>
      </c>
      <c r="G61" s="21">
        <f t="shared" si="0"/>
        <v>654375.43000000005</v>
      </c>
      <c r="H61" s="46">
        <f t="shared" si="1"/>
        <v>438431.54</v>
      </c>
      <c r="I61" s="43">
        <v>654215.66</v>
      </c>
      <c r="J61" s="43">
        <f t="shared" si="7"/>
        <v>159.77000000001863</v>
      </c>
      <c r="K61" s="43"/>
      <c r="L61">
        <f t="shared" si="2"/>
        <v>0</v>
      </c>
      <c r="M61">
        <v>162</v>
      </c>
      <c r="N61">
        <v>1</v>
      </c>
      <c r="O61" s="7" t="s">
        <v>595</v>
      </c>
      <c r="P61" s="6">
        <v>7520934.0700000003</v>
      </c>
      <c r="Q61" s="6">
        <v>-654215.66</v>
      </c>
      <c r="R61" s="17">
        <f t="shared" si="3"/>
        <v>-8.6999999999999994E-2</v>
      </c>
      <c r="S61" s="6">
        <f t="shared" si="8"/>
        <v>654215.66</v>
      </c>
      <c r="T61" s="6">
        <f t="shared" si="9"/>
        <v>438324.49</v>
      </c>
    </row>
    <row r="62" spans="1:20" x14ac:dyDescent="0.2">
      <c r="A62">
        <v>166</v>
      </c>
      <c r="B62">
        <v>1</v>
      </c>
      <c r="C62" s="7" t="s">
        <v>55</v>
      </c>
      <c r="D62" s="21">
        <v>4582830.83</v>
      </c>
      <c r="E62" s="21">
        <v>-398739.29</v>
      </c>
      <c r="F62" s="17">
        <f t="shared" si="6"/>
        <v>-8.7007202500000005E-2</v>
      </c>
      <c r="G62" s="21">
        <f t="shared" si="0"/>
        <v>398739.29</v>
      </c>
      <c r="H62" s="46">
        <f t="shared" si="1"/>
        <v>267155.32</v>
      </c>
      <c r="I62" s="43">
        <v>398641.94</v>
      </c>
      <c r="J62" s="43">
        <f t="shared" si="7"/>
        <v>97.349999999976717</v>
      </c>
      <c r="K62" s="43"/>
      <c r="L62">
        <f t="shared" si="2"/>
        <v>0</v>
      </c>
      <c r="M62">
        <v>166</v>
      </c>
      <c r="N62">
        <v>1</v>
      </c>
      <c r="O62" s="7" t="s">
        <v>596</v>
      </c>
      <c r="P62" s="6">
        <v>4582830.83</v>
      </c>
      <c r="Q62" s="6">
        <v>-398641.94</v>
      </c>
      <c r="R62" s="17">
        <f t="shared" si="3"/>
        <v>-8.6999999999999994E-2</v>
      </c>
      <c r="S62" s="6">
        <f t="shared" si="8"/>
        <v>398641.94</v>
      </c>
      <c r="T62" s="6">
        <f t="shared" si="9"/>
        <v>267090.09999999998</v>
      </c>
    </row>
    <row r="63" spans="1:20" x14ac:dyDescent="0.2">
      <c r="A63">
        <v>173</v>
      </c>
      <c r="B63">
        <v>1</v>
      </c>
      <c r="C63" s="7" t="s">
        <v>56</v>
      </c>
      <c r="D63" s="21">
        <v>3563392.7</v>
      </c>
      <c r="E63" s="21">
        <v>-310040.83</v>
      </c>
      <c r="F63" s="17">
        <f t="shared" si="6"/>
        <v>-8.7007202399999997E-2</v>
      </c>
      <c r="G63" s="21">
        <f t="shared" si="0"/>
        <v>310040.83</v>
      </c>
      <c r="H63" s="46">
        <f t="shared" si="1"/>
        <v>207727.35999999999</v>
      </c>
      <c r="I63" s="43">
        <v>309965.13</v>
      </c>
      <c r="J63" s="43">
        <f t="shared" si="7"/>
        <v>75.700000000011642</v>
      </c>
      <c r="K63" s="43"/>
      <c r="L63">
        <f t="shared" si="2"/>
        <v>0</v>
      </c>
      <c r="M63">
        <v>173</v>
      </c>
      <c r="N63">
        <v>1</v>
      </c>
      <c r="O63" s="7" t="s">
        <v>597</v>
      </c>
      <c r="P63" s="6">
        <v>3563392.7</v>
      </c>
      <c r="Q63" s="6">
        <v>-309965.13</v>
      </c>
      <c r="R63" s="17">
        <f t="shared" si="3"/>
        <v>-8.6999999999999994E-2</v>
      </c>
      <c r="S63" s="6">
        <f t="shared" si="8"/>
        <v>309965.13</v>
      </c>
      <c r="T63" s="6">
        <f t="shared" si="9"/>
        <v>207676.64</v>
      </c>
    </row>
    <row r="64" spans="1:20" x14ac:dyDescent="0.2">
      <c r="A64">
        <v>177</v>
      </c>
      <c r="B64">
        <v>1</v>
      </c>
      <c r="C64" s="7" t="s">
        <v>57</v>
      </c>
      <c r="D64" s="21">
        <v>6613691.2800000003</v>
      </c>
      <c r="E64" s="21">
        <v>-575438.78</v>
      </c>
      <c r="F64" s="17">
        <f t="shared" si="6"/>
        <v>-8.7007203000000005E-2</v>
      </c>
      <c r="G64" s="21">
        <f t="shared" si="0"/>
        <v>575438.78</v>
      </c>
      <c r="H64" s="46">
        <f t="shared" si="1"/>
        <v>385543.98</v>
      </c>
      <c r="I64" s="43">
        <v>575298.28</v>
      </c>
      <c r="J64" s="43">
        <f t="shared" si="7"/>
        <v>140.5</v>
      </c>
      <c r="K64" s="43"/>
      <c r="L64">
        <f t="shared" si="2"/>
        <v>0</v>
      </c>
      <c r="M64">
        <v>177</v>
      </c>
      <c r="N64">
        <v>1</v>
      </c>
      <c r="O64" s="7" t="s">
        <v>598</v>
      </c>
      <c r="P64" s="6">
        <v>6613691.2800000003</v>
      </c>
      <c r="Q64" s="6">
        <v>-575298.28</v>
      </c>
      <c r="R64" s="17">
        <f t="shared" si="3"/>
        <v>-8.6999999999999994E-2</v>
      </c>
      <c r="S64" s="6">
        <f t="shared" si="8"/>
        <v>575298.28</v>
      </c>
      <c r="T64" s="6">
        <f t="shared" si="9"/>
        <v>385449.85</v>
      </c>
    </row>
    <row r="65" spans="1:20" x14ac:dyDescent="0.2">
      <c r="A65">
        <v>181</v>
      </c>
      <c r="B65">
        <v>1</v>
      </c>
      <c r="C65" s="7" t="s">
        <v>58</v>
      </c>
      <c r="D65" s="21">
        <v>49764601.039999999</v>
      </c>
      <c r="E65" s="21">
        <v>-4329878.72</v>
      </c>
      <c r="F65" s="17">
        <f t="shared" si="6"/>
        <v>-8.7007202500000005E-2</v>
      </c>
      <c r="G65" s="21">
        <f t="shared" si="0"/>
        <v>4329878.72</v>
      </c>
      <c r="H65" s="46">
        <f t="shared" si="1"/>
        <v>2901018.74</v>
      </c>
      <c r="I65" s="43">
        <v>4328821.55</v>
      </c>
      <c r="J65" s="43">
        <f t="shared" si="7"/>
        <v>1057.1699999999255</v>
      </c>
      <c r="K65" s="43"/>
      <c r="L65">
        <f t="shared" si="2"/>
        <v>0</v>
      </c>
      <c r="M65">
        <v>181</v>
      </c>
      <c r="N65">
        <v>1</v>
      </c>
      <c r="O65" s="7" t="s">
        <v>599</v>
      </c>
      <c r="P65" s="6">
        <v>49764601.039999999</v>
      </c>
      <c r="Q65" s="6">
        <v>-4328821.55</v>
      </c>
      <c r="R65" s="17">
        <f t="shared" si="3"/>
        <v>-8.6999999999999994E-2</v>
      </c>
      <c r="S65" s="6">
        <f t="shared" si="8"/>
        <v>4328821.55</v>
      </c>
      <c r="T65" s="6">
        <f t="shared" si="9"/>
        <v>2900310.44</v>
      </c>
    </row>
    <row r="66" spans="1:20" x14ac:dyDescent="0.2">
      <c r="A66">
        <v>182</v>
      </c>
      <c r="B66">
        <v>1</v>
      </c>
      <c r="C66" s="7" t="s">
        <v>59</v>
      </c>
      <c r="D66" s="21">
        <v>8572276.0299999993</v>
      </c>
      <c r="E66" s="21">
        <v>-745849.76</v>
      </c>
      <c r="F66" s="17">
        <f t="shared" si="6"/>
        <v>-8.7007202899999997E-2</v>
      </c>
      <c r="G66" s="21">
        <f t="shared" si="0"/>
        <v>745849.76</v>
      </c>
      <c r="H66" s="46">
        <f t="shared" si="1"/>
        <v>499719.34</v>
      </c>
      <c r="I66" s="43">
        <v>745667.65</v>
      </c>
      <c r="J66" s="43">
        <f t="shared" si="7"/>
        <v>182.10999999998603</v>
      </c>
      <c r="K66" s="43"/>
      <c r="L66">
        <f t="shared" si="2"/>
        <v>0</v>
      </c>
      <c r="M66">
        <v>182</v>
      </c>
      <c r="N66">
        <v>1</v>
      </c>
      <c r="O66" s="7" t="s">
        <v>600</v>
      </c>
      <c r="P66" s="6">
        <v>8572276.0299999993</v>
      </c>
      <c r="Q66" s="6">
        <v>-745667.65</v>
      </c>
      <c r="R66" s="17">
        <f t="shared" si="3"/>
        <v>-8.6999999999999994E-2</v>
      </c>
      <c r="S66" s="6">
        <f t="shared" si="8"/>
        <v>745667.65</v>
      </c>
      <c r="T66" s="6">
        <f t="shared" si="9"/>
        <v>499597.33</v>
      </c>
    </row>
    <row r="67" spans="1:20" x14ac:dyDescent="0.2">
      <c r="A67">
        <v>186</v>
      </c>
      <c r="B67">
        <v>1</v>
      </c>
      <c r="C67" s="7" t="s">
        <v>60</v>
      </c>
      <c r="D67" s="21">
        <v>10435381.09</v>
      </c>
      <c r="E67" s="21">
        <v>-907953.32</v>
      </c>
      <c r="F67" s="17">
        <f t="shared" si="6"/>
        <v>-8.7007202899999997E-2</v>
      </c>
      <c r="G67" s="21">
        <f t="shared" si="0"/>
        <v>907953.32</v>
      </c>
      <c r="H67" s="46">
        <f t="shared" si="1"/>
        <v>608328.72</v>
      </c>
      <c r="I67" s="43">
        <v>907731.63</v>
      </c>
      <c r="J67" s="43">
        <f t="shared" si="7"/>
        <v>221.68999999994412</v>
      </c>
      <c r="K67" s="43"/>
      <c r="L67">
        <f t="shared" si="2"/>
        <v>0</v>
      </c>
      <c r="M67">
        <v>186</v>
      </c>
      <c r="N67">
        <v>1</v>
      </c>
      <c r="O67" s="7" t="s">
        <v>601</v>
      </c>
      <c r="P67" s="6">
        <v>10435381.09</v>
      </c>
      <c r="Q67" s="6">
        <v>-907731.63</v>
      </c>
      <c r="R67" s="17">
        <f t="shared" si="3"/>
        <v>-8.6999999999999994E-2</v>
      </c>
      <c r="S67" s="6">
        <f t="shared" si="8"/>
        <v>907731.63</v>
      </c>
      <c r="T67" s="6">
        <f t="shared" si="9"/>
        <v>608180.18999999994</v>
      </c>
    </row>
    <row r="68" spans="1:20" x14ac:dyDescent="0.2">
      <c r="A68">
        <v>191</v>
      </c>
      <c r="B68">
        <v>1</v>
      </c>
      <c r="C68" s="7" t="s">
        <v>61</v>
      </c>
      <c r="D68" s="21">
        <v>70865310.709999993</v>
      </c>
      <c r="E68" s="21">
        <v>-6165792.4500000002</v>
      </c>
      <c r="F68" s="17">
        <f t="shared" si="6"/>
        <v>-8.7007202699999994E-2</v>
      </c>
      <c r="G68" s="21">
        <f t="shared" si="0"/>
        <v>6165792.4500000002</v>
      </c>
      <c r="H68" s="46">
        <f t="shared" si="1"/>
        <v>4131080.94</v>
      </c>
      <c r="I68" s="43">
        <v>6164287.0199999996</v>
      </c>
      <c r="J68" s="43">
        <f t="shared" si="7"/>
        <v>1505.4300000006333</v>
      </c>
      <c r="K68" s="43"/>
      <c r="L68">
        <f t="shared" si="2"/>
        <v>0</v>
      </c>
      <c r="M68">
        <v>191</v>
      </c>
      <c r="N68">
        <v>1</v>
      </c>
      <c r="O68" s="7" t="s">
        <v>602</v>
      </c>
      <c r="P68" s="6">
        <v>70865310.709999993</v>
      </c>
      <c r="Q68" s="6">
        <v>-6164287.0199999996</v>
      </c>
      <c r="R68" s="17">
        <f t="shared" si="3"/>
        <v>-8.6999999999999994E-2</v>
      </c>
      <c r="S68" s="6">
        <f t="shared" si="8"/>
        <v>6164287.0199999996</v>
      </c>
      <c r="T68" s="6">
        <f t="shared" si="9"/>
        <v>4130072.3</v>
      </c>
    </row>
    <row r="69" spans="1:20" x14ac:dyDescent="0.2">
      <c r="A69">
        <v>192</v>
      </c>
      <c r="B69">
        <v>1</v>
      </c>
      <c r="C69" s="7" t="s">
        <v>62</v>
      </c>
      <c r="D69" s="21">
        <v>40949415.670000002</v>
      </c>
      <c r="E69" s="21">
        <v>-3562894.11</v>
      </c>
      <c r="F69" s="17">
        <f t="shared" si="6"/>
        <v>-8.7007202699999994E-2</v>
      </c>
      <c r="G69" s="21">
        <f t="shared" si="0"/>
        <v>3562894.11</v>
      </c>
      <c r="H69" s="46">
        <f t="shared" si="1"/>
        <v>2387139.0499999998</v>
      </c>
      <c r="I69" s="43">
        <v>3562024.2</v>
      </c>
      <c r="J69" s="43">
        <f t="shared" si="7"/>
        <v>869.90999999968335</v>
      </c>
      <c r="K69" s="43"/>
      <c r="L69">
        <f t="shared" si="2"/>
        <v>0</v>
      </c>
      <c r="M69">
        <v>192</v>
      </c>
      <c r="N69">
        <v>1</v>
      </c>
      <c r="O69" s="7" t="s">
        <v>603</v>
      </c>
      <c r="P69" s="6">
        <v>40949415.670000002</v>
      </c>
      <c r="Q69" s="6">
        <v>-3562024.2</v>
      </c>
      <c r="R69" s="17">
        <f t="shared" si="3"/>
        <v>-8.6999999999999994E-2</v>
      </c>
      <c r="S69" s="6">
        <f t="shared" si="8"/>
        <v>3562024.2</v>
      </c>
      <c r="T69" s="6">
        <f t="shared" si="9"/>
        <v>2386556.21</v>
      </c>
    </row>
    <row r="70" spans="1:20" x14ac:dyDescent="0.2">
      <c r="A70">
        <v>194</v>
      </c>
      <c r="B70">
        <v>1</v>
      </c>
      <c r="C70" s="7" t="s">
        <v>63</v>
      </c>
      <c r="D70" s="21">
        <v>70774219.709999993</v>
      </c>
      <c r="E70" s="21">
        <v>-6157866.8700000001</v>
      </c>
      <c r="F70" s="17">
        <f t="shared" si="6"/>
        <v>-8.70072026E-2</v>
      </c>
      <c r="G70" s="21">
        <f t="shared" si="0"/>
        <v>6157866.8700000001</v>
      </c>
      <c r="H70" s="46">
        <f t="shared" si="1"/>
        <v>4125770.8</v>
      </c>
      <c r="I70" s="43">
        <v>6156363.3799999999</v>
      </c>
      <c r="J70" s="43">
        <f t="shared" si="7"/>
        <v>1503.4900000002235</v>
      </c>
      <c r="K70" s="43"/>
      <c r="L70">
        <f t="shared" si="2"/>
        <v>0</v>
      </c>
      <c r="M70">
        <v>194</v>
      </c>
      <c r="N70">
        <v>1</v>
      </c>
      <c r="O70" s="7" t="s">
        <v>604</v>
      </c>
      <c r="P70" s="6">
        <v>70774219.709999993</v>
      </c>
      <c r="Q70" s="6">
        <v>-6156363.3799999999</v>
      </c>
      <c r="R70" s="17">
        <f t="shared" si="3"/>
        <v>-8.6999999999999994E-2</v>
      </c>
      <c r="S70" s="6">
        <f t="shared" si="8"/>
        <v>6156363.3799999999</v>
      </c>
      <c r="T70" s="6">
        <f t="shared" si="9"/>
        <v>4124763.46</v>
      </c>
    </row>
    <row r="71" spans="1:20" x14ac:dyDescent="0.2">
      <c r="A71">
        <v>195</v>
      </c>
      <c r="B71">
        <v>1</v>
      </c>
      <c r="C71" s="7" t="s">
        <v>64</v>
      </c>
      <c r="D71" s="21">
        <v>3422634.02</v>
      </c>
      <c r="E71" s="21">
        <v>-297793.81</v>
      </c>
      <c r="F71" s="17">
        <f t="shared" si="6"/>
        <v>-8.70072021E-2</v>
      </c>
      <c r="G71" s="21">
        <f t="shared" si="0"/>
        <v>297793.81</v>
      </c>
      <c r="H71" s="46">
        <f t="shared" si="1"/>
        <v>199521.85</v>
      </c>
      <c r="I71" s="43">
        <v>297721.09999999998</v>
      </c>
      <c r="J71" s="43">
        <f t="shared" si="7"/>
        <v>72.710000000020955</v>
      </c>
      <c r="K71" s="43"/>
      <c r="L71">
        <f t="shared" si="2"/>
        <v>0</v>
      </c>
      <c r="M71">
        <v>195</v>
      </c>
      <c r="N71">
        <v>1</v>
      </c>
      <c r="O71" s="7" t="s">
        <v>605</v>
      </c>
      <c r="P71" s="6">
        <v>3422634.02</v>
      </c>
      <c r="Q71" s="6">
        <v>-297721.09999999998</v>
      </c>
      <c r="R71" s="17">
        <f t="shared" si="3"/>
        <v>-8.6999999999999994E-2</v>
      </c>
      <c r="S71" s="6">
        <f t="shared" si="8"/>
        <v>297721.09999999998</v>
      </c>
      <c r="T71" s="6">
        <f t="shared" si="9"/>
        <v>199473.14</v>
      </c>
    </row>
    <row r="72" spans="1:20" x14ac:dyDescent="0.2">
      <c r="A72">
        <v>196</v>
      </c>
      <c r="B72">
        <v>1</v>
      </c>
      <c r="C72" s="7" t="s">
        <v>65</v>
      </c>
      <c r="D72" s="21">
        <v>184307886.22</v>
      </c>
      <c r="E72" s="21">
        <v>-16036113.6</v>
      </c>
      <c r="F72" s="17">
        <f t="shared" si="6"/>
        <v>-8.70072026E-2</v>
      </c>
      <c r="G72" s="21">
        <f t="shared" si="0"/>
        <v>16036113.6</v>
      </c>
      <c r="H72" s="46">
        <f t="shared" si="1"/>
        <v>10744196.109999999</v>
      </c>
      <c r="I72" s="43">
        <v>16032198.26</v>
      </c>
      <c r="J72" s="43">
        <f t="shared" si="7"/>
        <v>3915.339999999851</v>
      </c>
      <c r="K72" s="43"/>
      <c r="L72">
        <f t="shared" si="2"/>
        <v>0</v>
      </c>
      <c r="M72">
        <v>196</v>
      </c>
      <c r="N72">
        <v>1</v>
      </c>
      <c r="O72" s="7" t="s">
        <v>606</v>
      </c>
      <c r="P72" s="6">
        <v>184307886.22</v>
      </c>
      <c r="Q72" s="6">
        <v>-16032198.26</v>
      </c>
      <c r="R72" s="17">
        <f t="shared" si="3"/>
        <v>-8.6999999999999994E-2</v>
      </c>
      <c r="S72" s="6">
        <f t="shared" si="8"/>
        <v>16032198.26</v>
      </c>
      <c r="T72" s="6">
        <f t="shared" si="9"/>
        <v>10741572.83</v>
      </c>
    </row>
    <row r="73" spans="1:20" x14ac:dyDescent="0.2">
      <c r="A73">
        <v>197</v>
      </c>
      <c r="B73">
        <v>1</v>
      </c>
      <c r="C73" s="7" t="s">
        <v>66</v>
      </c>
      <c r="D73" s="21">
        <v>29971805.370000001</v>
      </c>
      <c r="E73" s="21">
        <v>-2607762.94</v>
      </c>
      <c r="F73" s="17">
        <f t="shared" si="6"/>
        <v>-8.7007202500000005E-2</v>
      </c>
      <c r="G73" s="21">
        <f t="shared" si="0"/>
        <v>2607762.94</v>
      </c>
      <c r="H73" s="46">
        <f t="shared" si="1"/>
        <v>1747201.17</v>
      </c>
      <c r="I73" s="43">
        <v>2607126.2400000002</v>
      </c>
      <c r="J73" s="43">
        <f t="shared" si="7"/>
        <v>636.6999999997206</v>
      </c>
      <c r="K73" s="43"/>
      <c r="L73">
        <f t="shared" si="2"/>
        <v>0</v>
      </c>
      <c r="M73">
        <v>197</v>
      </c>
      <c r="N73">
        <v>1</v>
      </c>
      <c r="O73" s="7" t="s">
        <v>607</v>
      </c>
      <c r="P73" s="6">
        <v>29971805.370000001</v>
      </c>
      <c r="Q73" s="6">
        <v>-2607126.2400000002</v>
      </c>
      <c r="R73" s="17">
        <f t="shared" si="3"/>
        <v>-8.6999999999999994E-2</v>
      </c>
      <c r="S73" s="6">
        <f t="shared" si="8"/>
        <v>2607126.2400000002</v>
      </c>
      <c r="T73" s="6">
        <f t="shared" si="9"/>
        <v>1746774.58</v>
      </c>
    </row>
    <row r="74" spans="1:20" x14ac:dyDescent="0.2">
      <c r="A74">
        <v>199</v>
      </c>
      <c r="B74">
        <v>1</v>
      </c>
      <c r="C74" s="7" t="s">
        <v>67</v>
      </c>
      <c r="D74" s="21">
        <v>24793751.300000001</v>
      </c>
      <c r="E74" s="21">
        <v>-2157234.94</v>
      </c>
      <c r="F74" s="17">
        <f t="shared" si="6"/>
        <v>-8.7007202500000005E-2</v>
      </c>
      <c r="G74" s="21">
        <f t="shared" si="0"/>
        <v>2157234.94</v>
      </c>
      <c r="H74" s="46">
        <f t="shared" si="1"/>
        <v>1445347.41</v>
      </c>
      <c r="I74" s="43">
        <v>2156708.2400000002</v>
      </c>
      <c r="J74" s="43">
        <f t="shared" si="7"/>
        <v>526.6999999997206</v>
      </c>
      <c r="K74" s="43"/>
      <c r="L74">
        <f t="shared" si="2"/>
        <v>0</v>
      </c>
      <c r="M74">
        <v>199</v>
      </c>
      <c r="N74">
        <v>1</v>
      </c>
      <c r="O74" s="7" t="s">
        <v>608</v>
      </c>
      <c r="P74" s="6">
        <v>24793751.300000001</v>
      </c>
      <c r="Q74" s="6">
        <v>-2156708.2400000002</v>
      </c>
      <c r="R74" s="17">
        <f t="shared" si="3"/>
        <v>-8.6999999999999994E-2</v>
      </c>
      <c r="S74" s="6">
        <f t="shared" si="8"/>
        <v>2156708.2400000002</v>
      </c>
      <c r="T74" s="6">
        <f t="shared" si="9"/>
        <v>1444994.52</v>
      </c>
    </row>
    <row r="75" spans="1:20" x14ac:dyDescent="0.2">
      <c r="A75">
        <v>200</v>
      </c>
      <c r="B75">
        <v>1</v>
      </c>
      <c r="C75" s="7" t="s">
        <v>68</v>
      </c>
      <c r="D75" s="21">
        <v>32493650.649999999</v>
      </c>
      <c r="E75" s="21">
        <v>-2827181.65</v>
      </c>
      <c r="F75" s="17">
        <f t="shared" si="6"/>
        <v>-8.7007202699999994E-2</v>
      </c>
      <c r="G75" s="21">
        <f t="shared" si="0"/>
        <v>2827181.65</v>
      </c>
      <c r="H75" s="46">
        <f t="shared" si="1"/>
        <v>1894211.71</v>
      </c>
      <c r="I75" s="43">
        <v>2826491.37</v>
      </c>
      <c r="J75" s="43">
        <f t="shared" si="7"/>
        <v>690.27999999979511</v>
      </c>
      <c r="K75" s="43"/>
      <c r="L75">
        <f t="shared" si="2"/>
        <v>0</v>
      </c>
      <c r="M75">
        <v>200</v>
      </c>
      <c r="N75">
        <v>1</v>
      </c>
      <c r="O75" s="7" t="s">
        <v>609</v>
      </c>
      <c r="P75" s="6">
        <v>32493650.649999999</v>
      </c>
      <c r="Q75" s="6">
        <v>-2826491.37</v>
      </c>
      <c r="R75" s="17">
        <f t="shared" si="3"/>
        <v>-8.6999999999999994E-2</v>
      </c>
      <c r="S75" s="6">
        <f t="shared" si="8"/>
        <v>2826491.37</v>
      </c>
      <c r="T75" s="6">
        <f t="shared" si="9"/>
        <v>1893749.22</v>
      </c>
    </row>
    <row r="76" spans="1:20" x14ac:dyDescent="0.2">
      <c r="A76">
        <v>203</v>
      </c>
      <c r="B76">
        <v>1</v>
      </c>
      <c r="C76" s="7" t="s">
        <v>69</v>
      </c>
      <c r="D76" s="21">
        <v>5671496.8300000001</v>
      </c>
      <c r="E76" s="21">
        <v>-493461.07</v>
      </c>
      <c r="F76" s="17">
        <f t="shared" si="6"/>
        <v>-8.7007201899999997E-2</v>
      </c>
      <c r="G76" s="21">
        <f t="shared" si="0"/>
        <v>493461.07</v>
      </c>
      <c r="H76" s="46">
        <f t="shared" si="1"/>
        <v>330618.92</v>
      </c>
      <c r="I76" s="43">
        <v>493340.59</v>
      </c>
      <c r="J76" s="43">
        <f t="shared" si="7"/>
        <v>120.47999999998137</v>
      </c>
      <c r="K76" s="43"/>
      <c r="L76">
        <f t="shared" si="2"/>
        <v>0</v>
      </c>
      <c r="M76">
        <v>203</v>
      </c>
      <c r="N76">
        <v>1</v>
      </c>
      <c r="O76" s="7" t="s">
        <v>610</v>
      </c>
      <c r="P76" s="6">
        <v>5671496.8300000001</v>
      </c>
      <c r="Q76" s="6">
        <v>-493340.59</v>
      </c>
      <c r="R76" s="17">
        <f t="shared" si="3"/>
        <v>-8.6999999999999994E-2</v>
      </c>
      <c r="S76" s="6">
        <f t="shared" si="8"/>
        <v>493340.59</v>
      </c>
      <c r="T76" s="6">
        <f t="shared" si="9"/>
        <v>330538.2</v>
      </c>
    </row>
    <row r="77" spans="1:20" x14ac:dyDescent="0.2">
      <c r="A77">
        <v>204</v>
      </c>
      <c r="B77">
        <v>1</v>
      </c>
      <c r="C77" s="7" t="s">
        <v>70</v>
      </c>
      <c r="D77" s="21">
        <v>12942676.560000001</v>
      </c>
      <c r="E77" s="21">
        <v>-1126106.08</v>
      </c>
      <c r="F77" s="17">
        <f t="shared" si="6"/>
        <v>-8.7007202500000005E-2</v>
      </c>
      <c r="G77" s="21">
        <f t="shared" si="0"/>
        <v>1126106.08</v>
      </c>
      <c r="H77" s="46">
        <f t="shared" si="1"/>
        <v>754491.07</v>
      </c>
      <c r="I77" s="43">
        <v>1125831.1299999999</v>
      </c>
      <c r="J77" s="43">
        <f t="shared" si="7"/>
        <v>274.95000000018626</v>
      </c>
      <c r="K77" s="43"/>
      <c r="L77">
        <f t="shared" si="2"/>
        <v>0</v>
      </c>
      <c r="M77">
        <v>204</v>
      </c>
      <c r="N77">
        <v>1</v>
      </c>
      <c r="O77" s="7" t="s">
        <v>611</v>
      </c>
      <c r="P77" s="6">
        <v>12942676.560000001</v>
      </c>
      <c r="Q77" s="6">
        <v>-1125831.1299999999</v>
      </c>
      <c r="R77" s="17">
        <f t="shared" si="3"/>
        <v>-8.6999999999999994E-2</v>
      </c>
      <c r="S77" s="6">
        <f t="shared" si="8"/>
        <v>1125831.1299999999</v>
      </c>
      <c r="T77" s="6">
        <f t="shared" si="9"/>
        <v>754306.86</v>
      </c>
    </row>
    <row r="78" spans="1:20" x14ac:dyDescent="0.2">
      <c r="A78">
        <v>206</v>
      </c>
      <c r="B78">
        <v>1</v>
      </c>
      <c r="C78" s="7" t="s">
        <v>71</v>
      </c>
      <c r="D78" s="21">
        <v>26882855.940000001</v>
      </c>
      <c r="E78" s="21">
        <v>-2339002.09</v>
      </c>
      <c r="F78" s="17">
        <f t="shared" si="6"/>
        <v>-8.7007202500000005E-2</v>
      </c>
      <c r="G78" s="21">
        <f t="shared" ref="G78:G141" si="10">E78*-1</f>
        <v>2339002.09</v>
      </c>
      <c r="H78" s="46">
        <f t="shared" ref="H78:H141" si="11">ROUND(G78*0.67,2)</f>
        <v>1567131.4</v>
      </c>
      <c r="I78" s="43">
        <v>2338431.0099999998</v>
      </c>
      <c r="J78" s="43">
        <f t="shared" si="7"/>
        <v>571.08000000007451</v>
      </c>
      <c r="K78" s="43"/>
      <c r="L78">
        <f t="shared" ref="L78:L141" si="12">M78-A78</f>
        <v>0</v>
      </c>
      <c r="M78">
        <v>206</v>
      </c>
      <c r="N78">
        <v>1</v>
      </c>
      <c r="O78" s="7" t="s">
        <v>612</v>
      </c>
      <c r="P78" s="6">
        <v>26882855.940000001</v>
      </c>
      <c r="Q78" s="6">
        <v>-2338431.0099999998</v>
      </c>
      <c r="R78" s="17">
        <f t="shared" ref="R78:R141" si="13">IF(P78&gt;0,ROUND(Q78/P78,3),"na   ")</f>
        <v>-8.6999999999999994E-2</v>
      </c>
      <c r="S78" s="6">
        <f t="shared" ref="S78:S109" si="14">Q78*-1</f>
        <v>2338431.0099999998</v>
      </c>
      <c r="T78" s="6">
        <f t="shared" ref="T78:T109" si="15">ROUND(S78*0.67,2)</f>
        <v>1566748.78</v>
      </c>
    </row>
    <row r="79" spans="1:20" x14ac:dyDescent="0.2">
      <c r="A79">
        <v>207</v>
      </c>
      <c r="B79">
        <v>1</v>
      </c>
      <c r="C79" s="7" t="s">
        <v>72</v>
      </c>
      <c r="D79" s="21">
        <v>2083722</v>
      </c>
      <c r="E79" s="21">
        <v>-181298.82</v>
      </c>
      <c r="F79" s="17">
        <f t="shared" ref="F79:F142" si="16">IF(D79&gt;0,ROUND(E79/D79,10),"na   ")</f>
        <v>-8.7007201500000006E-2</v>
      </c>
      <c r="G79" s="21">
        <f t="shared" si="10"/>
        <v>181298.82</v>
      </c>
      <c r="H79" s="46">
        <f t="shared" si="11"/>
        <v>121470.21</v>
      </c>
      <c r="I79" s="43">
        <v>181254.56</v>
      </c>
      <c r="J79" s="43">
        <f t="shared" ref="J79:J142" si="17">G79-I79</f>
        <v>44.260000000009313</v>
      </c>
      <c r="K79" s="43"/>
      <c r="L79">
        <f t="shared" si="12"/>
        <v>0</v>
      </c>
      <c r="M79">
        <v>207</v>
      </c>
      <c r="N79">
        <v>1</v>
      </c>
      <c r="O79" s="7" t="s">
        <v>613</v>
      </c>
      <c r="P79" s="6">
        <v>2083722</v>
      </c>
      <c r="Q79" s="6">
        <v>-181254.56</v>
      </c>
      <c r="R79" s="17">
        <f t="shared" si="13"/>
        <v>-8.6999999999999994E-2</v>
      </c>
      <c r="S79" s="6">
        <f t="shared" si="14"/>
        <v>181254.56</v>
      </c>
      <c r="T79" s="6">
        <f t="shared" si="15"/>
        <v>121440.56</v>
      </c>
    </row>
    <row r="80" spans="1:20" x14ac:dyDescent="0.2">
      <c r="A80">
        <v>208</v>
      </c>
      <c r="B80">
        <v>1</v>
      </c>
      <c r="C80" s="7" t="s">
        <v>73</v>
      </c>
      <c r="D80" s="21">
        <v>1207264.82</v>
      </c>
      <c r="E80" s="21">
        <v>-105040.73</v>
      </c>
      <c r="F80" s="17">
        <f t="shared" si="16"/>
        <v>-8.7007198600000002E-2</v>
      </c>
      <c r="G80" s="21">
        <f t="shared" si="10"/>
        <v>105040.73</v>
      </c>
      <c r="H80" s="46">
        <f t="shared" si="11"/>
        <v>70377.289999999994</v>
      </c>
      <c r="I80" s="43">
        <v>105015.09</v>
      </c>
      <c r="J80" s="43">
        <f t="shared" si="17"/>
        <v>25.639999999999418</v>
      </c>
      <c r="K80" s="43"/>
      <c r="L80">
        <f t="shared" si="12"/>
        <v>0</v>
      </c>
      <c r="M80">
        <v>208</v>
      </c>
      <c r="N80">
        <v>1</v>
      </c>
      <c r="O80" s="7" t="s">
        <v>614</v>
      </c>
      <c r="P80" s="6">
        <v>1207264.82</v>
      </c>
      <c r="Q80" s="6">
        <v>-105015.09</v>
      </c>
      <c r="R80" s="17">
        <f t="shared" si="13"/>
        <v>-8.6999999999999994E-2</v>
      </c>
      <c r="S80" s="6">
        <f t="shared" si="14"/>
        <v>105015.09</v>
      </c>
      <c r="T80" s="6">
        <f t="shared" si="15"/>
        <v>70360.11</v>
      </c>
    </row>
    <row r="81" spans="1:20" x14ac:dyDescent="0.2">
      <c r="A81">
        <v>213</v>
      </c>
      <c r="B81">
        <v>1</v>
      </c>
      <c r="C81" s="7" t="s">
        <v>74</v>
      </c>
      <c r="D81" s="21">
        <v>5003964.83</v>
      </c>
      <c r="E81" s="21">
        <v>-435380.98</v>
      </c>
      <c r="F81" s="17">
        <f t="shared" si="16"/>
        <v>-8.7007202199999994E-2</v>
      </c>
      <c r="G81" s="21">
        <f t="shared" si="10"/>
        <v>435380.98</v>
      </c>
      <c r="H81" s="46">
        <f t="shared" si="11"/>
        <v>291705.26</v>
      </c>
      <c r="I81" s="43">
        <v>435274.68</v>
      </c>
      <c r="J81" s="43">
        <f t="shared" si="17"/>
        <v>106.29999999998836</v>
      </c>
      <c r="K81" s="43"/>
      <c r="L81">
        <f t="shared" si="12"/>
        <v>0</v>
      </c>
      <c r="M81">
        <v>213</v>
      </c>
      <c r="N81">
        <v>1</v>
      </c>
      <c r="O81" s="7" t="s">
        <v>615</v>
      </c>
      <c r="P81" s="6">
        <v>5003964.83</v>
      </c>
      <c r="Q81" s="6">
        <v>-435274.68</v>
      </c>
      <c r="R81" s="17">
        <f t="shared" si="13"/>
        <v>-8.6999999999999994E-2</v>
      </c>
      <c r="S81" s="6">
        <f t="shared" si="14"/>
        <v>435274.68</v>
      </c>
      <c r="T81" s="6">
        <f t="shared" si="15"/>
        <v>291634.03999999998</v>
      </c>
    </row>
    <row r="82" spans="1:20" x14ac:dyDescent="0.2">
      <c r="A82">
        <v>227</v>
      </c>
      <c r="B82">
        <v>1</v>
      </c>
      <c r="C82" s="7" t="s">
        <v>75</v>
      </c>
      <c r="D82" s="21">
        <v>5789751.71</v>
      </c>
      <c r="E82" s="21">
        <v>-503750.1</v>
      </c>
      <c r="F82" s="17">
        <f t="shared" si="16"/>
        <v>-8.70072026E-2</v>
      </c>
      <c r="G82" s="21">
        <f t="shared" si="10"/>
        <v>503750.1</v>
      </c>
      <c r="H82" s="46">
        <f t="shared" si="11"/>
        <v>337512.57</v>
      </c>
      <c r="I82" s="43">
        <v>503627.11</v>
      </c>
      <c r="J82" s="43">
        <f t="shared" si="17"/>
        <v>122.98999999999069</v>
      </c>
      <c r="K82" s="43"/>
      <c r="L82">
        <f t="shared" si="12"/>
        <v>0</v>
      </c>
      <c r="M82">
        <v>227</v>
      </c>
      <c r="N82">
        <v>1</v>
      </c>
      <c r="O82" s="7" t="s">
        <v>616</v>
      </c>
      <c r="P82" s="6">
        <v>5789751.71</v>
      </c>
      <c r="Q82" s="6">
        <v>-503627.11</v>
      </c>
      <c r="R82" s="17">
        <f t="shared" si="13"/>
        <v>-8.6999999999999994E-2</v>
      </c>
      <c r="S82" s="6">
        <f t="shared" si="14"/>
        <v>503627.11</v>
      </c>
      <c r="T82" s="6">
        <f t="shared" si="15"/>
        <v>337430.16</v>
      </c>
    </row>
    <row r="83" spans="1:20" x14ac:dyDescent="0.2">
      <c r="A83">
        <v>229</v>
      </c>
      <c r="B83">
        <v>1</v>
      </c>
      <c r="C83" s="7" t="s">
        <v>76</v>
      </c>
      <c r="D83" s="21">
        <v>2472913</v>
      </c>
      <c r="E83" s="21">
        <v>-215161.24</v>
      </c>
      <c r="F83" s="17">
        <f t="shared" si="16"/>
        <v>-8.70072016E-2</v>
      </c>
      <c r="G83" s="21">
        <f t="shared" si="10"/>
        <v>215161.24</v>
      </c>
      <c r="H83" s="46">
        <f t="shared" si="11"/>
        <v>144158.03</v>
      </c>
      <c r="I83" s="43">
        <v>215108.71</v>
      </c>
      <c r="J83" s="43">
        <f t="shared" si="17"/>
        <v>52.529999999998836</v>
      </c>
      <c r="K83" s="43"/>
      <c r="L83">
        <f t="shared" si="12"/>
        <v>0</v>
      </c>
      <c r="M83">
        <v>229</v>
      </c>
      <c r="N83">
        <v>1</v>
      </c>
      <c r="O83" s="7" t="s">
        <v>617</v>
      </c>
      <c r="P83" s="6">
        <v>2472913</v>
      </c>
      <c r="Q83" s="6">
        <v>-215108.71</v>
      </c>
      <c r="R83" s="17">
        <f t="shared" si="13"/>
        <v>-8.6999999999999994E-2</v>
      </c>
      <c r="S83" s="6">
        <f t="shared" si="14"/>
        <v>215108.71</v>
      </c>
      <c r="T83" s="6">
        <f t="shared" si="15"/>
        <v>144122.84</v>
      </c>
    </row>
    <row r="84" spans="1:20" x14ac:dyDescent="0.2">
      <c r="A84">
        <v>238</v>
      </c>
      <c r="B84">
        <v>1</v>
      </c>
      <c r="C84" s="7" t="s">
        <v>77</v>
      </c>
      <c r="D84" s="21">
        <v>2155235.85</v>
      </c>
      <c r="E84" s="21">
        <v>-187521.04</v>
      </c>
      <c r="F84" s="17">
        <f t="shared" si="16"/>
        <v>-8.70072016E-2</v>
      </c>
      <c r="G84" s="21">
        <f t="shared" si="10"/>
        <v>187521.04</v>
      </c>
      <c r="H84" s="46">
        <f t="shared" si="11"/>
        <v>125639.1</v>
      </c>
      <c r="I84" s="43">
        <v>187475.26</v>
      </c>
      <c r="J84" s="43">
        <f t="shared" si="17"/>
        <v>45.779999999998836</v>
      </c>
      <c r="K84" s="43"/>
      <c r="L84">
        <f t="shared" si="12"/>
        <v>0</v>
      </c>
      <c r="M84">
        <v>238</v>
      </c>
      <c r="N84">
        <v>1</v>
      </c>
      <c r="O84" s="7" t="s">
        <v>618</v>
      </c>
      <c r="P84" s="6">
        <v>2155235.85</v>
      </c>
      <c r="Q84" s="6">
        <v>-187475.26</v>
      </c>
      <c r="R84" s="17">
        <f t="shared" si="13"/>
        <v>-8.6999999999999994E-2</v>
      </c>
      <c r="S84" s="6">
        <f t="shared" si="14"/>
        <v>187475.26</v>
      </c>
      <c r="T84" s="6">
        <f t="shared" si="15"/>
        <v>125608.42</v>
      </c>
    </row>
    <row r="85" spans="1:20" x14ac:dyDescent="0.2">
      <c r="A85">
        <v>239</v>
      </c>
      <c r="B85">
        <v>1</v>
      </c>
      <c r="C85" s="7" t="s">
        <v>78</v>
      </c>
      <c r="D85" s="21">
        <v>4550467.13</v>
      </c>
      <c r="E85" s="21">
        <v>-395923.42</v>
      </c>
      <c r="F85" s="17">
        <f t="shared" si="16"/>
        <v>-8.7007203599999999E-2</v>
      </c>
      <c r="G85" s="21">
        <f t="shared" si="10"/>
        <v>395923.42</v>
      </c>
      <c r="H85" s="46">
        <f t="shared" si="11"/>
        <v>265268.69</v>
      </c>
      <c r="I85" s="43">
        <v>395826.75</v>
      </c>
      <c r="J85" s="43">
        <f t="shared" si="17"/>
        <v>96.669999999983702</v>
      </c>
      <c r="K85" s="43"/>
      <c r="L85">
        <f t="shared" si="12"/>
        <v>0</v>
      </c>
      <c r="M85">
        <v>239</v>
      </c>
      <c r="N85">
        <v>1</v>
      </c>
      <c r="O85" s="7" t="s">
        <v>619</v>
      </c>
      <c r="P85" s="6">
        <v>4550467.13</v>
      </c>
      <c r="Q85" s="6">
        <v>-395826.75</v>
      </c>
      <c r="R85" s="17">
        <f t="shared" si="13"/>
        <v>-8.6999999999999994E-2</v>
      </c>
      <c r="S85" s="6">
        <f t="shared" si="14"/>
        <v>395826.75</v>
      </c>
      <c r="T85" s="6">
        <f t="shared" si="15"/>
        <v>265203.92</v>
      </c>
    </row>
    <row r="86" spans="1:20" x14ac:dyDescent="0.2">
      <c r="A86">
        <v>241</v>
      </c>
      <c r="B86">
        <v>1</v>
      </c>
      <c r="C86" s="7" t="s">
        <v>79</v>
      </c>
      <c r="D86" s="21">
        <v>24421009.620000001</v>
      </c>
      <c r="E86" s="21">
        <v>-2124803.73</v>
      </c>
      <c r="F86" s="17">
        <f t="shared" si="16"/>
        <v>-8.7007202500000005E-2</v>
      </c>
      <c r="G86" s="21">
        <f t="shared" si="10"/>
        <v>2124803.73</v>
      </c>
      <c r="H86" s="46">
        <f t="shared" si="11"/>
        <v>1423618.5</v>
      </c>
      <c r="I86" s="43">
        <v>2124284.94</v>
      </c>
      <c r="J86" s="43">
        <f t="shared" si="17"/>
        <v>518.79000000003725</v>
      </c>
      <c r="K86" s="43"/>
      <c r="L86">
        <f t="shared" si="12"/>
        <v>0</v>
      </c>
      <c r="M86">
        <v>241</v>
      </c>
      <c r="N86">
        <v>1</v>
      </c>
      <c r="O86" s="7" t="s">
        <v>620</v>
      </c>
      <c r="P86" s="6">
        <v>24421009.620000001</v>
      </c>
      <c r="Q86" s="6">
        <v>-2124284.94</v>
      </c>
      <c r="R86" s="17">
        <f t="shared" si="13"/>
        <v>-8.6999999999999994E-2</v>
      </c>
      <c r="S86" s="6">
        <f t="shared" si="14"/>
        <v>2124284.94</v>
      </c>
      <c r="T86" s="6">
        <f t="shared" si="15"/>
        <v>1423270.91</v>
      </c>
    </row>
    <row r="87" spans="1:20" x14ac:dyDescent="0.2">
      <c r="A87">
        <v>242</v>
      </c>
      <c r="B87">
        <v>1</v>
      </c>
      <c r="C87" s="7" t="s">
        <v>80</v>
      </c>
      <c r="D87" s="21">
        <v>2983552.86</v>
      </c>
      <c r="E87" s="21">
        <v>-259590.59</v>
      </c>
      <c r="F87" s="17">
        <f t="shared" si="16"/>
        <v>-8.7007203199999994E-2</v>
      </c>
      <c r="G87" s="21">
        <f t="shared" si="10"/>
        <v>259590.59</v>
      </c>
      <c r="H87" s="46">
        <f t="shared" si="11"/>
        <v>173925.7</v>
      </c>
      <c r="I87" s="43">
        <v>259527.21</v>
      </c>
      <c r="J87" s="43">
        <f t="shared" si="17"/>
        <v>63.380000000004657</v>
      </c>
      <c r="K87" s="43"/>
      <c r="L87">
        <f t="shared" si="12"/>
        <v>0</v>
      </c>
      <c r="M87">
        <v>242</v>
      </c>
      <c r="N87">
        <v>1</v>
      </c>
      <c r="O87" s="7" t="s">
        <v>621</v>
      </c>
      <c r="P87" s="6">
        <v>2983552.86</v>
      </c>
      <c r="Q87" s="6">
        <v>-259527.21</v>
      </c>
      <c r="R87" s="17">
        <f t="shared" si="13"/>
        <v>-8.6999999999999994E-2</v>
      </c>
      <c r="S87" s="6">
        <f t="shared" si="14"/>
        <v>259527.21</v>
      </c>
      <c r="T87" s="6">
        <f t="shared" si="15"/>
        <v>173883.23</v>
      </c>
    </row>
    <row r="88" spans="1:20" x14ac:dyDescent="0.2">
      <c r="A88">
        <v>252</v>
      </c>
      <c r="B88">
        <v>1</v>
      </c>
      <c r="C88" s="7" t="s">
        <v>81</v>
      </c>
      <c r="D88" s="21">
        <v>8388430.1200000001</v>
      </c>
      <c r="E88" s="21">
        <v>-729853.84</v>
      </c>
      <c r="F88" s="17">
        <f t="shared" si="16"/>
        <v>-8.7007202699999994E-2</v>
      </c>
      <c r="G88" s="21">
        <f t="shared" si="10"/>
        <v>729853.84</v>
      </c>
      <c r="H88" s="46">
        <f t="shared" si="11"/>
        <v>489002.07</v>
      </c>
      <c r="I88" s="43">
        <v>729675.64</v>
      </c>
      <c r="J88" s="43">
        <f t="shared" si="17"/>
        <v>178.19999999995343</v>
      </c>
      <c r="K88" s="43"/>
      <c r="L88">
        <f t="shared" si="12"/>
        <v>0</v>
      </c>
      <c r="M88">
        <v>252</v>
      </c>
      <c r="N88">
        <v>1</v>
      </c>
      <c r="O88" s="7" t="s">
        <v>622</v>
      </c>
      <c r="P88" s="6">
        <v>8388430.1200000001</v>
      </c>
      <c r="Q88" s="6">
        <v>-729675.64</v>
      </c>
      <c r="R88" s="17">
        <f t="shared" si="13"/>
        <v>-8.6999999999999994E-2</v>
      </c>
      <c r="S88" s="6">
        <f t="shared" si="14"/>
        <v>729675.64</v>
      </c>
      <c r="T88" s="6">
        <f t="shared" si="15"/>
        <v>488882.68</v>
      </c>
    </row>
    <row r="89" spans="1:20" x14ac:dyDescent="0.2">
      <c r="A89">
        <v>253</v>
      </c>
      <c r="B89">
        <v>1</v>
      </c>
      <c r="C89" s="7" t="s">
        <v>82</v>
      </c>
      <c r="D89" s="21">
        <v>4233434.8499999996</v>
      </c>
      <c r="E89" s="21">
        <v>-368339.32</v>
      </c>
      <c r="F89" s="17">
        <f t="shared" si="16"/>
        <v>-8.7007201699999995E-2</v>
      </c>
      <c r="G89" s="21">
        <f t="shared" si="10"/>
        <v>368339.32</v>
      </c>
      <c r="H89" s="46">
        <f t="shared" si="11"/>
        <v>246787.34</v>
      </c>
      <c r="I89" s="43">
        <v>368249.39</v>
      </c>
      <c r="J89" s="43">
        <f t="shared" si="17"/>
        <v>89.929999999993015</v>
      </c>
      <c r="K89" s="43"/>
      <c r="L89">
        <f t="shared" si="12"/>
        <v>0</v>
      </c>
      <c r="M89">
        <v>253</v>
      </c>
      <c r="N89">
        <v>1</v>
      </c>
      <c r="O89" s="7" t="s">
        <v>623</v>
      </c>
      <c r="P89" s="6">
        <v>4233434.8499999996</v>
      </c>
      <c r="Q89" s="6">
        <v>-368249.39</v>
      </c>
      <c r="R89" s="17">
        <f t="shared" si="13"/>
        <v>-8.6999999999999994E-2</v>
      </c>
      <c r="S89" s="6">
        <f t="shared" si="14"/>
        <v>368249.39</v>
      </c>
      <c r="T89" s="6">
        <f t="shared" si="15"/>
        <v>246727.09</v>
      </c>
    </row>
    <row r="90" spans="1:20" x14ac:dyDescent="0.2">
      <c r="A90">
        <v>255</v>
      </c>
      <c r="B90">
        <v>1</v>
      </c>
      <c r="C90" s="7" t="s">
        <v>83</v>
      </c>
      <c r="D90" s="21">
        <v>8002177.9900000002</v>
      </c>
      <c r="E90" s="21">
        <v>-696247.12</v>
      </c>
      <c r="F90" s="17">
        <f t="shared" si="16"/>
        <v>-8.7007202399999997E-2</v>
      </c>
      <c r="G90" s="21">
        <f t="shared" si="10"/>
        <v>696247.12</v>
      </c>
      <c r="H90" s="46">
        <f t="shared" si="11"/>
        <v>466485.57</v>
      </c>
      <c r="I90" s="43">
        <v>696077.13</v>
      </c>
      <c r="J90" s="43">
        <f t="shared" si="17"/>
        <v>169.98999999999069</v>
      </c>
      <c r="K90" s="43"/>
      <c r="L90">
        <f t="shared" si="12"/>
        <v>0</v>
      </c>
      <c r="M90">
        <v>255</v>
      </c>
      <c r="N90">
        <v>1</v>
      </c>
      <c r="O90" s="7" t="s">
        <v>624</v>
      </c>
      <c r="P90" s="6">
        <v>8002177.9900000002</v>
      </c>
      <c r="Q90" s="6">
        <v>-696077.13</v>
      </c>
      <c r="R90" s="17">
        <f t="shared" si="13"/>
        <v>-8.6999999999999994E-2</v>
      </c>
      <c r="S90" s="6">
        <f t="shared" si="14"/>
        <v>696077.13</v>
      </c>
      <c r="T90" s="6">
        <f t="shared" si="15"/>
        <v>466371.68</v>
      </c>
    </row>
    <row r="91" spans="1:20" x14ac:dyDescent="0.2">
      <c r="A91">
        <v>256</v>
      </c>
      <c r="B91">
        <v>1</v>
      </c>
      <c r="C91" s="7" t="s">
        <v>84</v>
      </c>
      <c r="D91" s="21">
        <v>18870545.98</v>
      </c>
      <c r="E91" s="21">
        <v>-1641873.42</v>
      </c>
      <c r="F91" s="17">
        <f t="shared" si="16"/>
        <v>-8.7007202699999994E-2</v>
      </c>
      <c r="G91" s="21">
        <f t="shared" si="10"/>
        <v>1641873.42</v>
      </c>
      <c r="H91" s="46">
        <f t="shared" si="11"/>
        <v>1100055.19</v>
      </c>
      <c r="I91" s="43">
        <v>1641472.54</v>
      </c>
      <c r="J91" s="43">
        <f t="shared" si="17"/>
        <v>400.87999999988824</v>
      </c>
      <c r="K91" s="43"/>
      <c r="L91">
        <f t="shared" si="12"/>
        <v>0</v>
      </c>
      <c r="M91">
        <v>256</v>
      </c>
      <c r="N91">
        <v>1</v>
      </c>
      <c r="O91" s="7" t="s">
        <v>625</v>
      </c>
      <c r="P91" s="6">
        <v>18870545.98</v>
      </c>
      <c r="Q91" s="6">
        <v>-1641472.54</v>
      </c>
      <c r="R91" s="17">
        <f t="shared" si="13"/>
        <v>-8.6999999999999994E-2</v>
      </c>
      <c r="S91" s="6">
        <f t="shared" si="14"/>
        <v>1641472.54</v>
      </c>
      <c r="T91" s="6">
        <f t="shared" si="15"/>
        <v>1099786.6000000001</v>
      </c>
    </row>
    <row r="92" spans="1:20" x14ac:dyDescent="0.2">
      <c r="A92">
        <v>261</v>
      </c>
      <c r="B92">
        <v>1</v>
      </c>
      <c r="C92" s="7" t="s">
        <v>85</v>
      </c>
      <c r="D92" s="21">
        <v>1803283.23</v>
      </c>
      <c r="E92" s="21">
        <v>-156898.63</v>
      </c>
      <c r="F92" s="17">
        <f t="shared" si="16"/>
        <v>-8.7007203000000005E-2</v>
      </c>
      <c r="G92" s="21">
        <f t="shared" si="10"/>
        <v>156898.63</v>
      </c>
      <c r="H92" s="46">
        <f t="shared" si="11"/>
        <v>105122.08</v>
      </c>
      <c r="I92" s="43">
        <v>156860.32</v>
      </c>
      <c r="J92" s="43">
        <f t="shared" si="17"/>
        <v>38.309999999997672</v>
      </c>
      <c r="K92" s="43"/>
      <c r="L92">
        <f t="shared" si="12"/>
        <v>0</v>
      </c>
      <c r="M92">
        <v>261</v>
      </c>
      <c r="N92">
        <v>1</v>
      </c>
      <c r="O92" s="7" t="s">
        <v>626</v>
      </c>
      <c r="P92" s="6">
        <v>1803283.23</v>
      </c>
      <c r="Q92" s="6">
        <v>-156860.32</v>
      </c>
      <c r="R92" s="17">
        <f t="shared" si="13"/>
        <v>-8.6999999999999994E-2</v>
      </c>
      <c r="S92" s="6">
        <f t="shared" si="14"/>
        <v>156860.32</v>
      </c>
      <c r="T92" s="6">
        <f t="shared" si="15"/>
        <v>105096.41</v>
      </c>
    </row>
    <row r="93" spans="1:20" x14ac:dyDescent="0.2">
      <c r="A93">
        <v>264</v>
      </c>
      <c r="B93">
        <v>1</v>
      </c>
      <c r="C93" s="7" t="s">
        <v>86</v>
      </c>
      <c r="D93" s="21">
        <v>1095049.8400000001</v>
      </c>
      <c r="E93" s="21">
        <v>-95277.22</v>
      </c>
      <c r="F93" s="17">
        <f t="shared" si="16"/>
        <v>-8.7007199600000001E-2</v>
      </c>
      <c r="G93" s="21">
        <f t="shared" si="10"/>
        <v>95277.22</v>
      </c>
      <c r="H93" s="46">
        <f t="shared" si="11"/>
        <v>63835.74</v>
      </c>
      <c r="I93" s="43">
        <v>95253.96</v>
      </c>
      <c r="J93" s="43">
        <f t="shared" si="17"/>
        <v>23.259999999994761</v>
      </c>
      <c r="K93" s="43"/>
      <c r="L93">
        <f t="shared" si="12"/>
        <v>0</v>
      </c>
      <c r="M93">
        <v>264</v>
      </c>
      <c r="N93">
        <v>1</v>
      </c>
      <c r="O93" s="7" t="s">
        <v>627</v>
      </c>
      <c r="P93" s="6">
        <v>1095049.8400000001</v>
      </c>
      <c r="Q93" s="6">
        <v>-95253.96</v>
      </c>
      <c r="R93" s="17">
        <f t="shared" si="13"/>
        <v>-8.6999999999999994E-2</v>
      </c>
      <c r="S93" s="6">
        <f t="shared" si="14"/>
        <v>95253.96</v>
      </c>
      <c r="T93" s="6">
        <f t="shared" si="15"/>
        <v>63820.15</v>
      </c>
    </row>
    <row r="94" spans="1:20" x14ac:dyDescent="0.2">
      <c r="A94">
        <v>270</v>
      </c>
      <c r="B94">
        <v>1</v>
      </c>
      <c r="C94" s="7" t="s">
        <v>87</v>
      </c>
      <c r="D94" s="21">
        <v>52450634.030000001</v>
      </c>
      <c r="E94" s="21">
        <v>-4563582.9400000004</v>
      </c>
      <c r="F94" s="17">
        <f t="shared" si="16"/>
        <v>-8.70072026E-2</v>
      </c>
      <c r="G94" s="21">
        <f t="shared" si="10"/>
        <v>4563582.9400000004</v>
      </c>
      <c r="H94" s="46">
        <f t="shared" si="11"/>
        <v>3057600.57</v>
      </c>
      <c r="I94" s="43">
        <v>4562468.71</v>
      </c>
      <c r="J94" s="43">
        <f t="shared" si="17"/>
        <v>1114.230000000447</v>
      </c>
      <c r="K94" s="43"/>
      <c r="L94">
        <f t="shared" si="12"/>
        <v>0</v>
      </c>
      <c r="M94">
        <v>270</v>
      </c>
      <c r="N94">
        <v>1</v>
      </c>
      <c r="O94" s="7" t="s">
        <v>628</v>
      </c>
      <c r="P94" s="6">
        <v>52450634.030000001</v>
      </c>
      <c r="Q94" s="6">
        <v>-4562468.71</v>
      </c>
      <c r="R94" s="17">
        <f t="shared" si="13"/>
        <v>-8.6999999999999994E-2</v>
      </c>
      <c r="S94" s="6">
        <f t="shared" si="14"/>
        <v>4562468.71</v>
      </c>
      <c r="T94" s="6">
        <f t="shared" si="15"/>
        <v>3056854.04</v>
      </c>
    </row>
    <row r="95" spans="1:20" x14ac:dyDescent="0.2">
      <c r="A95">
        <v>271</v>
      </c>
      <c r="B95">
        <v>1</v>
      </c>
      <c r="C95" s="7" t="s">
        <v>88</v>
      </c>
      <c r="D95" s="21">
        <v>70213016.079999998</v>
      </c>
      <c r="E95" s="21">
        <v>-6109038.1200000001</v>
      </c>
      <c r="F95" s="17">
        <f t="shared" si="16"/>
        <v>-8.7007202699999994E-2</v>
      </c>
      <c r="G95" s="21">
        <f t="shared" si="10"/>
        <v>6109038.1200000001</v>
      </c>
      <c r="H95" s="46">
        <f t="shared" si="11"/>
        <v>4093055.54</v>
      </c>
      <c r="I95" s="43">
        <v>6107546.5499999998</v>
      </c>
      <c r="J95" s="43">
        <f t="shared" si="17"/>
        <v>1491.570000000298</v>
      </c>
      <c r="K95" s="43"/>
      <c r="L95">
        <f t="shared" si="12"/>
        <v>0</v>
      </c>
      <c r="M95">
        <v>271</v>
      </c>
      <c r="N95">
        <v>1</v>
      </c>
      <c r="O95" s="7" t="s">
        <v>629</v>
      </c>
      <c r="P95" s="6">
        <v>70213016.079999998</v>
      </c>
      <c r="Q95" s="6">
        <v>-6107546.5499999998</v>
      </c>
      <c r="R95" s="17">
        <f t="shared" si="13"/>
        <v>-8.6999999999999994E-2</v>
      </c>
      <c r="S95" s="6">
        <f t="shared" si="14"/>
        <v>6107546.5499999998</v>
      </c>
      <c r="T95" s="6">
        <f t="shared" si="15"/>
        <v>4092056.19</v>
      </c>
    </row>
    <row r="96" spans="1:20" x14ac:dyDescent="0.2">
      <c r="A96">
        <v>272</v>
      </c>
      <c r="B96">
        <v>1</v>
      </c>
      <c r="C96" s="7" t="s">
        <v>89</v>
      </c>
      <c r="D96" s="21">
        <v>65503747.100000001</v>
      </c>
      <c r="E96" s="21">
        <v>-5699297.79</v>
      </c>
      <c r="F96" s="17">
        <f t="shared" si="16"/>
        <v>-8.7007202500000005E-2</v>
      </c>
      <c r="G96" s="21">
        <f t="shared" si="10"/>
        <v>5699297.79</v>
      </c>
      <c r="H96" s="46">
        <f t="shared" si="11"/>
        <v>3818529.52</v>
      </c>
      <c r="I96" s="43">
        <v>5697906.2699999996</v>
      </c>
      <c r="J96" s="43">
        <f t="shared" si="17"/>
        <v>1391.5200000004843</v>
      </c>
      <c r="K96" s="43"/>
      <c r="L96">
        <f t="shared" si="12"/>
        <v>0</v>
      </c>
      <c r="M96">
        <v>272</v>
      </c>
      <c r="N96">
        <v>1</v>
      </c>
      <c r="O96" s="7" t="s">
        <v>630</v>
      </c>
      <c r="P96" s="6">
        <v>65503747.100000001</v>
      </c>
      <c r="Q96" s="6">
        <v>-5697906.2699999996</v>
      </c>
      <c r="R96" s="17">
        <f t="shared" si="13"/>
        <v>-8.6999999999999994E-2</v>
      </c>
      <c r="S96" s="6">
        <f t="shared" si="14"/>
        <v>5697906.2699999996</v>
      </c>
      <c r="T96" s="6">
        <f t="shared" si="15"/>
        <v>3817597.2</v>
      </c>
    </row>
    <row r="97" spans="1:20" x14ac:dyDescent="0.2">
      <c r="A97">
        <v>273</v>
      </c>
      <c r="B97">
        <v>1</v>
      </c>
      <c r="C97" s="7" t="s">
        <v>90</v>
      </c>
      <c r="D97" s="21">
        <v>48456113.549999997</v>
      </c>
      <c r="E97" s="21">
        <v>-4216030.8899999997</v>
      </c>
      <c r="F97" s="17">
        <f t="shared" si="16"/>
        <v>-8.70072026E-2</v>
      </c>
      <c r="G97" s="21">
        <f t="shared" si="10"/>
        <v>4216030.8899999997</v>
      </c>
      <c r="H97" s="46">
        <f t="shared" si="11"/>
        <v>2824740.7</v>
      </c>
      <c r="I97" s="43">
        <v>4215001.51</v>
      </c>
      <c r="J97" s="43">
        <f t="shared" si="17"/>
        <v>1029.3799999998882</v>
      </c>
      <c r="K97" s="43"/>
      <c r="L97">
        <f t="shared" si="12"/>
        <v>0</v>
      </c>
      <c r="M97">
        <v>273</v>
      </c>
      <c r="N97">
        <v>1</v>
      </c>
      <c r="O97" s="7" t="s">
        <v>631</v>
      </c>
      <c r="P97" s="6">
        <v>48456113.549999997</v>
      </c>
      <c r="Q97" s="6">
        <v>-4215001.51</v>
      </c>
      <c r="R97" s="17">
        <f t="shared" si="13"/>
        <v>-8.6999999999999994E-2</v>
      </c>
      <c r="S97" s="6">
        <f t="shared" si="14"/>
        <v>4215001.51</v>
      </c>
      <c r="T97" s="6">
        <f t="shared" si="15"/>
        <v>2824051.01</v>
      </c>
    </row>
    <row r="98" spans="1:20" x14ac:dyDescent="0.2">
      <c r="A98">
        <v>276</v>
      </c>
      <c r="B98">
        <v>1</v>
      </c>
      <c r="C98" s="7" t="s">
        <v>91</v>
      </c>
      <c r="D98" s="21">
        <v>51815271.880000003</v>
      </c>
      <c r="E98" s="21">
        <v>-4508301.8600000003</v>
      </c>
      <c r="F98" s="17">
        <f t="shared" si="16"/>
        <v>-8.70072026E-2</v>
      </c>
      <c r="G98" s="21">
        <f t="shared" si="10"/>
        <v>4508301.8600000003</v>
      </c>
      <c r="H98" s="46">
        <f t="shared" si="11"/>
        <v>3020562.25</v>
      </c>
      <c r="I98" s="43">
        <v>4507201.12</v>
      </c>
      <c r="J98" s="43">
        <f t="shared" si="17"/>
        <v>1100.7400000002235</v>
      </c>
      <c r="K98" s="43"/>
      <c r="L98">
        <f t="shared" si="12"/>
        <v>0</v>
      </c>
      <c r="M98">
        <v>276</v>
      </c>
      <c r="N98">
        <v>1</v>
      </c>
      <c r="O98" s="7" t="s">
        <v>632</v>
      </c>
      <c r="P98" s="6">
        <v>51815271.880000003</v>
      </c>
      <c r="Q98" s="6">
        <v>-4507201.12</v>
      </c>
      <c r="R98" s="17">
        <f t="shared" si="13"/>
        <v>-8.6999999999999994E-2</v>
      </c>
      <c r="S98" s="6">
        <f t="shared" si="14"/>
        <v>4507201.12</v>
      </c>
      <c r="T98" s="6">
        <f t="shared" si="15"/>
        <v>3019824.75</v>
      </c>
    </row>
    <row r="99" spans="1:20" x14ac:dyDescent="0.2">
      <c r="A99">
        <v>277</v>
      </c>
      <c r="B99">
        <v>1</v>
      </c>
      <c r="C99" s="7" t="s">
        <v>92</v>
      </c>
      <c r="D99" s="21">
        <v>14407446.43</v>
      </c>
      <c r="E99" s="21">
        <v>-1253551.6100000001</v>
      </c>
      <c r="F99" s="17">
        <f t="shared" si="16"/>
        <v>-8.70072026E-2</v>
      </c>
      <c r="G99" s="21">
        <f t="shared" si="10"/>
        <v>1253551.6100000001</v>
      </c>
      <c r="H99" s="46">
        <f t="shared" si="11"/>
        <v>839879.58</v>
      </c>
      <c r="I99" s="43">
        <v>1253245.55</v>
      </c>
      <c r="J99" s="43">
        <f t="shared" si="17"/>
        <v>306.06000000005588</v>
      </c>
      <c r="K99" s="43"/>
      <c r="L99">
        <f t="shared" si="12"/>
        <v>0</v>
      </c>
      <c r="M99">
        <v>277</v>
      </c>
      <c r="N99">
        <v>1</v>
      </c>
      <c r="O99" s="7" t="s">
        <v>633</v>
      </c>
      <c r="P99" s="6">
        <v>14407446.43</v>
      </c>
      <c r="Q99" s="6">
        <v>-1253245.55</v>
      </c>
      <c r="R99" s="17">
        <f t="shared" si="13"/>
        <v>-8.6999999999999994E-2</v>
      </c>
      <c r="S99" s="6">
        <f t="shared" si="14"/>
        <v>1253245.55</v>
      </c>
      <c r="T99" s="6">
        <f t="shared" si="15"/>
        <v>839674.52</v>
      </c>
    </row>
    <row r="100" spans="1:20" x14ac:dyDescent="0.2">
      <c r="A100">
        <v>278</v>
      </c>
      <c r="B100">
        <v>1</v>
      </c>
      <c r="C100" s="7" t="s">
        <v>93</v>
      </c>
      <c r="D100" s="21">
        <v>17443482.800000001</v>
      </c>
      <c r="E100" s="21">
        <v>-1517708.64</v>
      </c>
      <c r="F100" s="17">
        <f t="shared" si="16"/>
        <v>-8.7007202500000005E-2</v>
      </c>
      <c r="G100" s="21">
        <f t="shared" si="10"/>
        <v>1517708.64</v>
      </c>
      <c r="H100" s="46">
        <f t="shared" si="11"/>
        <v>1016864.79</v>
      </c>
      <c r="I100" s="43">
        <v>1517338.08</v>
      </c>
      <c r="J100" s="43">
        <f t="shared" si="17"/>
        <v>370.55999999982305</v>
      </c>
      <c r="K100" s="43"/>
      <c r="L100">
        <f t="shared" si="12"/>
        <v>0</v>
      </c>
      <c r="M100">
        <v>278</v>
      </c>
      <c r="N100">
        <v>1</v>
      </c>
      <c r="O100" s="7" t="s">
        <v>634</v>
      </c>
      <c r="P100" s="6">
        <v>17443482.800000001</v>
      </c>
      <c r="Q100" s="6">
        <v>-1517338.08</v>
      </c>
      <c r="R100" s="17">
        <f t="shared" si="13"/>
        <v>-8.6999999999999994E-2</v>
      </c>
      <c r="S100" s="6">
        <f t="shared" si="14"/>
        <v>1517338.08</v>
      </c>
      <c r="T100" s="6">
        <f t="shared" si="15"/>
        <v>1016616.51</v>
      </c>
    </row>
    <row r="101" spans="1:20" x14ac:dyDescent="0.2">
      <c r="A101">
        <v>279</v>
      </c>
      <c r="B101">
        <v>1</v>
      </c>
      <c r="C101" s="7" t="s">
        <v>94</v>
      </c>
      <c r="D101" s="21">
        <v>154194390.36000001</v>
      </c>
      <c r="E101" s="21">
        <v>-13416022.560000001</v>
      </c>
      <c r="F101" s="17">
        <f t="shared" si="16"/>
        <v>-8.70072026E-2</v>
      </c>
      <c r="G101" s="21">
        <f t="shared" si="10"/>
        <v>13416022.560000001</v>
      </c>
      <c r="H101" s="46">
        <f t="shared" si="11"/>
        <v>8988735.1199999992</v>
      </c>
      <c r="I101" s="43">
        <v>13412746.939999999</v>
      </c>
      <c r="J101" s="43">
        <f t="shared" si="17"/>
        <v>3275.6200000010431</v>
      </c>
      <c r="K101" s="43"/>
      <c r="L101">
        <f t="shared" si="12"/>
        <v>0</v>
      </c>
      <c r="M101">
        <v>279</v>
      </c>
      <c r="N101">
        <v>1</v>
      </c>
      <c r="O101" s="7" t="s">
        <v>635</v>
      </c>
      <c r="P101" s="6">
        <v>154194390.36000001</v>
      </c>
      <c r="Q101" s="6">
        <v>-13412746.939999999</v>
      </c>
      <c r="R101" s="17">
        <f t="shared" si="13"/>
        <v>-8.6999999999999994E-2</v>
      </c>
      <c r="S101" s="6">
        <f t="shared" si="14"/>
        <v>13412746.939999999</v>
      </c>
      <c r="T101" s="6">
        <f t="shared" si="15"/>
        <v>8986540.4499999993</v>
      </c>
    </row>
    <row r="102" spans="1:20" x14ac:dyDescent="0.2">
      <c r="A102">
        <v>280</v>
      </c>
      <c r="B102">
        <v>1</v>
      </c>
      <c r="C102" s="7" t="s">
        <v>95</v>
      </c>
      <c r="D102" s="21">
        <v>30774775.25</v>
      </c>
      <c r="E102" s="21">
        <v>-2677627.11</v>
      </c>
      <c r="F102" s="17">
        <f t="shared" si="16"/>
        <v>-8.7007202800000003E-2</v>
      </c>
      <c r="G102" s="21">
        <f t="shared" si="10"/>
        <v>2677627.11</v>
      </c>
      <c r="H102" s="46">
        <f t="shared" si="11"/>
        <v>1794010.16</v>
      </c>
      <c r="I102" s="43">
        <v>2676973.34</v>
      </c>
      <c r="J102" s="43">
        <f t="shared" si="17"/>
        <v>653.77000000001863</v>
      </c>
      <c r="K102" s="43"/>
      <c r="L102">
        <f t="shared" si="12"/>
        <v>0</v>
      </c>
      <c r="M102">
        <v>280</v>
      </c>
      <c r="N102">
        <v>1</v>
      </c>
      <c r="O102" s="7" t="s">
        <v>636</v>
      </c>
      <c r="P102" s="6">
        <v>30774775.25</v>
      </c>
      <c r="Q102" s="6">
        <v>-2676973.34</v>
      </c>
      <c r="R102" s="17">
        <f t="shared" si="13"/>
        <v>-8.6999999999999994E-2</v>
      </c>
      <c r="S102" s="6">
        <f t="shared" si="14"/>
        <v>2676973.34</v>
      </c>
      <c r="T102" s="6">
        <f t="shared" si="15"/>
        <v>1793572.14</v>
      </c>
    </row>
    <row r="103" spans="1:20" x14ac:dyDescent="0.2">
      <c r="A103">
        <v>281</v>
      </c>
      <c r="B103">
        <v>1</v>
      </c>
      <c r="C103" s="7" t="s">
        <v>96</v>
      </c>
      <c r="D103" s="21">
        <v>91148060.409999996</v>
      </c>
      <c r="E103" s="21">
        <v>-7930537.7599999998</v>
      </c>
      <c r="F103" s="17">
        <f t="shared" si="16"/>
        <v>-8.70072026E-2</v>
      </c>
      <c r="G103" s="21">
        <f t="shared" si="10"/>
        <v>7930537.7599999998</v>
      </c>
      <c r="H103" s="46">
        <f t="shared" si="11"/>
        <v>5313460.3</v>
      </c>
      <c r="I103" s="43">
        <v>7928601.46</v>
      </c>
      <c r="J103" s="43">
        <f t="shared" si="17"/>
        <v>1936.2999999998137</v>
      </c>
      <c r="K103" s="43"/>
      <c r="L103">
        <f t="shared" si="12"/>
        <v>0</v>
      </c>
      <c r="M103">
        <v>281</v>
      </c>
      <c r="N103">
        <v>1</v>
      </c>
      <c r="O103" s="7" t="s">
        <v>637</v>
      </c>
      <c r="P103" s="6">
        <v>91148060.409999996</v>
      </c>
      <c r="Q103" s="6">
        <v>-7928601.46</v>
      </c>
      <c r="R103" s="17">
        <f t="shared" si="13"/>
        <v>-8.6999999999999994E-2</v>
      </c>
      <c r="S103" s="6">
        <f t="shared" si="14"/>
        <v>7928601.46</v>
      </c>
      <c r="T103" s="6">
        <f t="shared" si="15"/>
        <v>5312162.9800000004</v>
      </c>
    </row>
    <row r="104" spans="1:20" x14ac:dyDescent="0.2">
      <c r="A104">
        <v>282</v>
      </c>
      <c r="B104">
        <v>1</v>
      </c>
      <c r="C104" s="7" t="s">
        <v>97</v>
      </c>
      <c r="D104" s="21">
        <v>11470890.85</v>
      </c>
      <c r="E104" s="21">
        <v>-998050.12</v>
      </c>
      <c r="F104" s="17">
        <f t="shared" si="16"/>
        <v>-8.7007202199999994E-2</v>
      </c>
      <c r="G104" s="21">
        <f t="shared" si="10"/>
        <v>998050.12</v>
      </c>
      <c r="H104" s="46">
        <f t="shared" si="11"/>
        <v>668693.57999999996</v>
      </c>
      <c r="I104" s="43">
        <v>997806.44</v>
      </c>
      <c r="J104" s="43">
        <f t="shared" si="17"/>
        <v>243.68000000005122</v>
      </c>
      <c r="K104" s="43"/>
      <c r="L104">
        <f t="shared" si="12"/>
        <v>0</v>
      </c>
      <c r="M104">
        <v>282</v>
      </c>
      <c r="N104">
        <v>1</v>
      </c>
      <c r="O104" s="7" t="s">
        <v>638</v>
      </c>
      <c r="P104" s="6">
        <v>11470890.85</v>
      </c>
      <c r="Q104" s="6">
        <v>-997806.44</v>
      </c>
      <c r="R104" s="17">
        <f t="shared" si="13"/>
        <v>-8.6999999999999994E-2</v>
      </c>
      <c r="S104" s="6">
        <f t="shared" si="14"/>
        <v>997806.44</v>
      </c>
      <c r="T104" s="6">
        <f t="shared" si="15"/>
        <v>668530.31000000006</v>
      </c>
    </row>
    <row r="105" spans="1:20" x14ac:dyDescent="0.2">
      <c r="A105">
        <v>283</v>
      </c>
      <c r="B105">
        <v>1</v>
      </c>
      <c r="C105" s="7" t="s">
        <v>98</v>
      </c>
      <c r="D105" s="21">
        <v>29326079.850000001</v>
      </c>
      <c r="E105" s="21">
        <v>-2551580.17</v>
      </c>
      <c r="F105" s="17">
        <f t="shared" si="16"/>
        <v>-8.70072026E-2</v>
      </c>
      <c r="G105" s="21">
        <f t="shared" si="10"/>
        <v>2551580.17</v>
      </c>
      <c r="H105" s="46">
        <f t="shared" si="11"/>
        <v>1709558.71</v>
      </c>
      <c r="I105" s="43">
        <v>2550957.1800000002</v>
      </c>
      <c r="J105" s="43">
        <f t="shared" si="17"/>
        <v>622.98999999975786</v>
      </c>
      <c r="K105" s="43"/>
      <c r="L105">
        <f t="shared" si="12"/>
        <v>0</v>
      </c>
      <c r="M105">
        <v>283</v>
      </c>
      <c r="N105">
        <v>1</v>
      </c>
      <c r="O105" s="7" t="s">
        <v>639</v>
      </c>
      <c r="P105" s="6">
        <v>29326079.850000001</v>
      </c>
      <c r="Q105" s="6">
        <v>-2550957.1800000002</v>
      </c>
      <c r="R105" s="17">
        <f t="shared" si="13"/>
        <v>-8.6999999999999994E-2</v>
      </c>
      <c r="S105" s="6">
        <f t="shared" si="14"/>
        <v>2550957.1800000002</v>
      </c>
      <c r="T105" s="6">
        <f t="shared" si="15"/>
        <v>1709141.31</v>
      </c>
    </row>
    <row r="106" spans="1:20" x14ac:dyDescent="0.2">
      <c r="A106">
        <v>284</v>
      </c>
      <c r="B106">
        <v>1</v>
      </c>
      <c r="C106" s="7" t="s">
        <v>99</v>
      </c>
      <c r="D106" s="21">
        <v>66040372.5</v>
      </c>
      <c r="E106" s="21">
        <v>-5745988.0700000003</v>
      </c>
      <c r="F106" s="17">
        <f t="shared" si="16"/>
        <v>-8.70072026E-2</v>
      </c>
      <c r="G106" s="21">
        <f t="shared" si="10"/>
        <v>5745988.0700000003</v>
      </c>
      <c r="H106" s="46">
        <f t="shared" si="11"/>
        <v>3849812.01</v>
      </c>
      <c r="I106" s="43">
        <v>5744585.1399999997</v>
      </c>
      <c r="J106" s="43">
        <f t="shared" si="17"/>
        <v>1402.9300000006333</v>
      </c>
      <c r="K106" s="43"/>
      <c r="L106">
        <f t="shared" si="12"/>
        <v>0</v>
      </c>
      <c r="M106">
        <v>284</v>
      </c>
      <c r="N106">
        <v>1</v>
      </c>
      <c r="O106" s="7" t="s">
        <v>640</v>
      </c>
      <c r="P106" s="6">
        <v>66040372.5</v>
      </c>
      <c r="Q106" s="6">
        <v>-5744585.1399999997</v>
      </c>
      <c r="R106" s="17">
        <f t="shared" si="13"/>
        <v>-8.6999999999999994E-2</v>
      </c>
      <c r="S106" s="6">
        <f t="shared" si="14"/>
        <v>5744585.1399999997</v>
      </c>
      <c r="T106" s="6">
        <f t="shared" si="15"/>
        <v>3848872.04</v>
      </c>
    </row>
    <row r="107" spans="1:20" x14ac:dyDescent="0.2">
      <c r="A107">
        <v>286</v>
      </c>
      <c r="B107">
        <v>1</v>
      </c>
      <c r="C107" s="7" t="s">
        <v>100</v>
      </c>
      <c r="D107" s="21">
        <v>14228786.34</v>
      </c>
      <c r="E107" s="21">
        <v>-1238006.8999999999</v>
      </c>
      <c r="F107" s="17">
        <f t="shared" si="16"/>
        <v>-8.7007202899999997E-2</v>
      </c>
      <c r="G107" s="21">
        <f t="shared" si="10"/>
        <v>1238006.8999999999</v>
      </c>
      <c r="H107" s="46">
        <f t="shared" si="11"/>
        <v>829464.62</v>
      </c>
      <c r="I107" s="43">
        <v>1237704.6299999999</v>
      </c>
      <c r="J107" s="43">
        <f t="shared" si="17"/>
        <v>302.27000000001863</v>
      </c>
      <c r="K107" s="43"/>
      <c r="L107">
        <f t="shared" si="12"/>
        <v>0</v>
      </c>
      <c r="M107">
        <v>286</v>
      </c>
      <c r="N107">
        <v>1</v>
      </c>
      <c r="O107" s="7" t="s">
        <v>641</v>
      </c>
      <c r="P107" s="6">
        <v>14228786.34</v>
      </c>
      <c r="Q107" s="6">
        <v>-1237704.6299999999</v>
      </c>
      <c r="R107" s="17">
        <f t="shared" si="13"/>
        <v>-8.6999999999999994E-2</v>
      </c>
      <c r="S107" s="6">
        <f t="shared" si="14"/>
        <v>1237704.6299999999</v>
      </c>
      <c r="T107" s="6">
        <f t="shared" si="15"/>
        <v>829262.1</v>
      </c>
    </row>
    <row r="108" spans="1:20" x14ac:dyDescent="0.2">
      <c r="A108">
        <v>294</v>
      </c>
      <c r="B108">
        <v>1</v>
      </c>
      <c r="C108" s="7" t="s">
        <v>101</v>
      </c>
      <c r="D108" s="21">
        <v>8802665.2300000004</v>
      </c>
      <c r="E108" s="21">
        <v>-765895.28</v>
      </c>
      <c r="F108" s="17">
        <f t="shared" si="16"/>
        <v>-8.7007202899999997E-2</v>
      </c>
      <c r="G108" s="21">
        <f t="shared" si="10"/>
        <v>765895.28</v>
      </c>
      <c r="H108" s="46">
        <f t="shared" si="11"/>
        <v>513149.84</v>
      </c>
      <c r="I108" s="43">
        <v>765708.28</v>
      </c>
      <c r="J108" s="43">
        <f t="shared" si="17"/>
        <v>187</v>
      </c>
      <c r="K108" s="43"/>
      <c r="L108">
        <f t="shared" si="12"/>
        <v>0</v>
      </c>
      <c r="M108">
        <v>294</v>
      </c>
      <c r="N108">
        <v>1</v>
      </c>
      <c r="O108" s="7" t="s">
        <v>642</v>
      </c>
      <c r="P108" s="6">
        <v>8802665.2300000004</v>
      </c>
      <c r="Q108" s="6">
        <v>-765708.28</v>
      </c>
      <c r="R108" s="17">
        <f t="shared" si="13"/>
        <v>-8.6999999999999994E-2</v>
      </c>
      <c r="S108" s="6">
        <f t="shared" si="14"/>
        <v>765708.28</v>
      </c>
      <c r="T108" s="6">
        <f t="shared" si="15"/>
        <v>513024.55</v>
      </c>
    </row>
    <row r="109" spans="1:20" x14ac:dyDescent="0.2">
      <c r="A109">
        <v>297</v>
      </c>
      <c r="B109">
        <v>1</v>
      </c>
      <c r="C109" s="7" t="s">
        <v>102</v>
      </c>
      <c r="D109" s="21">
        <v>2231786.66</v>
      </c>
      <c r="E109" s="21">
        <v>-194181.51</v>
      </c>
      <c r="F109" s="17">
        <f t="shared" si="16"/>
        <v>-8.7007200800000004E-2</v>
      </c>
      <c r="G109" s="21">
        <f t="shared" si="10"/>
        <v>194181.51</v>
      </c>
      <c r="H109" s="46">
        <f t="shared" si="11"/>
        <v>130101.61</v>
      </c>
      <c r="I109" s="43">
        <v>194134.1</v>
      </c>
      <c r="J109" s="43">
        <f t="shared" si="17"/>
        <v>47.410000000003492</v>
      </c>
      <c r="K109" s="43"/>
      <c r="L109">
        <f t="shared" si="12"/>
        <v>0</v>
      </c>
      <c r="M109">
        <v>297</v>
      </c>
      <c r="N109">
        <v>1</v>
      </c>
      <c r="O109" s="7" t="s">
        <v>643</v>
      </c>
      <c r="P109" s="6">
        <v>2231786.66</v>
      </c>
      <c r="Q109" s="6">
        <v>-194134.1</v>
      </c>
      <c r="R109" s="17">
        <f t="shared" si="13"/>
        <v>-8.6999999999999994E-2</v>
      </c>
      <c r="S109" s="6">
        <f t="shared" si="14"/>
        <v>194134.1</v>
      </c>
      <c r="T109" s="6">
        <f t="shared" si="15"/>
        <v>130069.85</v>
      </c>
    </row>
    <row r="110" spans="1:20" x14ac:dyDescent="0.2">
      <c r="A110">
        <v>299</v>
      </c>
      <c r="B110">
        <v>1</v>
      </c>
      <c r="C110" s="7" t="s">
        <v>103</v>
      </c>
      <c r="D110" s="21">
        <v>5488022.8099999996</v>
      </c>
      <c r="E110" s="21">
        <v>-477497.51</v>
      </c>
      <c r="F110" s="17">
        <f t="shared" si="16"/>
        <v>-8.70072021E-2</v>
      </c>
      <c r="G110" s="21">
        <f t="shared" si="10"/>
        <v>477497.51</v>
      </c>
      <c r="H110" s="46">
        <f t="shared" si="11"/>
        <v>319923.33</v>
      </c>
      <c r="I110" s="43">
        <v>477380.93</v>
      </c>
      <c r="J110" s="43">
        <f t="shared" si="17"/>
        <v>116.5800000000163</v>
      </c>
      <c r="K110" s="43"/>
      <c r="L110">
        <f t="shared" si="12"/>
        <v>0</v>
      </c>
      <c r="M110">
        <v>299</v>
      </c>
      <c r="N110">
        <v>1</v>
      </c>
      <c r="O110" s="7" t="s">
        <v>644</v>
      </c>
      <c r="P110" s="6">
        <v>5488022.8099999996</v>
      </c>
      <c r="Q110" s="6">
        <v>-477380.93</v>
      </c>
      <c r="R110" s="17">
        <f t="shared" si="13"/>
        <v>-8.6999999999999994E-2</v>
      </c>
      <c r="S110" s="6">
        <f t="shared" ref="S110:S141" si="18">Q110*-1</f>
        <v>477380.93</v>
      </c>
      <c r="T110" s="6">
        <f t="shared" ref="T110:T141" si="19">ROUND(S110*0.67,2)</f>
        <v>319845.21999999997</v>
      </c>
    </row>
    <row r="111" spans="1:20" x14ac:dyDescent="0.2">
      <c r="A111">
        <v>300</v>
      </c>
      <c r="B111">
        <v>1</v>
      </c>
      <c r="C111" s="7" t="s">
        <v>104</v>
      </c>
      <c r="D111" s="21">
        <v>9699093.4600000009</v>
      </c>
      <c r="E111" s="21">
        <v>-843890.99</v>
      </c>
      <c r="F111" s="17">
        <f t="shared" si="16"/>
        <v>-8.70072026E-2</v>
      </c>
      <c r="G111" s="21">
        <f t="shared" si="10"/>
        <v>843890.99</v>
      </c>
      <c r="H111" s="46">
        <f t="shared" si="11"/>
        <v>565406.96</v>
      </c>
      <c r="I111" s="43">
        <v>843684.95</v>
      </c>
      <c r="J111" s="43">
        <f t="shared" si="17"/>
        <v>206.04000000003725</v>
      </c>
      <c r="K111" s="43"/>
      <c r="L111">
        <f t="shared" si="12"/>
        <v>0</v>
      </c>
      <c r="M111">
        <v>300</v>
      </c>
      <c r="N111">
        <v>1</v>
      </c>
      <c r="O111" s="7" t="s">
        <v>645</v>
      </c>
      <c r="P111" s="6">
        <v>9699093.4600000009</v>
      </c>
      <c r="Q111" s="6">
        <v>-843684.95</v>
      </c>
      <c r="R111" s="17">
        <f t="shared" si="13"/>
        <v>-8.6999999999999994E-2</v>
      </c>
      <c r="S111" s="6">
        <f t="shared" si="18"/>
        <v>843684.95</v>
      </c>
      <c r="T111" s="6">
        <f t="shared" si="19"/>
        <v>565268.92000000004</v>
      </c>
    </row>
    <row r="112" spans="1:20" x14ac:dyDescent="0.2">
      <c r="A112">
        <v>306</v>
      </c>
      <c r="B112">
        <v>1</v>
      </c>
      <c r="C112" s="7" t="s">
        <v>105</v>
      </c>
      <c r="D112" s="21">
        <v>2119739.52</v>
      </c>
      <c r="E112" s="21">
        <v>-184432.61</v>
      </c>
      <c r="F112" s="17">
        <f t="shared" si="16"/>
        <v>-8.7007204500000004E-2</v>
      </c>
      <c r="G112" s="21">
        <f t="shared" si="10"/>
        <v>184432.61</v>
      </c>
      <c r="H112" s="46">
        <f t="shared" si="11"/>
        <v>123569.85</v>
      </c>
      <c r="I112" s="43">
        <v>184387.58</v>
      </c>
      <c r="J112" s="43">
        <f t="shared" si="17"/>
        <v>45.029999999998836</v>
      </c>
      <c r="K112" s="43"/>
      <c r="L112">
        <f t="shared" si="12"/>
        <v>0</v>
      </c>
      <c r="M112">
        <v>306</v>
      </c>
      <c r="N112">
        <v>1</v>
      </c>
      <c r="O112" s="7" t="s">
        <v>646</v>
      </c>
      <c r="P112" s="6">
        <v>2119739.52</v>
      </c>
      <c r="Q112" s="6">
        <v>-184387.58</v>
      </c>
      <c r="R112" s="17">
        <f t="shared" si="13"/>
        <v>-8.6999999999999994E-2</v>
      </c>
      <c r="S112" s="6">
        <f t="shared" si="18"/>
        <v>184387.58</v>
      </c>
      <c r="T112" s="6">
        <f t="shared" si="19"/>
        <v>123539.68</v>
      </c>
    </row>
    <row r="113" spans="1:20" x14ac:dyDescent="0.2">
      <c r="A113">
        <v>308</v>
      </c>
      <c r="B113">
        <v>1</v>
      </c>
      <c r="C113" s="7" t="s">
        <v>106</v>
      </c>
      <c r="D113" s="21">
        <v>3884423.44</v>
      </c>
      <c r="E113" s="21">
        <v>-337972.82</v>
      </c>
      <c r="F113" s="17">
        <f t="shared" si="16"/>
        <v>-8.7007203300000002E-2</v>
      </c>
      <c r="G113" s="21">
        <f t="shared" si="10"/>
        <v>337972.82</v>
      </c>
      <c r="H113" s="46">
        <f t="shared" si="11"/>
        <v>226441.79</v>
      </c>
      <c r="I113" s="43">
        <v>337890.3</v>
      </c>
      <c r="J113" s="43">
        <f t="shared" si="17"/>
        <v>82.520000000018626</v>
      </c>
      <c r="K113" s="43"/>
      <c r="L113">
        <f t="shared" si="12"/>
        <v>0</v>
      </c>
      <c r="M113">
        <v>308</v>
      </c>
      <c r="N113">
        <v>1</v>
      </c>
      <c r="O113" s="7" t="s">
        <v>647</v>
      </c>
      <c r="P113" s="6">
        <v>3884423.44</v>
      </c>
      <c r="Q113" s="6">
        <v>-337890.3</v>
      </c>
      <c r="R113" s="17">
        <f t="shared" si="13"/>
        <v>-8.6999999999999994E-2</v>
      </c>
      <c r="S113" s="6">
        <f t="shared" si="18"/>
        <v>337890.3</v>
      </c>
      <c r="T113" s="6">
        <f t="shared" si="19"/>
        <v>226386.5</v>
      </c>
    </row>
    <row r="114" spans="1:20" x14ac:dyDescent="0.2">
      <c r="A114">
        <v>309</v>
      </c>
      <c r="B114">
        <v>1</v>
      </c>
      <c r="C114" s="7" t="s">
        <v>107</v>
      </c>
      <c r="D114" s="21">
        <v>11177399.99</v>
      </c>
      <c r="E114" s="21">
        <v>-972514.31</v>
      </c>
      <c r="F114" s="17">
        <f t="shared" si="16"/>
        <v>-8.7007203000000005E-2</v>
      </c>
      <c r="G114" s="21">
        <f t="shared" si="10"/>
        <v>972514.31</v>
      </c>
      <c r="H114" s="46">
        <f t="shared" si="11"/>
        <v>651584.59</v>
      </c>
      <c r="I114" s="43">
        <v>972276.86</v>
      </c>
      <c r="J114" s="43">
        <f t="shared" si="17"/>
        <v>237.45000000006985</v>
      </c>
      <c r="K114" s="43"/>
      <c r="L114">
        <f t="shared" si="12"/>
        <v>0</v>
      </c>
      <c r="M114">
        <v>309</v>
      </c>
      <c r="N114">
        <v>1</v>
      </c>
      <c r="O114" s="7" t="s">
        <v>648</v>
      </c>
      <c r="P114" s="6">
        <v>11177399.99</v>
      </c>
      <c r="Q114" s="6">
        <v>-972276.86</v>
      </c>
      <c r="R114" s="17">
        <f t="shared" si="13"/>
        <v>-8.6999999999999994E-2</v>
      </c>
      <c r="S114" s="6">
        <f t="shared" si="18"/>
        <v>972276.86</v>
      </c>
      <c r="T114" s="6">
        <f t="shared" si="19"/>
        <v>651425.5</v>
      </c>
    </row>
    <row r="115" spans="1:20" x14ac:dyDescent="0.2">
      <c r="A115">
        <v>314</v>
      </c>
      <c r="B115">
        <v>1</v>
      </c>
      <c r="C115" s="7" t="s">
        <v>108</v>
      </c>
      <c r="D115" s="21">
        <v>6399664.2999999998</v>
      </c>
      <c r="E115" s="21">
        <v>-556816.89</v>
      </c>
      <c r="F115" s="17">
        <f t="shared" si="16"/>
        <v>-8.7007202899999997E-2</v>
      </c>
      <c r="G115" s="21">
        <f t="shared" si="10"/>
        <v>556816.89</v>
      </c>
      <c r="H115" s="46">
        <f t="shared" si="11"/>
        <v>373067.32</v>
      </c>
      <c r="I115" s="43">
        <v>556680.93999999994</v>
      </c>
      <c r="J115" s="43">
        <f t="shared" si="17"/>
        <v>135.95000000006985</v>
      </c>
      <c r="K115" s="43"/>
      <c r="L115">
        <f t="shared" si="12"/>
        <v>0</v>
      </c>
      <c r="M115">
        <v>314</v>
      </c>
      <c r="N115">
        <v>1</v>
      </c>
      <c r="O115" s="7" t="s">
        <v>649</v>
      </c>
      <c r="P115" s="6">
        <v>6399664.2999999998</v>
      </c>
      <c r="Q115" s="6">
        <v>-556680.93999999994</v>
      </c>
      <c r="R115" s="17">
        <f t="shared" si="13"/>
        <v>-8.6999999999999994E-2</v>
      </c>
      <c r="S115" s="6">
        <f t="shared" si="18"/>
        <v>556680.93999999994</v>
      </c>
      <c r="T115" s="6">
        <f t="shared" si="19"/>
        <v>372976.23</v>
      </c>
    </row>
    <row r="116" spans="1:20" x14ac:dyDescent="0.2">
      <c r="A116">
        <v>316</v>
      </c>
      <c r="B116">
        <v>1</v>
      </c>
      <c r="C116" s="7" t="s">
        <v>109</v>
      </c>
      <c r="D116" s="21">
        <v>8233106.9100000001</v>
      </c>
      <c r="E116" s="21">
        <v>-716339.6</v>
      </c>
      <c r="F116" s="17">
        <f t="shared" si="16"/>
        <v>-8.7007202500000005E-2</v>
      </c>
      <c r="G116" s="21">
        <f t="shared" si="10"/>
        <v>716339.6</v>
      </c>
      <c r="H116" s="46">
        <f t="shared" si="11"/>
        <v>479947.53</v>
      </c>
      <c r="I116" s="43">
        <v>716164.7</v>
      </c>
      <c r="J116" s="43">
        <f t="shared" si="17"/>
        <v>174.90000000002328</v>
      </c>
      <c r="K116" s="43"/>
      <c r="L116">
        <f t="shared" si="12"/>
        <v>0</v>
      </c>
      <c r="M116">
        <v>316</v>
      </c>
      <c r="N116">
        <v>1</v>
      </c>
      <c r="O116" s="7" t="s">
        <v>650</v>
      </c>
      <c r="P116" s="6">
        <v>8233106.9100000001</v>
      </c>
      <c r="Q116" s="6">
        <v>-716164.7</v>
      </c>
      <c r="R116" s="17">
        <f t="shared" si="13"/>
        <v>-8.6999999999999994E-2</v>
      </c>
      <c r="S116" s="6">
        <f t="shared" si="18"/>
        <v>716164.7</v>
      </c>
      <c r="T116" s="6">
        <f t="shared" si="19"/>
        <v>479830.35</v>
      </c>
    </row>
    <row r="117" spans="1:20" x14ac:dyDescent="0.2">
      <c r="A117">
        <v>317</v>
      </c>
      <c r="B117">
        <v>1</v>
      </c>
      <c r="C117" s="7" t="s">
        <v>110</v>
      </c>
      <c r="D117" s="21">
        <v>7217422.3099999996</v>
      </c>
      <c r="E117" s="21">
        <v>-627967.73</v>
      </c>
      <c r="F117" s="17">
        <f t="shared" si="16"/>
        <v>-8.7007203300000002E-2</v>
      </c>
      <c r="G117" s="21">
        <f t="shared" si="10"/>
        <v>627967.73</v>
      </c>
      <c r="H117" s="46">
        <f t="shared" si="11"/>
        <v>420738.38</v>
      </c>
      <c r="I117" s="43">
        <v>627814.40000000002</v>
      </c>
      <c r="J117" s="43">
        <f t="shared" si="17"/>
        <v>153.32999999995809</v>
      </c>
      <c r="K117" s="43"/>
      <c r="L117">
        <f t="shared" si="12"/>
        <v>0</v>
      </c>
      <c r="M117">
        <v>317</v>
      </c>
      <c r="N117">
        <v>1</v>
      </c>
      <c r="O117" s="7" t="s">
        <v>651</v>
      </c>
      <c r="P117" s="6">
        <v>7217422.3099999996</v>
      </c>
      <c r="Q117" s="6">
        <v>-627814.40000000002</v>
      </c>
      <c r="R117" s="17">
        <f t="shared" si="13"/>
        <v>-8.6999999999999994E-2</v>
      </c>
      <c r="S117" s="6">
        <f t="shared" si="18"/>
        <v>627814.40000000002</v>
      </c>
      <c r="T117" s="6">
        <f t="shared" si="19"/>
        <v>420635.65</v>
      </c>
    </row>
    <row r="118" spans="1:20" x14ac:dyDescent="0.2">
      <c r="A118">
        <v>318</v>
      </c>
      <c r="B118">
        <v>1</v>
      </c>
      <c r="C118" s="7" t="s">
        <v>111</v>
      </c>
      <c r="D118" s="21">
        <v>26819494.870000001</v>
      </c>
      <c r="E118" s="21">
        <v>-2333489.2200000002</v>
      </c>
      <c r="F118" s="17">
        <f t="shared" si="16"/>
        <v>-8.7007202500000005E-2</v>
      </c>
      <c r="G118" s="21">
        <f t="shared" si="10"/>
        <v>2333489.2200000002</v>
      </c>
      <c r="H118" s="46">
        <f t="shared" si="11"/>
        <v>1563437.78</v>
      </c>
      <c r="I118" s="43">
        <v>2332919.48</v>
      </c>
      <c r="J118" s="43">
        <f t="shared" si="17"/>
        <v>569.74000000022352</v>
      </c>
      <c r="K118" s="43"/>
      <c r="L118">
        <f t="shared" si="12"/>
        <v>0</v>
      </c>
      <c r="M118">
        <v>318</v>
      </c>
      <c r="N118">
        <v>1</v>
      </c>
      <c r="O118" s="7" t="s">
        <v>652</v>
      </c>
      <c r="P118" s="6">
        <v>26819494.870000001</v>
      </c>
      <c r="Q118" s="6">
        <v>-2332919.48</v>
      </c>
      <c r="R118" s="17">
        <f t="shared" si="13"/>
        <v>-8.6999999999999994E-2</v>
      </c>
      <c r="S118" s="6">
        <f t="shared" si="18"/>
        <v>2332919.48</v>
      </c>
      <c r="T118" s="6">
        <f t="shared" si="19"/>
        <v>1563056.05</v>
      </c>
    </row>
    <row r="119" spans="1:20" x14ac:dyDescent="0.2">
      <c r="A119">
        <v>319</v>
      </c>
      <c r="B119">
        <v>1</v>
      </c>
      <c r="C119" s="7" t="s">
        <v>112</v>
      </c>
      <c r="D119" s="21">
        <v>4504709.0599999996</v>
      </c>
      <c r="E119" s="21">
        <v>-391942.13</v>
      </c>
      <c r="F119" s="17">
        <f t="shared" si="16"/>
        <v>-8.7007201699999995E-2</v>
      </c>
      <c r="G119" s="21">
        <f t="shared" si="10"/>
        <v>391942.13</v>
      </c>
      <c r="H119" s="46">
        <f t="shared" si="11"/>
        <v>262601.23</v>
      </c>
      <c r="I119" s="43">
        <v>391846.44</v>
      </c>
      <c r="J119" s="43">
        <f t="shared" si="17"/>
        <v>95.690000000002328</v>
      </c>
      <c r="K119" s="43"/>
      <c r="L119">
        <f t="shared" si="12"/>
        <v>0</v>
      </c>
      <c r="M119">
        <v>319</v>
      </c>
      <c r="N119">
        <v>1</v>
      </c>
      <c r="O119" s="7" t="s">
        <v>653</v>
      </c>
      <c r="P119" s="6">
        <v>4504709.0599999996</v>
      </c>
      <c r="Q119" s="6">
        <v>-391846.44</v>
      </c>
      <c r="R119" s="17">
        <f t="shared" si="13"/>
        <v>-8.6999999999999994E-2</v>
      </c>
      <c r="S119" s="6">
        <f t="shared" si="18"/>
        <v>391846.44</v>
      </c>
      <c r="T119" s="6">
        <f t="shared" si="19"/>
        <v>262537.11</v>
      </c>
    </row>
    <row r="120" spans="1:20" x14ac:dyDescent="0.2">
      <c r="A120">
        <v>323</v>
      </c>
      <c r="B120">
        <v>2</v>
      </c>
      <c r="C120" s="7" t="s">
        <v>113</v>
      </c>
      <c r="D120" s="21">
        <v>217007.94</v>
      </c>
      <c r="E120" s="21">
        <v>-18881.25</v>
      </c>
      <c r="F120" s="17">
        <f t="shared" si="16"/>
        <v>-8.7007185099999995E-2</v>
      </c>
      <c r="G120" s="21">
        <f t="shared" si="10"/>
        <v>18881.25</v>
      </c>
      <c r="H120" s="46">
        <f t="shared" si="11"/>
        <v>12650.44</v>
      </c>
      <c r="I120" s="43">
        <v>18876.64</v>
      </c>
      <c r="J120" s="43">
        <f t="shared" si="17"/>
        <v>4.6100000000005821</v>
      </c>
      <c r="K120" s="43"/>
      <c r="L120">
        <f t="shared" si="12"/>
        <v>0</v>
      </c>
      <c r="M120">
        <v>323</v>
      </c>
      <c r="N120">
        <v>2</v>
      </c>
      <c r="O120" s="7" t="s">
        <v>654</v>
      </c>
      <c r="P120" s="6">
        <v>217007.94</v>
      </c>
      <c r="Q120" s="6">
        <v>-18876.64</v>
      </c>
      <c r="R120" s="17">
        <f t="shared" si="13"/>
        <v>-8.6999999999999994E-2</v>
      </c>
      <c r="S120" s="6">
        <f t="shared" si="18"/>
        <v>18876.64</v>
      </c>
      <c r="T120" s="6">
        <f t="shared" si="19"/>
        <v>12647.35</v>
      </c>
    </row>
    <row r="121" spans="1:20" x14ac:dyDescent="0.2">
      <c r="A121">
        <v>330</v>
      </c>
      <c r="B121">
        <v>1</v>
      </c>
      <c r="C121" s="7" t="s">
        <v>114</v>
      </c>
      <c r="D121" s="21">
        <v>2560127.5</v>
      </c>
      <c r="E121" s="21">
        <v>-222749.53</v>
      </c>
      <c r="F121" s="17">
        <f t="shared" si="16"/>
        <v>-8.7007201800000003E-2</v>
      </c>
      <c r="G121" s="21">
        <f t="shared" si="10"/>
        <v>222749.53</v>
      </c>
      <c r="H121" s="46">
        <f t="shared" si="11"/>
        <v>149242.19</v>
      </c>
      <c r="I121" s="43">
        <v>222695.15</v>
      </c>
      <c r="J121" s="43">
        <f t="shared" si="17"/>
        <v>54.380000000004657</v>
      </c>
      <c r="K121" s="43"/>
      <c r="L121">
        <f t="shared" si="12"/>
        <v>0</v>
      </c>
      <c r="M121">
        <v>330</v>
      </c>
      <c r="N121">
        <v>1</v>
      </c>
      <c r="O121" s="7" t="s">
        <v>655</v>
      </c>
      <c r="P121" s="6">
        <v>2560127.5</v>
      </c>
      <c r="Q121" s="6">
        <v>-222695.15</v>
      </c>
      <c r="R121" s="17">
        <f t="shared" si="13"/>
        <v>-8.6999999999999994E-2</v>
      </c>
      <c r="S121" s="6">
        <f t="shared" si="18"/>
        <v>222695.15</v>
      </c>
      <c r="T121" s="6">
        <f t="shared" si="19"/>
        <v>149205.75</v>
      </c>
    </row>
    <row r="122" spans="1:20" x14ac:dyDescent="0.2">
      <c r="A122">
        <v>332</v>
      </c>
      <c r="B122">
        <v>1</v>
      </c>
      <c r="C122" s="7" t="s">
        <v>115</v>
      </c>
      <c r="D122" s="21">
        <v>12738160.710000001</v>
      </c>
      <c r="E122" s="21">
        <v>-1108311.73</v>
      </c>
      <c r="F122" s="17">
        <f t="shared" si="16"/>
        <v>-8.70072026E-2</v>
      </c>
      <c r="G122" s="21">
        <f t="shared" si="10"/>
        <v>1108311.73</v>
      </c>
      <c r="H122" s="46">
        <f t="shared" si="11"/>
        <v>742568.86</v>
      </c>
      <c r="I122" s="43">
        <v>1108041.1299999999</v>
      </c>
      <c r="J122" s="43">
        <f t="shared" si="17"/>
        <v>270.60000000009313</v>
      </c>
      <c r="K122" s="43"/>
      <c r="L122">
        <f t="shared" si="12"/>
        <v>0</v>
      </c>
      <c r="M122">
        <v>332</v>
      </c>
      <c r="N122">
        <v>1</v>
      </c>
      <c r="O122" s="7" t="s">
        <v>656</v>
      </c>
      <c r="P122" s="6">
        <v>12738160.710000001</v>
      </c>
      <c r="Q122" s="6">
        <v>-1108041.1299999999</v>
      </c>
      <c r="R122" s="17">
        <f t="shared" si="13"/>
        <v>-8.6999999999999994E-2</v>
      </c>
      <c r="S122" s="6">
        <f t="shared" si="18"/>
        <v>1108041.1299999999</v>
      </c>
      <c r="T122" s="6">
        <f t="shared" si="19"/>
        <v>742387.56</v>
      </c>
    </row>
    <row r="123" spans="1:20" x14ac:dyDescent="0.2">
      <c r="A123">
        <v>333</v>
      </c>
      <c r="B123">
        <v>1</v>
      </c>
      <c r="C123" s="7" t="s">
        <v>116</v>
      </c>
      <c r="D123" s="21">
        <v>4420792.7</v>
      </c>
      <c r="E123" s="21">
        <v>-384640.81</v>
      </c>
      <c r="F123" s="17">
        <f t="shared" si="16"/>
        <v>-8.7007203500000005E-2</v>
      </c>
      <c r="G123" s="21">
        <f t="shared" si="10"/>
        <v>384640.81</v>
      </c>
      <c r="H123" s="46">
        <f t="shared" si="11"/>
        <v>257709.34</v>
      </c>
      <c r="I123" s="43">
        <v>384546.89</v>
      </c>
      <c r="J123" s="43">
        <f t="shared" si="17"/>
        <v>93.919999999983702</v>
      </c>
      <c r="K123" s="43"/>
      <c r="L123">
        <f t="shared" si="12"/>
        <v>0</v>
      </c>
      <c r="M123">
        <v>333</v>
      </c>
      <c r="N123">
        <v>1</v>
      </c>
      <c r="O123" s="7" t="s">
        <v>657</v>
      </c>
      <c r="P123" s="6">
        <v>4420792.7</v>
      </c>
      <c r="Q123" s="6">
        <v>-384546.89</v>
      </c>
      <c r="R123" s="17">
        <f t="shared" si="13"/>
        <v>-8.6999999999999994E-2</v>
      </c>
      <c r="S123" s="6">
        <f t="shared" si="18"/>
        <v>384546.89</v>
      </c>
      <c r="T123" s="6">
        <f t="shared" si="19"/>
        <v>257646.42</v>
      </c>
    </row>
    <row r="124" spans="1:20" x14ac:dyDescent="0.2">
      <c r="A124">
        <v>345</v>
      </c>
      <c r="B124">
        <v>1</v>
      </c>
      <c r="C124" s="7" t="s">
        <v>117</v>
      </c>
      <c r="D124" s="21">
        <v>10401678.189999999</v>
      </c>
      <c r="E124" s="21">
        <v>-905020.92</v>
      </c>
      <c r="F124" s="17">
        <f t="shared" si="16"/>
        <v>-8.7007202399999997E-2</v>
      </c>
      <c r="G124" s="21">
        <f t="shared" si="10"/>
        <v>905020.92</v>
      </c>
      <c r="H124" s="46">
        <f t="shared" si="11"/>
        <v>606364.02</v>
      </c>
      <c r="I124" s="43">
        <v>904799.95</v>
      </c>
      <c r="J124" s="43">
        <f t="shared" si="17"/>
        <v>220.97000000008848</v>
      </c>
      <c r="K124" s="43"/>
      <c r="L124">
        <f t="shared" si="12"/>
        <v>0</v>
      </c>
      <c r="M124">
        <v>345</v>
      </c>
      <c r="N124">
        <v>1</v>
      </c>
      <c r="O124" s="7" t="s">
        <v>658</v>
      </c>
      <c r="P124" s="6">
        <v>10401678.189999999</v>
      </c>
      <c r="Q124" s="6">
        <v>-904799.95</v>
      </c>
      <c r="R124" s="17">
        <f t="shared" si="13"/>
        <v>-8.6999999999999994E-2</v>
      </c>
      <c r="S124" s="6">
        <f t="shared" si="18"/>
        <v>904799.95</v>
      </c>
      <c r="T124" s="6">
        <f t="shared" si="19"/>
        <v>606215.97</v>
      </c>
    </row>
    <row r="125" spans="1:20" x14ac:dyDescent="0.2">
      <c r="A125">
        <v>347</v>
      </c>
      <c r="B125">
        <v>1</v>
      </c>
      <c r="C125" s="7" t="s">
        <v>118</v>
      </c>
      <c r="D125" s="21">
        <v>29359812.899999999</v>
      </c>
      <c r="E125" s="21">
        <v>-2554515.19</v>
      </c>
      <c r="F125" s="17">
        <f t="shared" si="16"/>
        <v>-8.70072026E-2</v>
      </c>
      <c r="G125" s="21">
        <f t="shared" si="10"/>
        <v>2554515.19</v>
      </c>
      <c r="H125" s="46">
        <f t="shared" si="11"/>
        <v>1711525.18</v>
      </c>
      <c r="I125" s="43">
        <v>2553891.48</v>
      </c>
      <c r="J125" s="43">
        <f t="shared" si="17"/>
        <v>623.70999999996275</v>
      </c>
      <c r="K125" s="43"/>
      <c r="L125">
        <f t="shared" si="12"/>
        <v>0</v>
      </c>
      <c r="M125">
        <v>347</v>
      </c>
      <c r="N125">
        <v>1</v>
      </c>
      <c r="O125" s="7" t="s">
        <v>659</v>
      </c>
      <c r="P125" s="6">
        <v>29359812.899999999</v>
      </c>
      <c r="Q125" s="6">
        <v>-2553891.48</v>
      </c>
      <c r="R125" s="17">
        <f t="shared" si="13"/>
        <v>-8.6999999999999994E-2</v>
      </c>
      <c r="S125" s="6">
        <f t="shared" si="18"/>
        <v>2553891.48</v>
      </c>
      <c r="T125" s="6">
        <f t="shared" si="19"/>
        <v>1711107.29</v>
      </c>
    </row>
    <row r="126" spans="1:20" x14ac:dyDescent="0.2">
      <c r="A126">
        <v>356</v>
      </c>
      <c r="B126">
        <v>1</v>
      </c>
      <c r="C126" s="7" t="s">
        <v>119</v>
      </c>
      <c r="D126" s="21">
        <v>1626425.79</v>
      </c>
      <c r="E126" s="21">
        <v>-141510.76</v>
      </c>
      <c r="F126" s="17">
        <f t="shared" si="16"/>
        <v>-8.7007203699999994E-2</v>
      </c>
      <c r="G126" s="21">
        <f t="shared" si="10"/>
        <v>141510.76</v>
      </c>
      <c r="H126" s="46">
        <f t="shared" si="11"/>
        <v>94812.21</v>
      </c>
      <c r="I126" s="43">
        <v>141476.21</v>
      </c>
      <c r="J126" s="43">
        <f t="shared" si="17"/>
        <v>34.550000000017462</v>
      </c>
      <c r="K126" s="43"/>
      <c r="L126">
        <f t="shared" si="12"/>
        <v>0</v>
      </c>
      <c r="M126">
        <v>356</v>
      </c>
      <c r="N126">
        <v>1</v>
      </c>
      <c r="O126" s="7" t="s">
        <v>660</v>
      </c>
      <c r="P126" s="6">
        <v>1626425.79</v>
      </c>
      <c r="Q126" s="6">
        <v>-141476.21</v>
      </c>
      <c r="R126" s="17">
        <f t="shared" si="13"/>
        <v>-8.6999999999999994E-2</v>
      </c>
      <c r="S126" s="6">
        <f t="shared" si="18"/>
        <v>141476.21</v>
      </c>
      <c r="T126" s="6">
        <f t="shared" si="19"/>
        <v>94789.06</v>
      </c>
    </row>
    <row r="127" spans="1:20" x14ac:dyDescent="0.2">
      <c r="A127">
        <v>361</v>
      </c>
      <c r="B127">
        <v>1</v>
      </c>
      <c r="C127" s="7" t="s">
        <v>120</v>
      </c>
      <c r="D127" s="21">
        <v>9422960.7200000007</v>
      </c>
      <c r="E127" s="21">
        <v>-819865.45</v>
      </c>
      <c r="F127" s="17">
        <f t="shared" si="16"/>
        <v>-8.7007202300000003E-2</v>
      </c>
      <c r="G127" s="21">
        <f t="shared" si="10"/>
        <v>819865.45</v>
      </c>
      <c r="H127" s="46">
        <f t="shared" si="11"/>
        <v>549309.85</v>
      </c>
      <c r="I127" s="43">
        <v>819665.28</v>
      </c>
      <c r="J127" s="43">
        <f t="shared" si="17"/>
        <v>200.16999999992549</v>
      </c>
      <c r="K127" s="43"/>
      <c r="L127">
        <f t="shared" si="12"/>
        <v>0</v>
      </c>
      <c r="M127">
        <v>361</v>
      </c>
      <c r="N127">
        <v>1</v>
      </c>
      <c r="O127" s="7" t="s">
        <v>661</v>
      </c>
      <c r="P127" s="6">
        <v>9422960.7200000007</v>
      </c>
      <c r="Q127" s="6">
        <v>-819665.28</v>
      </c>
      <c r="R127" s="17">
        <f t="shared" si="13"/>
        <v>-8.6999999999999994E-2</v>
      </c>
      <c r="S127" s="6">
        <f t="shared" si="18"/>
        <v>819665.28</v>
      </c>
      <c r="T127" s="6">
        <f t="shared" si="19"/>
        <v>549175.74</v>
      </c>
    </row>
    <row r="128" spans="1:20" x14ac:dyDescent="0.2">
      <c r="A128">
        <v>362</v>
      </c>
      <c r="B128">
        <v>1</v>
      </c>
      <c r="C128" s="7" t="s">
        <v>121</v>
      </c>
      <c r="D128" s="21">
        <v>3087047.56</v>
      </c>
      <c r="E128" s="21">
        <v>-268595.37</v>
      </c>
      <c r="F128" s="17">
        <f t="shared" si="16"/>
        <v>-8.7007201800000003E-2</v>
      </c>
      <c r="G128" s="21">
        <f t="shared" si="10"/>
        <v>268595.37</v>
      </c>
      <c r="H128" s="46">
        <f t="shared" si="11"/>
        <v>179958.9</v>
      </c>
      <c r="I128" s="43">
        <v>268529.78999999998</v>
      </c>
      <c r="J128" s="43">
        <f t="shared" si="17"/>
        <v>65.580000000016298</v>
      </c>
      <c r="K128" s="43"/>
      <c r="L128">
        <f t="shared" si="12"/>
        <v>0</v>
      </c>
      <c r="M128">
        <v>362</v>
      </c>
      <c r="N128">
        <v>1</v>
      </c>
      <c r="O128" s="7" t="s">
        <v>662</v>
      </c>
      <c r="P128" s="6">
        <v>3087047.56</v>
      </c>
      <c r="Q128" s="6">
        <v>-268529.78999999998</v>
      </c>
      <c r="R128" s="17">
        <f t="shared" si="13"/>
        <v>-8.6999999999999994E-2</v>
      </c>
      <c r="S128" s="6">
        <f t="shared" si="18"/>
        <v>268529.78999999998</v>
      </c>
      <c r="T128" s="6">
        <f t="shared" si="19"/>
        <v>179914.96</v>
      </c>
    </row>
    <row r="129" spans="1:20" x14ac:dyDescent="0.2">
      <c r="A129">
        <v>363</v>
      </c>
      <c r="B129">
        <v>1</v>
      </c>
      <c r="C129" s="7" t="s">
        <v>122</v>
      </c>
      <c r="D129" s="21">
        <v>4076213.88</v>
      </c>
      <c r="E129" s="21">
        <v>-354659.97</v>
      </c>
      <c r="F129" s="17">
        <f t="shared" si="16"/>
        <v>-8.7007203399999997E-2</v>
      </c>
      <c r="G129" s="21">
        <f t="shared" si="10"/>
        <v>354659.97</v>
      </c>
      <c r="H129" s="46">
        <f t="shared" si="11"/>
        <v>237622.18</v>
      </c>
      <c r="I129" s="43">
        <v>354573.37</v>
      </c>
      <c r="J129" s="43">
        <f t="shared" si="17"/>
        <v>86.599999999976717</v>
      </c>
      <c r="K129" s="43"/>
      <c r="L129">
        <f t="shared" si="12"/>
        <v>0</v>
      </c>
      <c r="M129">
        <v>363</v>
      </c>
      <c r="N129">
        <v>1</v>
      </c>
      <c r="O129" s="7" t="s">
        <v>663</v>
      </c>
      <c r="P129" s="6">
        <v>4076213.88</v>
      </c>
      <c r="Q129" s="6">
        <v>-354573.37</v>
      </c>
      <c r="R129" s="17">
        <f t="shared" si="13"/>
        <v>-8.6999999999999994E-2</v>
      </c>
      <c r="S129" s="6">
        <f t="shared" si="18"/>
        <v>354573.37</v>
      </c>
      <c r="T129" s="6">
        <f t="shared" si="19"/>
        <v>237564.16</v>
      </c>
    </row>
    <row r="130" spans="1:20" x14ac:dyDescent="0.2">
      <c r="A130">
        <v>378</v>
      </c>
      <c r="B130">
        <v>1</v>
      </c>
      <c r="C130" s="7" t="s">
        <v>123</v>
      </c>
      <c r="D130" s="21">
        <v>3531957.89</v>
      </c>
      <c r="E130" s="21">
        <v>-307305.78000000003</v>
      </c>
      <c r="F130" s="17">
        <f t="shared" si="16"/>
        <v>-8.7007203800000002E-2</v>
      </c>
      <c r="G130" s="21">
        <f t="shared" si="10"/>
        <v>307305.78000000003</v>
      </c>
      <c r="H130" s="46">
        <f t="shared" si="11"/>
        <v>205894.87</v>
      </c>
      <c r="I130" s="43">
        <v>307230.74</v>
      </c>
      <c r="J130" s="43">
        <f t="shared" si="17"/>
        <v>75.040000000037253</v>
      </c>
      <c r="K130" s="43"/>
      <c r="L130">
        <f t="shared" si="12"/>
        <v>0</v>
      </c>
      <c r="M130">
        <v>378</v>
      </c>
      <c r="N130">
        <v>1</v>
      </c>
      <c r="O130" s="7" t="s">
        <v>665</v>
      </c>
      <c r="P130" s="6">
        <v>3531957.89</v>
      </c>
      <c r="Q130" s="6">
        <v>-307230.74</v>
      </c>
      <c r="R130" s="17">
        <f t="shared" si="13"/>
        <v>-8.6999999999999994E-2</v>
      </c>
      <c r="S130" s="6">
        <f t="shared" si="18"/>
        <v>307230.74</v>
      </c>
      <c r="T130" s="6">
        <f t="shared" si="19"/>
        <v>205844.6</v>
      </c>
    </row>
    <row r="131" spans="1:20" x14ac:dyDescent="0.2">
      <c r="A131">
        <v>381</v>
      </c>
      <c r="B131">
        <v>1</v>
      </c>
      <c r="C131" s="7" t="s">
        <v>124</v>
      </c>
      <c r="D131" s="21">
        <v>11052067.960000001</v>
      </c>
      <c r="E131" s="21">
        <v>-961609.52</v>
      </c>
      <c r="F131" s="17">
        <f t="shared" si="16"/>
        <v>-8.7007202899999997E-2</v>
      </c>
      <c r="G131" s="21">
        <f t="shared" si="10"/>
        <v>961609.52</v>
      </c>
      <c r="H131" s="46">
        <f t="shared" si="11"/>
        <v>644278.38</v>
      </c>
      <c r="I131" s="43">
        <v>961374.73</v>
      </c>
      <c r="J131" s="43">
        <f t="shared" si="17"/>
        <v>234.79000000003725</v>
      </c>
      <c r="K131" s="43"/>
      <c r="L131">
        <f t="shared" si="12"/>
        <v>0</v>
      </c>
      <c r="M131">
        <v>381</v>
      </c>
      <c r="N131">
        <v>1</v>
      </c>
      <c r="O131" s="7" t="s">
        <v>666</v>
      </c>
      <c r="P131" s="6">
        <v>11052067.960000001</v>
      </c>
      <c r="Q131" s="6">
        <v>-961374.73</v>
      </c>
      <c r="R131" s="17">
        <f t="shared" si="13"/>
        <v>-8.6999999999999994E-2</v>
      </c>
      <c r="S131" s="6">
        <f t="shared" si="18"/>
        <v>961374.73</v>
      </c>
      <c r="T131" s="6">
        <f t="shared" si="19"/>
        <v>644121.06999999995</v>
      </c>
    </row>
    <row r="132" spans="1:20" x14ac:dyDescent="0.2">
      <c r="A132">
        <v>390</v>
      </c>
      <c r="B132">
        <v>1</v>
      </c>
      <c r="C132" s="7" t="s">
        <v>125</v>
      </c>
      <c r="D132" s="21">
        <v>4422877.1500000004</v>
      </c>
      <c r="E132" s="21">
        <v>-384822.17</v>
      </c>
      <c r="F132" s="17">
        <f t="shared" si="16"/>
        <v>-8.7007203000000005E-2</v>
      </c>
      <c r="G132" s="21">
        <f t="shared" si="10"/>
        <v>384822.17</v>
      </c>
      <c r="H132" s="46">
        <f t="shared" si="11"/>
        <v>257830.85</v>
      </c>
      <c r="I132" s="43">
        <v>384728.21</v>
      </c>
      <c r="J132" s="43">
        <f t="shared" si="17"/>
        <v>93.959999999962747</v>
      </c>
      <c r="K132" s="43"/>
      <c r="L132">
        <f t="shared" si="12"/>
        <v>0</v>
      </c>
      <c r="M132">
        <v>390</v>
      </c>
      <c r="N132">
        <v>1</v>
      </c>
      <c r="O132" s="7" t="s">
        <v>667</v>
      </c>
      <c r="P132" s="6">
        <v>4422877.1500000004</v>
      </c>
      <c r="Q132" s="6">
        <v>-384728.21</v>
      </c>
      <c r="R132" s="17">
        <f t="shared" si="13"/>
        <v>-8.6999999999999994E-2</v>
      </c>
      <c r="S132" s="6">
        <f t="shared" si="18"/>
        <v>384728.21</v>
      </c>
      <c r="T132" s="6">
        <f t="shared" si="19"/>
        <v>257767.9</v>
      </c>
    </row>
    <row r="133" spans="1:20" x14ac:dyDescent="0.2">
      <c r="A133">
        <v>391</v>
      </c>
      <c r="B133">
        <v>1</v>
      </c>
      <c r="C133" s="7" t="s">
        <v>126</v>
      </c>
      <c r="D133" s="21">
        <v>2798971.7</v>
      </c>
      <c r="E133" s="21">
        <v>-243530.7</v>
      </c>
      <c r="F133" s="17">
        <f t="shared" si="16"/>
        <v>-8.7007203399999997E-2</v>
      </c>
      <c r="G133" s="21">
        <f t="shared" si="10"/>
        <v>243530.7</v>
      </c>
      <c r="H133" s="46">
        <f t="shared" si="11"/>
        <v>163165.57</v>
      </c>
      <c r="I133" s="43">
        <v>243471.24</v>
      </c>
      <c r="J133" s="43">
        <f t="shared" si="17"/>
        <v>59.460000000020955</v>
      </c>
      <c r="K133" s="43"/>
      <c r="L133">
        <f t="shared" si="12"/>
        <v>0</v>
      </c>
      <c r="M133">
        <v>391</v>
      </c>
      <c r="N133">
        <v>1</v>
      </c>
      <c r="O133" s="7" t="s">
        <v>668</v>
      </c>
      <c r="P133" s="6">
        <v>2798971.7</v>
      </c>
      <c r="Q133" s="6">
        <v>-243471.24</v>
      </c>
      <c r="R133" s="17">
        <f t="shared" si="13"/>
        <v>-8.6999999999999994E-2</v>
      </c>
      <c r="S133" s="6">
        <f t="shared" si="18"/>
        <v>243471.24</v>
      </c>
      <c r="T133" s="6">
        <f t="shared" si="19"/>
        <v>163125.73000000001</v>
      </c>
    </row>
    <row r="134" spans="1:20" x14ac:dyDescent="0.2">
      <c r="A134">
        <v>392</v>
      </c>
      <c r="B134">
        <v>1</v>
      </c>
      <c r="C134" s="7" t="s">
        <v>127</v>
      </c>
      <c r="D134" s="21">
        <v>4551734.74</v>
      </c>
      <c r="E134" s="21">
        <v>-396033.71</v>
      </c>
      <c r="F134" s="17">
        <f t="shared" si="16"/>
        <v>-8.7007203300000002E-2</v>
      </c>
      <c r="G134" s="21">
        <f t="shared" si="10"/>
        <v>396033.71</v>
      </c>
      <c r="H134" s="46">
        <f t="shared" si="11"/>
        <v>265342.59000000003</v>
      </c>
      <c r="I134" s="43">
        <v>395937.01</v>
      </c>
      <c r="J134" s="43">
        <f t="shared" si="17"/>
        <v>96.700000000011642</v>
      </c>
      <c r="K134" s="43"/>
      <c r="L134">
        <f t="shared" si="12"/>
        <v>0</v>
      </c>
      <c r="M134">
        <v>392</v>
      </c>
      <c r="N134">
        <v>1</v>
      </c>
      <c r="O134" s="7" t="s">
        <v>669</v>
      </c>
      <c r="P134" s="6">
        <v>4551734.74</v>
      </c>
      <c r="Q134" s="6">
        <v>-395937.01</v>
      </c>
      <c r="R134" s="17">
        <f t="shared" si="13"/>
        <v>-8.6999999999999994E-2</v>
      </c>
      <c r="S134" s="6">
        <f t="shared" si="18"/>
        <v>395937.01</v>
      </c>
      <c r="T134" s="6">
        <f t="shared" si="19"/>
        <v>265277.8</v>
      </c>
    </row>
    <row r="135" spans="1:20" x14ac:dyDescent="0.2">
      <c r="A135">
        <v>394</v>
      </c>
      <c r="B135">
        <v>1</v>
      </c>
      <c r="C135" s="7" t="s">
        <v>128</v>
      </c>
      <c r="D135" s="21">
        <v>7140942.3399999999</v>
      </c>
      <c r="E135" s="21">
        <v>-621313.42000000004</v>
      </c>
      <c r="F135" s="17">
        <f t="shared" si="16"/>
        <v>-8.7007203000000005E-2</v>
      </c>
      <c r="G135" s="21">
        <f t="shared" si="10"/>
        <v>621313.42000000004</v>
      </c>
      <c r="H135" s="46">
        <f t="shared" si="11"/>
        <v>416279.99</v>
      </c>
      <c r="I135" s="43">
        <v>621161.72</v>
      </c>
      <c r="J135" s="43">
        <f t="shared" si="17"/>
        <v>151.70000000006985</v>
      </c>
      <c r="K135" s="43"/>
      <c r="L135">
        <f t="shared" si="12"/>
        <v>0</v>
      </c>
      <c r="M135">
        <v>394</v>
      </c>
      <c r="N135">
        <v>1</v>
      </c>
      <c r="O135" s="7" t="s">
        <v>670</v>
      </c>
      <c r="P135" s="6">
        <v>7140942.3399999999</v>
      </c>
      <c r="Q135" s="6">
        <v>-621161.72</v>
      </c>
      <c r="R135" s="17">
        <f t="shared" si="13"/>
        <v>-8.6999999999999994E-2</v>
      </c>
      <c r="S135" s="6">
        <f t="shared" si="18"/>
        <v>621161.72</v>
      </c>
      <c r="T135" s="6">
        <f t="shared" si="19"/>
        <v>416178.35</v>
      </c>
    </row>
    <row r="136" spans="1:20" x14ac:dyDescent="0.2">
      <c r="A136">
        <v>402</v>
      </c>
      <c r="B136">
        <v>1</v>
      </c>
      <c r="C136" s="7" t="s">
        <v>129</v>
      </c>
      <c r="D136" s="21">
        <v>1196663.1299999999</v>
      </c>
      <c r="E136" s="21">
        <v>-104118.31</v>
      </c>
      <c r="F136" s="17">
        <f t="shared" si="16"/>
        <v>-8.7007201399999998E-2</v>
      </c>
      <c r="G136" s="21">
        <f t="shared" si="10"/>
        <v>104118.31</v>
      </c>
      <c r="H136" s="46">
        <f t="shared" si="11"/>
        <v>69759.27</v>
      </c>
      <c r="I136" s="43">
        <v>104092.89</v>
      </c>
      <c r="J136" s="43">
        <f t="shared" si="17"/>
        <v>25.419999999998254</v>
      </c>
      <c r="K136" s="43"/>
      <c r="L136">
        <f t="shared" si="12"/>
        <v>0</v>
      </c>
      <c r="M136">
        <v>402</v>
      </c>
      <c r="N136">
        <v>1</v>
      </c>
      <c r="O136" s="7" t="s">
        <v>671</v>
      </c>
      <c r="P136" s="6">
        <v>1196663.1299999999</v>
      </c>
      <c r="Q136" s="6">
        <v>-104092.89</v>
      </c>
      <c r="R136" s="17">
        <f t="shared" si="13"/>
        <v>-8.6999999999999994E-2</v>
      </c>
      <c r="S136" s="6">
        <f t="shared" si="18"/>
        <v>104092.89</v>
      </c>
      <c r="T136" s="6">
        <f t="shared" si="19"/>
        <v>69742.240000000005</v>
      </c>
    </row>
    <row r="137" spans="1:20" x14ac:dyDescent="0.2">
      <c r="A137">
        <v>403</v>
      </c>
      <c r="B137">
        <v>1</v>
      </c>
      <c r="C137" s="7" t="s">
        <v>130</v>
      </c>
      <c r="D137" s="21">
        <v>1318825.54</v>
      </c>
      <c r="E137" s="21">
        <v>-114747.32</v>
      </c>
      <c r="F137" s="17">
        <f t="shared" si="16"/>
        <v>-8.7007201899999997E-2</v>
      </c>
      <c r="G137" s="21">
        <f t="shared" si="10"/>
        <v>114747.32</v>
      </c>
      <c r="H137" s="46">
        <f t="shared" si="11"/>
        <v>76880.7</v>
      </c>
      <c r="I137" s="43">
        <v>114719.3</v>
      </c>
      <c r="J137" s="43">
        <f t="shared" si="17"/>
        <v>28.020000000004075</v>
      </c>
      <c r="K137" s="43"/>
      <c r="L137">
        <f t="shared" si="12"/>
        <v>0</v>
      </c>
      <c r="M137">
        <v>403</v>
      </c>
      <c r="N137">
        <v>1</v>
      </c>
      <c r="O137" s="7" t="s">
        <v>672</v>
      </c>
      <c r="P137" s="6">
        <v>1318825.54</v>
      </c>
      <c r="Q137" s="6">
        <v>-114719.3</v>
      </c>
      <c r="R137" s="17">
        <f t="shared" si="13"/>
        <v>-8.6999999999999994E-2</v>
      </c>
      <c r="S137" s="6">
        <f t="shared" si="18"/>
        <v>114719.3</v>
      </c>
      <c r="T137" s="6">
        <f t="shared" si="19"/>
        <v>76861.929999999993</v>
      </c>
    </row>
    <row r="138" spans="1:20" x14ac:dyDescent="0.2">
      <c r="A138">
        <v>404</v>
      </c>
      <c r="B138">
        <v>1</v>
      </c>
      <c r="C138" s="7" t="s">
        <v>131</v>
      </c>
      <c r="D138" s="21">
        <v>1399461.63</v>
      </c>
      <c r="E138" s="21">
        <v>-121763.24</v>
      </c>
      <c r="F138" s="17">
        <f t="shared" si="16"/>
        <v>-8.7007201500000006E-2</v>
      </c>
      <c r="G138" s="21">
        <f t="shared" si="10"/>
        <v>121763.24</v>
      </c>
      <c r="H138" s="46">
        <f t="shared" si="11"/>
        <v>81581.37</v>
      </c>
      <c r="I138" s="43">
        <v>121733.51</v>
      </c>
      <c r="J138" s="43">
        <f t="shared" si="17"/>
        <v>29.730000000010477</v>
      </c>
      <c r="K138" s="43"/>
      <c r="L138">
        <f t="shared" si="12"/>
        <v>0</v>
      </c>
      <c r="M138">
        <v>404</v>
      </c>
      <c r="N138">
        <v>1</v>
      </c>
      <c r="O138" s="7" t="s">
        <v>673</v>
      </c>
      <c r="P138" s="6">
        <v>1399461.63</v>
      </c>
      <c r="Q138" s="6">
        <v>-121733.51</v>
      </c>
      <c r="R138" s="17">
        <f t="shared" si="13"/>
        <v>-8.6999999999999994E-2</v>
      </c>
      <c r="S138" s="6">
        <f t="shared" si="18"/>
        <v>121733.51</v>
      </c>
      <c r="T138" s="6">
        <f t="shared" si="19"/>
        <v>81561.45</v>
      </c>
    </row>
    <row r="139" spans="1:20" x14ac:dyDescent="0.2">
      <c r="A139">
        <v>413</v>
      </c>
      <c r="B139">
        <v>1</v>
      </c>
      <c r="C139" s="7" t="s">
        <v>132</v>
      </c>
      <c r="D139" s="21">
        <v>15409387.460000001</v>
      </c>
      <c r="E139" s="21">
        <v>-1340727.7</v>
      </c>
      <c r="F139" s="17">
        <f t="shared" si="16"/>
        <v>-8.7007202800000003E-2</v>
      </c>
      <c r="G139" s="21">
        <f t="shared" si="10"/>
        <v>1340727.7</v>
      </c>
      <c r="H139" s="46">
        <f t="shared" si="11"/>
        <v>898287.56</v>
      </c>
      <c r="I139" s="43">
        <v>1340400.3500000001</v>
      </c>
      <c r="J139" s="43">
        <f t="shared" si="17"/>
        <v>327.3499999998603</v>
      </c>
      <c r="K139" s="43"/>
      <c r="L139">
        <f t="shared" si="12"/>
        <v>0</v>
      </c>
      <c r="M139">
        <v>413</v>
      </c>
      <c r="N139">
        <v>1</v>
      </c>
      <c r="O139" s="7" t="s">
        <v>675</v>
      </c>
      <c r="P139" s="6">
        <v>15409387.460000001</v>
      </c>
      <c r="Q139" s="6">
        <v>-1340400.3500000001</v>
      </c>
      <c r="R139" s="17">
        <f t="shared" si="13"/>
        <v>-8.6999999999999994E-2</v>
      </c>
      <c r="S139" s="6">
        <f t="shared" si="18"/>
        <v>1340400.3500000001</v>
      </c>
      <c r="T139" s="6">
        <f t="shared" si="19"/>
        <v>898068.23</v>
      </c>
    </row>
    <row r="140" spans="1:20" x14ac:dyDescent="0.2">
      <c r="A140">
        <v>414</v>
      </c>
      <c r="B140">
        <v>1</v>
      </c>
      <c r="C140" s="7" t="s">
        <v>133</v>
      </c>
      <c r="D140" s="21">
        <v>3266306.58</v>
      </c>
      <c r="E140" s="21">
        <v>-284192.2</v>
      </c>
      <c r="F140" s="17">
        <f t="shared" si="16"/>
        <v>-8.70072031E-2</v>
      </c>
      <c r="G140" s="21">
        <f t="shared" si="10"/>
        <v>284192.2</v>
      </c>
      <c r="H140" s="46">
        <f t="shared" si="11"/>
        <v>190408.77</v>
      </c>
      <c r="I140" s="43">
        <v>284122.81</v>
      </c>
      <c r="J140" s="43">
        <f t="shared" si="17"/>
        <v>69.39000000001397</v>
      </c>
      <c r="K140" s="43"/>
      <c r="L140">
        <f t="shared" si="12"/>
        <v>0</v>
      </c>
      <c r="M140">
        <v>414</v>
      </c>
      <c r="N140">
        <v>1</v>
      </c>
      <c r="O140" s="7" t="s">
        <v>676</v>
      </c>
      <c r="P140" s="6">
        <v>3266306.58</v>
      </c>
      <c r="Q140" s="6">
        <v>-284122.81</v>
      </c>
      <c r="R140" s="17">
        <f t="shared" si="13"/>
        <v>-8.6999999999999994E-2</v>
      </c>
      <c r="S140" s="6">
        <f t="shared" si="18"/>
        <v>284122.81</v>
      </c>
      <c r="T140" s="6">
        <f t="shared" si="19"/>
        <v>190362.28</v>
      </c>
    </row>
    <row r="141" spans="1:20" x14ac:dyDescent="0.2">
      <c r="A141">
        <v>415</v>
      </c>
      <c r="B141">
        <v>1</v>
      </c>
      <c r="C141" s="7" t="s">
        <v>134</v>
      </c>
      <c r="D141" s="21">
        <v>1275318.8600000001</v>
      </c>
      <c r="E141" s="21">
        <v>-110961.93</v>
      </c>
      <c r="F141" s="17">
        <f t="shared" si="16"/>
        <v>-8.7007205399999996E-2</v>
      </c>
      <c r="G141" s="21">
        <f t="shared" si="10"/>
        <v>110961.93</v>
      </c>
      <c r="H141" s="46">
        <f t="shared" si="11"/>
        <v>74344.490000000005</v>
      </c>
      <c r="I141" s="43">
        <v>110934.83</v>
      </c>
      <c r="J141" s="43">
        <f t="shared" si="17"/>
        <v>27.099999999991269</v>
      </c>
      <c r="K141" s="43"/>
      <c r="L141">
        <f t="shared" si="12"/>
        <v>0</v>
      </c>
      <c r="M141">
        <v>415</v>
      </c>
      <c r="N141">
        <v>1</v>
      </c>
      <c r="O141" s="7" t="s">
        <v>677</v>
      </c>
      <c r="P141" s="6">
        <v>1275318.8600000001</v>
      </c>
      <c r="Q141" s="6">
        <v>-110934.83</v>
      </c>
      <c r="R141" s="17">
        <f t="shared" si="13"/>
        <v>-8.6999999999999994E-2</v>
      </c>
      <c r="S141" s="6">
        <f t="shared" si="18"/>
        <v>110934.83</v>
      </c>
      <c r="T141" s="6">
        <f t="shared" si="19"/>
        <v>74326.34</v>
      </c>
    </row>
    <row r="142" spans="1:20" x14ac:dyDescent="0.2">
      <c r="A142">
        <v>423</v>
      </c>
      <c r="B142">
        <v>1</v>
      </c>
      <c r="C142" s="7" t="s">
        <v>135</v>
      </c>
      <c r="D142" s="21">
        <v>19405960.469999999</v>
      </c>
      <c r="E142" s="21">
        <v>-1688458.33</v>
      </c>
      <c r="F142" s="17">
        <f t="shared" si="16"/>
        <v>-8.7007202399999997E-2</v>
      </c>
      <c r="G142" s="21">
        <f t="shared" ref="G142:G205" si="20">E142*-1</f>
        <v>1688458.33</v>
      </c>
      <c r="H142" s="46">
        <f t="shared" ref="H142:H205" si="21">ROUND(G142*0.67,2)</f>
        <v>1131267.08</v>
      </c>
      <c r="I142" s="43">
        <v>1688046.08</v>
      </c>
      <c r="J142" s="43">
        <f t="shared" si="17"/>
        <v>412.25</v>
      </c>
      <c r="K142" s="43"/>
      <c r="L142">
        <f t="shared" ref="L142:L205" si="22">M142-A142</f>
        <v>0</v>
      </c>
      <c r="M142">
        <v>423</v>
      </c>
      <c r="N142">
        <v>1</v>
      </c>
      <c r="O142" s="7" t="s">
        <v>679</v>
      </c>
      <c r="P142" s="6">
        <v>19405960.469999999</v>
      </c>
      <c r="Q142" s="6">
        <v>-1688046.08</v>
      </c>
      <c r="R142" s="17">
        <f t="shared" ref="R142:R205" si="23">IF(P142&gt;0,ROUND(Q142/P142,3),"na   ")</f>
        <v>-8.6999999999999994E-2</v>
      </c>
      <c r="S142" s="6">
        <f t="shared" ref="S142:S173" si="24">Q142*-1</f>
        <v>1688046.08</v>
      </c>
      <c r="T142" s="6">
        <f t="shared" ref="T142:T173" si="25">ROUND(S142*0.67,2)</f>
        <v>1130990.8700000001</v>
      </c>
    </row>
    <row r="143" spans="1:20" x14ac:dyDescent="0.2">
      <c r="A143">
        <v>424</v>
      </c>
      <c r="B143">
        <v>1</v>
      </c>
      <c r="C143" s="7" t="s">
        <v>136</v>
      </c>
      <c r="D143" s="21">
        <v>2963244.29</v>
      </c>
      <c r="E143" s="21">
        <v>-257823.6</v>
      </c>
      <c r="F143" s="17">
        <f t="shared" ref="F143:F206" si="26">IF(D143&gt;0,ROUND(E143/D143,10),"na   ")</f>
        <v>-8.7007203899999996E-2</v>
      </c>
      <c r="G143" s="21">
        <f t="shared" si="20"/>
        <v>257823.6</v>
      </c>
      <c r="H143" s="46">
        <f t="shared" si="21"/>
        <v>172741.81</v>
      </c>
      <c r="I143" s="43">
        <v>257760.65</v>
      </c>
      <c r="J143" s="43">
        <f t="shared" ref="J143:J206" si="27">G143-I143</f>
        <v>62.950000000011642</v>
      </c>
      <c r="K143" s="43"/>
      <c r="L143">
        <f t="shared" si="22"/>
        <v>0</v>
      </c>
      <c r="M143">
        <v>424</v>
      </c>
      <c r="N143">
        <v>1</v>
      </c>
      <c r="O143" s="7" t="s">
        <v>680</v>
      </c>
      <c r="P143" s="6">
        <v>2963244.29</v>
      </c>
      <c r="Q143" s="6">
        <v>-257760.65</v>
      </c>
      <c r="R143" s="17">
        <f t="shared" si="23"/>
        <v>-8.6999999999999994E-2</v>
      </c>
      <c r="S143" s="6">
        <f t="shared" si="24"/>
        <v>257760.65</v>
      </c>
      <c r="T143" s="6">
        <f t="shared" si="25"/>
        <v>172699.64</v>
      </c>
    </row>
    <row r="144" spans="1:20" x14ac:dyDescent="0.2">
      <c r="A144">
        <v>432</v>
      </c>
      <c r="B144">
        <v>1</v>
      </c>
      <c r="C144" s="7" t="s">
        <v>137</v>
      </c>
      <c r="D144" s="21">
        <v>5400865.3300000001</v>
      </c>
      <c r="E144" s="21">
        <v>-469914.18</v>
      </c>
      <c r="F144" s="17">
        <f t="shared" si="26"/>
        <v>-8.7007201899999997E-2</v>
      </c>
      <c r="G144" s="21">
        <f t="shared" si="20"/>
        <v>469914.18</v>
      </c>
      <c r="H144" s="46">
        <f t="shared" si="21"/>
        <v>314842.5</v>
      </c>
      <c r="I144" s="43">
        <v>469799.45</v>
      </c>
      <c r="J144" s="43">
        <f t="shared" si="27"/>
        <v>114.72999999998137</v>
      </c>
      <c r="K144" s="43"/>
      <c r="L144">
        <f t="shared" si="22"/>
        <v>0</v>
      </c>
      <c r="M144">
        <v>432</v>
      </c>
      <c r="N144">
        <v>1</v>
      </c>
      <c r="O144" s="7" t="s">
        <v>681</v>
      </c>
      <c r="P144" s="6">
        <v>5400865.3300000001</v>
      </c>
      <c r="Q144" s="6">
        <v>-469799.45</v>
      </c>
      <c r="R144" s="17">
        <f t="shared" si="23"/>
        <v>-8.6999999999999994E-2</v>
      </c>
      <c r="S144" s="6">
        <f t="shared" si="24"/>
        <v>469799.45</v>
      </c>
      <c r="T144" s="6">
        <f t="shared" si="25"/>
        <v>314765.63</v>
      </c>
    </row>
    <row r="145" spans="1:20" x14ac:dyDescent="0.2">
      <c r="A145">
        <v>435</v>
      </c>
      <c r="B145">
        <v>1</v>
      </c>
      <c r="C145" s="7" t="s">
        <v>138</v>
      </c>
      <c r="D145" s="21">
        <v>5138450.3099999996</v>
      </c>
      <c r="E145" s="21">
        <v>-447082.19</v>
      </c>
      <c r="F145" s="17">
        <f t="shared" si="26"/>
        <v>-8.7007203199999994E-2</v>
      </c>
      <c r="G145" s="21">
        <f t="shared" si="20"/>
        <v>447082.19</v>
      </c>
      <c r="H145" s="46">
        <f t="shared" si="21"/>
        <v>299545.07</v>
      </c>
      <c r="I145" s="43">
        <v>446973.03</v>
      </c>
      <c r="J145" s="43">
        <f t="shared" si="27"/>
        <v>109.15999999997439</v>
      </c>
      <c r="K145" s="43"/>
      <c r="L145">
        <f t="shared" si="22"/>
        <v>0</v>
      </c>
      <c r="M145">
        <v>435</v>
      </c>
      <c r="N145">
        <v>1</v>
      </c>
      <c r="O145" s="7" t="s">
        <v>682</v>
      </c>
      <c r="P145" s="6">
        <v>5138450.3099999996</v>
      </c>
      <c r="Q145" s="6">
        <v>-446973.03</v>
      </c>
      <c r="R145" s="17">
        <f t="shared" si="23"/>
        <v>-8.6999999999999994E-2</v>
      </c>
      <c r="S145" s="6">
        <f t="shared" si="24"/>
        <v>446973.03</v>
      </c>
      <c r="T145" s="6">
        <f t="shared" si="25"/>
        <v>299471.93</v>
      </c>
    </row>
    <row r="146" spans="1:20" x14ac:dyDescent="0.2">
      <c r="A146">
        <v>441</v>
      </c>
      <c r="B146">
        <v>1</v>
      </c>
      <c r="C146" s="7" t="s">
        <v>139</v>
      </c>
      <c r="D146" s="21">
        <v>3070229.57</v>
      </c>
      <c r="E146" s="21">
        <v>-267132.09000000003</v>
      </c>
      <c r="F146" s="17">
        <f t="shared" si="26"/>
        <v>-8.7007203800000002E-2</v>
      </c>
      <c r="G146" s="21">
        <f t="shared" si="20"/>
        <v>267132.09000000003</v>
      </c>
      <c r="H146" s="46">
        <f t="shared" si="21"/>
        <v>178978.5</v>
      </c>
      <c r="I146" s="43">
        <v>267066.86</v>
      </c>
      <c r="J146" s="43">
        <f t="shared" si="27"/>
        <v>65.230000000039581</v>
      </c>
      <c r="K146" s="43"/>
      <c r="L146">
        <f t="shared" si="22"/>
        <v>0</v>
      </c>
      <c r="M146">
        <v>441</v>
      </c>
      <c r="N146">
        <v>1</v>
      </c>
      <c r="O146" s="7" t="s">
        <v>683</v>
      </c>
      <c r="P146" s="6">
        <v>3070229.57</v>
      </c>
      <c r="Q146" s="6">
        <v>-267066.86</v>
      </c>
      <c r="R146" s="17">
        <f t="shared" si="23"/>
        <v>-8.6999999999999994E-2</v>
      </c>
      <c r="S146" s="6">
        <f t="shared" si="24"/>
        <v>267066.86</v>
      </c>
      <c r="T146" s="6">
        <f t="shared" si="25"/>
        <v>178934.8</v>
      </c>
    </row>
    <row r="147" spans="1:20" x14ac:dyDescent="0.2">
      <c r="A147">
        <v>447</v>
      </c>
      <c r="B147">
        <v>1</v>
      </c>
      <c r="C147" s="7" t="s">
        <v>140</v>
      </c>
      <c r="D147" s="21">
        <v>2165896.7999999998</v>
      </c>
      <c r="E147" s="21">
        <v>-188448.62</v>
      </c>
      <c r="F147" s="17">
        <f t="shared" si="26"/>
        <v>-8.7007201800000003E-2</v>
      </c>
      <c r="G147" s="21">
        <f t="shared" si="20"/>
        <v>188448.62</v>
      </c>
      <c r="H147" s="46">
        <f t="shared" si="21"/>
        <v>126260.58</v>
      </c>
      <c r="I147" s="43">
        <v>188402.61</v>
      </c>
      <c r="J147" s="43">
        <f t="shared" si="27"/>
        <v>46.010000000009313</v>
      </c>
      <c r="K147" s="43"/>
      <c r="L147">
        <f t="shared" si="22"/>
        <v>0</v>
      </c>
      <c r="M147">
        <v>447</v>
      </c>
      <c r="N147">
        <v>1</v>
      </c>
      <c r="O147" s="7" t="s">
        <v>684</v>
      </c>
      <c r="P147" s="6">
        <v>2165896.7999999998</v>
      </c>
      <c r="Q147" s="6">
        <v>-188402.61</v>
      </c>
      <c r="R147" s="17">
        <f t="shared" si="23"/>
        <v>-8.6999999999999994E-2</v>
      </c>
      <c r="S147" s="6">
        <f t="shared" si="24"/>
        <v>188402.61</v>
      </c>
      <c r="T147" s="6">
        <f t="shared" si="25"/>
        <v>126229.75</v>
      </c>
    </row>
    <row r="148" spans="1:20" x14ac:dyDescent="0.2">
      <c r="A148">
        <v>458</v>
      </c>
      <c r="B148">
        <v>1</v>
      </c>
      <c r="C148" s="7" t="s">
        <v>141</v>
      </c>
      <c r="D148" s="21">
        <v>2373910.94</v>
      </c>
      <c r="E148" s="21">
        <v>-206547.35</v>
      </c>
      <c r="F148" s="17">
        <f t="shared" si="26"/>
        <v>-8.70072026E-2</v>
      </c>
      <c r="G148" s="21">
        <f t="shared" si="20"/>
        <v>206547.35</v>
      </c>
      <c r="H148" s="46">
        <f t="shared" si="21"/>
        <v>138386.72</v>
      </c>
      <c r="I148" s="43">
        <v>206496.92</v>
      </c>
      <c r="J148" s="43">
        <f t="shared" si="27"/>
        <v>50.429999999993015</v>
      </c>
      <c r="K148" s="43"/>
      <c r="L148">
        <f t="shared" si="22"/>
        <v>0</v>
      </c>
      <c r="M148">
        <v>458</v>
      </c>
      <c r="N148">
        <v>1</v>
      </c>
      <c r="O148" s="7" t="s">
        <v>685</v>
      </c>
      <c r="P148" s="6">
        <v>2373910.94</v>
      </c>
      <c r="Q148" s="6">
        <v>-206496.92</v>
      </c>
      <c r="R148" s="17">
        <f t="shared" si="23"/>
        <v>-8.6999999999999994E-2</v>
      </c>
      <c r="S148" s="6">
        <f t="shared" si="24"/>
        <v>206496.92</v>
      </c>
      <c r="T148" s="6">
        <f t="shared" si="25"/>
        <v>138352.94</v>
      </c>
    </row>
    <row r="149" spans="1:20" x14ac:dyDescent="0.2">
      <c r="A149">
        <v>463</v>
      </c>
      <c r="B149">
        <v>1</v>
      </c>
      <c r="C149" s="7" t="s">
        <v>142</v>
      </c>
      <c r="D149" s="21">
        <v>5901165.3200000003</v>
      </c>
      <c r="E149" s="21">
        <v>-513443.89</v>
      </c>
      <c r="F149" s="17">
        <f t="shared" si="26"/>
        <v>-8.7007203199999994E-2</v>
      </c>
      <c r="G149" s="21">
        <f t="shared" si="20"/>
        <v>513443.89</v>
      </c>
      <c r="H149" s="46">
        <f t="shared" si="21"/>
        <v>344007.41</v>
      </c>
      <c r="I149" s="43">
        <v>513318.53</v>
      </c>
      <c r="J149" s="43">
        <f t="shared" si="27"/>
        <v>125.35999999998603</v>
      </c>
      <c r="K149" s="43"/>
      <c r="L149">
        <f t="shared" si="22"/>
        <v>0</v>
      </c>
      <c r="M149">
        <v>463</v>
      </c>
      <c r="N149">
        <v>1</v>
      </c>
      <c r="O149" s="7" t="s">
        <v>686</v>
      </c>
      <c r="P149" s="6">
        <v>5901165.3200000003</v>
      </c>
      <c r="Q149" s="6">
        <v>-513318.53</v>
      </c>
      <c r="R149" s="17">
        <f t="shared" si="23"/>
        <v>-8.6999999999999994E-2</v>
      </c>
      <c r="S149" s="6">
        <f t="shared" si="24"/>
        <v>513318.53</v>
      </c>
      <c r="T149" s="6">
        <f t="shared" si="25"/>
        <v>343923.42</v>
      </c>
    </row>
    <row r="150" spans="1:20" x14ac:dyDescent="0.2">
      <c r="A150">
        <v>465</v>
      </c>
      <c r="B150">
        <v>1</v>
      </c>
      <c r="C150" s="7" t="s">
        <v>143</v>
      </c>
      <c r="D150" s="21">
        <v>11953938.619999999</v>
      </c>
      <c r="E150" s="21">
        <v>-1040078.76</v>
      </c>
      <c r="F150" s="17">
        <f t="shared" si="26"/>
        <v>-8.7007202699999994E-2</v>
      </c>
      <c r="G150" s="21">
        <f t="shared" si="20"/>
        <v>1040078.76</v>
      </c>
      <c r="H150" s="46">
        <f t="shared" si="21"/>
        <v>696852.77</v>
      </c>
      <c r="I150" s="43">
        <v>1039824.82</v>
      </c>
      <c r="J150" s="43">
        <f t="shared" si="27"/>
        <v>253.94000000006054</v>
      </c>
      <c r="K150" s="43"/>
      <c r="L150">
        <f t="shared" si="22"/>
        <v>0</v>
      </c>
      <c r="M150">
        <v>465</v>
      </c>
      <c r="N150">
        <v>1</v>
      </c>
      <c r="O150" s="7" t="s">
        <v>687</v>
      </c>
      <c r="P150" s="6">
        <v>11953938.619999999</v>
      </c>
      <c r="Q150" s="6">
        <v>-1039824.82</v>
      </c>
      <c r="R150" s="17">
        <f t="shared" si="23"/>
        <v>-8.6999999999999994E-2</v>
      </c>
      <c r="S150" s="6">
        <f t="shared" si="24"/>
        <v>1039824.82</v>
      </c>
      <c r="T150" s="6">
        <f t="shared" si="25"/>
        <v>696682.63</v>
      </c>
    </row>
    <row r="151" spans="1:20" x14ac:dyDescent="0.2">
      <c r="A151">
        <v>466</v>
      </c>
      <c r="B151">
        <v>1</v>
      </c>
      <c r="C151" s="7" t="s">
        <v>144</v>
      </c>
      <c r="D151" s="21">
        <v>15363156.119999999</v>
      </c>
      <c r="E151" s="21">
        <v>-1336705.24</v>
      </c>
      <c r="F151" s="17">
        <f t="shared" si="26"/>
        <v>-8.7007202800000003E-2</v>
      </c>
      <c r="G151" s="21">
        <f t="shared" si="20"/>
        <v>1336705.24</v>
      </c>
      <c r="H151" s="46">
        <f t="shared" si="21"/>
        <v>895592.51</v>
      </c>
      <c r="I151" s="43">
        <v>1336378.8700000001</v>
      </c>
      <c r="J151" s="43">
        <f t="shared" si="27"/>
        <v>326.36999999987893</v>
      </c>
      <c r="K151" s="43"/>
      <c r="L151">
        <f t="shared" si="22"/>
        <v>0</v>
      </c>
      <c r="M151">
        <v>466</v>
      </c>
      <c r="N151">
        <v>1</v>
      </c>
      <c r="O151" s="7" t="s">
        <v>688</v>
      </c>
      <c r="P151" s="6">
        <v>15363156.119999999</v>
      </c>
      <c r="Q151" s="6">
        <v>-1336378.8700000001</v>
      </c>
      <c r="R151" s="17">
        <f t="shared" si="23"/>
        <v>-8.6999999999999994E-2</v>
      </c>
      <c r="S151" s="6">
        <f t="shared" si="24"/>
        <v>1336378.8700000001</v>
      </c>
      <c r="T151" s="6">
        <f t="shared" si="25"/>
        <v>895373.84</v>
      </c>
    </row>
    <row r="152" spans="1:20" x14ac:dyDescent="0.2">
      <c r="A152">
        <v>473</v>
      </c>
      <c r="B152">
        <v>1</v>
      </c>
      <c r="C152" s="7" t="s">
        <v>145</v>
      </c>
      <c r="D152" s="21">
        <v>4122487.57</v>
      </c>
      <c r="E152" s="21">
        <v>-358686.11</v>
      </c>
      <c r="F152" s="17">
        <f t="shared" si="26"/>
        <v>-8.7007202300000003E-2</v>
      </c>
      <c r="G152" s="21">
        <f t="shared" si="20"/>
        <v>358686.11</v>
      </c>
      <c r="H152" s="46">
        <f t="shared" si="21"/>
        <v>240319.69</v>
      </c>
      <c r="I152" s="43">
        <v>358598.54</v>
      </c>
      <c r="J152" s="43">
        <f t="shared" si="27"/>
        <v>87.570000000006985</v>
      </c>
      <c r="K152" s="43"/>
      <c r="L152">
        <f t="shared" si="22"/>
        <v>0</v>
      </c>
      <c r="M152">
        <v>473</v>
      </c>
      <c r="N152">
        <v>1</v>
      </c>
      <c r="O152" s="7" t="s">
        <v>689</v>
      </c>
      <c r="P152" s="6">
        <v>4122487.57</v>
      </c>
      <c r="Q152" s="6">
        <v>-358598.54</v>
      </c>
      <c r="R152" s="17">
        <f t="shared" si="23"/>
        <v>-8.6999999999999994E-2</v>
      </c>
      <c r="S152" s="6">
        <f t="shared" si="24"/>
        <v>358598.54</v>
      </c>
      <c r="T152" s="6">
        <f t="shared" si="25"/>
        <v>240261.02</v>
      </c>
    </row>
    <row r="153" spans="1:20" x14ac:dyDescent="0.2">
      <c r="A153">
        <v>477</v>
      </c>
      <c r="B153">
        <v>1</v>
      </c>
      <c r="C153" s="7" t="s">
        <v>146</v>
      </c>
      <c r="D153" s="21">
        <v>23360544.699999999</v>
      </c>
      <c r="E153" s="21">
        <v>-2032535.65</v>
      </c>
      <c r="F153" s="17">
        <f t="shared" si="26"/>
        <v>-8.7007202800000003E-2</v>
      </c>
      <c r="G153" s="21">
        <f t="shared" si="20"/>
        <v>2032535.65</v>
      </c>
      <c r="H153" s="46">
        <f t="shared" si="21"/>
        <v>1361798.89</v>
      </c>
      <c r="I153" s="43">
        <v>2032039.39</v>
      </c>
      <c r="J153" s="43">
        <f t="shared" si="27"/>
        <v>496.26000000000931</v>
      </c>
      <c r="K153" s="43"/>
      <c r="L153">
        <f t="shared" si="22"/>
        <v>0</v>
      </c>
      <c r="M153">
        <v>477</v>
      </c>
      <c r="N153">
        <v>1</v>
      </c>
      <c r="O153" s="7" t="s">
        <v>690</v>
      </c>
      <c r="P153" s="6">
        <v>23360544.699999999</v>
      </c>
      <c r="Q153" s="6">
        <v>-2032039.39</v>
      </c>
      <c r="R153" s="17">
        <f t="shared" si="23"/>
        <v>-8.6999999999999994E-2</v>
      </c>
      <c r="S153" s="6">
        <f t="shared" si="24"/>
        <v>2032039.39</v>
      </c>
      <c r="T153" s="6">
        <f t="shared" si="25"/>
        <v>1361466.39</v>
      </c>
    </row>
    <row r="154" spans="1:20" x14ac:dyDescent="0.2">
      <c r="A154">
        <v>480</v>
      </c>
      <c r="B154">
        <v>1</v>
      </c>
      <c r="C154" s="7" t="s">
        <v>147</v>
      </c>
      <c r="D154" s="21">
        <v>5628118.6200000001</v>
      </c>
      <c r="E154" s="21">
        <v>-489686.86</v>
      </c>
      <c r="F154" s="17">
        <f t="shared" si="26"/>
        <v>-8.70072031E-2</v>
      </c>
      <c r="G154" s="21">
        <f t="shared" si="20"/>
        <v>489686.86</v>
      </c>
      <c r="H154" s="46">
        <f t="shared" si="21"/>
        <v>328090.2</v>
      </c>
      <c r="I154" s="43">
        <v>489567.3</v>
      </c>
      <c r="J154" s="43">
        <f t="shared" si="27"/>
        <v>119.55999999999767</v>
      </c>
      <c r="K154" s="43"/>
      <c r="L154">
        <f t="shared" si="22"/>
        <v>0</v>
      </c>
      <c r="M154">
        <v>480</v>
      </c>
      <c r="N154">
        <v>1</v>
      </c>
      <c r="O154" s="7" t="s">
        <v>691</v>
      </c>
      <c r="P154" s="6">
        <v>5628118.6200000001</v>
      </c>
      <c r="Q154" s="6">
        <v>-489567.3</v>
      </c>
      <c r="R154" s="17">
        <f t="shared" si="23"/>
        <v>-8.6999999999999994E-2</v>
      </c>
      <c r="S154" s="6">
        <f t="shared" si="24"/>
        <v>489567.3</v>
      </c>
      <c r="T154" s="6">
        <f t="shared" si="25"/>
        <v>328010.09000000003</v>
      </c>
    </row>
    <row r="155" spans="1:20" x14ac:dyDescent="0.2">
      <c r="A155">
        <v>482</v>
      </c>
      <c r="B155">
        <v>1</v>
      </c>
      <c r="C155" s="7" t="s">
        <v>148</v>
      </c>
      <c r="D155" s="21">
        <v>17487219.68</v>
      </c>
      <c r="E155" s="21">
        <v>-1521514.07</v>
      </c>
      <c r="F155" s="17">
        <f t="shared" si="26"/>
        <v>-8.7007202899999997E-2</v>
      </c>
      <c r="G155" s="21">
        <f t="shared" si="20"/>
        <v>1521514.07</v>
      </c>
      <c r="H155" s="46">
        <f t="shared" si="21"/>
        <v>1019414.43</v>
      </c>
      <c r="I155" s="43">
        <v>1521142.58</v>
      </c>
      <c r="J155" s="43">
        <f t="shared" si="27"/>
        <v>371.48999999999069</v>
      </c>
      <c r="K155" s="43"/>
      <c r="L155">
        <f t="shared" si="22"/>
        <v>0</v>
      </c>
      <c r="M155">
        <v>482</v>
      </c>
      <c r="N155">
        <v>1</v>
      </c>
      <c r="O155" s="7" t="s">
        <v>692</v>
      </c>
      <c r="P155" s="6">
        <v>17487219.68</v>
      </c>
      <c r="Q155" s="6">
        <v>-1521142.58</v>
      </c>
      <c r="R155" s="17">
        <f t="shared" si="23"/>
        <v>-8.6999999999999994E-2</v>
      </c>
      <c r="S155" s="6">
        <f t="shared" si="24"/>
        <v>1521142.58</v>
      </c>
      <c r="T155" s="6">
        <f t="shared" si="25"/>
        <v>1019165.53</v>
      </c>
    </row>
    <row r="156" spans="1:20" x14ac:dyDescent="0.2">
      <c r="A156">
        <v>484</v>
      </c>
      <c r="B156">
        <v>1</v>
      </c>
      <c r="C156" s="7" t="s">
        <v>149</v>
      </c>
      <c r="D156" s="21">
        <v>7297465.5899999999</v>
      </c>
      <c r="E156" s="21">
        <v>-634932.06999999995</v>
      </c>
      <c r="F156" s="17">
        <f t="shared" si="26"/>
        <v>-8.7007203000000005E-2</v>
      </c>
      <c r="G156" s="21">
        <f t="shared" si="20"/>
        <v>634932.06999999995</v>
      </c>
      <c r="H156" s="46">
        <f t="shared" si="21"/>
        <v>425404.49</v>
      </c>
      <c r="I156" s="43">
        <v>634777.04</v>
      </c>
      <c r="J156" s="43">
        <f t="shared" si="27"/>
        <v>155.02999999991152</v>
      </c>
      <c r="K156" s="43"/>
      <c r="L156">
        <f t="shared" si="22"/>
        <v>0</v>
      </c>
      <c r="M156">
        <v>484</v>
      </c>
      <c r="N156">
        <v>1</v>
      </c>
      <c r="O156" s="7" t="s">
        <v>693</v>
      </c>
      <c r="P156" s="6">
        <v>7297465.5899999999</v>
      </c>
      <c r="Q156" s="6">
        <v>-634777.04</v>
      </c>
      <c r="R156" s="17">
        <f t="shared" si="23"/>
        <v>-8.6999999999999994E-2</v>
      </c>
      <c r="S156" s="6">
        <f t="shared" si="24"/>
        <v>634777.04</v>
      </c>
      <c r="T156" s="6">
        <f t="shared" si="25"/>
        <v>425300.62</v>
      </c>
    </row>
    <row r="157" spans="1:20" x14ac:dyDescent="0.2">
      <c r="A157">
        <v>485</v>
      </c>
      <c r="B157">
        <v>1</v>
      </c>
      <c r="C157" s="7" t="s">
        <v>150</v>
      </c>
      <c r="D157" s="21">
        <v>4748334.8</v>
      </c>
      <c r="E157" s="21">
        <v>-413139.33</v>
      </c>
      <c r="F157" s="17">
        <f t="shared" si="26"/>
        <v>-8.7007203000000005E-2</v>
      </c>
      <c r="G157" s="21">
        <f t="shared" si="20"/>
        <v>413139.33</v>
      </c>
      <c r="H157" s="46">
        <f t="shared" si="21"/>
        <v>276803.34999999998</v>
      </c>
      <c r="I157" s="43">
        <v>413038.46</v>
      </c>
      <c r="J157" s="43">
        <f t="shared" si="27"/>
        <v>100.86999999999534</v>
      </c>
      <c r="K157" s="43"/>
      <c r="L157">
        <f t="shared" si="22"/>
        <v>0</v>
      </c>
      <c r="M157">
        <v>485</v>
      </c>
      <c r="N157">
        <v>1</v>
      </c>
      <c r="O157" s="7" t="s">
        <v>694</v>
      </c>
      <c r="P157" s="6">
        <v>4748334.8</v>
      </c>
      <c r="Q157" s="6">
        <v>-413038.46</v>
      </c>
      <c r="R157" s="17">
        <f t="shared" si="23"/>
        <v>-8.6999999999999994E-2</v>
      </c>
      <c r="S157" s="6">
        <f t="shared" si="24"/>
        <v>413038.46</v>
      </c>
      <c r="T157" s="6">
        <f t="shared" si="25"/>
        <v>276735.77</v>
      </c>
    </row>
    <row r="158" spans="1:20" x14ac:dyDescent="0.2">
      <c r="A158">
        <v>486</v>
      </c>
      <c r="B158">
        <v>1</v>
      </c>
      <c r="C158" s="7" t="s">
        <v>151</v>
      </c>
      <c r="D158" s="21">
        <v>2477007.79</v>
      </c>
      <c r="E158" s="21">
        <v>-215517.52</v>
      </c>
      <c r="F158" s="17">
        <f t="shared" si="26"/>
        <v>-8.7007203199999994E-2</v>
      </c>
      <c r="G158" s="21">
        <f t="shared" si="20"/>
        <v>215517.52</v>
      </c>
      <c r="H158" s="46">
        <f t="shared" si="21"/>
        <v>144396.74</v>
      </c>
      <c r="I158" s="43">
        <v>215464.9</v>
      </c>
      <c r="J158" s="43">
        <f t="shared" si="27"/>
        <v>52.619999999995343</v>
      </c>
      <c r="K158" s="43"/>
      <c r="L158">
        <f t="shared" si="22"/>
        <v>0</v>
      </c>
      <c r="M158">
        <v>486</v>
      </c>
      <c r="N158">
        <v>1</v>
      </c>
      <c r="O158" s="7" t="s">
        <v>695</v>
      </c>
      <c r="P158" s="6">
        <v>2477007.79</v>
      </c>
      <c r="Q158" s="6">
        <v>-215464.9</v>
      </c>
      <c r="R158" s="17">
        <f t="shared" si="23"/>
        <v>-8.6999999999999994E-2</v>
      </c>
      <c r="S158" s="6">
        <f t="shared" si="24"/>
        <v>215464.9</v>
      </c>
      <c r="T158" s="6">
        <f t="shared" si="25"/>
        <v>144361.48000000001</v>
      </c>
    </row>
    <row r="159" spans="1:20" x14ac:dyDescent="0.2">
      <c r="A159">
        <v>487</v>
      </c>
      <c r="B159">
        <v>1</v>
      </c>
      <c r="C159" s="7" t="s">
        <v>152</v>
      </c>
      <c r="D159" s="21">
        <v>2689076.88</v>
      </c>
      <c r="E159" s="21">
        <v>-233969.06</v>
      </c>
      <c r="F159" s="17">
        <f t="shared" si="26"/>
        <v>-8.7007203800000002E-2</v>
      </c>
      <c r="G159" s="21">
        <f t="shared" si="20"/>
        <v>233969.06</v>
      </c>
      <c r="H159" s="46">
        <f t="shared" si="21"/>
        <v>156759.26999999999</v>
      </c>
      <c r="I159" s="43">
        <v>233911.93</v>
      </c>
      <c r="J159" s="43">
        <f t="shared" si="27"/>
        <v>57.130000000004657</v>
      </c>
      <c r="K159" s="43"/>
      <c r="L159">
        <f t="shared" si="22"/>
        <v>0</v>
      </c>
      <c r="M159">
        <v>487</v>
      </c>
      <c r="N159">
        <v>1</v>
      </c>
      <c r="O159" s="7" t="s">
        <v>696</v>
      </c>
      <c r="P159" s="6">
        <v>2689076.88</v>
      </c>
      <c r="Q159" s="6">
        <v>-233911.93</v>
      </c>
      <c r="R159" s="17">
        <f t="shared" si="23"/>
        <v>-8.6999999999999994E-2</v>
      </c>
      <c r="S159" s="6">
        <f t="shared" si="24"/>
        <v>233911.93</v>
      </c>
      <c r="T159" s="6">
        <f t="shared" si="25"/>
        <v>156720.99</v>
      </c>
    </row>
    <row r="160" spans="1:20" x14ac:dyDescent="0.2">
      <c r="A160">
        <v>492</v>
      </c>
      <c r="B160">
        <v>1</v>
      </c>
      <c r="C160" s="7" t="s">
        <v>153</v>
      </c>
      <c r="D160" s="21">
        <v>30305241.670000002</v>
      </c>
      <c r="E160" s="21">
        <v>-2636774.2999999998</v>
      </c>
      <c r="F160" s="17">
        <f t="shared" si="26"/>
        <v>-8.7007202500000005E-2</v>
      </c>
      <c r="G160" s="21">
        <f t="shared" si="20"/>
        <v>2636774.2999999998</v>
      </c>
      <c r="H160" s="46">
        <f t="shared" si="21"/>
        <v>1766638.78</v>
      </c>
      <c r="I160" s="43">
        <v>2636130.5099999998</v>
      </c>
      <c r="J160" s="43">
        <f t="shared" si="27"/>
        <v>643.79000000003725</v>
      </c>
      <c r="K160" s="43"/>
      <c r="L160">
        <f t="shared" si="22"/>
        <v>0</v>
      </c>
      <c r="M160">
        <v>492</v>
      </c>
      <c r="N160">
        <v>1</v>
      </c>
      <c r="O160" s="7" t="s">
        <v>697</v>
      </c>
      <c r="P160" s="6">
        <v>30305241.670000002</v>
      </c>
      <c r="Q160" s="6">
        <v>-2636130.5099999998</v>
      </c>
      <c r="R160" s="17">
        <f t="shared" si="23"/>
        <v>-8.6999999999999994E-2</v>
      </c>
      <c r="S160" s="6">
        <f t="shared" si="24"/>
        <v>2636130.5099999998</v>
      </c>
      <c r="T160" s="6">
        <f t="shared" si="25"/>
        <v>1766207.44</v>
      </c>
    </row>
    <row r="161" spans="1:20" x14ac:dyDescent="0.2">
      <c r="A161">
        <v>495</v>
      </c>
      <c r="B161">
        <v>1</v>
      </c>
      <c r="C161" s="7" t="s">
        <v>154</v>
      </c>
      <c r="D161" s="21">
        <v>2502616.13</v>
      </c>
      <c r="E161" s="21">
        <v>-217745.63</v>
      </c>
      <c r="F161" s="17">
        <f t="shared" si="26"/>
        <v>-8.70072031E-2</v>
      </c>
      <c r="G161" s="21">
        <f t="shared" si="20"/>
        <v>217745.63</v>
      </c>
      <c r="H161" s="46">
        <f t="shared" si="21"/>
        <v>145889.57</v>
      </c>
      <c r="I161" s="43">
        <v>217692.46</v>
      </c>
      <c r="J161" s="43">
        <f t="shared" si="27"/>
        <v>53.170000000012806</v>
      </c>
      <c r="K161" s="43"/>
      <c r="L161">
        <f t="shared" si="22"/>
        <v>0</v>
      </c>
      <c r="M161">
        <v>495</v>
      </c>
      <c r="N161">
        <v>1</v>
      </c>
      <c r="O161" s="7" t="s">
        <v>698</v>
      </c>
      <c r="P161" s="6">
        <v>2502616.13</v>
      </c>
      <c r="Q161" s="6">
        <v>-217692.46</v>
      </c>
      <c r="R161" s="17">
        <f t="shared" si="23"/>
        <v>-8.6999999999999994E-2</v>
      </c>
      <c r="S161" s="6">
        <f t="shared" si="24"/>
        <v>217692.46</v>
      </c>
      <c r="T161" s="6">
        <f t="shared" si="25"/>
        <v>145853.95000000001</v>
      </c>
    </row>
    <row r="162" spans="1:20" x14ac:dyDescent="0.2">
      <c r="A162">
        <v>497</v>
      </c>
      <c r="B162">
        <v>1</v>
      </c>
      <c r="C162" s="7" t="s">
        <v>155</v>
      </c>
      <c r="D162" s="21">
        <v>1768282.49</v>
      </c>
      <c r="E162" s="21">
        <v>-153853.31</v>
      </c>
      <c r="F162" s="17">
        <f t="shared" si="26"/>
        <v>-8.7007201000000006E-2</v>
      </c>
      <c r="G162" s="21">
        <f t="shared" si="20"/>
        <v>153853.31</v>
      </c>
      <c r="H162" s="46">
        <f t="shared" si="21"/>
        <v>103081.72</v>
      </c>
      <c r="I162" s="43">
        <v>153815.75</v>
      </c>
      <c r="J162" s="43">
        <f t="shared" si="27"/>
        <v>37.559999999997672</v>
      </c>
      <c r="K162" s="43"/>
      <c r="L162">
        <f t="shared" si="22"/>
        <v>0</v>
      </c>
      <c r="M162">
        <v>497</v>
      </c>
      <c r="N162">
        <v>1</v>
      </c>
      <c r="O162" s="7" t="s">
        <v>699</v>
      </c>
      <c r="P162" s="6">
        <v>1768282.49</v>
      </c>
      <c r="Q162" s="6">
        <v>-153815.75</v>
      </c>
      <c r="R162" s="17">
        <f t="shared" si="23"/>
        <v>-8.6999999999999994E-2</v>
      </c>
      <c r="S162" s="6">
        <f t="shared" si="24"/>
        <v>153815.75</v>
      </c>
      <c r="T162" s="6">
        <f t="shared" si="25"/>
        <v>103056.55</v>
      </c>
    </row>
    <row r="163" spans="1:20" x14ac:dyDescent="0.2">
      <c r="A163">
        <v>499</v>
      </c>
      <c r="B163">
        <v>1</v>
      </c>
      <c r="C163" s="7" t="s">
        <v>156</v>
      </c>
      <c r="D163" s="21">
        <v>2111320.92</v>
      </c>
      <c r="E163" s="21">
        <v>-183700.13</v>
      </c>
      <c r="F163" s="17">
        <f t="shared" si="26"/>
        <v>-8.7007204000000005E-2</v>
      </c>
      <c r="G163" s="21">
        <f t="shared" si="20"/>
        <v>183700.13</v>
      </c>
      <c r="H163" s="46">
        <f t="shared" si="21"/>
        <v>123079.09</v>
      </c>
      <c r="I163" s="43">
        <v>183655.28</v>
      </c>
      <c r="J163" s="43">
        <f t="shared" si="27"/>
        <v>44.850000000005821</v>
      </c>
      <c r="K163" s="43"/>
      <c r="L163">
        <f t="shared" si="22"/>
        <v>0</v>
      </c>
      <c r="M163">
        <v>499</v>
      </c>
      <c r="N163">
        <v>1</v>
      </c>
      <c r="O163" s="7" t="s">
        <v>700</v>
      </c>
      <c r="P163" s="6">
        <v>2111320.92</v>
      </c>
      <c r="Q163" s="6">
        <v>-183655.28</v>
      </c>
      <c r="R163" s="17">
        <f t="shared" si="23"/>
        <v>-8.6999999999999994E-2</v>
      </c>
      <c r="S163" s="6">
        <f t="shared" si="24"/>
        <v>183655.28</v>
      </c>
      <c r="T163" s="6">
        <f t="shared" si="25"/>
        <v>123049.04</v>
      </c>
    </row>
    <row r="164" spans="1:20" x14ac:dyDescent="0.2">
      <c r="A164">
        <v>500</v>
      </c>
      <c r="B164">
        <v>1</v>
      </c>
      <c r="C164" s="7" t="s">
        <v>157</v>
      </c>
      <c r="D164" s="21">
        <v>3943722.78</v>
      </c>
      <c r="E164" s="21">
        <v>-343132.29</v>
      </c>
      <c r="F164" s="17">
        <f t="shared" si="26"/>
        <v>-8.7007203399999997E-2</v>
      </c>
      <c r="G164" s="21">
        <f t="shared" si="20"/>
        <v>343132.29</v>
      </c>
      <c r="H164" s="46">
        <f t="shared" si="21"/>
        <v>229898.63</v>
      </c>
      <c r="I164" s="43">
        <v>343048.51</v>
      </c>
      <c r="J164" s="43">
        <f t="shared" si="27"/>
        <v>83.779999999969732</v>
      </c>
      <c r="K164" s="43"/>
      <c r="L164">
        <f t="shared" si="22"/>
        <v>0</v>
      </c>
      <c r="M164">
        <v>500</v>
      </c>
      <c r="N164">
        <v>1</v>
      </c>
      <c r="O164" s="7" t="s">
        <v>701</v>
      </c>
      <c r="P164" s="6">
        <v>3943722.78</v>
      </c>
      <c r="Q164" s="6">
        <v>-343048.51</v>
      </c>
      <c r="R164" s="17">
        <f t="shared" si="23"/>
        <v>-8.6999999999999994E-2</v>
      </c>
      <c r="S164" s="6">
        <f t="shared" si="24"/>
        <v>343048.51</v>
      </c>
      <c r="T164" s="6">
        <f t="shared" si="25"/>
        <v>229842.5</v>
      </c>
    </row>
    <row r="165" spans="1:20" x14ac:dyDescent="0.2">
      <c r="A165">
        <v>505</v>
      </c>
      <c r="B165">
        <v>1</v>
      </c>
      <c r="C165" s="7" t="s">
        <v>158</v>
      </c>
      <c r="D165" s="21">
        <v>2979908.39</v>
      </c>
      <c r="E165" s="21">
        <v>-259273.49</v>
      </c>
      <c r="F165" s="17">
        <f t="shared" si="26"/>
        <v>-8.70072016E-2</v>
      </c>
      <c r="G165" s="21">
        <f t="shared" si="20"/>
        <v>259273.49</v>
      </c>
      <c r="H165" s="46">
        <f t="shared" si="21"/>
        <v>173713.24</v>
      </c>
      <c r="I165" s="43">
        <v>259210.19</v>
      </c>
      <c r="J165" s="43">
        <f t="shared" si="27"/>
        <v>63.299999999988358</v>
      </c>
      <c r="K165" s="43"/>
      <c r="L165">
        <f t="shared" si="22"/>
        <v>0</v>
      </c>
      <c r="M165">
        <v>505</v>
      </c>
      <c r="N165">
        <v>1</v>
      </c>
      <c r="O165" s="7" t="s">
        <v>702</v>
      </c>
      <c r="P165" s="6">
        <v>2979908.39</v>
      </c>
      <c r="Q165" s="6">
        <v>-259210.19</v>
      </c>
      <c r="R165" s="17">
        <f t="shared" si="23"/>
        <v>-8.6999999999999994E-2</v>
      </c>
      <c r="S165" s="6">
        <f t="shared" si="24"/>
        <v>259210.19</v>
      </c>
      <c r="T165" s="6">
        <f t="shared" si="25"/>
        <v>173670.83</v>
      </c>
    </row>
    <row r="166" spans="1:20" x14ac:dyDescent="0.2">
      <c r="A166">
        <v>507</v>
      </c>
      <c r="B166">
        <v>1</v>
      </c>
      <c r="C166" s="7" t="s">
        <v>159</v>
      </c>
      <c r="D166" s="21">
        <v>2057885.38</v>
      </c>
      <c r="E166" s="21">
        <v>-179050.85</v>
      </c>
      <c r="F166" s="17">
        <f t="shared" si="26"/>
        <v>-8.7007202500000005E-2</v>
      </c>
      <c r="G166" s="21">
        <f t="shared" si="20"/>
        <v>179050.85</v>
      </c>
      <c r="H166" s="46">
        <f t="shared" si="21"/>
        <v>119964.07</v>
      </c>
      <c r="I166" s="43">
        <v>179007.13</v>
      </c>
      <c r="J166" s="43">
        <f t="shared" si="27"/>
        <v>43.720000000001164</v>
      </c>
      <c r="K166" s="43"/>
      <c r="L166">
        <f t="shared" si="22"/>
        <v>0</v>
      </c>
      <c r="M166">
        <v>507</v>
      </c>
      <c r="N166">
        <v>1</v>
      </c>
      <c r="O166" s="7" t="s">
        <v>703</v>
      </c>
      <c r="P166" s="6">
        <v>2057885.38</v>
      </c>
      <c r="Q166" s="6">
        <v>-179007.13</v>
      </c>
      <c r="R166" s="17">
        <f t="shared" si="23"/>
        <v>-8.6999999999999994E-2</v>
      </c>
      <c r="S166" s="6">
        <f t="shared" si="24"/>
        <v>179007.13</v>
      </c>
      <c r="T166" s="6">
        <f t="shared" si="25"/>
        <v>119934.78</v>
      </c>
    </row>
    <row r="167" spans="1:20" x14ac:dyDescent="0.2">
      <c r="A167">
        <v>508</v>
      </c>
      <c r="B167">
        <v>1</v>
      </c>
      <c r="C167" s="7" t="s">
        <v>160</v>
      </c>
      <c r="D167" s="21">
        <v>12443672</v>
      </c>
      <c r="E167" s="21">
        <v>-1082689.0900000001</v>
      </c>
      <c r="F167" s="17">
        <f t="shared" si="26"/>
        <v>-8.7007202500000005E-2</v>
      </c>
      <c r="G167" s="21">
        <f t="shared" si="20"/>
        <v>1082689.0900000001</v>
      </c>
      <c r="H167" s="46">
        <f t="shared" si="21"/>
        <v>725401.69</v>
      </c>
      <c r="I167" s="43">
        <v>1082424.74</v>
      </c>
      <c r="J167" s="43">
        <f t="shared" si="27"/>
        <v>264.35000000009313</v>
      </c>
      <c r="K167" s="43"/>
      <c r="L167">
        <f t="shared" si="22"/>
        <v>0</v>
      </c>
      <c r="M167">
        <v>508</v>
      </c>
      <c r="N167">
        <v>1</v>
      </c>
      <c r="O167" s="7" t="s">
        <v>704</v>
      </c>
      <c r="P167" s="6">
        <v>12443672</v>
      </c>
      <c r="Q167" s="6">
        <v>-1082424.74</v>
      </c>
      <c r="R167" s="17">
        <f t="shared" si="23"/>
        <v>-8.6999999999999994E-2</v>
      </c>
      <c r="S167" s="6">
        <f t="shared" si="24"/>
        <v>1082424.74</v>
      </c>
      <c r="T167" s="6">
        <f t="shared" si="25"/>
        <v>725224.58</v>
      </c>
    </row>
    <row r="168" spans="1:20" x14ac:dyDescent="0.2">
      <c r="A168">
        <v>511</v>
      </c>
      <c r="B168">
        <v>1</v>
      </c>
      <c r="C168" s="7" t="s">
        <v>161</v>
      </c>
      <c r="D168" s="21">
        <v>4406521.5999999996</v>
      </c>
      <c r="E168" s="21">
        <v>-383399.12</v>
      </c>
      <c r="F168" s="17">
        <f t="shared" si="26"/>
        <v>-8.70072031E-2</v>
      </c>
      <c r="G168" s="21">
        <f t="shared" si="20"/>
        <v>383399.12</v>
      </c>
      <c r="H168" s="46">
        <f t="shared" si="21"/>
        <v>256877.41</v>
      </c>
      <c r="I168" s="43">
        <v>383305.51</v>
      </c>
      <c r="J168" s="43">
        <f t="shared" si="27"/>
        <v>93.60999999998603</v>
      </c>
      <c r="K168" s="43"/>
      <c r="L168">
        <f t="shared" si="22"/>
        <v>0</v>
      </c>
      <c r="M168">
        <v>511</v>
      </c>
      <c r="N168">
        <v>1</v>
      </c>
      <c r="O168" s="7" t="s">
        <v>705</v>
      </c>
      <c r="P168" s="6">
        <v>4406521.5999999996</v>
      </c>
      <c r="Q168" s="6">
        <v>-383305.51</v>
      </c>
      <c r="R168" s="17">
        <f t="shared" si="23"/>
        <v>-8.6999999999999994E-2</v>
      </c>
      <c r="S168" s="6">
        <f t="shared" si="24"/>
        <v>383305.51</v>
      </c>
      <c r="T168" s="6">
        <f t="shared" si="25"/>
        <v>256814.69</v>
      </c>
    </row>
    <row r="169" spans="1:20" x14ac:dyDescent="0.2">
      <c r="A169">
        <v>513</v>
      </c>
      <c r="B169">
        <v>1</v>
      </c>
      <c r="C169" s="7" t="s">
        <v>162</v>
      </c>
      <c r="D169" s="21">
        <v>1158921.19</v>
      </c>
      <c r="E169" s="21">
        <v>-100834.49</v>
      </c>
      <c r="F169" s="17">
        <f t="shared" si="26"/>
        <v>-8.7007201899999997E-2</v>
      </c>
      <c r="G169" s="21">
        <f t="shared" si="20"/>
        <v>100834.49</v>
      </c>
      <c r="H169" s="46">
        <f t="shared" si="21"/>
        <v>67559.11</v>
      </c>
      <c r="I169" s="43">
        <v>100809.87</v>
      </c>
      <c r="J169" s="43">
        <f t="shared" si="27"/>
        <v>24.620000000009895</v>
      </c>
      <c r="K169" s="43"/>
      <c r="L169">
        <f t="shared" si="22"/>
        <v>0</v>
      </c>
      <c r="M169">
        <v>513</v>
      </c>
      <c r="N169">
        <v>1</v>
      </c>
      <c r="O169" s="7" t="s">
        <v>706</v>
      </c>
      <c r="P169" s="6">
        <v>1158921.19</v>
      </c>
      <c r="Q169" s="6">
        <v>-100809.87</v>
      </c>
      <c r="R169" s="17">
        <f t="shared" si="23"/>
        <v>-8.6999999999999994E-2</v>
      </c>
      <c r="S169" s="6">
        <f t="shared" si="24"/>
        <v>100809.87</v>
      </c>
      <c r="T169" s="6">
        <f t="shared" si="25"/>
        <v>67542.61</v>
      </c>
    </row>
    <row r="170" spans="1:20" x14ac:dyDescent="0.2">
      <c r="A170">
        <v>514</v>
      </c>
      <c r="B170">
        <v>1</v>
      </c>
      <c r="C170" s="7" t="s">
        <v>163</v>
      </c>
      <c r="D170" s="21">
        <v>1347154.19</v>
      </c>
      <c r="E170" s="21">
        <v>-117212.12</v>
      </c>
      <c r="F170" s="17">
        <f t="shared" si="26"/>
        <v>-8.7007204399999996E-2</v>
      </c>
      <c r="G170" s="21">
        <f t="shared" si="20"/>
        <v>117212.12</v>
      </c>
      <c r="H170" s="46">
        <f t="shared" si="21"/>
        <v>78532.12</v>
      </c>
      <c r="I170" s="43">
        <v>117183.5</v>
      </c>
      <c r="J170" s="43">
        <f t="shared" si="27"/>
        <v>28.619999999995343</v>
      </c>
      <c r="K170" s="43"/>
      <c r="L170">
        <f t="shared" si="22"/>
        <v>0</v>
      </c>
      <c r="M170">
        <v>514</v>
      </c>
      <c r="N170">
        <v>1</v>
      </c>
      <c r="O170" s="7" t="s">
        <v>707</v>
      </c>
      <c r="P170" s="6">
        <v>1347154.19</v>
      </c>
      <c r="Q170" s="6">
        <v>-117183.5</v>
      </c>
      <c r="R170" s="17">
        <f t="shared" si="23"/>
        <v>-8.6999999999999994E-2</v>
      </c>
      <c r="S170" s="6">
        <f t="shared" si="24"/>
        <v>117183.5</v>
      </c>
      <c r="T170" s="6">
        <f t="shared" si="25"/>
        <v>78512.95</v>
      </c>
    </row>
    <row r="171" spans="1:20" x14ac:dyDescent="0.2">
      <c r="A171">
        <v>516</v>
      </c>
      <c r="B171">
        <v>1</v>
      </c>
      <c r="C171" s="7" t="s">
        <v>164</v>
      </c>
      <c r="D171" s="21">
        <v>801193.04</v>
      </c>
      <c r="E171" s="21">
        <v>-69709.570000000007</v>
      </c>
      <c r="F171" s="17">
        <f t="shared" si="26"/>
        <v>-8.7007208599999997E-2</v>
      </c>
      <c r="G171" s="21">
        <f t="shared" si="20"/>
        <v>69709.570000000007</v>
      </c>
      <c r="H171" s="46">
        <f t="shared" si="21"/>
        <v>46705.41</v>
      </c>
      <c r="I171" s="43">
        <v>69692.55</v>
      </c>
      <c r="J171" s="43">
        <f t="shared" si="27"/>
        <v>17.020000000004075</v>
      </c>
      <c r="K171" s="43"/>
      <c r="L171">
        <f t="shared" si="22"/>
        <v>0</v>
      </c>
      <c r="M171">
        <v>516</v>
      </c>
      <c r="N171">
        <v>1</v>
      </c>
      <c r="O171" s="7" t="s">
        <v>708</v>
      </c>
      <c r="P171" s="6">
        <v>801193.04</v>
      </c>
      <c r="Q171" s="6">
        <v>-69692.55</v>
      </c>
      <c r="R171" s="17">
        <f t="shared" si="23"/>
        <v>-8.6999999999999994E-2</v>
      </c>
      <c r="S171" s="6">
        <f t="shared" si="24"/>
        <v>69692.55</v>
      </c>
      <c r="T171" s="6">
        <f t="shared" si="25"/>
        <v>46694.01</v>
      </c>
    </row>
    <row r="172" spans="1:20" x14ac:dyDescent="0.2">
      <c r="A172">
        <v>518</v>
      </c>
      <c r="B172">
        <v>1</v>
      </c>
      <c r="C172" s="7" t="s">
        <v>165</v>
      </c>
      <c r="D172" s="21">
        <v>15952797.25</v>
      </c>
      <c r="E172" s="21">
        <v>-1388008.26</v>
      </c>
      <c r="F172" s="17">
        <f t="shared" si="26"/>
        <v>-8.7007202500000005E-2</v>
      </c>
      <c r="G172" s="21">
        <f t="shared" si="20"/>
        <v>1388008.26</v>
      </c>
      <c r="H172" s="46">
        <f t="shared" si="21"/>
        <v>929965.53</v>
      </c>
      <c r="I172" s="43">
        <v>1387669.37</v>
      </c>
      <c r="J172" s="43">
        <f t="shared" si="27"/>
        <v>338.88999999989755</v>
      </c>
      <c r="K172" s="43"/>
      <c r="L172">
        <f t="shared" si="22"/>
        <v>0</v>
      </c>
      <c r="M172">
        <v>518</v>
      </c>
      <c r="N172">
        <v>1</v>
      </c>
      <c r="O172" s="7" t="s">
        <v>709</v>
      </c>
      <c r="P172" s="6">
        <v>15952797.25</v>
      </c>
      <c r="Q172" s="6">
        <v>-1387669.37</v>
      </c>
      <c r="R172" s="17">
        <f t="shared" si="23"/>
        <v>-8.6999999999999994E-2</v>
      </c>
      <c r="S172" s="6">
        <f t="shared" si="24"/>
        <v>1387669.37</v>
      </c>
      <c r="T172" s="6">
        <f t="shared" si="25"/>
        <v>929738.48</v>
      </c>
    </row>
    <row r="173" spans="1:20" x14ac:dyDescent="0.2">
      <c r="A173">
        <v>531</v>
      </c>
      <c r="B173">
        <v>1</v>
      </c>
      <c r="C173" s="7" t="s">
        <v>166</v>
      </c>
      <c r="D173" s="21">
        <v>10666621.609999999</v>
      </c>
      <c r="E173" s="21">
        <v>-928072.91</v>
      </c>
      <c r="F173" s="17">
        <f t="shared" si="26"/>
        <v>-8.7007202800000003E-2</v>
      </c>
      <c r="G173" s="21">
        <f t="shared" si="20"/>
        <v>928072.91</v>
      </c>
      <c r="H173" s="46">
        <f t="shared" si="21"/>
        <v>621808.85</v>
      </c>
      <c r="I173" s="43">
        <v>927846.31</v>
      </c>
      <c r="J173" s="43">
        <f t="shared" si="27"/>
        <v>226.59999999997672</v>
      </c>
      <c r="K173" s="43"/>
      <c r="L173">
        <f t="shared" si="22"/>
        <v>0</v>
      </c>
      <c r="M173">
        <v>531</v>
      </c>
      <c r="N173">
        <v>1</v>
      </c>
      <c r="O173" s="7" t="s">
        <v>710</v>
      </c>
      <c r="P173" s="6">
        <v>10666621.609999999</v>
      </c>
      <c r="Q173" s="6">
        <v>-927846.31</v>
      </c>
      <c r="R173" s="17">
        <f t="shared" si="23"/>
        <v>-8.6999999999999994E-2</v>
      </c>
      <c r="S173" s="6">
        <f t="shared" si="24"/>
        <v>927846.31</v>
      </c>
      <c r="T173" s="6">
        <f t="shared" si="25"/>
        <v>621657.03</v>
      </c>
    </row>
    <row r="174" spans="1:20" x14ac:dyDescent="0.2">
      <c r="A174">
        <v>533</v>
      </c>
      <c r="B174">
        <v>1</v>
      </c>
      <c r="C174" s="7" t="s">
        <v>167</v>
      </c>
      <c r="D174" s="21">
        <v>8048290.75</v>
      </c>
      <c r="E174" s="21">
        <v>-700259.26</v>
      </c>
      <c r="F174" s="17">
        <f t="shared" si="26"/>
        <v>-8.70072021E-2</v>
      </c>
      <c r="G174" s="21">
        <f t="shared" si="20"/>
        <v>700259.26</v>
      </c>
      <c r="H174" s="46">
        <f t="shared" si="21"/>
        <v>469173.7</v>
      </c>
      <c r="I174" s="43">
        <v>700088.29</v>
      </c>
      <c r="J174" s="43">
        <f t="shared" si="27"/>
        <v>170.96999999997206</v>
      </c>
      <c r="K174" s="43"/>
      <c r="L174">
        <f t="shared" si="22"/>
        <v>0</v>
      </c>
      <c r="M174">
        <v>533</v>
      </c>
      <c r="N174">
        <v>1</v>
      </c>
      <c r="O174" s="7" t="s">
        <v>711</v>
      </c>
      <c r="P174" s="6">
        <v>8048290.75</v>
      </c>
      <c r="Q174" s="6">
        <v>-700088.29</v>
      </c>
      <c r="R174" s="17">
        <f t="shared" si="23"/>
        <v>-8.6999999999999994E-2</v>
      </c>
      <c r="S174" s="6">
        <f t="shared" ref="S174:S199" si="28">Q174*-1</f>
        <v>700088.29</v>
      </c>
      <c r="T174" s="6">
        <f t="shared" ref="T174:T200" si="29">ROUND(S174*0.67,2)</f>
        <v>469059.15</v>
      </c>
    </row>
    <row r="175" spans="1:20" x14ac:dyDescent="0.2">
      <c r="A175">
        <v>534</v>
      </c>
      <c r="B175">
        <v>1</v>
      </c>
      <c r="C175" s="7" t="s">
        <v>168</v>
      </c>
      <c r="D175" s="21">
        <v>11402959.33</v>
      </c>
      <c r="E175" s="21">
        <v>-992139.59</v>
      </c>
      <c r="F175" s="17">
        <f t="shared" si="26"/>
        <v>-8.7007202399999997E-2</v>
      </c>
      <c r="G175" s="21">
        <f t="shared" si="20"/>
        <v>992139.59</v>
      </c>
      <c r="H175" s="46">
        <f t="shared" si="21"/>
        <v>664733.53</v>
      </c>
      <c r="I175" s="43">
        <v>991897.35</v>
      </c>
      <c r="J175" s="43">
        <f t="shared" si="27"/>
        <v>242.23999999999069</v>
      </c>
      <c r="K175" s="43"/>
      <c r="L175">
        <f t="shared" si="22"/>
        <v>0</v>
      </c>
      <c r="M175">
        <v>534</v>
      </c>
      <c r="N175">
        <v>1</v>
      </c>
      <c r="O175" s="7" t="s">
        <v>712</v>
      </c>
      <c r="P175" s="6">
        <v>11402959.33</v>
      </c>
      <c r="Q175" s="6">
        <v>-991897.35</v>
      </c>
      <c r="R175" s="17">
        <f t="shared" si="23"/>
        <v>-8.6999999999999994E-2</v>
      </c>
      <c r="S175" s="6">
        <f t="shared" si="28"/>
        <v>991897.35</v>
      </c>
      <c r="T175" s="6">
        <f t="shared" si="29"/>
        <v>664571.22</v>
      </c>
    </row>
    <row r="176" spans="1:20" x14ac:dyDescent="0.2">
      <c r="A176">
        <v>535</v>
      </c>
      <c r="B176">
        <v>1</v>
      </c>
      <c r="C176" s="7" t="s">
        <v>169</v>
      </c>
      <c r="D176" s="21">
        <v>107240858.17</v>
      </c>
      <c r="E176" s="21">
        <v>-9330727.0700000003</v>
      </c>
      <c r="F176" s="17">
        <f t="shared" si="26"/>
        <v>-8.70072026E-2</v>
      </c>
      <c r="G176" s="21">
        <f t="shared" si="20"/>
        <v>9330727.0700000003</v>
      </c>
      <c r="H176" s="46">
        <f t="shared" si="21"/>
        <v>6251587.1399999997</v>
      </c>
      <c r="I176" s="43">
        <v>9328448.9100000001</v>
      </c>
      <c r="J176" s="43">
        <f t="shared" si="27"/>
        <v>2278.160000000149</v>
      </c>
      <c r="K176" s="43"/>
      <c r="L176">
        <f t="shared" si="22"/>
        <v>0</v>
      </c>
      <c r="M176">
        <v>535</v>
      </c>
      <c r="N176">
        <v>1</v>
      </c>
      <c r="O176" s="7" t="s">
        <v>713</v>
      </c>
      <c r="P176" s="6">
        <v>107240858.17</v>
      </c>
      <c r="Q176" s="6">
        <v>-9328448.9100000001</v>
      </c>
      <c r="R176" s="17">
        <f t="shared" si="23"/>
        <v>-8.6999999999999994E-2</v>
      </c>
      <c r="S176" s="6">
        <f t="shared" si="28"/>
        <v>9328448.9100000001</v>
      </c>
      <c r="T176" s="6">
        <f t="shared" si="29"/>
        <v>6250060.7699999996</v>
      </c>
    </row>
    <row r="177" spans="1:20" x14ac:dyDescent="0.2">
      <c r="A177">
        <v>542</v>
      </c>
      <c r="B177">
        <v>1</v>
      </c>
      <c r="C177" s="7" t="s">
        <v>170</v>
      </c>
      <c r="D177" s="21">
        <v>3599553.94</v>
      </c>
      <c r="E177" s="21">
        <v>-313187.12</v>
      </c>
      <c r="F177" s="17">
        <f t="shared" si="26"/>
        <v>-8.7007202899999997E-2</v>
      </c>
      <c r="G177" s="21">
        <f t="shared" si="20"/>
        <v>313187.12</v>
      </c>
      <c r="H177" s="46">
        <f t="shared" si="21"/>
        <v>209835.37</v>
      </c>
      <c r="I177" s="43">
        <v>313110.65000000002</v>
      </c>
      <c r="J177" s="43">
        <f t="shared" si="27"/>
        <v>76.46999999997206</v>
      </c>
      <c r="K177" s="43"/>
      <c r="L177">
        <f t="shared" si="22"/>
        <v>0</v>
      </c>
      <c r="M177">
        <v>542</v>
      </c>
      <c r="N177">
        <v>1</v>
      </c>
      <c r="O177" s="7" t="s">
        <v>714</v>
      </c>
      <c r="P177" s="6">
        <v>3599553.94</v>
      </c>
      <c r="Q177" s="6">
        <v>-313110.65000000002</v>
      </c>
      <c r="R177" s="17">
        <f t="shared" si="23"/>
        <v>-8.6999999999999994E-2</v>
      </c>
      <c r="S177" s="6">
        <f t="shared" si="28"/>
        <v>313110.65000000002</v>
      </c>
      <c r="T177" s="6">
        <f t="shared" si="29"/>
        <v>209784.14</v>
      </c>
    </row>
    <row r="178" spans="1:20" x14ac:dyDescent="0.2">
      <c r="A178">
        <v>544</v>
      </c>
      <c r="B178">
        <v>1</v>
      </c>
      <c r="C178" s="7" t="s">
        <v>171</v>
      </c>
      <c r="D178" s="21">
        <v>17036698.059999999</v>
      </c>
      <c r="E178" s="21">
        <v>-1482315.44</v>
      </c>
      <c r="F178" s="17">
        <f t="shared" si="26"/>
        <v>-8.70072026E-2</v>
      </c>
      <c r="G178" s="21">
        <f t="shared" si="20"/>
        <v>1482315.44</v>
      </c>
      <c r="H178" s="46">
        <f t="shared" si="21"/>
        <v>993151.34</v>
      </c>
      <c r="I178" s="43">
        <v>1481953.52</v>
      </c>
      <c r="J178" s="43">
        <f t="shared" si="27"/>
        <v>361.91999999992549</v>
      </c>
      <c r="K178" s="43"/>
      <c r="L178">
        <f t="shared" si="22"/>
        <v>0</v>
      </c>
      <c r="M178">
        <v>544</v>
      </c>
      <c r="N178">
        <v>1</v>
      </c>
      <c r="O178" s="7" t="s">
        <v>715</v>
      </c>
      <c r="P178" s="6">
        <v>17036698.059999999</v>
      </c>
      <c r="Q178" s="6">
        <v>-1481953.52</v>
      </c>
      <c r="R178" s="17">
        <f t="shared" si="23"/>
        <v>-8.6999999999999994E-2</v>
      </c>
      <c r="S178" s="6">
        <f t="shared" si="28"/>
        <v>1481953.52</v>
      </c>
      <c r="T178" s="6">
        <f t="shared" si="29"/>
        <v>992908.86</v>
      </c>
    </row>
    <row r="179" spans="1:20" x14ac:dyDescent="0.2">
      <c r="A179">
        <v>545</v>
      </c>
      <c r="B179">
        <v>1</v>
      </c>
      <c r="C179" s="7" t="s">
        <v>172</v>
      </c>
      <c r="D179" s="21">
        <v>2721970.11</v>
      </c>
      <c r="E179" s="21">
        <v>-236831</v>
      </c>
      <c r="F179" s="17">
        <f t="shared" si="26"/>
        <v>-8.7007200800000004E-2</v>
      </c>
      <c r="G179" s="21">
        <f t="shared" si="20"/>
        <v>236831</v>
      </c>
      <c r="H179" s="46">
        <f t="shared" si="21"/>
        <v>158676.76999999999</v>
      </c>
      <c r="I179" s="43">
        <v>236773.18</v>
      </c>
      <c r="J179" s="43">
        <f t="shared" si="27"/>
        <v>57.820000000006985</v>
      </c>
      <c r="K179" s="43"/>
      <c r="L179">
        <f t="shared" si="22"/>
        <v>0</v>
      </c>
      <c r="M179">
        <v>545</v>
      </c>
      <c r="N179">
        <v>1</v>
      </c>
      <c r="O179" s="7" t="s">
        <v>716</v>
      </c>
      <c r="P179" s="6">
        <v>2721970.11</v>
      </c>
      <c r="Q179" s="6">
        <v>-236773.18</v>
      </c>
      <c r="R179" s="17">
        <f t="shared" si="23"/>
        <v>-8.6999999999999994E-2</v>
      </c>
      <c r="S179" s="6">
        <f t="shared" si="28"/>
        <v>236773.18</v>
      </c>
      <c r="T179" s="6">
        <f t="shared" si="29"/>
        <v>158638.03</v>
      </c>
    </row>
    <row r="180" spans="1:20" x14ac:dyDescent="0.2">
      <c r="A180">
        <v>547</v>
      </c>
      <c r="B180">
        <v>1</v>
      </c>
      <c r="C180" s="7" t="s">
        <v>173</v>
      </c>
      <c r="D180" s="21">
        <v>3992717.85</v>
      </c>
      <c r="E180" s="21">
        <v>-347395.21</v>
      </c>
      <c r="F180" s="17">
        <f t="shared" si="26"/>
        <v>-8.7007202399999997E-2</v>
      </c>
      <c r="G180" s="21">
        <f t="shared" si="20"/>
        <v>347395.21</v>
      </c>
      <c r="H180" s="46">
        <f t="shared" si="21"/>
        <v>232754.79</v>
      </c>
      <c r="I180" s="43">
        <v>347310.39</v>
      </c>
      <c r="J180" s="43">
        <f t="shared" si="27"/>
        <v>84.820000000006985</v>
      </c>
      <c r="K180" s="43"/>
      <c r="L180">
        <f t="shared" si="22"/>
        <v>0</v>
      </c>
      <c r="M180">
        <v>547</v>
      </c>
      <c r="N180">
        <v>1</v>
      </c>
      <c r="O180" s="7" t="s">
        <v>717</v>
      </c>
      <c r="P180" s="6">
        <v>3992717.85</v>
      </c>
      <c r="Q180" s="6">
        <v>-347310.39</v>
      </c>
      <c r="R180" s="17">
        <f t="shared" si="23"/>
        <v>-8.6999999999999994E-2</v>
      </c>
      <c r="S180" s="6">
        <f t="shared" si="28"/>
        <v>347310.39</v>
      </c>
      <c r="T180" s="6">
        <f t="shared" si="29"/>
        <v>232697.96</v>
      </c>
    </row>
    <row r="181" spans="1:20" x14ac:dyDescent="0.2">
      <c r="A181">
        <v>548</v>
      </c>
      <c r="B181">
        <v>1</v>
      </c>
      <c r="C181" s="7" t="s">
        <v>174</v>
      </c>
      <c r="D181" s="21">
        <v>7321552.0499999998</v>
      </c>
      <c r="E181" s="21">
        <v>-637027.76</v>
      </c>
      <c r="F181" s="17">
        <f t="shared" si="26"/>
        <v>-8.7007202300000003E-2</v>
      </c>
      <c r="G181" s="21">
        <f t="shared" si="20"/>
        <v>637027.76</v>
      </c>
      <c r="H181" s="46">
        <f t="shared" si="21"/>
        <v>426808.6</v>
      </c>
      <c r="I181" s="43">
        <v>636872.23</v>
      </c>
      <c r="J181" s="43">
        <f t="shared" si="27"/>
        <v>155.53000000002794</v>
      </c>
      <c r="K181" s="43"/>
      <c r="L181">
        <f t="shared" si="22"/>
        <v>0</v>
      </c>
      <c r="M181">
        <v>548</v>
      </c>
      <c r="N181">
        <v>1</v>
      </c>
      <c r="O181" s="7" t="s">
        <v>718</v>
      </c>
      <c r="P181" s="6">
        <v>7321552.0499999998</v>
      </c>
      <c r="Q181" s="6">
        <v>-636872.23</v>
      </c>
      <c r="R181" s="17">
        <f t="shared" si="23"/>
        <v>-8.6999999999999994E-2</v>
      </c>
      <c r="S181" s="6">
        <f t="shared" si="28"/>
        <v>636872.23</v>
      </c>
      <c r="T181" s="6">
        <f t="shared" si="29"/>
        <v>426704.39</v>
      </c>
    </row>
    <row r="182" spans="1:20" x14ac:dyDescent="0.2">
      <c r="A182">
        <v>549</v>
      </c>
      <c r="B182">
        <v>1</v>
      </c>
      <c r="C182" s="7" t="s">
        <v>175</v>
      </c>
      <c r="D182" s="21">
        <v>10765084.970000001</v>
      </c>
      <c r="E182" s="21">
        <v>-936639.93</v>
      </c>
      <c r="F182" s="17">
        <f t="shared" si="26"/>
        <v>-8.7007202699999994E-2</v>
      </c>
      <c r="G182" s="21">
        <f t="shared" si="20"/>
        <v>936639.93</v>
      </c>
      <c r="H182" s="46">
        <f t="shared" si="21"/>
        <v>627548.75</v>
      </c>
      <c r="I182" s="43">
        <v>936411.24</v>
      </c>
      <c r="J182" s="43">
        <f t="shared" si="27"/>
        <v>228.69000000006054</v>
      </c>
      <c r="K182" s="43"/>
      <c r="L182">
        <f t="shared" si="22"/>
        <v>0</v>
      </c>
      <c r="M182">
        <v>549</v>
      </c>
      <c r="N182">
        <v>1</v>
      </c>
      <c r="O182" s="7" t="s">
        <v>719</v>
      </c>
      <c r="P182" s="6">
        <v>10765084.970000001</v>
      </c>
      <c r="Q182" s="6">
        <v>-936411.24</v>
      </c>
      <c r="R182" s="17">
        <f t="shared" si="23"/>
        <v>-8.6999999999999994E-2</v>
      </c>
      <c r="S182" s="6">
        <f t="shared" si="28"/>
        <v>936411.24</v>
      </c>
      <c r="T182" s="6">
        <f t="shared" si="29"/>
        <v>627395.53</v>
      </c>
    </row>
    <row r="183" spans="1:20" x14ac:dyDescent="0.2">
      <c r="A183">
        <v>550</v>
      </c>
      <c r="B183">
        <v>1</v>
      </c>
      <c r="C183" s="7" t="s">
        <v>176</v>
      </c>
      <c r="D183" s="21">
        <v>3629971.34</v>
      </c>
      <c r="E183" s="21">
        <v>-315833.65000000002</v>
      </c>
      <c r="F183" s="17">
        <f t="shared" si="26"/>
        <v>-8.70072021E-2</v>
      </c>
      <c r="G183" s="21">
        <f t="shared" si="20"/>
        <v>315833.65000000002</v>
      </c>
      <c r="H183" s="46">
        <f t="shared" si="21"/>
        <v>211608.55</v>
      </c>
      <c r="I183" s="43">
        <v>315756.53999999998</v>
      </c>
      <c r="J183" s="43">
        <f t="shared" si="27"/>
        <v>77.110000000044238</v>
      </c>
      <c r="K183" s="43"/>
      <c r="L183">
        <f t="shared" si="22"/>
        <v>0</v>
      </c>
      <c r="M183">
        <v>550</v>
      </c>
      <c r="N183">
        <v>1</v>
      </c>
      <c r="O183" s="7" t="s">
        <v>720</v>
      </c>
      <c r="P183" s="6">
        <v>3629971.34</v>
      </c>
      <c r="Q183" s="6">
        <v>-315756.53999999998</v>
      </c>
      <c r="R183" s="17">
        <f t="shared" si="23"/>
        <v>-8.6999999999999994E-2</v>
      </c>
      <c r="S183" s="6">
        <f t="shared" si="28"/>
        <v>315756.53999999998</v>
      </c>
      <c r="T183" s="6">
        <f t="shared" si="29"/>
        <v>211556.88</v>
      </c>
    </row>
    <row r="184" spans="1:20" x14ac:dyDescent="0.2">
      <c r="A184">
        <v>553</v>
      </c>
      <c r="B184">
        <v>1</v>
      </c>
      <c r="C184" s="7" t="s">
        <v>177</v>
      </c>
      <c r="D184" s="21">
        <v>5102378</v>
      </c>
      <c r="E184" s="21">
        <v>-443943.64</v>
      </c>
      <c r="F184" s="17">
        <f t="shared" si="26"/>
        <v>-8.7007203300000002E-2</v>
      </c>
      <c r="G184" s="21">
        <f t="shared" si="20"/>
        <v>443943.64</v>
      </c>
      <c r="H184" s="46">
        <f t="shared" si="21"/>
        <v>297442.24</v>
      </c>
      <c r="I184" s="43">
        <v>443835.24</v>
      </c>
      <c r="J184" s="43">
        <f t="shared" si="27"/>
        <v>108.40000000002328</v>
      </c>
      <c r="K184" s="43"/>
      <c r="L184">
        <f t="shared" si="22"/>
        <v>0</v>
      </c>
      <c r="M184">
        <v>553</v>
      </c>
      <c r="N184">
        <v>1</v>
      </c>
      <c r="O184" s="7" t="s">
        <v>721</v>
      </c>
      <c r="P184" s="6">
        <v>5102378</v>
      </c>
      <c r="Q184" s="6">
        <v>-443835.24</v>
      </c>
      <c r="R184" s="17">
        <f t="shared" si="23"/>
        <v>-8.6999999999999994E-2</v>
      </c>
      <c r="S184" s="6">
        <f t="shared" si="28"/>
        <v>443835.24</v>
      </c>
      <c r="T184" s="6">
        <f t="shared" si="29"/>
        <v>297369.61</v>
      </c>
    </row>
    <row r="185" spans="1:20" x14ac:dyDescent="0.2">
      <c r="A185">
        <v>561</v>
      </c>
      <c r="B185">
        <v>1</v>
      </c>
      <c r="C185" s="7" t="s">
        <v>178</v>
      </c>
      <c r="D185" s="21">
        <v>1794875.46</v>
      </c>
      <c r="E185" s="21">
        <v>-156167.09</v>
      </c>
      <c r="F185" s="17">
        <f t="shared" si="26"/>
        <v>-8.7007201000000006E-2</v>
      </c>
      <c r="G185" s="21">
        <f t="shared" si="20"/>
        <v>156167.09</v>
      </c>
      <c r="H185" s="46">
        <f t="shared" si="21"/>
        <v>104631.95</v>
      </c>
      <c r="I185" s="43">
        <v>156128.95999999999</v>
      </c>
      <c r="J185" s="43">
        <f t="shared" si="27"/>
        <v>38.130000000004657</v>
      </c>
      <c r="K185" s="43"/>
      <c r="L185">
        <f t="shared" si="22"/>
        <v>0</v>
      </c>
      <c r="M185">
        <v>561</v>
      </c>
      <c r="N185">
        <v>1</v>
      </c>
      <c r="O185" s="7" t="s">
        <v>722</v>
      </c>
      <c r="P185" s="6">
        <v>1794875.46</v>
      </c>
      <c r="Q185" s="6">
        <v>-156128.95999999999</v>
      </c>
      <c r="R185" s="17">
        <f t="shared" si="23"/>
        <v>-8.6999999999999994E-2</v>
      </c>
      <c r="S185" s="6">
        <f t="shared" si="28"/>
        <v>156128.95999999999</v>
      </c>
      <c r="T185" s="6">
        <f t="shared" si="29"/>
        <v>104606.39999999999</v>
      </c>
    </row>
    <row r="186" spans="1:20" x14ac:dyDescent="0.2">
      <c r="A186">
        <v>564</v>
      </c>
      <c r="B186">
        <v>1</v>
      </c>
      <c r="C186" s="7" t="s">
        <v>179</v>
      </c>
      <c r="D186" s="21">
        <v>13477363.220000001</v>
      </c>
      <c r="E186" s="21">
        <v>-1172627.67</v>
      </c>
      <c r="F186" s="17">
        <f t="shared" si="26"/>
        <v>-8.7007202399999997E-2</v>
      </c>
      <c r="G186" s="21">
        <f t="shared" si="20"/>
        <v>1172627.67</v>
      </c>
      <c r="H186" s="46">
        <f t="shared" si="21"/>
        <v>785660.54</v>
      </c>
      <c r="I186" s="43">
        <v>1172341.3700000001</v>
      </c>
      <c r="J186" s="43">
        <f t="shared" si="27"/>
        <v>286.29999999981374</v>
      </c>
      <c r="K186" s="43"/>
      <c r="L186">
        <f t="shared" si="22"/>
        <v>0</v>
      </c>
      <c r="M186">
        <v>564</v>
      </c>
      <c r="N186">
        <v>1</v>
      </c>
      <c r="O186" s="7" t="s">
        <v>723</v>
      </c>
      <c r="P186" s="6">
        <v>13477363.220000001</v>
      </c>
      <c r="Q186" s="6">
        <v>-1172341.3700000001</v>
      </c>
      <c r="R186" s="17">
        <f t="shared" si="23"/>
        <v>-8.6999999999999994E-2</v>
      </c>
      <c r="S186" s="6">
        <f t="shared" si="28"/>
        <v>1172341.3700000001</v>
      </c>
      <c r="T186" s="6">
        <f t="shared" si="29"/>
        <v>785468.72</v>
      </c>
    </row>
    <row r="187" spans="1:20" x14ac:dyDescent="0.2">
      <c r="A187">
        <v>577</v>
      </c>
      <c r="B187">
        <v>1</v>
      </c>
      <c r="C187" s="7" t="s">
        <v>180</v>
      </c>
      <c r="D187" s="21">
        <v>3409973.21</v>
      </c>
      <c r="E187" s="21">
        <v>-296692.23</v>
      </c>
      <c r="F187" s="17">
        <f t="shared" si="26"/>
        <v>-8.70072026E-2</v>
      </c>
      <c r="G187" s="21">
        <f t="shared" si="20"/>
        <v>296692.23</v>
      </c>
      <c r="H187" s="46">
        <f t="shared" si="21"/>
        <v>198783.79</v>
      </c>
      <c r="I187" s="43">
        <v>296619.78999999998</v>
      </c>
      <c r="J187" s="43">
        <f t="shared" si="27"/>
        <v>72.440000000002328</v>
      </c>
      <c r="K187" s="43"/>
      <c r="L187">
        <f t="shared" si="22"/>
        <v>0</v>
      </c>
      <c r="M187">
        <v>577</v>
      </c>
      <c r="N187">
        <v>1</v>
      </c>
      <c r="O187" s="7" t="s">
        <v>724</v>
      </c>
      <c r="P187" s="6">
        <v>3409973.21</v>
      </c>
      <c r="Q187" s="6">
        <v>-296619.78999999998</v>
      </c>
      <c r="R187" s="17">
        <f t="shared" si="23"/>
        <v>-8.6999999999999994E-2</v>
      </c>
      <c r="S187" s="6">
        <f t="shared" si="28"/>
        <v>296619.78999999998</v>
      </c>
      <c r="T187" s="6">
        <f t="shared" si="29"/>
        <v>198735.26</v>
      </c>
    </row>
    <row r="188" spans="1:20" x14ac:dyDescent="0.2">
      <c r="A188">
        <v>578</v>
      </c>
      <c r="B188">
        <v>1</v>
      </c>
      <c r="C188" s="7" t="s">
        <v>181</v>
      </c>
      <c r="D188" s="21">
        <v>10969128.789999999</v>
      </c>
      <c r="E188" s="21">
        <v>-954393.21</v>
      </c>
      <c r="F188" s="17">
        <f t="shared" si="26"/>
        <v>-8.7007202500000005E-2</v>
      </c>
      <c r="G188" s="21">
        <f t="shared" si="20"/>
        <v>954393.21</v>
      </c>
      <c r="H188" s="46">
        <f t="shared" si="21"/>
        <v>639443.44999999995</v>
      </c>
      <c r="I188" s="43">
        <v>954160.19</v>
      </c>
      <c r="J188" s="43">
        <f t="shared" si="27"/>
        <v>233.02000000001863</v>
      </c>
      <c r="K188" s="43"/>
      <c r="L188">
        <f t="shared" si="22"/>
        <v>0</v>
      </c>
      <c r="M188">
        <v>578</v>
      </c>
      <c r="N188">
        <v>1</v>
      </c>
      <c r="O188" s="7" t="s">
        <v>725</v>
      </c>
      <c r="P188" s="6">
        <v>10969128.789999999</v>
      </c>
      <c r="Q188" s="6">
        <v>-954160.19</v>
      </c>
      <c r="R188" s="17">
        <f t="shared" si="23"/>
        <v>-8.6999999999999994E-2</v>
      </c>
      <c r="S188" s="6">
        <f t="shared" si="28"/>
        <v>954160.19</v>
      </c>
      <c r="T188" s="6">
        <f t="shared" si="29"/>
        <v>639287.32999999996</v>
      </c>
    </row>
    <row r="189" spans="1:20" x14ac:dyDescent="0.2">
      <c r="A189">
        <v>581</v>
      </c>
      <c r="B189">
        <v>1</v>
      </c>
      <c r="C189" s="7" t="s">
        <v>182</v>
      </c>
      <c r="D189" s="21">
        <v>2196336.7599999998</v>
      </c>
      <c r="E189" s="21">
        <v>-191097.12</v>
      </c>
      <c r="F189" s="17">
        <f t="shared" si="26"/>
        <v>-8.7007203800000002E-2</v>
      </c>
      <c r="G189" s="21">
        <f t="shared" si="20"/>
        <v>191097.12</v>
      </c>
      <c r="H189" s="46">
        <f t="shared" si="21"/>
        <v>128035.07</v>
      </c>
      <c r="I189" s="43">
        <v>191050.46</v>
      </c>
      <c r="J189" s="43">
        <f t="shared" si="27"/>
        <v>46.660000000003492</v>
      </c>
      <c r="K189" s="43"/>
      <c r="L189">
        <f t="shared" si="22"/>
        <v>0</v>
      </c>
      <c r="M189">
        <v>581</v>
      </c>
      <c r="N189">
        <v>1</v>
      </c>
      <c r="O189" s="7" t="s">
        <v>726</v>
      </c>
      <c r="P189" s="6">
        <v>2196336.7599999998</v>
      </c>
      <c r="Q189" s="6">
        <v>-191050.46</v>
      </c>
      <c r="R189" s="17">
        <f t="shared" si="23"/>
        <v>-8.6999999999999994E-2</v>
      </c>
      <c r="S189" s="6">
        <f t="shared" si="28"/>
        <v>191050.46</v>
      </c>
      <c r="T189" s="6">
        <f t="shared" si="29"/>
        <v>128003.81</v>
      </c>
    </row>
    <row r="190" spans="1:20" x14ac:dyDescent="0.2">
      <c r="A190">
        <v>592</v>
      </c>
      <c r="B190">
        <v>1</v>
      </c>
      <c r="C190" s="7" t="s">
        <v>183</v>
      </c>
      <c r="D190" s="21">
        <v>1120008.46</v>
      </c>
      <c r="E190" s="21">
        <v>-97448.8</v>
      </c>
      <c r="F190" s="17">
        <f t="shared" si="26"/>
        <v>-8.7007199899999998E-2</v>
      </c>
      <c r="G190" s="21">
        <f t="shared" si="20"/>
        <v>97448.8</v>
      </c>
      <c r="H190" s="46">
        <f t="shared" si="21"/>
        <v>65290.7</v>
      </c>
      <c r="I190" s="43">
        <v>97425.01</v>
      </c>
      <c r="J190" s="43">
        <f t="shared" si="27"/>
        <v>23.790000000008149</v>
      </c>
      <c r="K190" s="43"/>
      <c r="L190">
        <f t="shared" si="22"/>
        <v>0</v>
      </c>
      <c r="M190">
        <v>592</v>
      </c>
      <c r="N190">
        <v>1</v>
      </c>
      <c r="O190" s="7" t="s">
        <v>727</v>
      </c>
      <c r="P190" s="6">
        <v>1120008.46</v>
      </c>
      <c r="Q190" s="6">
        <v>-97425.01</v>
      </c>
      <c r="R190" s="17">
        <f t="shared" si="23"/>
        <v>-8.6999999999999994E-2</v>
      </c>
      <c r="S190" s="6">
        <f t="shared" si="28"/>
        <v>97425.01</v>
      </c>
      <c r="T190" s="6">
        <f t="shared" si="29"/>
        <v>65274.76</v>
      </c>
    </row>
    <row r="191" spans="1:20" x14ac:dyDescent="0.2">
      <c r="A191">
        <v>593</v>
      </c>
      <c r="B191">
        <v>1</v>
      </c>
      <c r="C191" s="7" t="s">
        <v>184</v>
      </c>
      <c r="D191" s="21">
        <v>9476436.7300000004</v>
      </c>
      <c r="E191" s="21">
        <v>-824518.25</v>
      </c>
      <c r="F191" s="17">
        <f t="shared" si="26"/>
        <v>-8.7007202500000005E-2</v>
      </c>
      <c r="G191" s="21">
        <f t="shared" si="20"/>
        <v>824518.25</v>
      </c>
      <c r="H191" s="46">
        <f t="shared" si="21"/>
        <v>552427.23</v>
      </c>
      <c r="I191" s="43">
        <v>824316.94</v>
      </c>
      <c r="J191" s="43">
        <f t="shared" si="27"/>
        <v>201.31000000005588</v>
      </c>
      <c r="K191" s="43"/>
      <c r="L191">
        <f t="shared" si="22"/>
        <v>0</v>
      </c>
      <c r="M191">
        <v>593</v>
      </c>
      <c r="N191">
        <v>1</v>
      </c>
      <c r="O191" s="7" t="s">
        <v>728</v>
      </c>
      <c r="P191" s="6">
        <v>9476436.7300000004</v>
      </c>
      <c r="Q191" s="6">
        <v>-824316.94</v>
      </c>
      <c r="R191" s="17">
        <f t="shared" si="23"/>
        <v>-8.6999999999999994E-2</v>
      </c>
      <c r="S191" s="6">
        <f t="shared" si="28"/>
        <v>824316.94</v>
      </c>
      <c r="T191" s="6">
        <f t="shared" si="29"/>
        <v>552292.35</v>
      </c>
    </row>
    <row r="192" spans="1:20" x14ac:dyDescent="0.2">
      <c r="A192">
        <v>595</v>
      </c>
      <c r="B192">
        <v>1</v>
      </c>
      <c r="C192" s="7" t="s">
        <v>185</v>
      </c>
      <c r="D192" s="21">
        <v>11531837.199999999</v>
      </c>
      <c r="E192" s="21">
        <v>-1003352.9</v>
      </c>
      <c r="F192" s="17">
        <f t="shared" si="26"/>
        <v>-8.7007203000000005E-2</v>
      </c>
      <c r="G192" s="21">
        <f t="shared" si="20"/>
        <v>1003352.9</v>
      </c>
      <c r="H192" s="46">
        <f t="shared" si="21"/>
        <v>672246.44</v>
      </c>
      <c r="I192" s="43">
        <v>1003107.92</v>
      </c>
      <c r="J192" s="43">
        <f t="shared" si="27"/>
        <v>244.97999999998137</v>
      </c>
      <c r="K192" s="43"/>
      <c r="L192">
        <f t="shared" si="22"/>
        <v>0</v>
      </c>
      <c r="M192">
        <v>595</v>
      </c>
      <c r="N192">
        <v>1</v>
      </c>
      <c r="O192" s="7" t="s">
        <v>729</v>
      </c>
      <c r="P192" s="6">
        <v>11531837.199999999</v>
      </c>
      <c r="Q192" s="6">
        <v>-1003107.92</v>
      </c>
      <c r="R192" s="17">
        <f t="shared" si="23"/>
        <v>-8.6999999999999994E-2</v>
      </c>
      <c r="S192" s="6">
        <f t="shared" si="28"/>
        <v>1003107.92</v>
      </c>
      <c r="T192" s="6">
        <f t="shared" si="29"/>
        <v>672082.31</v>
      </c>
    </row>
    <row r="193" spans="1:20" x14ac:dyDescent="0.2">
      <c r="A193">
        <v>599</v>
      </c>
      <c r="B193">
        <v>1</v>
      </c>
      <c r="C193" s="7" t="s">
        <v>186</v>
      </c>
      <c r="D193" s="21">
        <v>3685944.51</v>
      </c>
      <c r="E193" s="21">
        <v>-320703.71999999997</v>
      </c>
      <c r="F193" s="17">
        <f t="shared" si="26"/>
        <v>-8.7007202399999997E-2</v>
      </c>
      <c r="G193" s="21">
        <f t="shared" si="20"/>
        <v>320703.71999999997</v>
      </c>
      <c r="H193" s="46">
        <f t="shared" si="21"/>
        <v>214871.49</v>
      </c>
      <c r="I193" s="43">
        <v>320625.42</v>
      </c>
      <c r="J193" s="43">
        <f t="shared" si="27"/>
        <v>78.299999999988358</v>
      </c>
      <c r="K193" s="43"/>
      <c r="L193">
        <f t="shared" si="22"/>
        <v>0</v>
      </c>
      <c r="M193">
        <v>599</v>
      </c>
      <c r="N193">
        <v>1</v>
      </c>
      <c r="O193" s="7" t="s">
        <v>730</v>
      </c>
      <c r="P193" s="6">
        <v>3685944.51</v>
      </c>
      <c r="Q193" s="6">
        <v>-320625.42</v>
      </c>
      <c r="R193" s="17">
        <f t="shared" si="23"/>
        <v>-8.6999999999999994E-2</v>
      </c>
      <c r="S193" s="6">
        <f t="shared" si="28"/>
        <v>320625.42</v>
      </c>
      <c r="T193" s="6">
        <f t="shared" si="29"/>
        <v>214819.03</v>
      </c>
    </row>
    <row r="194" spans="1:20" x14ac:dyDescent="0.2">
      <c r="A194">
        <v>600</v>
      </c>
      <c r="B194">
        <v>1</v>
      </c>
      <c r="C194" s="7" t="s">
        <v>187</v>
      </c>
      <c r="D194" s="21">
        <v>1923168.11</v>
      </c>
      <c r="E194" s="21">
        <v>-167329.48000000001</v>
      </c>
      <c r="F194" s="17">
        <f t="shared" si="26"/>
        <v>-8.7007204000000005E-2</v>
      </c>
      <c r="G194" s="21">
        <f t="shared" si="20"/>
        <v>167329.48000000001</v>
      </c>
      <c r="H194" s="46">
        <f t="shared" si="21"/>
        <v>112110.75</v>
      </c>
      <c r="I194" s="43">
        <v>167288.62</v>
      </c>
      <c r="J194" s="43">
        <f t="shared" si="27"/>
        <v>40.860000000015134</v>
      </c>
      <c r="K194" s="43"/>
      <c r="L194">
        <f t="shared" si="22"/>
        <v>0</v>
      </c>
      <c r="M194">
        <v>600</v>
      </c>
      <c r="N194">
        <v>1</v>
      </c>
      <c r="O194" s="7" t="s">
        <v>731</v>
      </c>
      <c r="P194" s="6">
        <v>1923168.11</v>
      </c>
      <c r="Q194" s="6">
        <v>-167288.62</v>
      </c>
      <c r="R194" s="17">
        <f t="shared" si="23"/>
        <v>-8.6999999999999994E-2</v>
      </c>
      <c r="S194" s="6">
        <f t="shared" si="28"/>
        <v>167288.62</v>
      </c>
      <c r="T194" s="6">
        <f t="shared" si="29"/>
        <v>112083.38</v>
      </c>
    </row>
    <row r="195" spans="1:20" x14ac:dyDescent="0.2">
      <c r="A195">
        <v>601</v>
      </c>
      <c r="B195">
        <v>1</v>
      </c>
      <c r="C195" s="7" t="s">
        <v>188</v>
      </c>
      <c r="D195" s="21">
        <v>4824920.16</v>
      </c>
      <c r="E195" s="21">
        <v>-419802.81</v>
      </c>
      <c r="F195" s="17">
        <f t="shared" si="26"/>
        <v>-8.7007203500000005E-2</v>
      </c>
      <c r="G195" s="21">
        <f t="shared" si="20"/>
        <v>419802.81</v>
      </c>
      <c r="H195" s="46">
        <f t="shared" si="21"/>
        <v>281267.88</v>
      </c>
      <c r="I195" s="43">
        <v>419700.31</v>
      </c>
      <c r="J195" s="43">
        <f t="shared" si="27"/>
        <v>102.5</v>
      </c>
      <c r="K195" s="43"/>
      <c r="L195">
        <f t="shared" si="22"/>
        <v>0</v>
      </c>
      <c r="M195">
        <v>601</v>
      </c>
      <c r="N195">
        <v>1</v>
      </c>
      <c r="O195" s="7" t="s">
        <v>732</v>
      </c>
      <c r="P195" s="6">
        <v>4824920.16</v>
      </c>
      <c r="Q195" s="6">
        <v>-419700.31</v>
      </c>
      <c r="R195" s="17">
        <f t="shared" si="23"/>
        <v>-8.6999999999999994E-2</v>
      </c>
      <c r="S195" s="6">
        <f t="shared" si="28"/>
        <v>419700.31</v>
      </c>
      <c r="T195" s="6">
        <f t="shared" si="29"/>
        <v>281199.21000000002</v>
      </c>
    </row>
    <row r="196" spans="1:20" x14ac:dyDescent="0.2">
      <c r="A196">
        <v>611</v>
      </c>
      <c r="B196">
        <v>1</v>
      </c>
      <c r="C196" s="7" t="s">
        <v>189</v>
      </c>
      <c r="D196" s="21">
        <v>690839.14</v>
      </c>
      <c r="E196" s="21">
        <v>-60107.98</v>
      </c>
      <c r="F196" s="17">
        <f t="shared" si="26"/>
        <v>-8.7007201100000001E-2</v>
      </c>
      <c r="G196" s="21">
        <f t="shared" si="20"/>
        <v>60107.98</v>
      </c>
      <c r="H196" s="46">
        <f t="shared" si="21"/>
        <v>40272.35</v>
      </c>
      <c r="I196" s="43">
        <v>60093.31</v>
      </c>
      <c r="J196" s="43">
        <f t="shared" si="27"/>
        <v>14.67000000000553</v>
      </c>
      <c r="K196" s="43"/>
      <c r="L196">
        <f t="shared" si="22"/>
        <v>0</v>
      </c>
      <c r="M196">
        <v>611</v>
      </c>
      <c r="N196">
        <v>1</v>
      </c>
      <c r="O196" s="7" t="s">
        <v>733</v>
      </c>
      <c r="P196" s="6">
        <v>690839.14</v>
      </c>
      <c r="Q196" s="6">
        <v>-60093.31</v>
      </c>
      <c r="R196" s="17">
        <f t="shared" si="23"/>
        <v>-8.6999999999999994E-2</v>
      </c>
      <c r="S196" s="6">
        <f t="shared" si="28"/>
        <v>60093.31</v>
      </c>
      <c r="T196" s="6">
        <f t="shared" si="29"/>
        <v>40262.519999999997</v>
      </c>
    </row>
    <row r="197" spans="1:20" x14ac:dyDescent="0.2">
      <c r="A197">
        <v>621</v>
      </c>
      <c r="B197">
        <v>1</v>
      </c>
      <c r="C197" s="7" t="s">
        <v>190</v>
      </c>
      <c r="D197" s="21">
        <v>68201223.810000002</v>
      </c>
      <c r="E197" s="21">
        <v>-5933997.7000000002</v>
      </c>
      <c r="F197" s="17">
        <f t="shared" si="26"/>
        <v>-8.70072026E-2</v>
      </c>
      <c r="G197" s="21">
        <f t="shared" si="20"/>
        <v>5933997.7000000002</v>
      </c>
      <c r="H197" s="46">
        <f t="shared" si="21"/>
        <v>3975778.46</v>
      </c>
      <c r="I197" s="43">
        <v>5932548.8700000001</v>
      </c>
      <c r="J197" s="43">
        <f t="shared" si="27"/>
        <v>1448.8300000000745</v>
      </c>
      <c r="K197" s="43"/>
      <c r="L197">
        <f t="shared" si="22"/>
        <v>0</v>
      </c>
      <c r="M197">
        <v>621</v>
      </c>
      <c r="N197">
        <v>1</v>
      </c>
      <c r="O197" s="7" t="s">
        <v>734</v>
      </c>
      <c r="P197" s="6">
        <v>68201223.810000002</v>
      </c>
      <c r="Q197" s="6">
        <v>-5932548.8700000001</v>
      </c>
      <c r="R197" s="17">
        <f t="shared" si="23"/>
        <v>-8.6999999999999994E-2</v>
      </c>
      <c r="S197" s="6">
        <f t="shared" si="28"/>
        <v>5932548.8700000001</v>
      </c>
      <c r="T197" s="6">
        <f t="shared" si="29"/>
        <v>3974807.74</v>
      </c>
    </row>
    <row r="198" spans="1:20" x14ac:dyDescent="0.2">
      <c r="A198">
        <v>622</v>
      </c>
      <c r="B198">
        <v>1</v>
      </c>
      <c r="C198" s="7" t="s">
        <v>191</v>
      </c>
      <c r="D198" s="21">
        <v>81981289.430000007</v>
      </c>
      <c r="E198" s="21">
        <v>-7132962.6600000001</v>
      </c>
      <c r="F198" s="17">
        <f t="shared" si="26"/>
        <v>-8.70072026E-2</v>
      </c>
      <c r="G198" s="21">
        <f t="shared" si="20"/>
        <v>7132962.6600000001</v>
      </c>
      <c r="H198" s="46">
        <f t="shared" si="21"/>
        <v>4779084.9800000004</v>
      </c>
      <c r="I198" s="43">
        <v>7131221.0899999999</v>
      </c>
      <c r="J198" s="43">
        <f t="shared" si="27"/>
        <v>1741.570000000298</v>
      </c>
      <c r="K198" s="43"/>
      <c r="L198">
        <f t="shared" si="22"/>
        <v>0</v>
      </c>
      <c r="M198">
        <v>622</v>
      </c>
      <c r="N198">
        <v>1</v>
      </c>
      <c r="O198" s="7" t="s">
        <v>735</v>
      </c>
      <c r="P198" s="6">
        <v>81981289.430000007</v>
      </c>
      <c r="Q198" s="6">
        <v>-7131221.0899999999</v>
      </c>
      <c r="R198" s="17">
        <f t="shared" si="23"/>
        <v>-8.6999999999999994E-2</v>
      </c>
      <c r="S198" s="6">
        <f t="shared" si="28"/>
        <v>7131221.0899999999</v>
      </c>
      <c r="T198" s="6">
        <f t="shared" si="29"/>
        <v>4777918.13</v>
      </c>
    </row>
    <row r="199" spans="1:20" x14ac:dyDescent="0.2">
      <c r="A199">
        <v>623</v>
      </c>
      <c r="B199">
        <v>1</v>
      </c>
      <c r="C199" s="7" t="s">
        <v>192</v>
      </c>
      <c r="D199" s="21">
        <v>44335145.140000001</v>
      </c>
      <c r="E199" s="21">
        <v>-3857476.96</v>
      </c>
      <c r="F199" s="17">
        <f t="shared" si="26"/>
        <v>-8.7007202699999994E-2</v>
      </c>
      <c r="G199" s="21">
        <f t="shared" si="20"/>
        <v>3857476.96</v>
      </c>
      <c r="H199" s="46">
        <f t="shared" si="21"/>
        <v>2584509.56</v>
      </c>
      <c r="I199" s="43">
        <v>3856535.12</v>
      </c>
      <c r="J199" s="43">
        <f t="shared" si="27"/>
        <v>941.83999999985099</v>
      </c>
      <c r="K199" s="43"/>
      <c r="L199">
        <f t="shared" si="22"/>
        <v>0</v>
      </c>
      <c r="M199">
        <v>623</v>
      </c>
      <c r="N199">
        <v>1</v>
      </c>
      <c r="O199" s="7" t="s">
        <v>736</v>
      </c>
      <c r="P199" s="6">
        <v>44335145.140000001</v>
      </c>
      <c r="Q199" s="6">
        <v>-3856535.12</v>
      </c>
      <c r="R199" s="17">
        <f t="shared" si="23"/>
        <v>-8.6999999999999994E-2</v>
      </c>
      <c r="S199" s="6">
        <f t="shared" si="28"/>
        <v>3856535.12</v>
      </c>
      <c r="T199" s="6">
        <f t="shared" si="29"/>
        <v>2583878.5299999998</v>
      </c>
    </row>
    <row r="200" spans="1:20" x14ac:dyDescent="0.2">
      <c r="A200">
        <v>624</v>
      </c>
      <c r="B200">
        <v>1</v>
      </c>
      <c r="C200" s="7" t="s">
        <v>193</v>
      </c>
      <c r="D200" s="21">
        <v>55095000.630000003</v>
      </c>
      <c r="E200" s="21">
        <v>-4793661.88</v>
      </c>
      <c r="F200" s="17">
        <f t="shared" si="26"/>
        <v>-8.70072026E-2</v>
      </c>
      <c r="G200" s="21">
        <f t="shared" si="20"/>
        <v>4793661.88</v>
      </c>
      <c r="H200" s="46">
        <f t="shared" si="21"/>
        <v>3211753.46</v>
      </c>
      <c r="I200" s="43">
        <v>4792491.47</v>
      </c>
      <c r="J200" s="43">
        <f t="shared" si="27"/>
        <v>1170.410000000149</v>
      </c>
      <c r="K200" s="43"/>
      <c r="L200">
        <f t="shared" si="22"/>
        <v>0</v>
      </c>
      <c r="M200">
        <v>624</v>
      </c>
      <c r="N200">
        <v>1</v>
      </c>
      <c r="O200" s="7" t="s">
        <v>737</v>
      </c>
      <c r="P200" s="6">
        <v>55095000.630000003</v>
      </c>
      <c r="Q200" s="6">
        <v>-4792491.47</v>
      </c>
      <c r="R200" s="17">
        <f t="shared" si="23"/>
        <v>-8.6999999999999994E-2</v>
      </c>
      <c r="S200" s="6">
        <f t="shared" ref="S200:S263" si="30">Q200*-1</f>
        <v>4792491.47</v>
      </c>
      <c r="T200" s="6">
        <f t="shared" si="29"/>
        <v>3210969.28</v>
      </c>
    </row>
    <row r="201" spans="1:20" x14ac:dyDescent="0.2">
      <c r="A201">
        <v>625</v>
      </c>
      <c r="B201">
        <v>1</v>
      </c>
      <c r="C201" s="7" t="s">
        <v>194</v>
      </c>
      <c r="D201" s="21">
        <v>334836995.85000002</v>
      </c>
      <c r="E201" s="21">
        <v>-29133230.34</v>
      </c>
      <c r="F201" s="17">
        <f t="shared" si="26"/>
        <v>-8.70072026E-2</v>
      </c>
      <c r="G201" s="21">
        <f t="shared" si="20"/>
        <v>29133230.34</v>
      </c>
      <c r="H201" s="46">
        <f t="shared" si="21"/>
        <v>19519264.329999998</v>
      </c>
      <c r="I201" s="43">
        <v>29126117.239999998</v>
      </c>
      <c r="J201" s="43">
        <f t="shared" si="27"/>
        <v>7113.1000000014901</v>
      </c>
      <c r="K201" s="43"/>
      <c r="L201">
        <f t="shared" si="22"/>
        <v>0</v>
      </c>
      <c r="M201">
        <v>625</v>
      </c>
      <c r="N201">
        <v>1</v>
      </c>
      <c r="O201" s="7" t="s">
        <v>738</v>
      </c>
      <c r="P201" s="6">
        <v>334836995.85000002</v>
      </c>
      <c r="Q201" s="6">
        <v>-29126117.239999998</v>
      </c>
      <c r="R201" s="17">
        <f t="shared" si="23"/>
        <v>-8.6999999999999994E-2</v>
      </c>
      <c r="S201" s="6">
        <f t="shared" si="30"/>
        <v>29126117.239999998</v>
      </c>
      <c r="T201" s="6">
        <f t="shared" ref="T201:T264" si="31">ROUND(S201*0.67,2)</f>
        <v>19514498.550000001</v>
      </c>
    </row>
    <row r="202" spans="1:20" x14ac:dyDescent="0.2">
      <c r="A202">
        <v>627</v>
      </c>
      <c r="B202">
        <v>1</v>
      </c>
      <c r="C202" s="7" t="s">
        <v>195</v>
      </c>
      <c r="D202" s="21">
        <v>1769241.78</v>
      </c>
      <c r="E202" s="21">
        <v>-153936.78</v>
      </c>
      <c r="F202" s="17">
        <f t="shared" si="26"/>
        <v>-8.7007203699999994E-2</v>
      </c>
      <c r="G202" s="21">
        <f t="shared" si="20"/>
        <v>153936.78</v>
      </c>
      <c r="H202" s="46">
        <f t="shared" si="21"/>
        <v>103137.64</v>
      </c>
      <c r="I202" s="43">
        <v>153899.19</v>
      </c>
      <c r="J202" s="43">
        <f t="shared" si="27"/>
        <v>37.589999999996508</v>
      </c>
      <c r="K202" s="43"/>
      <c r="L202">
        <f t="shared" si="22"/>
        <v>0</v>
      </c>
      <c r="M202">
        <v>627</v>
      </c>
      <c r="N202">
        <v>1</v>
      </c>
      <c r="O202" s="7" t="s">
        <v>739</v>
      </c>
      <c r="P202" s="6">
        <v>1769241.78</v>
      </c>
      <c r="Q202" s="6">
        <v>-153899.19</v>
      </c>
      <c r="R202" s="17">
        <f t="shared" si="23"/>
        <v>-8.6999999999999994E-2</v>
      </c>
      <c r="S202" s="6">
        <f t="shared" si="30"/>
        <v>153899.19</v>
      </c>
      <c r="T202" s="6">
        <f t="shared" si="31"/>
        <v>103112.46</v>
      </c>
    </row>
    <row r="203" spans="1:20" x14ac:dyDescent="0.2">
      <c r="A203">
        <v>628</v>
      </c>
      <c r="B203">
        <v>1</v>
      </c>
      <c r="C203" s="7" t="s">
        <v>196</v>
      </c>
      <c r="D203" s="21">
        <v>1117493.81</v>
      </c>
      <c r="E203" s="21">
        <v>-97230.01</v>
      </c>
      <c r="F203" s="17">
        <f t="shared" si="26"/>
        <v>-8.7007202300000003E-2</v>
      </c>
      <c r="G203" s="21">
        <f t="shared" si="20"/>
        <v>97230.01</v>
      </c>
      <c r="H203" s="46">
        <f t="shared" si="21"/>
        <v>65144.11</v>
      </c>
      <c r="I203" s="43">
        <v>97206.27</v>
      </c>
      <c r="J203" s="43">
        <f t="shared" si="27"/>
        <v>23.739999999990687</v>
      </c>
      <c r="K203" s="43"/>
      <c r="L203">
        <f t="shared" si="22"/>
        <v>0</v>
      </c>
      <c r="M203">
        <v>628</v>
      </c>
      <c r="N203">
        <v>1</v>
      </c>
      <c r="O203" s="7" t="s">
        <v>740</v>
      </c>
      <c r="P203" s="6">
        <v>1117493.81</v>
      </c>
      <c r="Q203" s="6">
        <v>-97206.27</v>
      </c>
      <c r="R203" s="17">
        <f t="shared" si="23"/>
        <v>-8.6999999999999994E-2</v>
      </c>
      <c r="S203" s="6">
        <f t="shared" si="30"/>
        <v>97206.27</v>
      </c>
      <c r="T203" s="6">
        <f t="shared" si="31"/>
        <v>65128.2</v>
      </c>
    </row>
    <row r="204" spans="1:20" x14ac:dyDescent="0.2">
      <c r="A204">
        <v>630</v>
      </c>
      <c r="B204">
        <v>1</v>
      </c>
      <c r="C204" s="7" t="s">
        <v>197</v>
      </c>
      <c r="D204" s="21">
        <v>2816764.31</v>
      </c>
      <c r="E204" s="21">
        <v>-245078.78</v>
      </c>
      <c r="F204" s="17">
        <f t="shared" si="26"/>
        <v>-8.7007201500000006E-2</v>
      </c>
      <c r="G204" s="21">
        <f t="shared" si="20"/>
        <v>245078.78</v>
      </c>
      <c r="H204" s="46">
        <f t="shared" si="21"/>
        <v>164202.78</v>
      </c>
      <c r="I204" s="43">
        <v>245018.95</v>
      </c>
      <c r="J204" s="43">
        <f t="shared" si="27"/>
        <v>59.829999999987194</v>
      </c>
      <c r="K204" s="43"/>
      <c r="L204">
        <f t="shared" si="22"/>
        <v>0</v>
      </c>
      <c r="M204">
        <v>630</v>
      </c>
      <c r="N204">
        <v>1</v>
      </c>
      <c r="O204" s="7" t="s">
        <v>741</v>
      </c>
      <c r="P204" s="6">
        <v>2816764.31</v>
      </c>
      <c r="Q204" s="6">
        <v>-245018.95</v>
      </c>
      <c r="R204" s="17">
        <f t="shared" si="23"/>
        <v>-8.6999999999999994E-2</v>
      </c>
      <c r="S204" s="6">
        <f t="shared" si="30"/>
        <v>245018.95</v>
      </c>
      <c r="T204" s="6">
        <f t="shared" si="31"/>
        <v>164162.70000000001</v>
      </c>
    </row>
    <row r="205" spans="1:20" x14ac:dyDescent="0.2">
      <c r="A205">
        <v>635</v>
      </c>
      <c r="B205">
        <v>1</v>
      </c>
      <c r="C205" s="7" t="s">
        <v>198</v>
      </c>
      <c r="D205" s="21">
        <v>576068.79</v>
      </c>
      <c r="E205" s="21">
        <v>-50122.13</v>
      </c>
      <c r="F205" s="17">
        <f t="shared" si="26"/>
        <v>-8.7007195800000006E-2</v>
      </c>
      <c r="G205" s="21">
        <f t="shared" si="20"/>
        <v>50122.13</v>
      </c>
      <c r="H205" s="46">
        <f t="shared" si="21"/>
        <v>33581.83</v>
      </c>
      <c r="I205" s="43">
        <v>50109.9</v>
      </c>
      <c r="J205" s="43">
        <f t="shared" si="27"/>
        <v>12.229999999995925</v>
      </c>
      <c r="K205" s="43"/>
      <c r="L205">
        <f t="shared" si="22"/>
        <v>0</v>
      </c>
      <c r="M205">
        <v>635</v>
      </c>
      <c r="N205">
        <v>1</v>
      </c>
      <c r="O205" s="7" t="s">
        <v>742</v>
      </c>
      <c r="P205" s="6">
        <v>576068.79</v>
      </c>
      <c r="Q205" s="6">
        <v>-50109.9</v>
      </c>
      <c r="R205" s="17">
        <f t="shared" si="23"/>
        <v>-8.6999999999999994E-2</v>
      </c>
      <c r="S205" s="6">
        <f t="shared" si="30"/>
        <v>50109.9</v>
      </c>
      <c r="T205" s="6">
        <f t="shared" si="31"/>
        <v>33573.629999999997</v>
      </c>
    </row>
    <row r="206" spans="1:20" x14ac:dyDescent="0.2">
      <c r="A206">
        <v>640</v>
      </c>
      <c r="B206">
        <v>1</v>
      </c>
      <c r="C206" s="7" t="s">
        <v>199</v>
      </c>
      <c r="D206" s="21">
        <v>2819744.72</v>
      </c>
      <c r="E206" s="21">
        <v>-245338.1</v>
      </c>
      <c r="F206" s="17">
        <f t="shared" si="26"/>
        <v>-8.70072026E-2</v>
      </c>
      <c r="G206" s="21">
        <f t="shared" ref="G206:G253" si="32">E206*-1</f>
        <v>245338.1</v>
      </c>
      <c r="H206" s="46">
        <f t="shared" ref="H206:H254" si="33">ROUND(G206*0.67,2)</f>
        <v>164376.53</v>
      </c>
      <c r="I206" s="43">
        <v>245278.2</v>
      </c>
      <c r="J206" s="43">
        <f t="shared" si="27"/>
        <v>59.899999999994179</v>
      </c>
      <c r="K206" s="43"/>
      <c r="L206">
        <f t="shared" ref="L206:L269" si="34">M206-A206</f>
        <v>0</v>
      </c>
      <c r="M206">
        <v>640</v>
      </c>
      <c r="N206">
        <v>1</v>
      </c>
      <c r="O206" s="7" t="s">
        <v>743</v>
      </c>
      <c r="P206" s="6">
        <v>2819744.72</v>
      </c>
      <c r="Q206" s="6">
        <v>-245278.2</v>
      </c>
      <c r="R206" s="17">
        <f t="shared" ref="R206:R269" si="35">IF(P206&gt;0,ROUND(Q206/P206,3),"na   ")</f>
        <v>-8.6999999999999994E-2</v>
      </c>
      <c r="S206" s="6">
        <f t="shared" si="30"/>
        <v>245278.2</v>
      </c>
      <c r="T206" s="6">
        <f t="shared" si="31"/>
        <v>164336.39000000001</v>
      </c>
    </row>
    <row r="207" spans="1:20" x14ac:dyDescent="0.2">
      <c r="A207">
        <v>656</v>
      </c>
      <c r="B207">
        <v>1</v>
      </c>
      <c r="C207" s="7" t="s">
        <v>200</v>
      </c>
      <c r="D207" s="21">
        <v>28096250.100000001</v>
      </c>
      <c r="E207" s="21">
        <v>-2444576.12</v>
      </c>
      <c r="F207" s="17">
        <f t="shared" ref="F207:F253" si="36">IF(D207&gt;0,ROUND(E207/D207,10),"na   ")</f>
        <v>-8.7007202399999997E-2</v>
      </c>
      <c r="G207" s="21">
        <f t="shared" si="32"/>
        <v>2444576.12</v>
      </c>
      <c r="H207" s="46">
        <f t="shared" si="33"/>
        <v>1637866</v>
      </c>
      <c r="I207" s="43">
        <v>2443979.2599999998</v>
      </c>
      <c r="J207" s="43">
        <f t="shared" ref="J207:J253" si="37">G207-I207</f>
        <v>596.86000000033528</v>
      </c>
      <c r="K207" s="43"/>
      <c r="L207">
        <f t="shared" si="34"/>
        <v>0</v>
      </c>
      <c r="M207">
        <v>656</v>
      </c>
      <c r="N207">
        <v>1</v>
      </c>
      <c r="O207" s="7" t="s">
        <v>744</v>
      </c>
      <c r="P207" s="6">
        <v>28096250.100000001</v>
      </c>
      <c r="Q207" s="6">
        <v>-2443979.2599999998</v>
      </c>
      <c r="R207" s="17">
        <f t="shared" si="35"/>
        <v>-8.6999999999999994E-2</v>
      </c>
      <c r="S207" s="6">
        <f t="shared" si="30"/>
        <v>2443979.2599999998</v>
      </c>
      <c r="T207" s="6">
        <f t="shared" si="31"/>
        <v>1637466.1</v>
      </c>
    </row>
    <row r="208" spans="1:20" x14ac:dyDescent="0.2">
      <c r="A208">
        <v>659</v>
      </c>
      <c r="B208">
        <v>1</v>
      </c>
      <c r="C208" s="7" t="s">
        <v>201</v>
      </c>
      <c r="D208" s="21">
        <v>25393784.75</v>
      </c>
      <c r="E208" s="21">
        <v>-2209442.17</v>
      </c>
      <c r="F208" s="17">
        <f t="shared" si="36"/>
        <v>-8.7007202399999997E-2</v>
      </c>
      <c r="G208" s="21">
        <f t="shared" si="32"/>
        <v>2209442.17</v>
      </c>
      <c r="H208" s="46">
        <f t="shared" si="33"/>
        <v>1480326.25</v>
      </c>
      <c r="I208" s="43">
        <v>2208902.7200000002</v>
      </c>
      <c r="J208" s="43">
        <f t="shared" si="37"/>
        <v>539.4499999997206</v>
      </c>
      <c r="K208" s="43"/>
      <c r="L208">
        <f t="shared" si="34"/>
        <v>0</v>
      </c>
      <c r="M208">
        <v>659</v>
      </c>
      <c r="N208">
        <v>1</v>
      </c>
      <c r="O208" s="7" t="s">
        <v>745</v>
      </c>
      <c r="P208" s="6">
        <v>25393784.75</v>
      </c>
      <c r="Q208" s="6">
        <v>-2208902.7200000002</v>
      </c>
      <c r="R208" s="17">
        <f t="shared" si="35"/>
        <v>-8.6999999999999994E-2</v>
      </c>
      <c r="S208" s="6">
        <f t="shared" si="30"/>
        <v>2208902.7200000002</v>
      </c>
      <c r="T208" s="6">
        <f t="shared" si="31"/>
        <v>1479964.82</v>
      </c>
    </row>
    <row r="209" spans="1:20" x14ac:dyDescent="0.2">
      <c r="A209">
        <v>671</v>
      </c>
      <c r="B209">
        <v>1</v>
      </c>
      <c r="C209" s="7" t="s">
        <v>202</v>
      </c>
      <c r="D209" s="21">
        <v>2267884.0299999998</v>
      </c>
      <c r="E209" s="21">
        <v>-197322.25</v>
      </c>
      <c r="F209" s="17">
        <f t="shared" si="36"/>
        <v>-8.7007204699999993E-2</v>
      </c>
      <c r="G209" s="21">
        <f t="shared" si="32"/>
        <v>197322.25</v>
      </c>
      <c r="H209" s="46">
        <f t="shared" si="33"/>
        <v>132205.91</v>
      </c>
      <c r="I209" s="43">
        <v>197274.07</v>
      </c>
      <c r="J209" s="43">
        <f t="shared" si="37"/>
        <v>48.179999999993015</v>
      </c>
      <c r="K209" s="43"/>
      <c r="L209">
        <f t="shared" si="34"/>
        <v>0</v>
      </c>
      <c r="M209">
        <v>671</v>
      </c>
      <c r="N209">
        <v>1</v>
      </c>
      <c r="O209" s="7" t="s">
        <v>746</v>
      </c>
      <c r="P209" s="6">
        <v>2267884.0299999998</v>
      </c>
      <c r="Q209" s="6">
        <v>-197274.07</v>
      </c>
      <c r="R209" s="17">
        <f t="shared" si="35"/>
        <v>-8.6999999999999994E-2</v>
      </c>
      <c r="S209" s="6">
        <f t="shared" si="30"/>
        <v>197274.07</v>
      </c>
      <c r="T209" s="6">
        <f t="shared" si="31"/>
        <v>132173.63</v>
      </c>
    </row>
    <row r="210" spans="1:20" x14ac:dyDescent="0.2">
      <c r="A210">
        <v>676</v>
      </c>
      <c r="B210">
        <v>1</v>
      </c>
      <c r="C210" s="7" t="s">
        <v>203</v>
      </c>
      <c r="D210" s="21">
        <v>1614074.47</v>
      </c>
      <c r="E210" s="21">
        <v>-140436.1</v>
      </c>
      <c r="F210" s="17">
        <f t="shared" si="36"/>
        <v>-8.7007199899999998E-2</v>
      </c>
      <c r="G210" s="21">
        <f t="shared" si="32"/>
        <v>140436.1</v>
      </c>
      <c r="H210" s="46">
        <f t="shared" si="33"/>
        <v>94092.19</v>
      </c>
      <c r="I210" s="43">
        <v>140401.82</v>
      </c>
      <c r="J210" s="43">
        <f t="shared" si="37"/>
        <v>34.279999999998836</v>
      </c>
      <c r="K210" s="43"/>
      <c r="L210">
        <f t="shared" si="34"/>
        <v>0</v>
      </c>
      <c r="M210">
        <v>676</v>
      </c>
      <c r="N210">
        <v>1</v>
      </c>
      <c r="O210" s="7" t="s">
        <v>747</v>
      </c>
      <c r="P210" s="6">
        <v>1614074.47</v>
      </c>
      <c r="Q210" s="6">
        <v>-140401.82</v>
      </c>
      <c r="R210" s="17">
        <f t="shared" si="35"/>
        <v>-8.6999999999999994E-2</v>
      </c>
      <c r="S210" s="6">
        <f t="shared" si="30"/>
        <v>140401.82</v>
      </c>
      <c r="T210" s="6">
        <f t="shared" si="31"/>
        <v>94069.22</v>
      </c>
    </row>
    <row r="211" spans="1:20" x14ac:dyDescent="0.2">
      <c r="A211">
        <v>682</v>
      </c>
      <c r="B211">
        <v>1</v>
      </c>
      <c r="C211" s="7" t="s">
        <v>204</v>
      </c>
      <c r="D211" s="21">
        <v>8808220.8399999999</v>
      </c>
      <c r="E211" s="21">
        <v>-766378.66</v>
      </c>
      <c r="F211" s="17">
        <f t="shared" si="36"/>
        <v>-8.70072031E-2</v>
      </c>
      <c r="G211" s="21">
        <f t="shared" si="32"/>
        <v>766378.66</v>
      </c>
      <c r="H211" s="46">
        <f t="shared" si="33"/>
        <v>513473.7</v>
      </c>
      <c r="I211" s="43">
        <v>766191.54</v>
      </c>
      <c r="J211" s="43">
        <f t="shared" si="37"/>
        <v>187.11999999999534</v>
      </c>
      <c r="K211" s="43"/>
      <c r="L211">
        <f t="shared" si="34"/>
        <v>0</v>
      </c>
      <c r="M211">
        <v>682</v>
      </c>
      <c r="N211">
        <v>1</v>
      </c>
      <c r="O211" s="7" t="s">
        <v>748</v>
      </c>
      <c r="P211" s="6">
        <v>8808220.8399999999</v>
      </c>
      <c r="Q211" s="6">
        <v>-766191.54</v>
      </c>
      <c r="R211" s="17">
        <f t="shared" si="35"/>
        <v>-8.6999999999999994E-2</v>
      </c>
      <c r="S211" s="6">
        <f t="shared" si="30"/>
        <v>766191.54</v>
      </c>
      <c r="T211" s="6">
        <f t="shared" si="31"/>
        <v>513348.33</v>
      </c>
    </row>
    <row r="212" spans="1:20" x14ac:dyDescent="0.2">
      <c r="A212">
        <v>690</v>
      </c>
      <c r="B212">
        <v>1</v>
      </c>
      <c r="C212" s="7" t="s">
        <v>205</v>
      </c>
      <c r="D212" s="21">
        <v>8340059.3700000001</v>
      </c>
      <c r="E212" s="21">
        <v>-725645.24</v>
      </c>
      <c r="F212" s="17">
        <f t="shared" si="36"/>
        <v>-8.7007203199999994E-2</v>
      </c>
      <c r="G212" s="21">
        <f t="shared" si="32"/>
        <v>725645.24</v>
      </c>
      <c r="H212" s="46">
        <f t="shared" si="33"/>
        <v>486182.31</v>
      </c>
      <c r="I212" s="43">
        <v>725468.06</v>
      </c>
      <c r="J212" s="43">
        <f t="shared" si="37"/>
        <v>177.17999999993481</v>
      </c>
      <c r="K212" s="43"/>
      <c r="L212">
        <f t="shared" si="34"/>
        <v>0</v>
      </c>
      <c r="M212">
        <v>690</v>
      </c>
      <c r="N212">
        <v>1</v>
      </c>
      <c r="O212" s="7" t="s">
        <v>749</v>
      </c>
      <c r="P212" s="6">
        <v>8340059.3700000001</v>
      </c>
      <c r="Q212" s="6">
        <v>-725468.06</v>
      </c>
      <c r="R212" s="17">
        <f t="shared" si="35"/>
        <v>-8.6999999999999994E-2</v>
      </c>
      <c r="S212" s="6">
        <f t="shared" si="30"/>
        <v>725468.06</v>
      </c>
      <c r="T212" s="6">
        <f t="shared" si="31"/>
        <v>486063.6</v>
      </c>
    </row>
    <row r="213" spans="1:20" x14ac:dyDescent="0.2">
      <c r="A213">
        <v>695</v>
      </c>
      <c r="B213">
        <v>1</v>
      </c>
      <c r="C213" s="7" t="s">
        <v>206</v>
      </c>
      <c r="D213" s="21">
        <v>5205674.91</v>
      </c>
      <c r="E213" s="21">
        <v>-452931.21</v>
      </c>
      <c r="F213" s="17">
        <f t="shared" si="36"/>
        <v>-8.7007202300000003E-2</v>
      </c>
      <c r="G213" s="21">
        <f t="shared" si="32"/>
        <v>452931.21</v>
      </c>
      <c r="H213" s="46">
        <f t="shared" si="33"/>
        <v>303463.90999999997</v>
      </c>
      <c r="I213" s="43">
        <v>452820.62</v>
      </c>
      <c r="J213" s="43">
        <f t="shared" si="37"/>
        <v>110.59000000002561</v>
      </c>
      <c r="K213" s="43"/>
      <c r="L213">
        <f t="shared" si="34"/>
        <v>0</v>
      </c>
      <c r="M213">
        <v>695</v>
      </c>
      <c r="N213">
        <v>1</v>
      </c>
      <c r="O213" s="7" t="s">
        <v>750</v>
      </c>
      <c r="P213" s="6">
        <v>5205674.91</v>
      </c>
      <c r="Q213" s="6">
        <v>-452820.62</v>
      </c>
      <c r="R213" s="17">
        <f t="shared" si="35"/>
        <v>-8.6999999999999994E-2</v>
      </c>
      <c r="S213" s="6">
        <f t="shared" si="30"/>
        <v>452820.62</v>
      </c>
      <c r="T213" s="6">
        <f t="shared" si="31"/>
        <v>303389.82</v>
      </c>
    </row>
    <row r="214" spans="1:20" x14ac:dyDescent="0.2">
      <c r="A214">
        <v>696</v>
      </c>
      <c r="B214">
        <v>1</v>
      </c>
      <c r="C214" s="7" t="s">
        <v>207</v>
      </c>
      <c r="D214" s="21">
        <v>3922032.03</v>
      </c>
      <c r="E214" s="21">
        <v>-341245.04</v>
      </c>
      <c r="F214" s="17">
        <f t="shared" si="36"/>
        <v>-8.7007203800000002E-2</v>
      </c>
      <c r="G214" s="21">
        <f t="shared" si="32"/>
        <v>341245.04</v>
      </c>
      <c r="H214" s="46">
        <f t="shared" si="33"/>
        <v>228634.18</v>
      </c>
      <c r="I214" s="43">
        <v>341161.72</v>
      </c>
      <c r="J214" s="43">
        <f t="shared" si="37"/>
        <v>83.320000000006985</v>
      </c>
      <c r="K214" s="43"/>
      <c r="L214">
        <f t="shared" si="34"/>
        <v>0</v>
      </c>
      <c r="M214">
        <v>696</v>
      </c>
      <c r="N214">
        <v>1</v>
      </c>
      <c r="O214" s="7" t="s">
        <v>751</v>
      </c>
      <c r="P214" s="6">
        <v>3922032.03</v>
      </c>
      <c r="Q214" s="6">
        <v>-341161.72</v>
      </c>
      <c r="R214" s="17">
        <f t="shared" si="35"/>
        <v>-8.6999999999999994E-2</v>
      </c>
      <c r="S214" s="6">
        <f t="shared" si="30"/>
        <v>341161.72</v>
      </c>
      <c r="T214" s="6">
        <f t="shared" si="31"/>
        <v>228578.35</v>
      </c>
    </row>
    <row r="215" spans="1:20" x14ac:dyDescent="0.2">
      <c r="A215">
        <v>698</v>
      </c>
      <c r="B215">
        <v>1</v>
      </c>
      <c r="C215" s="7" t="s">
        <v>208</v>
      </c>
      <c r="D215" s="21">
        <v>3001981.8</v>
      </c>
      <c r="E215" s="21">
        <v>-261194.04</v>
      </c>
      <c r="F215" s="17">
        <f t="shared" si="36"/>
        <v>-8.7007203000000005E-2</v>
      </c>
      <c r="G215" s="21">
        <f t="shared" si="32"/>
        <v>261194.04</v>
      </c>
      <c r="H215" s="46">
        <f t="shared" si="33"/>
        <v>175000.01</v>
      </c>
      <c r="I215" s="43">
        <v>261130.27</v>
      </c>
      <c r="J215" s="43">
        <f t="shared" si="37"/>
        <v>63.770000000018626</v>
      </c>
      <c r="K215" s="43"/>
      <c r="L215">
        <f t="shared" si="34"/>
        <v>0</v>
      </c>
      <c r="M215">
        <v>698</v>
      </c>
      <c r="N215">
        <v>1</v>
      </c>
      <c r="O215" s="7" t="s">
        <v>752</v>
      </c>
      <c r="P215" s="6">
        <v>3001981.8</v>
      </c>
      <c r="Q215" s="6">
        <v>-261130.27</v>
      </c>
      <c r="R215" s="17">
        <f t="shared" si="35"/>
        <v>-8.6999999999999994E-2</v>
      </c>
      <c r="S215" s="6">
        <f t="shared" si="30"/>
        <v>261130.27</v>
      </c>
      <c r="T215" s="6">
        <f t="shared" si="31"/>
        <v>174957.28</v>
      </c>
    </row>
    <row r="216" spans="1:20" x14ac:dyDescent="0.2">
      <c r="A216">
        <v>700</v>
      </c>
      <c r="B216">
        <v>1</v>
      </c>
      <c r="C216" s="7" t="s">
        <v>209</v>
      </c>
      <c r="D216" s="21">
        <v>13085981.439999999</v>
      </c>
      <c r="E216" s="21">
        <v>-1138574.6399999999</v>
      </c>
      <c r="F216" s="17">
        <f t="shared" si="36"/>
        <v>-8.7007202699999994E-2</v>
      </c>
      <c r="G216" s="21">
        <f t="shared" si="32"/>
        <v>1138574.6399999999</v>
      </c>
      <c r="H216" s="46">
        <f t="shared" si="33"/>
        <v>762845.01</v>
      </c>
      <c r="I216" s="43">
        <v>1138296.6499999999</v>
      </c>
      <c r="J216" s="43">
        <f t="shared" si="37"/>
        <v>277.98999999999069</v>
      </c>
      <c r="K216" s="43"/>
      <c r="L216">
        <f t="shared" si="34"/>
        <v>0</v>
      </c>
      <c r="M216">
        <v>700</v>
      </c>
      <c r="N216">
        <v>1</v>
      </c>
      <c r="O216" s="7" t="s">
        <v>753</v>
      </c>
      <c r="P216" s="6">
        <v>13085981.439999999</v>
      </c>
      <c r="Q216" s="6">
        <v>-1138296.6499999999</v>
      </c>
      <c r="R216" s="17">
        <f t="shared" si="35"/>
        <v>-8.6999999999999994E-2</v>
      </c>
      <c r="S216" s="6">
        <f t="shared" si="30"/>
        <v>1138296.6499999999</v>
      </c>
      <c r="T216" s="6">
        <f t="shared" si="31"/>
        <v>762658.76</v>
      </c>
    </row>
    <row r="217" spans="1:20" x14ac:dyDescent="0.2">
      <c r="A217">
        <v>701</v>
      </c>
      <c r="B217">
        <v>1</v>
      </c>
      <c r="C217" s="7" t="s">
        <v>210</v>
      </c>
      <c r="D217" s="21">
        <v>16398914.789999999</v>
      </c>
      <c r="E217" s="21">
        <v>-1426823.7</v>
      </c>
      <c r="F217" s="17">
        <f t="shared" si="36"/>
        <v>-8.7007202500000005E-2</v>
      </c>
      <c r="G217" s="21">
        <f t="shared" si="32"/>
        <v>1426823.7</v>
      </c>
      <c r="H217" s="46">
        <f t="shared" si="33"/>
        <v>955971.88</v>
      </c>
      <c r="I217" s="43">
        <v>1426475.33</v>
      </c>
      <c r="J217" s="43">
        <f t="shared" si="37"/>
        <v>348.36999999987893</v>
      </c>
      <c r="K217" s="43"/>
      <c r="L217">
        <f t="shared" si="34"/>
        <v>0</v>
      </c>
      <c r="M217">
        <v>701</v>
      </c>
      <c r="N217">
        <v>1</v>
      </c>
      <c r="O217" s="7" t="s">
        <v>754</v>
      </c>
      <c r="P217" s="6">
        <v>16398914.789999999</v>
      </c>
      <c r="Q217" s="6">
        <v>-1426475.33</v>
      </c>
      <c r="R217" s="17">
        <f t="shared" si="35"/>
        <v>-8.6999999999999994E-2</v>
      </c>
      <c r="S217" s="6">
        <f t="shared" si="30"/>
        <v>1426475.33</v>
      </c>
      <c r="T217" s="6">
        <f t="shared" si="31"/>
        <v>955738.47</v>
      </c>
    </row>
    <row r="218" spans="1:20" x14ac:dyDescent="0.2">
      <c r="A218">
        <v>704</v>
      </c>
      <c r="B218">
        <v>1</v>
      </c>
      <c r="C218" s="7" t="s">
        <v>211</v>
      </c>
      <c r="D218" s="21">
        <v>11844276.359999999</v>
      </c>
      <c r="E218" s="21">
        <v>-1030537.35</v>
      </c>
      <c r="F218" s="17">
        <f t="shared" si="36"/>
        <v>-8.7007202399999997E-2</v>
      </c>
      <c r="G218" s="21">
        <f t="shared" si="32"/>
        <v>1030537.35</v>
      </c>
      <c r="H218" s="46">
        <f t="shared" si="33"/>
        <v>690460.02</v>
      </c>
      <c r="I218" s="43">
        <v>1030285.74</v>
      </c>
      <c r="J218" s="43">
        <f t="shared" si="37"/>
        <v>251.60999999998603</v>
      </c>
      <c r="K218" s="43"/>
      <c r="L218">
        <f t="shared" si="34"/>
        <v>0</v>
      </c>
      <c r="M218">
        <v>704</v>
      </c>
      <c r="N218">
        <v>1</v>
      </c>
      <c r="O218" s="7" t="s">
        <v>755</v>
      </c>
      <c r="P218" s="6">
        <v>11844276.359999999</v>
      </c>
      <c r="Q218" s="6">
        <v>-1030285.74</v>
      </c>
      <c r="R218" s="17">
        <f t="shared" si="35"/>
        <v>-8.6999999999999994E-2</v>
      </c>
      <c r="S218" s="6">
        <f t="shared" si="30"/>
        <v>1030285.74</v>
      </c>
      <c r="T218" s="6">
        <f t="shared" si="31"/>
        <v>690291.45</v>
      </c>
    </row>
    <row r="219" spans="1:20" x14ac:dyDescent="0.2">
      <c r="A219">
        <v>706</v>
      </c>
      <c r="B219">
        <v>1</v>
      </c>
      <c r="C219" s="7" t="s">
        <v>212</v>
      </c>
      <c r="D219" s="21">
        <v>10870090.42</v>
      </c>
      <c r="E219" s="21">
        <v>-945776.16</v>
      </c>
      <c r="F219" s="17">
        <f t="shared" si="36"/>
        <v>-8.7007202699999994E-2</v>
      </c>
      <c r="G219" s="21">
        <f t="shared" si="32"/>
        <v>945776.16</v>
      </c>
      <c r="H219" s="46">
        <f t="shared" si="33"/>
        <v>633670.03</v>
      </c>
      <c r="I219" s="43">
        <v>945545.24</v>
      </c>
      <c r="J219" s="43">
        <f t="shared" si="37"/>
        <v>230.92000000004191</v>
      </c>
      <c r="K219" s="43"/>
      <c r="L219">
        <f t="shared" si="34"/>
        <v>0</v>
      </c>
      <c r="M219">
        <v>706</v>
      </c>
      <c r="N219">
        <v>1</v>
      </c>
      <c r="O219" s="7" t="s">
        <v>756</v>
      </c>
      <c r="P219" s="6">
        <v>10870090.42</v>
      </c>
      <c r="Q219" s="6">
        <v>-945545.24</v>
      </c>
      <c r="R219" s="17">
        <f t="shared" si="35"/>
        <v>-8.6999999999999994E-2</v>
      </c>
      <c r="S219" s="6">
        <f t="shared" si="30"/>
        <v>945545.24</v>
      </c>
      <c r="T219" s="6">
        <f t="shared" si="31"/>
        <v>633515.31000000006</v>
      </c>
    </row>
    <row r="220" spans="1:20" x14ac:dyDescent="0.2">
      <c r="A220">
        <v>707</v>
      </c>
      <c r="B220">
        <v>1</v>
      </c>
      <c r="C220" s="7" t="s">
        <v>213</v>
      </c>
      <c r="D220" s="21">
        <v>1034372.84</v>
      </c>
      <c r="E220" s="21">
        <v>-89997.89</v>
      </c>
      <c r="F220" s="17">
        <f t="shared" si="36"/>
        <v>-8.7007205300000001E-2</v>
      </c>
      <c r="G220" s="21">
        <f t="shared" si="32"/>
        <v>89997.89</v>
      </c>
      <c r="H220" s="46">
        <f t="shared" si="33"/>
        <v>60298.59</v>
      </c>
      <c r="I220" s="43">
        <v>89975.91</v>
      </c>
      <c r="J220" s="43">
        <f t="shared" si="37"/>
        <v>21.979999999995925</v>
      </c>
      <c r="K220" s="43"/>
      <c r="L220">
        <f t="shared" si="34"/>
        <v>0</v>
      </c>
      <c r="M220">
        <v>707</v>
      </c>
      <c r="N220">
        <v>1</v>
      </c>
      <c r="O220" s="7" t="s">
        <v>757</v>
      </c>
      <c r="P220" s="6">
        <v>1034372.84</v>
      </c>
      <c r="Q220" s="6">
        <v>-89975.91</v>
      </c>
      <c r="R220" s="17">
        <f t="shared" si="35"/>
        <v>-8.6999999999999994E-2</v>
      </c>
      <c r="S220" s="6">
        <f t="shared" si="30"/>
        <v>89975.91</v>
      </c>
      <c r="T220" s="6">
        <f t="shared" si="31"/>
        <v>60283.86</v>
      </c>
    </row>
    <row r="221" spans="1:20" x14ac:dyDescent="0.2">
      <c r="A221">
        <v>709</v>
      </c>
      <c r="B221">
        <v>1</v>
      </c>
      <c r="C221" s="7" t="s">
        <v>214</v>
      </c>
      <c r="D221" s="21">
        <v>68804266.359999999</v>
      </c>
      <c r="E221" s="21">
        <v>-5986466.7400000002</v>
      </c>
      <c r="F221" s="17">
        <f t="shared" si="36"/>
        <v>-8.70072026E-2</v>
      </c>
      <c r="G221" s="21">
        <f t="shared" si="32"/>
        <v>5986466.7400000002</v>
      </c>
      <c r="H221" s="46">
        <f t="shared" si="33"/>
        <v>4010932.72</v>
      </c>
      <c r="I221" s="43">
        <v>5985005.0999999996</v>
      </c>
      <c r="J221" s="43">
        <f t="shared" si="37"/>
        <v>1461.640000000596</v>
      </c>
      <c r="K221" s="43"/>
      <c r="L221">
        <f t="shared" si="34"/>
        <v>0</v>
      </c>
      <c r="M221">
        <v>709</v>
      </c>
      <c r="N221">
        <v>1</v>
      </c>
      <c r="O221" s="7" t="s">
        <v>758</v>
      </c>
      <c r="P221" s="6">
        <v>68804266.359999999</v>
      </c>
      <c r="Q221" s="6">
        <v>-5985005.0999999996</v>
      </c>
      <c r="R221" s="17">
        <f t="shared" si="35"/>
        <v>-8.6999999999999994E-2</v>
      </c>
      <c r="S221" s="6">
        <f t="shared" si="30"/>
        <v>5985005.0999999996</v>
      </c>
      <c r="T221" s="6">
        <f t="shared" si="31"/>
        <v>4009953.42</v>
      </c>
    </row>
    <row r="222" spans="1:20" x14ac:dyDescent="0.2">
      <c r="A222">
        <v>712</v>
      </c>
      <c r="B222">
        <v>1</v>
      </c>
      <c r="C222" s="7" t="s">
        <v>215</v>
      </c>
      <c r="D222" s="21">
        <v>3999359.88</v>
      </c>
      <c r="E222" s="21">
        <v>-347973.12</v>
      </c>
      <c r="F222" s="17">
        <f t="shared" si="36"/>
        <v>-8.7007203800000002E-2</v>
      </c>
      <c r="G222" s="21">
        <f t="shared" si="32"/>
        <v>347973.12</v>
      </c>
      <c r="H222" s="46">
        <f t="shared" si="33"/>
        <v>233141.99</v>
      </c>
      <c r="I222" s="43">
        <v>347888.16</v>
      </c>
      <c r="J222" s="43">
        <f t="shared" si="37"/>
        <v>84.960000000020955</v>
      </c>
      <c r="K222" s="43"/>
      <c r="L222">
        <f t="shared" si="34"/>
        <v>0</v>
      </c>
      <c r="M222">
        <v>712</v>
      </c>
      <c r="N222">
        <v>1</v>
      </c>
      <c r="O222" s="7" t="s">
        <v>759</v>
      </c>
      <c r="P222" s="6">
        <v>3999359.88</v>
      </c>
      <c r="Q222" s="6">
        <v>-347888.16</v>
      </c>
      <c r="R222" s="17">
        <f t="shared" si="35"/>
        <v>-8.6999999999999994E-2</v>
      </c>
      <c r="S222" s="6">
        <f t="shared" si="30"/>
        <v>347888.16</v>
      </c>
      <c r="T222" s="6">
        <f t="shared" si="31"/>
        <v>233085.07</v>
      </c>
    </row>
    <row r="223" spans="1:20" x14ac:dyDescent="0.2">
      <c r="A223">
        <v>716</v>
      </c>
      <c r="B223">
        <v>1</v>
      </c>
      <c r="C223" s="7" t="s">
        <v>216</v>
      </c>
      <c r="D223" s="21">
        <v>9769626.8699999992</v>
      </c>
      <c r="E223" s="21">
        <v>-850027.9</v>
      </c>
      <c r="F223" s="17">
        <f t="shared" si="36"/>
        <v>-8.70072021E-2</v>
      </c>
      <c r="G223" s="21">
        <f t="shared" si="32"/>
        <v>850027.9</v>
      </c>
      <c r="H223" s="46">
        <f t="shared" si="33"/>
        <v>569518.68999999994</v>
      </c>
      <c r="I223" s="43">
        <v>849820.36</v>
      </c>
      <c r="J223" s="43">
        <f t="shared" si="37"/>
        <v>207.54000000003725</v>
      </c>
      <c r="K223" s="43"/>
      <c r="L223">
        <f t="shared" si="34"/>
        <v>0</v>
      </c>
      <c r="M223">
        <v>716</v>
      </c>
      <c r="N223">
        <v>1</v>
      </c>
      <c r="O223" s="7" t="s">
        <v>760</v>
      </c>
      <c r="P223" s="6">
        <v>9769626.8699999992</v>
      </c>
      <c r="Q223" s="6">
        <v>-849820.36</v>
      </c>
      <c r="R223" s="17">
        <f t="shared" si="35"/>
        <v>-8.6999999999999994E-2</v>
      </c>
      <c r="S223" s="6">
        <f t="shared" si="30"/>
        <v>849820.36</v>
      </c>
      <c r="T223" s="6">
        <f t="shared" si="31"/>
        <v>569379.64</v>
      </c>
    </row>
    <row r="224" spans="1:20" x14ac:dyDescent="0.2">
      <c r="A224">
        <v>717</v>
      </c>
      <c r="B224">
        <v>1</v>
      </c>
      <c r="C224" s="7" t="s">
        <v>217</v>
      </c>
      <c r="D224" s="21">
        <v>10499082.720000001</v>
      </c>
      <c r="E224" s="21">
        <v>-913495.82</v>
      </c>
      <c r="F224" s="17">
        <f t="shared" si="36"/>
        <v>-8.7007202899999997E-2</v>
      </c>
      <c r="G224" s="21">
        <f t="shared" si="32"/>
        <v>913495.82</v>
      </c>
      <c r="H224" s="46">
        <f t="shared" si="33"/>
        <v>612042.19999999995</v>
      </c>
      <c r="I224" s="43">
        <v>913272.78</v>
      </c>
      <c r="J224" s="43">
        <f t="shared" si="37"/>
        <v>223.03999999992084</v>
      </c>
      <c r="K224" s="43"/>
      <c r="L224">
        <f t="shared" si="34"/>
        <v>0</v>
      </c>
      <c r="M224">
        <v>717</v>
      </c>
      <c r="N224">
        <v>1</v>
      </c>
      <c r="O224" s="7" t="s">
        <v>761</v>
      </c>
      <c r="P224" s="6">
        <v>10499082.720000001</v>
      </c>
      <c r="Q224" s="6">
        <v>-913272.78</v>
      </c>
      <c r="R224" s="17">
        <f t="shared" si="35"/>
        <v>-8.6999999999999994E-2</v>
      </c>
      <c r="S224" s="6">
        <f t="shared" si="30"/>
        <v>913272.78</v>
      </c>
      <c r="T224" s="6">
        <f t="shared" si="31"/>
        <v>611892.76</v>
      </c>
    </row>
    <row r="225" spans="1:20" x14ac:dyDescent="0.2">
      <c r="A225">
        <v>719</v>
      </c>
      <c r="B225">
        <v>1</v>
      </c>
      <c r="C225" s="7" t="s">
        <v>218</v>
      </c>
      <c r="D225" s="21">
        <v>42629873.770000003</v>
      </c>
      <c r="E225" s="21">
        <v>-3709106.06</v>
      </c>
      <c r="F225" s="17">
        <f t="shared" si="36"/>
        <v>-8.7007202500000005E-2</v>
      </c>
      <c r="G225" s="21">
        <f t="shared" si="32"/>
        <v>3709106.06</v>
      </c>
      <c r="H225" s="46">
        <f t="shared" si="33"/>
        <v>2485101.06</v>
      </c>
      <c r="I225" s="43">
        <v>3708200.46</v>
      </c>
      <c r="J225" s="43">
        <f t="shared" si="37"/>
        <v>905.60000000009313</v>
      </c>
      <c r="K225" s="43"/>
      <c r="L225">
        <f t="shared" si="34"/>
        <v>0</v>
      </c>
      <c r="M225">
        <v>719</v>
      </c>
      <c r="N225">
        <v>1</v>
      </c>
      <c r="O225" s="7" t="s">
        <v>762</v>
      </c>
      <c r="P225" s="6">
        <v>42629873.770000003</v>
      </c>
      <c r="Q225" s="6">
        <v>-3708200.46</v>
      </c>
      <c r="R225" s="17">
        <f t="shared" si="35"/>
        <v>-8.6999999999999994E-2</v>
      </c>
      <c r="S225" s="6">
        <f t="shared" si="30"/>
        <v>3708200.46</v>
      </c>
      <c r="T225" s="6">
        <f t="shared" si="31"/>
        <v>2484494.31</v>
      </c>
    </row>
    <row r="226" spans="1:20" x14ac:dyDescent="0.2">
      <c r="A226">
        <v>720</v>
      </c>
      <c r="B226">
        <v>1</v>
      </c>
      <c r="C226" s="7" t="s">
        <v>219</v>
      </c>
      <c r="D226" s="21">
        <v>41839780.93</v>
      </c>
      <c r="E226" s="21">
        <v>-3640362.3</v>
      </c>
      <c r="F226" s="17">
        <f t="shared" si="36"/>
        <v>-8.7007202699999994E-2</v>
      </c>
      <c r="G226" s="21">
        <f t="shared" si="32"/>
        <v>3640362.3</v>
      </c>
      <c r="H226" s="46">
        <f t="shared" si="33"/>
        <v>2439042.7400000002</v>
      </c>
      <c r="I226" s="43">
        <v>3639473.47</v>
      </c>
      <c r="J226" s="43">
        <f t="shared" si="37"/>
        <v>888.82999999960884</v>
      </c>
      <c r="K226" s="43"/>
      <c r="L226">
        <f t="shared" si="34"/>
        <v>0</v>
      </c>
      <c r="M226">
        <v>720</v>
      </c>
      <c r="N226">
        <v>1</v>
      </c>
      <c r="O226" s="7" t="s">
        <v>763</v>
      </c>
      <c r="P226" s="6">
        <v>41839780.93</v>
      </c>
      <c r="Q226" s="6">
        <v>-3639473.47</v>
      </c>
      <c r="R226" s="17">
        <f t="shared" si="35"/>
        <v>-8.6999999999999994E-2</v>
      </c>
      <c r="S226" s="6">
        <f t="shared" si="30"/>
        <v>3639473.47</v>
      </c>
      <c r="T226" s="6">
        <f t="shared" si="31"/>
        <v>2438447.2200000002</v>
      </c>
    </row>
    <row r="227" spans="1:20" x14ac:dyDescent="0.2">
      <c r="A227">
        <v>721</v>
      </c>
      <c r="B227">
        <v>1</v>
      </c>
      <c r="C227" s="7" t="s">
        <v>220</v>
      </c>
      <c r="D227" s="21">
        <v>22435660.510000002</v>
      </c>
      <c r="E227" s="21">
        <v>-1952064.06</v>
      </c>
      <c r="F227" s="17">
        <f t="shared" si="36"/>
        <v>-8.70072026E-2</v>
      </c>
      <c r="G227" s="21">
        <f t="shared" si="32"/>
        <v>1952064.06</v>
      </c>
      <c r="H227" s="46">
        <f t="shared" si="33"/>
        <v>1307882.92</v>
      </c>
      <c r="I227" s="43">
        <v>1951587.45</v>
      </c>
      <c r="J227" s="43">
        <f t="shared" si="37"/>
        <v>476.61000000010245</v>
      </c>
      <c r="K227" s="43"/>
      <c r="L227">
        <f t="shared" si="34"/>
        <v>0</v>
      </c>
      <c r="M227">
        <v>721</v>
      </c>
      <c r="N227">
        <v>1</v>
      </c>
      <c r="O227" s="7" t="s">
        <v>764</v>
      </c>
      <c r="P227" s="6">
        <v>22435660.510000002</v>
      </c>
      <c r="Q227" s="6">
        <v>-1951587.45</v>
      </c>
      <c r="R227" s="17">
        <f t="shared" si="35"/>
        <v>-8.6999999999999994E-2</v>
      </c>
      <c r="S227" s="6">
        <f t="shared" si="30"/>
        <v>1951587.45</v>
      </c>
      <c r="T227" s="6">
        <f t="shared" si="31"/>
        <v>1307563.5900000001</v>
      </c>
    </row>
    <row r="228" spans="1:20" x14ac:dyDescent="0.2">
      <c r="A228">
        <v>726</v>
      </c>
      <c r="B228">
        <v>1</v>
      </c>
      <c r="C228" s="7" t="s">
        <v>221</v>
      </c>
      <c r="D228" s="21">
        <v>16876169.77</v>
      </c>
      <c r="E228" s="21">
        <v>-1468348.32</v>
      </c>
      <c r="F228" s="17">
        <f t="shared" si="36"/>
        <v>-8.7007202500000005E-2</v>
      </c>
      <c r="G228" s="21">
        <f t="shared" si="32"/>
        <v>1468348.32</v>
      </c>
      <c r="H228" s="46">
        <f t="shared" si="33"/>
        <v>983793.37</v>
      </c>
      <c r="I228" s="43">
        <v>1467989.81</v>
      </c>
      <c r="J228" s="43">
        <f t="shared" si="37"/>
        <v>358.51000000000931</v>
      </c>
      <c r="K228" s="43"/>
      <c r="L228">
        <f t="shared" si="34"/>
        <v>0</v>
      </c>
      <c r="M228">
        <v>726</v>
      </c>
      <c r="N228">
        <v>1</v>
      </c>
      <c r="O228" s="7" t="s">
        <v>765</v>
      </c>
      <c r="P228" s="6">
        <v>16876169.77</v>
      </c>
      <c r="Q228" s="6">
        <v>-1467989.81</v>
      </c>
      <c r="R228" s="17">
        <f t="shared" si="35"/>
        <v>-8.6999999999999994E-2</v>
      </c>
      <c r="S228" s="6">
        <f t="shared" si="30"/>
        <v>1467989.81</v>
      </c>
      <c r="T228" s="6">
        <f t="shared" si="31"/>
        <v>983553.17</v>
      </c>
    </row>
    <row r="229" spans="1:20" x14ac:dyDescent="0.2">
      <c r="A229">
        <v>727</v>
      </c>
      <c r="B229">
        <v>1</v>
      </c>
      <c r="C229" s="7" t="s">
        <v>222</v>
      </c>
      <c r="D229" s="21">
        <v>23104429.27</v>
      </c>
      <c r="E229" s="21">
        <v>-2010251.76</v>
      </c>
      <c r="F229" s="17">
        <f t="shared" si="36"/>
        <v>-8.7007202699999994E-2</v>
      </c>
      <c r="G229" s="21">
        <f t="shared" si="32"/>
        <v>2010251.76</v>
      </c>
      <c r="H229" s="46">
        <f t="shared" si="33"/>
        <v>1346868.68</v>
      </c>
      <c r="I229" s="43">
        <v>2009760.94</v>
      </c>
      <c r="J229" s="43">
        <f t="shared" si="37"/>
        <v>490.82000000006519</v>
      </c>
      <c r="K229" s="43"/>
      <c r="L229">
        <f t="shared" si="34"/>
        <v>0</v>
      </c>
      <c r="M229">
        <v>727</v>
      </c>
      <c r="N229">
        <v>1</v>
      </c>
      <c r="O229" s="7" t="s">
        <v>766</v>
      </c>
      <c r="P229" s="6">
        <v>23104429.27</v>
      </c>
      <c r="Q229" s="6">
        <v>-2009760.94</v>
      </c>
      <c r="R229" s="17">
        <f t="shared" si="35"/>
        <v>-8.6999999999999994E-2</v>
      </c>
      <c r="S229" s="6">
        <f t="shared" si="30"/>
        <v>2009760.94</v>
      </c>
      <c r="T229" s="6">
        <f t="shared" si="31"/>
        <v>1346539.83</v>
      </c>
    </row>
    <row r="230" spans="1:20" x14ac:dyDescent="0.2">
      <c r="A230">
        <v>728</v>
      </c>
      <c r="B230">
        <v>1</v>
      </c>
      <c r="C230" s="7" t="s">
        <v>223</v>
      </c>
      <c r="D230" s="21">
        <v>77348652.060000002</v>
      </c>
      <c r="E230" s="21">
        <v>-6729889.8399999999</v>
      </c>
      <c r="F230" s="17">
        <f t="shared" si="36"/>
        <v>-8.70072026E-2</v>
      </c>
      <c r="G230" s="21">
        <f t="shared" si="32"/>
        <v>6729889.8399999999</v>
      </c>
      <c r="H230" s="46">
        <f t="shared" si="33"/>
        <v>4509026.1900000004</v>
      </c>
      <c r="I230" s="43">
        <v>6728246.6900000004</v>
      </c>
      <c r="J230" s="43">
        <f t="shared" si="37"/>
        <v>1643.1499999994412</v>
      </c>
      <c r="K230" s="43"/>
      <c r="L230">
        <f t="shared" si="34"/>
        <v>0</v>
      </c>
      <c r="M230">
        <v>728</v>
      </c>
      <c r="N230">
        <v>1</v>
      </c>
      <c r="O230" s="7" t="s">
        <v>767</v>
      </c>
      <c r="P230" s="6">
        <v>77348652.060000002</v>
      </c>
      <c r="Q230" s="6">
        <v>-6728246.6900000004</v>
      </c>
      <c r="R230" s="17">
        <f t="shared" si="35"/>
        <v>-8.6999999999999994E-2</v>
      </c>
      <c r="S230" s="6">
        <f t="shared" si="30"/>
        <v>6728246.6900000004</v>
      </c>
      <c r="T230" s="6">
        <f t="shared" si="31"/>
        <v>4507925.28</v>
      </c>
    </row>
    <row r="231" spans="1:20" x14ac:dyDescent="0.2">
      <c r="A231">
        <v>738</v>
      </c>
      <c r="B231">
        <v>1</v>
      </c>
      <c r="C231" s="7" t="s">
        <v>224</v>
      </c>
      <c r="D231" s="21">
        <v>6572306.6699999999</v>
      </c>
      <c r="E231" s="21">
        <v>-571838.02</v>
      </c>
      <c r="F231" s="17">
        <f t="shared" si="36"/>
        <v>-8.7007202899999997E-2</v>
      </c>
      <c r="G231" s="21">
        <f t="shared" si="32"/>
        <v>571838.02</v>
      </c>
      <c r="H231" s="46">
        <f t="shared" si="33"/>
        <v>383131.47</v>
      </c>
      <c r="I231" s="43">
        <v>571698.4</v>
      </c>
      <c r="J231" s="43">
        <f t="shared" si="37"/>
        <v>139.61999999999534</v>
      </c>
      <c r="K231" s="43"/>
      <c r="L231">
        <f t="shared" si="34"/>
        <v>0</v>
      </c>
      <c r="M231">
        <v>738</v>
      </c>
      <c r="N231">
        <v>1</v>
      </c>
      <c r="O231" s="7" t="s">
        <v>768</v>
      </c>
      <c r="P231" s="6">
        <v>6572306.6699999999</v>
      </c>
      <c r="Q231" s="6">
        <v>-571698.4</v>
      </c>
      <c r="R231" s="17">
        <f t="shared" si="35"/>
        <v>-8.6999999999999994E-2</v>
      </c>
      <c r="S231" s="6">
        <f t="shared" si="30"/>
        <v>571698.4</v>
      </c>
      <c r="T231" s="6">
        <f t="shared" si="31"/>
        <v>383037.93</v>
      </c>
    </row>
    <row r="232" spans="1:20" x14ac:dyDescent="0.2">
      <c r="A232">
        <v>739</v>
      </c>
      <c r="B232">
        <v>1</v>
      </c>
      <c r="C232" s="7" t="s">
        <v>225</v>
      </c>
      <c r="D232" s="21">
        <v>4968801.95</v>
      </c>
      <c r="E232" s="21">
        <v>-432321.56</v>
      </c>
      <c r="F232" s="17">
        <f t="shared" si="36"/>
        <v>-8.7007203000000005E-2</v>
      </c>
      <c r="G232" s="21">
        <f t="shared" si="32"/>
        <v>432321.56</v>
      </c>
      <c r="H232" s="46">
        <f t="shared" si="33"/>
        <v>289655.45</v>
      </c>
      <c r="I232" s="43">
        <v>432216</v>
      </c>
      <c r="J232" s="43">
        <f t="shared" si="37"/>
        <v>105.55999999999767</v>
      </c>
      <c r="K232" s="43"/>
      <c r="L232">
        <f t="shared" si="34"/>
        <v>0</v>
      </c>
      <c r="M232">
        <v>739</v>
      </c>
      <c r="N232">
        <v>1</v>
      </c>
      <c r="O232" s="7" t="s">
        <v>769</v>
      </c>
      <c r="P232" s="6">
        <v>4968801.95</v>
      </c>
      <c r="Q232" s="6">
        <v>-432216</v>
      </c>
      <c r="R232" s="17">
        <f t="shared" si="35"/>
        <v>-8.6999999999999994E-2</v>
      </c>
      <c r="S232" s="6">
        <f t="shared" si="30"/>
        <v>432216</v>
      </c>
      <c r="T232" s="6">
        <f t="shared" si="31"/>
        <v>289584.71999999997</v>
      </c>
    </row>
    <row r="233" spans="1:20" x14ac:dyDescent="0.2">
      <c r="A233">
        <v>740</v>
      </c>
      <c r="B233">
        <v>1</v>
      </c>
      <c r="C233" s="7" t="s">
        <v>226</v>
      </c>
      <c r="D233" s="21">
        <v>9655482.6699999999</v>
      </c>
      <c r="E233" s="21">
        <v>-840096.54</v>
      </c>
      <c r="F233" s="17">
        <f t="shared" si="36"/>
        <v>-8.7007202899999997E-2</v>
      </c>
      <c r="G233" s="21">
        <f t="shared" si="32"/>
        <v>840096.54</v>
      </c>
      <c r="H233" s="46">
        <f t="shared" si="33"/>
        <v>562864.68000000005</v>
      </c>
      <c r="I233" s="43">
        <v>839891.42</v>
      </c>
      <c r="J233" s="43">
        <f t="shared" si="37"/>
        <v>205.11999999999534</v>
      </c>
      <c r="K233" s="43"/>
      <c r="L233">
        <f t="shared" si="34"/>
        <v>0</v>
      </c>
      <c r="M233">
        <v>740</v>
      </c>
      <c r="N233">
        <v>1</v>
      </c>
      <c r="O233" s="7" t="s">
        <v>770</v>
      </c>
      <c r="P233" s="6">
        <v>9655482.6699999999</v>
      </c>
      <c r="Q233" s="6">
        <v>-839891.42</v>
      </c>
      <c r="R233" s="17">
        <f t="shared" si="35"/>
        <v>-8.6999999999999994E-2</v>
      </c>
      <c r="S233" s="6">
        <f t="shared" si="30"/>
        <v>839891.42</v>
      </c>
      <c r="T233" s="6">
        <f t="shared" si="31"/>
        <v>562727.25</v>
      </c>
    </row>
    <row r="234" spans="1:20" x14ac:dyDescent="0.2">
      <c r="A234">
        <v>741</v>
      </c>
      <c r="B234">
        <v>1</v>
      </c>
      <c r="C234" s="7" t="s">
        <v>227</v>
      </c>
      <c r="D234" s="21">
        <v>7086515.2199999997</v>
      </c>
      <c r="E234" s="21">
        <v>-616577.87</v>
      </c>
      <c r="F234" s="17">
        <f t="shared" si="36"/>
        <v>-8.7007203199999994E-2</v>
      </c>
      <c r="G234" s="21">
        <f t="shared" si="32"/>
        <v>616577.87</v>
      </c>
      <c r="H234" s="46">
        <f t="shared" si="33"/>
        <v>413107.17</v>
      </c>
      <c r="I234" s="43">
        <v>616427.31999999995</v>
      </c>
      <c r="J234" s="43">
        <f t="shared" si="37"/>
        <v>150.55000000004657</v>
      </c>
      <c r="K234" s="43"/>
      <c r="L234">
        <f t="shared" si="34"/>
        <v>0</v>
      </c>
      <c r="M234">
        <v>741</v>
      </c>
      <c r="N234">
        <v>1</v>
      </c>
      <c r="O234" s="7" t="s">
        <v>771</v>
      </c>
      <c r="P234" s="6">
        <v>7086515.2199999997</v>
      </c>
      <c r="Q234" s="6">
        <v>-616427.31999999995</v>
      </c>
      <c r="R234" s="17">
        <f t="shared" si="35"/>
        <v>-8.6999999999999994E-2</v>
      </c>
      <c r="S234" s="6">
        <f t="shared" si="30"/>
        <v>616427.31999999995</v>
      </c>
      <c r="T234" s="6">
        <f t="shared" si="31"/>
        <v>413006.3</v>
      </c>
    </row>
    <row r="235" spans="1:20" x14ac:dyDescent="0.2">
      <c r="A235">
        <v>742</v>
      </c>
      <c r="B235">
        <v>1</v>
      </c>
      <c r="C235" s="7" t="s">
        <v>228</v>
      </c>
      <c r="D235" s="21">
        <v>68183562.379999995</v>
      </c>
      <c r="E235" s="21">
        <v>-5932461.0300000003</v>
      </c>
      <c r="F235" s="17">
        <f t="shared" si="36"/>
        <v>-8.7007202699999994E-2</v>
      </c>
      <c r="G235" s="21">
        <f t="shared" si="32"/>
        <v>5932461.0300000003</v>
      </c>
      <c r="H235" s="46">
        <f t="shared" si="33"/>
        <v>3974748.89</v>
      </c>
      <c r="I235" s="43">
        <v>5931012.5700000003</v>
      </c>
      <c r="J235" s="43">
        <f t="shared" si="37"/>
        <v>1448.4599999999627</v>
      </c>
      <c r="K235" s="43"/>
      <c r="L235">
        <f t="shared" si="34"/>
        <v>0</v>
      </c>
      <c r="M235">
        <v>742</v>
      </c>
      <c r="N235">
        <v>1</v>
      </c>
      <c r="O235" s="7" t="s">
        <v>772</v>
      </c>
      <c r="P235" s="6">
        <v>68183562.379999995</v>
      </c>
      <c r="Q235" s="6">
        <v>-5931012.5700000003</v>
      </c>
      <c r="R235" s="17">
        <f t="shared" si="35"/>
        <v>-8.6999999999999994E-2</v>
      </c>
      <c r="S235" s="6">
        <f t="shared" si="30"/>
        <v>5931012.5700000003</v>
      </c>
      <c r="T235" s="6">
        <f t="shared" si="31"/>
        <v>3973778.42</v>
      </c>
    </row>
    <row r="236" spans="1:20" x14ac:dyDescent="0.2">
      <c r="A236">
        <v>743</v>
      </c>
      <c r="B236">
        <v>1</v>
      </c>
      <c r="C236" s="7" t="s">
        <v>229</v>
      </c>
      <c r="D236" s="21">
        <v>7422659.4800000004</v>
      </c>
      <c r="E236" s="21">
        <v>-645824.84</v>
      </c>
      <c r="F236" s="17">
        <f t="shared" si="36"/>
        <v>-8.7007203000000005E-2</v>
      </c>
      <c r="G236" s="21">
        <f t="shared" si="32"/>
        <v>645824.84</v>
      </c>
      <c r="H236" s="46">
        <f t="shared" si="33"/>
        <v>432702.64</v>
      </c>
      <c r="I236" s="43">
        <v>645667.15</v>
      </c>
      <c r="J236" s="43">
        <f t="shared" si="37"/>
        <v>157.68999999994412</v>
      </c>
      <c r="K236" s="43"/>
      <c r="L236">
        <f t="shared" si="34"/>
        <v>0</v>
      </c>
      <c r="M236">
        <v>743</v>
      </c>
      <c r="N236">
        <v>1</v>
      </c>
      <c r="O236" s="7" t="s">
        <v>773</v>
      </c>
      <c r="P236" s="6">
        <v>7422659.4800000004</v>
      </c>
      <c r="Q236" s="6">
        <v>-645667.15</v>
      </c>
      <c r="R236" s="17">
        <f t="shared" si="35"/>
        <v>-8.6999999999999994E-2</v>
      </c>
      <c r="S236" s="6">
        <f t="shared" si="30"/>
        <v>645667.15</v>
      </c>
      <c r="T236" s="6">
        <f t="shared" si="31"/>
        <v>432596.99</v>
      </c>
    </row>
    <row r="237" spans="1:20" x14ac:dyDescent="0.2">
      <c r="A237">
        <v>745</v>
      </c>
      <c r="B237">
        <v>1</v>
      </c>
      <c r="C237" s="7" t="s">
        <v>230</v>
      </c>
      <c r="D237" s="21">
        <v>10462020.810000001</v>
      </c>
      <c r="E237" s="21">
        <v>-910271.16</v>
      </c>
      <c r="F237" s="17">
        <f t="shared" si="36"/>
        <v>-8.7007202199999994E-2</v>
      </c>
      <c r="G237" s="21">
        <f t="shared" si="32"/>
        <v>910271.16</v>
      </c>
      <c r="H237" s="46">
        <f t="shared" si="33"/>
        <v>609881.68000000005</v>
      </c>
      <c r="I237" s="43">
        <v>910048.91</v>
      </c>
      <c r="J237" s="43">
        <f t="shared" si="37"/>
        <v>222.25</v>
      </c>
      <c r="K237" s="43"/>
      <c r="L237">
        <f t="shared" si="34"/>
        <v>0</v>
      </c>
      <c r="M237">
        <v>745</v>
      </c>
      <c r="N237">
        <v>1</v>
      </c>
      <c r="O237" s="7" t="s">
        <v>774</v>
      </c>
      <c r="P237" s="6">
        <v>10462020.810000001</v>
      </c>
      <c r="Q237" s="6">
        <v>-910048.91</v>
      </c>
      <c r="R237" s="17">
        <f t="shared" si="35"/>
        <v>-8.6999999999999994E-2</v>
      </c>
      <c r="S237" s="6">
        <f t="shared" si="30"/>
        <v>910048.91</v>
      </c>
      <c r="T237" s="6">
        <f t="shared" si="31"/>
        <v>609732.77</v>
      </c>
    </row>
    <row r="238" spans="1:20" x14ac:dyDescent="0.2">
      <c r="A238">
        <v>748</v>
      </c>
      <c r="B238">
        <v>1</v>
      </c>
      <c r="C238" s="7" t="s">
        <v>231</v>
      </c>
      <c r="D238" s="21">
        <v>20129056.91</v>
      </c>
      <c r="E238" s="21">
        <v>-1751372.93</v>
      </c>
      <c r="F238" s="17">
        <f t="shared" si="36"/>
        <v>-8.7007202500000005E-2</v>
      </c>
      <c r="G238" s="21">
        <f t="shared" si="32"/>
        <v>1751372.93</v>
      </c>
      <c r="H238" s="46">
        <f t="shared" si="33"/>
        <v>1173419.8600000001</v>
      </c>
      <c r="I238" s="43">
        <v>1750945.32</v>
      </c>
      <c r="J238" s="43">
        <f t="shared" si="37"/>
        <v>427.60999999986961</v>
      </c>
      <c r="K238" s="43"/>
      <c r="L238">
        <f t="shared" si="34"/>
        <v>0</v>
      </c>
      <c r="M238">
        <v>748</v>
      </c>
      <c r="N238">
        <v>1</v>
      </c>
      <c r="O238" s="7" t="s">
        <v>775</v>
      </c>
      <c r="P238" s="6">
        <v>20129056.91</v>
      </c>
      <c r="Q238" s="6">
        <v>-1750945.32</v>
      </c>
      <c r="R238" s="17">
        <f t="shared" si="35"/>
        <v>-8.6999999999999994E-2</v>
      </c>
      <c r="S238" s="6">
        <f t="shared" si="30"/>
        <v>1750945.32</v>
      </c>
      <c r="T238" s="6">
        <f t="shared" si="31"/>
        <v>1173133.3600000001</v>
      </c>
    </row>
    <row r="239" spans="1:20" x14ac:dyDescent="0.2">
      <c r="A239">
        <v>750</v>
      </c>
      <c r="B239">
        <v>1</v>
      </c>
      <c r="C239" s="7" t="s">
        <v>232</v>
      </c>
      <c r="D239" s="21">
        <v>14814767.279999999</v>
      </c>
      <c r="E239" s="21">
        <v>-1288991.46</v>
      </c>
      <c r="F239" s="17">
        <f t="shared" si="36"/>
        <v>-8.7007202699999994E-2</v>
      </c>
      <c r="G239" s="21">
        <f t="shared" si="32"/>
        <v>1288991.46</v>
      </c>
      <c r="H239" s="46">
        <f t="shared" si="33"/>
        <v>863624.28</v>
      </c>
      <c r="I239" s="43">
        <v>1288676.74</v>
      </c>
      <c r="J239" s="43">
        <f t="shared" si="37"/>
        <v>314.71999999997206</v>
      </c>
      <c r="K239" s="43"/>
      <c r="L239">
        <f t="shared" si="34"/>
        <v>0</v>
      </c>
      <c r="M239">
        <v>750</v>
      </c>
      <c r="N239">
        <v>1</v>
      </c>
      <c r="O239" s="7" t="s">
        <v>776</v>
      </c>
      <c r="P239" s="6">
        <v>14814767.279999999</v>
      </c>
      <c r="Q239" s="6">
        <v>-1288676.74</v>
      </c>
      <c r="R239" s="17">
        <f t="shared" si="35"/>
        <v>-8.6999999999999994E-2</v>
      </c>
      <c r="S239" s="6">
        <f t="shared" si="30"/>
        <v>1288676.74</v>
      </c>
      <c r="T239" s="6">
        <f t="shared" si="31"/>
        <v>863413.42</v>
      </c>
    </row>
    <row r="240" spans="1:20" x14ac:dyDescent="0.2">
      <c r="A240">
        <v>756</v>
      </c>
      <c r="B240">
        <v>1</v>
      </c>
      <c r="C240" s="7" t="s">
        <v>233</v>
      </c>
      <c r="D240" s="21">
        <v>4714952.51</v>
      </c>
      <c r="E240" s="21">
        <v>-410234.83</v>
      </c>
      <c r="F240" s="17">
        <f t="shared" si="36"/>
        <v>-8.7007203000000005E-2</v>
      </c>
      <c r="G240" s="21">
        <f t="shared" si="32"/>
        <v>410234.83</v>
      </c>
      <c r="H240" s="46">
        <f t="shared" si="33"/>
        <v>274857.34000000003</v>
      </c>
      <c r="I240" s="43">
        <v>410134.67</v>
      </c>
      <c r="J240" s="43">
        <f t="shared" si="37"/>
        <v>100.1600000000326</v>
      </c>
      <c r="K240" s="43"/>
      <c r="L240">
        <f t="shared" si="34"/>
        <v>0</v>
      </c>
      <c r="M240">
        <v>756</v>
      </c>
      <c r="N240">
        <v>1</v>
      </c>
      <c r="O240" s="7" t="s">
        <v>777</v>
      </c>
      <c r="P240" s="6">
        <v>4714952.51</v>
      </c>
      <c r="Q240" s="6">
        <v>-410134.67</v>
      </c>
      <c r="R240" s="17">
        <f t="shared" si="35"/>
        <v>-8.6999999999999994E-2</v>
      </c>
      <c r="S240" s="6">
        <f t="shared" si="30"/>
        <v>410134.67</v>
      </c>
      <c r="T240" s="6">
        <f t="shared" si="31"/>
        <v>274790.23</v>
      </c>
    </row>
    <row r="241" spans="1:20" x14ac:dyDescent="0.2">
      <c r="A241">
        <v>761</v>
      </c>
      <c r="B241">
        <v>1</v>
      </c>
      <c r="C241" s="7" t="s">
        <v>234</v>
      </c>
      <c r="D241" s="21">
        <v>33429498.449999999</v>
      </c>
      <c r="E241" s="21">
        <v>-2908607.14</v>
      </c>
      <c r="F241" s="17">
        <f t="shared" si="36"/>
        <v>-8.7007202500000005E-2</v>
      </c>
      <c r="G241" s="21">
        <f t="shared" si="32"/>
        <v>2908607.14</v>
      </c>
      <c r="H241" s="46">
        <f t="shared" si="33"/>
        <v>1948766.78</v>
      </c>
      <c r="I241" s="43">
        <v>2907896.99</v>
      </c>
      <c r="J241" s="43">
        <f t="shared" si="37"/>
        <v>710.14999999990687</v>
      </c>
      <c r="K241" s="43"/>
      <c r="L241">
        <f t="shared" si="34"/>
        <v>0</v>
      </c>
      <c r="M241">
        <v>761</v>
      </c>
      <c r="N241">
        <v>1</v>
      </c>
      <c r="O241" s="7" t="s">
        <v>778</v>
      </c>
      <c r="P241" s="6">
        <v>33429498.449999999</v>
      </c>
      <c r="Q241" s="6">
        <v>-2907896.99</v>
      </c>
      <c r="R241" s="17">
        <f t="shared" si="35"/>
        <v>-8.6999999999999994E-2</v>
      </c>
      <c r="S241" s="6">
        <f t="shared" si="30"/>
        <v>2907896.99</v>
      </c>
      <c r="T241" s="6">
        <f t="shared" si="31"/>
        <v>1948290.98</v>
      </c>
    </row>
    <row r="242" spans="1:20" x14ac:dyDescent="0.2">
      <c r="A242">
        <v>763</v>
      </c>
      <c r="B242">
        <v>1</v>
      </c>
      <c r="C242" s="7" t="s">
        <v>235</v>
      </c>
      <c r="D242" s="21">
        <v>4859035.88</v>
      </c>
      <c r="E242" s="21">
        <v>-422771.12</v>
      </c>
      <c r="F242" s="17">
        <f t="shared" si="36"/>
        <v>-8.7007202800000003E-2</v>
      </c>
      <c r="G242" s="21">
        <f t="shared" si="32"/>
        <v>422771.12</v>
      </c>
      <c r="H242" s="46">
        <f t="shared" si="33"/>
        <v>283256.65000000002</v>
      </c>
      <c r="I242" s="43">
        <v>422667.9</v>
      </c>
      <c r="J242" s="43">
        <f t="shared" si="37"/>
        <v>103.21999999997206</v>
      </c>
      <c r="K242" s="43"/>
      <c r="L242">
        <f t="shared" si="34"/>
        <v>0</v>
      </c>
      <c r="M242">
        <v>763</v>
      </c>
      <c r="N242">
        <v>1</v>
      </c>
      <c r="O242" s="7" t="s">
        <v>779</v>
      </c>
      <c r="P242" s="6">
        <v>4859035.88</v>
      </c>
      <c r="Q242" s="6">
        <v>-422667.9</v>
      </c>
      <c r="R242" s="17">
        <f t="shared" si="35"/>
        <v>-8.6999999999999994E-2</v>
      </c>
      <c r="S242" s="6">
        <f t="shared" si="30"/>
        <v>422667.9</v>
      </c>
      <c r="T242" s="6">
        <f t="shared" si="31"/>
        <v>283187.49</v>
      </c>
    </row>
    <row r="243" spans="1:20" x14ac:dyDescent="0.2">
      <c r="A243">
        <v>768</v>
      </c>
      <c r="B243">
        <v>1</v>
      </c>
      <c r="C243" s="7" t="s">
        <v>236</v>
      </c>
      <c r="D243" s="21">
        <v>1734731.61</v>
      </c>
      <c r="E243" s="21">
        <v>-150934.14000000001</v>
      </c>
      <c r="F243" s="17">
        <f t="shared" si="36"/>
        <v>-8.7007199899999998E-2</v>
      </c>
      <c r="G243" s="21">
        <f t="shared" si="32"/>
        <v>150934.14000000001</v>
      </c>
      <c r="H243" s="46">
        <f t="shared" si="33"/>
        <v>101125.87</v>
      </c>
      <c r="I243" s="43">
        <v>150897.29</v>
      </c>
      <c r="J243" s="43">
        <f t="shared" si="37"/>
        <v>36.850000000005821</v>
      </c>
      <c r="K243" s="43"/>
      <c r="L243">
        <f t="shared" si="34"/>
        <v>0</v>
      </c>
      <c r="M243">
        <v>768</v>
      </c>
      <c r="N243">
        <v>1</v>
      </c>
      <c r="O243" s="7" t="s">
        <v>780</v>
      </c>
      <c r="P243" s="6">
        <v>1734731.61</v>
      </c>
      <c r="Q243" s="6">
        <v>-150897.29</v>
      </c>
      <c r="R243" s="17">
        <f t="shared" si="35"/>
        <v>-8.6999999999999994E-2</v>
      </c>
      <c r="S243" s="6">
        <f t="shared" si="30"/>
        <v>150897.29</v>
      </c>
      <c r="T243" s="6">
        <f t="shared" si="31"/>
        <v>101101.18</v>
      </c>
    </row>
    <row r="244" spans="1:20" x14ac:dyDescent="0.2">
      <c r="A244">
        <v>769</v>
      </c>
      <c r="B244">
        <v>1</v>
      </c>
      <c r="C244" s="7" t="s">
        <v>237</v>
      </c>
      <c r="D244" s="21">
        <v>5877890.3399999999</v>
      </c>
      <c r="E244" s="21">
        <v>-511418.8</v>
      </c>
      <c r="F244" s="17">
        <f t="shared" si="36"/>
        <v>-8.7007203300000002E-2</v>
      </c>
      <c r="G244" s="21">
        <f t="shared" si="32"/>
        <v>511418.8</v>
      </c>
      <c r="H244" s="46">
        <f t="shared" si="33"/>
        <v>342650.6</v>
      </c>
      <c r="I244" s="43">
        <v>511293.93</v>
      </c>
      <c r="J244" s="43">
        <f t="shared" si="37"/>
        <v>124.86999999999534</v>
      </c>
      <c r="K244" s="43"/>
      <c r="L244">
        <f t="shared" si="34"/>
        <v>0</v>
      </c>
      <c r="M244">
        <v>769</v>
      </c>
      <c r="N244">
        <v>1</v>
      </c>
      <c r="O244" s="7" t="s">
        <v>781</v>
      </c>
      <c r="P244" s="6">
        <v>5877890.3399999999</v>
      </c>
      <c r="Q244" s="6">
        <v>-511293.93</v>
      </c>
      <c r="R244" s="17">
        <f t="shared" si="35"/>
        <v>-8.6999999999999994E-2</v>
      </c>
      <c r="S244" s="6">
        <f t="shared" si="30"/>
        <v>511293.93</v>
      </c>
      <c r="T244" s="6">
        <f t="shared" si="31"/>
        <v>342566.93</v>
      </c>
    </row>
    <row r="245" spans="1:20" x14ac:dyDescent="0.2">
      <c r="A245">
        <v>771</v>
      </c>
      <c r="B245">
        <v>1</v>
      </c>
      <c r="C245" s="7" t="s">
        <v>238</v>
      </c>
      <c r="D245" s="21">
        <v>1236179.24</v>
      </c>
      <c r="E245" s="21">
        <v>-107556.5</v>
      </c>
      <c r="F245" s="17">
        <f t="shared" si="36"/>
        <v>-8.7007204599999999E-2</v>
      </c>
      <c r="G245" s="21">
        <f t="shared" si="32"/>
        <v>107556.5</v>
      </c>
      <c r="H245" s="46">
        <f t="shared" si="33"/>
        <v>72062.86</v>
      </c>
      <c r="I245" s="43">
        <v>107530.24000000001</v>
      </c>
      <c r="J245" s="43">
        <f t="shared" si="37"/>
        <v>26.259999999994761</v>
      </c>
      <c r="K245" s="43"/>
      <c r="L245">
        <f t="shared" si="34"/>
        <v>0</v>
      </c>
      <c r="M245">
        <v>771</v>
      </c>
      <c r="N245">
        <v>1</v>
      </c>
      <c r="O245" s="7" t="s">
        <v>782</v>
      </c>
      <c r="P245" s="6">
        <v>1236179.24</v>
      </c>
      <c r="Q245" s="6">
        <v>-107530.24000000001</v>
      </c>
      <c r="R245" s="17">
        <f t="shared" si="35"/>
        <v>-8.6999999999999994E-2</v>
      </c>
      <c r="S245" s="6">
        <f t="shared" si="30"/>
        <v>107530.24000000001</v>
      </c>
      <c r="T245" s="6">
        <f t="shared" si="31"/>
        <v>72045.259999999995</v>
      </c>
    </row>
    <row r="246" spans="1:20" x14ac:dyDescent="0.2">
      <c r="A246">
        <v>775</v>
      </c>
      <c r="B246">
        <v>1</v>
      </c>
      <c r="C246" s="7" t="s">
        <v>239</v>
      </c>
      <c r="D246" s="21">
        <v>3916906</v>
      </c>
      <c r="E246" s="21">
        <v>-340799.03</v>
      </c>
      <c r="F246" s="17">
        <f t="shared" si="36"/>
        <v>-8.70072016E-2</v>
      </c>
      <c r="G246" s="21">
        <f t="shared" si="32"/>
        <v>340799.03</v>
      </c>
      <c r="H246" s="46">
        <f t="shared" si="33"/>
        <v>228335.35</v>
      </c>
      <c r="I246" s="43">
        <v>340715.83</v>
      </c>
      <c r="J246" s="43">
        <f t="shared" si="37"/>
        <v>83.200000000011642</v>
      </c>
      <c r="K246" s="43"/>
      <c r="L246">
        <f t="shared" si="34"/>
        <v>0</v>
      </c>
      <c r="M246">
        <v>775</v>
      </c>
      <c r="N246">
        <v>1</v>
      </c>
      <c r="O246" s="7" t="s">
        <v>783</v>
      </c>
      <c r="P246" s="6">
        <v>3916906</v>
      </c>
      <c r="Q246" s="6">
        <v>-340715.83</v>
      </c>
      <c r="R246" s="17">
        <f t="shared" si="35"/>
        <v>-8.6999999999999994E-2</v>
      </c>
      <c r="S246" s="6">
        <f t="shared" si="30"/>
        <v>340715.83</v>
      </c>
      <c r="T246" s="6">
        <f t="shared" si="31"/>
        <v>228279.61</v>
      </c>
    </row>
    <row r="247" spans="1:20" x14ac:dyDescent="0.2">
      <c r="A247">
        <v>777</v>
      </c>
      <c r="B247">
        <v>1</v>
      </c>
      <c r="C247" s="7" t="s">
        <v>240</v>
      </c>
      <c r="D247" s="21">
        <v>6752405.5</v>
      </c>
      <c r="E247" s="21">
        <v>-587507.91</v>
      </c>
      <c r="F247" s="17">
        <f t="shared" si="36"/>
        <v>-8.70072021E-2</v>
      </c>
      <c r="G247" s="21">
        <f t="shared" si="32"/>
        <v>587507.91</v>
      </c>
      <c r="H247" s="46">
        <f t="shared" si="33"/>
        <v>393630.3</v>
      </c>
      <c r="I247" s="43">
        <v>587364.47</v>
      </c>
      <c r="J247" s="43">
        <f t="shared" si="37"/>
        <v>143.44000000006054</v>
      </c>
      <c r="K247" s="43"/>
      <c r="L247">
        <f t="shared" si="34"/>
        <v>0</v>
      </c>
      <c r="M247">
        <v>777</v>
      </c>
      <c r="N247">
        <v>1</v>
      </c>
      <c r="O247" s="7" t="s">
        <v>784</v>
      </c>
      <c r="P247" s="6">
        <v>6752405.5</v>
      </c>
      <c r="Q247" s="6">
        <v>-587364.47</v>
      </c>
      <c r="R247" s="17">
        <f t="shared" si="35"/>
        <v>-8.6999999999999994E-2</v>
      </c>
      <c r="S247" s="6">
        <f t="shared" si="30"/>
        <v>587364.47</v>
      </c>
      <c r="T247" s="6">
        <f t="shared" si="31"/>
        <v>393534.19</v>
      </c>
    </row>
    <row r="248" spans="1:20" x14ac:dyDescent="0.2">
      <c r="A248">
        <v>786</v>
      </c>
      <c r="B248">
        <v>1</v>
      </c>
      <c r="C248" s="7" t="s">
        <v>241</v>
      </c>
      <c r="D248" s="21">
        <v>3609064.76</v>
      </c>
      <c r="E248" s="21">
        <v>-314014.63</v>
      </c>
      <c r="F248" s="17">
        <f t="shared" si="36"/>
        <v>-8.7007202899999997E-2</v>
      </c>
      <c r="G248" s="21">
        <f t="shared" si="32"/>
        <v>314014.63</v>
      </c>
      <c r="H248" s="46">
        <f t="shared" si="33"/>
        <v>210389.8</v>
      </c>
      <c r="I248" s="43">
        <v>313937.96000000002</v>
      </c>
      <c r="J248" s="43">
        <f t="shared" si="37"/>
        <v>76.669999999983702</v>
      </c>
      <c r="K248" s="43"/>
      <c r="L248">
        <f t="shared" si="34"/>
        <v>0</v>
      </c>
      <c r="M248">
        <v>786</v>
      </c>
      <c r="N248">
        <v>1</v>
      </c>
      <c r="O248" s="7" t="s">
        <v>785</v>
      </c>
      <c r="P248" s="6">
        <v>3609064.76</v>
      </c>
      <c r="Q248" s="6">
        <v>-313937.96000000002</v>
      </c>
      <c r="R248" s="17">
        <f t="shared" si="35"/>
        <v>-8.6999999999999994E-2</v>
      </c>
      <c r="S248" s="6">
        <f t="shared" si="30"/>
        <v>313937.96000000002</v>
      </c>
      <c r="T248" s="6">
        <f t="shared" si="31"/>
        <v>210338.43</v>
      </c>
    </row>
    <row r="249" spans="1:20" x14ac:dyDescent="0.2">
      <c r="A249">
        <v>787</v>
      </c>
      <c r="B249">
        <v>1</v>
      </c>
      <c r="C249" s="7" t="s">
        <v>242</v>
      </c>
      <c r="D249" s="21">
        <v>3715947.52</v>
      </c>
      <c r="E249" s="21">
        <v>-323314.2</v>
      </c>
      <c r="F249" s="17">
        <f t="shared" si="36"/>
        <v>-8.7007202899999997E-2</v>
      </c>
      <c r="G249" s="21">
        <f t="shared" si="32"/>
        <v>323314.2</v>
      </c>
      <c r="H249" s="46">
        <f t="shared" si="33"/>
        <v>216620.51</v>
      </c>
      <c r="I249" s="43">
        <v>323235.26</v>
      </c>
      <c r="J249" s="43">
        <f t="shared" si="37"/>
        <v>78.940000000002328</v>
      </c>
      <c r="K249" s="43"/>
      <c r="L249">
        <f t="shared" si="34"/>
        <v>0</v>
      </c>
      <c r="M249">
        <v>787</v>
      </c>
      <c r="N249">
        <v>1</v>
      </c>
      <c r="O249" s="7" t="s">
        <v>786</v>
      </c>
      <c r="P249" s="6">
        <v>3715947.52</v>
      </c>
      <c r="Q249" s="6">
        <v>-323235.26</v>
      </c>
      <c r="R249" s="17">
        <f t="shared" si="35"/>
        <v>-8.6999999999999994E-2</v>
      </c>
      <c r="S249" s="6">
        <f t="shared" si="30"/>
        <v>323235.26</v>
      </c>
      <c r="T249" s="6">
        <f t="shared" si="31"/>
        <v>216567.62</v>
      </c>
    </row>
    <row r="250" spans="1:20" x14ac:dyDescent="0.2">
      <c r="A250">
        <v>801</v>
      </c>
      <c r="B250">
        <v>1</v>
      </c>
      <c r="C250" s="7" t="s">
        <v>243</v>
      </c>
      <c r="D250" s="21">
        <v>931871.55</v>
      </c>
      <c r="E250" s="21">
        <v>-81079.539999999994</v>
      </c>
      <c r="F250" s="17">
        <f t="shared" si="36"/>
        <v>-8.7007206099999998E-2</v>
      </c>
      <c r="G250" s="21">
        <f t="shared" si="32"/>
        <v>81079.539999999994</v>
      </c>
      <c r="H250" s="46">
        <f t="shared" si="33"/>
        <v>54323.29</v>
      </c>
      <c r="I250" s="43">
        <v>81059.740000000005</v>
      </c>
      <c r="J250" s="43">
        <f t="shared" si="37"/>
        <v>19.799999999988358</v>
      </c>
      <c r="K250" s="43"/>
      <c r="L250">
        <f t="shared" si="34"/>
        <v>0</v>
      </c>
      <c r="M250">
        <v>801</v>
      </c>
      <c r="N250">
        <v>1</v>
      </c>
      <c r="O250" s="7" t="s">
        <v>787</v>
      </c>
      <c r="P250" s="6">
        <v>931871.55</v>
      </c>
      <c r="Q250" s="6">
        <v>-81059.740000000005</v>
      </c>
      <c r="R250" s="17">
        <f t="shared" si="35"/>
        <v>-8.6999999999999994E-2</v>
      </c>
      <c r="S250" s="6">
        <f t="shared" si="30"/>
        <v>81059.740000000005</v>
      </c>
      <c r="T250" s="6">
        <f t="shared" si="31"/>
        <v>54310.03</v>
      </c>
    </row>
    <row r="251" spans="1:20" x14ac:dyDescent="0.2">
      <c r="A251">
        <v>803</v>
      </c>
      <c r="B251">
        <v>1</v>
      </c>
      <c r="C251" s="7" t="s">
        <v>244</v>
      </c>
      <c r="D251" s="21">
        <v>3165087.18</v>
      </c>
      <c r="E251" s="21">
        <v>-275385.38</v>
      </c>
      <c r="F251" s="17">
        <f t="shared" si="36"/>
        <v>-8.70072021E-2</v>
      </c>
      <c r="G251" s="21">
        <f t="shared" si="32"/>
        <v>275385.38</v>
      </c>
      <c r="H251" s="46">
        <f t="shared" si="33"/>
        <v>184508.2</v>
      </c>
      <c r="I251" s="43">
        <v>275318.14</v>
      </c>
      <c r="J251" s="43">
        <f t="shared" si="37"/>
        <v>67.239999999990687</v>
      </c>
      <c r="K251" s="43"/>
      <c r="L251">
        <f t="shared" si="34"/>
        <v>0</v>
      </c>
      <c r="M251">
        <v>803</v>
      </c>
      <c r="N251">
        <v>1</v>
      </c>
      <c r="O251" s="7" t="s">
        <v>788</v>
      </c>
      <c r="P251" s="6">
        <v>3165087.18</v>
      </c>
      <c r="Q251" s="6">
        <v>-275318.14</v>
      </c>
      <c r="R251" s="17">
        <f t="shared" si="35"/>
        <v>-8.6999999999999994E-2</v>
      </c>
      <c r="S251" s="6">
        <f t="shared" si="30"/>
        <v>275318.14</v>
      </c>
      <c r="T251" s="6">
        <f t="shared" si="31"/>
        <v>184463.15</v>
      </c>
    </row>
    <row r="252" spans="1:20" x14ac:dyDescent="0.2">
      <c r="A252">
        <v>811</v>
      </c>
      <c r="B252">
        <v>1</v>
      </c>
      <c r="C252" s="7" t="s">
        <v>245</v>
      </c>
      <c r="D252" s="21">
        <v>4266788.67</v>
      </c>
      <c r="E252" s="21">
        <v>-371241.35</v>
      </c>
      <c r="F252" s="17">
        <f t="shared" si="36"/>
        <v>-8.7007203500000005E-2</v>
      </c>
      <c r="G252" s="21">
        <f t="shared" si="32"/>
        <v>371241.35</v>
      </c>
      <c r="H252" s="46">
        <f t="shared" si="33"/>
        <v>248731.7</v>
      </c>
      <c r="I252" s="43">
        <v>371150.7</v>
      </c>
      <c r="J252" s="43">
        <f t="shared" si="37"/>
        <v>90.649999999965075</v>
      </c>
      <c r="K252" s="43"/>
      <c r="L252">
        <f t="shared" si="34"/>
        <v>0</v>
      </c>
      <c r="M252">
        <v>811</v>
      </c>
      <c r="N252">
        <v>1</v>
      </c>
      <c r="O252" s="7" t="s">
        <v>789</v>
      </c>
      <c r="P252" s="6">
        <v>4266788.67</v>
      </c>
      <c r="Q252" s="6">
        <v>-371150.7</v>
      </c>
      <c r="R252" s="17">
        <f t="shared" si="35"/>
        <v>-8.6999999999999994E-2</v>
      </c>
      <c r="S252" s="6">
        <f t="shared" si="30"/>
        <v>371150.7</v>
      </c>
      <c r="T252" s="6">
        <f t="shared" si="31"/>
        <v>248670.97</v>
      </c>
    </row>
    <row r="253" spans="1:20" x14ac:dyDescent="0.2">
      <c r="A253">
        <v>813</v>
      </c>
      <c r="B253">
        <v>1</v>
      </c>
      <c r="C253" s="7" t="s">
        <v>246</v>
      </c>
      <c r="D253" s="21">
        <v>8536766.8399999999</v>
      </c>
      <c r="E253" s="21">
        <v>-742760.2</v>
      </c>
      <c r="F253" s="17">
        <f t="shared" si="36"/>
        <v>-8.7007202399999997E-2</v>
      </c>
      <c r="G253" s="21">
        <f t="shared" si="32"/>
        <v>742760.2</v>
      </c>
      <c r="H253" s="46">
        <f t="shared" si="33"/>
        <v>497649.33</v>
      </c>
      <c r="I253" s="43">
        <v>742578.85</v>
      </c>
      <c r="J253" s="43">
        <f t="shared" si="37"/>
        <v>181.34999999997672</v>
      </c>
      <c r="K253" s="43"/>
      <c r="L253">
        <f t="shared" si="34"/>
        <v>0</v>
      </c>
      <c r="M253">
        <v>813</v>
      </c>
      <c r="N253">
        <v>1</v>
      </c>
      <c r="O253" s="7" t="s">
        <v>790</v>
      </c>
      <c r="P253" s="6">
        <v>8536766.8399999999</v>
      </c>
      <c r="Q253" s="6">
        <v>-742578.85</v>
      </c>
      <c r="R253" s="17">
        <f t="shared" si="35"/>
        <v>-8.6999999999999994E-2</v>
      </c>
      <c r="S253" s="6">
        <f t="shared" si="30"/>
        <v>742578.85</v>
      </c>
      <c r="T253" s="6">
        <f t="shared" si="31"/>
        <v>497527.83</v>
      </c>
    </row>
    <row r="254" spans="1:20" x14ac:dyDescent="0.2">
      <c r="A254">
        <v>815</v>
      </c>
      <c r="B254">
        <v>2</v>
      </c>
      <c r="C254" s="7" t="s">
        <v>976</v>
      </c>
      <c r="D254" s="21">
        <v>0</v>
      </c>
      <c r="E254" s="21">
        <v>0</v>
      </c>
      <c r="F254" s="17" t="str">
        <f t="shared" ref="F254:F271" si="38">IF(D254&gt;0,ROUND(E254/D254,10),"na   ")</f>
        <v xml:space="preserve">na   </v>
      </c>
      <c r="G254" s="21">
        <f t="shared" ref="G254:G270" si="39">E254*-1</f>
        <v>0</v>
      </c>
      <c r="H254" s="46">
        <f t="shared" si="33"/>
        <v>0</v>
      </c>
      <c r="I254" s="21" t="s">
        <v>977</v>
      </c>
      <c r="J254" s="43">
        <v>0</v>
      </c>
      <c r="K254" s="43"/>
      <c r="L254">
        <f t="shared" si="34"/>
        <v>0</v>
      </c>
      <c r="M254">
        <v>815</v>
      </c>
      <c r="N254">
        <v>2</v>
      </c>
      <c r="O254" s="7" t="s">
        <v>791</v>
      </c>
      <c r="P254" s="6">
        <v>0</v>
      </c>
      <c r="Q254" s="6">
        <v>0</v>
      </c>
      <c r="R254" s="17" t="str">
        <f t="shared" si="35"/>
        <v xml:space="preserve">na   </v>
      </c>
      <c r="S254" s="6">
        <f t="shared" si="30"/>
        <v>0</v>
      </c>
      <c r="T254" s="6">
        <f t="shared" si="31"/>
        <v>0</v>
      </c>
    </row>
    <row r="255" spans="1:20" x14ac:dyDescent="0.2">
      <c r="A255">
        <v>818</v>
      </c>
      <c r="B255">
        <v>1</v>
      </c>
      <c r="C255" s="7" t="s">
        <v>247</v>
      </c>
      <c r="D255" s="21">
        <v>3196582.14</v>
      </c>
      <c r="E255" s="21">
        <v>-278125.67</v>
      </c>
      <c r="F255" s="17">
        <f t="shared" si="38"/>
        <v>-8.70072026E-2</v>
      </c>
      <c r="G255" s="21">
        <f t="shared" si="39"/>
        <v>278125.67</v>
      </c>
      <c r="H255" s="46">
        <f t="shared" ref="H255:H270" si="40">ROUND(G255*0.67,2)</f>
        <v>186344.2</v>
      </c>
      <c r="I255" s="43">
        <v>278057.76</v>
      </c>
      <c r="J255" s="43">
        <f t="shared" ref="J255:J270" si="41">G255-I255</f>
        <v>67.909999999974389</v>
      </c>
      <c r="K255" s="43"/>
      <c r="L255">
        <f t="shared" si="34"/>
        <v>0</v>
      </c>
      <c r="M255">
        <v>818</v>
      </c>
      <c r="N255">
        <v>1</v>
      </c>
      <c r="O255" s="7" t="s">
        <v>792</v>
      </c>
      <c r="P255" s="6">
        <v>3196582.14</v>
      </c>
      <c r="Q255" s="6">
        <v>-278057.76</v>
      </c>
      <c r="R255" s="17">
        <f t="shared" si="35"/>
        <v>-8.6999999999999994E-2</v>
      </c>
      <c r="S255" s="6">
        <f t="shared" si="30"/>
        <v>278057.76</v>
      </c>
      <c r="T255" s="6">
        <f t="shared" si="31"/>
        <v>186298.7</v>
      </c>
    </row>
    <row r="256" spans="1:20" x14ac:dyDescent="0.2">
      <c r="A256">
        <v>820</v>
      </c>
      <c r="B256">
        <v>1</v>
      </c>
      <c r="C256" s="7" t="s">
        <v>248</v>
      </c>
      <c r="D256" s="21">
        <v>4067506.42</v>
      </c>
      <c r="E256" s="21">
        <v>-353902.36</v>
      </c>
      <c r="F256" s="17">
        <f t="shared" si="38"/>
        <v>-8.7007203800000002E-2</v>
      </c>
      <c r="G256" s="21">
        <f t="shared" si="39"/>
        <v>353902.36</v>
      </c>
      <c r="H256" s="46">
        <f t="shared" si="40"/>
        <v>237114.58</v>
      </c>
      <c r="I256" s="43">
        <v>353815.95</v>
      </c>
      <c r="J256" s="43">
        <f t="shared" si="41"/>
        <v>86.409999999974389</v>
      </c>
      <c r="K256" s="43"/>
      <c r="L256">
        <f t="shared" si="34"/>
        <v>0</v>
      </c>
      <c r="M256">
        <v>820</v>
      </c>
      <c r="N256">
        <v>1</v>
      </c>
      <c r="O256" s="7" t="s">
        <v>793</v>
      </c>
      <c r="P256" s="6">
        <v>4067506.42</v>
      </c>
      <c r="Q256" s="6">
        <v>-353815.95</v>
      </c>
      <c r="R256" s="17">
        <f t="shared" si="35"/>
        <v>-8.6999999999999994E-2</v>
      </c>
      <c r="S256" s="6">
        <f t="shared" si="30"/>
        <v>353815.95</v>
      </c>
      <c r="T256" s="6">
        <f t="shared" si="31"/>
        <v>237056.69</v>
      </c>
    </row>
    <row r="257" spans="1:20" x14ac:dyDescent="0.2">
      <c r="A257">
        <v>821</v>
      </c>
      <c r="B257">
        <v>1</v>
      </c>
      <c r="C257" s="7" t="s">
        <v>249</v>
      </c>
      <c r="D257" s="21">
        <v>5534817.1200000001</v>
      </c>
      <c r="E257" s="21">
        <v>-481568.95</v>
      </c>
      <c r="F257" s="17">
        <f t="shared" si="38"/>
        <v>-8.7007201800000003E-2</v>
      </c>
      <c r="G257" s="21">
        <f t="shared" si="39"/>
        <v>481568.95</v>
      </c>
      <c r="H257" s="46">
        <f t="shared" si="40"/>
        <v>322651.2</v>
      </c>
      <c r="I257" s="43">
        <v>481451.38</v>
      </c>
      <c r="J257" s="43">
        <f t="shared" si="41"/>
        <v>117.57000000000698</v>
      </c>
      <c r="K257" s="43"/>
      <c r="L257">
        <f t="shared" si="34"/>
        <v>0</v>
      </c>
      <c r="M257">
        <v>821</v>
      </c>
      <c r="N257">
        <v>1</v>
      </c>
      <c r="O257" s="7" t="s">
        <v>794</v>
      </c>
      <c r="P257" s="6">
        <v>5534817.1200000001</v>
      </c>
      <c r="Q257" s="6">
        <v>-481451.38</v>
      </c>
      <c r="R257" s="17">
        <f t="shared" si="35"/>
        <v>-8.6999999999999994E-2</v>
      </c>
      <c r="S257" s="6">
        <f t="shared" si="30"/>
        <v>481451.38</v>
      </c>
      <c r="T257" s="6">
        <f t="shared" si="31"/>
        <v>322572.42</v>
      </c>
    </row>
    <row r="258" spans="1:20" x14ac:dyDescent="0.2">
      <c r="A258">
        <v>829</v>
      </c>
      <c r="B258">
        <v>1</v>
      </c>
      <c r="C258" s="7" t="s">
        <v>250</v>
      </c>
      <c r="D258" s="21">
        <v>12816951.23</v>
      </c>
      <c r="E258" s="21">
        <v>-1115167.07</v>
      </c>
      <c r="F258" s="17">
        <f t="shared" si="38"/>
        <v>-8.7007202399999997E-2</v>
      </c>
      <c r="G258" s="21">
        <f t="shared" si="39"/>
        <v>1115167.07</v>
      </c>
      <c r="H258" s="46">
        <f t="shared" si="40"/>
        <v>747161.94</v>
      </c>
      <c r="I258" s="43">
        <v>1114894.8</v>
      </c>
      <c r="J258" s="43">
        <f t="shared" si="41"/>
        <v>272.27000000001863</v>
      </c>
      <c r="K258" s="43"/>
      <c r="L258">
        <f t="shared" si="34"/>
        <v>0</v>
      </c>
      <c r="M258">
        <v>829</v>
      </c>
      <c r="N258">
        <v>1</v>
      </c>
      <c r="O258" s="7" t="s">
        <v>795</v>
      </c>
      <c r="P258" s="6">
        <v>12816951.23</v>
      </c>
      <c r="Q258" s="6">
        <v>-1114894.8</v>
      </c>
      <c r="R258" s="17">
        <f t="shared" si="35"/>
        <v>-8.6999999999999994E-2</v>
      </c>
      <c r="S258" s="6">
        <f t="shared" si="30"/>
        <v>1114894.8</v>
      </c>
      <c r="T258" s="6">
        <f t="shared" si="31"/>
        <v>746979.52</v>
      </c>
    </row>
    <row r="259" spans="1:20" x14ac:dyDescent="0.2">
      <c r="A259">
        <v>831</v>
      </c>
      <c r="B259">
        <v>1</v>
      </c>
      <c r="C259" s="7" t="s">
        <v>251</v>
      </c>
      <c r="D259" s="21">
        <v>48882098.619999997</v>
      </c>
      <c r="E259" s="21">
        <v>-4253094.66</v>
      </c>
      <c r="F259" s="17">
        <f t="shared" si="38"/>
        <v>-8.70072026E-2</v>
      </c>
      <c r="G259" s="21">
        <f t="shared" si="39"/>
        <v>4253094.66</v>
      </c>
      <c r="H259" s="46">
        <f t="shared" si="40"/>
        <v>2849573.42</v>
      </c>
      <c r="I259" s="43">
        <v>4252056.2300000004</v>
      </c>
      <c r="J259" s="43">
        <f t="shared" si="41"/>
        <v>1038.429999999702</v>
      </c>
      <c r="K259" s="43"/>
      <c r="L259">
        <f t="shared" si="34"/>
        <v>0</v>
      </c>
      <c r="M259">
        <v>831</v>
      </c>
      <c r="N259">
        <v>1</v>
      </c>
      <c r="O259" s="7" t="s">
        <v>796</v>
      </c>
      <c r="P259" s="6">
        <v>48882098.619999997</v>
      </c>
      <c r="Q259" s="6">
        <v>-4252056.2300000004</v>
      </c>
      <c r="R259" s="17">
        <f t="shared" si="35"/>
        <v>-8.6999999999999994E-2</v>
      </c>
      <c r="S259" s="6">
        <f t="shared" si="30"/>
        <v>4252056.2300000004</v>
      </c>
      <c r="T259" s="6">
        <f t="shared" si="31"/>
        <v>2848877.67</v>
      </c>
    </row>
    <row r="260" spans="1:20" x14ac:dyDescent="0.2">
      <c r="A260">
        <v>832</v>
      </c>
      <c r="B260">
        <v>1</v>
      </c>
      <c r="C260" s="7" t="s">
        <v>252</v>
      </c>
      <c r="D260" s="21">
        <v>20028722.690000001</v>
      </c>
      <c r="E260" s="21">
        <v>-1742643.13</v>
      </c>
      <c r="F260" s="17">
        <f t="shared" si="38"/>
        <v>-8.7007202500000005E-2</v>
      </c>
      <c r="G260" s="21">
        <f t="shared" si="39"/>
        <v>1742643.13</v>
      </c>
      <c r="H260" s="46">
        <f t="shared" si="40"/>
        <v>1167570.8999999999</v>
      </c>
      <c r="I260" s="43">
        <v>1742217.65</v>
      </c>
      <c r="J260" s="43">
        <f t="shared" si="41"/>
        <v>425.47999999998137</v>
      </c>
      <c r="K260" s="43"/>
      <c r="L260">
        <f t="shared" si="34"/>
        <v>0</v>
      </c>
      <c r="M260">
        <v>832</v>
      </c>
      <c r="N260">
        <v>1</v>
      </c>
      <c r="O260" s="7" t="s">
        <v>797</v>
      </c>
      <c r="P260" s="6">
        <v>20028722.690000001</v>
      </c>
      <c r="Q260" s="6">
        <v>-1742217.65</v>
      </c>
      <c r="R260" s="17">
        <f t="shared" si="35"/>
        <v>-8.6999999999999994E-2</v>
      </c>
      <c r="S260" s="6">
        <f t="shared" si="30"/>
        <v>1742217.65</v>
      </c>
      <c r="T260" s="6">
        <f t="shared" si="31"/>
        <v>1167285.83</v>
      </c>
    </row>
    <row r="261" spans="1:20" x14ac:dyDescent="0.2">
      <c r="A261">
        <v>833</v>
      </c>
      <c r="B261">
        <v>1</v>
      </c>
      <c r="C261" s="7" t="s">
        <v>253</v>
      </c>
      <c r="D261" s="21">
        <v>110294545.02</v>
      </c>
      <c r="E261" s="21">
        <v>-9596419.8200000003</v>
      </c>
      <c r="F261" s="17">
        <f t="shared" si="38"/>
        <v>-8.70072026E-2</v>
      </c>
      <c r="G261" s="21">
        <f t="shared" si="39"/>
        <v>9596419.8200000003</v>
      </c>
      <c r="H261" s="46">
        <f t="shared" si="40"/>
        <v>6429601.2800000003</v>
      </c>
      <c r="I261" s="43">
        <v>9594076.7899999991</v>
      </c>
      <c r="J261" s="43">
        <f t="shared" si="41"/>
        <v>2343.0300000011921</v>
      </c>
      <c r="K261" s="43"/>
      <c r="L261">
        <f t="shared" si="34"/>
        <v>0</v>
      </c>
      <c r="M261">
        <v>833</v>
      </c>
      <c r="N261">
        <v>1</v>
      </c>
      <c r="O261" s="7" t="s">
        <v>798</v>
      </c>
      <c r="P261" s="6">
        <v>110294545.02</v>
      </c>
      <c r="Q261" s="6">
        <v>-9594076.7899999991</v>
      </c>
      <c r="R261" s="17">
        <f t="shared" si="35"/>
        <v>-8.6999999999999994E-2</v>
      </c>
      <c r="S261" s="6">
        <f t="shared" si="30"/>
        <v>9594076.7899999991</v>
      </c>
      <c r="T261" s="6">
        <f t="shared" si="31"/>
        <v>6428031.4500000002</v>
      </c>
    </row>
    <row r="262" spans="1:20" x14ac:dyDescent="0.2">
      <c r="A262">
        <v>834</v>
      </c>
      <c r="B262">
        <v>1</v>
      </c>
      <c r="C262" s="7" t="s">
        <v>254</v>
      </c>
      <c r="D262" s="21">
        <v>57262946.649999999</v>
      </c>
      <c r="E262" s="21">
        <v>-4982288.8</v>
      </c>
      <c r="F262" s="17">
        <f t="shared" si="38"/>
        <v>-8.70072026E-2</v>
      </c>
      <c r="G262" s="21">
        <f t="shared" si="39"/>
        <v>4982288.8</v>
      </c>
      <c r="H262" s="46">
        <f t="shared" si="40"/>
        <v>3338133.5</v>
      </c>
      <c r="I262" s="43">
        <v>4981072.34</v>
      </c>
      <c r="J262" s="43">
        <f t="shared" si="41"/>
        <v>1216.4599999999627</v>
      </c>
      <c r="K262" s="43"/>
      <c r="L262">
        <f t="shared" si="34"/>
        <v>0</v>
      </c>
      <c r="M262">
        <v>834</v>
      </c>
      <c r="N262">
        <v>1</v>
      </c>
      <c r="O262" s="7" t="s">
        <v>799</v>
      </c>
      <c r="P262" s="6">
        <v>57262946.649999999</v>
      </c>
      <c r="Q262" s="6">
        <v>-4981072.34</v>
      </c>
      <c r="R262" s="17">
        <f t="shared" si="35"/>
        <v>-8.6999999999999994E-2</v>
      </c>
      <c r="S262" s="6">
        <f t="shared" si="30"/>
        <v>4981072.34</v>
      </c>
      <c r="T262" s="6">
        <f t="shared" si="31"/>
        <v>3337318.47</v>
      </c>
    </row>
    <row r="263" spans="1:20" x14ac:dyDescent="0.2">
      <c r="A263">
        <v>836</v>
      </c>
      <c r="B263">
        <v>1</v>
      </c>
      <c r="C263" s="7" t="s">
        <v>255</v>
      </c>
      <c r="D263" s="21">
        <v>1575224.73</v>
      </c>
      <c r="E263" s="21">
        <v>-137055.9</v>
      </c>
      <c r="F263" s="17">
        <f t="shared" si="38"/>
        <v>-8.7007204399999996E-2</v>
      </c>
      <c r="G263" s="21">
        <f t="shared" si="39"/>
        <v>137055.9</v>
      </c>
      <c r="H263" s="46">
        <f t="shared" si="40"/>
        <v>91827.45</v>
      </c>
      <c r="I263" s="43">
        <v>137022.43</v>
      </c>
      <c r="J263" s="43">
        <f t="shared" si="41"/>
        <v>33.470000000001164</v>
      </c>
      <c r="K263" s="43"/>
      <c r="L263">
        <f t="shared" si="34"/>
        <v>0</v>
      </c>
      <c r="M263">
        <v>836</v>
      </c>
      <c r="N263">
        <v>1</v>
      </c>
      <c r="O263" s="7" t="s">
        <v>800</v>
      </c>
      <c r="P263" s="6">
        <v>1575224.73</v>
      </c>
      <c r="Q263" s="6">
        <v>-137022.43</v>
      </c>
      <c r="R263" s="17">
        <f t="shared" si="35"/>
        <v>-8.6999999999999994E-2</v>
      </c>
      <c r="S263" s="6">
        <f t="shared" si="30"/>
        <v>137022.43</v>
      </c>
      <c r="T263" s="6">
        <f t="shared" si="31"/>
        <v>91805.03</v>
      </c>
    </row>
    <row r="264" spans="1:20" x14ac:dyDescent="0.2">
      <c r="A264">
        <v>837</v>
      </c>
      <c r="B264">
        <v>1</v>
      </c>
      <c r="C264" s="7" t="s">
        <v>256</v>
      </c>
      <c r="D264" s="21">
        <v>3927281.73</v>
      </c>
      <c r="E264" s="21">
        <v>-341701.8</v>
      </c>
      <c r="F264" s="17">
        <f t="shared" si="38"/>
        <v>-8.7007203300000002E-2</v>
      </c>
      <c r="G264" s="21">
        <f t="shared" si="39"/>
        <v>341701.8</v>
      </c>
      <c r="H264" s="46">
        <f t="shared" si="40"/>
        <v>228940.21</v>
      </c>
      <c r="I264" s="43">
        <v>341618.37</v>
      </c>
      <c r="J264" s="43">
        <f t="shared" si="41"/>
        <v>83.429999999993015</v>
      </c>
      <c r="K264" s="43"/>
      <c r="L264">
        <f t="shared" si="34"/>
        <v>0</v>
      </c>
      <c r="M264">
        <v>837</v>
      </c>
      <c r="N264">
        <v>1</v>
      </c>
      <c r="O264" s="7" t="s">
        <v>801</v>
      </c>
      <c r="P264" s="6">
        <v>3927281.73</v>
      </c>
      <c r="Q264" s="6">
        <v>-341618.37</v>
      </c>
      <c r="R264" s="17">
        <f t="shared" si="35"/>
        <v>-8.6999999999999994E-2</v>
      </c>
      <c r="S264" s="6">
        <f t="shared" ref="S264:S327" si="42">Q264*-1</f>
        <v>341618.37</v>
      </c>
      <c r="T264" s="6">
        <f t="shared" si="31"/>
        <v>228884.31</v>
      </c>
    </row>
    <row r="265" spans="1:20" x14ac:dyDescent="0.2">
      <c r="A265">
        <v>840</v>
      </c>
      <c r="B265">
        <v>1</v>
      </c>
      <c r="C265" s="7" t="s">
        <v>257</v>
      </c>
      <c r="D265" s="21">
        <v>8409479.9800000004</v>
      </c>
      <c r="E265" s="21">
        <v>-731685.33</v>
      </c>
      <c r="F265" s="17">
        <f t="shared" si="38"/>
        <v>-8.7007202800000003E-2</v>
      </c>
      <c r="G265" s="21">
        <f t="shared" si="39"/>
        <v>731685.33</v>
      </c>
      <c r="H265" s="46">
        <f t="shared" si="40"/>
        <v>490229.17</v>
      </c>
      <c r="I265" s="43">
        <v>731506.68</v>
      </c>
      <c r="J265" s="43">
        <f t="shared" si="41"/>
        <v>178.64999999990687</v>
      </c>
      <c r="K265" s="43"/>
      <c r="L265">
        <f t="shared" si="34"/>
        <v>0</v>
      </c>
      <c r="M265">
        <v>840</v>
      </c>
      <c r="N265">
        <v>1</v>
      </c>
      <c r="O265" s="7" t="s">
        <v>802</v>
      </c>
      <c r="P265" s="6">
        <v>8409479.9800000004</v>
      </c>
      <c r="Q265" s="6">
        <v>-731506.68</v>
      </c>
      <c r="R265" s="17">
        <f t="shared" si="35"/>
        <v>-8.6999999999999994E-2</v>
      </c>
      <c r="S265" s="6">
        <f t="shared" si="42"/>
        <v>731506.68</v>
      </c>
      <c r="T265" s="6">
        <f t="shared" ref="T265:T328" si="43">ROUND(S265*0.67,2)</f>
        <v>490109.48</v>
      </c>
    </row>
    <row r="266" spans="1:20" x14ac:dyDescent="0.2">
      <c r="A266">
        <v>846</v>
      </c>
      <c r="B266">
        <v>1</v>
      </c>
      <c r="C266" s="7" t="s">
        <v>258</v>
      </c>
      <c r="D266" s="21">
        <v>5800579.21</v>
      </c>
      <c r="E266" s="21">
        <v>-504692.17</v>
      </c>
      <c r="F266" s="17">
        <f t="shared" si="38"/>
        <v>-8.7007202500000005E-2</v>
      </c>
      <c r="G266" s="21">
        <f t="shared" si="39"/>
        <v>504692.17</v>
      </c>
      <c r="H266" s="46">
        <f t="shared" si="40"/>
        <v>338143.75</v>
      </c>
      <c r="I266" s="43">
        <v>504568.95</v>
      </c>
      <c r="J266" s="43">
        <f t="shared" si="41"/>
        <v>123.21999999997206</v>
      </c>
      <c r="K266" s="43"/>
      <c r="L266">
        <f t="shared" si="34"/>
        <v>0</v>
      </c>
      <c r="M266">
        <v>846</v>
      </c>
      <c r="N266">
        <v>1</v>
      </c>
      <c r="O266" s="7" t="s">
        <v>803</v>
      </c>
      <c r="P266" s="6">
        <v>5800579.21</v>
      </c>
      <c r="Q266" s="6">
        <v>-504568.95</v>
      </c>
      <c r="R266" s="17">
        <f t="shared" si="35"/>
        <v>-8.6999999999999994E-2</v>
      </c>
      <c r="S266" s="6">
        <f t="shared" si="42"/>
        <v>504568.95</v>
      </c>
      <c r="T266" s="6">
        <f t="shared" si="43"/>
        <v>338061.2</v>
      </c>
    </row>
    <row r="267" spans="1:20" x14ac:dyDescent="0.2">
      <c r="A267">
        <v>850</v>
      </c>
      <c r="B267">
        <v>1</v>
      </c>
      <c r="C267" s="7" t="s">
        <v>259</v>
      </c>
      <c r="D267" s="21">
        <v>1484488.61</v>
      </c>
      <c r="E267" s="21">
        <v>-129161.2</v>
      </c>
      <c r="F267" s="17">
        <f t="shared" si="38"/>
        <v>-8.7007201800000003E-2</v>
      </c>
      <c r="G267" s="21">
        <f t="shared" si="39"/>
        <v>129161.2</v>
      </c>
      <c r="H267" s="46">
        <f t="shared" si="40"/>
        <v>86538</v>
      </c>
      <c r="I267" s="43">
        <v>129129.67</v>
      </c>
      <c r="J267" s="43">
        <f t="shared" si="41"/>
        <v>31.529999999998836</v>
      </c>
      <c r="K267" s="43"/>
      <c r="L267">
        <f t="shared" si="34"/>
        <v>0</v>
      </c>
      <c r="M267">
        <v>850</v>
      </c>
      <c r="N267">
        <v>1</v>
      </c>
      <c r="O267" s="7" t="s">
        <v>804</v>
      </c>
      <c r="P267" s="6">
        <v>1484488.61</v>
      </c>
      <c r="Q267" s="6">
        <v>-129129.67</v>
      </c>
      <c r="R267" s="17">
        <f t="shared" si="35"/>
        <v>-8.6999999999999994E-2</v>
      </c>
      <c r="S267" s="6">
        <f t="shared" si="42"/>
        <v>129129.67</v>
      </c>
      <c r="T267" s="6">
        <f t="shared" si="43"/>
        <v>86516.88</v>
      </c>
    </row>
    <row r="268" spans="1:20" x14ac:dyDescent="0.2">
      <c r="A268">
        <v>852</v>
      </c>
      <c r="B268">
        <v>1</v>
      </c>
      <c r="C268" s="7" t="s">
        <v>260</v>
      </c>
      <c r="D268" s="21">
        <v>971008.11</v>
      </c>
      <c r="E268" s="21">
        <v>-84484.7</v>
      </c>
      <c r="F268" s="17">
        <f t="shared" si="38"/>
        <v>-8.7007203300000002E-2</v>
      </c>
      <c r="G268" s="21">
        <f t="shared" si="39"/>
        <v>84484.7</v>
      </c>
      <c r="H268" s="46">
        <f t="shared" si="40"/>
        <v>56604.75</v>
      </c>
      <c r="I268" s="43">
        <v>84464.07</v>
      </c>
      <c r="J268" s="43">
        <f t="shared" si="41"/>
        <v>20.629999999990105</v>
      </c>
      <c r="K268" s="43"/>
      <c r="L268">
        <f t="shared" si="34"/>
        <v>0</v>
      </c>
      <c r="M268">
        <v>852</v>
      </c>
      <c r="N268">
        <v>1</v>
      </c>
      <c r="O268" s="7" t="s">
        <v>805</v>
      </c>
      <c r="P268" s="6">
        <v>971008.11</v>
      </c>
      <c r="Q268" s="6">
        <v>-84464.07</v>
      </c>
      <c r="R268" s="17">
        <f t="shared" si="35"/>
        <v>-8.6999999999999994E-2</v>
      </c>
      <c r="S268" s="6">
        <f t="shared" si="42"/>
        <v>84464.07</v>
      </c>
      <c r="T268" s="6">
        <f t="shared" si="43"/>
        <v>56590.93</v>
      </c>
    </row>
    <row r="269" spans="1:20" x14ac:dyDescent="0.2">
      <c r="A269">
        <v>857</v>
      </c>
      <c r="B269">
        <v>1</v>
      </c>
      <c r="C269" s="7" t="s">
        <v>261</v>
      </c>
      <c r="D269" s="21">
        <v>4991132.0199999996</v>
      </c>
      <c r="E269" s="21">
        <v>-434264.43</v>
      </c>
      <c r="F269" s="17">
        <f t="shared" si="38"/>
        <v>-8.70072016E-2</v>
      </c>
      <c r="G269" s="21">
        <f t="shared" si="39"/>
        <v>434264.43</v>
      </c>
      <c r="H269" s="46">
        <f t="shared" si="40"/>
        <v>290957.17</v>
      </c>
      <c r="I269" s="43">
        <v>434158.41</v>
      </c>
      <c r="J269" s="43">
        <f t="shared" si="41"/>
        <v>106.02000000001863</v>
      </c>
      <c r="K269" s="43"/>
      <c r="L269">
        <f t="shared" si="34"/>
        <v>0</v>
      </c>
      <c r="M269">
        <v>857</v>
      </c>
      <c r="N269">
        <v>1</v>
      </c>
      <c r="O269" s="7" t="s">
        <v>806</v>
      </c>
      <c r="P269" s="6">
        <v>4991132.0199999996</v>
      </c>
      <c r="Q269" s="6">
        <v>-434158.41</v>
      </c>
      <c r="R269" s="17">
        <f t="shared" si="35"/>
        <v>-8.6999999999999994E-2</v>
      </c>
      <c r="S269" s="6">
        <f t="shared" si="42"/>
        <v>434158.41</v>
      </c>
      <c r="T269" s="6">
        <f t="shared" si="43"/>
        <v>290886.13</v>
      </c>
    </row>
    <row r="270" spans="1:20" x14ac:dyDescent="0.2">
      <c r="A270">
        <v>858</v>
      </c>
      <c r="B270">
        <v>1</v>
      </c>
      <c r="C270" s="7" t="s">
        <v>262</v>
      </c>
      <c r="D270" s="21">
        <v>6736317.2300000004</v>
      </c>
      <c r="E270" s="21">
        <v>-586108.12</v>
      </c>
      <c r="F270" s="17">
        <f t="shared" si="38"/>
        <v>-8.7007202899999997E-2</v>
      </c>
      <c r="G270" s="21">
        <f t="shared" si="39"/>
        <v>586108.12</v>
      </c>
      <c r="H270" s="46">
        <f t="shared" si="40"/>
        <v>392692.44</v>
      </c>
      <c r="I270" s="43">
        <v>585965.02</v>
      </c>
      <c r="J270" s="43">
        <f t="shared" si="41"/>
        <v>143.09999999997672</v>
      </c>
      <c r="K270" s="43"/>
      <c r="L270">
        <f t="shared" ref="L270:L333" si="44">M270-A270</f>
        <v>0</v>
      </c>
      <c r="M270">
        <v>858</v>
      </c>
      <c r="N270">
        <v>1</v>
      </c>
      <c r="O270" s="7" t="s">
        <v>807</v>
      </c>
      <c r="P270" s="6">
        <v>6736317.2300000004</v>
      </c>
      <c r="Q270" s="6">
        <v>-585965.02</v>
      </c>
      <c r="R270" s="17">
        <f t="shared" ref="R270:R333" si="45">IF(P270&gt;0,ROUND(Q270/P270,3),"na   ")</f>
        <v>-8.6999999999999994E-2</v>
      </c>
      <c r="S270" s="6">
        <f t="shared" si="42"/>
        <v>585965.02</v>
      </c>
      <c r="T270" s="6">
        <f t="shared" si="43"/>
        <v>392596.56</v>
      </c>
    </row>
    <row r="271" spans="1:20" x14ac:dyDescent="0.2">
      <c r="A271">
        <v>861</v>
      </c>
      <c r="B271">
        <v>1</v>
      </c>
      <c r="C271" s="7" t="s">
        <v>263</v>
      </c>
      <c r="D271" s="21">
        <v>24441445.09</v>
      </c>
      <c r="E271" s="21">
        <v>-2126581.7599999998</v>
      </c>
      <c r="F271" s="17">
        <f t="shared" si="38"/>
        <v>-8.7007202399999997E-2</v>
      </c>
      <c r="G271" s="21">
        <f t="shared" ref="G271:G334" si="46">E271*-1</f>
        <v>2126581.7599999998</v>
      </c>
      <c r="H271" s="46">
        <f t="shared" ref="H271:H334" si="47">ROUND(G271*0.67,2)</f>
        <v>1424809.78</v>
      </c>
      <c r="I271" s="43">
        <v>2126062.54</v>
      </c>
      <c r="J271" s="43">
        <f t="shared" ref="J271:J334" si="48">G271-I271</f>
        <v>519.21999999973923</v>
      </c>
      <c r="K271" s="43"/>
      <c r="L271">
        <f t="shared" si="44"/>
        <v>0</v>
      </c>
      <c r="M271">
        <v>861</v>
      </c>
      <c r="N271">
        <v>1</v>
      </c>
      <c r="O271" s="7" t="s">
        <v>808</v>
      </c>
      <c r="P271" s="6">
        <v>24441445.09</v>
      </c>
      <c r="Q271" s="6">
        <v>-2126062.54</v>
      </c>
      <c r="R271" s="17">
        <f t="shared" si="45"/>
        <v>-8.6999999999999994E-2</v>
      </c>
      <c r="S271" s="6">
        <f t="shared" si="42"/>
        <v>2126062.54</v>
      </c>
      <c r="T271" s="6">
        <f t="shared" si="43"/>
        <v>1424461.9</v>
      </c>
    </row>
    <row r="272" spans="1:20" x14ac:dyDescent="0.2">
      <c r="A272">
        <v>876</v>
      </c>
      <c r="B272">
        <v>1</v>
      </c>
      <c r="C272" s="7" t="s">
        <v>264</v>
      </c>
      <c r="D272" s="21">
        <v>11749875.77</v>
      </c>
      <c r="E272" s="21">
        <v>-1022323.82</v>
      </c>
      <c r="F272" s="17">
        <f t="shared" ref="F272:F335" si="49">IF(D272&gt;0,ROUND(E272/D272,10),"na   ")</f>
        <v>-8.7007202500000005E-2</v>
      </c>
      <c r="G272" s="21">
        <f t="shared" si="46"/>
        <v>1022323.82</v>
      </c>
      <c r="H272" s="46">
        <f t="shared" si="47"/>
        <v>684956.96</v>
      </c>
      <c r="I272" s="43">
        <v>1022074.21</v>
      </c>
      <c r="J272" s="43">
        <f t="shared" si="48"/>
        <v>249.60999999998603</v>
      </c>
      <c r="K272" s="43"/>
      <c r="L272">
        <f t="shared" si="44"/>
        <v>0</v>
      </c>
      <c r="M272">
        <v>876</v>
      </c>
      <c r="N272">
        <v>1</v>
      </c>
      <c r="O272" s="7" t="s">
        <v>809</v>
      </c>
      <c r="P272" s="6">
        <v>11749875.77</v>
      </c>
      <c r="Q272" s="6">
        <v>-1022074.21</v>
      </c>
      <c r="R272" s="17">
        <f t="shared" si="45"/>
        <v>-8.6999999999999994E-2</v>
      </c>
      <c r="S272" s="6">
        <f t="shared" si="42"/>
        <v>1022074.21</v>
      </c>
      <c r="T272" s="6">
        <f t="shared" si="43"/>
        <v>684789.72</v>
      </c>
    </row>
    <row r="273" spans="1:20" x14ac:dyDescent="0.2">
      <c r="A273">
        <v>877</v>
      </c>
      <c r="B273">
        <v>1</v>
      </c>
      <c r="C273" s="7" t="s">
        <v>265</v>
      </c>
      <c r="D273" s="21">
        <v>36707230.229999997</v>
      </c>
      <c r="E273" s="21">
        <v>-3193793.42</v>
      </c>
      <c r="F273" s="17">
        <f t="shared" si="49"/>
        <v>-8.7007202699999994E-2</v>
      </c>
      <c r="G273" s="21">
        <f t="shared" si="46"/>
        <v>3193793.42</v>
      </c>
      <c r="H273" s="46">
        <f t="shared" si="47"/>
        <v>2139841.59</v>
      </c>
      <c r="I273" s="43">
        <v>3193013.63</v>
      </c>
      <c r="J273" s="43">
        <f t="shared" si="48"/>
        <v>779.79000000003725</v>
      </c>
      <c r="K273" s="43"/>
      <c r="L273">
        <f t="shared" si="44"/>
        <v>0</v>
      </c>
      <c r="M273">
        <v>877</v>
      </c>
      <c r="N273">
        <v>1</v>
      </c>
      <c r="O273" s="7" t="s">
        <v>810</v>
      </c>
      <c r="P273" s="6">
        <v>36707230.229999997</v>
      </c>
      <c r="Q273" s="6">
        <v>-3193013.63</v>
      </c>
      <c r="R273" s="17">
        <f t="shared" si="45"/>
        <v>-8.6999999999999994E-2</v>
      </c>
      <c r="S273" s="6">
        <f t="shared" si="42"/>
        <v>3193013.63</v>
      </c>
      <c r="T273" s="6">
        <f t="shared" si="43"/>
        <v>2139319.13</v>
      </c>
    </row>
    <row r="274" spans="1:20" x14ac:dyDescent="0.2">
      <c r="A274">
        <v>879</v>
      </c>
      <c r="B274">
        <v>1</v>
      </c>
      <c r="C274" s="7" t="s">
        <v>266</v>
      </c>
      <c r="D274" s="21">
        <v>15095080.99</v>
      </c>
      <c r="E274" s="21">
        <v>-1313380.77</v>
      </c>
      <c r="F274" s="17">
        <f t="shared" si="49"/>
        <v>-8.70072026E-2</v>
      </c>
      <c r="G274" s="21">
        <f t="shared" si="46"/>
        <v>1313380.77</v>
      </c>
      <c r="H274" s="46">
        <f t="shared" si="47"/>
        <v>879965.12</v>
      </c>
      <c r="I274" s="43">
        <v>1313060.1000000001</v>
      </c>
      <c r="J274" s="43">
        <f t="shared" si="48"/>
        <v>320.66999999992549</v>
      </c>
      <c r="K274" s="43"/>
      <c r="L274">
        <f t="shared" si="44"/>
        <v>0</v>
      </c>
      <c r="M274">
        <v>879</v>
      </c>
      <c r="N274">
        <v>1</v>
      </c>
      <c r="O274" s="7" t="s">
        <v>811</v>
      </c>
      <c r="P274" s="6">
        <v>15095080.99</v>
      </c>
      <c r="Q274" s="6">
        <v>-1313060.1000000001</v>
      </c>
      <c r="R274" s="17">
        <f t="shared" si="45"/>
        <v>-8.6999999999999994E-2</v>
      </c>
      <c r="S274" s="6">
        <f t="shared" si="42"/>
        <v>1313060.1000000001</v>
      </c>
      <c r="T274" s="6">
        <f t="shared" si="43"/>
        <v>879750.27</v>
      </c>
    </row>
    <row r="275" spans="1:20" x14ac:dyDescent="0.2">
      <c r="A275">
        <v>881</v>
      </c>
      <c r="B275">
        <v>1</v>
      </c>
      <c r="C275" s="7" t="s">
        <v>267</v>
      </c>
      <c r="D275" s="21">
        <v>6516329.9100000001</v>
      </c>
      <c r="E275" s="21">
        <v>-566967.64</v>
      </c>
      <c r="F275" s="17">
        <f t="shared" si="49"/>
        <v>-8.70072031E-2</v>
      </c>
      <c r="G275" s="21">
        <f t="shared" si="46"/>
        <v>566967.64</v>
      </c>
      <c r="H275" s="46">
        <f t="shared" si="47"/>
        <v>379868.32</v>
      </c>
      <c r="I275" s="43">
        <v>566829.21</v>
      </c>
      <c r="J275" s="43">
        <f t="shared" si="48"/>
        <v>138.43000000005122</v>
      </c>
      <c r="K275" s="43"/>
      <c r="L275">
        <f t="shared" si="44"/>
        <v>0</v>
      </c>
      <c r="M275">
        <v>881</v>
      </c>
      <c r="N275">
        <v>1</v>
      </c>
      <c r="O275" s="7" t="s">
        <v>812</v>
      </c>
      <c r="P275" s="6">
        <v>6516329.9100000001</v>
      </c>
      <c r="Q275" s="6">
        <v>-566829.21</v>
      </c>
      <c r="R275" s="17">
        <f t="shared" si="45"/>
        <v>-8.6999999999999994E-2</v>
      </c>
      <c r="S275" s="6">
        <f t="shared" si="42"/>
        <v>566829.21</v>
      </c>
      <c r="T275" s="6">
        <f t="shared" si="43"/>
        <v>379775.57</v>
      </c>
    </row>
    <row r="276" spans="1:20" x14ac:dyDescent="0.2">
      <c r="A276">
        <v>882</v>
      </c>
      <c r="B276">
        <v>1</v>
      </c>
      <c r="C276" s="7" t="s">
        <v>268</v>
      </c>
      <c r="D276" s="21">
        <v>25314776.699999999</v>
      </c>
      <c r="E276" s="21">
        <v>-2202567.91</v>
      </c>
      <c r="F276" s="17">
        <f t="shared" si="49"/>
        <v>-8.7007202800000003E-2</v>
      </c>
      <c r="G276" s="21">
        <f t="shared" si="46"/>
        <v>2202567.91</v>
      </c>
      <c r="H276" s="46">
        <f t="shared" si="47"/>
        <v>1475720.5</v>
      </c>
      <c r="I276" s="43">
        <v>2202030.13</v>
      </c>
      <c r="J276" s="43">
        <f t="shared" si="48"/>
        <v>537.78000000026077</v>
      </c>
      <c r="K276" s="43"/>
      <c r="L276">
        <f t="shared" si="44"/>
        <v>0</v>
      </c>
      <c r="M276">
        <v>882</v>
      </c>
      <c r="N276">
        <v>1</v>
      </c>
      <c r="O276" s="7" t="s">
        <v>813</v>
      </c>
      <c r="P276" s="6">
        <v>25314776.699999999</v>
      </c>
      <c r="Q276" s="6">
        <v>-2202030.13</v>
      </c>
      <c r="R276" s="17">
        <f t="shared" si="45"/>
        <v>-8.6999999999999994E-2</v>
      </c>
      <c r="S276" s="6">
        <f t="shared" si="42"/>
        <v>2202030.13</v>
      </c>
      <c r="T276" s="6">
        <f t="shared" si="43"/>
        <v>1475360.19</v>
      </c>
    </row>
    <row r="277" spans="1:20" x14ac:dyDescent="0.2">
      <c r="A277">
        <v>883</v>
      </c>
      <c r="B277">
        <v>1</v>
      </c>
      <c r="C277" s="7" t="s">
        <v>269</v>
      </c>
      <c r="D277" s="21">
        <v>10358693.98</v>
      </c>
      <c r="E277" s="21">
        <v>-901280.99</v>
      </c>
      <c r="F277" s="17">
        <f t="shared" si="49"/>
        <v>-8.7007203000000005E-2</v>
      </c>
      <c r="G277" s="21">
        <f t="shared" si="46"/>
        <v>901280.99</v>
      </c>
      <c r="H277" s="46">
        <f t="shared" si="47"/>
        <v>603858.26</v>
      </c>
      <c r="I277" s="43">
        <v>901060.93</v>
      </c>
      <c r="J277" s="43">
        <f t="shared" si="48"/>
        <v>220.05999999993946</v>
      </c>
      <c r="K277" s="43"/>
      <c r="L277">
        <f t="shared" si="44"/>
        <v>0</v>
      </c>
      <c r="M277">
        <v>883</v>
      </c>
      <c r="N277">
        <v>1</v>
      </c>
      <c r="O277" s="7" t="s">
        <v>814</v>
      </c>
      <c r="P277" s="6">
        <v>10358693.98</v>
      </c>
      <c r="Q277" s="6">
        <v>-901060.93</v>
      </c>
      <c r="R277" s="17">
        <f t="shared" si="45"/>
        <v>-8.6999999999999994E-2</v>
      </c>
      <c r="S277" s="6">
        <f t="shared" si="42"/>
        <v>901060.93</v>
      </c>
      <c r="T277" s="6">
        <f t="shared" si="43"/>
        <v>603710.81999999995</v>
      </c>
    </row>
    <row r="278" spans="1:20" x14ac:dyDescent="0.2">
      <c r="A278">
        <v>885</v>
      </c>
      <c r="B278">
        <v>1</v>
      </c>
      <c r="C278" s="7" t="s">
        <v>270</v>
      </c>
      <c r="D278" s="21">
        <v>28847955.09</v>
      </c>
      <c r="E278" s="21">
        <v>-2509979.87</v>
      </c>
      <c r="F278" s="17">
        <f t="shared" si="49"/>
        <v>-8.7007202500000005E-2</v>
      </c>
      <c r="G278" s="21">
        <f t="shared" si="46"/>
        <v>2509979.87</v>
      </c>
      <c r="H278" s="46">
        <f t="shared" si="47"/>
        <v>1681686.51</v>
      </c>
      <c r="I278" s="43">
        <v>2509367.04</v>
      </c>
      <c r="J278" s="43">
        <f t="shared" si="48"/>
        <v>612.83000000007451</v>
      </c>
      <c r="K278" s="43"/>
      <c r="L278">
        <f t="shared" si="44"/>
        <v>0</v>
      </c>
      <c r="M278">
        <v>885</v>
      </c>
      <c r="N278">
        <v>1</v>
      </c>
      <c r="O278" s="7" t="s">
        <v>815</v>
      </c>
      <c r="P278" s="6">
        <v>28847955.09</v>
      </c>
      <c r="Q278" s="6">
        <v>-2509367.04</v>
      </c>
      <c r="R278" s="17">
        <f t="shared" si="45"/>
        <v>-8.6999999999999994E-2</v>
      </c>
      <c r="S278" s="6">
        <f t="shared" si="42"/>
        <v>2509367.04</v>
      </c>
      <c r="T278" s="6">
        <f t="shared" si="43"/>
        <v>1681275.92</v>
      </c>
    </row>
    <row r="279" spans="1:20" x14ac:dyDescent="0.2">
      <c r="A279">
        <v>891</v>
      </c>
      <c r="B279">
        <v>1</v>
      </c>
      <c r="C279" s="7" t="s">
        <v>271</v>
      </c>
      <c r="D279" s="21">
        <v>3968677.62</v>
      </c>
      <c r="E279" s="21">
        <v>-345303.54</v>
      </c>
      <c r="F279" s="17">
        <f t="shared" si="49"/>
        <v>-8.7007203199999994E-2</v>
      </c>
      <c r="G279" s="21">
        <f t="shared" si="46"/>
        <v>345303.54</v>
      </c>
      <c r="H279" s="46">
        <f t="shared" si="47"/>
        <v>231353.37</v>
      </c>
      <c r="I279" s="43">
        <v>345219.23</v>
      </c>
      <c r="J279" s="43">
        <f t="shared" si="48"/>
        <v>84.309999999997672</v>
      </c>
      <c r="K279" s="43"/>
      <c r="L279">
        <f t="shared" si="44"/>
        <v>0</v>
      </c>
      <c r="M279">
        <v>891</v>
      </c>
      <c r="N279">
        <v>1</v>
      </c>
      <c r="O279" s="7" t="s">
        <v>816</v>
      </c>
      <c r="P279" s="6">
        <v>3968677.62</v>
      </c>
      <c r="Q279" s="6">
        <v>-345219.23</v>
      </c>
      <c r="R279" s="17">
        <f t="shared" si="45"/>
        <v>-8.6999999999999994E-2</v>
      </c>
      <c r="S279" s="6">
        <f t="shared" si="42"/>
        <v>345219.23</v>
      </c>
      <c r="T279" s="6">
        <f t="shared" si="43"/>
        <v>231296.88</v>
      </c>
    </row>
    <row r="280" spans="1:20" x14ac:dyDescent="0.2">
      <c r="A280">
        <v>911</v>
      </c>
      <c r="B280">
        <v>1</v>
      </c>
      <c r="C280" s="7" t="s">
        <v>272</v>
      </c>
      <c r="D280" s="21">
        <v>34662211.229999997</v>
      </c>
      <c r="E280" s="21">
        <v>-3015862.04</v>
      </c>
      <c r="F280" s="17">
        <f t="shared" si="49"/>
        <v>-8.7007202699999994E-2</v>
      </c>
      <c r="G280" s="21">
        <f t="shared" si="46"/>
        <v>3015862.04</v>
      </c>
      <c r="H280" s="46">
        <f t="shared" si="47"/>
        <v>2020627.57</v>
      </c>
      <c r="I280" s="43">
        <v>3015125.69</v>
      </c>
      <c r="J280" s="43">
        <f t="shared" si="48"/>
        <v>736.35000000009313</v>
      </c>
      <c r="K280" s="43"/>
      <c r="L280">
        <f t="shared" si="44"/>
        <v>0</v>
      </c>
      <c r="M280">
        <v>911</v>
      </c>
      <c r="N280">
        <v>1</v>
      </c>
      <c r="O280" s="7" t="s">
        <v>817</v>
      </c>
      <c r="P280" s="6">
        <v>34662211.229999997</v>
      </c>
      <c r="Q280" s="6">
        <v>-3015125.69</v>
      </c>
      <c r="R280" s="17">
        <f t="shared" si="45"/>
        <v>-8.6999999999999994E-2</v>
      </c>
      <c r="S280" s="6">
        <f t="shared" si="42"/>
        <v>3015125.69</v>
      </c>
      <c r="T280" s="6">
        <f t="shared" si="43"/>
        <v>2020134.21</v>
      </c>
    </row>
    <row r="281" spans="1:20" x14ac:dyDescent="0.2">
      <c r="A281">
        <v>912</v>
      </c>
      <c r="B281">
        <v>1</v>
      </c>
      <c r="C281" s="7" t="s">
        <v>273</v>
      </c>
      <c r="D281" s="21">
        <v>12853126.390000001</v>
      </c>
      <c r="E281" s="21">
        <v>-1118314.57</v>
      </c>
      <c r="F281" s="17">
        <f t="shared" si="49"/>
        <v>-8.7007202500000005E-2</v>
      </c>
      <c r="G281" s="21">
        <f t="shared" si="46"/>
        <v>1118314.57</v>
      </c>
      <c r="H281" s="46">
        <f t="shared" si="47"/>
        <v>749270.76</v>
      </c>
      <c r="I281" s="43">
        <v>1118041.53</v>
      </c>
      <c r="J281" s="43">
        <f t="shared" si="48"/>
        <v>273.04000000003725</v>
      </c>
      <c r="K281" s="43"/>
      <c r="L281">
        <f t="shared" si="44"/>
        <v>0</v>
      </c>
      <c r="M281">
        <v>912</v>
      </c>
      <c r="N281">
        <v>1</v>
      </c>
      <c r="O281" s="7" t="s">
        <v>818</v>
      </c>
      <c r="P281" s="6">
        <v>12853126.390000001</v>
      </c>
      <c r="Q281" s="6">
        <v>-1118041.53</v>
      </c>
      <c r="R281" s="17">
        <f t="shared" si="45"/>
        <v>-8.6999999999999994E-2</v>
      </c>
      <c r="S281" s="6">
        <f t="shared" si="42"/>
        <v>1118041.53</v>
      </c>
      <c r="T281" s="6">
        <f t="shared" si="43"/>
        <v>749087.83</v>
      </c>
    </row>
    <row r="282" spans="1:20" x14ac:dyDescent="0.2">
      <c r="A282">
        <v>914</v>
      </c>
      <c r="B282">
        <v>1</v>
      </c>
      <c r="C282" s="7" t="s">
        <v>274</v>
      </c>
      <c r="D282" s="21">
        <v>1980035.01</v>
      </c>
      <c r="E282" s="21">
        <v>-172277.31</v>
      </c>
      <c r="F282" s="17">
        <f t="shared" si="49"/>
        <v>-8.7007204000000005E-2</v>
      </c>
      <c r="G282" s="21">
        <f t="shared" si="46"/>
        <v>172277.31</v>
      </c>
      <c r="H282" s="46">
        <f t="shared" si="47"/>
        <v>115425.8</v>
      </c>
      <c r="I282" s="43">
        <v>172235.24</v>
      </c>
      <c r="J282" s="43">
        <f t="shared" si="48"/>
        <v>42.070000000006985</v>
      </c>
      <c r="K282" s="43"/>
      <c r="L282">
        <f t="shared" si="44"/>
        <v>0</v>
      </c>
      <c r="M282">
        <v>914</v>
      </c>
      <c r="N282">
        <v>1</v>
      </c>
      <c r="O282" s="7" t="s">
        <v>819</v>
      </c>
      <c r="P282" s="6">
        <v>1980035.01</v>
      </c>
      <c r="Q282" s="6">
        <v>-172235.24</v>
      </c>
      <c r="R282" s="17">
        <f t="shared" si="45"/>
        <v>-8.6999999999999994E-2</v>
      </c>
      <c r="S282" s="6">
        <f t="shared" si="42"/>
        <v>172235.24</v>
      </c>
      <c r="T282" s="6">
        <f t="shared" si="43"/>
        <v>115397.61</v>
      </c>
    </row>
    <row r="283" spans="1:20" x14ac:dyDescent="0.2">
      <c r="A283">
        <v>2071</v>
      </c>
      <c r="B283">
        <v>1</v>
      </c>
      <c r="C283" s="7" t="s">
        <v>275</v>
      </c>
      <c r="D283" s="21">
        <v>5260973.6399999997</v>
      </c>
      <c r="E283" s="21">
        <v>-457742.6</v>
      </c>
      <c r="F283" s="17">
        <f t="shared" si="49"/>
        <v>-8.7007202699999994E-2</v>
      </c>
      <c r="G283" s="21">
        <f t="shared" si="46"/>
        <v>457742.6</v>
      </c>
      <c r="H283" s="46">
        <f t="shared" si="47"/>
        <v>306687.53999999998</v>
      </c>
      <c r="I283" s="43">
        <v>457630.84</v>
      </c>
      <c r="J283" s="43">
        <f t="shared" si="48"/>
        <v>111.75999999995111</v>
      </c>
      <c r="K283" s="43"/>
      <c r="L283">
        <f t="shared" si="44"/>
        <v>0</v>
      </c>
      <c r="M283">
        <v>2071</v>
      </c>
      <c r="N283">
        <v>1</v>
      </c>
      <c r="O283" s="7" t="s">
        <v>820</v>
      </c>
      <c r="P283" s="6">
        <v>5260973.6399999997</v>
      </c>
      <c r="Q283" s="6">
        <v>-457630.84</v>
      </c>
      <c r="R283" s="17">
        <f t="shared" si="45"/>
        <v>-8.6999999999999994E-2</v>
      </c>
      <c r="S283" s="6">
        <f t="shared" si="42"/>
        <v>457630.84</v>
      </c>
      <c r="T283" s="6">
        <f t="shared" si="43"/>
        <v>306612.65999999997</v>
      </c>
    </row>
    <row r="284" spans="1:20" x14ac:dyDescent="0.2">
      <c r="A284">
        <v>2125</v>
      </c>
      <c r="B284">
        <v>1</v>
      </c>
      <c r="C284" s="7" t="s">
        <v>276</v>
      </c>
      <c r="D284" s="21">
        <v>7591873.0999999996</v>
      </c>
      <c r="E284" s="21">
        <v>-660547.64</v>
      </c>
      <c r="F284" s="17">
        <f t="shared" si="49"/>
        <v>-8.7007202500000005E-2</v>
      </c>
      <c r="G284" s="21">
        <f t="shared" si="46"/>
        <v>660547.64</v>
      </c>
      <c r="H284" s="46">
        <f t="shared" si="47"/>
        <v>442566.92</v>
      </c>
      <c r="I284" s="43">
        <v>660386.36</v>
      </c>
      <c r="J284" s="43">
        <f t="shared" si="48"/>
        <v>161.28000000002794</v>
      </c>
      <c r="K284" s="43"/>
      <c r="L284">
        <f t="shared" si="44"/>
        <v>0</v>
      </c>
      <c r="M284">
        <v>2125</v>
      </c>
      <c r="N284">
        <v>1</v>
      </c>
      <c r="O284" s="7" t="s">
        <v>821</v>
      </c>
      <c r="P284" s="6">
        <v>7591873.0999999996</v>
      </c>
      <c r="Q284" s="6">
        <v>-660386.36</v>
      </c>
      <c r="R284" s="17">
        <f t="shared" si="45"/>
        <v>-8.6999999999999994E-2</v>
      </c>
      <c r="S284" s="6">
        <f t="shared" si="42"/>
        <v>660386.36</v>
      </c>
      <c r="T284" s="6">
        <f t="shared" si="43"/>
        <v>442458.86</v>
      </c>
    </row>
    <row r="285" spans="1:20" x14ac:dyDescent="0.2">
      <c r="A285">
        <v>2134</v>
      </c>
      <c r="B285">
        <v>1</v>
      </c>
      <c r="C285" s="7" t="s">
        <v>277</v>
      </c>
      <c r="D285" s="21">
        <v>5750030.5800000001</v>
      </c>
      <c r="E285" s="21">
        <v>-500294.08</v>
      </c>
      <c r="F285" s="17">
        <f t="shared" si="49"/>
        <v>-8.7007203399999997E-2</v>
      </c>
      <c r="G285" s="21">
        <f t="shared" si="46"/>
        <v>500294.08</v>
      </c>
      <c r="H285" s="46">
        <f t="shared" si="47"/>
        <v>335197.03000000003</v>
      </c>
      <c r="I285" s="43">
        <v>500171.93</v>
      </c>
      <c r="J285" s="43">
        <f t="shared" si="48"/>
        <v>122.15000000002328</v>
      </c>
      <c r="K285" s="43"/>
      <c r="L285">
        <f t="shared" si="44"/>
        <v>0</v>
      </c>
      <c r="M285">
        <v>2134</v>
      </c>
      <c r="N285">
        <v>1</v>
      </c>
      <c r="O285" s="7" t="s">
        <v>822</v>
      </c>
      <c r="P285" s="6">
        <v>5750030.5800000001</v>
      </c>
      <c r="Q285" s="6">
        <v>-500171.93</v>
      </c>
      <c r="R285" s="17">
        <f t="shared" si="45"/>
        <v>-8.6999999999999994E-2</v>
      </c>
      <c r="S285" s="6">
        <f t="shared" si="42"/>
        <v>500171.93</v>
      </c>
      <c r="T285" s="6">
        <f t="shared" si="43"/>
        <v>335115.19</v>
      </c>
    </row>
    <row r="286" spans="1:20" x14ac:dyDescent="0.2">
      <c r="A286">
        <v>2135</v>
      </c>
      <c r="B286">
        <v>1</v>
      </c>
      <c r="C286" s="7" t="s">
        <v>278</v>
      </c>
      <c r="D286" s="21">
        <v>7884543.04</v>
      </c>
      <c r="E286" s="21">
        <v>-686012.03</v>
      </c>
      <c r="F286" s="17">
        <f t="shared" si="49"/>
        <v>-8.70072021E-2</v>
      </c>
      <c r="G286" s="21">
        <f t="shared" si="46"/>
        <v>686012.03</v>
      </c>
      <c r="H286" s="46">
        <f t="shared" si="47"/>
        <v>459628.06</v>
      </c>
      <c r="I286" s="43">
        <v>685844.54</v>
      </c>
      <c r="J286" s="43">
        <f t="shared" si="48"/>
        <v>167.48999999999069</v>
      </c>
      <c r="K286" s="43"/>
      <c r="L286">
        <f t="shared" si="44"/>
        <v>0</v>
      </c>
      <c r="M286">
        <v>2135</v>
      </c>
      <c r="N286">
        <v>1</v>
      </c>
      <c r="O286" s="7" t="s">
        <v>823</v>
      </c>
      <c r="P286" s="6">
        <v>7884543.04</v>
      </c>
      <c r="Q286" s="6">
        <v>-685844.54</v>
      </c>
      <c r="R286" s="17">
        <f t="shared" si="45"/>
        <v>-8.6999999999999994E-2</v>
      </c>
      <c r="S286" s="6">
        <f t="shared" si="42"/>
        <v>685844.54</v>
      </c>
      <c r="T286" s="6">
        <f t="shared" si="43"/>
        <v>459515.84</v>
      </c>
    </row>
    <row r="287" spans="1:20" x14ac:dyDescent="0.2">
      <c r="A287">
        <v>2137</v>
      </c>
      <c r="B287">
        <v>1</v>
      </c>
      <c r="C287" s="7" t="s">
        <v>279</v>
      </c>
      <c r="D287" s="21">
        <v>5040158.92</v>
      </c>
      <c r="E287" s="21">
        <v>-438530.13</v>
      </c>
      <c r="F287" s="17">
        <f t="shared" si="49"/>
        <v>-8.7007202899999997E-2</v>
      </c>
      <c r="G287" s="21">
        <f t="shared" si="46"/>
        <v>438530.13</v>
      </c>
      <c r="H287" s="46">
        <f t="shared" si="47"/>
        <v>293815.19</v>
      </c>
      <c r="I287" s="43">
        <v>438423.06</v>
      </c>
      <c r="J287" s="43">
        <f t="shared" si="48"/>
        <v>107.07000000000698</v>
      </c>
      <c r="K287" s="43"/>
      <c r="L287">
        <f t="shared" si="44"/>
        <v>0</v>
      </c>
      <c r="M287">
        <v>2137</v>
      </c>
      <c r="N287">
        <v>1</v>
      </c>
      <c r="O287" s="7" t="s">
        <v>824</v>
      </c>
      <c r="P287" s="6">
        <v>5040158.92</v>
      </c>
      <c r="Q287" s="6">
        <v>-438423.06</v>
      </c>
      <c r="R287" s="17">
        <f t="shared" si="45"/>
        <v>-8.6999999999999994E-2</v>
      </c>
      <c r="S287" s="6">
        <f t="shared" si="42"/>
        <v>438423.06</v>
      </c>
      <c r="T287" s="6">
        <f t="shared" si="43"/>
        <v>293743.45</v>
      </c>
    </row>
    <row r="288" spans="1:20" x14ac:dyDescent="0.2">
      <c r="A288">
        <v>2142</v>
      </c>
      <c r="B288">
        <v>1</v>
      </c>
      <c r="C288" s="7" t="s">
        <v>280</v>
      </c>
      <c r="D288" s="21">
        <v>18523820.280000001</v>
      </c>
      <c r="E288" s="21">
        <v>-1611705.78</v>
      </c>
      <c r="F288" s="17">
        <f t="shared" si="49"/>
        <v>-8.7007202399999997E-2</v>
      </c>
      <c r="G288" s="21">
        <f t="shared" si="46"/>
        <v>1611705.78</v>
      </c>
      <c r="H288" s="46">
        <f t="shared" si="47"/>
        <v>1079842.8700000001</v>
      </c>
      <c r="I288" s="43">
        <v>1611312.27</v>
      </c>
      <c r="J288" s="43">
        <f t="shared" si="48"/>
        <v>393.51000000000931</v>
      </c>
      <c r="K288" s="43"/>
      <c r="L288">
        <f t="shared" si="44"/>
        <v>0</v>
      </c>
      <c r="M288">
        <v>2142</v>
      </c>
      <c r="N288">
        <v>1</v>
      </c>
      <c r="O288" s="7" t="s">
        <v>825</v>
      </c>
      <c r="P288" s="6">
        <v>18523820.280000001</v>
      </c>
      <c r="Q288" s="6">
        <v>-1611312.27</v>
      </c>
      <c r="R288" s="17">
        <f t="shared" si="45"/>
        <v>-8.6999999999999994E-2</v>
      </c>
      <c r="S288" s="6">
        <f t="shared" si="42"/>
        <v>1611312.27</v>
      </c>
      <c r="T288" s="6">
        <f t="shared" si="43"/>
        <v>1079579.22</v>
      </c>
    </row>
    <row r="289" spans="1:20" x14ac:dyDescent="0.2">
      <c r="A289">
        <v>2143</v>
      </c>
      <c r="B289">
        <v>1</v>
      </c>
      <c r="C289" s="7" t="s">
        <v>281</v>
      </c>
      <c r="D289" s="21">
        <v>6454619.3600000003</v>
      </c>
      <c r="E289" s="21">
        <v>-561598.37</v>
      </c>
      <c r="F289" s="17">
        <f t="shared" si="49"/>
        <v>-8.7007201899999997E-2</v>
      </c>
      <c r="G289" s="21">
        <f t="shared" si="46"/>
        <v>561598.37</v>
      </c>
      <c r="H289" s="46">
        <f t="shared" si="47"/>
        <v>376270.91</v>
      </c>
      <c r="I289" s="43">
        <v>561461.26</v>
      </c>
      <c r="J289" s="43">
        <f t="shared" si="48"/>
        <v>137.10999999998603</v>
      </c>
      <c r="K289" s="43"/>
      <c r="L289">
        <f t="shared" si="44"/>
        <v>0</v>
      </c>
      <c r="M289">
        <v>2143</v>
      </c>
      <c r="N289">
        <v>1</v>
      </c>
      <c r="O289" s="7" t="s">
        <v>281</v>
      </c>
      <c r="P289" s="6">
        <v>6454619.3600000003</v>
      </c>
      <c r="Q289" s="6">
        <v>-561461.26</v>
      </c>
      <c r="R289" s="17">
        <f t="shared" si="45"/>
        <v>-8.6999999999999994E-2</v>
      </c>
      <c r="S289" s="6">
        <f t="shared" si="42"/>
        <v>561461.26</v>
      </c>
      <c r="T289" s="6">
        <f t="shared" si="43"/>
        <v>376179.04</v>
      </c>
    </row>
    <row r="290" spans="1:20" x14ac:dyDescent="0.2">
      <c r="A290">
        <v>2144</v>
      </c>
      <c r="B290">
        <v>1</v>
      </c>
      <c r="C290" s="7" t="s">
        <v>282</v>
      </c>
      <c r="D290" s="21">
        <v>22708874.280000001</v>
      </c>
      <c r="E290" s="21">
        <v>-1975835.63</v>
      </c>
      <c r="F290" s="17">
        <f t="shared" si="49"/>
        <v>-8.7007202800000003E-2</v>
      </c>
      <c r="G290" s="21">
        <f t="shared" si="46"/>
        <v>1975835.63</v>
      </c>
      <c r="H290" s="46">
        <f t="shared" si="47"/>
        <v>1323809.8700000001</v>
      </c>
      <c r="I290" s="43">
        <v>1975353.21</v>
      </c>
      <c r="J290" s="43">
        <f t="shared" si="48"/>
        <v>482.41999999992549</v>
      </c>
      <c r="K290" s="43"/>
      <c r="L290">
        <f t="shared" si="44"/>
        <v>0</v>
      </c>
      <c r="M290">
        <v>2144</v>
      </c>
      <c r="N290">
        <v>1</v>
      </c>
      <c r="O290" s="7" t="s">
        <v>826</v>
      </c>
      <c r="P290" s="6">
        <v>22708874.280000001</v>
      </c>
      <c r="Q290" s="6">
        <v>-1975353.21</v>
      </c>
      <c r="R290" s="17">
        <f t="shared" si="45"/>
        <v>-8.6999999999999994E-2</v>
      </c>
      <c r="S290" s="6">
        <f t="shared" si="42"/>
        <v>1975353.21</v>
      </c>
      <c r="T290" s="6">
        <f t="shared" si="43"/>
        <v>1323486.6499999999</v>
      </c>
    </row>
    <row r="291" spans="1:20" x14ac:dyDescent="0.2">
      <c r="A291">
        <v>2149</v>
      </c>
      <c r="B291">
        <v>1</v>
      </c>
      <c r="C291" s="7" t="s">
        <v>283</v>
      </c>
      <c r="D291" s="21">
        <v>8201971.3099999996</v>
      </c>
      <c r="E291" s="21">
        <v>-713630.58</v>
      </c>
      <c r="F291" s="17">
        <f t="shared" si="49"/>
        <v>-8.7007202699999994E-2</v>
      </c>
      <c r="G291" s="21">
        <f t="shared" si="46"/>
        <v>713630.58</v>
      </c>
      <c r="H291" s="46">
        <f t="shared" si="47"/>
        <v>478132.49</v>
      </c>
      <c r="I291" s="43">
        <v>713456.34</v>
      </c>
      <c r="J291" s="43">
        <f t="shared" si="48"/>
        <v>174.23999999999069</v>
      </c>
      <c r="K291" s="43"/>
      <c r="L291">
        <f t="shared" si="44"/>
        <v>0</v>
      </c>
      <c r="M291">
        <v>2149</v>
      </c>
      <c r="N291">
        <v>1</v>
      </c>
      <c r="O291" s="7" t="s">
        <v>827</v>
      </c>
      <c r="P291" s="6">
        <v>8201971.3099999996</v>
      </c>
      <c r="Q291" s="6">
        <v>-713456.34</v>
      </c>
      <c r="R291" s="17">
        <f t="shared" si="45"/>
        <v>-8.6999999999999994E-2</v>
      </c>
      <c r="S291" s="6">
        <f t="shared" si="42"/>
        <v>713456.34</v>
      </c>
      <c r="T291" s="6">
        <f t="shared" si="43"/>
        <v>478015.75</v>
      </c>
    </row>
    <row r="292" spans="1:20" x14ac:dyDescent="0.2">
      <c r="A292">
        <v>2154</v>
      </c>
      <c r="B292">
        <v>1</v>
      </c>
      <c r="C292" s="7" t="s">
        <v>284</v>
      </c>
      <c r="D292" s="21">
        <v>8548524.8900000006</v>
      </c>
      <c r="E292" s="21">
        <v>-743783.24</v>
      </c>
      <c r="F292" s="17">
        <f t="shared" si="49"/>
        <v>-8.7007202899999997E-2</v>
      </c>
      <c r="G292" s="21">
        <f t="shared" si="46"/>
        <v>743783.24</v>
      </c>
      <c r="H292" s="46">
        <f t="shared" si="47"/>
        <v>498334.77</v>
      </c>
      <c r="I292" s="43">
        <v>743601.64</v>
      </c>
      <c r="J292" s="43">
        <f t="shared" si="48"/>
        <v>181.59999999997672</v>
      </c>
      <c r="K292" s="43"/>
      <c r="L292">
        <f t="shared" si="44"/>
        <v>0</v>
      </c>
      <c r="M292">
        <v>2154</v>
      </c>
      <c r="N292">
        <v>1</v>
      </c>
      <c r="O292" s="7" t="s">
        <v>828</v>
      </c>
      <c r="P292" s="6">
        <v>8548524.8900000006</v>
      </c>
      <c r="Q292" s="6">
        <v>-743601.64</v>
      </c>
      <c r="R292" s="17">
        <f t="shared" si="45"/>
        <v>-8.6999999999999994E-2</v>
      </c>
      <c r="S292" s="6">
        <f t="shared" si="42"/>
        <v>743601.64</v>
      </c>
      <c r="T292" s="6">
        <f t="shared" si="43"/>
        <v>498213.1</v>
      </c>
    </row>
    <row r="293" spans="1:20" x14ac:dyDescent="0.2">
      <c r="A293">
        <v>2155</v>
      </c>
      <c r="B293">
        <v>1</v>
      </c>
      <c r="C293" s="7" t="s">
        <v>285</v>
      </c>
      <c r="D293" s="21">
        <v>8362204.1699999999</v>
      </c>
      <c r="E293" s="21">
        <v>-727571.99</v>
      </c>
      <c r="F293" s="17">
        <f t="shared" si="49"/>
        <v>-8.7007202300000003E-2</v>
      </c>
      <c r="G293" s="21">
        <f t="shared" si="46"/>
        <v>727571.99</v>
      </c>
      <c r="H293" s="46">
        <f t="shared" si="47"/>
        <v>487473.23</v>
      </c>
      <c r="I293" s="43">
        <v>727394.35</v>
      </c>
      <c r="J293" s="43">
        <f t="shared" si="48"/>
        <v>177.64000000001397</v>
      </c>
      <c r="K293" s="43"/>
      <c r="L293">
        <f t="shared" si="44"/>
        <v>0</v>
      </c>
      <c r="M293">
        <v>2155</v>
      </c>
      <c r="N293">
        <v>1</v>
      </c>
      <c r="O293" s="7" t="s">
        <v>829</v>
      </c>
      <c r="P293" s="6">
        <v>8362204.1699999999</v>
      </c>
      <c r="Q293" s="6">
        <v>-727394.35</v>
      </c>
      <c r="R293" s="17">
        <f t="shared" si="45"/>
        <v>-8.6999999999999994E-2</v>
      </c>
      <c r="S293" s="6">
        <f t="shared" si="42"/>
        <v>727394.35</v>
      </c>
      <c r="T293" s="6">
        <f t="shared" si="43"/>
        <v>487354.21</v>
      </c>
    </row>
    <row r="294" spans="1:20" x14ac:dyDescent="0.2">
      <c r="A294">
        <v>2159</v>
      </c>
      <c r="B294">
        <v>1</v>
      </c>
      <c r="C294" s="7" t="s">
        <v>286</v>
      </c>
      <c r="D294" s="21">
        <v>4408474.4000000004</v>
      </c>
      <c r="E294" s="21">
        <v>-383569.03</v>
      </c>
      <c r="F294" s="17">
        <f t="shared" si="49"/>
        <v>-8.7007203699999994E-2</v>
      </c>
      <c r="G294" s="21">
        <f t="shared" si="46"/>
        <v>383569.03</v>
      </c>
      <c r="H294" s="46">
        <f t="shared" si="47"/>
        <v>256991.25</v>
      </c>
      <c r="I294" s="43">
        <v>352985.65</v>
      </c>
      <c r="J294" s="43">
        <f t="shared" si="48"/>
        <v>30583.380000000005</v>
      </c>
      <c r="K294" s="48" t="s">
        <v>978</v>
      </c>
      <c r="L294">
        <f t="shared" si="44"/>
        <v>0</v>
      </c>
      <c r="M294">
        <v>2159</v>
      </c>
      <c r="N294">
        <v>1</v>
      </c>
      <c r="O294" s="7" t="s">
        <v>830</v>
      </c>
      <c r="P294" s="6">
        <v>4057961.28</v>
      </c>
      <c r="Q294" s="6">
        <v>-352985.65</v>
      </c>
      <c r="R294" s="17">
        <f t="shared" si="45"/>
        <v>-8.6999999999999994E-2</v>
      </c>
      <c r="S294" s="6">
        <f t="shared" si="42"/>
        <v>352985.65</v>
      </c>
      <c r="T294" s="6">
        <f t="shared" si="43"/>
        <v>236500.39</v>
      </c>
    </row>
    <row r="295" spans="1:20" x14ac:dyDescent="0.2">
      <c r="A295">
        <v>2164</v>
      </c>
      <c r="B295">
        <v>1</v>
      </c>
      <c r="C295" s="7" t="s">
        <v>287</v>
      </c>
      <c r="D295" s="21">
        <v>8646834.8100000005</v>
      </c>
      <c r="E295" s="21">
        <v>-752336.91</v>
      </c>
      <c r="F295" s="17">
        <f t="shared" si="49"/>
        <v>-8.7007202800000003E-2</v>
      </c>
      <c r="G295" s="21">
        <f t="shared" si="46"/>
        <v>752336.91</v>
      </c>
      <c r="H295" s="46">
        <f t="shared" si="47"/>
        <v>504065.73</v>
      </c>
      <c r="I295" s="43">
        <v>752153.22</v>
      </c>
      <c r="J295" s="43">
        <f t="shared" si="48"/>
        <v>183.69000000006054</v>
      </c>
      <c r="K295" s="43"/>
      <c r="L295">
        <f t="shared" si="44"/>
        <v>0</v>
      </c>
      <c r="M295">
        <v>2164</v>
      </c>
      <c r="N295">
        <v>1</v>
      </c>
      <c r="O295" s="7" t="s">
        <v>831</v>
      </c>
      <c r="P295" s="6">
        <v>8646834.8100000005</v>
      </c>
      <c r="Q295" s="6">
        <v>-752153.22</v>
      </c>
      <c r="R295" s="17">
        <f t="shared" si="45"/>
        <v>-8.6999999999999994E-2</v>
      </c>
      <c r="S295" s="6">
        <f t="shared" si="42"/>
        <v>752153.22</v>
      </c>
      <c r="T295" s="6">
        <f t="shared" si="43"/>
        <v>503942.66</v>
      </c>
    </row>
    <row r="296" spans="1:20" x14ac:dyDescent="0.2">
      <c r="A296">
        <v>2165</v>
      </c>
      <c r="B296">
        <v>1</v>
      </c>
      <c r="C296" s="7" t="s">
        <v>288</v>
      </c>
      <c r="D296" s="21">
        <v>7312800.4199999999</v>
      </c>
      <c r="E296" s="21">
        <v>-636266.31000000006</v>
      </c>
      <c r="F296" s="17">
        <f t="shared" si="49"/>
        <v>-8.7007202899999997E-2</v>
      </c>
      <c r="G296" s="21">
        <f t="shared" si="46"/>
        <v>636266.31000000006</v>
      </c>
      <c r="H296" s="46">
        <f t="shared" si="47"/>
        <v>426298.43</v>
      </c>
      <c r="I296" s="43">
        <v>636110.96</v>
      </c>
      <c r="J296" s="43">
        <f t="shared" si="48"/>
        <v>155.35000000009313</v>
      </c>
      <c r="K296" s="43"/>
      <c r="L296">
        <f t="shared" si="44"/>
        <v>0</v>
      </c>
      <c r="M296">
        <v>2165</v>
      </c>
      <c r="N296">
        <v>1</v>
      </c>
      <c r="O296" s="7" t="s">
        <v>832</v>
      </c>
      <c r="P296" s="6">
        <v>7312800.4199999999</v>
      </c>
      <c r="Q296" s="6">
        <v>-636110.96</v>
      </c>
      <c r="R296" s="17">
        <f t="shared" si="45"/>
        <v>-8.6999999999999994E-2</v>
      </c>
      <c r="S296" s="6">
        <f t="shared" si="42"/>
        <v>636110.96</v>
      </c>
      <c r="T296" s="6">
        <f t="shared" si="43"/>
        <v>426194.34</v>
      </c>
    </row>
    <row r="297" spans="1:20" x14ac:dyDescent="0.2">
      <c r="A297">
        <v>2167</v>
      </c>
      <c r="B297">
        <v>1</v>
      </c>
      <c r="C297" s="7" t="s">
        <v>289</v>
      </c>
      <c r="D297" s="21">
        <v>3894076.29</v>
      </c>
      <c r="E297" s="21">
        <v>-338812.68</v>
      </c>
      <c r="F297" s="17">
        <f t="shared" si="49"/>
        <v>-8.7007201399999998E-2</v>
      </c>
      <c r="G297" s="21">
        <f t="shared" si="46"/>
        <v>338812.68</v>
      </c>
      <c r="H297" s="46">
        <f t="shared" si="47"/>
        <v>227004.5</v>
      </c>
      <c r="I297" s="43">
        <v>338729.96</v>
      </c>
      <c r="J297" s="43">
        <f t="shared" si="48"/>
        <v>82.71999999997206</v>
      </c>
      <c r="K297" s="43"/>
      <c r="L297">
        <f t="shared" si="44"/>
        <v>0</v>
      </c>
      <c r="M297">
        <v>2167</v>
      </c>
      <c r="N297">
        <v>1</v>
      </c>
      <c r="O297" s="7" t="s">
        <v>833</v>
      </c>
      <c r="P297" s="6">
        <v>3894076.29</v>
      </c>
      <c r="Q297" s="6">
        <v>-338729.96</v>
      </c>
      <c r="R297" s="17">
        <f t="shared" si="45"/>
        <v>-8.6999999999999994E-2</v>
      </c>
      <c r="S297" s="6">
        <f t="shared" si="42"/>
        <v>338729.96</v>
      </c>
      <c r="T297" s="6">
        <f t="shared" si="43"/>
        <v>226949.07</v>
      </c>
    </row>
    <row r="298" spans="1:20" x14ac:dyDescent="0.2">
      <c r="A298">
        <v>2168</v>
      </c>
      <c r="B298">
        <v>1</v>
      </c>
      <c r="C298" s="7" t="s">
        <v>290</v>
      </c>
      <c r="D298" s="21">
        <v>6548859.7699999996</v>
      </c>
      <c r="E298" s="21">
        <v>-569797.97</v>
      </c>
      <c r="F298" s="17">
        <f t="shared" si="49"/>
        <v>-8.7007202800000003E-2</v>
      </c>
      <c r="G298" s="21">
        <f t="shared" si="46"/>
        <v>569797.97</v>
      </c>
      <c r="H298" s="46">
        <f t="shared" si="47"/>
        <v>381764.64</v>
      </c>
      <c r="I298" s="43">
        <v>569658.85</v>
      </c>
      <c r="J298" s="43">
        <f t="shared" si="48"/>
        <v>139.11999999999534</v>
      </c>
      <c r="K298" s="43"/>
      <c r="L298">
        <f t="shared" si="44"/>
        <v>0</v>
      </c>
      <c r="M298">
        <v>2168</v>
      </c>
      <c r="N298">
        <v>1</v>
      </c>
      <c r="O298" s="7" t="s">
        <v>834</v>
      </c>
      <c r="P298" s="6">
        <v>6548859.7699999996</v>
      </c>
      <c r="Q298" s="6">
        <v>-569658.85</v>
      </c>
      <c r="R298" s="17">
        <f t="shared" si="45"/>
        <v>-8.6999999999999994E-2</v>
      </c>
      <c r="S298" s="6">
        <f t="shared" si="42"/>
        <v>569658.85</v>
      </c>
      <c r="T298" s="6">
        <f t="shared" si="43"/>
        <v>381671.43</v>
      </c>
    </row>
    <row r="299" spans="1:20" x14ac:dyDescent="0.2">
      <c r="A299">
        <v>2169</v>
      </c>
      <c r="B299">
        <v>1</v>
      </c>
      <c r="C299" s="7" t="s">
        <v>291</v>
      </c>
      <c r="D299" s="21">
        <v>5073420.33</v>
      </c>
      <c r="E299" s="21">
        <v>-441424.11</v>
      </c>
      <c r="F299" s="17">
        <f t="shared" si="49"/>
        <v>-8.7007202500000005E-2</v>
      </c>
      <c r="G299" s="21">
        <f t="shared" si="46"/>
        <v>441424.11</v>
      </c>
      <c r="H299" s="46">
        <f t="shared" si="47"/>
        <v>295754.15000000002</v>
      </c>
      <c r="I299" s="43">
        <v>441316.33</v>
      </c>
      <c r="J299" s="43">
        <f t="shared" si="48"/>
        <v>107.77999999996973</v>
      </c>
      <c r="K299" s="43"/>
      <c r="L299">
        <f t="shared" si="44"/>
        <v>0</v>
      </c>
      <c r="M299">
        <v>2169</v>
      </c>
      <c r="N299">
        <v>1</v>
      </c>
      <c r="O299" s="7" t="s">
        <v>835</v>
      </c>
      <c r="P299" s="6">
        <v>5073420.33</v>
      </c>
      <c r="Q299" s="6">
        <v>-441316.33</v>
      </c>
      <c r="R299" s="17">
        <f t="shared" si="45"/>
        <v>-8.6999999999999994E-2</v>
      </c>
      <c r="S299" s="6">
        <f t="shared" si="42"/>
        <v>441316.33</v>
      </c>
      <c r="T299" s="6">
        <f t="shared" si="43"/>
        <v>295681.94</v>
      </c>
    </row>
    <row r="300" spans="1:20" x14ac:dyDescent="0.2">
      <c r="A300">
        <v>2170</v>
      </c>
      <c r="B300">
        <v>1</v>
      </c>
      <c r="C300" s="7" t="s">
        <v>292</v>
      </c>
      <c r="D300" s="21">
        <v>10744759.27</v>
      </c>
      <c r="E300" s="21">
        <v>-934871.45</v>
      </c>
      <c r="F300" s="17">
        <f t="shared" si="49"/>
        <v>-8.7007202899999997E-2</v>
      </c>
      <c r="G300" s="21">
        <f t="shared" si="46"/>
        <v>934871.45</v>
      </c>
      <c r="H300" s="46">
        <f t="shared" si="47"/>
        <v>626363.87</v>
      </c>
      <c r="I300" s="43">
        <v>934643.19</v>
      </c>
      <c r="J300" s="43">
        <f t="shared" si="48"/>
        <v>228.26000000000931</v>
      </c>
      <c r="K300" s="43"/>
      <c r="L300">
        <f t="shared" si="44"/>
        <v>0</v>
      </c>
      <c r="M300">
        <v>2170</v>
      </c>
      <c r="N300">
        <v>1</v>
      </c>
      <c r="O300" s="7" t="s">
        <v>836</v>
      </c>
      <c r="P300" s="6">
        <v>10744759.27</v>
      </c>
      <c r="Q300" s="6">
        <v>-934643.19</v>
      </c>
      <c r="R300" s="17">
        <f t="shared" si="45"/>
        <v>-8.6999999999999994E-2</v>
      </c>
      <c r="S300" s="6">
        <f t="shared" si="42"/>
        <v>934643.19</v>
      </c>
      <c r="T300" s="6">
        <f t="shared" si="43"/>
        <v>626210.93999999994</v>
      </c>
    </row>
    <row r="301" spans="1:20" x14ac:dyDescent="0.2">
      <c r="A301">
        <v>2171</v>
      </c>
      <c r="B301">
        <v>1</v>
      </c>
      <c r="C301" s="7" t="s">
        <v>293</v>
      </c>
      <c r="D301" s="21">
        <v>2428562.75</v>
      </c>
      <c r="E301" s="21">
        <v>-211302.45</v>
      </c>
      <c r="F301" s="17">
        <f t="shared" si="49"/>
        <v>-8.70072021E-2</v>
      </c>
      <c r="G301" s="21">
        <f t="shared" si="46"/>
        <v>211302.45</v>
      </c>
      <c r="H301" s="46">
        <f t="shared" si="47"/>
        <v>141572.64000000001</v>
      </c>
      <c r="I301" s="43">
        <v>211250.86</v>
      </c>
      <c r="J301" s="43">
        <f t="shared" si="48"/>
        <v>51.590000000025611</v>
      </c>
      <c r="K301" s="43"/>
      <c r="L301">
        <f t="shared" si="44"/>
        <v>0</v>
      </c>
      <c r="M301">
        <v>2171</v>
      </c>
      <c r="N301">
        <v>1</v>
      </c>
      <c r="O301" s="7" t="s">
        <v>837</v>
      </c>
      <c r="P301" s="6">
        <v>2428562.75</v>
      </c>
      <c r="Q301" s="6">
        <v>-211250.86</v>
      </c>
      <c r="R301" s="17">
        <f t="shared" si="45"/>
        <v>-8.6999999999999994E-2</v>
      </c>
      <c r="S301" s="6">
        <f t="shared" si="42"/>
        <v>211250.86</v>
      </c>
      <c r="T301" s="6">
        <f t="shared" si="43"/>
        <v>141538.07999999999</v>
      </c>
    </row>
    <row r="302" spans="1:20" x14ac:dyDescent="0.2">
      <c r="A302">
        <v>2172</v>
      </c>
      <c r="B302">
        <v>1</v>
      </c>
      <c r="C302" s="7" t="s">
        <v>294</v>
      </c>
      <c r="D302" s="21">
        <v>5812764.8399999999</v>
      </c>
      <c r="E302" s="21">
        <v>-505752.41</v>
      </c>
      <c r="F302" s="17">
        <f t="shared" si="49"/>
        <v>-8.7007202899999997E-2</v>
      </c>
      <c r="G302" s="21">
        <f t="shared" si="46"/>
        <v>505752.41</v>
      </c>
      <c r="H302" s="46">
        <f t="shared" si="47"/>
        <v>338854.11</v>
      </c>
      <c r="I302" s="43">
        <v>505628.92</v>
      </c>
      <c r="J302" s="43">
        <f t="shared" si="48"/>
        <v>123.48999999999069</v>
      </c>
      <c r="K302" s="43"/>
      <c r="L302">
        <f t="shared" si="44"/>
        <v>0</v>
      </c>
      <c r="M302">
        <v>2172</v>
      </c>
      <c r="N302">
        <v>1</v>
      </c>
      <c r="O302" s="7" t="s">
        <v>838</v>
      </c>
      <c r="P302" s="6">
        <v>5812764.8399999999</v>
      </c>
      <c r="Q302" s="6">
        <v>-505628.92</v>
      </c>
      <c r="R302" s="17">
        <f t="shared" si="45"/>
        <v>-8.6999999999999994E-2</v>
      </c>
      <c r="S302" s="6">
        <f t="shared" si="42"/>
        <v>505628.92</v>
      </c>
      <c r="T302" s="6">
        <f t="shared" si="43"/>
        <v>338771.38</v>
      </c>
    </row>
    <row r="303" spans="1:20" x14ac:dyDescent="0.2">
      <c r="A303">
        <v>2174</v>
      </c>
      <c r="B303">
        <v>1</v>
      </c>
      <c r="C303" s="7" t="s">
        <v>295</v>
      </c>
      <c r="D303" s="21">
        <v>7625110.4199999999</v>
      </c>
      <c r="E303" s="21">
        <v>-663439.53</v>
      </c>
      <c r="F303" s="17">
        <f t="shared" si="49"/>
        <v>-8.7007203000000005E-2</v>
      </c>
      <c r="G303" s="21">
        <f t="shared" si="46"/>
        <v>663439.53</v>
      </c>
      <c r="H303" s="46">
        <f t="shared" si="47"/>
        <v>444504.49</v>
      </c>
      <c r="I303" s="43">
        <v>663277.54</v>
      </c>
      <c r="J303" s="43">
        <f t="shared" si="48"/>
        <v>161.98999999999069</v>
      </c>
      <c r="K303" s="43"/>
      <c r="L303">
        <f t="shared" si="44"/>
        <v>0</v>
      </c>
      <c r="M303">
        <v>2174</v>
      </c>
      <c r="N303">
        <v>1</v>
      </c>
      <c r="O303" s="7" t="s">
        <v>839</v>
      </c>
      <c r="P303" s="6">
        <v>7625110.4199999999</v>
      </c>
      <c r="Q303" s="6">
        <v>-663277.54</v>
      </c>
      <c r="R303" s="17">
        <f t="shared" si="45"/>
        <v>-8.6999999999999994E-2</v>
      </c>
      <c r="S303" s="6">
        <f t="shared" si="42"/>
        <v>663277.54</v>
      </c>
      <c r="T303" s="6">
        <f t="shared" si="43"/>
        <v>444395.95</v>
      </c>
    </row>
    <row r="304" spans="1:20" x14ac:dyDescent="0.2">
      <c r="A304">
        <v>2176</v>
      </c>
      <c r="B304">
        <v>1</v>
      </c>
      <c r="C304" s="7" t="s">
        <v>296</v>
      </c>
      <c r="D304" s="21">
        <v>3777308.02</v>
      </c>
      <c r="E304" s="21">
        <v>-328653</v>
      </c>
      <c r="F304" s="17">
        <f t="shared" si="49"/>
        <v>-8.7007201500000006E-2</v>
      </c>
      <c r="G304" s="21">
        <f t="shared" si="46"/>
        <v>328653</v>
      </c>
      <c r="H304" s="46">
        <f t="shared" si="47"/>
        <v>220197.51</v>
      </c>
      <c r="I304" s="43">
        <v>328572.76</v>
      </c>
      <c r="J304" s="43">
        <f t="shared" si="48"/>
        <v>80.239999999990687</v>
      </c>
      <c r="K304" s="43"/>
      <c r="L304">
        <f t="shared" si="44"/>
        <v>0</v>
      </c>
      <c r="M304">
        <v>2176</v>
      </c>
      <c r="N304">
        <v>1</v>
      </c>
      <c r="O304" s="7" t="s">
        <v>840</v>
      </c>
      <c r="P304" s="6">
        <v>3777308.02</v>
      </c>
      <c r="Q304" s="6">
        <v>-328572.76</v>
      </c>
      <c r="R304" s="17">
        <f t="shared" si="45"/>
        <v>-8.6999999999999994E-2</v>
      </c>
      <c r="S304" s="6">
        <f t="shared" si="42"/>
        <v>328572.76</v>
      </c>
      <c r="T304" s="6">
        <f t="shared" si="43"/>
        <v>220143.75</v>
      </c>
    </row>
    <row r="305" spans="1:20" x14ac:dyDescent="0.2">
      <c r="A305">
        <v>2180</v>
      </c>
      <c r="B305">
        <v>1</v>
      </c>
      <c r="C305" s="7" t="s">
        <v>297</v>
      </c>
      <c r="D305" s="21">
        <v>5091767.42</v>
      </c>
      <c r="E305" s="21">
        <v>-443020.44</v>
      </c>
      <c r="F305" s="17">
        <f t="shared" si="49"/>
        <v>-8.7007202699999994E-2</v>
      </c>
      <c r="G305" s="21">
        <f t="shared" si="46"/>
        <v>443020.44</v>
      </c>
      <c r="H305" s="46">
        <f t="shared" si="47"/>
        <v>296823.69</v>
      </c>
      <c r="I305" s="43">
        <v>442912.27</v>
      </c>
      <c r="J305" s="43">
        <f t="shared" si="48"/>
        <v>108.1699999999837</v>
      </c>
      <c r="K305" s="43"/>
      <c r="L305">
        <f t="shared" si="44"/>
        <v>0</v>
      </c>
      <c r="M305">
        <v>2180</v>
      </c>
      <c r="N305">
        <v>1</v>
      </c>
      <c r="O305" s="7" t="s">
        <v>841</v>
      </c>
      <c r="P305" s="6">
        <v>5091767.42</v>
      </c>
      <c r="Q305" s="6">
        <v>-442912.27</v>
      </c>
      <c r="R305" s="17">
        <f t="shared" si="45"/>
        <v>-8.6999999999999994E-2</v>
      </c>
      <c r="S305" s="6">
        <f t="shared" si="42"/>
        <v>442912.27</v>
      </c>
      <c r="T305" s="6">
        <f t="shared" si="43"/>
        <v>296751.21999999997</v>
      </c>
    </row>
    <row r="306" spans="1:20" x14ac:dyDescent="0.2">
      <c r="A306">
        <v>2184</v>
      </c>
      <c r="B306">
        <v>1</v>
      </c>
      <c r="C306" s="7" t="s">
        <v>298</v>
      </c>
      <c r="D306" s="21">
        <v>8091635.5599999996</v>
      </c>
      <c r="E306" s="21">
        <v>-704030.57</v>
      </c>
      <c r="F306" s="17">
        <f t="shared" si="49"/>
        <v>-8.7007202000000006E-2</v>
      </c>
      <c r="G306" s="21">
        <f t="shared" si="46"/>
        <v>704030.57</v>
      </c>
      <c r="H306" s="46">
        <f t="shared" si="47"/>
        <v>471700.47999999998</v>
      </c>
      <c r="I306" s="43">
        <v>703858.68</v>
      </c>
      <c r="J306" s="43">
        <f t="shared" si="48"/>
        <v>171.88999999989755</v>
      </c>
      <c r="K306" s="43"/>
      <c r="L306">
        <f t="shared" si="44"/>
        <v>0</v>
      </c>
      <c r="M306">
        <v>2184</v>
      </c>
      <c r="N306">
        <v>1</v>
      </c>
      <c r="O306" s="7" t="s">
        <v>842</v>
      </c>
      <c r="P306" s="6">
        <v>8091635.5599999996</v>
      </c>
      <c r="Q306" s="6">
        <v>-703858.68</v>
      </c>
      <c r="R306" s="17">
        <f t="shared" si="45"/>
        <v>-8.6999999999999994E-2</v>
      </c>
      <c r="S306" s="6">
        <f t="shared" si="42"/>
        <v>703858.68</v>
      </c>
      <c r="T306" s="6">
        <f t="shared" si="43"/>
        <v>471585.32</v>
      </c>
    </row>
    <row r="307" spans="1:20" x14ac:dyDescent="0.2">
      <c r="A307">
        <v>2190</v>
      </c>
      <c r="B307">
        <v>1</v>
      </c>
      <c r="C307" s="7" t="s">
        <v>299</v>
      </c>
      <c r="D307" s="21">
        <v>6841023.8099999996</v>
      </c>
      <c r="E307" s="21">
        <v>-595218.34</v>
      </c>
      <c r="F307" s="17">
        <f t="shared" si="49"/>
        <v>-8.7007201899999997E-2</v>
      </c>
      <c r="G307" s="21">
        <f t="shared" si="46"/>
        <v>595218.34</v>
      </c>
      <c r="H307" s="46">
        <f t="shared" si="47"/>
        <v>398796.29</v>
      </c>
      <c r="I307" s="43">
        <v>595073.02</v>
      </c>
      <c r="J307" s="43">
        <f t="shared" si="48"/>
        <v>145.31999999994878</v>
      </c>
      <c r="K307" s="43"/>
      <c r="L307">
        <f t="shared" si="44"/>
        <v>0</v>
      </c>
      <c r="M307">
        <v>2190</v>
      </c>
      <c r="N307">
        <v>1</v>
      </c>
      <c r="O307" s="7" t="s">
        <v>299</v>
      </c>
      <c r="P307" s="6">
        <v>6841023.8099999996</v>
      </c>
      <c r="Q307" s="6">
        <v>-595073.02</v>
      </c>
      <c r="R307" s="17">
        <f t="shared" si="45"/>
        <v>-8.6999999999999994E-2</v>
      </c>
      <c r="S307" s="6">
        <f t="shared" si="42"/>
        <v>595073.02</v>
      </c>
      <c r="T307" s="6">
        <f t="shared" si="43"/>
        <v>398698.92</v>
      </c>
    </row>
    <row r="308" spans="1:20" x14ac:dyDescent="0.2">
      <c r="A308">
        <v>2198</v>
      </c>
      <c r="B308">
        <v>1</v>
      </c>
      <c r="C308" s="7" t="s">
        <v>300</v>
      </c>
      <c r="D308" s="21">
        <v>4020918.06</v>
      </c>
      <c r="E308" s="21">
        <v>-349848.83</v>
      </c>
      <c r="F308" s="17">
        <f t="shared" si="49"/>
        <v>-8.7007202000000006E-2</v>
      </c>
      <c r="G308" s="21">
        <f t="shared" si="46"/>
        <v>349848.83</v>
      </c>
      <c r="H308" s="46">
        <f t="shared" si="47"/>
        <v>234398.72</v>
      </c>
      <c r="I308" s="43">
        <v>349763.41</v>
      </c>
      <c r="J308" s="43">
        <f t="shared" si="48"/>
        <v>85.42000000004191</v>
      </c>
      <c r="K308" s="43"/>
      <c r="L308">
        <f t="shared" si="44"/>
        <v>0</v>
      </c>
      <c r="M308">
        <v>2198</v>
      </c>
      <c r="N308">
        <v>1</v>
      </c>
      <c r="O308" s="7" t="s">
        <v>843</v>
      </c>
      <c r="P308" s="6">
        <v>4020918.06</v>
      </c>
      <c r="Q308" s="6">
        <v>-349763.41</v>
      </c>
      <c r="R308" s="17">
        <f t="shared" si="45"/>
        <v>-8.6999999999999994E-2</v>
      </c>
      <c r="S308" s="6">
        <f t="shared" si="42"/>
        <v>349763.41</v>
      </c>
      <c r="T308" s="6">
        <f t="shared" si="43"/>
        <v>234341.48</v>
      </c>
    </row>
    <row r="309" spans="1:20" x14ac:dyDescent="0.2">
      <c r="A309">
        <v>2215</v>
      </c>
      <c r="B309">
        <v>1</v>
      </c>
      <c r="C309" s="7" t="s">
        <v>301</v>
      </c>
      <c r="D309" s="21">
        <v>2712653.03</v>
      </c>
      <c r="E309" s="21">
        <v>-236020.35</v>
      </c>
      <c r="F309" s="17">
        <f t="shared" si="49"/>
        <v>-8.7007201899999997E-2</v>
      </c>
      <c r="G309" s="21">
        <f t="shared" si="46"/>
        <v>236020.35</v>
      </c>
      <c r="H309" s="46">
        <f t="shared" si="47"/>
        <v>158133.63</v>
      </c>
      <c r="I309" s="43">
        <v>235962.73</v>
      </c>
      <c r="J309" s="43">
        <f t="shared" si="48"/>
        <v>57.619999999995343</v>
      </c>
      <c r="K309" s="43"/>
      <c r="L309">
        <f t="shared" si="44"/>
        <v>0</v>
      </c>
      <c r="M309">
        <v>2215</v>
      </c>
      <c r="N309">
        <v>1</v>
      </c>
      <c r="O309" s="7" t="s">
        <v>844</v>
      </c>
      <c r="P309" s="6">
        <v>2712653.03</v>
      </c>
      <c r="Q309" s="6">
        <v>-235962.73</v>
      </c>
      <c r="R309" s="17">
        <f t="shared" si="45"/>
        <v>-8.6999999999999994E-2</v>
      </c>
      <c r="S309" s="6">
        <f t="shared" si="42"/>
        <v>235962.73</v>
      </c>
      <c r="T309" s="6">
        <f t="shared" si="43"/>
        <v>158095.03</v>
      </c>
    </row>
    <row r="310" spans="1:20" x14ac:dyDescent="0.2">
      <c r="A310">
        <v>2310</v>
      </c>
      <c r="B310">
        <v>1</v>
      </c>
      <c r="C310" s="7" t="s">
        <v>302</v>
      </c>
      <c r="D310" s="21">
        <v>8445557.0299999993</v>
      </c>
      <c r="E310" s="21">
        <v>-734824.29</v>
      </c>
      <c r="F310" s="17">
        <f t="shared" si="49"/>
        <v>-8.7007202399999997E-2</v>
      </c>
      <c r="G310" s="21">
        <f t="shared" si="46"/>
        <v>734824.29</v>
      </c>
      <c r="H310" s="46">
        <f t="shared" si="47"/>
        <v>492332.27</v>
      </c>
      <c r="I310" s="43">
        <v>734644.88</v>
      </c>
      <c r="J310" s="43">
        <f t="shared" si="48"/>
        <v>179.4100000000326</v>
      </c>
      <c r="K310" s="43"/>
      <c r="L310">
        <f t="shared" si="44"/>
        <v>0</v>
      </c>
      <c r="M310">
        <v>2310</v>
      </c>
      <c r="N310">
        <v>1</v>
      </c>
      <c r="O310" s="7" t="s">
        <v>845</v>
      </c>
      <c r="P310" s="6">
        <v>8445557.0299999993</v>
      </c>
      <c r="Q310" s="6">
        <v>-734644.88</v>
      </c>
      <c r="R310" s="17">
        <f t="shared" si="45"/>
        <v>-8.6999999999999994E-2</v>
      </c>
      <c r="S310" s="6">
        <f t="shared" si="42"/>
        <v>734644.88</v>
      </c>
      <c r="T310" s="6">
        <f t="shared" si="43"/>
        <v>492212.07</v>
      </c>
    </row>
    <row r="311" spans="1:20" x14ac:dyDescent="0.2">
      <c r="A311">
        <v>2311</v>
      </c>
      <c r="B311">
        <v>1</v>
      </c>
      <c r="C311" s="7" t="s">
        <v>303</v>
      </c>
      <c r="D311" s="21">
        <v>3666422.76</v>
      </c>
      <c r="E311" s="21">
        <v>-319005.19</v>
      </c>
      <c r="F311" s="17">
        <f t="shared" si="49"/>
        <v>-8.7007203199999994E-2</v>
      </c>
      <c r="G311" s="21">
        <f t="shared" si="46"/>
        <v>319005.19</v>
      </c>
      <c r="H311" s="46">
        <f t="shared" si="47"/>
        <v>213733.48</v>
      </c>
      <c r="I311" s="43">
        <v>318927.3</v>
      </c>
      <c r="J311" s="43">
        <f t="shared" si="48"/>
        <v>77.89000000001397</v>
      </c>
      <c r="K311" s="43"/>
      <c r="L311">
        <f t="shared" si="44"/>
        <v>0</v>
      </c>
      <c r="M311">
        <v>2311</v>
      </c>
      <c r="N311">
        <v>1</v>
      </c>
      <c r="O311" s="7" t="s">
        <v>846</v>
      </c>
      <c r="P311" s="6">
        <v>3666422.76</v>
      </c>
      <c r="Q311" s="6">
        <v>-318927.3</v>
      </c>
      <c r="R311" s="17">
        <f t="shared" si="45"/>
        <v>-8.6999999999999994E-2</v>
      </c>
      <c r="S311" s="6">
        <f t="shared" si="42"/>
        <v>318927.3</v>
      </c>
      <c r="T311" s="6">
        <f t="shared" si="43"/>
        <v>213681.29</v>
      </c>
    </row>
    <row r="312" spans="1:20" x14ac:dyDescent="0.2">
      <c r="A312">
        <v>2342</v>
      </c>
      <c r="B312">
        <v>1</v>
      </c>
      <c r="C312" s="7" t="s">
        <v>304</v>
      </c>
      <c r="D312" s="21">
        <v>5465587.2000000002</v>
      </c>
      <c r="E312" s="21">
        <v>-475545.45</v>
      </c>
      <c r="F312" s="17">
        <f t="shared" si="49"/>
        <v>-8.70072021E-2</v>
      </c>
      <c r="G312" s="21">
        <f t="shared" si="46"/>
        <v>475545.45</v>
      </c>
      <c r="H312" s="46">
        <f t="shared" si="47"/>
        <v>318615.45</v>
      </c>
      <c r="I312" s="43">
        <v>475429.34</v>
      </c>
      <c r="J312" s="43">
        <f t="shared" si="48"/>
        <v>116.10999999998603</v>
      </c>
      <c r="K312" s="43"/>
      <c r="L312">
        <f t="shared" si="44"/>
        <v>0</v>
      </c>
      <c r="M312">
        <v>2342</v>
      </c>
      <c r="N312">
        <v>1</v>
      </c>
      <c r="O312" s="7" t="s">
        <v>304</v>
      </c>
      <c r="P312" s="6">
        <v>5465587.2000000002</v>
      </c>
      <c r="Q312" s="6">
        <v>-475429.34</v>
      </c>
      <c r="R312" s="17">
        <f t="shared" si="45"/>
        <v>-8.6999999999999994E-2</v>
      </c>
      <c r="S312" s="6">
        <f t="shared" si="42"/>
        <v>475429.34</v>
      </c>
      <c r="T312" s="6">
        <f t="shared" si="43"/>
        <v>318537.65999999997</v>
      </c>
    </row>
    <row r="313" spans="1:20" x14ac:dyDescent="0.2">
      <c r="A313">
        <v>2358</v>
      </c>
      <c r="B313">
        <v>1</v>
      </c>
      <c r="C313" s="7" t="s">
        <v>305</v>
      </c>
      <c r="D313" s="21">
        <v>2228563.91</v>
      </c>
      <c r="E313" s="21">
        <v>-193901.11</v>
      </c>
      <c r="F313" s="17">
        <f t="shared" si="49"/>
        <v>-8.7007201899999997E-2</v>
      </c>
      <c r="G313" s="21">
        <f t="shared" si="46"/>
        <v>193901.11</v>
      </c>
      <c r="H313" s="46">
        <f t="shared" si="47"/>
        <v>129913.74</v>
      </c>
      <c r="I313" s="43">
        <v>193853.77</v>
      </c>
      <c r="J313" s="43">
        <f t="shared" si="48"/>
        <v>47.339999999996508</v>
      </c>
      <c r="K313" s="43"/>
      <c r="L313">
        <f t="shared" si="44"/>
        <v>0</v>
      </c>
      <c r="M313">
        <v>2358</v>
      </c>
      <c r="N313">
        <v>1</v>
      </c>
      <c r="O313" s="7" t="s">
        <v>847</v>
      </c>
      <c r="P313" s="6">
        <v>2228563.91</v>
      </c>
      <c r="Q313" s="6">
        <v>-193853.77</v>
      </c>
      <c r="R313" s="17">
        <f t="shared" si="45"/>
        <v>-8.6999999999999994E-2</v>
      </c>
      <c r="S313" s="6">
        <f t="shared" si="42"/>
        <v>193853.77</v>
      </c>
      <c r="T313" s="6">
        <f t="shared" si="43"/>
        <v>129882.03</v>
      </c>
    </row>
    <row r="314" spans="1:20" x14ac:dyDescent="0.2">
      <c r="A314">
        <v>2364</v>
      </c>
      <c r="B314">
        <v>1</v>
      </c>
      <c r="C314" s="7" t="s">
        <v>306</v>
      </c>
      <c r="D314" s="21">
        <v>5025553.3499999996</v>
      </c>
      <c r="E314" s="21">
        <v>-437259.34</v>
      </c>
      <c r="F314" s="17">
        <f t="shared" si="49"/>
        <v>-8.7007202899999997E-2</v>
      </c>
      <c r="G314" s="21">
        <f t="shared" si="46"/>
        <v>437259.34</v>
      </c>
      <c r="H314" s="46">
        <f t="shared" si="47"/>
        <v>292963.76</v>
      </c>
      <c r="I314" s="43">
        <v>437152.58</v>
      </c>
      <c r="J314" s="43">
        <f t="shared" si="48"/>
        <v>106.76000000000931</v>
      </c>
      <c r="K314" s="43"/>
      <c r="L314">
        <f t="shared" si="44"/>
        <v>0</v>
      </c>
      <c r="M314">
        <v>2364</v>
      </c>
      <c r="N314">
        <v>1</v>
      </c>
      <c r="O314" s="7" t="s">
        <v>848</v>
      </c>
      <c r="P314" s="6">
        <v>5025553.3499999996</v>
      </c>
      <c r="Q314" s="6">
        <v>-437152.58</v>
      </c>
      <c r="R314" s="17">
        <f t="shared" si="45"/>
        <v>-8.6999999999999994E-2</v>
      </c>
      <c r="S314" s="6">
        <f t="shared" si="42"/>
        <v>437152.58</v>
      </c>
      <c r="T314" s="6">
        <f t="shared" si="43"/>
        <v>292892.23</v>
      </c>
    </row>
    <row r="315" spans="1:20" x14ac:dyDescent="0.2">
      <c r="A315">
        <v>2365</v>
      </c>
      <c r="B315">
        <v>1</v>
      </c>
      <c r="C315" s="7" t="s">
        <v>307</v>
      </c>
      <c r="D315" s="21">
        <v>6203333.79</v>
      </c>
      <c r="E315" s="21">
        <v>-539734.72</v>
      </c>
      <c r="F315" s="17">
        <f t="shared" si="49"/>
        <v>-8.70072026E-2</v>
      </c>
      <c r="G315" s="21">
        <f t="shared" si="46"/>
        <v>539734.72</v>
      </c>
      <c r="H315" s="46">
        <f t="shared" si="47"/>
        <v>361622.26</v>
      </c>
      <c r="I315" s="43">
        <v>480656.13</v>
      </c>
      <c r="J315" s="43">
        <f t="shared" si="48"/>
        <v>59078.589999999967</v>
      </c>
      <c r="K315" s="48" t="s">
        <v>978</v>
      </c>
      <c r="L315">
        <f t="shared" si="44"/>
        <v>0</v>
      </c>
      <c r="M315">
        <v>2365</v>
      </c>
      <c r="N315">
        <v>1</v>
      </c>
      <c r="O315" s="7" t="s">
        <v>307</v>
      </c>
      <c r="P315" s="6">
        <v>5525674.9199999999</v>
      </c>
      <c r="Q315" s="6">
        <v>-480656.13</v>
      </c>
      <c r="R315" s="17">
        <f t="shared" si="45"/>
        <v>-8.6999999999999994E-2</v>
      </c>
      <c r="S315" s="6">
        <f t="shared" si="42"/>
        <v>480656.13</v>
      </c>
      <c r="T315" s="6">
        <f t="shared" si="43"/>
        <v>322039.61</v>
      </c>
    </row>
    <row r="316" spans="1:20" x14ac:dyDescent="0.2">
      <c r="A316">
        <v>2396</v>
      </c>
      <c r="B316">
        <v>1</v>
      </c>
      <c r="C316" s="7" t="s">
        <v>308</v>
      </c>
      <c r="D316" s="21">
        <v>5667473.79</v>
      </c>
      <c r="E316" s="21">
        <v>-493111.03999999998</v>
      </c>
      <c r="F316" s="17">
        <f t="shared" si="49"/>
        <v>-8.70072026E-2</v>
      </c>
      <c r="G316" s="21">
        <f t="shared" si="46"/>
        <v>493111.03999999998</v>
      </c>
      <c r="H316" s="46">
        <f t="shared" si="47"/>
        <v>330384.40000000002</v>
      </c>
      <c r="I316" s="43">
        <v>492990.64</v>
      </c>
      <c r="J316" s="43">
        <f t="shared" si="48"/>
        <v>120.39999999996508</v>
      </c>
      <c r="K316" s="43"/>
      <c r="L316">
        <f t="shared" si="44"/>
        <v>0</v>
      </c>
      <c r="M316">
        <v>2396</v>
      </c>
      <c r="N316">
        <v>1</v>
      </c>
      <c r="O316" s="7" t="s">
        <v>308</v>
      </c>
      <c r="P316" s="6">
        <v>5667473.79</v>
      </c>
      <c r="Q316" s="6">
        <v>-492990.64</v>
      </c>
      <c r="R316" s="17">
        <f t="shared" si="45"/>
        <v>-8.6999999999999994E-2</v>
      </c>
      <c r="S316" s="6">
        <f t="shared" si="42"/>
        <v>492990.64</v>
      </c>
      <c r="T316" s="6">
        <f t="shared" si="43"/>
        <v>330303.73</v>
      </c>
    </row>
    <row r="317" spans="1:20" x14ac:dyDescent="0.2">
      <c r="A317">
        <v>2397</v>
      </c>
      <c r="B317">
        <v>1</v>
      </c>
      <c r="C317" s="7" t="s">
        <v>309</v>
      </c>
      <c r="D317" s="21">
        <v>8433392.4900000002</v>
      </c>
      <c r="E317" s="21">
        <v>-733765.89</v>
      </c>
      <c r="F317" s="17">
        <f t="shared" si="49"/>
        <v>-8.7007202699999994E-2</v>
      </c>
      <c r="G317" s="21">
        <f t="shared" si="46"/>
        <v>733765.89</v>
      </c>
      <c r="H317" s="46">
        <f t="shared" si="47"/>
        <v>491623.15</v>
      </c>
      <c r="I317" s="43">
        <v>733586.73</v>
      </c>
      <c r="J317" s="43">
        <f t="shared" si="48"/>
        <v>179.1600000000326</v>
      </c>
      <c r="K317" s="43"/>
      <c r="L317">
        <f t="shared" si="44"/>
        <v>0</v>
      </c>
      <c r="M317">
        <v>2397</v>
      </c>
      <c r="N317">
        <v>1</v>
      </c>
      <c r="O317" s="7" t="s">
        <v>849</v>
      </c>
      <c r="P317" s="6">
        <v>8433392.4900000002</v>
      </c>
      <c r="Q317" s="6">
        <v>-733586.73</v>
      </c>
      <c r="R317" s="17">
        <f t="shared" si="45"/>
        <v>-8.6999999999999994E-2</v>
      </c>
      <c r="S317" s="6">
        <f t="shared" si="42"/>
        <v>733586.73</v>
      </c>
      <c r="T317" s="6">
        <f t="shared" si="43"/>
        <v>491503.11</v>
      </c>
    </row>
    <row r="318" spans="1:20" x14ac:dyDescent="0.2">
      <c r="A318">
        <v>2448</v>
      </c>
      <c r="B318">
        <v>1</v>
      </c>
      <c r="C318" s="7" t="s">
        <v>310</v>
      </c>
      <c r="D318" s="21">
        <v>5618824.7800000003</v>
      </c>
      <c r="E318" s="21">
        <v>-488878.23</v>
      </c>
      <c r="F318" s="17">
        <f t="shared" si="49"/>
        <v>-8.7007203300000002E-2</v>
      </c>
      <c r="G318" s="21">
        <f t="shared" si="46"/>
        <v>488878.23</v>
      </c>
      <c r="H318" s="46">
        <f t="shared" si="47"/>
        <v>327548.40999999997</v>
      </c>
      <c r="I318" s="43">
        <v>488758.86</v>
      </c>
      <c r="J318" s="43">
        <f t="shared" si="48"/>
        <v>119.36999999999534</v>
      </c>
      <c r="K318" s="43"/>
      <c r="L318">
        <f t="shared" si="44"/>
        <v>0</v>
      </c>
      <c r="M318">
        <v>2448</v>
      </c>
      <c r="N318">
        <v>1</v>
      </c>
      <c r="O318" s="7" t="s">
        <v>850</v>
      </c>
      <c r="P318" s="6">
        <v>5618824.7800000003</v>
      </c>
      <c r="Q318" s="6">
        <v>-488758.86</v>
      </c>
      <c r="R318" s="17">
        <f t="shared" si="45"/>
        <v>-8.6999999999999994E-2</v>
      </c>
      <c r="S318" s="6">
        <f t="shared" si="42"/>
        <v>488758.86</v>
      </c>
      <c r="T318" s="6">
        <f t="shared" si="43"/>
        <v>327468.44</v>
      </c>
    </row>
    <row r="319" spans="1:20" x14ac:dyDescent="0.2">
      <c r="A319">
        <v>2527</v>
      </c>
      <c r="B319">
        <v>1</v>
      </c>
      <c r="C319" s="7" t="s">
        <v>311</v>
      </c>
      <c r="D319" s="21">
        <v>2193765.9300000002</v>
      </c>
      <c r="E319" s="21">
        <v>-190873.44</v>
      </c>
      <c r="F319" s="17">
        <f t="shared" si="49"/>
        <v>-8.7007204099999999E-2</v>
      </c>
      <c r="G319" s="21">
        <f t="shared" si="46"/>
        <v>190873.44</v>
      </c>
      <c r="H319" s="46">
        <f t="shared" si="47"/>
        <v>127885.2</v>
      </c>
      <c r="I319" s="43">
        <v>190826.83</v>
      </c>
      <c r="J319" s="43">
        <f t="shared" si="48"/>
        <v>46.610000000015134</v>
      </c>
      <c r="K319" s="43"/>
      <c r="L319">
        <f t="shared" si="44"/>
        <v>0</v>
      </c>
      <c r="M319">
        <v>2527</v>
      </c>
      <c r="N319">
        <v>1</v>
      </c>
      <c r="O319" s="7" t="s">
        <v>851</v>
      </c>
      <c r="P319" s="6">
        <v>2193765.9300000002</v>
      </c>
      <c r="Q319" s="6">
        <v>-190826.83</v>
      </c>
      <c r="R319" s="17">
        <f t="shared" si="45"/>
        <v>-8.6999999999999994E-2</v>
      </c>
      <c r="S319" s="6">
        <f t="shared" si="42"/>
        <v>190826.83</v>
      </c>
      <c r="T319" s="6">
        <f t="shared" si="43"/>
        <v>127853.98</v>
      </c>
    </row>
    <row r="320" spans="1:20" x14ac:dyDescent="0.2">
      <c r="A320">
        <v>2534</v>
      </c>
      <c r="B320">
        <v>1</v>
      </c>
      <c r="C320" s="7" t="s">
        <v>312</v>
      </c>
      <c r="D320" s="21">
        <v>5654362.5199999996</v>
      </c>
      <c r="E320" s="21">
        <v>-491970.27</v>
      </c>
      <c r="F320" s="17">
        <f t="shared" si="49"/>
        <v>-8.7007203399999997E-2</v>
      </c>
      <c r="G320" s="21">
        <f t="shared" si="46"/>
        <v>491970.27</v>
      </c>
      <c r="H320" s="46">
        <f t="shared" si="47"/>
        <v>329620.08</v>
      </c>
      <c r="I320" s="43">
        <v>491850.15</v>
      </c>
      <c r="J320" s="43">
        <f t="shared" si="48"/>
        <v>120.11999999999534</v>
      </c>
      <c r="K320" s="43"/>
      <c r="L320">
        <f t="shared" si="44"/>
        <v>0</v>
      </c>
      <c r="M320">
        <v>2534</v>
      </c>
      <c r="N320">
        <v>1</v>
      </c>
      <c r="O320" s="7" t="s">
        <v>852</v>
      </c>
      <c r="P320" s="6">
        <v>5654362.5199999996</v>
      </c>
      <c r="Q320" s="6">
        <v>-491850.15</v>
      </c>
      <c r="R320" s="17">
        <f t="shared" si="45"/>
        <v>-8.6999999999999994E-2</v>
      </c>
      <c r="S320" s="6">
        <f t="shared" si="42"/>
        <v>491850.15</v>
      </c>
      <c r="T320" s="6">
        <f t="shared" si="43"/>
        <v>329539.59999999998</v>
      </c>
    </row>
    <row r="321" spans="1:20" x14ac:dyDescent="0.2">
      <c r="A321">
        <v>2536</v>
      </c>
      <c r="B321">
        <v>1</v>
      </c>
      <c r="C321" s="7" t="s">
        <v>313</v>
      </c>
      <c r="D321" s="21">
        <v>2156090.09</v>
      </c>
      <c r="E321" s="21">
        <v>-187595.37</v>
      </c>
      <c r="F321" s="17">
        <f t="shared" si="49"/>
        <v>-8.7007203899999996E-2</v>
      </c>
      <c r="G321" s="21">
        <f t="shared" si="46"/>
        <v>187595.37</v>
      </c>
      <c r="H321" s="46">
        <f t="shared" si="47"/>
        <v>125688.9</v>
      </c>
      <c r="I321" s="43">
        <v>187549.56</v>
      </c>
      <c r="J321" s="43">
        <f t="shared" si="48"/>
        <v>45.809999999997672</v>
      </c>
      <c r="K321" s="43"/>
      <c r="L321">
        <f t="shared" si="44"/>
        <v>0</v>
      </c>
      <c r="M321">
        <v>2536</v>
      </c>
      <c r="N321">
        <v>1</v>
      </c>
      <c r="O321" s="7" t="s">
        <v>853</v>
      </c>
      <c r="P321" s="6">
        <v>2156090.09</v>
      </c>
      <c r="Q321" s="6">
        <v>-187549.56</v>
      </c>
      <c r="R321" s="17">
        <f t="shared" si="45"/>
        <v>-8.6999999999999994E-2</v>
      </c>
      <c r="S321" s="6">
        <f t="shared" si="42"/>
        <v>187549.56</v>
      </c>
      <c r="T321" s="6">
        <f t="shared" si="43"/>
        <v>125658.21</v>
      </c>
    </row>
    <row r="322" spans="1:20" x14ac:dyDescent="0.2">
      <c r="A322">
        <v>2580</v>
      </c>
      <c r="B322">
        <v>1</v>
      </c>
      <c r="C322" s="7" t="s">
        <v>314</v>
      </c>
      <c r="D322" s="21">
        <v>5962259.9100000001</v>
      </c>
      <c r="E322" s="21">
        <v>-518759.56</v>
      </c>
      <c r="F322" s="17">
        <f t="shared" si="49"/>
        <v>-8.7007203300000002E-2</v>
      </c>
      <c r="G322" s="21">
        <f t="shared" si="46"/>
        <v>518759.56</v>
      </c>
      <c r="H322" s="46">
        <f t="shared" si="47"/>
        <v>347568.91</v>
      </c>
      <c r="I322" s="43">
        <v>518632.9</v>
      </c>
      <c r="J322" s="43">
        <f t="shared" si="48"/>
        <v>126.65999999997439</v>
      </c>
      <c r="K322" s="43"/>
      <c r="L322">
        <f t="shared" si="44"/>
        <v>0</v>
      </c>
      <c r="M322">
        <v>2580</v>
      </c>
      <c r="N322">
        <v>1</v>
      </c>
      <c r="O322" s="7" t="s">
        <v>854</v>
      </c>
      <c r="P322" s="6">
        <v>5962259.9100000001</v>
      </c>
      <c r="Q322" s="6">
        <v>-518632.9</v>
      </c>
      <c r="R322" s="17">
        <f t="shared" si="45"/>
        <v>-8.6999999999999994E-2</v>
      </c>
      <c r="S322" s="6">
        <f t="shared" si="42"/>
        <v>518632.9</v>
      </c>
      <c r="T322" s="6">
        <f t="shared" si="43"/>
        <v>347484.04</v>
      </c>
    </row>
    <row r="323" spans="1:20" x14ac:dyDescent="0.2">
      <c r="A323">
        <v>2609</v>
      </c>
      <c r="B323">
        <v>1</v>
      </c>
      <c r="C323" s="7" t="s">
        <v>315</v>
      </c>
      <c r="D323" s="21">
        <v>3497042.94</v>
      </c>
      <c r="E323" s="21">
        <v>-304267.92</v>
      </c>
      <c r="F323" s="17">
        <f t="shared" si="49"/>
        <v>-8.70072016E-2</v>
      </c>
      <c r="G323" s="21">
        <f t="shared" si="46"/>
        <v>304267.92</v>
      </c>
      <c r="H323" s="46">
        <f t="shared" si="47"/>
        <v>203859.51</v>
      </c>
      <c r="I323" s="43">
        <v>304193.63</v>
      </c>
      <c r="J323" s="43">
        <f t="shared" si="48"/>
        <v>74.289999999979045</v>
      </c>
      <c r="K323" s="43"/>
      <c r="L323">
        <f t="shared" si="44"/>
        <v>0</v>
      </c>
      <c r="M323">
        <v>2609</v>
      </c>
      <c r="N323">
        <v>1</v>
      </c>
      <c r="O323" s="7" t="s">
        <v>855</v>
      </c>
      <c r="P323" s="6">
        <v>3497042.94</v>
      </c>
      <c r="Q323" s="6">
        <v>-304193.63</v>
      </c>
      <c r="R323" s="17">
        <f t="shared" si="45"/>
        <v>-8.6999999999999994E-2</v>
      </c>
      <c r="S323" s="6">
        <f t="shared" si="42"/>
        <v>304193.63</v>
      </c>
      <c r="T323" s="6">
        <f t="shared" si="43"/>
        <v>203809.73</v>
      </c>
    </row>
    <row r="324" spans="1:20" x14ac:dyDescent="0.2">
      <c r="A324">
        <v>2683</v>
      </c>
      <c r="B324">
        <v>1</v>
      </c>
      <c r="C324" s="7" t="s">
        <v>316</v>
      </c>
      <c r="D324" s="21">
        <v>4022595.05</v>
      </c>
      <c r="E324" s="21">
        <v>-349994.74</v>
      </c>
      <c r="F324" s="17">
        <f t="shared" si="49"/>
        <v>-8.7007202000000006E-2</v>
      </c>
      <c r="G324" s="21">
        <f t="shared" si="46"/>
        <v>349994.74</v>
      </c>
      <c r="H324" s="46">
        <f t="shared" si="47"/>
        <v>234496.48</v>
      </c>
      <c r="I324" s="43">
        <v>349909.29</v>
      </c>
      <c r="J324" s="43">
        <f t="shared" si="48"/>
        <v>85.450000000011642</v>
      </c>
      <c r="K324" s="43"/>
      <c r="L324">
        <f t="shared" si="44"/>
        <v>0</v>
      </c>
      <c r="M324">
        <v>2683</v>
      </c>
      <c r="N324">
        <v>1</v>
      </c>
      <c r="O324" s="7" t="s">
        <v>856</v>
      </c>
      <c r="P324" s="6">
        <v>4022595.05</v>
      </c>
      <c r="Q324" s="6">
        <v>-349909.29</v>
      </c>
      <c r="R324" s="17">
        <f t="shared" si="45"/>
        <v>-8.6999999999999994E-2</v>
      </c>
      <c r="S324" s="6">
        <f t="shared" si="42"/>
        <v>349909.29</v>
      </c>
      <c r="T324" s="6">
        <f t="shared" si="43"/>
        <v>234439.22</v>
      </c>
    </row>
    <row r="325" spans="1:20" x14ac:dyDescent="0.2">
      <c r="A325">
        <v>2687</v>
      </c>
      <c r="B325">
        <v>1</v>
      </c>
      <c r="C325" s="7" t="s">
        <v>317</v>
      </c>
      <c r="D325" s="21">
        <v>6691338.3099999996</v>
      </c>
      <c r="E325" s="21">
        <v>-582194.63</v>
      </c>
      <c r="F325" s="17">
        <f t="shared" si="49"/>
        <v>-8.7007202899999997E-2</v>
      </c>
      <c r="G325" s="21">
        <f t="shared" si="46"/>
        <v>582194.63</v>
      </c>
      <c r="H325" s="46">
        <f t="shared" si="47"/>
        <v>390070.4</v>
      </c>
      <c r="I325" s="43">
        <v>582052.48</v>
      </c>
      <c r="J325" s="43">
        <f t="shared" si="48"/>
        <v>142.15000000002328</v>
      </c>
      <c r="K325" s="43"/>
      <c r="L325">
        <f t="shared" si="44"/>
        <v>0</v>
      </c>
      <c r="M325">
        <v>2687</v>
      </c>
      <c r="N325">
        <v>1</v>
      </c>
      <c r="O325" s="7" t="s">
        <v>317</v>
      </c>
      <c r="P325" s="6">
        <v>6691338.3099999996</v>
      </c>
      <c r="Q325" s="6">
        <v>-582052.48</v>
      </c>
      <c r="R325" s="17">
        <f t="shared" si="45"/>
        <v>-8.6999999999999994E-2</v>
      </c>
      <c r="S325" s="6">
        <f t="shared" si="42"/>
        <v>582052.48</v>
      </c>
      <c r="T325" s="6">
        <f t="shared" si="43"/>
        <v>389975.16</v>
      </c>
    </row>
    <row r="326" spans="1:20" x14ac:dyDescent="0.2">
      <c r="A326">
        <v>2689</v>
      </c>
      <c r="B326">
        <v>1</v>
      </c>
      <c r="C326" s="7" t="s">
        <v>318</v>
      </c>
      <c r="D326" s="21">
        <v>8255161.1100000003</v>
      </c>
      <c r="E326" s="21">
        <v>-718258.48</v>
      </c>
      <c r="F326" s="17">
        <f t="shared" si="49"/>
        <v>-8.7007203199999994E-2</v>
      </c>
      <c r="G326" s="21">
        <f t="shared" si="46"/>
        <v>718258.48</v>
      </c>
      <c r="H326" s="46">
        <f t="shared" si="47"/>
        <v>481233.18</v>
      </c>
      <c r="I326" s="43">
        <v>718083.11</v>
      </c>
      <c r="J326" s="43">
        <f t="shared" si="48"/>
        <v>175.36999999999534</v>
      </c>
      <c r="K326" s="43"/>
      <c r="L326">
        <f t="shared" si="44"/>
        <v>0</v>
      </c>
      <c r="M326">
        <v>2689</v>
      </c>
      <c r="N326">
        <v>1</v>
      </c>
      <c r="O326" s="7" t="s">
        <v>857</v>
      </c>
      <c r="P326" s="6">
        <v>8255161.1100000003</v>
      </c>
      <c r="Q326" s="6">
        <v>-718083.11</v>
      </c>
      <c r="R326" s="17">
        <f t="shared" si="45"/>
        <v>-8.6999999999999994E-2</v>
      </c>
      <c r="S326" s="6">
        <f t="shared" si="42"/>
        <v>718083.11</v>
      </c>
      <c r="T326" s="6">
        <f t="shared" si="43"/>
        <v>481115.68</v>
      </c>
    </row>
    <row r="327" spans="1:20" x14ac:dyDescent="0.2">
      <c r="A327">
        <v>2711</v>
      </c>
      <c r="B327">
        <v>1</v>
      </c>
      <c r="C327" s="7" t="s">
        <v>319</v>
      </c>
      <c r="D327" s="21">
        <v>6135992.7699999996</v>
      </c>
      <c r="E327" s="21">
        <v>-533875.56999999995</v>
      </c>
      <c r="F327" s="17">
        <f t="shared" si="49"/>
        <v>-8.7007203199999994E-2</v>
      </c>
      <c r="G327" s="21">
        <f t="shared" si="46"/>
        <v>533875.56999999995</v>
      </c>
      <c r="H327" s="46">
        <f t="shared" si="47"/>
        <v>357696.63</v>
      </c>
      <c r="I327" s="43">
        <v>533745.22</v>
      </c>
      <c r="J327" s="43">
        <f t="shared" si="48"/>
        <v>130.34999999997672</v>
      </c>
      <c r="K327" s="43"/>
      <c r="L327">
        <f t="shared" si="44"/>
        <v>0</v>
      </c>
      <c r="M327">
        <v>2711</v>
      </c>
      <c r="N327">
        <v>1</v>
      </c>
      <c r="O327" s="7" t="s">
        <v>858</v>
      </c>
      <c r="P327" s="6">
        <v>6135992.7699999996</v>
      </c>
      <c r="Q327" s="6">
        <v>-533745.22</v>
      </c>
      <c r="R327" s="17">
        <f t="shared" si="45"/>
        <v>-8.6999999999999994E-2</v>
      </c>
      <c r="S327" s="6">
        <f t="shared" si="42"/>
        <v>533745.22</v>
      </c>
      <c r="T327" s="6">
        <f t="shared" si="43"/>
        <v>357609.3</v>
      </c>
    </row>
    <row r="328" spans="1:20" x14ac:dyDescent="0.2">
      <c r="A328">
        <v>2752</v>
      </c>
      <c r="B328">
        <v>1</v>
      </c>
      <c r="C328" s="7" t="s">
        <v>320</v>
      </c>
      <c r="D328" s="21">
        <v>12537253.24</v>
      </c>
      <c r="E328" s="21">
        <v>-1090831.33</v>
      </c>
      <c r="F328" s="17">
        <f t="shared" si="49"/>
        <v>-8.7007202399999997E-2</v>
      </c>
      <c r="G328" s="21">
        <f t="shared" si="46"/>
        <v>1090831.33</v>
      </c>
      <c r="H328" s="46">
        <f t="shared" si="47"/>
        <v>730856.99</v>
      </c>
      <c r="I328" s="43">
        <v>1090565</v>
      </c>
      <c r="J328" s="43">
        <f t="shared" si="48"/>
        <v>266.33000000007451</v>
      </c>
      <c r="K328" s="43"/>
      <c r="L328">
        <f t="shared" si="44"/>
        <v>0</v>
      </c>
      <c r="M328">
        <v>2752</v>
      </c>
      <c r="N328">
        <v>1</v>
      </c>
      <c r="O328" s="7" t="s">
        <v>859</v>
      </c>
      <c r="P328" s="6">
        <v>12537253.24</v>
      </c>
      <c r="Q328" s="6">
        <v>-1090565</v>
      </c>
      <c r="R328" s="17">
        <f t="shared" si="45"/>
        <v>-8.6999999999999994E-2</v>
      </c>
      <c r="S328" s="6">
        <f t="shared" ref="S328:S348" si="50">Q328*-1</f>
        <v>1090565</v>
      </c>
      <c r="T328" s="6">
        <f t="shared" si="43"/>
        <v>730678.55</v>
      </c>
    </row>
    <row r="329" spans="1:20" x14ac:dyDescent="0.2">
      <c r="A329">
        <v>2753</v>
      </c>
      <c r="B329">
        <v>1</v>
      </c>
      <c r="C329" s="7" t="s">
        <v>321</v>
      </c>
      <c r="D329" s="21">
        <v>9149970.7200000007</v>
      </c>
      <c r="E329" s="21">
        <v>-796113.36</v>
      </c>
      <c r="F329" s="17">
        <f t="shared" si="49"/>
        <v>-8.7007203000000005E-2</v>
      </c>
      <c r="G329" s="21">
        <f t="shared" si="46"/>
        <v>796113.36</v>
      </c>
      <c r="H329" s="46">
        <f t="shared" si="47"/>
        <v>533395.94999999995</v>
      </c>
      <c r="I329" s="43">
        <v>795918.98</v>
      </c>
      <c r="J329" s="43">
        <f t="shared" si="48"/>
        <v>194.38000000000466</v>
      </c>
      <c r="K329" s="43"/>
      <c r="L329">
        <f t="shared" si="44"/>
        <v>0</v>
      </c>
      <c r="M329">
        <v>2753</v>
      </c>
      <c r="N329">
        <v>1</v>
      </c>
      <c r="O329" s="7" t="s">
        <v>860</v>
      </c>
      <c r="P329" s="6">
        <v>9149970.7200000007</v>
      </c>
      <c r="Q329" s="6">
        <v>-795918.98</v>
      </c>
      <c r="R329" s="17">
        <f t="shared" si="45"/>
        <v>-8.6999999999999994E-2</v>
      </c>
      <c r="S329" s="6">
        <f t="shared" si="50"/>
        <v>795918.98</v>
      </c>
      <c r="T329" s="6">
        <f t="shared" ref="T329:T348" si="51">ROUND(S329*0.67,2)</f>
        <v>533265.72</v>
      </c>
    </row>
    <row r="330" spans="1:20" x14ac:dyDescent="0.2">
      <c r="A330">
        <v>2754</v>
      </c>
      <c r="B330">
        <v>1</v>
      </c>
      <c r="C330" s="7" t="s">
        <v>322</v>
      </c>
      <c r="D330" s="21">
        <v>2961675.72</v>
      </c>
      <c r="E330" s="21">
        <v>-257687.12</v>
      </c>
      <c r="F330" s="17">
        <f t="shared" si="49"/>
        <v>-8.7007202800000003E-2</v>
      </c>
      <c r="G330" s="21">
        <f t="shared" si="46"/>
        <v>257687.12</v>
      </c>
      <c r="H330" s="46">
        <f t="shared" si="47"/>
        <v>172650.37</v>
      </c>
      <c r="I330" s="43">
        <v>257624.2</v>
      </c>
      <c r="J330" s="43">
        <f t="shared" si="48"/>
        <v>62.919999999983702</v>
      </c>
      <c r="K330" s="43"/>
      <c r="L330">
        <f t="shared" si="44"/>
        <v>0</v>
      </c>
      <c r="M330">
        <v>2754</v>
      </c>
      <c r="N330">
        <v>1</v>
      </c>
      <c r="O330" s="7" t="s">
        <v>861</v>
      </c>
      <c r="P330" s="6">
        <v>2961675.72</v>
      </c>
      <c r="Q330" s="6">
        <v>-257624.2</v>
      </c>
      <c r="R330" s="17">
        <f t="shared" si="45"/>
        <v>-8.6999999999999994E-2</v>
      </c>
      <c r="S330" s="6">
        <f t="shared" si="50"/>
        <v>257624.2</v>
      </c>
      <c r="T330" s="6">
        <f t="shared" si="51"/>
        <v>172608.21</v>
      </c>
    </row>
    <row r="331" spans="1:20" x14ac:dyDescent="0.2">
      <c r="A331">
        <v>2759</v>
      </c>
      <c r="B331">
        <v>1</v>
      </c>
      <c r="C331" s="7" t="s">
        <v>323</v>
      </c>
      <c r="D331" s="21">
        <v>2478229.29</v>
      </c>
      <c r="E331" s="21">
        <v>-215623.8</v>
      </c>
      <c r="F331" s="17">
        <f t="shared" si="49"/>
        <v>-8.7007203399999997E-2</v>
      </c>
      <c r="G331" s="21">
        <f t="shared" si="46"/>
        <v>215623.8</v>
      </c>
      <c r="H331" s="46">
        <f t="shared" si="47"/>
        <v>144467.95000000001</v>
      </c>
      <c r="I331" s="43">
        <v>215571.15</v>
      </c>
      <c r="J331" s="43">
        <f t="shared" si="48"/>
        <v>52.649999999994179</v>
      </c>
      <c r="K331" s="43"/>
      <c r="L331">
        <f t="shared" si="44"/>
        <v>0</v>
      </c>
      <c r="M331">
        <v>2759</v>
      </c>
      <c r="N331">
        <v>1</v>
      </c>
      <c r="O331" s="7" t="s">
        <v>862</v>
      </c>
      <c r="P331" s="6">
        <v>2478229.29</v>
      </c>
      <c r="Q331" s="6">
        <v>-215571.15</v>
      </c>
      <c r="R331" s="17">
        <f t="shared" si="45"/>
        <v>-8.6999999999999994E-2</v>
      </c>
      <c r="S331" s="6">
        <f t="shared" si="50"/>
        <v>215571.15</v>
      </c>
      <c r="T331" s="6">
        <f t="shared" si="51"/>
        <v>144432.67000000001</v>
      </c>
    </row>
    <row r="332" spans="1:20" x14ac:dyDescent="0.2">
      <c r="A332">
        <v>2805</v>
      </c>
      <c r="B332">
        <v>1</v>
      </c>
      <c r="C332" s="7" t="s">
        <v>324</v>
      </c>
      <c r="D332" s="21">
        <v>7242903.3600000003</v>
      </c>
      <c r="E332" s="21">
        <v>-630184.76</v>
      </c>
      <c r="F332" s="17">
        <f t="shared" si="49"/>
        <v>-8.70072026E-2</v>
      </c>
      <c r="G332" s="21">
        <f t="shared" si="46"/>
        <v>630184.76</v>
      </c>
      <c r="H332" s="46">
        <f t="shared" si="47"/>
        <v>422223.79</v>
      </c>
      <c r="I332" s="43">
        <v>630030.9</v>
      </c>
      <c r="J332" s="43">
        <f t="shared" si="48"/>
        <v>153.85999999998603</v>
      </c>
      <c r="K332" s="43"/>
      <c r="L332">
        <f t="shared" si="44"/>
        <v>0</v>
      </c>
      <c r="M332">
        <v>2805</v>
      </c>
      <c r="N332">
        <v>1</v>
      </c>
      <c r="O332" s="7" t="s">
        <v>863</v>
      </c>
      <c r="P332" s="6">
        <v>7242903.3600000003</v>
      </c>
      <c r="Q332" s="6">
        <v>-630030.9</v>
      </c>
      <c r="R332" s="17">
        <f t="shared" si="45"/>
        <v>-8.6999999999999994E-2</v>
      </c>
      <c r="S332" s="6">
        <f t="shared" si="50"/>
        <v>630030.9</v>
      </c>
      <c r="T332" s="6">
        <f t="shared" si="51"/>
        <v>422120.7</v>
      </c>
    </row>
    <row r="333" spans="1:20" x14ac:dyDescent="0.2">
      <c r="A333">
        <v>2835</v>
      </c>
      <c r="B333">
        <v>1</v>
      </c>
      <c r="C333" s="7" t="s">
        <v>325</v>
      </c>
      <c r="D333" s="21">
        <v>3525890.31</v>
      </c>
      <c r="E333" s="21">
        <v>-306777.84999999998</v>
      </c>
      <c r="F333" s="17">
        <f t="shared" si="49"/>
        <v>-8.7007201899999997E-2</v>
      </c>
      <c r="G333" s="21">
        <f t="shared" si="46"/>
        <v>306777.84999999998</v>
      </c>
      <c r="H333" s="46">
        <f t="shared" si="47"/>
        <v>205541.16</v>
      </c>
      <c r="I333" s="43">
        <v>306702.95</v>
      </c>
      <c r="J333" s="43">
        <f t="shared" si="48"/>
        <v>74.899999999965075</v>
      </c>
      <c r="K333" s="43"/>
      <c r="L333">
        <f t="shared" si="44"/>
        <v>0</v>
      </c>
      <c r="M333">
        <v>2835</v>
      </c>
      <c r="N333">
        <v>1</v>
      </c>
      <c r="O333" s="7" t="s">
        <v>864</v>
      </c>
      <c r="P333" s="6">
        <v>3525890.31</v>
      </c>
      <c r="Q333" s="6">
        <v>-306702.95</v>
      </c>
      <c r="R333" s="17">
        <f t="shared" si="45"/>
        <v>-8.6999999999999994E-2</v>
      </c>
      <c r="S333" s="6">
        <f t="shared" si="50"/>
        <v>306702.95</v>
      </c>
      <c r="T333" s="6">
        <f t="shared" si="51"/>
        <v>205490.98</v>
      </c>
    </row>
    <row r="334" spans="1:20" x14ac:dyDescent="0.2">
      <c r="A334">
        <v>2853</v>
      </c>
      <c r="B334">
        <v>1</v>
      </c>
      <c r="C334" s="7" t="s">
        <v>326</v>
      </c>
      <c r="D334" s="21">
        <v>6917745.3899999997</v>
      </c>
      <c r="E334" s="21">
        <v>-601893.67000000004</v>
      </c>
      <c r="F334" s="17">
        <f t="shared" si="49"/>
        <v>-8.7007201899999997E-2</v>
      </c>
      <c r="G334" s="21">
        <f t="shared" si="46"/>
        <v>601893.67000000004</v>
      </c>
      <c r="H334" s="46">
        <f t="shared" si="47"/>
        <v>403268.76</v>
      </c>
      <c r="I334" s="43">
        <v>601746.72</v>
      </c>
      <c r="J334" s="43">
        <f t="shared" si="48"/>
        <v>146.95000000006985</v>
      </c>
      <c r="K334" s="43"/>
      <c r="L334">
        <f t="shared" ref="L334:L397" si="52">M334-A334</f>
        <v>0</v>
      </c>
      <c r="M334">
        <v>2853</v>
      </c>
      <c r="N334">
        <v>1</v>
      </c>
      <c r="O334" s="7" t="s">
        <v>865</v>
      </c>
      <c r="P334" s="6">
        <v>6917745.3899999997</v>
      </c>
      <c r="Q334" s="6">
        <v>-601746.72</v>
      </c>
      <c r="R334" s="17">
        <f t="shared" ref="R334:R348" si="53">IF(P334&gt;0,ROUND(Q334/P334,3),"na   ")</f>
        <v>-8.6999999999999994E-2</v>
      </c>
      <c r="S334" s="6">
        <f t="shared" si="50"/>
        <v>601746.72</v>
      </c>
      <c r="T334" s="6">
        <f t="shared" si="51"/>
        <v>403170.3</v>
      </c>
    </row>
    <row r="335" spans="1:20" x14ac:dyDescent="0.2">
      <c r="A335">
        <v>2854</v>
      </c>
      <c r="B335">
        <v>1</v>
      </c>
      <c r="C335" s="7" t="s">
        <v>327</v>
      </c>
      <c r="D335" s="21">
        <v>4131307.02</v>
      </c>
      <c r="E335" s="21">
        <v>-359453.47</v>
      </c>
      <c r="F335" s="17">
        <f t="shared" si="49"/>
        <v>-8.7007203399999997E-2</v>
      </c>
      <c r="G335" s="21">
        <f t="shared" ref="G335:G396" si="54">E335*-1</f>
        <v>359453.47</v>
      </c>
      <c r="H335" s="46">
        <f t="shared" ref="H335:H396" si="55">ROUND(G335*0.67,2)</f>
        <v>240833.82</v>
      </c>
      <c r="I335" s="43">
        <v>359365.7</v>
      </c>
      <c r="J335" s="43">
        <f t="shared" ref="J335:J398" si="56">G335-I335</f>
        <v>87.769999999960419</v>
      </c>
      <c r="K335" s="43"/>
      <c r="L335">
        <f t="shared" si="52"/>
        <v>0</v>
      </c>
      <c r="M335">
        <v>2854</v>
      </c>
      <c r="N335">
        <v>1</v>
      </c>
      <c r="O335" s="7" t="s">
        <v>866</v>
      </c>
      <c r="P335" s="6">
        <v>4131307.02</v>
      </c>
      <c r="Q335" s="6">
        <v>-359365.7</v>
      </c>
      <c r="R335" s="17">
        <f t="shared" si="53"/>
        <v>-8.6999999999999994E-2</v>
      </c>
      <c r="S335" s="6">
        <f t="shared" si="50"/>
        <v>359365.7</v>
      </c>
      <c r="T335" s="6">
        <f t="shared" si="51"/>
        <v>240775.02</v>
      </c>
    </row>
    <row r="336" spans="1:20" x14ac:dyDescent="0.2">
      <c r="A336">
        <v>2856</v>
      </c>
      <c r="B336">
        <v>1</v>
      </c>
      <c r="C336" s="7" t="s">
        <v>328</v>
      </c>
      <c r="D336" s="21">
        <v>2950180.72</v>
      </c>
      <c r="E336" s="21">
        <v>-256686.97</v>
      </c>
      <c r="F336" s="17">
        <f t="shared" ref="F336:F399" si="57">IF(D336&gt;0,ROUND(E336/D336,10),"na   ")</f>
        <v>-8.70072021E-2</v>
      </c>
      <c r="G336" s="21">
        <f t="shared" si="54"/>
        <v>256686.97</v>
      </c>
      <c r="H336" s="46">
        <f t="shared" si="55"/>
        <v>171980.27</v>
      </c>
      <c r="I336" s="43">
        <v>256624.3</v>
      </c>
      <c r="J336" s="43">
        <f t="shared" si="56"/>
        <v>62.670000000012806</v>
      </c>
      <c r="K336" s="43"/>
      <c r="L336">
        <f t="shared" si="52"/>
        <v>0</v>
      </c>
      <c r="M336">
        <v>2856</v>
      </c>
      <c r="N336">
        <v>1</v>
      </c>
      <c r="O336" s="7" t="s">
        <v>867</v>
      </c>
      <c r="P336" s="6">
        <v>2950180.72</v>
      </c>
      <c r="Q336" s="6">
        <v>-256624.3</v>
      </c>
      <c r="R336" s="17">
        <f t="shared" si="53"/>
        <v>-8.6999999999999994E-2</v>
      </c>
      <c r="S336" s="6">
        <f t="shared" si="50"/>
        <v>256624.3</v>
      </c>
      <c r="T336" s="6">
        <f t="shared" si="51"/>
        <v>171938.28</v>
      </c>
    </row>
    <row r="337" spans="1:20" x14ac:dyDescent="0.2">
      <c r="A337">
        <v>2859</v>
      </c>
      <c r="B337">
        <v>1</v>
      </c>
      <c r="C337" s="7" t="s">
        <v>329</v>
      </c>
      <c r="D337" s="21">
        <v>12305536.029999999</v>
      </c>
      <c r="E337" s="21">
        <v>-1070670.27</v>
      </c>
      <c r="F337" s="17">
        <f t="shared" si="57"/>
        <v>-8.7007202899999997E-2</v>
      </c>
      <c r="G337" s="21">
        <f t="shared" si="54"/>
        <v>1070670.27</v>
      </c>
      <c r="H337" s="46">
        <f t="shared" si="55"/>
        <v>717349.08</v>
      </c>
      <c r="I337" s="43">
        <v>956580.54</v>
      </c>
      <c r="J337" s="43">
        <f t="shared" si="56"/>
        <v>114089.72999999998</v>
      </c>
      <c r="K337" s="48" t="s">
        <v>978</v>
      </c>
      <c r="L337">
        <f t="shared" si="52"/>
        <v>0</v>
      </c>
      <c r="M337">
        <v>2859</v>
      </c>
      <c r="N337">
        <v>1</v>
      </c>
      <c r="O337" s="7" t="s">
        <v>868</v>
      </c>
      <c r="P337" s="6">
        <v>10996953.390000001</v>
      </c>
      <c r="Q337" s="6">
        <v>-956580.54</v>
      </c>
      <c r="R337" s="17">
        <f t="shared" si="53"/>
        <v>-8.6999999999999994E-2</v>
      </c>
      <c r="S337" s="6">
        <f t="shared" si="50"/>
        <v>956580.54</v>
      </c>
      <c r="T337" s="6">
        <f t="shared" si="51"/>
        <v>640908.96</v>
      </c>
    </row>
    <row r="338" spans="1:20" x14ac:dyDescent="0.2">
      <c r="A338">
        <v>2860</v>
      </c>
      <c r="B338">
        <v>1</v>
      </c>
      <c r="C338" s="7" t="s">
        <v>330</v>
      </c>
      <c r="D338" s="21">
        <v>8708198.9700000007</v>
      </c>
      <c r="E338" s="21">
        <v>-757676.03</v>
      </c>
      <c r="F338" s="17">
        <f t="shared" si="57"/>
        <v>-8.7007202399999997E-2</v>
      </c>
      <c r="G338" s="21">
        <f t="shared" si="54"/>
        <v>757676.03</v>
      </c>
      <c r="H338" s="46">
        <f t="shared" si="55"/>
        <v>507642.94</v>
      </c>
      <c r="I338" s="43">
        <v>757491.04</v>
      </c>
      <c r="J338" s="43">
        <f t="shared" si="56"/>
        <v>184.98999999999069</v>
      </c>
      <c r="K338" s="43"/>
      <c r="L338">
        <f t="shared" si="52"/>
        <v>0</v>
      </c>
      <c r="M338">
        <v>2860</v>
      </c>
      <c r="N338">
        <v>1</v>
      </c>
      <c r="O338" s="7" t="s">
        <v>869</v>
      </c>
      <c r="P338" s="6">
        <v>8708198.9700000007</v>
      </c>
      <c r="Q338" s="6">
        <v>-757491.04</v>
      </c>
      <c r="R338" s="17">
        <f t="shared" si="53"/>
        <v>-8.6999999999999994E-2</v>
      </c>
      <c r="S338" s="6">
        <f t="shared" si="50"/>
        <v>757491.04</v>
      </c>
      <c r="T338" s="6">
        <f t="shared" si="51"/>
        <v>507519</v>
      </c>
    </row>
    <row r="339" spans="1:20" x14ac:dyDescent="0.2">
      <c r="A339">
        <v>2884</v>
      </c>
      <c r="B339">
        <v>1</v>
      </c>
      <c r="C339" s="7" t="s">
        <v>331</v>
      </c>
      <c r="D339" s="21">
        <v>3766772.9</v>
      </c>
      <c r="E339" s="21">
        <v>-327736.37</v>
      </c>
      <c r="F339" s="17">
        <f t="shared" si="57"/>
        <v>-8.7007201800000003E-2</v>
      </c>
      <c r="G339" s="21">
        <f t="shared" si="54"/>
        <v>327736.37</v>
      </c>
      <c r="H339" s="46">
        <f t="shared" si="55"/>
        <v>219583.37</v>
      </c>
      <c r="I339" s="43">
        <v>327656.34999999998</v>
      </c>
      <c r="J339" s="43">
        <f t="shared" si="56"/>
        <v>80.020000000018626</v>
      </c>
      <c r="K339" s="43"/>
      <c r="L339">
        <f t="shared" si="52"/>
        <v>0</v>
      </c>
      <c r="M339">
        <v>2884</v>
      </c>
      <c r="N339">
        <v>1</v>
      </c>
      <c r="O339" s="7" t="s">
        <v>870</v>
      </c>
      <c r="P339" s="6">
        <v>3766772.9</v>
      </c>
      <c r="Q339" s="6">
        <v>-327656.34999999998</v>
      </c>
      <c r="R339" s="17">
        <f t="shared" si="53"/>
        <v>-8.6999999999999994E-2</v>
      </c>
      <c r="S339" s="6">
        <f t="shared" si="50"/>
        <v>327656.34999999998</v>
      </c>
      <c r="T339" s="6">
        <f t="shared" si="51"/>
        <v>219529.75</v>
      </c>
    </row>
    <row r="340" spans="1:20" x14ac:dyDescent="0.2">
      <c r="A340">
        <v>2886</v>
      </c>
      <c r="B340">
        <v>1</v>
      </c>
      <c r="C340" s="7" t="s">
        <v>332</v>
      </c>
      <c r="D340" s="21">
        <v>2877592.69</v>
      </c>
      <c r="E340" s="21">
        <v>-250371.29</v>
      </c>
      <c r="F340" s="17">
        <f t="shared" si="57"/>
        <v>-8.7007202500000005E-2</v>
      </c>
      <c r="G340" s="21">
        <f t="shared" si="54"/>
        <v>250371.29</v>
      </c>
      <c r="H340" s="46">
        <f t="shared" si="55"/>
        <v>167748.76</v>
      </c>
      <c r="I340" s="43">
        <v>250310.16</v>
      </c>
      <c r="J340" s="43">
        <f t="shared" si="56"/>
        <v>61.130000000004657</v>
      </c>
      <c r="K340" s="43"/>
      <c r="L340">
        <f t="shared" si="52"/>
        <v>0</v>
      </c>
      <c r="M340">
        <v>2886</v>
      </c>
      <c r="N340">
        <v>1</v>
      </c>
      <c r="O340" s="7" t="s">
        <v>871</v>
      </c>
      <c r="P340" s="6">
        <v>2877592.69</v>
      </c>
      <c r="Q340" s="6">
        <v>-250310.16</v>
      </c>
      <c r="R340" s="17">
        <f t="shared" si="53"/>
        <v>-8.6999999999999994E-2</v>
      </c>
      <c r="S340" s="6">
        <f t="shared" si="50"/>
        <v>250310.16</v>
      </c>
      <c r="T340" s="6">
        <f t="shared" si="51"/>
        <v>167707.81</v>
      </c>
    </row>
    <row r="341" spans="1:20" x14ac:dyDescent="0.2">
      <c r="A341">
        <v>2888</v>
      </c>
      <c r="B341">
        <v>1</v>
      </c>
      <c r="C341" s="7" t="s">
        <v>333</v>
      </c>
      <c r="D341" s="21">
        <v>3175545.66</v>
      </c>
      <c r="E341" s="21">
        <v>-276295.34000000003</v>
      </c>
      <c r="F341" s="17">
        <f t="shared" si="57"/>
        <v>-8.7007201100000001E-2</v>
      </c>
      <c r="G341" s="21">
        <f t="shared" si="54"/>
        <v>276295.34000000003</v>
      </c>
      <c r="H341" s="46">
        <f t="shared" si="55"/>
        <v>185117.88</v>
      </c>
      <c r="I341" s="43">
        <v>276227.88</v>
      </c>
      <c r="J341" s="43">
        <f t="shared" si="56"/>
        <v>67.460000000020955</v>
      </c>
      <c r="K341" s="43"/>
      <c r="L341">
        <f t="shared" si="52"/>
        <v>0</v>
      </c>
      <c r="M341">
        <v>2888</v>
      </c>
      <c r="N341">
        <v>1</v>
      </c>
      <c r="O341" s="7" t="s">
        <v>333</v>
      </c>
      <c r="P341" s="6">
        <v>3175545.66</v>
      </c>
      <c r="Q341" s="6">
        <v>-276227.88</v>
      </c>
      <c r="R341" s="17">
        <f t="shared" si="53"/>
        <v>-8.6999999999999994E-2</v>
      </c>
      <c r="S341" s="6">
        <f t="shared" si="50"/>
        <v>276227.88</v>
      </c>
      <c r="T341" s="6">
        <f t="shared" si="51"/>
        <v>185072.68</v>
      </c>
    </row>
    <row r="342" spans="1:20" x14ac:dyDescent="0.2">
      <c r="A342">
        <v>2889</v>
      </c>
      <c r="B342">
        <v>1</v>
      </c>
      <c r="C342" s="7" t="s">
        <v>334</v>
      </c>
      <c r="D342" s="21">
        <v>4282064.18</v>
      </c>
      <c r="E342" s="21">
        <v>-372570.43</v>
      </c>
      <c r="F342" s="17">
        <f t="shared" si="57"/>
        <v>-8.7007203599999999E-2</v>
      </c>
      <c r="G342" s="21">
        <f t="shared" si="54"/>
        <v>372570.43</v>
      </c>
      <c r="H342" s="46">
        <f t="shared" si="55"/>
        <v>249622.19</v>
      </c>
      <c r="I342" s="43">
        <v>372479.46</v>
      </c>
      <c r="J342" s="43">
        <f t="shared" si="56"/>
        <v>90.96999999997206</v>
      </c>
      <c r="K342" s="43"/>
      <c r="L342">
        <f t="shared" si="52"/>
        <v>0</v>
      </c>
      <c r="M342">
        <v>2889</v>
      </c>
      <c r="N342">
        <v>1</v>
      </c>
      <c r="O342" s="7" t="s">
        <v>873</v>
      </c>
      <c r="P342" s="6">
        <v>4282064.18</v>
      </c>
      <c r="Q342" s="6">
        <v>-372479.46</v>
      </c>
      <c r="R342" s="17">
        <f t="shared" si="53"/>
        <v>-8.6999999999999994E-2</v>
      </c>
      <c r="S342" s="6">
        <f t="shared" si="50"/>
        <v>372479.46</v>
      </c>
      <c r="T342" s="6">
        <f t="shared" si="51"/>
        <v>249561.24</v>
      </c>
    </row>
    <row r="343" spans="1:20" x14ac:dyDescent="0.2">
      <c r="A343">
        <v>2890</v>
      </c>
      <c r="B343">
        <v>1</v>
      </c>
      <c r="C343" s="7" t="s">
        <v>335</v>
      </c>
      <c r="D343" s="21">
        <v>4264010.62</v>
      </c>
      <c r="E343" s="21">
        <v>-370999.64</v>
      </c>
      <c r="F343" s="17">
        <f t="shared" si="57"/>
        <v>-8.7007203599999999E-2</v>
      </c>
      <c r="G343" s="21">
        <f t="shared" si="54"/>
        <v>370999.64</v>
      </c>
      <c r="H343" s="46">
        <f t="shared" si="55"/>
        <v>248569.76</v>
      </c>
      <c r="I343" s="43">
        <v>370909.05</v>
      </c>
      <c r="J343" s="43">
        <f t="shared" si="56"/>
        <v>90.590000000025611</v>
      </c>
      <c r="K343" s="43"/>
      <c r="L343">
        <f t="shared" si="52"/>
        <v>0</v>
      </c>
      <c r="M343">
        <v>2890</v>
      </c>
      <c r="N343">
        <v>1</v>
      </c>
      <c r="O343" s="7" t="s">
        <v>874</v>
      </c>
      <c r="P343" s="6">
        <v>4264010.62</v>
      </c>
      <c r="Q343" s="6">
        <v>-370909.05</v>
      </c>
      <c r="R343" s="17">
        <f t="shared" si="53"/>
        <v>-8.6999999999999994E-2</v>
      </c>
      <c r="S343" s="6">
        <f t="shared" si="50"/>
        <v>370909.05</v>
      </c>
      <c r="T343" s="6">
        <f t="shared" si="51"/>
        <v>248509.06</v>
      </c>
    </row>
    <row r="344" spans="1:20" x14ac:dyDescent="0.2">
      <c r="A344">
        <v>2895</v>
      </c>
      <c r="B344">
        <v>1</v>
      </c>
      <c r="C344" s="7" t="s">
        <v>336</v>
      </c>
      <c r="D344" s="21">
        <v>8122771.0700000003</v>
      </c>
      <c r="E344" s="21">
        <v>-706739.59</v>
      </c>
      <c r="F344" s="17">
        <f t="shared" si="57"/>
        <v>-8.7007202800000003E-2</v>
      </c>
      <c r="G344" s="21">
        <f t="shared" si="54"/>
        <v>706739.59</v>
      </c>
      <c r="H344" s="46">
        <f t="shared" si="55"/>
        <v>473515.53</v>
      </c>
      <c r="I344" s="43">
        <v>706567.03</v>
      </c>
      <c r="J344" s="43">
        <f t="shared" si="56"/>
        <v>172.55999999993946</v>
      </c>
      <c r="K344" s="43"/>
      <c r="L344">
        <f t="shared" si="52"/>
        <v>0</v>
      </c>
      <c r="M344">
        <v>2895</v>
      </c>
      <c r="N344">
        <v>1</v>
      </c>
      <c r="O344" s="7" t="s">
        <v>875</v>
      </c>
      <c r="P344" s="6">
        <v>8122771.0700000003</v>
      </c>
      <c r="Q344" s="6">
        <v>-706567.03</v>
      </c>
      <c r="R344" s="17">
        <f t="shared" si="53"/>
        <v>-8.6999999999999994E-2</v>
      </c>
      <c r="S344" s="6">
        <f t="shared" si="50"/>
        <v>706567.03</v>
      </c>
      <c r="T344" s="6">
        <f t="shared" si="51"/>
        <v>473399.91</v>
      </c>
    </row>
    <row r="345" spans="1:20" x14ac:dyDescent="0.2">
      <c r="A345">
        <v>2897</v>
      </c>
      <c r="B345">
        <v>1</v>
      </c>
      <c r="C345" s="7" t="s">
        <v>337</v>
      </c>
      <c r="D345" s="21">
        <v>8576580.2400000002</v>
      </c>
      <c r="E345" s="21">
        <v>-746224.25</v>
      </c>
      <c r="F345" s="17">
        <f t="shared" si="57"/>
        <v>-8.70072021E-2</v>
      </c>
      <c r="G345" s="21">
        <f t="shared" si="54"/>
        <v>746224.25</v>
      </c>
      <c r="H345" s="46">
        <f t="shared" si="55"/>
        <v>499970.25</v>
      </c>
      <c r="I345" s="43">
        <v>746042.06</v>
      </c>
      <c r="J345" s="43">
        <f t="shared" si="56"/>
        <v>182.18999999994412</v>
      </c>
      <c r="K345" s="43"/>
      <c r="L345">
        <f t="shared" si="52"/>
        <v>0</v>
      </c>
      <c r="M345">
        <v>2897</v>
      </c>
      <c r="N345">
        <v>1</v>
      </c>
      <c r="O345" s="7" t="s">
        <v>876</v>
      </c>
      <c r="P345" s="6">
        <v>8576580.2400000002</v>
      </c>
      <c r="Q345" s="6">
        <v>-746042.06</v>
      </c>
      <c r="R345" s="17">
        <f t="shared" si="53"/>
        <v>-8.6999999999999994E-2</v>
      </c>
      <c r="S345" s="6">
        <f t="shared" si="50"/>
        <v>746042.06</v>
      </c>
      <c r="T345" s="6">
        <f t="shared" si="51"/>
        <v>499848.18</v>
      </c>
    </row>
    <row r="346" spans="1:20" x14ac:dyDescent="0.2">
      <c r="A346">
        <v>2898</v>
      </c>
      <c r="B346">
        <v>1</v>
      </c>
      <c r="C346" s="7" t="s">
        <v>338</v>
      </c>
      <c r="D346" s="21">
        <v>4528594.37</v>
      </c>
      <c r="E346" s="21">
        <v>-394020.33</v>
      </c>
      <c r="F346" s="17">
        <f t="shared" si="57"/>
        <v>-8.70072031E-2</v>
      </c>
      <c r="G346" s="21">
        <f t="shared" si="54"/>
        <v>394020.33</v>
      </c>
      <c r="H346" s="46">
        <f t="shared" si="55"/>
        <v>263993.62</v>
      </c>
      <c r="I346" s="43">
        <v>393924.12</v>
      </c>
      <c r="J346" s="43">
        <f t="shared" si="56"/>
        <v>96.210000000020955</v>
      </c>
      <c r="K346" s="43"/>
      <c r="L346">
        <f t="shared" si="52"/>
        <v>0</v>
      </c>
      <c r="M346">
        <v>2898</v>
      </c>
      <c r="N346">
        <v>1</v>
      </c>
      <c r="O346" s="7" t="s">
        <v>877</v>
      </c>
      <c r="P346" s="6">
        <v>4528594.37</v>
      </c>
      <c r="Q346" s="6">
        <v>-393924.12</v>
      </c>
      <c r="R346" s="17">
        <f t="shared" si="53"/>
        <v>-8.6999999999999994E-2</v>
      </c>
      <c r="S346" s="6">
        <f t="shared" si="50"/>
        <v>393924.12</v>
      </c>
      <c r="T346" s="6">
        <f t="shared" si="51"/>
        <v>263929.15999999997</v>
      </c>
    </row>
    <row r="347" spans="1:20" x14ac:dyDescent="0.2">
      <c r="A347">
        <v>2899</v>
      </c>
      <c r="B347">
        <v>1</v>
      </c>
      <c r="C347" s="7" t="s">
        <v>339</v>
      </c>
      <c r="D347" s="21">
        <v>10201955.619999999</v>
      </c>
      <c r="E347" s="21">
        <v>-887643.62</v>
      </c>
      <c r="F347" s="17">
        <f t="shared" si="57"/>
        <v>-8.70072026E-2</v>
      </c>
      <c r="G347" s="21">
        <f t="shared" si="54"/>
        <v>887643.62</v>
      </c>
      <c r="H347" s="46">
        <f t="shared" si="55"/>
        <v>594721.23</v>
      </c>
      <c r="I347" s="43">
        <v>887426.89</v>
      </c>
      <c r="J347" s="43">
        <f t="shared" si="56"/>
        <v>216.72999999998137</v>
      </c>
      <c r="K347" s="43"/>
      <c r="L347">
        <f t="shared" si="52"/>
        <v>0</v>
      </c>
      <c r="M347">
        <v>2899</v>
      </c>
      <c r="N347">
        <v>1</v>
      </c>
      <c r="O347" s="7" t="s">
        <v>339</v>
      </c>
      <c r="P347" s="6">
        <v>10201955.619999999</v>
      </c>
      <c r="Q347" s="6">
        <v>-887426.89</v>
      </c>
      <c r="R347" s="17">
        <f t="shared" si="53"/>
        <v>-8.6999999999999994E-2</v>
      </c>
      <c r="S347" s="6">
        <f t="shared" si="50"/>
        <v>887426.89</v>
      </c>
      <c r="T347" s="6">
        <f t="shared" si="51"/>
        <v>594576.02</v>
      </c>
    </row>
    <row r="348" spans="1:20" x14ac:dyDescent="0.2">
      <c r="A348" s="19">
        <v>2902</v>
      </c>
      <c r="B348" s="19">
        <v>1</v>
      </c>
      <c r="C348" s="20" t="s">
        <v>340</v>
      </c>
      <c r="D348" s="22">
        <v>3760780.62</v>
      </c>
      <c r="E348" s="22">
        <v>-327215</v>
      </c>
      <c r="F348" s="17">
        <f t="shared" si="57"/>
        <v>-8.7007202199999994E-2</v>
      </c>
      <c r="G348" s="21">
        <f t="shared" si="54"/>
        <v>327215</v>
      </c>
      <c r="H348" s="46">
        <f t="shared" si="55"/>
        <v>219234.05</v>
      </c>
      <c r="I348" s="43">
        <v>327135.11</v>
      </c>
      <c r="J348" s="43">
        <f t="shared" si="56"/>
        <v>79.89000000001397</v>
      </c>
      <c r="K348" s="43"/>
      <c r="L348">
        <f t="shared" si="52"/>
        <v>0</v>
      </c>
      <c r="M348">
        <v>2902</v>
      </c>
      <c r="N348">
        <v>1</v>
      </c>
      <c r="O348" s="7" t="s">
        <v>878</v>
      </c>
      <c r="P348" s="6">
        <v>3760780.62</v>
      </c>
      <c r="Q348" s="6">
        <v>-327135.11</v>
      </c>
      <c r="R348" s="17">
        <f t="shared" si="53"/>
        <v>-8.6999999999999994E-2</v>
      </c>
      <c r="S348" s="6">
        <f t="shared" si="50"/>
        <v>327135.11</v>
      </c>
      <c r="T348" s="6">
        <f t="shared" si="51"/>
        <v>219180.52</v>
      </c>
    </row>
    <row r="349" spans="1:20" x14ac:dyDescent="0.2">
      <c r="A349">
        <v>2903</v>
      </c>
      <c r="B349">
        <v>1</v>
      </c>
      <c r="C349" s="7" t="s">
        <v>341</v>
      </c>
      <c r="D349" s="21">
        <v>4153839.63</v>
      </c>
      <c r="E349" s="21">
        <v>-361413.97</v>
      </c>
      <c r="F349" s="17">
        <f t="shared" si="57"/>
        <v>-8.7007203500000005E-2</v>
      </c>
      <c r="G349" s="21">
        <f t="shared" si="54"/>
        <v>361413.97</v>
      </c>
      <c r="H349" s="46">
        <f t="shared" si="55"/>
        <v>242147.36</v>
      </c>
      <c r="I349" s="43">
        <v>0</v>
      </c>
      <c r="J349" s="43">
        <f t="shared" si="56"/>
        <v>361413.97</v>
      </c>
      <c r="K349" s="48" t="s">
        <v>978</v>
      </c>
      <c r="L349">
        <f t="shared" si="52"/>
        <v>0</v>
      </c>
      <c r="M349">
        <v>2903</v>
      </c>
      <c r="N349">
        <v>1</v>
      </c>
      <c r="S349">
        <v>0</v>
      </c>
    </row>
    <row r="350" spans="1:20" x14ac:dyDescent="0.2">
      <c r="A350">
        <v>2904</v>
      </c>
      <c r="B350">
        <v>1</v>
      </c>
      <c r="C350" s="7" t="s">
        <v>342</v>
      </c>
      <c r="D350" s="21">
        <v>5680176.2800000003</v>
      </c>
      <c r="E350" s="21">
        <v>-494216.25</v>
      </c>
      <c r="F350" s="17">
        <f t="shared" si="57"/>
        <v>-8.7007202899999997E-2</v>
      </c>
      <c r="G350" s="21">
        <f t="shared" si="54"/>
        <v>494216.25</v>
      </c>
      <c r="H350" s="46">
        <f t="shared" si="55"/>
        <v>331124.89</v>
      </c>
      <c r="I350" s="43">
        <v>0</v>
      </c>
      <c r="J350" s="43">
        <f t="shared" si="56"/>
        <v>494216.25</v>
      </c>
      <c r="K350" s="48" t="s">
        <v>978</v>
      </c>
      <c r="L350">
        <f t="shared" si="52"/>
        <v>0</v>
      </c>
      <c r="M350">
        <v>2904</v>
      </c>
      <c r="N350">
        <v>1</v>
      </c>
      <c r="S350">
        <v>0</v>
      </c>
    </row>
    <row r="351" spans="1:20" x14ac:dyDescent="0.2">
      <c r="A351">
        <v>4000</v>
      </c>
      <c r="B351">
        <v>7</v>
      </c>
      <c r="C351" s="7" t="s">
        <v>345</v>
      </c>
      <c r="D351" s="21">
        <v>1235522.1000000001</v>
      </c>
      <c r="E351" s="21">
        <v>-107499.32</v>
      </c>
      <c r="F351" s="17">
        <f t="shared" si="57"/>
        <v>-8.7007201199999995E-2</v>
      </c>
      <c r="G351" s="21">
        <f t="shared" si="54"/>
        <v>107499.32</v>
      </c>
      <c r="H351" s="46">
        <f t="shared" si="55"/>
        <v>72024.539999999994</v>
      </c>
      <c r="I351" s="43">
        <v>107473.07</v>
      </c>
      <c r="J351" s="43">
        <f t="shared" si="56"/>
        <v>26.25</v>
      </c>
      <c r="K351" s="43"/>
      <c r="L351">
        <f t="shared" si="52"/>
        <v>0</v>
      </c>
      <c r="M351">
        <v>4000</v>
      </c>
      <c r="N351">
        <v>7</v>
      </c>
      <c r="O351" s="7" t="s">
        <v>345</v>
      </c>
      <c r="P351" s="6">
        <v>1235522.1000000001</v>
      </c>
      <c r="Q351" s="6">
        <v>-107473.07</v>
      </c>
      <c r="R351" s="17">
        <f t="shared" ref="R351:R382" si="58">IF(P351&gt;0,ROUND(Q351/P351,3),"na   ")</f>
        <v>-8.6999999999999994E-2</v>
      </c>
      <c r="S351" s="6">
        <f t="shared" ref="S351:S382" si="59">Q351*-1</f>
        <v>107473.07</v>
      </c>
      <c r="T351" s="6">
        <f t="shared" ref="T351:T382" si="60">ROUND(S351*0.67,2)</f>
        <v>72006.960000000006</v>
      </c>
    </row>
    <row r="352" spans="1:20" x14ac:dyDescent="0.2">
      <c r="A352">
        <v>4001</v>
      </c>
      <c r="B352">
        <v>7</v>
      </c>
      <c r="C352" s="7" t="s">
        <v>346</v>
      </c>
      <c r="D352" s="21">
        <v>1154761.8400000001</v>
      </c>
      <c r="E352" s="21">
        <v>-100472.6</v>
      </c>
      <c r="F352" s="17">
        <f t="shared" si="57"/>
        <v>-8.7007204899999996E-2</v>
      </c>
      <c r="G352" s="21">
        <f t="shared" si="54"/>
        <v>100472.6</v>
      </c>
      <c r="H352" s="46">
        <f t="shared" si="55"/>
        <v>67316.639999999999</v>
      </c>
      <c r="I352" s="43">
        <v>100448.07</v>
      </c>
      <c r="J352" s="43">
        <f t="shared" si="56"/>
        <v>24.529999999998836</v>
      </c>
      <c r="K352" s="43"/>
      <c r="L352">
        <f t="shared" si="52"/>
        <v>0</v>
      </c>
      <c r="M352">
        <v>4001</v>
      </c>
      <c r="N352">
        <v>7</v>
      </c>
      <c r="O352" s="7" t="s">
        <v>346</v>
      </c>
      <c r="P352" s="6">
        <v>1154761.8400000001</v>
      </c>
      <c r="Q352" s="6">
        <v>-100448.07</v>
      </c>
      <c r="R352" s="17">
        <f t="shared" si="58"/>
        <v>-8.6999999999999994E-2</v>
      </c>
      <c r="S352" s="6">
        <f t="shared" si="59"/>
        <v>100448.07</v>
      </c>
      <c r="T352" s="6">
        <f t="shared" si="60"/>
        <v>67300.210000000006</v>
      </c>
    </row>
    <row r="353" spans="1:20" x14ac:dyDescent="0.2">
      <c r="A353">
        <v>4003</v>
      </c>
      <c r="B353">
        <v>7</v>
      </c>
      <c r="C353" s="7" t="s">
        <v>347</v>
      </c>
      <c r="D353" s="21">
        <v>851306.25</v>
      </c>
      <c r="E353" s="21">
        <v>-74069.78</v>
      </c>
      <c r="F353" s="17">
        <f t="shared" si="57"/>
        <v>-8.7007208000000003E-2</v>
      </c>
      <c r="G353" s="21">
        <f t="shared" si="54"/>
        <v>74069.78</v>
      </c>
      <c r="H353" s="46">
        <f t="shared" si="55"/>
        <v>49626.75</v>
      </c>
      <c r="I353" s="43">
        <v>74051.69</v>
      </c>
      <c r="J353" s="43">
        <f t="shared" si="56"/>
        <v>18.089999999996508</v>
      </c>
      <c r="K353" s="43"/>
      <c r="L353">
        <f t="shared" si="52"/>
        <v>0</v>
      </c>
      <c r="M353">
        <v>4003</v>
      </c>
      <c r="N353">
        <v>7</v>
      </c>
      <c r="O353" s="7" t="s">
        <v>881</v>
      </c>
      <c r="P353" s="6">
        <v>851306.25</v>
      </c>
      <c r="Q353" s="6">
        <v>-74051.69</v>
      </c>
      <c r="R353" s="17">
        <f t="shared" si="58"/>
        <v>-8.6999999999999994E-2</v>
      </c>
      <c r="S353" s="6">
        <f t="shared" si="59"/>
        <v>74051.69</v>
      </c>
      <c r="T353" s="6">
        <f t="shared" si="60"/>
        <v>49614.63</v>
      </c>
    </row>
    <row r="354" spans="1:20" x14ac:dyDescent="0.2">
      <c r="A354">
        <v>4004</v>
      </c>
      <c r="B354">
        <v>7</v>
      </c>
      <c r="C354" s="7" t="s">
        <v>348</v>
      </c>
      <c r="D354" s="21">
        <v>991209.81</v>
      </c>
      <c r="E354" s="21">
        <v>-86242.39</v>
      </c>
      <c r="F354" s="17">
        <f t="shared" si="57"/>
        <v>-8.7007199800000004E-2</v>
      </c>
      <c r="G354" s="21">
        <f t="shared" si="54"/>
        <v>86242.39</v>
      </c>
      <c r="H354" s="46">
        <f t="shared" si="55"/>
        <v>57782.400000000001</v>
      </c>
      <c r="I354" s="43">
        <v>86221.34</v>
      </c>
      <c r="J354" s="43">
        <f t="shared" si="56"/>
        <v>21.05000000000291</v>
      </c>
      <c r="K354" s="43"/>
      <c r="L354">
        <f t="shared" si="52"/>
        <v>0</v>
      </c>
      <c r="M354">
        <v>4004</v>
      </c>
      <c r="N354">
        <v>7</v>
      </c>
      <c r="O354" s="7" t="s">
        <v>882</v>
      </c>
      <c r="P354" s="6">
        <v>991209.81</v>
      </c>
      <c r="Q354" s="6">
        <v>-86221.34</v>
      </c>
      <c r="R354" s="17">
        <f t="shared" si="58"/>
        <v>-8.6999999999999994E-2</v>
      </c>
      <c r="S354" s="6">
        <f t="shared" si="59"/>
        <v>86221.34</v>
      </c>
      <c r="T354" s="6">
        <f t="shared" si="60"/>
        <v>57768.3</v>
      </c>
    </row>
    <row r="355" spans="1:20" x14ac:dyDescent="0.2">
      <c r="A355">
        <v>4005</v>
      </c>
      <c r="B355">
        <v>7</v>
      </c>
      <c r="C355" s="7" t="s">
        <v>349</v>
      </c>
      <c r="D355" s="21">
        <v>62476.43</v>
      </c>
      <c r="E355" s="21">
        <v>-5435.9</v>
      </c>
      <c r="F355" s="17">
        <f t="shared" si="57"/>
        <v>-8.7007212200000003E-2</v>
      </c>
      <c r="G355" s="21">
        <f t="shared" si="54"/>
        <v>5435.9</v>
      </c>
      <c r="H355" s="46">
        <f t="shared" si="55"/>
        <v>3642.05</v>
      </c>
      <c r="I355" s="43">
        <v>5434.57</v>
      </c>
      <c r="J355" s="43">
        <f t="shared" si="56"/>
        <v>1.3299999999999272</v>
      </c>
      <c r="K355" s="43"/>
      <c r="L355">
        <f t="shared" si="52"/>
        <v>0</v>
      </c>
      <c r="M355">
        <v>4005</v>
      </c>
      <c r="N355">
        <v>7</v>
      </c>
      <c r="O355" s="7" t="s">
        <v>883</v>
      </c>
      <c r="P355" s="6">
        <v>62476.43</v>
      </c>
      <c r="Q355" s="6">
        <v>-5434.57</v>
      </c>
      <c r="R355" s="17">
        <f t="shared" si="58"/>
        <v>-8.6999999999999994E-2</v>
      </c>
      <c r="S355" s="6">
        <f t="shared" si="59"/>
        <v>5434.57</v>
      </c>
      <c r="T355" s="6">
        <f t="shared" si="60"/>
        <v>3641.16</v>
      </c>
    </row>
    <row r="356" spans="1:20" x14ac:dyDescent="0.2">
      <c r="A356">
        <v>4006</v>
      </c>
      <c r="B356">
        <v>7</v>
      </c>
      <c r="C356" s="7" t="s">
        <v>350</v>
      </c>
      <c r="D356" s="21">
        <v>657273.76</v>
      </c>
      <c r="E356" s="21">
        <v>-57187.55</v>
      </c>
      <c r="F356" s="17">
        <f t="shared" si="57"/>
        <v>-8.7007200800000004E-2</v>
      </c>
      <c r="G356" s="21">
        <f t="shared" si="54"/>
        <v>57187.55</v>
      </c>
      <c r="H356" s="46">
        <f t="shared" si="55"/>
        <v>38315.660000000003</v>
      </c>
      <c r="I356" s="43">
        <v>57173.59</v>
      </c>
      <c r="J356" s="43">
        <f t="shared" si="56"/>
        <v>13.960000000006403</v>
      </c>
      <c r="K356" s="43"/>
      <c r="L356">
        <f t="shared" si="52"/>
        <v>0</v>
      </c>
      <c r="M356">
        <v>4006</v>
      </c>
      <c r="N356">
        <v>7</v>
      </c>
      <c r="O356" s="7" t="s">
        <v>884</v>
      </c>
      <c r="P356" s="6">
        <v>657273.76</v>
      </c>
      <c r="Q356" s="6">
        <v>-57173.59</v>
      </c>
      <c r="R356" s="17">
        <f t="shared" si="58"/>
        <v>-8.6999999999999994E-2</v>
      </c>
      <c r="S356" s="6">
        <f t="shared" si="59"/>
        <v>57173.59</v>
      </c>
      <c r="T356" s="6">
        <f t="shared" si="60"/>
        <v>38306.31</v>
      </c>
    </row>
    <row r="357" spans="1:20" x14ac:dyDescent="0.2">
      <c r="A357">
        <v>4007</v>
      </c>
      <c r="B357">
        <v>7</v>
      </c>
      <c r="C357" s="7" t="s">
        <v>351</v>
      </c>
      <c r="D357" s="21">
        <v>853443.87</v>
      </c>
      <c r="E357" s="21">
        <v>-74255.759999999995</v>
      </c>
      <c r="F357" s="17">
        <f t="shared" si="57"/>
        <v>-8.7007198300000005E-2</v>
      </c>
      <c r="G357" s="21">
        <f t="shared" si="54"/>
        <v>74255.759999999995</v>
      </c>
      <c r="H357" s="46">
        <f t="shared" si="55"/>
        <v>49751.360000000001</v>
      </c>
      <c r="I357" s="43">
        <v>74237.63</v>
      </c>
      <c r="J357" s="43">
        <f t="shared" si="56"/>
        <v>18.129999999990105</v>
      </c>
      <c r="K357" s="43"/>
      <c r="L357">
        <f t="shared" si="52"/>
        <v>0</v>
      </c>
      <c r="M357">
        <v>4007</v>
      </c>
      <c r="N357">
        <v>7</v>
      </c>
      <c r="O357" s="7" t="s">
        <v>351</v>
      </c>
      <c r="P357" s="6">
        <v>853443.87</v>
      </c>
      <c r="Q357" s="6">
        <v>-74237.63</v>
      </c>
      <c r="R357" s="17">
        <f t="shared" si="58"/>
        <v>-8.6999999999999994E-2</v>
      </c>
      <c r="S357" s="6">
        <f t="shared" si="59"/>
        <v>74237.63</v>
      </c>
      <c r="T357" s="6">
        <f t="shared" si="60"/>
        <v>49739.21</v>
      </c>
    </row>
    <row r="358" spans="1:20" x14ac:dyDescent="0.2">
      <c r="A358">
        <v>4008</v>
      </c>
      <c r="B358">
        <v>7</v>
      </c>
      <c r="C358" s="7" t="s">
        <v>352</v>
      </c>
      <c r="D358" s="21">
        <v>3524311.36</v>
      </c>
      <c r="E358" s="21">
        <v>-306640.46999999997</v>
      </c>
      <c r="F358" s="17">
        <f t="shared" si="57"/>
        <v>-8.7007201899999997E-2</v>
      </c>
      <c r="G358" s="21">
        <f t="shared" si="54"/>
        <v>306640.46999999997</v>
      </c>
      <c r="H358" s="46">
        <f t="shared" si="55"/>
        <v>205449.11</v>
      </c>
      <c r="I358" s="43">
        <v>306565.59999999998</v>
      </c>
      <c r="J358" s="43">
        <f t="shared" si="56"/>
        <v>74.869999999995343</v>
      </c>
      <c r="K358" s="43"/>
      <c r="L358">
        <f t="shared" si="52"/>
        <v>0</v>
      </c>
      <c r="M358">
        <v>4008</v>
      </c>
      <c r="N358">
        <v>7</v>
      </c>
      <c r="O358" s="7" t="s">
        <v>352</v>
      </c>
      <c r="P358" s="6">
        <v>3524311.36</v>
      </c>
      <c r="Q358" s="6">
        <v>-306565.59999999998</v>
      </c>
      <c r="R358" s="17">
        <f t="shared" si="58"/>
        <v>-8.6999999999999994E-2</v>
      </c>
      <c r="S358" s="6">
        <f t="shared" si="59"/>
        <v>306565.59999999998</v>
      </c>
      <c r="T358" s="6">
        <f t="shared" si="60"/>
        <v>205398.95</v>
      </c>
    </row>
    <row r="359" spans="1:20" x14ac:dyDescent="0.2">
      <c r="A359">
        <v>4011</v>
      </c>
      <c r="B359">
        <v>7</v>
      </c>
      <c r="C359" s="7" t="s">
        <v>353</v>
      </c>
      <c r="D359" s="21">
        <v>2127545.48</v>
      </c>
      <c r="E359" s="21">
        <v>-185111.78</v>
      </c>
      <c r="F359" s="17">
        <f t="shared" si="57"/>
        <v>-8.7007202300000003E-2</v>
      </c>
      <c r="G359" s="21">
        <f t="shared" si="54"/>
        <v>185111.78</v>
      </c>
      <c r="H359" s="46">
        <f t="shared" si="55"/>
        <v>124024.89</v>
      </c>
      <c r="I359" s="43">
        <v>185066.58</v>
      </c>
      <c r="J359" s="43">
        <f t="shared" si="56"/>
        <v>45.200000000011642</v>
      </c>
      <c r="K359" s="43"/>
      <c r="L359">
        <f t="shared" si="52"/>
        <v>0</v>
      </c>
      <c r="M359">
        <v>4011</v>
      </c>
      <c r="N359">
        <v>7</v>
      </c>
      <c r="O359" s="7" t="s">
        <v>353</v>
      </c>
      <c r="P359" s="6">
        <v>2127545.48</v>
      </c>
      <c r="Q359" s="6">
        <v>-185066.58</v>
      </c>
      <c r="R359" s="17">
        <f t="shared" si="58"/>
        <v>-8.6999999999999994E-2</v>
      </c>
      <c r="S359" s="6">
        <f t="shared" si="59"/>
        <v>185066.58</v>
      </c>
      <c r="T359" s="6">
        <f t="shared" si="60"/>
        <v>123994.61</v>
      </c>
    </row>
    <row r="360" spans="1:20" x14ac:dyDescent="0.2">
      <c r="A360">
        <v>4012</v>
      </c>
      <c r="B360">
        <v>7</v>
      </c>
      <c r="C360" s="7" t="s">
        <v>354</v>
      </c>
      <c r="D360" s="21">
        <v>304644.03999999998</v>
      </c>
      <c r="E360" s="21">
        <v>-26506.23</v>
      </c>
      <c r="F360" s="17">
        <f t="shared" si="57"/>
        <v>-8.7007216700000001E-2</v>
      </c>
      <c r="G360" s="21">
        <f t="shared" si="54"/>
        <v>26506.23</v>
      </c>
      <c r="H360" s="46">
        <f t="shared" si="55"/>
        <v>17759.169999999998</v>
      </c>
      <c r="I360" s="43">
        <v>26499.75</v>
      </c>
      <c r="J360" s="43">
        <f t="shared" si="56"/>
        <v>6.4799999999995634</v>
      </c>
      <c r="K360" s="43"/>
      <c r="L360">
        <f t="shared" si="52"/>
        <v>0</v>
      </c>
      <c r="M360">
        <v>4012</v>
      </c>
      <c r="N360">
        <v>7</v>
      </c>
      <c r="O360" s="7" t="s">
        <v>354</v>
      </c>
      <c r="P360" s="6">
        <v>304644.03999999998</v>
      </c>
      <c r="Q360" s="6">
        <v>-26499.75</v>
      </c>
      <c r="R360" s="17">
        <f t="shared" si="58"/>
        <v>-8.6999999999999994E-2</v>
      </c>
      <c r="S360" s="6">
        <f t="shared" si="59"/>
        <v>26499.75</v>
      </c>
      <c r="T360" s="6">
        <f t="shared" si="60"/>
        <v>17754.830000000002</v>
      </c>
    </row>
    <row r="361" spans="1:20" x14ac:dyDescent="0.2">
      <c r="A361">
        <v>4015</v>
      </c>
      <c r="B361">
        <v>7</v>
      </c>
      <c r="C361" s="7" t="s">
        <v>355</v>
      </c>
      <c r="D361" s="21">
        <v>5315638.79</v>
      </c>
      <c r="E361" s="21">
        <v>-462498.86</v>
      </c>
      <c r="F361" s="17">
        <f t="shared" si="57"/>
        <v>-8.7007202399999997E-2</v>
      </c>
      <c r="G361" s="21">
        <f t="shared" si="54"/>
        <v>462498.86</v>
      </c>
      <c r="H361" s="46">
        <f t="shared" si="55"/>
        <v>309874.24</v>
      </c>
      <c r="I361" s="43">
        <v>462385.94</v>
      </c>
      <c r="J361" s="43">
        <f t="shared" si="56"/>
        <v>112.9199999999837</v>
      </c>
      <c r="K361" s="43"/>
      <c r="L361">
        <f t="shared" si="52"/>
        <v>0</v>
      </c>
      <c r="M361">
        <v>4015</v>
      </c>
      <c r="N361">
        <v>7</v>
      </c>
      <c r="O361" s="7" t="s">
        <v>355</v>
      </c>
      <c r="P361" s="6">
        <v>5315638.79</v>
      </c>
      <c r="Q361" s="6">
        <v>-462385.94</v>
      </c>
      <c r="R361" s="17">
        <f t="shared" si="58"/>
        <v>-8.6999999999999994E-2</v>
      </c>
      <c r="S361" s="6">
        <f t="shared" si="59"/>
        <v>462385.94</v>
      </c>
      <c r="T361" s="6">
        <f t="shared" si="60"/>
        <v>309798.58</v>
      </c>
    </row>
    <row r="362" spans="1:20" x14ac:dyDescent="0.2">
      <c r="A362">
        <v>4016</v>
      </c>
      <c r="B362">
        <v>7</v>
      </c>
      <c r="C362" s="7" t="s">
        <v>356</v>
      </c>
      <c r="D362" s="21">
        <v>971428.64</v>
      </c>
      <c r="E362" s="21">
        <v>-84521.29</v>
      </c>
      <c r="F362" s="17">
        <f t="shared" si="57"/>
        <v>-8.7007204199999993E-2</v>
      </c>
      <c r="G362" s="21">
        <f t="shared" si="54"/>
        <v>84521.29</v>
      </c>
      <c r="H362" s="46">
        <f t="shared" si="55"/>
        <v>56629.26</v>
      </c>
      <c r="I362" s="43">
        <v>84500.65</v>
      </c>
      <c r="J362" s="43">
        <f t="shared" si="56"/>
        <v>20.639999999999418</v>
      </c>
      <c r="K362" s="43"/>
      <c r="L362">
        <f t="shared" si="52"/>
        <v>0</v>
      </c>
      <c r="M362">
        <v>4016</v>
      </c>
      <c r="N362">
        <v>7</v>
      </c>
      <c r="O362" s="7" t="s">
        <v>356</v>
      </c>
      <c r="P362" s="6">
        <v>971428.64</v>
      </c>
      <c r="Q362" s="6">
        <v>-84500.65</v>
      </c>
      <c r="R362" s="17">
        <f t="shared" si="58"/>
        <v>-8.6999999999999994E-2</v>
      </c>
      <c r="S362" s="6">
        <f t="shared" si="59"/>
        <v>84500.65</v>
      </c>
      <c r="T362" s="6">
        <f t="shared" si="60"/>
        <v>56615.44</v>
      </c>
    </row>
    <row r="363" spans="1:20" x14ac:dyDescent="0.2">
      <c r="A363">
        <v>4017</v>
      </c>
      <c r="B363">
        <v>7</v>
      </c>
      <c r="C363" s="7" t="s">
        <v>357</v>
      </c>
      <c r="D363" s="21">
        <v>14845661.17</v>
      </c>
      <c r="E363" s="21">
        <v>-1291679.45</v>
      </c>
      <c r="F363" s="17">
        <f t="shared" si="57"/>
        <v>-8.7007202699999994E-2</v>
      </c>
      <c r="G363" s="21">
        <f t="shared" si="54"/>
        <v>1291679.45</v>
      </c>
      <c r="H363" s="46">
        <f t="shared" si="55"/>
        <v>865425.23</v>
      </c>
      <c r="I363" s="43">
        <v>1291364.08</v>
      </c>
      <c r="J363" s="43">
        <f t="shared" si="56"/>
        <v>315.36999999987893</v>
      </c>
      <c r="K363" s="43"/>
      <c r="L363">
        <f t="shared" si="52"/>
        <v>0</v>
      </c>
      <c r="M363">
        <v>4017</v>
      </c>
      <c r="N363">
        <v>7</v>
      </c>
      <c r="O363" s="7" t="s">
        <v>885</v>
      </c>
      <c r="P363" s="6">
        <v>14845661.17</v>
      </c>
      <c r="Q363" s="6">
        <v>-1291364.08</v>
      </c>
      <c r="R363" s="17">
        <f t="shared" si="58"/>
        <v>-8.6999999999999994E-2</v>
      </c>
      <c r="S363" s="6">
        <f t="shared" si="59"/>
        <v>1291364.08</v>
      </c>
      <c r="T363" s="6">
        <f t="shared" si="60"/>
        <v>865213.93</v>
      </c>
    </row>
    <row r="364" spans="1:20" x14ac:dyDescent="0.2">
      <c r="A364">
        <v>4018</v>
      </c>
      <c r="B364">
        <v>7</v>
      </c>
      <c r="C364" s="7" t="s">
        <v>358</v>
      </c>
      <c r="D364" s="21">
        <v>3458936.31</v>
      </c>
      <c r="E364" s="21">
        <v>-300952.37</v>
      </c>
      <c r="F364" s="17">
        <f t="shared" si="57"/>
        <v>-8.7007201899999997E-2</v>
      </c>
      <c r="G364" s="21">
        <f t="shared" si="54"/>
        <v>300952.37</v>
      </c>
      <c r="H364" s="46">
        <f t="shared" si="55"/>
        <v>201638.09</v>
      </c>
      <c r="I364" s="43">
        <v>300878.89</v>
      </c>
      <c r="J364" s="43">
        <f t="shared" si="56"/>
        <v>73.479999999981374</v>
      </c>
      <c r="K364" s="43"/>
      <c r="L364">
        <f t="shared" si="52"/>
        <v>0</v>
      </c>
      <c r="M364">
        <v>4018</v>
      </c>
      <c r="N364">
        <v>7</v>
      </c>
      <c r="O364" s="7" t="s">
        <v>886</v>
      </c>
      <c r="P364" s="6">
        <v>3458936.31</v>
      </c>
      <c r="Q364" s="6">
        <v>-300878.89</v>
      </c>
      <c r="R364" s="17">
        <f t="shared" si="58"/>
        <v>-8.6999999999999994E-2</v>
      </c>
      <c r="S364" s="6">
        <f t="shared" si="59"/>
        <v>300878.89</v>
      </c>
      <c r="T364" s="6">
        <f t="shared" si="60"/>
        <v>201588.86</v>
      </c>
    </row>
    <row r="365" spans="1:20" x14ac:dyDescent="0.2">
      <c r="A365">
        <v>4020</v>
      </c>
      <c r="B365">
        <v>7</v>
      </c>
      <c r="C365" s="7" t="s">
        <v>359</v>
      </c>
      <c r="D365" s="21">
        <v>5591735.0800000001</v>
      </c>
      <c r="E365" s="21">
        <v>-486521.23</v>
      </c>
      <c r="F365" s="17">
        <f t="shared" si="57"/>
        <v>-8.70072031E-2</v>
      </c>
      <c r="G365" s="21">
        <f t="shared" si="54"/>
        <v>486521.23</v>
      </c>
      <c r="H365" s="46">
        <f t="shared" si="55"/>
        <v>325969.21999999997</v>
      </c>
      <c r="I365" s="43">
        <v>486402.44</v>
      </c>
      <c r="J365" s="43">
        <f t="shared" si="56"/>
        <v>118.78999999997905</v>
      </c>
      <c r="K365" s="43"/>
      <c r="L365">
        <f t="shared" si="52"/>
        <v>0</v>
      </c>
      <c r="M365">
        <v>4020</v>
      </c>
      <c r="N365">
        <v>7</v>
      </c>
      <c r="O365" s="7" t="s">
        <v>888</v>
      </c>
      <c r="P365" s="6">
        <v>5591735.0800000001</v>
      </c>
      <c r="Q365" s="6">
        <v>-486402.44</v>
      </c>
      <c r="R365" s="17">
        <f t="shared" si="58"/>
        <v>-8.6999999999999994E-2</v>
      </c>
      <c r="S365" s="6">
        <f t="shared" si="59"/>
        <v>486402.44</v>
      </c>
      <c r="T365" s="6">
        <f t="shared" si="60"/>
        <v>325889.63</v>
      </c>
    </row>
    <row r="366" spans="1:20" x14ac:dyDescent="0.2">
      <c r="A366" s="19">
        <v>4025</v>
      </c>
      <c r="B366" s="19">
        <v>7</v>
      </c>
      <c r="C366" s="20" t="s">
        <v>360</v>
      </c>
      <c r="D366" s="22">
        <v>777176.38</v>
      </c>
      <c r="E366" s="22">
        <v>-67619.94</v>
      </c>
      <c r="F366" s="17">
        <f t="shared" si="57"/>
        <v>-8.7007199100000002E-2</v>
      </c>
      <c r="G366" s="21">
        <f t="shared" si="54"/>
        <v>67619.94</v>
      </c>
      <c r="H366" s="46">
        <f t="shared" si="55"/>
        <v>45305.36</v>
      </c>
      <c r="I366" s="43">
        <v>67603.429999999993</v>
      </c>
      <c r="J366" s="43">
        <f t="shared" si="56"/>
        <v>16.510000000009313</v>
      </c>
      <c r="K366" s="43"/>
      <c r="L366">
        <f t="shared" si="52"/>
        <v>0</v>
      </c>
      <c r="M366">
        <v>4025</v>
      </c>
      <c r="N366">
        <v>7</v>
      </c>
      <c r="O366" s="7" t="s">
        <v>360</v>
      </c>
      <c r="P366" s="6">
        <v>777176.38</v>
      </c>
      <c r="Q366" s="6">
        <v>-67603.429999999993</v>
      </c>
      <c r="R366" s="17">
        <f t="shared" si="58"/>
        <v>-8.6999999999999994E-2</v>
      </c>
      <c r="S366" s="6">
        <f t="shared" si="59"/>
        <v>67603.429999999993</v>
      </c>
      <c r="T366" s="6">
        <f t="shared" si="60"/>
        <v>45294.3</v>
      </c>
    </row>
    <row r="367" spans="1:20" x14ac:dyDescent="0.2">
      <c r="A367">
        <v>4026</v>
      </c>
      <c r="B367">
        <v>7</v>
      </c>
      <c r="C367" s="7" t="s">
        <v>361</v>
      </c>
      <c r="D367" s="21">
        <v>1323641.05</v>
      </c>
      <c r="E367" s="21">
        <v>-115166.31</v>
      </c>
      <c r="F367" s="17">
        <f t="shared" si="57"/>
        <v>-8.7007206399999995E-2</v>
      </c>
      <c r="G367" s="21">
        <f t="shared" si="54"/>
        <v>115166.31</v>
      </c>
      <c r="H367" s="46">
        <f t="shared" si="55"/>
        <v>77161.429999999993</v>
      </c>
      <c r="I367" s="43">
        <v>115138.19</v>
      </c>
      <c r="J367" s="43">
        <f t="shared" si="56"/>
        <v>28.119999999995343</v>
      </c>
      <c r="K367" s="43"/>
      <c r="L367">
        <f t="shared" si="52"/>
        <v>0</v>
      </c>
      <c r="M367">
        <v>4026</v>
      </c>
      <c r="N367">
        <v>7</v>
      </c>
      <c r="O367" s="7" t="s">
        <v>361</v>
      </c>
      <c r="P367" s="6">
        <v>1323641.05</v>
      </c>
      <c r="Q367" s="6">
        <v>-115138.19</v>
      </c>
      <c r="R367" s="17">
        <f t="shared" si="58"/>
        <v>-8.6999999999999994E-2</v>
      </c>
      <c r="S367" s="6">
        <f t="shared" si="59"/>
        <v>115138.19</v>
      </c>
      <c r="T367" s="6">
        <f t="shared" si="60"/>
        <v>77142.59</v>
      </c>
    </row>
    <row r="368" spans="1:20" x14ac:dyDescent="0.2">
      <c r="A368">
        <v>4027</v>
      </c>
      <c r="B368">
        <v>7</v>
      </c>
      <c r="C368" s="7" t="s">
        <v>362</v>
      </c>
      <c r="D368" s="21">
        <v>4886388.59</v>
      </c>
      <c r="E368" s="21">
        <v>-425151</v>
      </c>
      <c r="F368" s="17">
        <f t="shared" si="57"/>
        <v>-8.7007202199999994E-2</v>
      </c>
      <c r="G368" s="21">
        <f t="shared" si="54"/>
        <v>425151</v>
      </c>
      <c r="H368" s="46">
        <f t="shared" si="55"/>
        <v>284851.17</v>
      </c>
      <c r="I368" s="43">
        <v>425047.2</v>
      </c>
      <c r="J368" s="43">
        <f t="shared" si="56"/>
        <v>103.79999999998836</v>
      </c>
      <c r="K368" s="43"/>
      <c r="L368">
        <f t="shared" si="52"/>
        <v>0</v>
      </c>
      <c r="M368">
        <v>4027</v>
      </c>
      <c r="N368">
        <v>7</v>
      </c>
      <c r="O368" s="7" t="s">
        <v>362</v>
      </c>
      <c r="P368" s="6">
        <v>4886388.59</v>
      </c>
      <c r="Q368" s="6">
        <v>-425047.2</v>
      </c>
      <c r="R368" s="17">
        <f t="shared" si="58"/>
        <v>-8.6999999999999994E-2</v>
      </c>
      <c r="S368" s="6">
        <f t="shared" si="59"/>
        <v>425047.2</v>
      </c>
      <c r="T368" s="6">
        <f t="shared" si="60"/>
        <v>284781.62</v>
      </c>
    </row>
    <row r="369" spans="1:20" x14ac:dyDescent="0.2">
      <c r="A369">
        <v>4028</v>
      </c>
      <c r="B369">
        <v>7</v>
      </c>
      <c r="C369" s="7" t="s">
        <v>363</v>
      </c>
      <c r="D369" s="21">
        <v>203272.58</v>
      </c>
      <c r="E369" s="21">
        <v>-17686.18</v>
      </c>
      <c r="F369" s="17">
        <f t="shared" si="57"/>
        <v>-8.7007209700000004E-2</v>
      </c>
      <c r="G369" s="21">
        <f t="shared" si="54"/>
        <v>17686.18</v>
      </c>
      <c r="H369" s="46">
        <f t="shared" si="55"/>
        <v>11849.74</v>
      </c>
      <c r="I369" s="43">
        <v>17681.86</v>
      </c>
      <c r="J369" s="43">
        <f t="shared" si="56"/>
        <v>4.319999999999709</v>
      </c>
      <c r="K369" s="43"/>
      <c r="L369">
        <f t="shared" si="52"/>
        <v>0</v>
      </c>
      <c r="M369">
        <v>4028</v>
      </c>
      <c r="N369">
        <v>7</v>
      </c>
      <c r="O369" s="7" t="s">
        <v>363</v>
      </c>
      <c r="P369" s="6">
        <v>203272.58</v>
      </c>
      <c r="Q369" s="6">
        <v>-17681.86</v>
      </c>
      <c r="R369" s="17">
        <f t="shared" si="58"/>
        <v>-8.6999999999999994E-2</v>
      </c>
      <c r="S369" s="6">
        <f t="shared" si="59"/>
        <v>17681.86</v>
      </c>
      <c r="T369" s="6">
        <f t="shared" si="60"/>
        <v>11846.85</v>
      </c>
    </row>
    <row r="370" spans="1:20" x14ac:dyDescent="0.2">
      <c r="A370">
        <v>4029</v>
      </c>
      <c r="B370">
        <v>7</v>
      </c>
      <c r="C370" s="7" t="s">
        <v>364</v>
      </c>
      <c r="D370" s="21">
        <v>2810262.65</v>
      </c>
      <c r="E370" s="21">
        <v>-244513.09</v>
      </c>
      <c r="F370" s="17">
        <f t="shared" si="57"/>
        <v>-8.7007202000000006E-2</v>
      </c>
      <c r="G370" s="21">
        <f t="shared" si="54"/>
        <v>244513.09</v>
      </c>
      <c r="H370" s="46">
        <f t="shared" si="55"/>
        <v>163823.76999999999</v>
      </c>
      <c r="I370" s="43">
        <v>244453.39</v>
      </c>
      <c r="J370" s="43">
        <f t="shared" si="56"/>
        <v>59.699999999982538</v>
      </c>
      <c r="K370" s="43"/>
      <c r="L370">
        <f t="shared" si="52"/>
        <v>0</v>
      </c>
      <c r="M370">
        <v>4029</v>
      </c>
      <c r="N370">
        <v>7</v>
      </c>
      <c r="O370" s="7" t="s">
        <v>890</v>
      </c>
      <c r="P370" s="6">
        <v>2810262.65</v>
      </c>
      <c r="Q370" s="6">
        <v>-244453.39</v>
      </c>
      <c r="R370" s="17">
        <f t="shared" si="58"/>
        <v>-8.6999999999999994E-2</v>
      </c>
      <c r="S370" s="6">
        <f t="shared" si="59"/>
        <v>244453.39</v>
      </c>
      <c r="T370" s="6">
        <f t="shared" si="60"/>
        <v>163783.76999999999</v>
      </c>
    </row>
    <row r="371" spans="1:20" x14ac:dyDescent="0.2">
      <c r="A371">
        <v>4030</v>
      </c>
      <c r="B371">
        <v>7</v>
      </c>
      <c r="C371" s="7" t="s">
        <v>365</v>
      </c>
      <c r="D371" s="21">
        <v>1248582.1599999999</v>
      </c>
      <c r="E371" s="21">
        <v>-108635.64</v>
      </c>
      <c r="F371" s="17">
        <f t="shared" si="57"/>
        <v>-8.7007201800000003E-2</v>
      </c>
      <c r="G371" s="21">
        <f t="shared" si="54"/>
        <v>108635.64</v>
      </c>
      <c r="H371" s="46">
        <f t="shared" si="55"/>
        <v>72785.88</v>
      </c>
      <c r="I371" s="43">
        <v>108609.12</v>
      </c>
      <c r="J371" s="43">
        <f t="shared" si="56"/>
        <v>26.520000000004075</v>
      </c>
      <c r="K371" s="43"/>
      <c r="L371">
        <f t="shared" si="52"/>
        <v>0</v>
      </c>
      <c r="M371">
        <v>4030</v>
      </c>
      <c r="N371">
        <v>7</v>
      </c>
      <c r="O371" s="7" t="s">
        <v>891</v>
      </c>
      <c r="P371" s="6">
        <v>1248582.1599999999</v>
      </c>
      <c r="Q371" s="6">
        <v>-108609.12</v>
      </c>
      <c r="R371" s="17">
        <f t="shared" si="58"/>
        <v>-8.6999999999999994E-2</v>
      </c>
      <c r="S371" s="6">
        <f t="shared" si="59"/>
        <v>108609.12</v>
      </c>
      <c r="T371" s="6">
        <f t="shared" si="60"/>
        <v>72768.11</v>
      </c>
    </row>
    <row r="372" spans="1:20" x14ac:dyDescent="0.2">
      <c r="A372">
        <v>4031</v>
      </c>
      <c r="B372">
        <v>7</v>
      </c>
      <c r="C372" s="7" t="s">
        <v>366</v>
      </c>
      <c r="D372" s="21">
        <v>444958.8</v>
      </c>
      <c r="E372" s="21">
        <v>-38714.620000000003</v>
      </c>
      <c r="F372" s="17">
        <f t="shared" si="57"/>
        <v>-8.70072016E-2</v>
      </c>
      <c r="G372" s="21">
        <f t="shared" si="54"/>
        <v>38714.620000000003</v>
      </c>
      <c r="H372" s="46">
        <f t="shared" si="55"/>
        <v>25938.799999999999</v>
      </c>
      <c r="I372" s="43">
        <v>38705.17</v>
      </c>
      <c r="J372" s="43">
        <f t="shared" si="56"/>
        <v>9.4500000000043656</v>
      </c>
      <c r="K372" s="43"/>
      <c r="L372">
        <f t="shared" si="52"/>
        <v>0</v>
      </c>
      <c r="M372">
        <v>4031</v>
      </c>
      <c r="N372">
        <v>7</v>
      </c>
      <c r="O372" s="7" t="s">
        <v>892</v>
      </c>
      <c r="P372" s="6">
        <v>444958.8</v>
      </c>
      <c r="Q372" s="6">
        <v>-38705.17</v>
      </c>
      <c r="R372" s="17">
        <f t="shared" si="58"/>
        <v>-8.6999999999999994E-2</v>
      </c>
      <c r="S372" s="6">
        <f t="shared" si="59"/>
        <v>38705.17</v>
      </c>
      <c r="T372" s="6">
        <f t="shared" si="60"/>
        <v>25932.46</v>
      </c>
    </row>
    <row r="373" spans="1:20" x14ac:dyDescent="0.2">
      <c r="A373">
        <v>4032</v>
      </c>
      <c r="B373">
        <v>7</v>
      </c>
      <c r="C373" s="7" t="s">
        <v>367</v>
      </c>
      <c r="D373" s="21">
        <v>3194215.62</v>
      </c>
      <c r="E373" s="21">
        <v>-277919.77</v>
      </c>
      <c r="F373" s="17">
        <f t="shared" si="57"/>
        <v>-8.7007204000000005E-2</v>
      </c>
      <c r="G373" s="21">
        <f t="shared" si="54"/>
        <v>277919.77</v>
      </c>
      <c r="H373" s="46">
        <f t="shared" si="55"/>
        <v>186206.25</v>
      </c>
      <c r="I373" s="43">
        <v>277851.90999999997</v>
      </c>
      <c r="J373" s="43">
        <f t="shared" si="56"/>
        <v>67.860000000044238</v>
      </c>
      <c r="K373" s="43"/>
      <c r="L373">
        <f t="shared" si="52"/>
        <v>0</v>
      </c>
      <c r="M373">
        <v>4032</v>
      </c>
      <c r="N373">
        <v>7</v>
      </c>
      <c r="O373" s="7" t="s">
        <v>893</v>
      </c>
      <c r="P373" s="6">
        <v>3194215.62</v>
      </c>
      <c r="Q373" s="6">
        <v>-277851.90999999997</v>
      </c>
      <c r="R373" s="17">
        <f t="shared" si="58"/>
        <v>-8.6999999999999994E-2</v>
      </c>
      <c r="S373" s="6">
        <f t="shared" si="59"/>
        <v>277851.90999999997</v>
      </c>
      <c r="T373" s="6">
        <f t="shared" si="60"/>
        <v>186160.78</v>
      </c>
    </row>
    <row r="374" spans="1:20" x14ac:dyDescent="0.2">
      <c r="A374">
        <v>4035</v>
      </c>
      <c r="B374">
        <v>7</v>
      </c>
      <c r="C374" s="7" t="s">
        <v>368</v>
      </c>
      <c r="D374" s="21">
        <v>1845742.86</v>
      </c>
      <c r="E374" s="21">
        <v>-160592.92000000001</v>
      </c>
      <c r="F374" s="17">
        <f t="shared" si="57"/>
        <v>-8.7007201000000006E-2</v>
      </c>
      <c r="G374" s="21">
        <f t="shared" si="54"/>
        <v>160592.92000000001</v>
      </c>
      <c r="H374" s="46">
        <f t="shared" si="55"/>
        <v>107597.26</v>
      </c>
      <c r="I374" s="43">
        <v>160553.71</v>
      </c>
      <c r="J374" s="43">
        <f t="shared" si="56"/>
        <v>39.210000000020955</v>
      </c>
      <c r="K374" s="43"/>
      <c r="L374">
        <f t="shared" si="52"/>
        <v>0</v>
      </c>
      <c r="M374">
        <v>4035</v>
      </c>
      <c r="N374">
        <v>7</v>
      </c>
      <c r="O374" s="7" t="s">
        <v>894</v>
      </c>
      <c r="P374" s="6">
        <v>1845742.86</v>
      </c>
      <c r="Q374" s="6">
        <v>-160553.71</v>
      </c>
      <c r="R374" s="17">
        <f t="shared" si="58"/>
        <v>-8.6999999999999994E-2</v>
      </c>
      <c r="S374" s="6">
        <f t="shared" si="59"/>
        <v>160553.71</v>
      </c>
      <c r="T374" s="6">
        <f t="shared" si="60"/>
        <v>107570.99</v>
      </c>
    </row>
    <row r="375" spans="1:20" x14ac:dyDescent="0.2">
      <c r="A375">
        <v>4036</v>
      </c>
      <c r="B375">
        <v>7</v>
      </c>
      <c r="C375" s="7" t="s">
        <v>369</v>
      </c>
      <c r="D375" s="21">
        <v>573663.39</v>
      </c>
      <c r="E375" s="21">
        <v>-49912.85</v>
      </c>
      <c r="F375" s="17">
        <f t="shared" si="57"/>
        <v>-8.7007208200000005E-2</v>
      </c>
      <c r="G375" s="21">
        <f t="shared" si="54"/>
        <v>49912.85</v>
      </c>
      <c r="H375" s="46">
        <f t="shared" si="55"/>
        <v>33441.61</v>
      </c>
      <c r="I375" s="43">
        <v>49900.66</v>
      </c>
      <c r="J375" s="43">
        <f t="shared" si="56"/>
        <v>12.189999999995052</v>
      </c>
      <c r="K375" s="43"/>
      <c r="L375">
        <f t="shared" si="52"/>
        <v>0</v>
      </c>
      <c r="M375">
        <v>4036</v>
      </c>
      <c r="N375">
        <v>7</v>
      </c>
      <c r="O375" s="7" t="s">
        <v>369</v>
      </c>
      <c r="P375" s="6">
        <v>573663.39</v>
      </c>
      <c r="Q375" s="6">
        <v>-49900.66</v>
      </c>
      <c r="R375" s="17">
        <f t="shared" si="58"/>
        <v>-8.6999999999999994E-2</v>
      </c>
      <c r="S375" s="6">
        <f t="shared" si="59"/>
        <v>49900.66</v>
      </c>
      <c r="T375" s="6">
        <f t="shared" si="60"/>
        <v>33433.440000000002</v>
      </c>
    </row>
    <row r="376" spans="1:20" x14ac:dyDescent="0.2">
      <c r="A376">
        <v>4038</v>
      </c>
      <c r="B376">
        <v>7</v>
      </c>
      <c r="C376" s="7" t="s">
        <v>370</v>
      </c>
      <c r="D376" s="21">
        <v>2253332.2400000002</v>
      </c>
      <c r="E376" s="21">
        <v>-196056.13</v>
      </c>
      <c r="F376" s="17">
        <f t="shared" si="57"/>
        <v>-8.7007200500000006E-2</v>
      </c>
      <c r="G376" s="21">
        <f t="shared" si="54"/>
        <v>196056.13</v>
      </c>
      <c r="H376" s="46">
        <f t="shared" si="55"/>
        <v>131357.60999999999</v>
      </c>
      <c r="I376" s="43">
        <v>196008.27</v>
      </c>
      <c r="J376" s="43">
        <f t="shared" si="56"/>
        <v>47.860000000015134</v>
      </c>
      <c r="K376" s="43"/>
      <c r="L376">
        <f t="shared" si="52"/>
        <v>0</v>
      </c>
      <c r="M376">
        <v>4038</v>
      </c>
      <c r="N376">
        <v>7</v>
      </c>
      <c r="O376" s="7" t="s">
        <v>370</v>
      </c>
      <c r="P376" s="6">
        <v>2253332.2400000002</v>
      </c>
      <c r="Q376" s="6">
        <v>-196008.27</v>
      </c>
      <c r="R376" s="17">
        <f t="shared" si="58"/>
        <v>-8.6999999999999994E-2</v>
      </c>
      <c r="S376" s="6">
        <f t="shared" si="59"/>
        <v>196008.27</v>
      </c>
      <c r="T376" s="6">
        <f t="shared" si="60"/>
        <v>131325.54</v>
      </c>
    </row>
    <row r="377" spans="1:20" x14ac:dyDescent="0.2">
      <c r="A377">
        <v>4039</v>
      </c>
      <c r="B377">
        <v>7</v>
      </c>
      <c r="C377" s="7" t="s">
        <v>371</v>
      </c>
      <c r="D377" s="21">
        <v>1998896.27</v>
      </c>
      <c r="E377" s="21">
        <v>-173918.37</v>
      </c>
      <c r="F377" s="17">
        <f t="shared" si="57"/>
        <v>-8.7007201199999995E-2</v>
      </c>
      <c r="G377" s="21">
        <f t="shared" si="54"/>
        <v>173918.37</v>
      </c>
      <c r="H377" s="46">
        <f t="shared" si="55"/>
        <v>116525.31</v>
      </c>
      <c r="I377" s="43">
        <v>173875.91</v>
      </c>
      <c r="J377" s="43">
        <f t="shared" si="56"/>
        <v>42.459999999991851</v>
      </c>
      <c r="K377" s="43"/>
      <c r="L377">
        <f t="shared" si="52"/>
        <v>0</v>
      </c>
      <c r="M377">
        <v>4039</v>
      </c>
      <c r="N377">
        <v>7</v>
      </c>
      <c r="O377" s="7" t="s">
        <v>371</v>
      </c>
      <c r="P377" s="6">
        <v>1998896.27</v>
      </c>
      <c r="Q377" s="6">
        <v>-173875.91</v>
      </c>
      <c r="R377" s="17">
        <f t="shared" si="58"/>
        <v>-8.6999999999999994E-2</v>
      </c>
      <c r="S377" s="6">
        <f t="shared" si="59"/>
        <v>173875.91</v>
      </c>
      <c r="T377" s="6">
        <f t="shared" si="60"/>
        <v>116496.86</v>
      </c>
    </row>
    <row r="378" spans="1:20" x14ac:dyDescent="0.2">
      <c r="A378">
        <v>4042</v>
      </c>
      <c r="B378">
        <v>7</v>
      </c>
      <c r="C378" s="7" t="s">
        <v>372</v>
      </c>
      <c r="D378" s="21">
        <v>1301084.53</v>
      </c>
      <c r="E378" s="21">
        <v>-113203.73</v>
      </c>
      <c r="F378" s="17">
        <f t="shared" si="57"/>
        <v>-8.7007206200000006E-2</v>
      </c>
      <c r="G378" s="21">
        <f t="shared" si="54"/>
        <v>113203.73</v>
      </c>
      <c r="H378" s="46">
        <f t="shared" si="55"/>
        <v>75846.5</v>
      </c>
      <c r="I378" s="43">
        <v>113176.09</v>
      </c>
      <c r="J378" s="43">
        <f t="shared" si="56"/>
        <v>27.639999999999418</v>
      </c>
      <c r="K378" s="43"/>
      <c r="L378">
        <f t="shared" si="52"/>
        <v>0</v>
      </c>
      <c r="M378">
        <v>4042</v>
      </c>
      <c r="N378">
        <v>7</v>
      </c>
      <c r="O378" s="7" t="s">
        <v>372</v>
      </c>
      <c r="P378" s="6">
        <v>1301084.53</v>
      </c>
      <c r="Q378" s="6">
        <v>-113176.09</v>
      </c>
      <c r="R378" s="17">
        <f t="shared" si="58"/>
        <v>-8.6999999999999994E-2</v>
      </c>
      <c r="S378" s="6">
        <f t="shared" si="59"/>
        <v>113176.09</v>
      </c>
      <c r="T378" s="6">
        <f t="shared" si="60"/>
        <v>75827.98</v>
      </c>
    </row>
    <row r="379" spans="1:20" x14ac:dyDescent="0.2">
      <c r="A379">
        <v>4043</v>
      </c>
      <c r="B379">
        <v>7</v>
      </c>
      <c r="C379" s="7" t="s">
        <v>373</v>
      </c>
      <c r="D379" s="21">
        <v>1850749.87</v>
      </c>
      <c r="E379" s="21">
        <v>-161028.57</v>
      </c>
      <c r="F379" s="17">
        <f t="shared" si="57"/>
        <v>-8.7007203199999994E-2</v>
      </c>
      <c r="G379" s="21">
        <f t="shared" si="54"/>
        <v>161028.57</v>
      </c>
      <c r="H379" s="46">
        <f t="shared" si="55"/>
        <v>107889.14</v>
      </c>
      <c r="I379" s="43">
        <v>160989.25</v>
      </c>
      <c r="J379" s="43">
        <f t="shared" si="56"/>
        <v>39.320000000006985</v>
      </c>
      <c r="K379" s="43"/>
      <c r="L379">
        <f t="shared" si="52"/>
        <v>0</v>
      </c>
      <c r="M379">
        <v>4043</v>
      </c>
      <c r="N379">
        <v>7</v>
      </c>
      <c r="O379" s="7" t="s">
        <v>373</v>
      </c>
      <c r="P379" s="6">
        <v>1850749.87</v>
      </c>
      <c r="Q379" s="6">
        <v>-160989.25</v>
      </c>
      <c r="R379" s="17">
        <f t="shared" si="58"/>
        <v>-8.6999999999999994E-2</v>
      </c>
      <c r="S379" s="6">
        <f t="shared" si="59"/>
        <v>160989.25</v>
      </c>
      <c r="T379" s="6">
        <f t="shared" si="60"/>
        <v>107862.8</v>
      </c>
    </row>
    <row r="380" spans="1:20" x14ac:dyDescent="0.2">
      <c r="A380">
        <v>4045</v>
      </c>
      <c r="B380">
        <v>7</v>
      </c>
      <c r="C380" s="7" t="s">
        <v>374</v>
      </c>
      <c r="D380" s="21">
        <v>485695.69</v>
      </c>
      <c r="E380" s="21">
        <v>-42259.02</v>
      </c>
      <c r="F380" s="17">
        <f t="shared" si="57"/>
        <v>-8.7007195800000006E-2</v>
      </c>
      <c r="G380" s="21">
        <f t="shared" si="54"/>
        <v>42259.02</v>
      </c>
      <c r="H380" s="46">
        <f t="shared" si="55"/>
        <v>28313.54</v>
      </c>
      <c r="I380" s="43">
        <v>42248.71</v>
      </c>
      <c r="J380" s="43">
        <f t="shared" si="56"/>
        <v>10.309999999997672</v>
      </c>
      <c r="K380" s="43"/>
      <c r="L380">
        <f t="shared" si="52"/>
        <v>0</v>
      </c>
      <c r="M380">
        <v>4045</v>
      </c>
      <c r="N380">
        <v>7</v>
      </c>
      <c r="O380" s="7" t="s">
        <v>896</v>
      </c>
      <c r="P380" s="6">
        <v>485695.69</v>
      </c>
      <c r="Q380" s="6">
        <v>-42248.71</v>
      </c>
      <c r="R380" s="17">
        <f t="shared" si="58"/>
        <v>-8.6999999999999994E-2</v>
      </c>
      <c r="S380" s="6">
        <f t="shared" si="59"/>
        <v>42248.71</v>
      </c>
      <c r="T380" s="6">
        <f t="shared" si="60"/>
        <v>28306.639999999999</v>
      </c>
    </row>
    <row r="381" spans="1:20" x14ac:dyDescent="0.2">
      <c r="A381">
        <v>4046</v>
      </c>
      <c r="B381">
        <v>7</v>
      </c>
      <c r="C381" s="7" t="s">
        <v>375</v>
      </c>
      <c r="D381" s="21">
        <v>641262.72</v>
      </c>
      <c r="E381" s="21">
        <v>-55794.48</v>
      </c>
      <c r="F381" s="17">
        <f t="shared" si="57"/>
        <v>-8.7007209799999999E-2</v>
      </c>
      <c r="G381" s="21">
        <f t="shared" si="54"/>
        <v>55794.48</v>
      </c>
      <c r="H381" s="46">
        <f t="shared" si="55"/>
        <v>37382.300000000003</v>
      </c>
      <c r="I381" s="43">
        <v>55780.85</v>
      </c>
      <c r="J381" s="43">
        <f t="shared" si="56"/>
        <v>13.630000000004657</v>
      </c>
      <c r="K381" s="43"/>
      <c r="L381">
        <f t="shared" si="52"/>
        <v>0</v>
      </c>
      <c r="M381">
        <v>4046</v>
      </c>
      <c r="N381">
        <v>7</v>
      </c>
      <c r="O381" s="7" t="s">
        <v>375</v>
      </c>
      <c r="P381" s="6">
        <v>641262.72</v>
      </c>
      <c r="Q381" s="6">
        <v>-55780.85</v>
      </c>
      <c r="R381" s="17">
        <f t="shared" si="58"/>
        <v>-8.6999999999999994E-2</v>
      </c>
      <c r="S381" s="6">
        <f t="shared" si="59"/>
        <v>55780.85</v>
      </c>
      <c r="T381" s="6">
        <f t="shared" si="60"/>
        <v>37373.17</v>
      </c>
    </row>
    <row r="382" spans="1:20" x14ac:dyDescent="0.2">
      <c r="A382">
        <v>4048</v>
      </c>
      <c r="B382">
        <v>7</v>
      </c>
      <c r="C382" s="7" t="s">
        <v>376</v>
      </c>
      <c r="D382" s="21">
        <v>301833.64</v>
      </c>
      <c r="E382" s="21">
        <v>-26261.7</v>
      </c>
      <c r="F382" s="17">
        <f t="shared" si="57"/>
        <v>-8.7007200399999998E-2</v>
      </c>
      <c r="G382" s="21">
        <f t="shared" si="54"/>
        <v>26261.7</v>
      </c>
      <c r="H382" s="46">
        <f t="shared" si="55"/>
        <v>17595.34</v>
      </c>
      <c r="I382" s="43">
        <v>26255.29</v>
      </c>
      <c r="J382" s="43">
        <f t="shared" si="56"/>
        <v>6.4099999999998545</v>
      </c>
      <c r="K382" s="43"/>
      <c r="L382">
        <f t="shared" si="52"/>
        <v>0</v>
      </c>
      <c r="M382">
        <v>4048</v>
      </c>
      <c r="N382">
        <v>7</v>
      </c>
      <c r="O382" s="7" t="s">
        <v>376</v>
      </c>
      <c r="P382" s="6">
        <v>301833.64</v>
      </c>
      <c r="Q382" s="6">
        <v>-26255.29</v>
      </c>
      <c r="R382" s="17">
        <f t="shared" si="58"/>
        <v>-8.6999999999999994E-2</v>
      </c>
      <c r="S382" s="6">
        <f t="shared" si="59"/>
        <v>26255.29</v>
      </c>
      <c r="T382" s="6">
        <f t="shared" si="60"/>
        <v>17591.04</v>
      </c>
    </row>
    <row r="383" spans="1:20" x14ac:dyDescent="0.2">
      <c r="A383">
        <v>4049</v>
      </c>
      <c r="B383">
        <v>7</v>
      </c>
      <c r="C383" s="7" t="s">
        <v>377</v>
      </c>
      <c r="D383" s="21">
        <v>1123032.04</v>
      </c>
      <c r="E383" s="21">
        <v>-97711.88</v>
      </c>
      <c r="F383" s="17">
        <f t="shared" si="57"/>
        <v>-8.7007206000000004E-2</v>
      </c>
      <c r="G383" s="21">
        <f t="shared" si="54"/>
        <v>97711.88</v>
      </c>
      <c r="H383" s="46">
        <f t="shared" si="55"/>
        <v>65466.96</v>
      </c>
      <c r="I383" s="43">
        <v>97688.02</v>
      </c>
      <c r="J383" s="43">
        <f t="shared" si="56"/>
        <v>23.860000000000582</v>
      </c>
      <c r="K383" s="43"/>
      <c r="L383">
        <f t="shared" si="52"/>
        <v>0</v>
      </c>
      <c r="M383">
        <v>4049</v>
      </c>
      <c r="N383">
        <v>7</v>
      </c>
      <c r="O383" s="7" t="s">
        <v>897</v>
      </c>
      <c r="P383" s="6">
        <v>1123032.04</v>
      </c>
      <c r="Q383" s="6">
        <v>-97688.02</v>
      </c>
      <c r="R383" s="17">
        <f t="shared" ref="R383:R414" si="61">IF(P383&gt;0,ROUND(Q383/P383,3),"na   ")</f>
        <v>-8.6999999999999994E-2</v>
      </c>
      <c r="S383" s="6">
        <f t="shared" ref="S383:S414" si="62">Q383*-1</f>
        <v>97688.02</v>
      </c>
      <c r="T383" s="6">
        <f t="shared" ref="T383:T414" si="63">ROUND(S383*0.67,2)</f>
        <v>65450.97</v>
      </c>
    </row>
    <row r="384" spans="1:20" x14ac:dyDescent="0.2">
      <c r="A384">
        <v>4050</v>
      </c>
      <c r="B384">
        <v>7</v>
      </c>
      <c r="C384" s="7" t="s">
        <v>378</v>
      </c>
      <c r="D384" s="21">
        <v>542033.80000000005</v>
      </c>
      <c r="E384" s="21">
        <v>-47160.84</v>
      </c>
      <c r="F384" s="17">
        <f t="shared" si="57"/>
        <v>-8.7007193999999996E-2</v>
      </c>
      <c r="G384" s="21">
        <f t="shared" si="54"/>
        <v>47160.84</v>
      </c>
      <c r="H384" s="46">
        <f t="shared" si="55"/>
        <v>31597.759999999998</v>
      </c>
      <c r="I384" s="43">
        <v>47149.33</v>
      </c>
      <c r="J384" s="43">
        <f t="shared" si="56"/>
        <v>11.509999999994761</v>
      </c>
      <c r="K384" s="43"/>
      <c r="L384">
        <f t="shared" si="52"/>
        <v>0</v>
      </c>
      <c r="M384">
        <v>4050</v>
      </c>
      <c r="N384">
        <v>7</v>
      </c>
      <c r="O384" s="7" t="s">
        <v>898</v>
      </c>
      <c r="P384" s="6">
        <v>542033.80000000005</v>
      </c>
      <c r="Q384" s="6">
        <v>-47149.33</v>
      </c>
      <c r="R384" s="17">
        <f t="shared" si="61"/>
        <v>-8.6999999999999994E-2</v>
      </c>
      <c r="S384" s="6">
        <f t="shared" si="62"/>
        <v>47149.33</v>
      </c>
      <c r="T384" s="6">
        <f t="shared" si="63"/>
        <v>31590.05</v>
      </c>
    </row>
    <row r="385" spans="1:20" x14ac:dyDescent="0.2">
      <c r="A385">
        <v>4052</v>
      </c>
      <c r="B385">
        <v>7</v>
      </c>
      <c r="C385" s="7" t="s">
        <v>379</v>
      </c>
      <c r="D385" s="21">
        <v>984488.11</v>
      </c>
      <c r="E385" s="21">
        <v>-85657.56</v>
      </c>
      <c r="F385" s="17">
        <f t="shared" si="57"/>
        <v>-8.7007206200000006E-2</v>
      </c>
      <c r="G385" s="21">
        <f t="shared" si="54"/>
        <v>85657.56</v>
      </c>
      <c r="H385" s="46">
        <f t="shared" si="55"/>
        <v>57390.57</v>
      </c>
      <c r="I385" s="43">
        <v>85636.64</v>
      </c>
      <c r="J385" s="43">
        <f t="shared" si="56"/>
        <v>20.919999999998254</v>
      </c>
      <c r="K385" s="43"/>
      <c r="L385">
        <f t="shared" si="52"/>
        <v>0</v>
      </c>
      <c r="M385">
        <v>4052</v>
      </c>
      <c r="N385">
        <v>7</v>
      </c>
      <c r="O385" s="7" t="s">
        <v>900</v>
      </c>
      <c r="P385" s="6">
        <v>984488.11</v>
      </c>
      <c r="Q385" s="6">
        <v>-85636.64</v>
      </c>
      <c r="R385" s="17">
        <f t="shared" si="61"/>
        <v>-8.6999999999999994E-2</v>
      </c>
      <c r="S385" s="6">
        <f t="shared" si="62"/>
        <v>85636.64</v>
      </c>
      <c r="T385" s="6">
        <f t="shared" si="63"/>
        <v>57376.55</v>
      </c>
    </row>
    <row r="386" spans="1:20" x14ac:dyDescent="0.2">
      <c r="A386">
        <v>4053</v>
      </c>
      <c r="B386">
        <v>7</v>
      </c>
      <c r="C386" s="7" t="s">
        <v>380</v>
      </c>
      <c r="D386" s="21">
        <v>1179920.97</v>
      </c>
      <c r="E386" s="21">
        <v>-102661.62</v>
      </c>
      <c r="F386" s="17">
        <f t="shared" si="57"/>
        <v>-8.7007200199999996E-2</v>
      </c>
      <c r="G386" s="21">
        <f t="shared" si="54"/>
        <v>102661.62</v>
      </c>
      <c r="H386" s="46">
        <f t="shared" si="55"/>
        <v>68783.289999999994</v>
      </c>
      <c r="I386" s="43">
        <v>102636.56</v>
      </c>
      <c r="J386" s="43">
        <f t="shared" si="56"/>
        <v>25.059999999997672</v>
      </c>
      <c r="K386" s="43"/>
      <c r="L386">
        <f t="shared" si="52"/>
        <v>0</v>
      </c>
      <c r="M386">
        <v>4053</v>
      </c>
      <c r="N386">
        <v>7</v>
      </c>
      <c r="O386" s="7" t="s">
        <v>901</v>
      </c>
      <c r="P386" s="6">
        <v>1179920.97</v>
      </c>
      <c r="Q386" s="6">
        <v>-102636.56</v>
      </c>
      <c r="R386" s="17">
        <f t="shared" si="61"/>
        <v>-8.6999999999999994E-2</v>
      </c>
      <c r="S386" s="6">
        <f t="shared" si="62"/>
        <v>102636.56</v>
      </c>
      <c r="T386" s="6">
        <f t="shared" si="63"/>
        <v>68766.5</v>
      </c>
    </row>
    <row r="387" spans="1:20" x14ac:dyDescent="0.2">
      <c r="A387">
        <v>4054</v>
      </c>
      <c r="B387">
        <v>7</v>
      </c>
      <c r="C387" s="7" t="s">
        <v>381</v>
      </c>
      <c r="D387" s="21">
        <v>293368.52</v>
      </c>
      <c r="E387" s="21">
        <v>-25525.17</v>
      </c>
      <c r="F387" s="17">
        <f t="shared" si="57"/>
        <v>-8.7007188099999994E-2</v>
      </c>
      <c r="G387" s="21">
        <f t="shared" si="54"/>
        <v>25525.17</v>
      </c>
      <c r="H387" s="46">
        <f t="shared" si="55"/>
        <v>17101.86</v>
      </c>
      <c r="I387" s="43">
        <v>25518.94</v>
      </c>
      <c r="J387" s="43">
        <f t="shared" si="56"/>
        <v>6.2299999999995634</v>
      </c>
      <c r="K387" s="43"/>
      <c r="L387">
        <f t="shared" si="52"/>
        <v>0</v>
      </c>
      <c r="M387">
        <v>4054</v>
      </c>
      <c r="N387">
        <v>7</v>
      </c>
      <c r="O387" s="7" t="s">
        <v>381</v>
      </c>
      <c r="P387" s="6">
        <v>293368.52</v>
      </c>
      <c r="Q387" s="6">
        <v>-25518.94</v>
      </c>
      <c r="R387" s="17">
        <f t="shared" si="61"/>
        <v>-8.6999999999999994E-2</v>
      </c>
      <c r="S387" s="6">
        <f t="shared" si="62"/>
        <v>25518.94</v>
      </c>
      <c r="T387" s="6">
        <f t="shared" si="63"/>
        <v>17097.689999999999</v>
      </c>
    </row>
    <row r="388" spans="1:20" x14ac:dyDescent="0.2">
      <c r="A388">
        <v>4055</v>
      </c>
      <c r="B388">
        <v>7</v>
      </c>
      <c r="C388" s="7" t="s">
        <v>382</v>
      </c>
      <c r="D388" s="21">
        <v>851317.02</v>
      </c>
      <c r="E388" s="21">
        <v>-74070.710000000006</v>
      </c>
      <c r="F388" s="17">
        <f t="shared" si="57"/>
        <v>-8.7007199699999996E-2</v>
      </c>
      <c r="G388" s="21">
        <f t="shared" si="54"/>
        <v>74070.710000000006</v>
      </c>
      <c r="H388" s="46">
        <f t="shared" si="55"/>
        <v>49627.38</v>
      </c>
      <c r="I388" s="43">
        <v>74052.63</v>
      </c>
      <c r="J388" s="43">
        <f t="shared" si="56"/>
        <v>18.080000000001746</v>
      </c>
      <c r="K388" s="43"/>
      <c r="L388">
        <f t="shared" si="52"/>
        <v>0</v>
      </c>
      <c r="M388">
        <v>4055</v>
      </c>
      <c r="N388">
        <v>7</v>
      </c>
      <c r="O388" s="7" t="s">
        <v>382</v>
      </c>
      <c r="P388" s="6">
        <v>851317.02</v>
      </c>
      <c r="Q388" s="6">
        <v>-74052.63</v>
      </c>
      <c r="R388" s="17">
        <f t="shared" si="61"/>
        <v>-8.6999999999999994E-2</v>
      </c>
      <c r="S388" s="6">
        <f t="shared" si="62"/>
        <v>74052.63</v>
      </c>
      <c r="T388" s="6">
        <f t="shared" si="63"/>
        <v>49615.26</v>
      </c>
    </row>
    <row r="389" spans="1:20" x14ac:dyDescent="0.2">
      <c r="A389">
        <v>4056</v>
      </c>
      <c r="B389">
        <v>7</v>
      </c>
      <c r="C389" s="7" t="s">
        <v>383</v>
      </c>
      <c r="D389" s="21">
        <v>825622.75</v>
      </c>
      <c r="E389" s="21">
        <v>-71835.13</v>
      </c>
      <c r="F389" s="17">
        <f t="shared" si="57"/>
        <v>-8.7007207599999997E-2</v>
      </c>
      <c r="G389" s="21">
        <f t="shared" si="54"/>
        <v>71835.13</v>
      </c>
      <c r="H389" s="46">
        <f t="shared" si="55"/>
        <v>48129.54</v>
      </c>
      <c r="I389" s="43">
        <v>71817.59</v>
      </c>
      <c r="J389" s="43">
        <f t="shared" si="56"/>
        <v>17.540000000008149</v>
      </c>
      <c r="K389" s="43"/>
      <c r="L389">
        <f t="shared" si="52"/>
        <v>0</v>
      </c>
      <c r="M389">
        <v>4056</v>
      </c>
      <c r="N389">
        <v>7</v>
      </c>
      <c r="O389" s="7" t="s">
        <v>902</v>
      </c>
      <c r="P389" s="6">
        <v>825622.75</v>
      </c>
      <c r="Q389" s="6">
        <v>-71817.59</v>
      </c>
      <c r="R389" s="17">
        <f t="shared" si="61"/>
        <v>-8.6999999999999994E-2</v>
      </c>
      <c r="S389" s="6">
        <f t="shared" si="62"/>
        <v>71817.59</v>
      </c>
      <c r="T389" s="6">
        <f t="shared" si="63"/>
        <v>48117.79</v>
      </c>
    </row>
    <row r="390" spans="1:20" x14ac:dyDescent="0.2">
      <c r="A390">
        <v>4057</v>
      </c>
      <c r="B390">
        <v>7</v>
      </c>
      <c r="C390" s="7" t="s">
        <v>384</v>
      </c>
      <c r="D390" s="21">
        <v>947473.25</v>
      </c>
      <c r="E390" s="21">
        <v>-82437</v>
      </c>
      <c r="F390" s="17">
        <f t="shared" si="57"/>
        <v>-8.7007205700000007E-2</v>
      </c>
      <c r="G390" s="21">
        <f t="shared" si="54"/>
        <v>82437</v>
      </c>
      <c r="H390" s="46">
        <f t="shared" si="55"/>
        <v>55232.79</v>
      </c>
      <c r="I390" s="43">
        <v>82416.87</v>
      </c>
      <c r="J390" s="43">
        <f t="shared" si="56"/>
        <v>20.130000000004657</v>
      </c>
      <c r="K390" s="43"/>
      <c r="L390">
        <f t="shared" si="52"/>
        <v>0</v>
      </c>
      <c r="M390">
        <v>4057</v>
      </c>
      <c r="N390">
        <v>7</v>
      </c>
      <c r="O390" s="7" t="s">
        <v>384</v>
      </c>
      <c r="P390" s="6">
        <v>947473.25</v>
      </c>
      <c r="Q390" s="6">
        <v>-82416.87</v>
      </c>
      <c r="R390" s="17">
        <f t="shared" si="61"/>
        <v>-8.6999999999999994E-2</v>
      </c>
      <c r="S390" s="6">
        <f t="shared" si="62"/>
        <v>82416.87</v>
      </c>
      <c r="T390" s="6">
        <f t="shared" si="63"/>
        <v>55219.3</v>
      </c>
    </row>
    <row r="391" spans="1:20" x14ac:dyDescent="0.2">
      <c r="A391">
        <v>4058</v>
      </c>
      <c r="B391">
        <v>7</v>
      </c>
      <c r="C391" s="7" t="s">
        <v>385</v>
      </c>
      <c r="D391" s="21">
        <v>1020027.38</v>
      </c>
      <c r="E391" s="21">
        <v>-88749.73</v>
      </c>
      <c r="F391" s="17">
        <f t="shared" si="57"/>
        <v>-8.7007203699999994E-2</v>
      </c>
      <c r="G391" s="21">
        <f t="shared" si="54"/>
        <v>88749.73</v>
      </c>
      <c r="H391" s="46">
        <f t="shared" si="55"/>
        <v>59462.32</v>
      </c>
      <c r="I391" s="43">
        <v>88728.06</v>
      </c>
      <c r="J391" s="43">
        <f t="shared" si="56"/>
        <v>21.669999999998254</v>
      </c>
      <c r="K391" s="43"/>
      <c r="L391">
        <f t="shared" si="52"/>
        <v>0</v>
      </c>
      <c r="M391">
        <v>4058</v>
      </c>
      <c r="N391">
        <v>7</v>
      </c>
      <c r="O391" s="7" t="s">
        <v>903</v>
      </c>
      <c r="P391" s="6">
        <v>1020027.38</v>
      </c>
      <c r="Q391" s="6">
        <v>-88728.06</v>
      </c>
      <c r="R391" s="17">
        <f t="shared" si="61"/>
        <v>-8.6999999999999994E-2</v>
      </c>
      <c r="S391" s="6">
        <f t="shared" si="62"/>
        <v>88728.06</v>
      </c>
      <c r="T391" s="6">
        <f t="shared" si="63"/>
        <v>59447.8</v>
      </c>
    </row>
    <row r="392" spans="1:20" x14ac:dyDescent="0.2">
      <c r="A392">
        <v>4059</v>
      </c>
      <c r="B392">
        <v>7</v>
      </c>
      <c r="C392" s="7" t="s">
        <v>386</v>
      </c>
      <c r="D392" s="21">
        <v>674541.83</v>
      </c>
      <c r="E392" s="21">
        <v>-58690</v>
      </c>
      <c r="F392" s="17">
        <f t="shared" si="57"/>
        <v>-8.7007206099999998E-2</v>
      </c>
      <c r="G392" s="21">
        <f t="shared" si="54"/>
        <v>58690</v>
      </c>
      <c r="H392" s="46">
        <f t="shared" si="55"/>
        <v>39322.300000000003</v>
      </c>
      <c r="I392" s="43">
        <v>58675.67</v>
      </c>
      <c r="J392" s="43">
        <f t="shared" si="56"/>
        <v>14.330000000001746</v>
      </c>
      <c r="K392" s="43"/>
      <c r="L392">
        <f t="shared" si="52"/>
        <v>0</v>
      </c>
      <c r="M392">
        <v>4059</v>
      </c>
      <c r="N392">
        <v>7</v>
      </c>
      <c r="O392" s="7" t="s">
        <v>904</v>
      </c>
      <c r="P392" s="6">
        <v>674541.83</v>
      </c>
      <c r="Q392" s="6">
        <v>-58675.67</v>
      </c>
      <c r="R392" s="17">
        <f t="shared" si="61"/>
        <v>-8.6999999999999994E-2</v>
      </c>
      <c r="S392" s="6">
        <f t="shared" si="62"/>
        <v>58675.67</v>
      </c>
      <c r="T392" s="6">
        <f t="shared" si="63"/>
        <v>39312.699999999997</v>
      </c>
    </row>
    <row r="393" spans="1:20" x14ac:dyDescent="0.2">
      <c r="A393">
        <v>4061</v>
      </c>
      <c r="B393">
        <v>7</v>
      </c>
      <c r="C393" s="7" t="s">
        <v>387</v>
      </c>
      <c r="D393" s="21">
        <v>842208.65</v>
      </c>
      <c r="E393" s="21">
        <v>-73278.22</v>
      </c>
      <c r="F393" s="17">
        <f t="shared" si="57"/>
        <v>-8.7007204199999993E-2</v>
      </c>
      <c r="G393" s="21">
        <f t="shared" si="54"/>
        <v>73278.22</v>
      </c>
      <c r="H393" s="46">
        <f t="shared" si="55"/>
        <v>49096.41</v>
      </c>
      <c r="I393" s="43">
        <v>73260.33</v>
      </c>
      <c r="J393" s="43">
        <f t="shared" si="56"/>
        <v>17.889999999999418</v>
      </c>
      <c r="K393" s="43"/>
      <c r="L393">
        <f t="shared" si="52"/>
        <v>0</v>
      </c>
      <c r="M393">
        <v>4061</v>
      </c>
      <c r="N393">
        <v>7</v>
      </c>
      <c r="O393" s="7" t="s">
        <v>387</v>
      </c>
      <c r="P393" s="6">
        <v>842208.65</v>
      </c>
      <c r="Q393" s="6">
        <v>-73260.33</v>
      </c>
      <c r="R393" s="17">
        <f t="shared" si="61"/>
        <v>-8.6999999999999994E-2</v>
      </c>
      <c r="S393" s="6">
        <f t="shared" si="62"/>
        <v>73260.33</v>
      </c>
      <c r="T393" s="6">
        <f t="shared" si="63"/>
        <v>49084.42</v>
      </c>
    </row>
    <row r="394" spans="1:20" x14ac:dyDescent="0.2">
      <c r="A394">
        <v>4064</v>
      </c>
      <c r="B394">
        <v>7</v>
      </c>
      <c r="C394" s="7" t="s">
        <v>388</v>
      </c>
      <c r="D394" s="21">
        <v>689530.15</v>
      </c>
      <c r="E394" s="21">
        <v>-59994.09</v>
      </c>
      <c r="F394" s="17">
        <f t="shared" si="57"/>
        <v>-8.7007203399999997E-2</v>
      </c>
      <c r="G394" s="21">
        <f t="shared" si="54"/>
        <v>59994.09</v>
      </c>
      <c r="H394" s="46">
        <f t="shared" si="55"/>
        <v>40196.04</v>
      </c>
      <c r="I394" s="43">
        <v>59979.44</v>
      </c>
      <c r="J394" s="43">
        <f t="shared" si="56"/>
        <v>14.649999999994179</v>
      </c>
      <c r="K394" s="43"/>
      <c r="L394">
        <f t="shared" si="52"/>
        <v>0</v>
      </c>
      <c r="M394">
        <v>4064</v>
      </c>
      <c r="N394">
        <v>7</v>
      </c>
      <c r="O394" s="7" t="s">
        <v>907</v>
      </c>
      <c r="P394" s="6">
        <v>689530.15</v>
      </c>
      <c r="Q394" s="6">
        <v>-59979.44</v>
      </c>
      <c r="R394" s="17">
        <f t="shared" si="61"/>
        <v>-8.6999999999999994E-2</v>
      </c>
      <c r="S394" s="6">
        <f t="shared" si="62"/>
        <v>59979.44</v>
      </c>
      <c r="T394" s="6">
        <f t="shared" si="63"/>
        <v>40186.22</v>
      </c>
    </row>
    <row r="395" spans="1:20" x14ac:dyDescent="0.2">
      <c r="A395">
        <v>4066</v>
      </c>
      <c r="B395">
        <v>7</v>
      </c>
      <c r="C395" s="7" t="s">
        <v>389</v>
      </c>
      <c r="D395" s="21">
        <v>627826.12</v>
      </c>
      <c r="E395" s="21">
        <v>-54625.39</v>
      </c>
      <c r="F395" s="17">
        <f t="shared" si="57"/>
        <v>-8.7007195600000004E-2</v>
      </c>
      <c r="G395" s="21">
        <f t="shared" si="54"/>
        <v>54625.39</v>
      </c>
      <c r="H395" s="46">
        <f t="shared" si="55"/>
        <v>36599.01</v>
      </c>
      <c r="I395" s="43">
        <v>54612.06</v>
      </c>
      <c r="J395" s="43">
        <f t="shared" si="56"/>
        <v>13.330000000001746</v>
      </c>
      <c r="K395" s="43"/>
      <c r="L395">
        <f t="shared" si="52"/>
        <v>0</v>
      </c>
      <c r="M395">
        <v>4066</v>
      </c>
      <c r="N395">
        <v>7</v>
      </c>
      <c r="O395" s="7" t="s">
        <v>909</v>
      </c>
      <c r="P395" s="6">
        <v>627826.12</v>
      </c>
      <c r="Q395" s="6">
        <v>-54612.06</v>
      </c>
      <c r="R395" s="17">
        <f t="shared" si="61"/>
        <v>-8.6999999999999994E-2</v>
      </c>
      <c r="S395" s="6">
        <f t="shared" si="62"/>
        <v>54612.06</v>
      </c>
      <c r="T395" s="6">
        <f t="shared" si="63"/>
        <v>36590.080000000002</v>
      </c>
    </row>
    <row r="396" spans="1:20" x14ac:dyDescent="0.2">
      <c r="A396">
        <v>4067</v>
      </c>
      <c r="B396">
        <v>7</v>
      </c>
      <c r="C396" s="7" t="s">
        <v>390</v>
      </c>
      <c r="D396" s="21">
        <v>2394296.2599999998</v>
      </c>
      <c r="E396" s="21">
        <v>-208321.02</v>
      </c>
      <c r="F396" s="17">
        <f t="shared" si="57"/>
        <v>-8.7007202699999994E-2</v>
      </c>
      <c r="G396" s="21">
        <f t="shared" si="54"/>
        <v>208321.02</v>
      </c>
      <c r="H396" s="46">
        <f t="shared" si="55"/>
        <v>139575.07999999999</v>
      </c>
      <c r="I396" s="43">
        <v>208270.16</v>
      </c>
      <c r="J396" s="43">
        <f t="shared" si="56"/>
        <v>50.85999999998603</v>
      </c>
      <c r="K396" s="43"/>
      <c r="L396">
        <f t="shared" si="52"/>
        <v>0</v>
      </c>
      <c r="M396">
        <v>4067</v>
      </c>
      <c r="N396">
        <v>7</v>
      </c>
      <c r="O396" s="7" t="s">
        <v>390</v>
      </c>
      <c r="P396" s="6">
        <v>2394296.2599999998</v>
      </c>
      <c r="Q396" s="6">
        <v>-208270.16</v>
      </c>
      <c r="R396" s="17">
        <f t="shared" si="61"/>
        <v>-8.6999999999999994E-2</v>
      </c>
      <c r="S396" s="6">
        <f t="shared" si="62"/>
        <v>208270.16</v>
      </c>
      <c r="T396" s="6">
        <f t="shared" si="63"/>
        <v>139541.01</v>
      </c>
    </row>
    <row r="397" spans="1:20" x14ac:dyDescent="0.2">
      <c r="A397">
        <v>4068</v>
      </c>
      <c r="B397">
        <v>7</v>
      </c>
      <c r="C397" s="7" t="s">
        <v>391</v>
      </c>
      <c r="D397" s="21">
        <v>2411697.84</v>
      </c>
      <c r="E397" s="21">
        <v>-209835.08</v>
      </c>
      <c r="F397" s="17">
        <f t="shared" si="57"/>
        <v>-8.7007201500000006E-2</v>
      </c>
      <c r="G397" s="21">
        <f t="shared" ref="G397:G460" si="64">E397*-1</f>
        <v>209835.08</v>
      </c>
      <c r="H397" s="46">
        <f t="shared" ref="H397:H460" si="65">ROUND(G397*0.67,2)</f>
        <v>140589.5</v>
      </c>
      <c r="I397" s="43">
        <v>209783.85</v>
      </c>
      <c r="J397" s="43">
        <f t="shared" si="56"/>
        <v>51.229999999981374</v>
      </c>
      <c r="K397" s="43"/>
      <c r="L397">
        <f t="shared" si="52"/>
        <v>0</v>
      </c>
      <c r="M397">
        <v>4068</v>
      </c>
      <c r="N397">
        <v>7</v>
      </c>
      <c r="O397" s="7" t="s">
        <v>910</v>
      </c>
      <c r="P397" s="6">
        <v>2411697.84</v>
      </c>
      <c r="Q397" s="6">
        <v>-209783.85</v>
      </c>
      <c r="R397" s="17">
        <f t="shared" si="61"/>
        <v>-8.6999999999999994E-2</v>
      </c>
      <c r="S397" s="6">
        <f t="shared" si="62"/>
        <v>209783.85</v>
      </c>
      <c r="T397" s="6">
        <f t="shared" si="63"/>
        <v>140555.18</v>
      </c>
    </row>
    <row r="398" spans="1:20" x14ac:dyDescent="0.2">
      <c r="A398">
        <v>4070</v>
      </c>
      <c r="B398">
        <v>7</v>
      </c>
      <c r="C398" s="7" t="s">
        <v>392</v>
      </c>
      <c r="D398" s="21">
        <v>4364606.84</v>
      </c>
      <c r="E398" s="21">
        <v>-379752.23</v>
      </c>
      <c r="F398" s="17">
        <f t="shared" si="57"/>
        <v>-8.7007202199999994E-2</v>
      </c>
      <c r="G398" s="21">
        <f t="shared" si="64"/>
        <v>379752.23</v>
      </c>
      <c r="H398" s="46">
        <f t="shared" si="65"/>
        <v>254433.99</v>
      </c>
      <c r="I398" s="43">
        <v>379659.51</v>
      </c>
      <c r="J398" s="43">
        <f t="shared" si="56"/>
        <v>92.71999999997206</v>
      </c>
      <c r="K398" s="43"/>
      <c r="L398">
        <f t="shared" ref="L398:L461" si="66">M398-A398</f>
        <v>0</v>
      </c>
      <c r="M398">
        <v>4070</v>
      </c>
      <c r="N398">
        <v>7</v>
      </c>
      <c r="O398" s="7" t="s">
        <v>912</v>
      </c>
      <c r="P398" s="6">
        <v>4364606.84</v>
      </c>
      <c r="Q398" s="6">
        <v>-379659.51</v>
      </c>
      <c r="R398" s="17">
        <f t="shared" si="61"/>
        <v>-8.6999999999999994E-2</v>
      </c>
      <c r="S398" s="6">
        <f t="shared" si="62"/>
        <v>379659.51</v>
      </c>
      <c r="T398" s="6">
        <f t="shared" si="63"/>
        <v>254371.87</v>
      </c>
    </row>
    <row r="399" spans="1:20" x14ac:dyDescent="0.2">
      <c r="A399">
        <v>4073</v>
      </c>
      <c r="B399">
        <v>7</v>
      </c>
      <c r="C399" s="7" t="s">
        <v>393</v>
      </c>
      <c r="D399" s="21">
        <v>2200314.9</v>
      </c>
      <c r="E399" s="21">
        <v>-191443.24</v>
      </c>
      <c r="F399" s="17">
        <f t="shared" si="57"/>
        <v>-8.7007200699999995E-2</v>
      </c>
      <c r="G399" s="21">
        <f t="shared" si="64"/>
        <v>191443.24</v>
      </c>
      <c r="H399" s="46">
        <f t="shared" si="65"/>
        <v>128266.97</v>
      </c>
      <c r="I399" s="43">
        <v>191396.5</v>
      </c>
      <c r="J399" s="43">
        <f t="shared" ref="J399:J462" si="67">G399-I399</f>
        <v>46.739999999990687</v>
      </c>
      <c r="K399" s="43"/>
      <c r="L399">
        <f t="shared" si="66"/>
        <v>0</v>
      </c>
      <c r="M399">
        <v>4073</v>
      </c>
      <c r="N399">
        <v>7</v>
      </c>
      <c r="O399" s="7" t="s">
        <v>914</v>
      </c>
      <c r="P399" s="6">
        <v>2200314.9</v>
      </c>
      <c r="Q399" s="6">
        <v>-191396.5</v>
      </c>
      <c r="R399" s="17">
        <f t="shared" si="61"/>
        <v>-8.6999999999999994E-2</v>
      </c>
      <c r="S399" s="6">
        <f t="shared" si="62"/>
        <v>191396.5</v>
      </c>
      <c r="T399" s="6">
        <f t="shared" si="63"/>
        <v>128235.66</v>
      </c>
    </row>
    <row r="400" spans="1:20" x14ac:dyDescent="0.2">
      <c r="A400">
        <v>4074</v>
      </c>
      <c r="B400">
        <v>7</v>
      </c>
      <c r="C400" s="7" t="s">
        <v>394</v>
      </c>
      <c r="D400" s="21">
        <v>1513743.39</v>
      </c>
      <c r="E400" s="21">
        <v>-131706.57999999999</v>
      </c>
      <c r="F400" s="17">
        <f t="shared" ref="F400:F463" si="68">IF(D400&gt;0,ROUND(E400/D400,10),"na   ")</f>
        <v>-8.7007204000000005E-2</v>
      </c>
      <c r="G400" s="21">
        <f t="shared" si="64"/>
        <v>131706.57999999999</v>
      </c>
      <c r="H400" s="46">
        <f t="shared" si="65"/>
        <v>88243.41</v>
      </c>
      <c r="I400" s="43">
        <v>131674.42000000001</v>
      </c>
      <c r="J400" s="43">
        <f t="shared" si="67"/>
        <v>32.159999999974389</v>
      </c>
      <c r="K400" s="43"/>
      <c r="L400">
        <f t="shared" si="66"/>
        <v>0</v>
      </c>
      <c r="M400">
        <v>4074</v>
      </c>
      <c r="N400">
        <v>7</v>
      </c>
      <c r="O400" s="7" t="s">
        <v>915</v>
      </c>
      <c r="P400" s="6">
        <v>1513743.39</v>
      </c>
      <c r="Q400" s="6">
        <v>-131674.42000000001</v>
      </c>
      <c r="R400" s="17">
        <f t="shared" si="61"/>
        <v>-8.6999999999999994E-2</v>
      </c>
      <c r="S400" s="6">
        <f t="shared" si="62"/>
        <v>131674.42000000001</v>
      </c>
      <c r="T400" s="6">
        <f t="shared" si="63"/>
        <v>88221.86</v>
      </c>
    </row>
    <row r="401" spans="1:20" x14ac:dyDescent="0.2">
      <c r="A401">
        <v>4075</v>
      </c>
      <c r="B401">
        <v>7</v>
      </c>
      <c r="C401" s="7" t="s">
        <v>395</v>
      </c>
      <c r="D401" s="21">
        <v>1285425.33</v>
      </c>
      <c r="E401" s="21">
        <v>-111841.26</v>
      </c>
      <c r="F401" s="17">
        <f t="shared" si="68"/>
        <v>-8.7007201000000006E-2</v>
      </c>
      <c r="G401" s="21">
        <f t="shared" si="64"/>
        <v>111841.26</v>
      </c>
      <c r="H401" s="46">
        <f t="shared" si="65"/>
        <v>74933.64</v>
      </c>
      <c r="I401" s="43">
        <v>111813.96</v>
      </c>
      <c r="J401" s="43">
        <f t="shared" si="67"/>
        <v>27.299999999988358</v>
      </c>
      <c r="K401" s="43"/>
      <c r="L401">
        <f t="shared" si="66"/>
        <v>0</v>
      </c>
      <c r="M401">
        <v>4075</v>
      </c>
      <c r="N401">
        <v>7</v>
      </c>
      <c r="O401" s="7" t="s">
        <v>916</v>
      </c>
      <c r="P401" s="6">
        <v>1285425.33</v>
      </c>
      <c r="Q401" s="6">
        <v>-111813.96</v>
      </c>
      <c r="R401" s="17">
        <f t="shared" si="61"/>
        <v>-8.6999999999999994E-2</v>
      </c>
      <c r="S401" s="6">
        <f t="shared" si="62"/>
        <v>111813.96</v>
      </c>
      <c r="T401" s="6">
        <f t="shared" si="63"/>
        <v>74915.350000000006</v>
      </c>
    </row>
    <row r="402" spans="1:20" x14ac:dyDescent="0.2">
      <c r="A402">
        <v>4077</v>
      </c>
      <c r="B402">
        <v>7</v>
      </c>
      <c r="C402" s="7" t="s">
        <v>396</v>
      </c>
      <c r="D402" s="21">
        <v>5206503.96</v>
      </c>
      <c r="E402" s="21">
        <v>-453003.34</v>
      </c>
      <c r="F402" s="17">
        <f t="shared" si="68"/>
        <v>-8.7007201699999995E-2</v>
      </c>
      <c r="G402" s="21">
        <f t="shared" si="64"/>
        <v>453003.34</v>
      </c>
      <c r="H402" s="46">
        <f t="shared" si="65"/>
        <v>303512.24</v>
      </c>
      <c r="I402" s="43">
        <v>452892.74</v>
      </c>
      <c r="J402" s="43">
        <f t="shared" si="67"/>
        <v>110.60000000003492</v>
      </c>
      <c r="K402" s="43"/>
      <c r="L402">
        <f t="shared" si="66"/>
        <v>0</v>
      </c>
      <c r="M402">
        <v>4077</v>
      </c>
      <c r="N402">
        <v>7</v>
      </c>
      <c r="O402" s="7" t="s">
        <v>918</v>
      </c>
      <c r="P402" s="6">
        <v>5206503.96</v>
      </c>
      <c r="Q402" s="6">
        <v>-452892.74</v>
      </c>
      <c r="R402" s="17">
        <f t="shared" si="61"/>
        <v>-8.6999999999999994E-2</v>
      </c>
      <c r="S402" s="6">
        <f t="shared" si="62"/>
        <v>452892.74</v>
      </c>
      <c r="T402" s="6">
        <f t="shared" si="63"/>
        <v>303438.14</v>
      </c>
    </row>
    <row r="403" spans="1:20" x14ac:dyDescent="0.2">
      <c r="A403">
        <v>4078</v>
      </c>
      <c r="B403">
        <v>7</v>
      </c>
      <c r="C403" s="7" t="s">
        <v>397</v>
      </c>
      <c r="D403" s="21">
        <v>3302331.86</v>
      </c>
      <c r="E403" s="21">
        <v>-287326.65999999997</v>
      </c>
      <c r="F403" s="17">
        <f t="shared" si="68"/>
        <v>-8.7007203399999997E-2</v>
      </c>
      <c r="G403" s="21">
        <f t="shared" si="64"/>
        <v>287326.65999999997</v>
      </c>
      <c r="H403" s="46">
        <f t="shared" si="65"/>
        <v>192508.86</v>
      </c>
      <c r="I403" s="43">
        <v>287256.5</v>
      </c>
      <c r="J403" s="43">
        <f t="shared" si="67"/>
        <v>70.159999999974389</v>
      </c>
      <c r="K403" s="43"/>
      <c r="L403">
        <f t="shared" si="66"/>
        <v>0</v>
      </c>
      <c r="M403">
        <v>4078</v>
      </c>
      <c r="N403">
        <v>7</v>
      </c>
      <c r="O403" s="7" t="s">
        <v>919</v>
      </c>
      <c r="P403" s="6">
        <v>3302331.86</v>
      </c>
      <c r="Q403" s="6">
        <v>-287256.5</v>
      </c>
      <c r="R403" s="17">
        <f t="shared" si="61"/>
        <v>-8.6999999999999994E-2</v>
      </c>
      <c r="S403" s="6">
        <f t="shared" si="62"/>
        <v>287256.5</v>
      </c>
      <c r="T403" s="6">
        <f t="shared" si="63"/>
        <v>192461.86</v>
      </c>
    </row>
    <row r="404" spans="1:20" x14ac:dyDescent="0.2">
      <c r="A404">
        <v>4079</v>
      </c>
      <c r="B404">
        <v>7</v>
      </c>
      <c r="C404" s="7" t="s">
        <v>398</v>
      </c>
      <c r="D404" s="21">
        <v>765874.68</v>
      </c>
      <c r="E404" s="21">
        <v>-66636.61</v>
      </c>
      <c r="F404" s="17">
        <f t="shared" si="68"/>
        <v>-8.7007198100000002E-2</v>
      </c>
      <c r="G404" s="21">
        <f t="shared" si="64"/>
        <v>66636.61</v>
      </c>
      <c r="H404" s="46">
        <f t="shared" si="65"/>
        <v>44646.53</v>
      </c>
      <c r="I404" s="43">
        <v>66620.34</v>
      </c>
      <c r="J404" s="43">
        <f t="shared" si="67"/>
        <v>16.270000000004075</v>
      </c>
      <c r="K404" s="43"/>
      <c r="L404">
        <f t="shared" si="66"/>
        <v>0</v>
      </c>
      <c r="M404">
        <v>4079</v>
      </c>
      <c r="N404">
        <v>7</v>
      </c>
      <c r="O404" s="7" t="s">
        <v>920</v>
      </c>
      <c r="P404" s="6">
        <v>765874.68</v>
      </c>
      <c r="Q404" s="6">
        <v>-66620.34</v>
      </c>
      <c r="R404" s="17">
        <f t="shared" si="61"/>
        <v>-8.6999999999999994E-2</v>
      </c>
      <c r="S404" s="6">
        <f t="shared" si="62"/>
        <v>66620.34</v>
      </c>
      <c r="T404" s="6">
        <f t="shared" si="63"/>
        <v>44635.63</v>
      </c>
    </row>
    <row r="405" spans="1:20" x14ac:dyDescent="0.2">
      <c r="A405">
        <v>4080</v>
      </c>
      <c r="B405">
        <v>7</v>
      </c>
      <c r="C405" s="7" t="s">
        <v>399</v>
      </c>
      <c r="D405" s="21">
        <v>422512.45</v>
      </c>
      <c r="E405" s="21">
        <v>-36761.629999999997</v>
      </c>
      <c r="F405" s="17">
        <f t="shared" si="68"/>
        <v>-8.7007211299999998E-2</v>
      </c>
      <c r="G405" s="21">
        <f t="shared" si="64"/>
        <v>36761.629999999997</v>
      </c>
      <c r="H405" s="46">
        <f t="shared" si="65"/>
        <v>24630.29</v>
      </c>
      <c r="I405" s="43">
        <v>36752.65</v>
      </c>
      <c r="J405" s="43">
        <f t="shared" si="67"/>
        <v>8.9799999999959255</v>
      </c>
      <c r="K405" s="43"/>
      <c r="L405">
        <f t="shared" si="66"/>
        <v>0</v>
      </c>
      <c r="M405">
        <v>4080</v>
      </c>
      <c r="N405">
        <v>7</v>
      </c>
      <c r="O405" s="7" t="s">
        <v>921</v>
      </c>
      <c r="P405" s="6">
        <v>422512.45</v>
      </c>
      <c r="Q405" s="6">
        <v>-36752.65</v>
      </c>
      <c r="R405" s="17">
        <f t="shared" si="61"/>
        <v>-8.6999999999999994E-2</v>
      </c>
      <c r="S405" s="6">
        <f t="shared" si="62"/>
        <v>36752.65</v>
      </c>
      <c r="T405" s="6">
        <f t="shared" si="63"/>
        <v>24624.28</v>
      </c>
    </row>
    <row r="406" spans="1:20" x14ac:dyDescent="0.2">
      <c r="A406">
        <v>4081</v>
      </c>
      <c r="B406">
        <v>7</v>
      </c>
      <c r="C406" s="7" t="s">
        <v>400</v>
      </c>
      <c r="D406" s="21">
        <v>443603.92</v>
      </c>
      <c r="E406" s="21">
        <v>-38596.74</v>
      </c>
      <c r="F406" s="17">
        <f t="shared" si="68"/>
        <v>-8.7007211299999998E-2</v>
      </c>
      <c r="G406" s="21">
        <f t="shared" si="64"/>
        <v>38596.74</v>
      </c>
      <c r="H406" s="46">
        <f t="shared" si="65"/>
        <v>25859.82</v>
      </c>
      <c r="I406" s="43">
        <v>38587.31</v>
      </c>
      <c r="J406" s="43">
        <f t="shared" si="67"/>
        <v>9.430000000000291</v>
      </c>
      <c r="K406" s="43"/>
      <c r="L406">
        <f t="shared" si="66"/>
        <v>0</v>
      </c>
      <c r="M406">
        <v>4081</v>
      </c>
      <c r="N406">
        <v>7</v>
      </c>
      <c r="O406" s="7" t="s">
        <v>922</v>
      </c>
      <c r="P406" s="6">
        <v>443603.92</v>
      </c>
      <c r="Q406" s="6">
        <v>-38587.31</v>
      </c>
      <c r="R406" s="17">
        <f t="shared" si="61"/>
        <v>-8.6999999999999994E-2</v>
      </c>
      <c r="S406" s="6">
        <f t="shared" si="62"/>
        <v>38587.31</v>
      </c>
      <c r="T406" s="6">
        <f t="shared" si="63"/>
        <v>25853.5</v>
      </c>
    </row>
    <row r="407" spans="1:20" x14ac:dyDescent="0.2">
      <c r="A407">
        <v>4082</v>
      </c>
      <c r="B407">
        <v>7</v>
      </c>
      <c r="C407" s="7" t="s">
        <v>401</v>
      </c>
      <c r="D407" s="21">
        <v>5565809.7300000004</v>
      </c>
      <c r="E407" s="21">
        <v>-484265.53</v>
      </c>
      <c r="F407" s="17">
        <f t="shared" si="68"/>
        <v>-8.7007201699999995E-2</v>
      </c>
      <c r="G407" s="21">
        <f t="shared" si="64"/>
        <v>484265.53</v>
      </c>
      <c r="H407" s="46">
        <f t="shared" si="65"/>
        <v>324457.90999999997</v>
      </c>
      <c r="I407" s="43">
        <v>484147.3</v>
      </c>
      <c r="J407" s="43">
        <f t="shared" si="67"/>
        <v>118.23000000003958</v>
      </c>
      <c r="K407" s="43"/>
      <c r="L407">
        <f t="shared" si="66"/>
        <v>0</v>
      </c>
      <c r="M407">
        <v>4082</v>
      </c>
      <c r="N407">
        <v>7</v>
      </c>
      <c r="O407" s="7" t="s">
        <v>923</v>
      </c>
      <c r="P407" s="6">
        <v>5565809.7300000004</v>
      </c>
      <c r="Q407" s="6">
        <v>-484147.3</v>
      </c>
      <c r="R407" s="17">
        <f t="shared" si="61"/>
        <v>-8.6999999999999994E-2</v>
      </c>
      <c r="S407" s="6">
        <f t="shared" si="62"/>
        <v>484147.3</v>
      </c>
      <c r="T407" s="6">
        <f t="shared" si="63"/>
        <v>324378.69</v>
      </c>
    </row>
    <row r="408" spans="1:20" x14ac:dyDescent="0.2">
      <c r="A408">
        <v>4083</v>
      </c>
      <c r="B408">
        <v>7</v>
      </c>
      <c r="C408" s="7" t="s">
        <v>402</v>
      </c>
      <c r="D408" s="21">
        <v>418500.44</v>
      </c>
      <c r="E408" s="21">
        <v>-36412.550000000003</v>
      </c>
      <c r="F408" s="17">
        <f t="shared" si="68"/>
        <v>-8.7007196499999995E-2</v>
      </c>
      <c r="G408" s="21">
        <f t="shared" si="64"/>
        <v>36412.550000000003</v>
      </c>
      <c r="H408" s="46">
        <f t="shared" si="65"/>
        <v>24396.41</v>
      </c>
      <c r="I408" s="43">
        <v>36403.660000000003</v>
      </c>
      <c r="J408" s="43">
        <f t="shared" si="67"/>
        <v>8.8899999999994179</v>
      </c>
      <c r="K408" s="43"/>
      <c r="L408">
        <f t="shared" si="66"/>
        <v>0</v>
      </c>
      <c r="M408">
        <v>4083</v>
      </c>
      <c r="N408">
        <v>7</v>
      </c>
      <c r="O408" s="7" t="s">
        <v>402</v>
      </c>
      <c r="P408" s="6">
        <v>418500.44</v>
      </c>
      <c r="Q408" s="6">
        <v>-36403.660000000003</v>
      </c>
      <c r="R408" s="17">
        <f t="shared" si="61"/>
        <v>-8.6999999999999994E-2</v>
      </c>
      <c r="S408" s="6">
        <f t="shared" si="62"/>
        <v>36403.660000000003</v>
      </c>
      <c r="T408" s="6">
        <f t="shared" si="63"/>
        <v>24390.45</v>
      </c>
    </row>
    <row r="409" spans="1:20" x14ac:dyDescent="0.2">
      <c r="A409">
        <v>4084</v>
      </c>
      <c r="B409">
        <v>7</v>
      </c>
      <c r="C409" s="7" t="s">
        <v>403</v>
      </c>
      <c r="D409" s="21">
        <v>1548627.13</v>
      </c>
      <c r="E409" s="21">
        <v>-134741.71</v>
      </c>
      <c r="F409" s="17">
        <f t="shared" si="68"/>
        <v>-8.7007199699999996E-2</v>
      </c>
      <c r="G409" s="21">
        <f t="shared" si="64"/>
        <v>134741.71</v>
      </c>
      <c r="H409" s="46">
        <f t="shared" si="65"/>
        <v>90276.95</v>
      </c>
      <c r="I409" s="43">
        <v>134708.82</v>
      </c>
      <c r="J409" s="43">
        <f t="shared" si="67"/>
        <v>32.889999999984866</v>
      </c>
      <c r="K409" s="43"/>
      <c r="L409">
        <f t="shared" si="66"/>
        <v>0</v>
      </c>
      <c r="M409">
        <v>4084</v>
      </c>
      <c r="N409">
        <v>7</v>
      </c>
      <c r="O409" s="7" t="s">
        <v>403</v>
      </c>
      <c r="P409" s="6">
        <v>1548627.13</v>
      </c>
      <c r="Q409" s="6">
        <v>-134708.82</v>
      </c>
      <c r="R409" s="17">
        <f t="shared" si="61"/>
        <v>-8.6999999999999994E-2</v>
      </c>
      <c r="S409" s="6">
        <f t="shared" si="62"/>
        <v>134708.82</v>
      </c>
      <c r="T409" s="6">
        <f t="shared" si="63"/>
        <v>90254.91</v>
      </c>
    </row>
    <row r="410" spans="1:20" x14ac:dyDescent="0.2">
      <c r="A410">
        <v>4085</v>
      </c>
      <c r="B410">
        <v>7</v>
      </c>
      <c r="C410" s="7" t="s">
        <v>404</v>
      </c>
      <c r="D410" s="21">
        <v>1521745.71</v>
      </c>
      <c r="E410" s="21">
        <v>-132402.84</v>
      </c>
      <c r="F410" s="17">
        <f t="shared" si="68"/>
        <v>-8.7007204399999996E-2</v>
      </c>
      <c r="G410" s="21">
        <f t="shared" si="64"/>
        <v>132402.84</v>
      </c>
      <c r="H410" s="46">
        <f t="shared" si="65"/>
        <v>88709.9</v>
      </c>
      <c r="I410" s="43">
        <v>132370.51</v>
      </c>
      <c r="J410" s="43">
        <f t="shared" si="67"/>
        <v>32.329999999987194</v>
      </c>
      <c r="K410" s="43"/>
      <c r="L410">
        <f t="shared" si="66"/>
        <v>0</v>
      </c>
      <c r="M410">
        <v>4085</v>
      </c>
      <c r="N410">
        <v>7</v>
      </c>
      <c r="O410" s="7" t="s">
        <v>924</v>
      </c>
      <c r="P410" s="6">
        <v>1521745.71</v>
      </c>
      <c r="Q410" s="6">
        <v>-132370.51</v>
      </c>
      <c r="R410" s="17">
        <f t="shared" si="61"/>
        <v>-8.6999999999999994E-2</v>
      </c>
      <c r="S410" s="6">
        <f t="shared" si="62"/>
        <v>132370.51</v>
      </c>
      <c r="T410" s="6">
        <f t="shared" si="63"/>
        <v>88688.24</v>
      </c>
    </row>
    <row r="411" spans="1:20" x14ac:dyDescent="0.2">
      <c r="A411">
        <v>4086</v>
      </c>
      <c r="B411">
        <v>7</v>
      </c>
      <c r="C411" s="7" t="s">
        <v>405</v>
      </c>
      <c r="D411" s="21">
        <v>1985909.42</v>
      </c>
      <c r="E411" s="21">
        <v>-172788.42</v>
      </c>
      <c r="F411" s="17">
        <f t="shared" si="68"/>
        <v>-8.7007201000000006E-2</v>
      </c>
      <c r="G411" s="21">
        <f t="shared" si="64"/>
        <v>172788.42</v>
      </c>
      <c r="H411" s="46">
        <f t="shared" si="65"/>
        <v>115768.24</v>
      </c>
      <c r="I411" s="43">
        <v>172746.23999999999</v>
      </c>
      <c r="J411" s="43">
        <f t="shared" si="67"/>
        <v>42.180000000022119</v>
      </c>
      <c r="K411" s="43"/>
      <c r="L411">
        <f t="shared" si="66"/>
        <v>0</v>
      </c>
      <c r="M411">
        <v>4086</v>
      </c>
      <c r="N411">
        <v>7</v>
      </c>
      <c r="O411" s="7" t="s">
        <v>925</v>
      </c>
      <c r="P411" s="6">
        <v>1985909.42</v>
      </c>
      <c r="Q411" s="6">
        <v>-172746.23999999999</v>
      </c>
      <c r="R411" s="17">
        <f t="shared" si="61"/>
        <v>-8.6999999999999994E-2</v>
      </c>
      <c r="S411" s="6">
        <f t="shared" si="62"/>
        <v>172746.23999999999</v>
      </c>
      <c r="T411" s="6">
        <f t="shared" si="63"/>
        <v>115739.98</v>
      </c>
    </row>
    <row r="412" spans="1:20" x14ac:dyDescent="0.2">
      <c r="A412">
        <v>4087</v>
      </c>
      <c r="B412">
        <v>7</v>
      </c>
      <c r="C412" s="7" t="s">
        <v>406</v>
      </c>
      <c r="D412" s="21">
        <v>634060.98</v>
      </c>
      <c r="E412" s="21">
        <v>-55167.87</v>
      </c>
      <c r="F412" s="17">
        <f t="shared" si="68"/>
        <v>-8.7007199199999996E-2</v>
      </c>
      <c r="G412" s="21">
        <f t="shared" si="64"/>
        <v>55167.87</v>
      </c>
      <c r="H412" s="46">
        <f t="shared" si="65"/>
        <v>36962.47</v>
      </c>
      <c r="I412" s="43">
        <v>55154.400000000001</v>
      </c>
      <c r="J412" s="43">
        <f t="shared" si="67"/>
        <v>13.470000000001164</v>
      </c>
      <c r="K412" s="43"/>
      <c r="L412">
        <f t="shared" si="66"/>
        <v>0</v>
      </c>
      <c r="M412">
        <v>4087</v>
      </c>
      <c r="N412">
        <v>7</v>
      </c>
      <c r="O412" s="7" t="s">
        <v>406</v>
      </c>
      <c r="P412" s="6">
        <v>634060.98</v>
      </c>
      <c r="Q412" s="6">
        <v>-55154.400000000001</v>
      </c>
      <c r="R412" s="17">
        <f t="shared" si="61"/>
        <v>-8.6999999999999994E-2</v>
      </c>
      <c r="S412" s="6">
        <f t="shared" si="62"/>
        <v>55154.400000000001</v>
      </c>
      <c r="T412" s="6">
        <f t="shared" si="63"/>
        <v>36953.449999999997</v>
      </c>
    </row>
    <row r="413" spans="1:20" x14ac:dyDescent="0.2">
      <c r="A413">
        <v>4088</v>
      </c>
      <c r="B413">
        <v>7</v>
      </c>
      <c r="C413" s="7" t="s">
        <v>407</v>
      </c>
      <c r="D413" s="21">
        <v>2064664.62</v>
      </c>
      <c r="E413" s="21">
        <v>-179640.69</v>
      </c>
      <c r="F413" s="17">
        <f t="shared" si="68"/>
        <v>-8.7007201199999995E-2</v>
      </c>
      <c r="G413" s="21">
        <f t="shared" si="64"/>
        <v>179640.69</v>
      </c>
      <c r="H413" s="46">
        <f t="shared" si="65"/>
        <v>120359.26</v>
      </c>
      <c r="I413" s="43">
        <v>179596.83</v>
      </c>
      <c r="J413" s="43">
        <f t="shared" si="67"/>
        <v>43.860000000015134</v>
      </c>
      <c r="K413" s="43"/>
      <c r="L413">
        <f t="shared" si="66"/>
        <v>0</v>
      </c>
      <c r="M413">
        <v>4088</v>
      </c>
      <c r="N413">
        <v>7</v>
      </c>
      <c r="O413" s="7" t="s">
        <v>926</v>
      </c>
      <c r="P413" s="6">
        <v>2064664.62</v>
      </c>
      <c r="Q413" s="6">
        <v>-179596.83</v>
      </c>
      <c r="R413" s="17">
        <f t="shared" si="61"/>
        <v>-8.6999999999999994E-2</v>
      </c>
      <c r="S413" s="6">
        <f t="shared" si="62"/>
        <v>179596.83</v>
      </c>
      <c r="T413" s="6">
        <f t="shared" si="63"/>
        <v>120329.88</v>
      </c>
    </row>
    <row r="414" spans="1:20" x14ac:dyDescent="0.2">
      <c r="A414">
        <v>4089</v>
      </c>
      <c r="B414">
        <v>7</v>
      </c>
      <c r="C414" s="7" t="s">
        <v>408</v>
      </c>
      <c r="D414" s="21">
        <v>767964.8</v>
      </c>
      <c r="E414" s="21">
        <v>-66818.47</v>
      </c>
      <c r="F414" s="17">
        <f t="shared" si="68"/>
        <v>-8.7007204000000005E-2</v>
      </c>
      <c r="G414" s="21">
        <f t="shared" si="64"/>
        <v>66818.47</v>
      </c>
      <c r="H414" s="46">
        <f t="shared" si="65"/>
        <v>44768.37</v>
      </c>
      <c r="I414" s="43">
        <v>66802.149999999994</v>
      </c>
      <c r="J414" s="43">
        <f t="shared" si="67"/>
        <v>16.320000000006985</v>
      </c>
      <c r="K414" s="43"/>
      <c r="L414">
        <f t="shared" si="66"/>
        <v>0</v>
      </c>
      <c r="M414">
        <v>4089</v>
      </c>
      <c r="N414">
        <v>7</v>
      </c>
      <c r="O414" s="7" t="s">
        <v>408</v>
      </c>
      <c r="P414" s="6">
        <v>767964.8</v>
      </c>
      <c r="Q414" s="6">
        <v>-66802.149999999994</v>
      </c>
      <c r="R414" s="17">
        <f t="shared" si="61"/>
        <v>-8.6999999999999994E-2</v>
      </c>
      <c r="S414" s="6">
        <f t="shared" si="62"/>
        <v>66802.149999999994</v>
      </c>
      <c r="T414" s="6">
        <f t="shared" si="63"/>
        <v>44757.440000000002</v>
      </c>
    </row>
    <row r="415" spans="1:20" x14ac:dyDescent="0.2">
      <c r="A415" s="19">
        <v>4090</v>
      </c>
      <c r="B415" s="19">
        <v>7</v>
      </c>
      <c r="C415" s="20" t="s">
        <v>409</v>
      </c>
      <c r="D415" s="22">
        <v>653056.06999999995</v>
      </c>
      <c r="E415" s="22">
        <v>-56820.58</v>
      </c>
      <c r="F415" s="17">
        <f t="shared" si="68"/>
        <v>-8.7007199899999998E-2</v>
      </c>
      <c r="G415" s="21">
        <f t="shared" si="64"/>
        <v>56820.58</v>
      </c>
      <c r="H415" s="46">
        <f t="shared" si="65"/>
        <v>38069.79</v>
      </c>
      <c r="I415" s="43">
        <v>56806.71</v>
      </c>
      <c r="J415" s="43">
        <f t="shared" si="67"/>
        <v>13.870000000002619</v>
      </c>
      <c r="K415" s="43"/>
      <c r="L415">
        <f t="shared" si="66"/>
        <v>0</v>
      </c>
      <c r="M415">
        <v>4090</v>
      </c>
      <c r="N415">
        <v>7</v>
      </c>
      <c r="O415" s="7" t="s">
        <v>409</v>
      </c>
      <c r="P415" s="6">
        <v>653056.06999999995</v>
      </c>
      <c r="Q415" s="6">
        <v>-56806.71</v>
      </c>
      <c r="R415" s="17">
        <f t="shared" ref="R415:R446" si="69">IF(P415&gt;0,ROUND(Q415/P415,3),"na   ")</f>
        <v>-8.6999999999999994E-2</v>
      </c>
      <c r="S415" s="6">
        <f t="shared" ref="S415:S446" si="70">Q415*-1</f>
        <v>56806.71</v>
      </c>
      <c r="T415" s="6">
        <f t="shared" ref="T415:T446" si="71">ROUND(S415*0.67,2)</f>
        <v>38060.5</v>
      </c>
    </row>
    <row r="416" spans="1:20" x14ac:dyDescent="0.2">
      <c r="A416">
        <v>4091</v>
      </c>
      <c r="B416">
        <v>7</v>
      </c>
      <c r="C416" s="7" t="s">
        <v>410</v>
      </c>
      <c r="D416" s="21">
        <v>840153.76</v>
      </c>
      <c r="E416" s="21">
        <v>-73099.429999999993</v>
      </c>
      <c r="F416" s="17">
        <f t="shared" si="68"/>
        <v>-8.7007204500000004E-2</v>
      </c>
      <c r="G416" s="21">
        <f t="shared" si="64"/>
        <v>73099.429999999993</v>
      </c>
      <c r="H416" s="46">
        <f t="shared" si="65"/>
        <v>48976.62</v>
      </c>
      <c r="I416" s="43">
        <v>73081.58</v>
      </c>
      <c r="J416" s="43">
        <f t="shared" si="67"/>
        <v>17.849999999991269</v>
      </c>
      <c r="K416" s="43"/>
      <c r="L416">
        <f t="shared" si="66"/>
        <v>0</v>
      </c>
      <c r="M416">
        <v>4091</v>
      </c>
      <c r="N416">
        <v>7</v>
      </c>
      <c r="O416" s="7" t="s">
        <v>927</v>
      </c>
      <c r="P416" s="6">
        <v>840153.76</v>
      </c>
      <c r="Q416" s="6">
        <v>-73081.58</v>
      </c>
      <c r="R416" s="17">
        <f t="shared" si="69"/>
        <v>-8.6999999999999994E-2</v>
      </c>
      <c r="S416" s="6">
        <f t="shared" si="70"/>
        <v>73081.58</v>
      </c>
      <c r="T416" s="6">
        <f t="shared" si="71"/>
        <v>48964.66</v>
      </c>
    </row>
    <row r="417" spans="1:20" x14ac:dyDescent="0.2">
      <c r="A417">
        <v>4092</v>
      </c>
      <c r="B417">
        <v>7</v>
      </c>
      <c r="C417" s="7" t="s">
        <v>411</v>
      </c>
      <c r="D417" s="21">
        <v>648834.24</v>
      </c>
      <c r="E417" s="21">
        <v>-56453.25</v>
      </c>
      <c r="F417" s="17">
        <f t="shared" si="68"/>
        <v>-8.7007199300000004E-2</v>
      </c>
      <c r="G417" s="21">
        <f t="shared" si="64"/>
        <v>56453.25</v>
      </c>
      <c r="H417" s="46">
        <f t="shared" si="65"/>
        <v>37823.68</v>
      </c>
      <c r="I417" s="43">
        <v>56439.47</v>
      </c>
      <c r="J417" s="43">
        <f t="shared" si="67"/>
        <v>13.779999999998836</v>
      </c>
      <c r="K417" s="43"/>
      <c r="L417">
        <f t="shared" si="66"/>
        <v>0</v>
      </c>
      <c r="M417">
        <v>4092</v>
      </c>
      <c r="N417">
        <v>7</v>
      </c>
      <c r="O417" s="7" t="s">
        <v>411</v>
      </c>
      <c r="P417" s="6">
        <v>648834.24</v>
      </c>
      <c r="Q417" s="6">
        <v>-56439.47</v>
      </c>
      <c r="R417" s="17">
        <f t="shared" si="69"/>
        <v>-8.6999999999999994E-2</v>
      </c>
      <c r="S417" s="6">
        <f t="shared" si="70"/>
        <v>56439.47</v>
      </c>
      <c r="T417" s="6">
        <f t="shared" si="71"/>
        <v>37814.44</v>
      </c>
    </row>
    <row r="418" spans="1:20" x14ac:dyDescent="0.2">
      <c r="A418">
        <v>4093</v>
      </c>
      <c r="B418">
        <v>7</v>
      </c>
      <c r="C418" s="7" t="s">
        <v>412</v>
      </c>
      <c r="D418" s="21">
        <v>1051726.28</v>
      </c>
      <c r="E418" s="21">
        <v>-91507.76</v>
      </c>
      <c r="F418" s="17">
        <f t="shared" si="68"/>
        <v>-8.7007201199999995E-2</v>
      </c>
      <c r="G418" s="21">
        <f t="shared" si="64"/>
        <v>91507.76</v>
      </c>
      <c r="H418" s="46">
        <f t="shared" si="65"/>
        <v>61310.2</v>
      </c>
      <c r="I418" s="43">
        <v>91485.42</v>
      </c>
      <c r="J418" s="43">
        <f t="shared" si="67"/>
        <v>22.339999999996508</v>
      </c>
      <c r="K418" s="43"/>
      <c r="L418">
        <f t="shared" si="66"/>
        <v>0</v>
      </c>
      <c r="M418">
        <v>4093</v>
      </c>
      <c r="N418">
        <v>7</v>
      </c>
      <c r="O418" s="7" t="s">
        <v>412</v>
      </c>
      <c r="P418" s="6">
        <v>1051726.28</v>
      </c>
      <c r="Q418" s="6">
        <v>-91485.42</v>
      </c>
      <c r="R418" s="17">
        <f t="shared" si="69"/>
        <v>-8.6999999999999994E-2</v>
      </c>
      <c r="S418" s="6">
        <f t="shared" si="70"/>
        <v>91485.42</v>
      </c>
      <c r="T418" s="6">
        <f t="shared" si="71"/>
        <v>61295.23</v>
      </c>
    </row>
    <row r="419" spans="1:20" x14ac:dyDescent="0.2">
      <c r="A419">
        <v>4095</v>
      </c>
      <c r="B419">
        <v>7</v>
      </c>
      <c r="C419" s="7" t="s">
        <v>413</v>
      </c>
      <c r="D419" s="21">
        <v>1022615.6</v>
      </c>
      <c r="E419" s="21">
        <v>-88974.92</v>
      </c>
      <c r="F419" s="17">
        <f t="shared" si="68"/>
        <v>-8.7007200000000007E-2</v>
      </c>
      <c r="G419" s="21">
        <f t="shared" si="64"/>
        <v>88974.92</v>
      </c>
      <c r="H419" s="46">
        <f t="shared" si="65"/>
        <v>59613.2</v>
      </c>
      <c r="I419" s="43">
        <v>88953.2</v>
      </c>
      <c r="J419" s="43">
        <f t="shared" si="67"/>
        <v>21.720000000001164</v>
      </c>
      <c r="K419" s="43"/>
      <c r="L419">
        <f t="shared" si="66"/>
        <v>0</v>
      </c>
      <c r="M419">
        <v>4095</v>
      </c>
      <c r="N419">
        <v>7</v>
      </c>
      <c r="O419" s="7" t="s">
        <v>928</v>
      </c>
      <c r="P419" s="6">
        <v>1022615.6</v>
      </c>
      <c r="Q419" s="6">
        <v>-88953.2</v>
      </c>
      <c r="R419" s="17">
        <f t="shared" si="69"/>
        <v>-8.6999999999999994E-2</v>
      </c>
      <c r="S419" s="6">
        <f t="shared" si="70"/>
        <v>88953.2</v>
      </c>
      <c r="T419" s="6">
        <f t="shared" si="71"/>
        <v>59598.64</v>
      </c>
    </row>
    <row r="420" spans="1:20" x14ac:dyDescent="0.2">
      <c r="A420">
        <v>4097</v>
      </c>
      <c r="B420">
        <v>7</v>
      </c>
      <c r="C420" s="7" t="s">
        <v>414</v>
      </c>
      <c r="D420" s="21">
        <v>2079309.84</v>
      </c>
      <c r="E420" s="21">
        <v>-180914.93</v>
      </c>
      <c r="F420" s="17">
        <f t="shared" si="68"/>
        <v>-8.7007201399999998E-2</v>
      </c>
      <c r="G420" s="21">
        <f t="shared" si="64"/>
        <v>180914.93</v>
      </c>
      <c r="H420" s="46">
        <f t="shared" si="65"/>
        <v>121213</v>
      </c>
      <c r="I420" s="43">
        <v>180870.76</v>
      </c>
      <c r="J420" s="43">
        <f t="shared" si="67"/>
        <v>44.169999999983702</v>
      </c>
      <c r="K420" s="43"/>
      <c r="L420">
        <f t="shared" si="66"/>
        <v>0</v>
      </c>
      <c r="M420">
        <v>4097</v>
      </c>
      <c r="N420">
        <v>7</v>
      </c>
      <c r="O420" s="7" t="s">
        <v>414</v>
      </c>
      <c r="P420" s="6">
        <v>2079309.84</v>
      </c>
      <c r="Q420" s="6">
        <v>-180870.76</v>
      </c>
      <c r="R420" s="17">
        <f t="shared" si="69"/>
        <v>-8.6999999999999994E-2</v>
      </c>
      <c r="S420" s="6">
        <f t="shared" si="70"/>
        <v>180870.76</v>
      </c>
      <c r="T420" s="6">
        <f t="shared" si="71"/>
        <v>121183.41</v>
      </c>
    </row>
    <row r="421" spans="1:20" x14ac:dyDescent="0.2">
      <c r="A421">
        <v>4098</v>
      </c>
      <c r="B421">
        <v>7</v>
      </c>
      <c r="C421" s="7" t="s">
        <v>415</v>
      </c>
      <c r="D421" s="21">
        <v>2126114.89</v>
      </c>
      <c r="E421" s="21">
        <v>-184987.31</v>
      </c>
      <c r="F421" s="17">
        <f t="shared" si="68"/>
        <v>-8.70072031E-2</v>
      </c>
      <c r="G421" s="21">
        <f t="shared" si="64"/>
        <v>184987.31</v>
      </c>
      <c r="H421" s="46">
        <f t="shared" si="65"/>
        <v>123941.5</v>
      </c>
      <c r="I421" s="43">
        <v>184942.14</v>
      </c>
      <c r="J421" s="43">
        <f t="shared" si="67"/>
        <v>45.169999999983702</v>
      </c>
      <c r="K421" s="43"/>
      <c r="L421">
        <f t="shared" si="66"/>
        <v>0</v>
      </c>
      <c r="M421">
        <v>4098</v>
      </c>
      <c r="N421">
        <v>7</v>
      </c>
      <c r="O421" s="7" t="s">
        <v>930</v>
      </c>
      <c r="P421" s="6">
        <v>2126114.89</v>
      </c>
      <c r="Q421" s="6">
        <v>-184942.14</v>
      </c>
      <c r="R421" s="17">
        <f t="shared" si="69"/>
        <v>-8.6999999999999994E-2</v>
      </c>
      <c r="S421" s="6">
        <f t="shared" si="70"/>
        <v>184942.14</v>
      </c>
      <c r="T421" s="6">
        <f t="shared" si="71"/>
        <v>123911.23</v>
      </c>
    </row>
    <row r="422" spans="1:20" x14ac:dyDescent="0.2">
      <c r="A422">
        <v>4099</v>
      </c>
      <c r="B422">
        <v>7</v>
      </c>
      <c r="C422" s="7" t="s">
        <v>416</v>
      </c>
      <c r="D422" s="21">
        <v>3360556.83</v>
      </c>
      <c r="E422" s="21">
        <v>-292392.65000000002</v>
      </c>
      <c r="F422" s="17">
        <f t="shared" si="68"/>
        <v>-8.7007202899999997E-2</v>
      </c>
      <c r="G422" s="21">
        <f t="shared" si="64"/>
        <v>292392.65000000002</v>
      </c>
      <c r="H422" s="46">
        <f t="shared" si="65"/>
        <v>195903.08</v>
      </c>
      <c r="I422" s="43">
        <v>292321.26</v>
      </c>
      <c r="J422" s="43">
        <f t="shared" si="67"/>
        <v>71.39000000001397</v>
      </c>
      <c r="K422" s="43"/>
      <c r="L422">
        <f t="shared" si="66"/>
        <v>0</v>
      </c>
      <c r="M422">
        <v>4099</v>
      </c>
      <c r="N422">
        <v>7</v>
      </c>
      <c r="O422" s="7" t="s">
        <v>931</v>
      </c>
      <c r="P422" s="6">
        <v>3360556.83</v>
      </c>
      <c r="Q422" s="6">
        <v>-292321.26</v>
      </c>
      <c r="R422" s="17">
        <f t="shared" si="69"/>
        <v>-8.6999999999999994E-2</v>
      </c>
      <c r="S422" s="6">
        <f t="shared" si="70"/>
        <v>292321.26</v>
      </c>
      <c r="T422" s="6">
        <f t="shared" si="71"/>
        <v>195855.24</v>
      </c>
    </row>
    <row r="423" spans="1:20" x14ac:dyDescent="0.2">
      <c r="A423">
        <v>4100</v>
      </c>
      <c r="B423">
        <v>7</v>
      </c>
      <c r="C423" s="7" t="s">
        <v>417</v>
      </c>
      <c r="D423" s="21">
        <v>256766.05</v>
      </c>
      <c r="E423" s="21">
        <v>-22340.5</v>
      </c>
      <c r="F423" s="17">
        <f t="shared" si="68"/>
        <v>-8.7007219199999999E-2</v>
      </c>
      <c r="G423" s="21">
        <f t="shared" si="64"/>
        <v>22340.5</v>
      </c>
      <c r="H423" s="46">
        <f t="shared" si="65"/>
        <v>14968.14</v>
      </c>
      <c r="I423" s="43">
        <v>22335.040000000001</v>
      </c>
      <c r="J423" s="43">
        <f t="shared" si="67"/>
        <v>5.4599999999991269</v>
      </c>
      <c r="K423" s="43"/>
      <c r="L423">
        <f t="shared" si="66"/>
        <v>0</v>
      </c>
      <c r="M423">
        <v>4100</v>
      </c>
      <c r="N423">
        <v>7</v>
      </c>
      <c r="O423" s="7" t="s">
        <v>417</v>
      </c>
      <c r="P423" s="6">
        <v>256766.05</v>
      </c>
      <c r="Q423" s="6">
        <v>-22335.040000000001</v>
      </c>
      <c r="R423" s="17">
        <f t="shared" si="69"/>
        <v>-8.6999999999999994E-2</v>
      </c>
      <c r="S423" s="6">
        <f t="shared" si="70"/>
        <v>22335.040000000001</v>
      </c>
      <c r="T423" s="6">
        <f t="shared" si="71"/>
        <v>14964.48</v>
      </c>
    </row>
    <row r="424" spans="1:20" x14ac:dyDescent="0.2">
      <c r="A424">
        <v>4102</v>
      </c>
      <c r="B424">
        <v>7</v>
      </c>
      <c r="C424" s="7" t="s">
        <v>418</v>
      </c>
      <c r="D424" s="21">
        <v>4400163.82</v>
      </c>
      <c r="E424" s="21">
        <v>-382845.94</v>
      </c>
      <c r="F424" s="17">
        <f t="shared" si="68"/>
        <v>-8.7007201500000006E-2</v>
      </c>
      <c r="G424" s="21">
        <f t="shared" si="64"/>
        <v>382845.94</v>
      </c>
      <c r="H424" s="46">
        <f t="shared" si="65"/>
        <v>256506.78</v>
      </c>
      <c r="I424" s="43">
        <v>382752.47</v>
      </c>
      <c r="J424" s="43">
        <f t="shared" si="67"/>
        <v>93.470000000030268</v>
      </c>
      <c r="K424" s="43"/>
      <c r="L424">
        <f t="shared" si="66"/>
        <v>0</v>
      </c>
      <c r="M424">
        <v>4102</v>
      </c>
      <c r="N424">
        <v>7</v>
      </c>
      <c r="O424" s="7" t="s">
        <v>932</v>
      </c>
      <c r="P424" s="6">
        <v>4400163.82</v>
      </c>
      <c r="Q424" s="6">
        <v>-382752.47</v>
      </c>
      <c r="R424" s="17">
        <f t="shared" si="69"/>
        <v>-8.6999999999999994E-2</v>
      </c>
      <c r="S424" s="6">
        <f t="shared" si="70"/>
        <v>382752.47</v>
      </c>
      <c r="T424" s="6">
        <f t="shared" si="71"/>
        <v>256444.15</v>
      </c>
    </row>
    <row r="425" spans="1:20" x14ac:dyDescent="0.2">
      <c r="A425">
        <v>4103</v>
      </c>
      <c r="B425">
        <v>7</v>
      </c>
      <c r="C425" s="7" t="s">
        <v>419</v>
      </c>
      <c r="D425" s="21">
        <v>4266706.0599999996</v>
      </c>
      <c r="E425" s="21">
        <v>-371234.16</v>
      </c>
      <c r="F425" s="17">
        <f t="shared" si="68"/>
        <v>-8.7007202899999997E-2</v>
      </c>
      <c r="G425" s="21">
        <f t="shared" si="64"/>
        <v>371234.16</v>
      </c>
      <c r="H425" s="46">
        <f t="shared" si="65"/>
        <v>248726.89</v>
      </c>
      <c r="I425" s="43">
        <v>371143.52</v>
      </c>
      <c r="J425" s="43">
        <f t="shared" si="67"/>
        <v>90.639999999955762</v>
      </c>
      <c r="K425" s="43"/>
      <c r="L425">
        <f t="shared" si="66"/>
        <v>0</v>
      </c>
      <c r="M425">
        <v>4103</v>
      </c>
      <c r="N425">
        <v>7</v>
      </c>
      <c r="O425" s="7" t="s">
        <v>933</v>
      </c>
      <c r="P425" s="6">
        <v>4266706.0599999996</v>
      </c>
      <c r="Q425" s="6">
        <v>-371143.52</v>
      </c>
      <c r="R425" s="17">
        <f t="shared" si="69"/>
        <v>-8.6999999999999994E-2</v>
      </c>
      <c r="S425" s="6">
        <f t="shared" si="70"/>
        <v>371143.52</v>
      </c>
      <c r="T425" s="6">
        <f t="shared" si="71"/>
        <v>248666.16</v>
      </c>
    </row>
    <row r="426" spans="1:20" x14ac:dyDescent="0.2">
      <c r="A426">
        <v>4104</v>
      </c>
      <c r="B426">
        <v>7</v>
      </c>
      <c r="C426" s="7" t="s">
        <v>420</v>
      </c>
      <c r="D426" s="21">
        <v>1388448.5</v>
      </c>
      <c r="E426" s="21">
        <v>-120805.02</v>
      </c>
      <c r="F426" s="17">
        <f t="shared" si="68"/>
        <v>-8.70072026E-2</v>
      </c>
      <c r="G426" s="21">
        <f t="shared" si="64"/>
        <v>120805.02</v>
      </c>
      <c r="H426" s="46">
        <f t="shared" si="65"/>
        <v>80939.360000000001</v>
      </c>
      <c r="I426" s="43">
        <v>120775.52</v>
      </c>
      <c r="J426" s="43">
        <f t="shared" si="67"/>
        <v>29.5</v>
      </c>
      <c r="K426" s="43"/>
      <c r="L426">
        <f t="shared" si="66"/>
        <v>0</v>
      </c>
      <c r="M426">
        <v>4104</v>
      </c>
      <c r="N426">
        <v>7</v>
      </c>
      <c r="O426" s="7" t="s">
        <v>934</v>
      </c>
      <c r="P426" s="6">
        <v>1388448.5</v>
      </c>
      <c r="Q426" s="6">
        <v>-120775.52</v>
      </c>
      <c r="R426" s="17">
        <f t="shared" si="69"/>
        <v>-8.6999999999999994E-2</v>
      </c>
      <c r="S426" s="6">
        <f t="shared" si="70"/>
        <v>120775.52</v>
      </c>
      <c r="T426" s="6">
        <f t="shared" si="71"/>
        <v>80919.600000000006</v>
      </c>
    </row>
    <row r="427" spans="1:20" x14ac:dyDescent="0.2">
      <c r="A427">
        <v>4105</v>
      </c>
      <c r="B427">
        <v>7</v>
      </c>
      <c r="C427" s="7" t="s">
        <v>421</v>
      </c>
      <c r="D427" s="21">
        <v>1464388.58</v>
      </c>
      <c r="E427" s="21">
        <v>-127412.35</v>
      </c>
      <c r="F427" s="17">
        <f t="shared" si="68"/>
        <v>-8.7007200000000007E-2</v>
      </c>
      <c r="G427" s="21">
        <f t="shared" si="64"/>
        <v>127412.35</v>
      </c>
      <c r="H427" s="46">
        <f t="shared" si="65"/>
        <v>85366.27</v>
      </c>
      <c r="I427" s="43">
        <v>127381.25</v>
      </c>
      <c r="J427" s="43">
        <f t="shared" si="67"/>
        <v>31.100000000005821</v>
      </c>
      <c r="K427" s="43"/>
      <c r="L427">
        <f t="shared" si="66"/>
        <v>0</v>
      </c>
      <c r="M427">
        <v>4105</v>
      </c>
      <c r="N427">
        <v>7</v>
      </c>
      <c r="O427" s="7" t="s">
        <v>421</v>
      </c>
      <c r="P427" s="6">
        <v>1464388.58</v>
      </c>
      <c r="Q427" s="6">
        <v>-127381.25</v>
      </c>
      <c r="R427" s="17">
        <f t="shared" si="69"/>
        <v>-8.6999999999999994E-2</v>
      </c>
      <c r="S427" s="6">
        <f t="shared" si="70"/>
        <v>127381.25</v>
      </c>
      <c r="T427" s="6">
        <f t="shared" si="71"/>
        <v>85345.44</v>
      </c>
    </row>
    <row r="428" spans="1:20" x14ac:dyDescent="0.2">
      <c r="A428">
        <v>4106</v>
      </c>
      <c r="B428">
        <v>7</v>
      </c>
      <c r="C428" s="7" t="s">
        <v>422</v>
      </c>
      <c r="D428" s="21">
        <v>1223443.8600000001</v>
      </c>
      <c r="E428" s="21">
        <v>-106448.43</v>
      </c>
      <c r="F428" s="17">
        <f t="shared" si="68"/>
        <v>-8.7007204399999996E-2</v>
      </c>
      <c r="G428" s="21">
        <f t="shared" si="64"/>
        <v>106448.43</v>
      </c>
      <c r="H428" s="46">
        <f t="shared" si="65"/>
        <v>71320.45</v>
      </c>
      <c r="I428" s="43">
        <v>106422.44</v>
      </c>
      <c r="J428" s="43">
        <f t="shared" si="67"/>
        <v>25.989999999990687</v>
      </c>
      <c r="K428" s="43"/>
      <c r="L428">
        <f t="shared" si="66"/>
        <v>0</v>
      </c>
      <c r="M428">
        <v>4106</v>
      </c>
      <c r="N428">
        <v>7</v>
      </c>
      <c r="O428" s="7" t="s">
        <v>935</v>
      </c>
      <c r="P428" s="6">
        <v>1223443.8600000001</v>
      </c>
      <c r="Q428" s="6">
        <v>-106422.44</v>
      </c>
      <c r="R428" s="17">
        <f t="shared" si="69"/>
        <v>-8.6999999999999994E-2</v>
      </c>
      <c r="S428" s="6">
        <f t="shared" si="70"/>
        <v>106422.44</v>
      </c>
      <c r="T428" s="6">
        <f t="shared" si="71"/>
        <v>71303.03</v>
      </c>
    </row>
    <row r="429" spans="1:20" x14ac:dyDescent="0.2">
      <c r="A429">
        <v>4107</v>
      </c>
      <c r="B429">
        <v>7</v>
      </c>
      <c r="C429" s="7" t="s">
        <v>423</v>
      </c>
      <c r="D429" s="21">
        <v>592432.5</v>
      </c>
      <c r="E429" s="21">
        <v>-51545.89</v>
      </c>
      <c r="F429" s="17">
        <f t="shared" si="68"/>
        <v>-8.7007194900000001E-2</v>
      </c>
      <c r="G429" s="21">
        <f t="shared" si="64"/>
        <v>51545.89</v>
      </c>
      <c r="H429" s="46">
        <f t="shared" si="65"/>
        <v>34535.75</v>
      </c>
      <c r="I429" s="43">
        <v>51533.31</v>
      </c>
      <c r="J429" s="43">
        <f t="shared" si="67"/>
        <v>12.580000000001746</v>
      </c>
      <c r="K429" s="43"/>
      <c r="L429">
        <f t="shared" si="66"/>
        <v>0</v>
      </c>
      <c r="M429">
        <v>4107</v>
      </c>
      <c r="N429">
        <v>7</v>
      </c>
      <c r="O429" s="7" t="s">
        <v>936</v>
      </c>
      <c r="P429" s="6">
        <v>592432.5</v>
      </c>
      <c r="Q429" s="6">
        <v>-51533.31</v>
      </c>
      <c r="R429" s="17">
        <f t="shared" si="69"/>
        <v>-8.6999999999999994E-2</v>
      </c>
      <c r="S429" s="6">
        <f t="shared" si="70"/>
        <v>51533.31</v>
      </c>
      <c r="T429" s="6">
        <f t="shared" si="71"/>
        <v>34527.32</v>
      </c>
    </row>
    <row r="430" spans="1:20" x14ac:dyDescent="0.2">
      <c r="A430">
        <v>4108</v>
      </c>
      <c r="B430">
        <v>7</v>
      </c>
      <c r="C430" s="7" t="s">
        <v>424</v>
      </c>
      <c r="D430" s="21">
        <v>906736.24</v>
      </c>
      <c r="E430" s="21">
        <v>-78892.58</v>
      </c>
      <c r="F430" s="17">
        <f t="shared" si="68"/>
        <v>-8.7007198499999994E-2</v>
      </c>
      <c r="G430" s="21">
        <f t="shared" si="64"/>
        <v>78892.58</v>
      </c>
      <c r="H430" s="46">
        <f t="shared" si="65"/>
        <v>52858.03</v>
      </c>
      <c r="I430" s="43">
        <v>78873.320000000007</v>
      </c>
      <c r="J430" s="43">
        <f t="shared" si="67"/>
        <v>19.259999999994761</v>
      </c>
      <c r="K430" s="43"/>
      <c r="L430">
        <f t="shared" si="66"/>
        <v>0</v>
      </c>
      <c r="M430">
        <v>4108</v>
      </c>
      <c r="N430">
        <v>7</v>
      </c>
      <c r="O430" s="7" t="s">
        <v>937</v>
      </c>
      <c r="P430" s="6">
        <v>906736.24</v>
      </c>
      <c r="Q430" s="6">
        <v>-78873.320000000007</v>
      </c>
      <c r="R430" s="17">
        <f t="shared" si="69"/>
        <v>-8.6999999999999994E-2</v>
      </c>
      <c r="S430" s="6">
        <f t="shared" si="70"/>
        <v>78873.320000000007</v>
      </c>
      <c r="T430" s="6">
        <f t="shared" si="71"/>
        <v>52845.120000000003</v>
      </c>
    </row>
    <row r="431" spans="1:20" x14ac:dyDescent="0.2">
      <c r="A431">
        <v>4109</v>
      </c>
      <c r="B431">
        <v>7</v>
      </c>
      <c r="C431" s="7" t="s">
        <v>425</v>
      </c>
      <c r="D431" s="21">
        <v>1508232.05</v>
      </c>
      <c r="E431" s="21">
        <v>-131227.04999999999</v>
      </c>
      <c r="F431" s="17">
        <f t="shared" si="68"/>
        <v>-8.70072016E-2</v>
      </c>
      <c r="G431" s="21">
        <f t="shared" si="64"/>
        <v>131227.04999999999</v>
      </c>
      <c r="H431" s="46">
        <f t="shared" si="65"/>
        <v>87922.12</v>
      </c>
      <c r="I431" s="43">
        <v>131195.01</v>
      </c>
      <c r="J431" s="43">
        <f t="shared" si="67"/>
        <v>32.039999999979045</v>
      </c>
      <c r="K431" s="43"/>
      <c r="L431">
        <f t="shared" si="66"/>
        <v>0</v>
      </c>
      <c r="M431">
        <v>4109</v>
      </c>
      <c r="N431">
        <v>7</v>
      </c>
      <c r="O431" s="7" t="s">
        <v>425</v>
      </c>
      <c r="P431" s="6">
        <v>1508232.05</v>
      </c>
      <c r="Q431" s="6">
        <v>-131195.01</v>
      </c>
      <c r="R431" s="17">
        <f t="shared" si="69"/>
        <v>-8.6999999999999994E-2</v>
      </c>
      <c r="S431" s="6">
        <f t="shared" si="70"/>
        <v>131195.01</v>
      </c>
      <c r="T431" s="6">
        <f t="shared" si="71"/>
        <v>87900.66</v>
      </c>
    </row>
    <row r="432" spans="1:20" x14ac:dyDescent="0.2">
      <c r="A432">
        <v>4110</v>
      </c>
      <c r="B432">
        <v>7</v>
      </c>
      <c r="C432" s="7" t="s">
        <v>426</v>
      </c>
      <c r="D432" s="21">
        <v>1448231.71</v>
      </c>
      <c r="E432" s="21">
        <v>-126006.59</v>
      </c>
      <c r="F432" s="17">
        <f t="shared" si="68"/>
        <v>-8.7007202699999994E-2</v>
      </c>
      <c r="G432" s="21">
        <f t="shared" si="64"/>
        <v>126006.59</v>
      </c>
      <c r="H432" s="46">
        <f t="shared" si="65"/>
        <v>84424.42</v>
      </c>
      <c r="I432" s="43">
        <v>125975.82</v>
      </c>
      <c r="J432" s="43">
        <f t="shared" si="67"/>
        <v>30.769999999989523</v>
      </c>
      <c r="K432" s="43"/>
      <c r="L432">
        <f t="shared" si="66"/>
        <v>0</v>
      </c>
      <c r="M432">
        <v>4110</v>
      </c>
      <c r="N432">
        <v>7</v>
      </c>
      <c r="O432" s="7" t="s">
        <v>938</v>
      </c>
      <c r="P432" s="6">
        <v>1448231.71</v>
      </c>
      <c r="Q432" s="6">
        <v>-125975.82</v>
      </c>
      <c r="R432" s="17">
        <f t="shared" si="69"/>
        <v>-8.6999999999999994E-2</v>
      </c>
      <c r="S432" s="6">
        <f t="shared" si="70"/>
        <v>125975.82</v>
      </c>
      <c r="T432" s="6">
        <f t="shared" si="71"/>
        <v>84403.8</v>
      </c>
    </row>
    <row r="433" spans="1:20" x14ac:dyDescent="0.2">
      <c r="A433">
        <v>4111</v>
      </c>
      <c r="B433">
        <v>7</v>
      </c>
      <c r="C433" s="7" t="s">
        <v>427</v>
      </c>
      <c r="D433" s="21">
        <v>692670.48</v>
      </c>
      <c r="E433" s="21">
        <v>-60267.32</v>
      </c>
      <c r="F433" s="17">
        <f t="shared" si="68"/>
        <v>-8.7007201500000006E-2</v>
      </c>
      <c r="G433" s="21">
        <f t="shared" si="64"/>
        <v>60267.32</v>
      </c>
      <c r="H433" s="46">
        <f t="shared" si="65"/>
        <v>40379.1</v>
      </c>
      <c r="I433" s="43">
        <v>60252.61</v>
      </c>
      <c r="J433" s="43">
        <f t="shared" si="67"/>
        <v>14.709999999999127</v>
      </c>
      <c r="K433" s="43"/>
      <c r="L433">
        <f t="shared" si="66"/>
        <v>0</v>
      </c>
      <c r="M433">
        <v>4111</v>
      </c>
      <c r="N433">
        <v>7</v>
      </c>
      <c r="O433" s="7" t="s">
        <v>939</v>
      </c>
      <c r="P433" s="6">
        <v>692670.48</v>
      </c>
      <c r="Q433" s="6">
        <v>-60252.61</v>
      </c>
      <c r="R433" s="17">
        <f t="shared" si="69"/>
        <v>-8.6999999999999994E-2</v>
      </c>
      <c r="S433" s="6">
        <f t="shared" si="70"/>
        <v>60252.61</v>
      </c>
      <c r="T433" s="6">
        <f t="shared" si="71"/>
        <v>40369.25</v>
      </c>
    </row>
    <row r="434" spans="1:20" x14ac:dyDescent="0.2">
      <c r="A434">
        <v>4112</v>
      </c>
      <c r="B434">
        <v>7</v>
      </c>
      <c r="C434" s="7" t="s">
        <v>428</v>
      </c>
      <c r="D434" s="21">
        <v>2476506.36</v>
      </c>
      <c r="E434" s="21">
        <v>-215473.89</v>
      </c>
      <c r="F434" s="17">
        <f t="shared" si="68"/>
        <v>-8.7007202399999997E-2</v>
      </c>
      <c r="G434" s="21">
        <f t="shared" si="64"/>
        <v>215473.89</v>
      </c>
      <c r="H434" s="46">
        <f t="shared" si="65"/>
        <v>144367.51</v>
      </c>
      <c r="I434" s="43">
        <v>215421.28</v>
      </c>
      <c r="J434" s="43">
        <f t="shared" si="67"/>
        <v>52.610000000015134</v>
      </c>
      <c r="K434" s="43"/>
      <c r="L434">
        <f t="shared" si="66"/>
        <v>0</v>
      </c>
      <c r="M434">
        <v>4112</v>
      </c>
      <c r="N434">
        <v>7</v>
      </c>
      <c r="O434" s="7" t="s">
        <v>940</v>
      </c>
      <c r="P434" s="6">
        <v>2476506.36</v>
      </c>
      <c r="Q434" s="6">
        <v>-215421.28</v>
      </c>
      <c r="R434" s="17">
        <f t="shared" si="69"/>
        <v>-8.6999999999999994E-2</v>
      </c>
      <c r="S434" s="6">
        <f t="shared" si="70"/>
        <v>215421.28</v>
      </c>
      <c r="T434" s="6">
        <f t="shared" si="71"/>
        <v>144332.26</v>
      </c>
    </row>
    <row r="435" spans="1:20" x14ac:dyDescent="0.2">
      <c r="A435">
        <v>4113</v>
      </c>
      <c r="B435">
        <v>7</v>
      </c>
      <c r="C435" s="7" t="s">
        <v>429</v>
      </c>
      <c r="D435" s="21">
        <v>409900.4</v>
      </c>
      <c r="E435" s="21">
        <v>-35664.29</v>
      </c>
      <c r="F435" s="17">
        <f t="shared" si="68"/>
        <v>-8.7007209599999996E-2</v>
      </c>
      <c r="G435" s="21">
        <f t="shared" si="64"/>
        <v>35664.29</v>
      </c>
      <c r="H435" s="46">
        <f t="shared" si="65"/>
        <v>23895.07</v>
      </c>
      <c r="I435" s="43">
        <v>35655.58</v>
      </c>
      <c r="J435" s="43">
        <f t="shared" si="67"/>
        <v>8.7099999999991269</v>
      </c>
      <c r="K435" s="43"/>
      <c r="L435">
        <f t="shared" si="66"/>
        <v>0</v>
      </c>
      <c r="M435">
        <v>4113</v>
      </c>
      <c r="N435">
        <v>7</v>
      </c>
      <c r="O435" s="7" t="s">
        <v>429</v>
      </c>
      <c r="P435" s="6">
        <v>409900.4</v>
      </c>
      <c r="Q435" s="6">
        <v>-35655.58</v>
      </c>
      <c r="R435" s="17">
        <f t="shared" si="69"/>
        <v>-8.6999999999999994E-2</v>
      </c>
      <c r="S435" s="6">
        <f t="shared" si="70"/>
        <v>35655.58</v>
      </c>
      <c r="T435" s="6">
        <f t="shared" si="71"/>
        <v>23889.24</v>
      </c>
    </row>
    <row r="436" spans="1:20" x14ac:dyDescent="0.2">
      <c r="A436">
        <v>4114</v>
      </c>
      <c r="B436">
        <v>7</v>
      </c>
      <c r="C436" s="7" t="s">
        <v>430</v>
      </c>
      <c r="D436" s="21">
        <v>799085.36</v>
      </c>
      <c r="E436" s="21">
        <v>-69526.179999999993</v>
      </c>
      <c r="F436" s="17">
        <f t="shared" si="68"/>
        <v>-8.7007200300000004E-2</v>
      </c>
      <c r="G436" s="21">
        <f t="shared" si="64"/>
        <v>69526.179999999993</v>
      </c>
      <c r="H436" s="46">
        <f t="shared" si="65"/>
        <v>46582.54</v>
      </c>
      <c r="I436" s="43">
        <v>69509.210000000006</v>
      </c>
      <c r="J436" s="43">
        <f t="shared" si="67"/>
        <v>16.969999999986612</v>
      </c>
      <c r="K436" s="43"/>
      <c r="L436">
        <f t="shared" si="66"/>
        <v>0</v>
      </c>
      <c r="M436">
        <v>4114</v>
      </c>
      <c r="N436">
        <v>7</v>
      </c>
      <c r="O436" s="7" t="s">
        <v>941</v>
      </c>
      <c r="P436" s="6">
        <v>799085.36</v>
      </c>
      <c r="Q436" s="6">
        <v>-69509.210000000006</v>
      </c>
      <c r="R436" s="17">
        <f t="shared" si="69"/>
        <v>-8.6999999999999994E-2</v>
      </c>
      <c r="S436" s="6">
        <f t="shared" si="70"/>
        <v>69509.210000000006</v>
      </c>
      <c r="T436" s="6">
        <f t="shared" si="71"/>
        <v>46571.17</v>
      </c>
    </row>
    <row r="437" spans="1:20" x14ac:dyDescent="0.2">
      <c r="A437">
        <v>4115</v>
      </c>
      <c r="B437">
        <v>7</v>
      </c>
      <c r="C437" s="7" t="s">
        <v>431</v>
      </c>
      <c r="D437" s="21">
        <v>1074485.0900000001</v>
      </c>
      <c r="E437" s="21">
        <v>-93487.94</v>
      </c>
      <c r="F437" s="17">
        <f t="shared" si="68"/>
        <v>-8.7007200800000004E-2</v>
      </c>
      <c r="G437" s="21">
        <f t="shared" si="64"/>
        <v>93487.94</v>
      </c>
      <c r="H437" s="46">
        <f t="shared" si="65"/>
        <v>62636.92</v>
      </c>
      <c r="I437" s="43">
        <v>93465.12</v>
      </c>
      <c r="J437" s="43">
        <f t="shared" si="67"/>
        <v>22.820000000006985</v>
      </c>
      <c r="K437" s="43"/>
      <c r="L437">
        <f t="shared" si="66"/>
        <v>0</v>
      </c>
      <c r="M437">
        <v>4115</v>
      </c>
      <c r="N437">
        <v>7</v>
      </c>
      <c r="O437" s="7" t="s">
        <v>942</v>
      </c>
      <c r="P437" s="6">
        <v>1074485.0900000001</v>
      </c>
      <c r="Q437" s="6">
        <v>-93465.12</v>
      </c>
      <c r="R437" s="17">
        <f t="shared" si="69"/>
        <v>-8.6999999999999994E-2</v>
      </c>
      <c r="S437" s="6">
        <f t="shared" si="70"/>
        <v>93465.12</v>
      </c>
      <c r="T437" s="6">
        <f t="shared" si="71"/>
        <v>62621.63</v>
      </c>
    </row>
    <row r="438" spans="1:20" x14ac:dyDescent="0.2">
      <c r="A438">
        <v>4116</v>
      </c>
      <c r="B438">
        <v>7</v>
      </c>
      <c r="C438" s="7" t="s">
        <v>432</v>
      </c>
      <c r="D438" s="21">
        <v>2347179.75</v>
      </c>
      <c r="E438" s="21">
        <v>-204221.54</v>
      </c>
      <c r="F438" s="17">
        <f t="shared" si="68"/>
        <v>-8.7007200899999998E-2</v>
      </c>
      <c r="G438" s="21">
        <f t="shared" si="64"/>
        <v>204221.54</v>
      </c>
      <c r="H438" s="46">
        <f t="shared" si="65"/>
        <v>136828.43</v>
      </c>
      <c r="I438" s="43">
        <v>204171.68</v>
      </c>
      <c r="J438" s="43">
        <f t="shared" si="67"/>
        <v>49.860000000015134</v>
      </c>
      <c r="K438" s="43"/>
      <c r="L438">
        <f t="shared" si="66"/>
        <v>0</v>
      </c>
      <c r="M438">
        <v>4116</v>
      </c>
      <c r="N438">
        <v>7</v>
      </c>
      <c r="O438" s="7" t="s">
        <v>943</v>
      </c>
      <c r="P438" s="6">
        <v>2347179.75</v>
      </c>
      <c r="Q438" s="6">
        <v>-204171.68</v>
      </c>
      <c r="R438" s="17">
        <f t="shared" si="69"/>
        <v>-8.6999999999999994E-2</v>
      </c>
      <c r="S438" s="6">
        <f t="shared" si="70"/>
        <v>204171.68</v>
      </c>
      <c r="T438" s="6">
        <f t="shared" si="71"/>
        <v>136795.03</v>
      </c>
    </row>
    <row r="439" spans="1:20" x14ac:dyDescent="0.2">
      <c r="A439">
        <v>4118</v>
      </c>
      <c r="B439">
        <v>7</v>
      </c>
      <c r="C439" s="7" t="s">
        <v>433</v>
      </c>
      <c r="D439" s="21">
        <v>1412617.25</v>
      </c>
      <c r="E439" s="21">
        <v>-122907.88</v>
      </c>
      <c r="F439" s="17">
        <f t="shared" si="68"/>
        <v>-8.7007206000000004E-2</v>
      </c>
      <c r="G439" s="21">
        <f t="shared" si="64"/>
        <v>122907.88</v>
      </c>
      <c r="H439" s="46">
        <f t="shared" si="65"/>
        <v>82348.28</v>
      </c>
      <c r="I439" s="43">
        <v>122877.87</v>
      </c>
      <c r="J439" s="43">
        <f t="shared" si="67"/>
        <v>30.010000000009313</v>
      </c>
      <c r="K439" s="43"/>
      <c r="L439">
        <f t="shared" si="66"/>
        <v>0</v>
      </c>
      <c r="M439">
        <v>4118</v>
      </c>
      <c r="N439">
        <v>7</v>
      </c>
      <c r="O439" s="7" t="s">
        <v>433</v>
      </c>
      <c r="P439" s="6">
        <v>1412617.25</v>
      </c>
      <c r="Q439" s="6">
        <v>-122877.87</v>
      </c>
      <c r="R439" s="17">
        <f t="shared" si="69"/>
        <v>-8.6999999999999994E-2</v>
      </c>
      <c r="S439" s="6">
        <f t="shared" si="70"/>
        <v>122877.87</v>
      </c>
      <c r="T439" s="6">
        <f t="shared" si="71"/>
        <v>82328.17</v>
      </c>
    </row>
    <row r="440" spans="1:20" x14ac:dyDescent="0.2">
      <c r="A440">
        <v>4119</v>
      </c>
      <c r="B440">
        <v>7</v>
      </c>
      <c r="C440" s="7" t="s">
        <v>434</v>
      </c>
      <c r="D440" s="21">
        <v>568320.36</v>
      </c>
      <c r="E440" s="21">
        <v>-49447.96</v>
      </c>
      <c r="F440" s="17">
        <f t="shared" si="68"/>
        <v>-8.7007194299999993E-2</v>
      </c>
      <c r="G440" s="21">
        <f t="shared" si="64"/>
        <v>49447.96</v>
      </c>
      <c r="H440" s="46">
        <f t="shared" si="65"/>
        <v>33130.129999999997</v>
      </c>
      <c r="I440" s="43">
        <v>49435.89</v>
      </c>
      <c r="J440" s="43">
        <f t="shared" si="67"/>
        <v>12.069999999999709</v>
      </c>
      <c r="K440" s="43"/>
      <c r="L440">
        <f t="shared" si="66"/>
        <v>0</v>
      </c>
      <c r="M440">
        <v>4119</v>
      </c>
      <c r="N440">
        <v>7</v>
      </c>
      <c r="O440" s="7" t="s">
        <v>434</v>
      </c>
      <c r="P440" s="6">
        <v>568320.36</v>
      </c>
      <c r="Q440" s="6">
        <v>-49435.89</v>
      </c>
      <c r="R440" s="17">
        <f t="shared" si="69"/>
        <v>-8.6999999999999994E-2</v>
      </c>
      <c r="S440" s="6">
        <f t="shared" si="70"/>
        <v>49435.89</v>
      </c>
      <c r="T440" s="6">
        <f t="shared" si="71"/>
        <v>33122.050000000003</v>
      </c>
    </row>
    <row r="441" spans="1:20" x14ac:dyDescent="0.2">
      <c r="A441">
        <v>4120</v>
      </c>
      <c r="B441">
        <v>7</v>
      </c>
      <c r="C441" s="7" t="s">
        <v>435</v>
      </c>
      <c r="D441" s="21">
        <v>2515714.9500000002</v>
      </c>
      <c r="E441" s="21">
        <v>-218885.32</v>
      </c>
      <c r="F441" s="17">
        <f t="shared" si="68"/>
        <v>-8.7007202500000005E-2</v>
      </c>
      <c r="G441" s="21">
        <f t="shared" si="64"/>
        <v>218885.32</v>
      </c>
      <c r="H441" s="46">
        <f t="shared" si="65"/>
        <v>146653.16</v>
      </c>
      <c r="I441" s="43">
        <v>218831.88</v>
      </c>
      <c r="J441" s="43">
        <f t="shared" si="67"/>
        <v>53.440000000002328</v>
      </c>
      <c r="K441" s="43"/>
      <c r="L441">
        <f t="shared" si="66"/>
        <v>0</v>
      </c>
      <c r="M441">
        <v>4120</v>
      </c>
      <c r="N441">
        <v>7</v>
      </c>
      <c r="O441" s="7" t="s">
        <v>435</v>
      </c>
      <c r="P441" s="6">
        <v>2515714.9500000002</v>
      </c>
      <c r="Q441" s="6">
        <v>-218831.88</v>
      </c>
      <c r="R441" s="17">
        <f t="shared" si="69"/>
        <v>-8.6999999999999994E-2</v>
      </c>
      <c r="S441" s="6">
        <f t="shared" si="70"/>
        <v>218831.88</v>
      </c>
      <c r="T441" s="6">
        <f t="shared" si="71"/>
        <v>146617.35999999999</v>
      </c>
    </row>
    <row r="442" spans="1:20" x14ac:dyDescent="0.2">
      <c r="A442">
        <v>4121</v>
      </c>
      <c r="B442">
        <v>7</v>
      </c>
      <c r="C442" s="7" t="s">
        <v>436</v>
      </c>
      <c r="D442" s="21">
        <v>2685526.3</v>
      </c>
      <c r="E442" s="21">
        <v>-233660.13</v>
      </c>
      <c r="F442" s="17">
        <f t="shared" si="68"/>
        <v>-8.7007202300000003E-2</v>
      </c>
      <c r="G442" s="21">
        <f t="shared" si="64"/>
        <v>233660.13</v>
      </c>
      <c r="H442" s="46">
        <f t="shared" si="65"/>
        <v>156552.29</v>
      </c>
      <c r="I442" s="43">
        <v>233603.08</v>
      </c>
      <c r="J442" s="43">
        <f t="shared" si="67"/>
        <v>57.050000000017462</v>
      </c>
      <c r="K442" s="43"/>
      <c r="L442">
        <f t="shared" si="66"/>
        <v>0</v>
      </c>
      <c r="M442">
        <v>4121</v>
      </c>
      <c r="N442">
        <v>7</v>
      </c>
      <c r="O442" s="7" t="s">
        <v>944</v>
      </c>
      <c r="P442" s="6">
        <v>2685526.3</v>
      </c>
      <c r="Q442" s="6">
        <v>-233603.08</v>
      </c>
      <c r="R442" s="17">
        <f t="shared" si="69"/>
        <v>-8.6999999999999994E-2</v>
      </c>
      <c r="S442" s="6">
        <f t="shared" si="70"/>
        <v>233603.08</v>
      </c>
      <c r="T442" s="6">
        <f t="shared" si="71"/>
        <v>156514.06</v>
      </c>
    </row>
    <row r="443" spans="1:20" x14ac:dyDescent="0.2">
      <c r="A443" s="19">
        <v>4122</v>
      </c>
      <c r="B443" s="19">
        <v>7</v>
      </c>
      <c r="C443" s="20" t="s">
        <v>437</v>
      </c>
      <c r="D443" s="22">
        <v>1952089.63</v>
      </c>
      <c r="E443" s="22">
        <v>-169845.86</v>
      </c>
      <c r="F443" s="17">
        <f t="shared" si="68"/>
        <v>-8.7007203699999994E-2</v>
      </c>
      <c r="G443" s="21">
        <f t="shared" si="64"/>
        <v>169845.86</v>
      </c>
      <c r="H443" s="46">
        <f t="shared" si="65"/>
        <v>113796.73</v>
      </c>
      <c r="I443" s="43">
        <v>169804.39</v>
      </c>
      <c r="J443" s="43">
        <f t="shared" si="67"/>
        <v>41.46999999997206</v>
      </c>
      <c r="K443" s="43"/>
      <c r="L443">
        <f t="shared" si="66"/>
        <v>0</v>
      </c>
      <c r="M443">
        <v>4122</v>
      </c>
      <c r="N443">
        <v>7</v>
      </c>
      <c r="O443" s="7" t="s">
        <v>945</v>
      </c>
      <c r="P443" s="6">
        <v>1952089.63</v>
      </c>
      <c r="Q443" s="6">
        <v>-169804.39</v>
      </c>
      <c r="R443" s="17">
        <f t="shared" si="69"/>
        <v>-8.6999999999999994E-2</v>
      </c>
      <c r="S443" s="6">
        <f t="shared" si="70"/>
        <v>169804.39</v>
      </c>
      <c r="T443" s="6">
        <f t="shared" si="71"/>
        <v>113768.94</v>
      </c>
    </row>
    <row r="444" spans="1:20" x14ac:dyDescent="0.2">
      <c r="A444">
        <v>4123</v>
      </c>
      <c r="B444">
        <v>7</v>
      </c>
      <c r="C444" s="7" t="s">
        <v>438</v>
      </c>
      <c r="D444" s="21">
        <v>265857.40000000002</v>
      </c>
      <c r="E444" s="21">
        <v>-23131.51</v>
      </c>
      <c r="F444" s="17">
        <f t="shared" si="68"/>
        <v>-8.7007207599999997E-2</v>
      </c>
      <c r="G444" s="21">
        <f t="shared" si="64"/>
        <v>23131.51</v>
      </c>
      <c r="H444" s="46">
        <f t="shared" si="65"/>
        <v>15498.11</v>
      </c>
      <c r="I444" s="43">
        <v>23125.86</v>
      </c>
      <c r="J444" s="43">
        <f t="shared" si="67"/>
        <v>5.6499999999978172</v>
      </c>
      <c r="K444" s="43"/>
      <c r="L444">
        <f t="shared" si="66"/>
        <v>0</v>
      </c>
      <c r="M444">
        <v>4123</v>
      </c>
      <c r="N444">
        <v>7</v>
      </c>
      <c r="O444" s="7" t="s">
        <v>946</v>
      </c>
      <c r="P444" s="6">
        <v>265857.40000000002</v>
      </c>
      <c r="Q444" s="6">
        <v>-23125.86</v>
      </c>
      <c r="R444" s="17">
        <f t="shared" si="69"/>
        <v>-8.6999999999999994E-2</v>
      </c>
      <c r="S444" s="6">
        <f t="shared" si="70"/>
        <v>23125.86</v>
      </c>
      <c r="T444" s="6">
        <f t="shared" si="71"/>
        <v>15494.33</v>
      </c>
    </row>
    <row r="445" spans="1:20" x14ac:dyDescent="0.2">
      <c r="A445">
        <v>4124</v>
      </c>
      <c r="B445">
        <v>7</v>
      </c>
      <c r="C445" s="7" t="s">
        <v>439</v>
      </c>
      <c r="D445" s="21">
        <v>1508996.71</v>
      </c>
      <c r="E445" s="21">
        <v>-131293.57999999999</v>
      </c>
      <c r="F445" s="17">
        <f t="shared" si="68"/>
        <v>-8.7007201000000006E-2</v>
      </c>
      <c r="G445" s="21">
        <f t="shared" si="64"/>
        <v>131293.57999999999</v>
      </c>
      <c r="H445" s="46">
        <f t="shared" si="65"/>
        <v>87966.7</v>
      </c>
      <c r="I445" s="43">
        <v>131261.53</v>
      </c>
      <c r="J445" s="43">
        <f t="shared" si="67"/>
        <v>32.049999999988358</v>
      </c>
      <c r="K445" s="43"/>
      <c r="L445">
        <f t="shared" si="66"/>
        <v>0</v>
      </c>
      <c r="M445">
        <v>4124</v>
      </c>
      <c r="N445">
        <v>7</v>
      </c>
      <c r="O445" s="7" t="s">
        <v>439</v>
      </c>
      <c r="P445" s="6">
        <v>1508996.71</v>
      </c>
      <c r="Q445" s="6">
        <v>-131261.53</v>
      </c>
      <c r="R445" s="17">
        <f t="shared" si="69"/>
        <v>-8.6999999999999994E-2</v>
      </c>
      <c r="S445" s="6">
        <f t="shared" si="70"/>
        <v>131261.53</v>
      </c>
      <c r="T445" s="6">
        <f t="shared" si="71"/>
        <v>87945.23</v>
      </c>
    </row>
    <row r="446" spans="1:20" x14ac:dyDescent="0.2">
      <c r="A446">
        <v>4125</v>
      </c>
      <c r="B446">
        <v>7</v>
      </c>
      <c r="C446" s="7" t="s">
        <v>440</v>
      </c>
      <c r="D446" s="21">
        <v>848263.52</v>
      </c>
      <c r="E446" s="21">
        <v>-73805.039999999994</v>
      </c>
      <c r="F446" s="17">
        <f t="shared" si="68"/>
        <v>-8.7007207399999995E-2</v>
      </c>
      <c r="G446" s="21">
        <f t="shared" si="64"/>
        <v>73805.039999999994</v>
      </c>
      <c r="H446" s="46">
        <f t="shared" si="65"/>
        <v>49449.38</v>
      </c>
      <c r="I446" s="43">
        <v>73787.02</v>
      </c>
      <c r="J446" s="43">
        <f t="shared" si="67"/>
        <v>18.019999999989523</v>
      </c>
      <c r="K446" s="43"/>
      <c r="L446">
        <f t="shared" si="66"/>
        <v>0</v>
      </c>
      <c r="M446">
        <v>4125</v>
      </c>
      <c r="N446">
        <v>7</v>
      </c>
      <c r="O446" s="7" t="s">
        <v>947</v>
      </c>
      <c r="P446" s="6">
        <v>848263.52</v>
      </c>
      <c r="Q446" s="6">
        <v>-73787.02</v>
      </c>
      <c r="R446" s="17">
        <f t="shared" si="69"/>
        <v>-8.6999999999999994E-2</v>
      </c>
      <c r="S446" s="6">
        <f t="shared" si="70"/>
        <v>73787.02</v>
      </c>
      <c r="T446" s="6">
        <f t="shared" si="71"/>
        <v>49437.3</v>
      </c>
    </row>
    <row r="447" spans="1:20" x14ac:dyDescent="0.2">
      <c r="A447">
        <v>4126</v>
      </c>
      <c r="B447">
        <v>7</v>
      </c>
      <c r="C447" s="7" t="s">
        <v>441</v>
      </c>
      <c r="D447" s="21">
        <v>3108063.18</v>
      </c>
      <c r="E447" s="21">
        <v>-270423.88</v>
      </c>
      <c r="F447" s="17">
        <f t="shared" si="68"/>
        <v>-8.7007201699999995E-2</v>
      </c>
      <c r="G447" s="21">
        <f t="shared" si="64"/>
        <v>270423.88</v>
      </c>
      <c r="H447" s="46">
        <f t="shared" si="65"/>
        <v>181184</v>
      </c>
      <c r="I447" s="43">
        <v>270357.86</v>
      </c>
      <c r="J447" s="43">
        <f t="shared" si="67"/>
        <v>66.020000000018626</v>
      </c>
      <c r="K447" s="43"/>
      <c r="L447">
        <f t="shared" si="66"/>
        <v>0</v>
      </c>
      <c r="M447">
        <v>4126</v>
      </c>
      <c r="N447">
        <v>7</v>
      </c>
      <c r="O447" s="7" t="s">
        <v>441</v>
      </c>
      <c r="P447" s="6">
        <v>3108063.18</v>
      </c>
      <c r="Q447" s="6">
        <v>-270357.86</v>
      </c>
      <c r="R447" s="17">
        <f t="shared" ref="R447:R478" si="72">IF(P447&gt;0,ROUND(Q447/P447,3),"na   ")</f>
        <v>-8.6999999999999994E-2</v>
      </c>
      <c r="S447" s="6">
        <f t="shared" ref="S447:S478" si="73">Q447*-1</f>
        <v>270357.86</v>
      </c>
      <c r="T447" s="6">
        <f t="shared" ref="T447:T478" si="74">ROUND(S447*0.67,2)</f>
        <v>181139.77</v>
      </c>
    </row>
    <row r="448" spans="1:20" x14ac:dyDescent="0.2">
      <c r="A448">
        <v>4127</v>
      </c>
      <c r="B448">
        <v>7</v>
      </c>
      <c r="C448" s="7" t="s">
        <v>442</v>
      </c>
      <c r="D448" s="21">
        <v>800295.51</v>
      </c>
      <c r="E448" s="21">
        <v>-69631.47</v>
      </c>
      <c r="F448" s="17">
        <f t="shared" si="68"/>
        <v>-8.7007198100000002E-2</v>
      </c>
      <c r="G448" s="21">
        <f t="shared" si="64"/>
        <v>69631.47</v>
      </c>
      <c r="H448" s="46">
        <f t="shared" si="65"/>
        <v>46653.08</v>
      </c>
      <c r="I448" s="43">
        <v>69614.47</v>
      </c>
      <c r="J448" s="43">
        <f t="shared" si="67"/>
        <v>17</v>
      </c>
      <c r="K448" s="43"/>
      <c r="L448">
        <f t="shared" si="66"/>
        <v>0</v>
      </c>
      <c r="M448">
        <v>4127</v>
      </c>
      <c r="N448">
        <v>7</v>
      </c>
      <c r="O448" s="7" t="s">
        <v>442</v>
      </c>
      <c r="P448" s="6">
        <v>800295.51</v>
      </c>
      <c r="Q448" s="6">
        <v>-69614.47</v>
      </c>
      <c r="R448" s="17">
        <f t="shared" si="72"/>
        <v>-8.6999999999999994E-2</v>
      </c>
      <c r="S448" s="6">
        <f t="shared" si="73"/>
        <v>69614.47</v>
      </c>
      <c r="T448" s="6">
        <f t="shared" si="74"/>
        <v>46641.69</v>
      </c>
    </row>
    <row r="449" spans="1:20" x14ac:dyDescent="0.2">
      <c r="A449">
        <v>4131</v>
      </c>
      <c r="B449">
        <v>7</v>
      </c>
      <c r="C449" s="7" t="s">
        <v>443</v>
      </c>
      <c r="D449" s="21">
        <v>1738036.11</v>
      </c>
      <c r="E449" s="21">
        <v>-151221.66</v>
      </c>
      <c r="F449" s="17">
        <f t="shared" si="68"/>
        <v>-8.70072026E-2</v>
      </c>
      <c r="G449" s="21">
        <f t="shared" si="64"/>
        <v>151221.66</v>
      </c>
      <c r="H449" s="46">
        <f t="shared" si="65"/>
        <v>101318.51</v>
      </c>
      <c r="I449" s="43">
        <v>151184.74</v>
      </c>
      <c r="J449" s="43">
        <f t="shared" si="67"/>
        <v>36.920000000012806</v>
      </c>
      <c r="K449" s="43"/>
      <c r="L449">
        <f t="shared" si="66"/>
        <v>0</v>
      </c>
      <c r="M449">
        <v>4131</v>
      </c>
      <c r="N449">
        <v>7</v>
      </c>
      <c r="O449" s="7" t="s">
        <v>443</v>
      </c>
      <c r="P449" s="6">
        <v>1738036.11</v>
      </c>
      <c r="Q449" s="6">
        <v>-151184.74</v>
      </c>
      <c r="R449" s="17">
        <f t="shared" si="72"/>
        <v>-8.6999999999999994E-2</v>
      </c>
      <c r="S449" s="6">
        <f t="shared" si="73"/>
        <v>151184.74</v>
      </c>
      <c r="T449" s="6">
        <f t="shared" si="74"/>
        <v>101293.78</v>
      </c>
    </row>
    <row r="450" spans="1:20" x14ac:dyDescent="0.2">
      <c r="A450">
        <v>4132</v>
      </c>
      <c r="B450">
        <v>7</v>
      </c>
      <c r="C450" s="7" t="s">
        <v>444</v>
      </c>
      <c r="D450" s="21">
        <v>566893.84</v>
      </c>
      <c r="E450" s="21">
        <v>-49323.85</v>
      </c>
      <c r="F450" s="17">
        <f t="shared" si="68"/>
        <v>-8.7007207599999997E-2</v>
      </c>
      <c r="G450" s="21">
        <f t="shared" si="64"/>
        <v>49323.85</v>
      </c>
      <c r="H450" s="46">
        <f t="shared" si="65"/>
        <v>33046.980000000003</v>
      </c>
      <c r="I450" s="43">
        <v>49311.8</v>
      </c>
      <c r="J450" s="43">
        <f t="shared" si="67"/>
        <v>12.049999999995634</v>
      </c>
      <c r="K450" s="43"/>
      <c r="L450">
        <f t="shared" si="66"/>
        <v>0</v>
      </c>
      <c r="M450">
        <v>4132</v>
      </c>
      <c r="N450">
        <v>7</v>
      </c>
      <c r="O450" s="7" t="s">
        <v>444</v>
      </c>
      <c r="P450" s="6">
        <v>566893.84</v>
      </c>
      <c r="Q450" s="6">
        <v>-49311.8</v>
      </c>
      <c r="R450" s="17">
        <f t="shared" si="72"/>
        <v>-8.6999999999999994E-2</v>
      </c>
      <c r="S450" s="6">
        <f t="shared" si="73"/>
        <v>49311.8</v>
      </c>
      <c r="T450" s="6">
        <f t="shared" si="74"/>
        <v>33038.910000000003</v>
      </c>
    </row>
    <row r="451" spans="1:20" x14ac:dyDescent="0.2">
      <c r="A451">
        <v>4133</v>
      </c>
      <c r="B451">
        <v>7</v>
      </c>
      <c r="C451" s="7" t="s">
        <v>445</v>
      </c>
      <c r="D451" s="21">
        <v>435771.27</v>
      </c>
      <c r="E451" s="21">
        <v>-37915.24</v>
      </c>
      <c r="F451" s="17">
        <f t="shared" si="68"/>
        <v>-8.7007204500000004E-2</v>
      </c>
      <c r="G451" s="21">
        <f t="shared" si="64"/>
        <v>37915.24</v>
      </c>
      <c r="H451" s="46">
        <f t="shared" si="65"/>
        <v>25403.21</v>
      </c>
      <c r="I451" s="43">
        <v>37905.980000000003</v>
      </c>
      <c r="J451" s="43">
        <f t="shared" si="67"/>
        <v>9.2599999999947613</v>
      </c>
      <c r="K451" s="43"/>
      <c r="L451">
        <f t="shared" si="66"/>
        <v>0</v>
      </c>
      <c r="M451">
        <v>4133</v>
      </c>
      <c r="N451">
        <v>7</v>
      </c>
      <c r="O451" s="7" t="s">
        <v>445</v>
      </c>
      <c r="P451" s="6">
        <v>435771.27</v>
      </c>
      <c r="Q451" s="6">
        <v>-37905.980000000003</v>
      </c>
      <c r="R451" s="17">
        <f t="shared" si="72"/>
        <v>-8.6999999999999994E-2</v>
      </c>
      <c r="S451" s="6">
        <f t="shared" si="73"/>
        <v>37905.980000000003</v>
      </c>
      <c r="T451" s="6">
        <f t="shared" si="74"/>
        <v>25397.01</v>
      </c>
    </row>
    <row r="452" spans="1:20" x14ac:dyDescent="0.2">
      <c r="A452">
        <v>4135</v>
      </c>
      <c r="B452">
        <v>7</v>
      </c>
      <c r="C452" s="7" t="s">
        <v>446</v>
      </c>
      <c r="D452" s="21">
        <v>1079597.75</v>
      </c>
      <c r="E452" s="21">
        <v>-93932.78</v>
      </c>
      <c r="F452" s="17">
        <f t="shared" si="68"/>
        <v>-8.7007202500000005E-2</v>
      </c>
      <c r="G452" s="21">
        <f t="shared" si="64"/>
        <v>93932.78</v>
      </c>
      <c r="H452" s="46">
        <f t="shared" si="65"/>
        <v>62934.96</v>
      </c>
      <c r="I452" s="43">
        <v>93909.85</v>
      </c>
      <c r="J452" s="43">
        <f t="shared" si="67"/>
        <v>22.929999999993015</v>
      </c>
      <c r="K452" s="43"/>
      <c r="L452">
        <f t="shared" si="66"/>
        <v>0</v>
      </c>
      <c r="M452">
        <v>4135</v>
      </c>
      <c r="N452">
        <v>7</v>
      </c>
      <c r="O452" s="7" t="s">
        <v>950</v>
      </c>
      <c r="P452" s="6">
        <v>1079597.75</v>
      </c>
      <c r="Q452" s="6">
        <v>-93909.85</v>
      </c>
      <c r="R452" s="17">
        <f t="shared" si="72"/>
        <v>-8.6999999999999994E-2</v>
      </c>
      <c r="S452" s="6">
        <f t="shared" si="73"/>
        <v>93909.85</v>
      </c>
      <c r="T452" s="6">
        <f t="shared" si="74"/>
        <v>62919.6</v>
      </c>
    </row>
    <row r="453" spans="1:20" x14ac:dyDescent="0.2">
      <c r="A453">
        <v>4137</v>
      </c>
      <c r="B453">
        <v>7</v>
      </c>
      <c r="C453" s="7" t="s">
        <v>447</v>
      </c>
      <c r="D453" s="21">
        <v>739697.58</v>
      </c>
      <c r="E453" s="21">
        <v>-64359.02</v>
      </c>
      <c r="F453" s="17">
        <f t="shared" si="68"/>
        <v>-8.7007206399999995E-2</v>
      </c>
      <c r="G453" s="21">
        <f t="shared" si="64"/>
        <v>64359.02</v>
      </c>
      <c r="H453" s="46">
        <f t="shared" si="65"/>
        <v>43120.54</v>
      </c>
      <c r="I453" s="43">
        <v>64343.3</v>
      </c>
      <c r="J453" s="43">
        <f t="shared" si="67"/>
        <v>15.719999999993888</v>
      </c>
      <c r="K453" s="43"/>
      <c r="L453">
        <f t="shared" si="66"/>
        <v>0</v>
      </c>
      <c r="M453">
        <v>4137</v>
      </c>
      <c r="N453">
        <v>7</v>
      </c>
      <c r="O453" s="7" t="s">
        <v>952</v>
      </c>
      <c r="P453" s="6">
        <v>739697.58</v>
      </c>
      <c r="Q453" s="6">
        <v>-64343.3</v>
      </c>
      <c r="R453" s="17">
        <f t="shared" si="72"/>
        <v>-8.6999999999999994E-2</v>
      </c>
      <c r="S453" s="6">
        <f t="shared" si="73"/>
        <v>64343.3</v>
      </c>
      <c r="T453" s="6">
        <f t="shared" si="74"/>
        <v>43110.01</v>
      </c>
    </row>
    <row r="454" spans="1:20" x14ac:dyDescent="0.2">
      <c r="A454">
        <v>4138</v>
      </c>
      <c r="B454">
        <v>7</v>
      </c>
      <c r="C454" s="7" t="s">
        <v>448</v>
      </c>
      <c r="D454" s="21">
        <v>327710.12</v>
      </c>
      <c r="E454" s="21">
        <v>-28513.14</v>
      </c>
      <c r="F454" s="17">
        <f t="shared" si="68"/>
        <v>-8.7007200100000001E-2</v>
      </c>
      <c r="G454" s="21">
        <f t="shared" si="64"/>
        <v>28513.14</v>
      </c>
      <c r="H454" s="46">
        <f t="shared" si="65"/>
        <v>19103.8</v>
      </c>
      <c r="I454" s="43">
        <v>28506.18</v>
      </c>
      <c r="J454" s="43">
        <f t="shared" si="67"/>
        <v>6.9599999999991269</v>
      </c>
      <c r="K454" s="43"/>
      <c r="L454">
        <f t="shared" si="66"/>
        <v>0</v>
      </c>
      <c r="M454">
        <v>4138</v>
      </c>
      <c r="N454">
        <v>7</v>
      </c>
      <c r="O454" s="7" t="s">
        <v>448</v>
      </c>
      <c r="P454" s="6">
        <v>327710.12</v>
      </c>
      <c r="Q454" s="6">
        <v>-28506.18</v>
      </c>
      <c r="R454" s="17">
        <f t="shared" si="72"/>
        <v>-8.6999999999999994E-2</v>
      </c>
      <c r="S454" s="6">
        <f t="shared" si="73"/>
        <v>28506.18</v>
      </c>
      <c r="T454" s="6">
        <f t="shared" si="74"/>
        <v>19099.14</v>
      </c>
    </row>
    <row r="455" spans="1:20" x14ac:dyDescent="0.2">
      <c r="A455">
        <v>4139</v>
      </c>
      <c r="B455">
        <v>7</v>
      </c>
      <c r="C455" s="7" t="s">
        <v>449</v>
      </c>
      <c r="D455" s="21">
        <v>2231380.36</v>
      </c>
      <c r="E455" s="21">
        <v>-194146.16</v>
      </c>
      <c r="F455" s="17">
        <f t="shared" si="68"/>
        <v>-8.7007201199999995E-2</v>
      </c>
      <c r="G455" s="21">
        <f t="shared" si="64"/>
        <v>194146.16</v>
      </c>
      <c r="H455" s="46">
        <f t="shared" si="65"/>
        <v>130077.93</v>
      </c>
      <c r="I455" s="43">
        <v>194098.76</v>
      </c>
      <c r="J455" s="43">
        <f t="shared" si="67"/>
        <v>47.399999999994179</v>
      </c>
      <c r="K455" s="43"/>
      <c r="L455">
        <f t="shared" si="66"/>
        <v>0</v>
      </c>
      <c r="M455">
        <v>4139</v>
      </c>
      <c r="N455">
        <v>7</v>
      </c>
      <c r="O455" s="7" t="s">
        <v>449</v>
      </c>
      <c r="P455" s="6">
        <v>2231380.36</v>
      </c>
      <c r="Q455" s="6">
        <v>-194098.76</v>
      </c>
      <c r="R455" s="17">
        <f t="shared" si="72"/>
        <v>-8.6999999999999994E-2</v>
      </c>
      <c r="S455" s="6">
        <f t="shared" si="73"/>
        <v>194098.76</v>
      </c>
      <c r="T455" s="6">
        <f t="shared" si="74"/>
        <v>130046.17</v>
      </c>
    </row>
    <row r="456" spans="1:20" x14ac:dyDescent="0.2">
      <c r="A456">
        <v>4140</v>
      </c>
      <c r="B456">
        <v>7</v>
      </c>
      <c r="C456" s="7" t="s">
        <v>450</v>
      </c>
      <c r="D456" s="21">
        <v>805787.71</v>
      </c>
      <c r="E456" s="21">
        <v>-70109.33</v>
      </c>
      <c r="F456" s="17">
        <f t="shared" si="68"/>
        <v>-8.7007196999999994E-2</v>
      </c>
      <c r="G456" s="21">
        <f t="shared" si="64"/>
        <v>70109.33</v>
      </c>
      <c r="H456" s="46">
        <f t="shared" si="65"/>
        <v>46973.25</v>
      </c>
      <c r="I456" s="43">
        <v>70092.22</v>
      </c>
      <c r="J456" s="43">
        <f t="shared" si="67"/>
        <v>17.110000000000582</v>
      </c>
      <c r="K456" s="43"/>
      <c r="L456">
        <f t="shared" si="66"/>
        <v>0</v>
      </c>
      <c r="M456">
        <v>4140</v>
      </c>
      <c r="N456">
        <v>7</v>
      </c>
      <c r="O456" s="7" t="s">
        <v>450</v>
      </c>
      <c r="P456" s="6">
        <v>805787.71</v>
      </c>
      <c r="Q456" s="6">
        <v>-70092.22</v>
      </c>
      <c r="R456" s="17">
        <f t="shared" si="72"/>
        <v>-8.6999999999999994E-2</v>
      </c>
      <c r="S456" s="6">
        <f t="shared" si="73"/>
        <v>70092.22</v>
      </c>
      <c r="T456" s="6">
        <f t="shared" si="74"/>
        <v>46961.79</v>
      </c>
    </row>
    <row r="457" spans="1:20" x14ac:dyDescent="0.2">
      <c r="A457">
        <v>4141</v>
      </c>
      <c r="B457">
        <v>7</v>
      </c>
      <c r="C457" s="7" t="s">
        <v>451</v>
      </c>
      <c r="D457" s="21">
        <v>1950999.02</v>
      </c>
      <c r="E457" s="21">
        <v>-169750.97</v>
      </c>
      <c r="F457" s="17">
        <f t="shared" si="68"/>
        <v>-8.7007204099999999E-2</v>
      </c>
      <c r="G457" s="21">
        <f t="shared" si="64"/>
        <v>169750.97</v>
      </c>
      <c r="H457" s="46">
        <f t="shared" si="65"/>
        <v>113733.15</v>
      </c>
      <c r="I457" s="43">
        <v>169709.52</v>
      </c>
      <c r="J457" s="43">
        <f t="shared" si="67"/>
        <v>41.450000000011642</v>
      </c>
      <c r="K457" s="43"/>
      <c r="L457">
        <f t="shared" si="66"/>
        <v>0</v>
      </c>
      <c r="M457">
        <v>4141</v>
      </c>
      <c r="N457">
        <v>7</v>
      </c>
      <c r="O457" s="7" t="s">
        <v>451</v>
      </c>
      <c r="P457" s="6">
        <v>1950999.02</v>
      </c>
      <c r="Q457" s="6">
        <v>-169709.52</v>
      </c>
      <c r="R457" s="17">
        <f t="shared" si="72"/>
        <v>-8.6999999999999994E-2</v>
      </c>
      <c r="S457" s="6">
        <f t="shared" si="73"/>
        <v>169709.52</v>
      </c>
      <c r="T457" s="6">
        <f t="shared" si="74"/>
        <v>113705.38</v>
      </c>
    </row>
    <row r="458" spans="1:20" x14ac:dyDescent="0.2">
      <c r="A458">
        <v>4142</v>
      </c>
      <c r="B458">
        <v>7</v>
      </c>
      <c r="C458" s="7" t="s">
        <v>452</v>
      </c>
      <c r="D458" s="21">
        <v>1672263.91</v>
      </c>
      <c r="E458" s="21">
        <v>-145499</v>
      </c>
      <c r="F458" s="17">
        <f t="shared" si="68"/>
        <v>-8.7007199699999996E-2</v>
      </c>
      <c r="G458" s="21">
        <f t="shared" si="64"/>
        <v>145499</v>
      </c>
      <c r="H458" s="46">
        <f t="shared" si="65"/>
        <v>97484.33</v>
      </c>
      <c r="I458" s="43">
        <v>145463.48000000001</v>
      </c>
      <c r="J458" s="43">
        <f t="shared" si="67"/>
        <v>35.519999999989523</v>
      </c>
      <c r="K458" s="43"/>
      <c r="L458">
        <f t="shared" si="66"/>
        <v>0</v>
      </c>
      <c r="M458">
        <v>4142</v>
      </c>
      <c r="N458">
        <v>7</v>
      </c>
      <c r="O458" s="7" t="s">
        <v>452</v>
      </c>
      <c r="P458" s="6">
        <v>1672263.91</v>
      </c>
      <c r="Q458" s="6">
        <v>-145463.48000000001</v>
      </c>
      <c r="R458" s="17">
        <f t="shared" si="72"/>
        <v>-8.6999999999999994E-2</v>
      </c>
      <c r="S458" s="6">
        <f t="shared" si="73"/>
        <v>145463.48000000001</v>
      </c>
      <c r="T458" s="6">
        <f t="shared" si="74"/>
        <v>97460.53</v>
      </c>
    </row>
    <row r="459" spans="1:20" x14ac:dyDescent="0.2">
      <c r="A459">
        <v>4143</v>
      </c>
      <c r="B459">
        <v>7</v>
      </c>
      <c r="C459" s="7" t="s">
        <v>453</v>
      </c>
      <c r="D459" s="21">
        <v>3227263.51</v>
      </c>
      <c r="E459" s="21">
        <v>-280795.17</v>
      </c>
      <c r="F459" s="17">
        <f t="shared" si="68"/>
        <v>-8.70072026E-2</v>
      </c>
      <c r="G459" s="21">
        <f t="shared" si="64"/>
        <v>280795.17</v>
      </c>
      <c r="H459" s="46">
        <f t="shared" si="65"/>
        <v>188132.76</v>
      </c>
      <c r="I459" s="43">
        <v>280726.61</v>
      </c>
      <c r="J459" s="43">
        <f t="shared" si="67"/>
        <v>68.559999999997672</v>
      </c>
      <c r="K459" s="43"/>
      <c r="L459">
        <f t="shared" si="66"/>
        <v>0</v>
      </c>
      <c r="M459">
        <v>4143</v>
      </c>
      <c r="N459">
        <v>7</v>
      </c>
      <c r="O459" s="7" t="s">
        <v>953</v>
      </c>
      <c r="P459" s="6">
        <v>3227263.51</v>
      </c>
      <c r="Q459" s="6">
        <v>-280726.61</v>
      </c>
      <c r="R459" s="17">
        <f t="shared" si="72"/>
        <v>-8.6999999999999994E-2</v>
      </c>
      <c r="S459" s="6">
        <f t="shared" si="73"/>
        <v>280726.61</v>
      </c>
      <c r="T459" s="6">
        <f t="shared" si="74"/>
        <v>188086.83</v>
      </c>
    </row>
    <row r="460" spans="1:20" x14ac:dyDescent="0.2">
      <c r="A460">
        <v>4144</v>
      </c>
      <c r="B460">
        <v>7</v>
      </c>
      <c r="C460" s="7" t="s">
        <v>454</v>
      </c>
      <c r="D460" s="21">
        <v>489582.59</v>
      </c>
      <c r="E460" s="21">
        <v>-42597.21</v>
      </c>
      <c r="F460" s="17">
        <f t="shared" si="68"/>
        <v>-8.7007199300000004E-2</v>
      </c>
      <c r="G460" s="21">
        <f t="shared" si="64"/>
        <v>42597.21</v>
      </c>
      <c r="H460" s="46">
        <f t="shared" si="65"/>
        <v>28540.13</v>
      </c>
      <c r="I460" s="43">
        <v>42586.81</v>
      </c>
      <c r="J460" s="43">
        <f t="shared" si="67"/>
        <v>10.400000000001455</v>
      </c>
      <c r="K460" s="43"/>
      <c r="L460">
        <f t="shared" si="66"/>
        <v>0</v>
      </c>
      <c r="M460">
        <v>4144</v>
      </c>
      <c r="N460">
        <v>7</v>
      </c>
      <c r="O460" s="7" t="s">
        <v>454</v>
      </c>
      <c r="P460" s="6">
        <v>489582.59</v>
      </c>
      <c r="Q460" s="6">
        <v>-42586.81</v>
      </c>
      <c r="R460" s="17">
        <f t="shared" si="72"/>
        <v>-8.6999999999999994E-2</v>
      </c>
      <c r="S460" s="6">
        <f t="shared" si="73"/>
        <v>42586.81</v>
      </c>
      <c r="T460" s="6">
        <f t="shared" si="74"/>
        <v>28533.16</v>
      </c>
    </row>
    <row r="461" spans="1:20" x14ac:dyDescent="0.2">
      <c r="A461">
        <v>4145</v>
      </c>
      <c r="B461">
        <v>7</v>
      </c>
      <c r="C461" s="7" t="s">
        <v>455</v>
      </c>
      <c r="D461" s="21">
        <v>324110.2</v>
      </c>
      <c r="E461" s="21">
        <v>-28199.919999999998</v>
      </c>
      <c r="F461" s="17">
        <f t="shared" si="68"/>
        <v>-8.70071969E-2</v>
      </c>
      <c r="G461" s="21">
        <f t="shared" ref="G461:G488" si="75">E461*-1</f>
        <v>28199.919999999998</v>
      </c>
      <c r="H461" s="46">
        <f t="shared" ref="H461:H488" si="76">ROUND(G461*0.67,2)</f>
        <v>18893.95</v>
      </c>
      <c r="I461" s="43">
        <v>28193.040000000001</v>
      </c>
      <c r="J461" s="43">
        <f t="shared" si="67"/>
        <v>6.8799999999973807</v>
      </c>
      <c r="K461" s="43"/>
      <c r="L461">
        <f t="shared" si="66"/>
        <v>0</v>
      </c>
      <c r="M461">
        <v>4145</v>
      </c>
      <c r="N461">
        <v>7</v>
      </c>
      <c r="O461" s="7" t="s">
        <v>455</v>
      </c>
      <c r="P461" s="6">
        <v>324110.2</v>
      </c>
      <c r="Q461" s="6">
        <v>-28193.040000000001</v>
      </c>
      <c r="R461" s="17">
        <f t="shared" si="72"/>
        <v>-8.6999999999999994E-2</v>
      </c>
      <c r="S461" s="6">
        <f t="shared" si="73"/>
        <v>28193.040000000001</v>
      </c>
      <c r="T461" s="6">
        <f t="shared" si="74"/>
        <v>18889.34</v>
      </c>
    </row>
    <row r="462" spans="1:20" x14ac:dyDescent="0.2">
      <c r="A462">
        <v>4146</v>
      </c>
      <c r="B462">
        <v>7</v>
      </c>
      <c r="C462" s="7" t="s">
        <v>456</v>
      </c>
      <c r="D462" s="21">
        <v>722498.86</v>
      </c>
      <c r="E462" s="21">
        <v>-62862.6</v>
      </c>
      <c r="F462" s="17">
        <f t="shared" si="68"/>
        <v>-8.7007196100000003E-2</v>
      </c>
      <c r="G462" s="21">
        <f t="shared" si="75"/>
        <v>62862.6</v>
      </c>
      <c r="H462" s="46">
        <f t="shared" si="76"/>
        <v>42117.94</v>
      </c>
      <c r="I462" s="43">
        <v>62847.26</v>
      </c>
      <c r="J462" s="43">
        <f t="shared" si="67"/>
        <v>15.339999999996508</v>
      </c>
      <c r="K462" s="43"/>
      <c r="L462">
        <f t="shared" ref="L462:L488" si="77">M462-A462</f>
        <v>0</v>
      </c>
      <c r="M462">
        <v>4146</v>
      </c>
      <c r="N462">
        <v>7</v>
      </c>
      <c r="O462" s="7" t="s">
        <v>954</v>
      </c>
      <c r="P462" s="6">
        <v>722498.86</v>
      </c>
      <c r="Q462" s="6">
        <v>-62847.26</v>
      </c>
      <c r="R462" s="17">
        <f t="shared" si="72"/>
        <v>-8.6999999999999994E-2</v>
      </c>
      <c r="S462" s="6">
        <f t="shared" si="73"/>
        <v>62847.26</v>
      </c>
      <c r="T462" s="6">
        <f t="shared" si="74"/>
        <v>42107.66</v>
      </c>
    </row>
    <row r="463" spans="1:20" x14ac:dyDescent="0.2">
      <c r="A463">
        <v>4149</v>
      </c>
      <c r="B463">
        <v>7</v>
      </c>
      <c r="C463" s="7" t="s">
        <v>457</v>
      </c>
      <c r="D463" s="21">
        <v>632914.72</v>
      </c>
      <c r="E463" s="21">
        <v>-55068.14</v>
      </c>
      <c r="F463" s="17">
        <f t="shared" si="68"/>
        <v>-8.7007203800000002E-2</v>
      </c>
      <c r="G463" s="21">
        <f t="shared" si="75"/>
        <v>55068.14</v>
      </c>
      <c r="H463" s="46">
        <f t="shared" si="76"/>
        <v>36895.65</v>
      </c>
      <c r="I463" s="43">
        <v>55054.69</v>
      </c>
      <c r="J463" s="43">
        <f t="shared" ref="J463:J488" si="78">G463-I463</f>
        <v>13.44999999999709</v>
      </c>
      <c r="K463" s="43"/>
      <c r="L463">
        <f t="shared" si="77"/>
        <v>0</v>
      </c>
      <c r="M463">
        <v>4149</v>
      </c>
      <c r="N463">
        <v>7</v>
      </c>
      <c r="O463" s="7" t="s">
        <v>457</v>
      </c>
      <c r="P463" s="6">
        <v>632914.72</v>
      </c>
      <c r="Q463" s="6">
        <v>-55054.69</v>
      </c>
      <c r="R463" s="17">
        <f t="shared" si="72"/>
        <v>-8.6999999999999994E-2</v>
      </c>
      <c r="S463" s="6">
        <f t="shared" si="73"/>
        <v>55054.69</v>
      </c>
      <c r="T463" s="6">
        <f t="shared" si="74"/>
        <v>36886.639999999999</v>
      </c>
    </row>
    <row r="464" spans="1:20" x14ac:dyDescent="0.2">
      <c r="A464">
        <v>4150</v>
      </c>
      <c r="B464">
        <v>7</v>
      </c>
      <c r="C464" s="7" t="s">
        <v>458</v>
      </c>
      <c r="D464" s="21">
        <v>690299.95</v>
      </c>
      <c r="E464" s="21">
        <v>-60061.07</v>
      </c>
      <c r="F464" s="17">
        <f t="shared" ref="F464:F488" si="79">IF(D464&gt;0,ROUND(E464/D464,10),"na   ")</f>
        <v>-8.7007206099999998E-2</v>
      </c>
      <c r="G464" s="21">
        <f t="shared" si="75"/>
        <v>60061.07</v>
      </c>
      <c r="H464" s="46">
        <f t="shared" si="76"/>
        <v>40240.92</v>
      </c>
      <c r="I464" s="43">
        <v>60046.400000000001</v>
      </c>
      <c r="J464" s="43">
        <f t="shared" si="78"/>
        <v>14.669999999998254</v>
      </c>
      <c r="K464" s="43"/>
      <c r="L464">
        <f t="shared" si="77"/>
        <v>0</v>
      </c>
      <c r="M464">
        <v>4150</v>
      </c>
      <c r="N464">
        <v>7</v>
      </c>
      <c r="O464" s="7" t="s">
        <v>458</v>
      </c>
      <c r="P464" s="6">
        <v>690299.95</v>
      </c>
      <c r="Q464" s="6">
        <v>-60046.400000000001</v>
      </c>
      <c r="R464" s="17">
        <f t="shared" si="72"/>
        <v>-8.6999999999999994E-2</v>
      </c>
      <c r="S464" s="6">
        <f t="shared" si="73"/>
        <v>60046.400000000001</v>
      </c>
      <c r="T464" s="6">
        <f t="shared" si="74"/>
        <v>40231.089999999997</v>
      </c>
    </row>
    <row r="465" spans="1:20" x14ac:dyDescent="0.2">
      <c r="A465">
        <v>4151</v>
      </c>
      <c r="B465">
        <v>7</v>
      </c>
      <c r="C465" s="7" t="s">
        <v>459</v>
      </c>
      <c r="D465" s="21">
        <v>558154.28</v>
      </c>
      <c r="E465" s="21">
        <v>-48563.44</v>
      </c>
      <c r="F465" s="17">
        <f t="shared" si="79"/>
        <v>-8.7007198100000002E-2</v>
      </c>
      <c r="G465" s="21">
        <f t="shared" si="75"/>
        <v>48563.44</v>
      </c>
      <c r="H465" s="46">
        <f t="shared" si="76"/>
        <v>32537.5</v>
      </c>
      <c r="I465" s="43">
        <v>48551.59</v>
      </c>
      <c r="J465" s="43">
        <f t="shared" si="78"/>
        <v>11.850000000005821</v>
      </c>
      <c r="K465" s="43"/>
      <c r="L465">
        <f t="shared" si="77"/>
        <v>0</v>
      </c>
      <c r="M465">
        <v>4151</v>
      </c>
      <c r="N465">
        <v>7</v>
      </c>
      <c r="O465" s="7" t="s">
        <v>459</v>
      </c>
      <c r="P465" s="6">
        <v>558154.28</v>
      </c>
      <c r="Q465" s="6">
        <v>-48551.59</v>
      </c>
      <c r="R465" s="17">
        <f t="shared" si="72"/>
        <v>-8.6999999999999994E-2</v>
      </c>
      <c r="S465" s="6">
        <f t="shared" si="73"/>
        <v>48551.59</v>
      </c>
      <c r="T465" s="6">
        <f t="shared" si="74"/>
        <v>32529.57</v>
      </c>
    </row>
    <row r="466" spans="1:20" x14ac:dyDescent="0.2">
      <c r="A466">
        <v>4152</v>
      </c>
      <c r="B466">
        <v>7</v>
      </c>
      <c r="C466" s="7" t="s">
        <v>460</v>
      </c>
      <c r="D466" s="21">
        <v>664226.96</v>
      </c>
      <c r="E466" s="21">
        <v>-57792.53</v>
      </c>
      <c r="F466" s="17">
        <f t="shared" si="79"/>
        <v>-8.70072031E-2</v>
      </c>
      <c r="G466" s="21">
        <f t="shared" si="75"/>
        <v>57792.53</v>
      </c>
      <c r="H466" s="46">
        <f t="shared" si="76"/>
        <v>38721</v>
      </c>
      <c r="I466" s="43">
        <v>57778.42</v>
      </c>
      <c r="J466" s="43">
        <f t="shared" si="78"/>
        <v>14.110000000000582</v>
      </c>
      <c r="K466" s="43"/>
      <c r="L466">
        <f t="shared" si="77"/>
        <v>0</v>
      </c>
      <c r="M466">
        <v>4152</v>
      </c>
      <c r="N466">
        <v>7</v>
      </c>
      <c r="O466" s="7" t="s">
        <v>955</v>
      </c>
      <c r="P466" s="6">
        <v>664226.96</v>
      </c>
      <c r="Q466" s="6">
        <v>-57778.42</v>
      </c>
      <c r="R466" s="17">
        <f t="shared" si="72"/>
        <v>-8.6999999999999994E-2</v>
      </c>
      <c r="S466" s="6">
        <f t="shared" si="73"/>
        <v>57778.42</v>
      </c>
      <c r="T466" s="6">
        <f t="shared" si="74"/>
        <v>38711.54</v>
      </c>
    </row>
    <row r="467" spans="1:20" x14ac:dyDescent="0.2">
      <c r="A467">
        <v>4153</v>
      </c>
      <c r="B467">
        <v>7</v>
      </c>
      <c r="C467" s="7" t="s">
        <v>461</v>
      </c>
      <c r="D467" s="21">
        <v>1771954.17</v>
      </c>
      <c r="E467" s="21">
        <v>-154172.78</v>
      </c>
      <c r="F467" s="17">
        <f t="shared" si="79"/>
        <v>-8.7007205200000007E-2</v>
      </c>
      <c r="G467" s="21">
        <f t="shared" si="75"/>
        <v>154172.78</v>
      </c>
      <c r="H467" s="46">
        <f t="shared" si="76"/>
        <v>103295.76</v>
      </c>
      <c r="I467" s="43">
        <v>154135.13</v>
      </c>
      <c r="J467" s="43">
        <f t="shared" si="78"/>
        <v>37.649999999994179</v>
      </c>
      <c r="K467" s="43"/>
      <c r="L467">
        <f t="shared" si="77"/>
        <v>0</v>
      </c>
      <c r="M467">
        <v>4153</v>
      </c>
      <c r="N467">
        <v>7</v>
      </c>
      <c r="O467" s="7" t="s">
        <v>461</v>
      </c>
      <c r="P467" s="6">
        <v>1771954.17</v>
      </c>
      <c r="Q467" s="6">
        <v>-154135.13</v>
      </c>
      <c r="R467" s="17">
        <f t="shared" si="72"/>
        <v>-8.6999999999999994E-2</v>
      </c>
      <c r="S467" s="6">
        <f t="shared" si="73"/>
        <v>154135.13</v>
      </c>
      <c r="T467" s="6">
        <f t="shared" si="74"/>
        <v>103270.54</v>
      </c>
    </row>
    <row r="468" spans="1:20" x14ac:dyDescent="0.2">
      <c r="A468">
        <v>4154</v>
      </c>
      <c r="B468">
        <v>7</v>
      </c>
      <c r="C468" s="7" t="s">
        <v>462</v>
      </c>
      <c r="D468" s="21">
        <v>288582.03000000003</v>
      </c>
      <c r="E468" s="21">
        <v>-25108.720000000001</v>
      </c>
      <c r="F468" s="17">
        <f t="shared" si="79"/>
        <v>-8.7007219400000002E-2</v>
      </c>
      <c r="G468" s="21">
        <f t="shared" si="75"/>
        <v>25108.720000000001</v>
      </c>
      <c r="H468" s="46">
        <f t="shared" si="76"/>
        <v>16822.84</v>
      </c>
      <c r="I468" s="43">
        <v>25102.58</v>
      </c>
      <c r="J468" s="43">
        <f t="shared" si="78"/>
        <v>6.1399999999994179</v>
      </c>
      <c r="K468" s="43"/>
      <c r="L468">
        <f t="shared" si="77"/>
        <v>0</v>
      </c>
      <c r="M468">
        <v>4154</v>
      </c>
      <c r="N468">
        <v>7</v>
      </c>
      <c r="O468" s="7" t="s">
        <v>462</v>
      </c>
      <c r="P468" s="6">
        <v>288582.03000000003</v>
      </c>
      <c r="Q468" s="6">
        <v>-25102.58</v>
      </c>
      <c r="R468" s="17">
        <f t="shared" si="72"/>
        <v>-8.6999999999999994E-2</v>
      </c>
      <c r="S468" s="6">
        <f t="shared" si="73"/>
        <v>25102.58</v>
      </c>
      <c r="T468" s="6">
        <f t="shared" si="74"/>
        <v>16818.73</v>
      </c>
    </row>
    <row r="469" spans="1:20" x14ac:dyDescent="0.2">
      <c r="A469">
        <v>4155</v>
      </c>
      <c r="B469">
        <v>7</v>
      </c>
      <c r="C469" s="7" t="s">
        <v>463</v>
      </c>
      <c r="D469" s="21">
        <v>667194.92000000004</v>
      </c>
      <c r="E469" s="21">
        <v>-58050.76</v>
      </c>
      <c r="F469" s="17">
        <f t="shared" si="79"/>
        <v>-8.7007197199999997E-2</v>
      </c>
      <c r="G469" s="21">
        <f t="shared" si="75"/>
        <v>58050.76</v>
      </c>
      <c r="H469" s="46">
        <f t="shared" si="76"/>
        <v>38894.01</v>
      </c>
      <c r="I469" s="43">
        <v>58036.59</v>
      </c>
      <c r="J469" s="43">
        <f t="shared" si="78"/>
        <v>14.17000000000553</v>
      </c>
      <c r="K469" s="43"/>
      <c r="L469">
        <f t="shared" si="77"/>
        <v>0</v>
      </c>
      <c r="M469">
        <v>4155</v>
      </c>
      <c r="N469">
        <v>7</v>
      </c>
      <c r="O469" s="7" t="s">
        <v>956</v>
      </c>
      <c r="P469" s="6">
        <v>667194.92000000004</v>
      </c>
      <c r="Q469" s="6">
        <v>-58036.59</v>
      </c>
      <c r="R469" s="17">
        <f t="shared" si="72"/>
        <v>-8.6999999999999994E-2</v>
      </c>
      <c r="S469" s="6">
        <f t="shared" si="73"/>
        <v>58036.59</v>
      </c>
      <c r="T469" s="6">
        <f t="shared" si="74"/>
        <v>38884.519999999997</v>
      </c>
    </row>
    <row r="470" spans="1:20" x14ac:dyDescent="0.2">
      <c r="A470">
        <v>4159</v>
      </c>
      <c r="B470">
        <v>7</v>
      </c>
      <c r="C470" s="7" t="s">
        <v>464</v>
      </c>
      <c r="D470" s="21">
        <v>1592678.17</v>
      </c>
      <c r="E470" s="21">
        <v>-138574.47</v>
      </c>
      <c r="F470" s="17">
        <f t="shared" si="79"/>
        <v>-8.7007201199999995E-2</v>
      </c>
      <c r="G470" s="21">
        <f t="shared" si="75"/>
        <v>138574.47</v>
      </c>
      <c r="H470" s="46">
        <f t="shared" si="76"/>
        <v>92844.89</v>
      </c>
      <c r="I470" s="43">
        <v>138540.64000000001</v>
      </c>
      <c r="J470" s="43">
        <f t="shared" si="78"/>
        <v>33.829999999987194</v>
      </c>
      <c r="K470" s="43"/>
      <c r="L470">
        <f t="shared" si="77"/>
        <v>0</v>
      </c>
      <c r="M470">
        <v>4159</v>
      </c>
      <c r="N470">
        <v>7</v>
      </c>
      <c r="O470" s="7" t="s">
        <v>464</v>
      </c>
      <c r="P470" s="6">
        <v>1592678.17</v>
      </c>
      <c r="Q470" s="6">
        <v>-138540.64000000001</v>
      </c>
      <c r="R470" s="17">
        <f t="shared" si="72"/>
        <v>-8.6999999999999994E-2</v>
      </c>
      <c r="S470" s="6">
        <f t="shared" si="73"/>
        <v>138540.64000000001</v>
      </c>
      <c r="T470" s="6">
        <f t="shared" si="74"/>
        <v>92822.23</v>
      </c>
    </row>
    <row r="471" spans="1:20" x14ac:dyDescent="0.2">
      <c r="A471">
        <v>4160</v>
      </c>
      <c r="B471">
        <v>7</v>
      </c>
      <c r="C471" s="7" t="s">
        <v>465</v>
      </c>
      <c r="D471" s="21">
        <v>806001.44</v>
      </c>
      <c r="E471" s="21">
        <v>-70127.929999999993</v>
      </c>
      <c r="F471" s="17">
        <f t="shared" si="79"/>
        <v>-8.7007201899999997E-2</v>
      </c>
      <c r="G471" s="21">
        <f t="shared" si="75"/>
        <v>70127.929999999993</v>
      </c>
      <c r="H471" s="46">
        <f t="shared" si="76"/>
        <v>46985.71</v>
      </c>
      <c r="I471" s="43">
        <v>70110.81</v>
      </c>
      <c r="J471" s="43">
        <f t="shared" si="78"/>
        <v>17.119999999995343</v>
      </c>
      <c r="K471" s="43"/>
      <c r="L471">
        <f t="shared" si="77"/>
        <v>0</v>
      </c>
      <c r="M471">
        <v>4160</v>
      </c>
      <c r="N471">
        <v>7</v>
      </c>
      <c r="O471" s="7" t="s">
        <v>465</v>
      </c>
      <c r="P471" s="6">
        <v>806001.44</v>
      </c>
      <c r="Q471" s="6">
        <v>-70110.81</v>
      </c>
      <c r="R471" s="17">
        <f t="shared" si="72"/>
        <v>-8.6999999999999994E-2</v>
      </c>
      <c r="S471" s="6">
        <f t="shared" si="73"/>
        <v>70110.81</v>
      </c>
      <c r="T471" s="6">
        <f t="shared" si="74"/>
        <v>46974.239999999998</v>
      </c>
    </row>
    <row r="472" spans="1:20" x14ac:dyDescent="0.2">
      <c r="A472">
        <v>4161</v>
      </c>
      <c r="B472">
        <v>7</v>
      </c>
      <c r="C472" s="7" t="s">
        <v>466</v>
      </c>
      <c r="D472" s="21">
        <v>594048.61</v>
      </c>
      <c r="E472" s="21">
        <v>-51686.51</v>
      </c>
      <c r="F472" s="17">
        <f t="shared" si="79"/>
        <v>-8.7007206399999995E-2</v>
      </c>
      <c r="G472" s="21">
        <f t="shared" si="75"/>
        <v>51686.51</v>
      </c>
      <c r="H472" s="46">
        <f t="shared" si="76"/>
        <v>34629.96</v>
      </c>
      <c r="I472" s="43">
        <v>51673.89</v>
      </c>
      <c r="J472" s="43">
        <f t="shared" si="78"/>
        <v>12.620000000002619</v>
      </c>
      <c r="K472" s="43"/>
      <c r="L472">
        <f t="shared" si="77"/>
        <v>0</v>
      </c>
      <c r="M472">
        <v>4161</v>
      </c>
      <c r="N472">
        <v>7</v>
      </c>
      <c r="O472" s="7" t="s">
        <v>466</v>
      </c>
      <c r="P472" s="6">
        <v>594048.61</v>
      </c>
      <c r="Q472" s="6">
        <v>-51673.89</v>
      </c>
      <c r="R472" s="17">
        <f t="shared" si="72"/>
        <v>-8.6999999999999994E-2</v>
      </c>
      <c r="S472" s="6">
        <f t="shared" si="73"/>
        <v>51673.89</v>
      </c>
      <c r="T472" s="6">
        <f t="shared" si="74"/>
        <v>34621.51</v>
      </c>
    </row>
    <row r="473" spans="1:20" x14ac:dyDescent="0.2">
      <c r="A473">
        <v>4162</v>
      </c>
      <c r="B473">
        <v>7</v>
      </c>
      <c r="C473" s="7" t="s">
        <v>467</v>
      </c>
      <c r="D473" s="21">
        <v>620407.49</v>
      </c>
      <c r="E473" s="21">
        <v>-53979.92</v>
      </c>
      <c r="F473" s="17">
        <f t="shared" si="79"/>
        <v>-8.7007202300000003E-2</v>
      </c>
      <c r="G473" s="21">
        <f t="shared" si="75"/>
        <v>53979.92</v>
      </c>
      <c r="H473" s="46">
        <f t="shared" si="76"/>
        <v>36166.550000000003</v>
      </c>
      <c r="I473" s="43">
        <v>53966.74</v>
      </c>
      <c r="J473" s="43">
        <f t="shared" si="78"/>
        <v>13.180000000000291</v>
      </c>
      <c r="K473" s="43"/>
      <c r="L473">
        <f t="shared" si="77"/>
        <v>0</v>
      </c>
      <c r="M473">
        <v>4162</v>
      </c>
      <c r="N473">
        <v>7</v>
      </c>
      <c r="O473" s="7" t="s">
        <v>467</v>
      </c>
      <c r="P473" s="6">
        <v>620407.49</v>
      </c>
      <c r="Q473" s="6">
        <v>-53966.74</v>
      </c>
      <c r="R473" s="17">
        <f t="shared" si="72"/>
        <v>-8.6999999999999994E-2</v>
      </c>
      <c r="S473" s="6">
        <f t="shared" si="73"/>
        <v>53966.74</v>
      </c>
      <c r="T473" s="6">
        <f t="shared" si="74"/>
        <v>36157.72</v>
      </c>
    </row>
    <row r="474" spans="1:20" x14ac:dyDescent="0.2">
      <c r="A474">
        <v>4163</v>
      </c>
      <c r="B474">
        <v>7</v>
      </c>
      <c r="C474" s="7" t="s">
        <v>468</v>
      </c>
      <c r="D474" s="21">
        <v>1382419.03</v>
      </c>
      <c r="E474" s="21">
        <v>-120280.41</v>
      </c>
      <c r="F474" s="17">
        <f t="shared" si="79"/>
        <v>-8.7007200699999995E-2</v>
      </c>
      <c r="G474" s="21">
        <f t="shared" si="75"/>
        <v>120280.41</v>
      </c>
      <c r="H474" s="46">
        <f t="shared" si="76"/>
        <v>80587.87</v>
      </c>
      <c r="I474" s="43">
        <v>120251.05</v>
      </c>
      <c r="J474" s="43">
        <f t="shared" si="78"/>
        <v>29.360000000000582</v>
      </c>
      <c r="K474" s="43"/>
      <c r="L474">
        <f t="shared" si="77"/>
        <v>0</v>
      </c>
      <c r="M474">
        <v>4163</v>
      </c>
      <c r="N474">
        <v>7</v>
      </c>
      <c r="O474" s="7" t="s">
        <v>468</v>
      </c>
      <c r="P474" s="6">
        <v>1382419.03</v>
      </c>
      <c r="Q474" s="6">
        <v>-120251.05</v>
      </c>
      <c r="R474" s="17">
        <f t="shared" si="72"/>
        <v>-8.6999999999999994E-2</v>
      </c>
      <c r="S474" s="6">
        <f t="shared" si="73"/>
        <v>120251.05</v>
      </c>
      <c r="T474" s="6">
        <f t="shared" si="74"/>
        <v>80568.2</v>
      </c>
    </row>
    <row r="475" spans="1:20" x14ac:dyDescent="0.2">
      <c r="A475">
        <v>4166</v>
      </c>
      <c r="B475">
        <v>7</v>
      </c>
      <c r="C475" s="7" t="s">
        <v>469</v>
      </c>
      <c r="D475" s="21">
        <v>599295.96</v>
      </c>
      <c r="E475" s="21">
        <v>-52143.07</v>
      </c>
      <c r="F475" s="17">
        <f t="shared" si="79"/>
        <v>-8.7007210900000007E-2</v>
      </c>
      <c r="G475" s="21">
        <f t="shared" si="75"/>
        <v>52143.07</v>
      </c>
      <c r="H475" s="46">
        <f t="shared" si="76"/>
        <v>34935.86</v>
      </c>
      <c r="I475" s="43">
        <v>52130.33</v>
      </c>
      <c r="J475" s="43">
        <f t="shared" si="78"/>
        <v>12.739999999997963</v>
      </c>
      <c r="K475" s="43"/>
      <c r="L475">
        <f t="shared" si="77"/>
        <v>0</v>
      </c>
      <c r="M475">
        <v>4166</v>
      </c>
      <c r="N475">
        <v>7</v>
      </c>
      <c r="O475" s="7" t="s">
        <v>469</v>
      </c>
      <c r="P475" s="6">
        <v>599295.96</v>
      </c>
      <c r="Q475" s="6">
        <v>-52130.33</v>
      </c>
      <c r="R475" s="17">
        <f t="shared" si="72"/>
        <v>-8.6999999999999994E-2</v>
      </c>
      <c r="S475" s="6">
        <f t="shared" si="73"/>
        <v>52130.33</v>
      </c>
      <c r="T475" s="6">
        <f t="shared" si="74"/>
        <v>34927.32</v>
      </c>
    </row>
    <row r="476" spans="1:20" x14ac:dyDescent="0.2">
      <c r="A476">
        <v>4167</v>
      </c>
      <c r="B476">
        <v>7</v>
      </c>
      <c r="C476" s="7" t="s">
        <v>470</v>
      </c>
      <c r="D476" s="21">
        <v>340460.17</v>
      </c>
      <c r="E476" s="21">
        <v>-29622.49</v>
      </c>
      <c r="F476" s="17">
        <f t="shared" si="79"/>
        <v>-8.7007211400000006E-2</v>
      </c>
      <c r="G476" s="21">
        <f t="shared" si="75"/>
        <v>29622.49</v>
      </c>
      <c r="H476" s="46">
        <f t="shared" si="76"/>
        <v>19847.07</v>
      </c>
      <c r="I476" s="43">
        <v>29615.25</v>
      </c>
      <c r="J476" s="43">
        <f t="shared" si="78"/>
        <v>7.2400000000016007</v>
      </c>
      <c r="K476" s="43"/>
      <c r="L476">
        <f t="shared" si="77"/>
        <v>0</v>
      </c>
      <c r="M476">
        <v>4167</v>
      </c>
      <c r="N476">
        <v>7</v>
      </c>
      <c r="O476" s="7" t="s">
        <v>470</v>
      </c>
      <c r="P476" s="6">
        <v>340460.17</v>
      </c>
      <c r="Q476" s="6">
        <v>-29615.25</v>
      </c>
      <c r="R476" s="17">
        <f t="shared" si="72"/>
        <v>-8.6999999999999994E-2</v>
      </c>
      <c r="S476" s="6">
        <f t="shared" si="73"/>
        <v>29615.25</v>
      </c>
      <c r="T476" s="6">
        <f t="shared" si="74"/>
        <v>19842.22</v>
      </c>
    </row>
    <row r="477" spans="1:20" x14ac:dyDescent="0.2">
      <c r="A477">
        <v>4168</v>
      </c>
      <c r="B477">
        <v>7</v>
      </c>
      <c r="C477" s="7" t="s">
        <v>471</v>
      </c>
      <c r="D477" s="21">
        <v>491243.51</v>
      </c>
      <c r="E477" s="21">
        <v>-42741.72</v>
      </c>
      <c r="F477" s="17">
        <f t="shared" si="79"/>
        <v>-8.7007195300000006E-2</v>
      </c>
      <c r="G477" s="21">
        <f t="shared" si="75"/>
        <v>42741.72</v>
      </c>
      <c r="H477" s="46">
        <f t="shared" si="76"/>
        <v>28636.95</v>
      </c>
      <c r="I477" s="43">
        <v>42731.29</v>
      </c>
      <c r="J477" s="43">
        <f t="shared" si="78"/>
        <v>10.430000000000291</v>
      </c>
      <c r="K477" s="43"/>
      <c r="L477">
        <f t="shared" si="77"/>
        <v>0</v>
      </c>
      <c r="M477">
        <v>4168</v>
      </c>
      <c r="N477">
        <v>7</v>
      </c>
      <c r="O477" s="7" t="s">
        <v>471</v>
      </c>
      <c r="P477" s="6">
        <v>491243.51</v>
      </c>
      <c r="Q477" s="6">
        <v>-42731.29</v>
      </c>
      <c r="R477" s="17">
        <f t="shared" si="72"/>
        <v>-8.6999999999999994E-2</v>
      </c>
      <c r="S477" s="6">
        <f t="shared" si="73"/>
        <v>42731.29</v>
      </c>
      <c r="T477" s="6">
        <f t="shared" si="74"/>
        <v>28629.96</v>
      </c>
    </row>
    <row r="478" spans="1:20" x14ac:dyDescent="0.2">
      <c r="A478">
        <v>4169</v>
      </c>
      <c r="B478">
        <v>7</v>
      </c>
      <c r="C478" s="7" t="s">
        <v>472</v>
      </c>
      <c r="D478" s="21">
        <v>967038.84</v>
      </c>
      <c r="E478" s="21">
        <v>-84139.34</v>
      </c>
      <c r="F478" s="17">
        <f t="shared" si="79"/>
        <v>-8.7007198199999997E-2</v>
      </c>
      <c r="G478" s="21">
        <f t="shared" si="75"/>
        <v>84139.34</v>
      </c>
      <c r="H478" s="46">
        <f t="shared" si="76"/>
        <v>56373.36</v>
      </c>
      <c r="I478" s="43">
        <v>84118.8</v>
      </c>
      <c r="J478" s="43">
        <f t="shared" si="78"/>
        <v>20.539999999993597</v>
      </c>
      <c r="K478" s="43"/>
      <c r="L478">
        <f t="shared" si="77"/>
        <v>0</v>
      </c>
      <c r="M478">
        <v>4169</v>
      </c>
      <c r="N478">
        <v>7</v>
      </c>
      <c r="O478" s="7" t="s">
        <v>960</v>
      </c>
      <c r="P478" s="6">
        <v>967038.84</v>
      </c>
      <c r="Q478" s="6">
        <v>-84118.8</v>
      </c>
      <c r="R478" s="17">
        <f t="shared" si="72"/>
        <v>-8.6999999999999994E-2</v>
      </c>
      <c r="S478" s="6">
        <f t="shared" si="73"/>
        <v>84118.8</v>
      </c>
      <c r="T478" s="6">
        <f t="shared" si="74"/>
        <v>56359.6</v>
      </c>
    </row>
    <row r="479" spans="1:20" x14ac:dyDescent="0.2">
      <c r="A479">
        <v>4170</v>
      </c>
      <c r="B479">
        <v>7</v>
      </c>
      <c r="C479" s="7" t="s">
        <v>473</v>
      </c>
      <c r="D479" s="21">
        <v>949834.57</v>
      </c>
      <c r="E479" s="21">
        <v>-82642.45</v>
      </c>
      <c r="F479" s="17">
        <f t="shared" si="79"/>
        <v>-8.7007203800000002E-2</v>
      </c>
      <c r="G479" s="21">
        <f t="shared" si="75"/>
        <v>82642.45</v>
      </c>
      <c r="H479" s="46">
        <f t="shared" si="76"/>
        <v>55370.44</v>
      </c>
      <c r="I479" s="43">
        <v>82622.27</v>
      </c>
      <c r="J479" s="43">
        <f t="shared" si="78"/>
        <v>20.179999999993015</v>
      </c>
      <c r="K479" s="43"/>
      <c r="L479">
        <f t="shared" si="77"/>
        <v>0</v>
      </c>
      <c r="M479">
        <v>4170</v>
      </c>
      <c r="N479">
        <v>7</v>
      </c>
      <c r="O479" s="7" t="s">
        <v>473</v>
      </c>
      <c r="P479" s="6">
        <v>949834.57</v>
      </c>
      <c r="Q479" s="6">
        <v>-82622.27</v>
      </c>
      <c r="R479" s="17">
        <f t="shared" ref="R479:R488" si="80">IF(P479&gt;0,ROUND(Q479/P479,3),"na   ")</f>
        <v>-8.6999999999999994E-2</v>
      </c>
      <c r="S479" s="6">
        <f t="shared" ref="S479:S488" si="81">Q479*-1</f>
        <v>82622.27</v>
      </c>
      <c r="T479" s="6">
        <f t="shared" ref="T479:T488" si="82">ROUND(S479*0.67,2)</f>
        <v>55356.92</v>
      </c>
    </row>
    <row r="480" spans="1:20" x14ac:dyDescent="0.2">
      <c r="A480">
        <v>4171</v>
      </c>
      <c r="B480">
        <v>7</v>
      </c>
      <c r="C480" s="7" t="s">
        <v>474</v>
      </c>
      <c r="D480" s="21">
        <v>1788907.2</v>
      </c>
      <c r="E480" s="21">
        <v>-155647.81</v>
      </c>
      <c r="F480" s="17">
        <f t="shared" si="79"/>
        <v>-8.7007201899999997E-2</v>
      </c>
      <c r="G480" s="21">
        <f t="shared" si="75"/>
        <v>155647.81</v>
      </c>
      <c r="H480" s="46">
        <f t="shared" si="76"/>
        <v>104284.03</v>
      </c>
      <c r="I480" s="43">
        <v>155609.81</v>
      </c>
      <c r="J480" s="43">
        <f t="shared" si="78"/>
        <v>38</v>
      </c>
      <c r="K480" s="43"/>
      <c r="L480">
        <f t="shared" si="77"/>
        <v>0</v>
      </c>
      <c r="M480">
        <v>4171</v>
      </c>
      <c r="N480">
        <v>7</v>
      </c>
      <c r="O480" s="7" t="s">
        <v>474</v>
      </c>
      <c r="P480" s="6">
        <v>1788907.2</v>
      </c>
      <c r="Q480" s="6">
        <v>-155609.81</v>
      </c>
      <c r="R480" s="17">
        <f t="shared" si="80"/>
        <v>-8.6999999999999994E-2</v>
      </c>
      <c r="S480" s="6">
        <f t="shared" si="81"/>
        <v>155609.81</v>
      </c>
      <c r="T480" s="6">
        <f t="shared" si="82"/>
        <v>104258.57</v>
      </c>
    </row>
    <row r="481" spans="1:20" x14ac:dyDescent="0.2">
      <c r="A481">
        <v>4172</v>
      </c>
      <c r="B481">
        <v>7</v>
      </c>
      <c r="C481" s="7" t="s">
        <v>475</v>
      </c>
      <c r="D481" s="21">
        <v>395264.7</v>
      </c>
      <c r="E481" s="21">
        <v>-34390.879999999997</v>
      </c>
      <c r="F481" s="17">
        <f t="shared" si="79"/>
        <v>-8.7007213099999994E-2</v>
      </c>
      <c r="G481" s="21">
        <f t="shared" si="75"/>
        <v>34390.879999999997</v>
      </c>
      <c r="H481" s="46">
        <f t="shared" si="76"/>
        <v>23041.89</v>
      </c>
      <c r="I481" s="43">
        <v>34382.480000000003</v>
      </c>
      <c r="J481" s="43">
        <f t="shared" si="78"/>
        <v>8.3999999999941792</v>
      </c>
      <c r="K481" s="43"/>
      <c r="L481">
        <f t="shared" si="77"/>
        <v>0</v>
      </c>
      <c r="M481">
        <v>4172</v>
      </c>
      <c r="N481">
        <v>7</v>
      </c>
      <c r="O481" s="7" t="s">
        <v>475</v>
      </c>
      <c r="P481" s="6">
        <v>395264.7</v>
      </c>
      <c r="Q481" s="6">
        <v>-34382.480000000003</v>
      </c>
      <c r="R481" s="17">
        <f t="shared" si="80"/>
        <v>-8.6999999999999994E-2</v>
      </c>
      <c r="S481" s="6">
        <f t="shared" si="81"/>
        <v>34382.480000000003</v>
      </c>
      <c r="T481" s="6">
        <f t="shared" si="82"/>
        <v>23036.26</v>
      </c>
    </row>
    <row r="482" spans="1:20" x14ac:dyDescent="0.2">
      <c r="A482">
        <v>4173</v>
      </c>
      <c r="B482">
        <v>7</v>
      </c>
      <c r="C482" s="7" t="s">
        <v>476</v>
      </c>
      <c r="D482" s="21">
        <v>1310561.17</v>
      </c>
      <c r="E482" s="21">
        <v>-114028.26</v>
      </c>
      <c r="F482" s="17">
        <f t="shared" si="79"/>
        <v>-8.7007201699999995E-2</v>
      </c>
      <c r="G482" s="21">
        <f t="shared" si="75"/>
        <v>114028.26</v>
      </c>
      <c r="H482" s="46">
        <f t="shared" si="76"/>
        <v>76398.929999999993</v>
      </c>
      <c r="I482" s="43">
        <v>114000.42</v>
      </c>
      <c r="J482" s="43">
        <f t="shared" si="78"/>
        <v>27.839999999996508</v>
      </c>
      <c r="K482" s="43"/>
      <c r="L482">
        <f t="shared" si="77"/>
        <v>0</v>
      </c>
      <c r="M482">
        <v>4173</v>
      </c>
      <c r="N482">
        <v>7</v>
      </c>
      <c r="O482" s="7" t="s">
        <v>476</v>
      </c>
      <c r="P482" s="6">
        <v>1310561.17</v>
      </c>
      <c r="Q482" s="6">
        <v>-114000.42</v>
      </c>
      <c r="R482" s="17">
        <f t="shared" si="80"/>
        <v>-8.6999999999999994E-2</v>
      </c>
      <c r="S482" s="6">
        <f t="shared" si="81"/>
        <v>114000.42</v>
      </c>
      <c r="T482" s="6">
        <f t="shared" si="82"/>
        <v>76380.28</v>
      </c>
    </row>
    <row r="483" spans="1:20" x14ac:dyDescent="0.2">
      <c r="A483">
        <v>4174</v>
      </c>
      <c r="B483">
        <v>7</v>
      </c>
      <c r="C483" s="7" t="s">
        <v>477</v>
      </c>
      <c r="D483" s="21">
        <v>304596.61</v>
      </c>
      <c r="E483" s="21">
        <v>-26502.1</v>
      </c>
      <c r="F483" s="17">
        <f t="shared" si="79"/>
        <v>-8.7007206000000004E-2</v>
      </c>
      <c r="G483" s="21">
        <f t="shared" si="75"/>
        <v>26502.1</v>
      </c>
      <c r="H483" s="46">
        <f t="shared" si="76"/>
        <v>17756.41</v>
      </c>
      <c r="I483" s="43">
        <v>26495.63</v>
      </c>
      <c r="J483" s="43">
        <f t="shared" si="78"/>
        <v>6.4699999999975262</v>
      </c>
      <c r="K483" s="43"/>
      <c r="L483">
        <f t="shared" si="77"/>
        <v>0</v>
      </c>
      <c r="M483">
        <v>4174</v>
      </c>
      <c r="N483">
        <v>7</v>
      </c>
      <c r="O483" s="7" t="s">
        <v>477</v>
      </c>
      <c r="P483" s="6">
        <v>304596.61</v>
      </c>
      <c r="Q483" s="6">
        <v>-26495.63</v>
      </c>
      <c r="R483" s="17">
        <f t="shared" si="80"/>
        <v>-8.6999999999999994E-2</v>
      </c>
      <c r="S483" s="6">
        <f t="shared" si="81"/>
        <v>26495.63</v>
      </c>
      <c r="T483" s="6">
        <f t="shared" si="82"/>
        <v>17752.07</v>
      </c>
    </row>
    <row r="484" spans="1:20" x14ac:dyDescent="0.2">
      <c r="A484">
        <v>4175</v>
      </c>
      <c r="B484">
        <v>7</v>
      </c>
      <c r="C484" s="7" t="s">
        <v>478</v>
      </c>
      <c r="D484" s="21">
        <v>384607.68</v>
      </c>
      <c r="E484" s="21">
        <v>-33463.64</v>
      </c>
      <c r="F484" s="17">
        <f t="shared" si="79"/>
        <v>-8.7007206899999995E-2</v>
      </c>
      <c r="G484" s="21">
        <f t="shared" si="75"/>
        <v>33463.64</v>
      </c>
      <c r="H484" s="46">
        <f t="shared" si="76"/>
        <v>22420.639999999999</v>
      </c>
      <c r="I484" s="43">
        <v>33455.47</v>
      </c>
      <c r="J484" s="43">
        <f t="shared" si="78"/>
        <v>8.1699999999982538</v>
      </c>
      <c r="K484" s="43"/>
      <c r="L484">
        <f t="shared" si="77"/>
        <v>0</v>
      </c>
      <c r="M484">
        <v>4175</v>
      </c>
      <c r="N484">
        <v>7</v>
      </c>
      <c r="O484" s="7" t="s">
        <v>478</v>
      </c>
      <c r="P484" s="6">
        <v>384607.68</v>
      </c>
      <c r="Q484" s="6">
        <v>-33455.47</v>
      </c>
      <c r="R484" s="17">
        <f t="shared" si="80"/>
        <v>-8.6999999999999994E-2</v>
      </c>
      <c r="S484" s="6">
        <f t="shared" si="81"/>
        <v>33455.47</v>
      </c>
      <c r="T484" s="6">
        <f t="shared" si="82"/>
        <v>22415.16</v>
      </c>
    </row>
    <row r="485" spans="1:20" x14ac:dyDescent="0.2">
      <c r="A485">
        <v>4177</v>
      </c>
      <c r="B485">
        <v>7</v>
      </c>
      <c r="C485" s="7" t="s">
        <v>479</v>
      </c>
      <c r="D485" s="21">
        <v>460543.39</v>
      </c>
      <c r="E485" s="21">
        <v>-40070.589999999997</v>
      </c>
      <c r="F485" s="17">
        <f t="shared" si="79"/>
        <v>-8.7007198199999997E-2</v>
      </c>
      <c r="G485" s="21">
        <f t="shared" si="75"/>
        <v>40070.589999999997</v>
      </c>
      <c r="H485" s="46">
        <f t="shared" si="76"/>
        <v>26847.3</v>
      </c>
      <c r="I485" s="43">
        <v>40060.81</v>
      </c>
      <c r="J485" s="43">
        <f t="shared" si="78"/>
        <v>9.7799999999988358</v>
      </c>
      <c r="K485" s="43"/>
      <c r="L485">
        <f t="shared" si="77"/>
        <v>0</v>
      </c>
      <c r="M485">
        <v>4177</v>
      </c>
      <c r="N485">
        <v>7</v>
      </c>
      <c r="O485" s="7" t="s">
        <v>479</v>
      </c>
      <c r="P485" s="6">
        <v>460543.39</v>
      </c>
      <c r="Q485" s="6">
        <v>-40060.81</v>
      </c>
      <c r="R485" s="17">
        <f t="shared" si="80"/>
        <v>-8.6999999999999994E-2</v>
      </c>
      <c r="S485" s="6">
        <f t="shared" si="81"/>
        <v>40060.81</v>
      </c>
      <c r="T485" s="6">
        <f t="shared" si="82"/>
        <v>26840.74</v>
      </c>
    </row>
    <row r="486" spans="1:20" x14ac:dyDescent="0.2">
      <c r="A486" s="19">
        <v>4178</v>
      </c>
      <c r="B486" s="19">
        <v>7</v>
      </c>
      <c r="C486" s="20" t="s">
        <v>480</v>
      </c>
      <c r="D486" s="22">
        <v>1920288.68</v>
      </c>
      <c r="E486" s="22">
        <v>-167078.95000000001</v>
      </c>
      <c r="F486" s="17">
        <f t="shared" si="79"/>
        <v>-8.7007204599999999E-2</v>
      </c>
      <c r="G486" s="21">
        <f t="shared" si="75"/>
        <v>167078.95000000001</v>
      </c>
      <c r="H486" s="46">
        <f t="shared" si="76"/>
        <v>111942.9</v>
      </c>
      <c r="I486" s="43">
        <v>167038.15</v>
      </c>
      <c r="J486" s="43">
        <f t="shared" si="78"/>
        <v>40.800000000017462</v>
      </c>
      <c r="K486" s="43"/>
      <c r="L486">
        <f t="shared" si="77"/>
        <v>0</v>
      </c>
      <c r="M486">
        <v>4178</v>
      </c>
      <c r="N486">
        <v>7</v>
      </c>
      <c r="O486" s="7" t="s">
        <v>480</v>
      </c>
      <c r="P486" s="6">
        <v>1920288.68</v>
      </c>
      <c r="Q486" s="6">
        <v>-167038.15</v>
      </c>
      <c r="R486" s="17">
        <f t="shared" si="80"/>
        <v>-8.6999999999999994E-2</v>
      </c>
      <c r="S486" s="6">
        <f t="shared" si="81"/>
        <v>167038.15</v>
      </c>
      <c r="T486" s="6">
        <f t="shared" si="82"/>
        <v>111915.56</v>
      </c>
    </row>
    <row r="487" spans="1:20" x14ac:dyDescent="0.2">
      <c r="A487">
        <v>4180</v>
      </c>
      <c r="B487">
        <v>7</v>
      </c>
      <c r="C487" s="7" t="s">
        <v>481</v>
      </c>
      <c r="D487" s="21">
        <v>1119018.27</v>
      </c>
      <c r="E487" s="21">
        <v>-97362.65</v>
      </c>
      <c r="F487" s="17">
        <f t="shared" si="79"/>
        <v>-8.7007203199999994E-2</v>
      </c>
      <c r="G487" s="21">
        <f t="shared" si="75"/>
        <v>97362.65</v>
      </c>
      <c r="H487" s="46">
        <f t="shared" si="76"/>
        <v>65232.98</v>
      </c>
      <c r="I487" s="43">
        <v>97338.880000000005</v>
      </c>
      <c r="J487" s="43">
        <f t="shared" si="78"/>
        <v>23.769999999989523</v>
      </c>
      <c r="K487" s="43"/>
      <c r="L487">
        <f t="shared" si="77"/>
        <v>0</v>
      </c>
      <c r="M487">
        <v>4180</v>
      </c>
      <c r="N487">
        <v>7</v>
      </c>
      <c r="O487" s="7" t="s">
        <v>481</v>
      </c>
      <c r="P487" s="6">
        <v>1119018.27</v>
      </c>
      <c r="Q487" s="6">
        <v>-97338.880000000005</v>
      </c>
      <c r="R487" s="17">
        <f t="shared" si="80"/>
        <v>-8.6999999999999994E-2</v>
      </c>
      <c r="S487" s="6">
        <f t="shared" si="81"/>
        <v>97338.880000000005</v>
      </c>
      <c r="T487" s="6">
        <f t="shared" si="82"/>
        <v>65217.05</v>
      </c>
    </row>
    <row r="488" spans="1:20" x14ac:dyDescent="0.2">
      <c r="A488">
        <v>4181</v>
      </c>
      <c r="B488">
        <v>7</v>
      </c>
      <c r="C488" s="7" t="s">
        <v>482</v>
      </c>
      <c r="D488" s="21">
        <v>1466263.35</v>
      </c>
      <c r="E488" s="21">
        <v>-127575.47</v>
      </c>
      <c r="F488" s="17">
        <f t="shared" si="79"/>
        <v>-8.7007201000000006E-2</v>
      </c>
      <c r="G488" s="21">
        <f t="shared" si="75"/>
        <v>127575.47</v>
      </c>
      <c r="H488" s="46">
        <f t="shared" si="76"/>
        <v>85475.56</v>
      </c>
      <c r="I488" s="43">
        <v>127544.32000000001</v>
      </c>
      <c r="J488" s="43">
        <f t="shared" si="78"/>
        <v>31.149999999994179</v>
      </c>
      <c r="K488" s="43"/>
      <c r="L488">
        <f t="shared" si="77"/>
        <v>0</v>
      </c>
      <c r="M488">
        <v>4181</v>
      </c>
      <c r="N488">
        <v>7</v>
      </c>
      <c r="O488" s="7" t="s">
        <v>482</v>
      </c>
      <c r="P488" s="6">
        <v>1466263.35</v>
      </c>
      <c r="Q488" s="6">
        <v>-127544.32000000001</v>
      </c>
      <c r="R488" s="17">
        <f t="shared" si="80"/>
        <v>-8.6999999999999994E-2</v>
      </c>
      <c r="S488" s="6">
        <f t="shared" si="81"/>
        <v>127544.32000000001</v>
      </c>
      <c r="T488" s="6">
        <f t="shared" si="82"/>
        <v>85454.69</v>
      </c>
    </row>
    <row r="489" spans="1:20" x14ac:dyDescent="0.2">
      <c r="C489" s="18"/>
      <c r="D489" s="6"/>
      <c r="E489" s="6"/>
      <c r="F489" s="17"/>
      <c r="G489" s="6"/>
      <c r="H489" s="6"/>
    </row>
    <row r="490" spans="1:20" x14ac:dyDescent="0.2">
      <c r="A490" t="s">
        <v>979</v>
      </c>
      <c r="C490" s="18"/>
      <c r="D490" s="6"/>
      <c r="E490" s="6"/>
      <c r="F490" s="17"/>
      <c r="G490" s="6"/>
      <c r="H490" s="6"/>
    </row>
    <row r="491" spans="1:20" x14ac:dyDescent="0.2">
      <c r="A491" t="s">
        <v>980</v>
      </c>
      <c r="C491" s="18"/>
      <c r="D491" s="6"/>
      <c r="E491" s="6"/>
      <c r="F491" s="17"/>
      <c r="G491" s="6"/>
      <c r="H491" s="6"/>
    </row>
    <row r="492" spans="1:20" x14ac:dyDescent="0.2">
      <c r="C492" s="18"/>
      <c r="D492" s="6"/>
      <c r="E492" s="6"/>
      <c r="F492" s="17"/>
      <c r="G492" s="6"/>
      <c r="H492" s="6"/>
    </row>
    <row r="493" spans="1:20" x14ac:dyDescent="0.2">
      <c r="A493" t="s">
        <v>981</v>
      </c>
      <c r="C493" s="18"/>
      <c r="D493" s="6"/>
      <c r="E493" s="6"/>
      <c r="F493" s="17"/>
      <c r="G493" s="6"/>
      <c r="H493" s="6"/>
    </row>
    <row r="494" spans="1:20" x14ac:dyDescent="0.2">
      <c r="C494" s="18"/>
      <c r="D494" s="6"/>
      <c r="E494" s="6"/>
      <c r="F494" s="17"/>
      <c r="G494" s="6"/>
      <c r="H494" s="6"/>
    </row>
    <row r="495" spans="1:20" x14ac:dyDescent="0.2">
      <c r="C495" s="18"/>
      <c r="D495" s="6"/>
      <c r="E495" s="6"/>
      <c r="F495" s="17"/>
      <c r="G495" s="6"/>
      <c r="H495" s="6"/>
    </row>
    <row r="496" spans="1:20" x14ac:dyDescent="0.2">
      <c r="A496" t="s">
        <v>525</v>
      </c>
      <c r="C496" s="18"/>
      <c r="D496" s="6"/>
      <c r="E496" s="6"/>
      <c r="F496" s="17"/>
      <c r="G496" s="6"/>
      <c r="H496" s="6"/>
    </row>
    <row r="497" spans="1:8" x14ac:dyDescent="0.2">
      <c r="C497" s="18"/>
      <c r="D497" s="6"/>
      <c r="E497" s="6"/>
      <c r="F497" s="17"/>
      <c r="G497" s="6"/>
      <c r="H497" s="6"/>
    </row>
    <row r="498" spans="1:8" x14ac:dyDescent="0.2">
      <c r="A498" t="s">
        <v>528</v>
      </c>
      <c r="C498" s="18"/>
      <c r="D498" s="6"/>
      <c r="E498" s="6"/>
      <c r="F498" s="17"/>
      <c r="G498" s="6"/>
      <c r="H498" s="6"/>
    </row>
    <row r="499" spans="1:8" x14ac:dyDescent="0.2">
      <c r="B499" t="s">
        <v>529</v>
      </c>
      <c r="C499" s="18"/>
      <c r="D499" s="26">
        <v>8.6985959099999996E-2</v>
      </c>
      <c r="F499" s="17"/>
      <c r="G499" s="6"/>
      <c r="H499" s="6"/>
    </row>
    <row r="500" spans="1:8" x14ac:dyDescent="0.2">
      <c r="B500" t="s">
        <v>530</v>
      </c>
      <c r="C500" s="18"/>
      <c r="D500" s="26">
        <v>8.70072026E-2</v>
      </c>
      <c r="E500" s="6"/>
      <c r="F500" s="17"/>
      <c r="G500" s="6"/>
      <c r="H500" s="6"/>
    </row>
    <row r="501" spans="1:8" x14ac:dyDescent="0.2">
      <c r="C501" s="18"/>
      <c r="D501" s="6"/>
      <c r="E501" s="6"/>
      <c r="F501" s="17"/>
      <c r="G501" s="6"/>
      <c r="H501" s="6"/>
    </row>
    <row r="502" spans="1:8" x14ac:dyDescent="0.2">
      <c r="C502" s="18"/>
      <c r="D502" s="6"/>
      <c r="E502" s="6"/>
      <c r="F502" s="17"/>
      <c r="G502" s="6"/>
      <c r="H502" s="6"/>
    </row>
    <row r="503" spans="1:8" x14ac:dyDescent="0.2">
      <c r="A503" t="s">
        <v>526</v>
      </c>
      <c r="C503" s="18"/>
      <c r="D503" s="6">
        <v>394337.84000110626</v>
      </c>
      <c r="E503" s="6"/>
      <c r="F503" s="17"/>
      <c r="G503" s="6"/>
      <c r="H503" s="6"/>
    </row>
    <row r="504" spans="1:8" x14ac:dyDescent="0.2">
      <c r="A504" t="s">
        <v>495</v>
      </c>
      <c r="C504" s="18"/>
      <c r="D504" s="6"/>
      <c r="E504" s="6"/>
      <c r="F504" s="17"/>
      <c r="G504" s="6"/>
      <c r="H504" s="6"/>
    </row>
    <row r="505" spans="1:8" x14ac:dyDescent="0.2">
      <c r="A505">
        <v>160</v>
      </c>
      <c r="B505">
        <v>70</v>
      </c>
      <c r="C505" s="18" t="s">
        <v>494</v>
      </c>
      <c r="D505" s="6">
        <v>394337.76</v>
      </c>
      <c r="E505" s="6">
        <v>-34301.85</v>
      </c>
      <c r="F505" s="17"/>
      <c r="G505" s="6"/>
      <c r="H505" s="6"/>
    </row>
    <row r="506" spans="1:8" x14ac:dyDescent="0.2">
      <c r="C506" s="18"/>
      <c r="D506" s="6"/>
      <c r="E506" s="6"/>
      <c r="F506" s="17"/>
      <c r="G506" s="6"/>
      <c r="H506" s="6"/>
    </row>
    <row r="507" spans="1:8" x14ac:dyDescent="0.2">
      <c r="A507" t="s">
        <v>527</v>
      </c>
      <c r="C507" s="18"/>
      <c r="D507" s="6">
        <v>1009093.6599999666</v>
      </c>
      <c r="E507" s="6"/>
      <c r="F507" s="17"/>
      <c r="G507" s="6"/>
      <c r="H507" s="6"/>
    </row>
    <row r="508" spans="1:8" x14ac:dyDescent="0.2">
      <c r="A508" t="s">
        <v>495</v>
      </c>
      <c r="C508" s="18"/>
      <c r="D508" s="6"/>
      <c r="E508" s="6"/>
      <c r="F508" s="17"/>
      <c r="G508" s="6"/>
      <c r="H508" s="6"/>
    </row>
    <row r="509" spans="1:8" x14ac:dyDescent="0.2">
      <c r="A509">
        <v>4101</v>
      </c>
      <c r="B509">
        <v>7</v>
      </c>
      <c r="C509" s="18" t="s">
        <v>486</v>
      </c>
      <c r="D509" s="6">
        <v>63286.27</v>
      </c>
      <c r="E509" s="6">
        <v>-5505.02</v>
      </c>
      <c r="F509" s="17"/>
      <c r="G509" s="6"/>
      <c r="H509" s="6"/>
    </row>
    <row r="510" spans="1:8" x14ac:dyDescent="0.2">
      <c r="A510">
        <v>4148</v>
      </c>
      <c r="B510">
        <v>7</v>
      </c>
      <c r="C510" s="18" t="s">
        <v>487</v>
      </c>
      <c r="D510" s="6">
        <v>945807.39</v>
      </c>
      <c r="E510" s="6">
        <v>-82271.960000000006</v>
      </c>
      <c r="F510" s="17"/>
      <c r="G510" s="6"/>
      <c r="H510" s="6"/>
    </row>
    <row r="511" spans="1:8" x14ac:dyDescent="0.2">
      <c r="C511" s="18"/>
      <c r="D511" s="6"/>
      <c r="E511" s="6"/>
      <c r="F511" s="17"/>
      <c r="G511" s="6"/>
      <c r="H511" s="6"/>
    </row>
    <row r="512" spans="1:8" x14ac:dyDescent="0.2">
      <c r="A512" t="s">
        <v>531</v>
      </c>
      <c r="C512" s="18"/>
      <c r="D512" s="6"/>
      <c r="E512" s="6">
        <f>SUM(E505:E510)</f>
        <v>-122078.83</v>
      </c>
      <c r="F512" s="17"/>
      <c r="G512" s="6"/>
      <c r="H512" s="6"/>
    </row>
    <row r="513" spans="1:8" x14ac:dyDescent="0.2">
      <c r="A513" s="35"/>
      <c r="B513" s="35"/>
      <c r="C513" s="35"/>
      <c r="D513" s="36"/>
      <c r="E513" s="36"/>
      <c r="F513" s="17"/>
      <c r="G513" s="6"/>
      <c r="H513" s="6"/>
    </row>
    <row r="514" spans="1:8" x14ac:dyDescent="0.2">
      <c r="C514" s="18"/>
      <c r="D514" s="6"/>
      <c r="E514" s="6"/>
      <c r="F514" s="17"/>
      <c r="G514" s="6"/>
      <c r="H514" s="6"/>
    </row>
    <row r="515" spans="1:8" x14ac:dyDescent="0.2">
      <c r="A515" t="s">
        <v>532</v>
      </c>
      <c r="C515" s="18"/>
      <c r="D515" s="6"/>
      <c r="E515" s="6"/>
      <c r="F515" s="17"/>
      <c r="G515" s="6"/>
      <c r="H515" s="6"/>
    </row>
    <row r="516" spans="1:8" x14ac:dyDescent="0.2">
      <c r="C516" s="18"/>
      <c r="D516" s="6"/>
      <c r="E516" s="6"/>
      <c r="F516" s="17"/>
      <c r="G516" s="6"/>
      <c r="H516" s="6"/>
    </row>
    <row r="517" spans="1:8" x14ac:dyDescent="0.2">
      <c r="A517">
        <v>4154</v>
      </c>
      <c r="B517">
        <v>7</v>
      </c>
      <c r="C517" s="18" t="s">
        <v>462</v>
      </c>
      <c r="D517" s="6">
        <v>288582.03000000003</v>
      </c>
      <c r="E517" s="6">
        <v>-25106.639999999999</v>
      </c>
      <c r="F517" s="17"/>
      <c r="G517" s="6"/>
      <c r="H517" s="6"/>
    </row>
    <row r="518" spans="1:8" x14ac:dyDescent="0.2">
      <c r="C518" s="18"/>
      <c r="D518" s="6"/>
      <c r="E518" s="6"/>
      <c r="F518" s="17"/>
      <c r="G518" s="6"/>
      <c r="H518" s="6"/>
    </row>
    <row r="519" spans="1:8" x14ac:dyDescent="0.2">
      <c r="A519">
        <v>4028</v>
      </c>
      <c r="B519">
        <v>7</v>
      </c>
      <c r="C519" s="18" t="s">
        <v>363</v>
      </c>
      <c r="D519" s="6">
        <v>203272.58</v>
      </c>
      <c r="E519" s="6">
        <v>-17684.71</v>
      </c>
      <c r="F519" s="17"/>
      <c r="G519" s="6"/>
      <c r="H519" s="6"/>
    </row>
    <row r="520" spans="1:8" x14ac:dyDescent="0.2">
      <c r="C520" s="18"/>
      <c r="D520" s="6"/>
      <c r="E520" s="6"/>
      <c r="F520" s="17"/>
      <c r="G520" s="6"/>
      <c r="H520" s="6"/>
    </row>
    <row r="521" spans="1:8" x14ac:dyDescent="0.2">
      <c r="A521" t="s">
        <v>531</v>
      </c>
      <c r="C521" s="18"/>
      <c r="D521" s="6"/>
      <c r="E521" s="6">
        <f>SUM(E505:E520)</f>
        <v>-286949.01</v>
      </c>
      <c r="F521" s="17"/>
      <c r="G521" s="6"/>
      <c r="H521" s="6"/>
    </row>
    <row r="522" spans="1:8" x14ac:dyDescent="0.2">
      <c r="C522" s="18"/>
      <c r="D522" s="6"/>
      <c r="E522" s="6"/>
      <c r="F522" s="17"/>
      <c r="G522" s="6"/>
      <c r="H522" s="6"/>
    </row>
    <row r="523" spans="1:8" x14ac:dyDescent="0.2">
      <c r="C523" s="18"/>
      <c r="D523" s="6"/>
      <c r="E523" s="6"/>
      <c r="F523" s="17"/>
      <c r="G523" s="6"/>
      <c r="H523" s="6"/>
    </row>
    <row r="524" spans="1:8" x14ac:dyDescent="0.2">
      <c r="C524" s="18"/>
      <c r="D524" s="6"/>
      <c r="E524" s="6"/>
      <c r="F524" s="17"/>
      <c r="G524" s="6"/>
      <c r="H524" s="6"/>
    </row>
    <row r="525" spans="1:8" x14ac:dyDescent="0.2">
      <c r="C525" s="18"/>
      <c r="D525" s="6"/>
      <c r="E525" s="6"/>
      <c r="F525" s="17"/>
      <c r="G525" s="6"/>
      <c r="H525" s="6"/>
    </row>
    <row r="526" spans="1:8" x14ac:dyDescent="0.2">
      <c r="C526" s="18"/>
      <c r="D526" s="6"/>
      <c r="E526" s="6"/>
      <c r="F526" s="17"/>
      <c r="G526" s="6"/>
      <c r="H526" s="6"/>
    </row>
    <row r="527" spans="1:8" x14ac:dyDescent="0.2">
      <c r="C527" s="18"/>
      <c r="D527" s="6"/>
      <c r="E527" s="6"/>
      <c r="F527" s="17"/>
      <c r="G527" s="6"/>
      <c r="H527" s="6"/>
    </row>
    <row r="528" spans="1:8" x14ac:dyDescent="0.2">
      <c r="C528" s="18"/>
      <c r="D528" s="6"/>
      <c r="E528" s="6"/>
      <c r="F528" s="17"/>
      <c r="G528" s="6"/>
      <c r="H528" s="6"/>
    </row>
    <row r="529" spans="3:20" x14ac:dyDescent="0.2">
      <c r="C529" s="18"/>
      <c r="D529" s="6"/>
      <c r="E529" s="6"/>
      <c r="F529" s="17"/>
      <c r="G529" s="6"/>
      <c r="H529" s="6"/>
    </row>
    <row r="530" spans="3:20" x14ac:dyDescent="0.2">
      <c r="C530" s="18"/>
      <c r="D530" s="6"/>
      <c r="E530" s="6"/>
      <c r="F530" s="17"/>
      <c r="G530" s="6"/>
      <c r="H530" s="6"/>
    </row>
    <row r="531" spans="3:20" x14ac:dyDescent="0.2">
      <c r="C531" s="18"/>
      <c r="D531" s="6"/>
      <c r="E531" s="6"/>
      <c r="F531" s="17"/>
      <c r="G531" s="6"/>
      <c r="H531" s="6"/>
    </row>
    <row r="532" spans="3:20" x14ac:dyDescent="0.2">
      <c r="C532" s="18"/>
      <c r="D532" s="6"/>
      <c r="E532" s="6"/>
      <c r="F532" s="17"/>
      <c r="G532" s="6"/>
      <c r="H532" s="6"/>
    </row>
    <row r="533" spans="3:20" x14ac:dyDescent="0.2">
      <c r="C533" s="18"/>
      <c r="D533" s="6"/>
      <c r="E533" s="6"/>
      <c r="F533" s="17"/>
      <c r="G533" s="6"/>
      <c r="H533" s="6"/>
    </row>
    <row r="534" spans="3:20" x14ac:dyDescent="0.2">
      <c r="C534" s="18"/>
      <c r="D534" s="6"/>
      <c r="E534" s="6"/>
      <c r="F534" s="17"/>
      <c r="G534" s="6"/>
      <c r="H534" s="6"/>
    </row>
    <row r="535" spans="3:20" x14ac:dyDescent="0.2">
      <c r="C535" s="18"/>
      <c r="D535" s="6"/>
      <c r="E535" s="6"/>
      <c r="F535" s="17"/>
      <c r="G535" s="6"/>
      <c r="H535" s="6"/>
    </row>
    <row r="536" spans="3:20" x14ac:dyDescent="0.2">
      <c r="C536" s="18"/>
      <c r="D536" s="6"/>
      <c r="E536" s="6"/>
      <c r="F536" s="17"/>
      <c r="G536" s="6"/>
      <c r="H536" s="6"/>
    </row>
    <row r="537" spans="3:20" x14ac:dyDescent="0.2">
      <c r="C537" s="18"/>
      <c r="D537" s="6"/>
      <c r="E537" s="6"/>
      <c r="F537" s="17"/>
      <c r="G537" s="6"/>
      <c r="H537" s="6"/>
    </row>
    <row r="538" spans="3:20" x14ac:dyDescent="0.2">
      <c r="C538" s="18"/>
      <c r="D538" s="6"/>
      <c r="E538" s="6"/>
      <c r="F538" s="17"/>
      <c r="G538" s="6"/>
      <c r="H538" s="6"/>
    </row>
    <row r="539" spans="3:20" x14ac:dyDescent="0.2">
      <c r="C539" s="18"/>
      <c r="D539" s="6"/>
      <c r="E539" s="6"/>
      <c r="F539" s="17"/>
      <c r="G539" s="6"/>
      <c r="H539" s="6"/>
    </row>
    <row r="540" spans="3:20" x14ac:dyDescent="0.2">
      <c r="C540" s="18"/>
      <c r="D540" s="6"/>
      <c r="E540" s="6"/>
      <c r="F540" s="17"/>
      <c r="G540" s="6"/>
      <c r="H540" s="6"/>
      <c r="M540" t="s">
        <v>973</v>
      </c>
    </row>
    <row r="541" spans="3:20" x14ac:dyDescent="0.2">
      <c r="M541">
        <v>62</v>
      </c>
      <c r="N541">
        <v>1</v>
      </c>
      <c r="O541" s="7" t="s">
        <v>566</v>
      </c>
      <c r="P541" s="6">
        <v>3347317.76</v>
      </c>
      <c r="Q541" s="6">
        <v>-291169.65000000002</v>
      </c>
      <c r="R541" s="17">
        <f>IF(P541&gt;0,ROUND(Q541/P541,3),"na   ")</f>
        <v>-8.6999999999999994E-2</v>
      </c>
      <c r="S541" s="6">
        <f>Q541*-1</f>
        <v>291169.65000000002</v>
      </c>
      <c r="T541" s="6">
        <f>ROUND(S541*0.67,2)</f>
        <v>195083.67</v>
      </c>
    </row>
    <row r="542" spans="3:20" x14ac:dyDescent="0.2">
      <c r="C542" t="s">
        <v>489</v>
      </c>
      <c r="D542" s="6">
        <f>SUM(D14:D354)</f>
        <v>5541595353.0900011</v>
      </c>
      <c r="M542">
        <v>371</v>
      </c>
      <c r="N542">
        <v>1</v>
      </c>
      <c r="O542" s="7" t="s">
        <v>664</v>
      </c>
      <c r="P542" s="6">
        <v>806521.87</v>
      </c>
      <c r="Q542" s="6">
        <v>-70156.08</v>
      </c>
      <c r="R542" s="17">
        <f>IF(P542&gt;0,ROUND(Q542/P542,3),"na   ")</f>
        <v>-8.6999999999999994E-2</v>
      </c>
      <c r="S542" s="6">
        <f>Q542*-1</f>
        <v>70156.08</v>
      </c>
      <c r="T542" s="6">
        <f>ROUND(S542*0.67,2)</f>
        <v>47004.57</v>
      </c>
    </row>
    <row r="543" spans="3:20" x14ac:dyDescent="0.2">
      <c r="C543" t="s">
        <v>490</v>
      </c>
      <c r="D543" s="6">
        <f>SUM(D357:D488)</f>
        <v>204335576.46000013</v>
      </c>
      <c r="M543">
        <v>2903</v>
      </c>
    </row>
    <row r="544" spans="3:20" x14ac:dyDescent="0.2">
      <c r="D544" s="6"/>
    </row>
    <row r="545" spans="3:20" x14ac:dyDescent="0.2">
      <c r="C545" t="s">
        <v>491</v>
      </c>
      <c r="D545" s="6">
        <f>SUM(D542:D543)</f>
        <v>5745930929.5500011</v>
      </c>
      <c r="M545">
        <v>411</v>
      </c>
      <c r="N545">
        <v>1</v>
      </c>
      <c r="O545" s="7" t="s">
        <v>674</v>
      </c>
      <c r="P545" s="6">
        <v>752890.82</v>
      </c>
      <c r="Q545" s="6">
        <v>-65490.93</v>
      </c>
      <c r="R545" s="17">
        <f>IF(P545&gt;0,ROUND(Q545/P545,3),"na   ")</f>
        <v>-8.6999999999999994E-2</v>
      </c>
      <c r="S545" s="6">
        <f>Q545*-1</f>
        <v>65490.93</v>
      </c>
      <c r="T545" s="6">
        <f>ROUND(S545*0.67,2)</f>
        <v>43878.92</v>
      </c>
    </row>
    <row r="546" spans="3:20" x14ac:dyDescent="0.2">
      <c r="M546">
        <v>417</v>
      </c>
      <c r="N546">
        <v>1</v>
      </c>
      <c r="O546" s="7" t="s">
        <v>678</v>
      </c>
      <c r="P546" s="6">
        <v>4927285.46</v>
      </c>
      <c r="Q546" s="6">
        <v>-428604.65</v>
      </c>
      <c r="R546" s="17">
        <f>IF(P546&gt;0,ROUND(Q546/P546,3),"na   ")</f>
        <v>-8.6999999999999994E-2</v>
      </c>
      <c r="S546" s="6">
        <f>Q546*-1</f>
        <v>428604.65</v>
      </c>
      <c r="T546" s="6">
        <f>ROUND(S546*0.67,2)</f>
        <v>287165.12</v>
      </c>
    </row>
    <row r="547" spans="3:20" x14ac:dyDescent="0.2">
      <c r="M547">
        <v>2904</v>
      </c>
    </row>
    <row r="549" spans="3:20" x14ac:dyDescent="0.2">
      <c r="M549">
        <v>2887</v>
      </c>
      <c r="N549">
        <v>1</v>
      </c>
      <c r="O549" s="7" t="s">
        <v>872</v>
      </c>
      <c r="P549" s="6">
        <v>2336754.71</v>
      </c>
      <c r="Q549" s="6">
        <v>-203264.85</v>
      </c>
      <c r="R549" s="17">
        <f>IF(P549&gt;0,ROUND(Q549/P549,3),"na   ")</f>
        <v>-8.6999999999999994E-2</v>
      </c>
      <c r="S549" s="6">
        <f>Q549*-1</f>
        <v>203264.85</v>
      </c>
      <c r="T549" s="6">
        <f>ROUND(S549*0.67,2)</f>
        <v>136187.45000000001</v>
      </c>
    </row>
    <row r="550" spans="3:20" x14ac:dyDescent="0.2">
      <c r="O550" s="18"/>
      <c r="P550" s="6"/>
      <c r="Q550" s="6"/>
      <c r="R550" s="17"/>
      <c r="S550" s="6"/>
      <c r="T550" s="6"/>
    </row>
    <row r="551" spans="3:20" x14ac:dyDescent="0.2">
      <c r="M551" t="s">
        <v>982</v>
      </c>
      <c r="O551" s="18"/>
      <c r="P551" s="6"/>
      <c r="Q551" s="6"/>
      <c r="R551" s="17"/>
      <c r="S551" s="6">
        <f>SUM(S541:S549)</f>
        <v>1058686.1600000001</v>
      </c>
      <c r="T551" s="6"/>
    </row>
    <row r="552" spans="3:20" x14ac:dyDescent="0.2">
      <c r="O552" s="18"/>
      <c r="P552" s="6"/>
      <c r="Q552" s="6"/>
      <c r="R552" s="17"/>
      <c r="S552" s="6"/>
      <c r="T552" s="6"/>
    </row>
    <row r="554" spans="3:20" x14ac:dyDescent="0.2">
      <c r="M554" t="s">
        <v>974</v>
      </c>
    </row>
    <row r="555" spans="3:20" x14ac:dyDescent="0.2">
      <c r="M555">
        <v>160</v>
      </c>
      <c r="N555">
        <v>70</v>
      </c>
      <c r="O555" s="7" t="s">
        <v>494</v>
      </c>
      <c r="P555" s="6">
        <v>394337.76</v>
      </c>
      <c r="Q555" s="6">
        <v>-34301.85</v>
      </c>
      <c r="R555" s="17">
        <f>IF(P555&gt;0,ROUND(Q555/P555,3),"na   ")</f>
        <v>-8.6999999999999994E-2</v>
      </c>
      <c r="S555" s="6">
        <f>Q555*-1</f>
        <v>34301.85</v>
      </c>
      <c r="T555" s="6">
        <f>ROUND(S555*0.67,2)</f>
        <v>22982.240000000002</v>
      </c>
    </row>
    <row r="556" spans="3:20" x14ac:dyDescent="0.2">
      <c r="M556">
        <v>4101</v>
      </c>
      <c r="N556">
        <v>7</v>
      </c>
      <c r="O556" s="7" t="s">
        <v>486</v>
      </c>
      <c r="P556" s="6">
        <v>63286.27</v>
      </c>
      <c r="Q556" s="6">
        <v>-5505.02</v>
      </c>
      <c r="R556" s="17">
        <f>IF(P556&gt;0,ROUND(Q556/P556,3),"na   ")</f>
        <v>-8.6999999999999994E-2</v>
      </c>
      <c r="S556" s="6">
        <f>Q556*-1</f>
        <v>5505.02</v>
      </c>
      <c r="T556" s="6">
        <f>ROUND(S556*0.67,2)</f>
        <v>3688.36</v>
      </c>
    </row>
    <row r="557" spans="3:20" x14ac:dyDescent="0.2">
      <c r="M557">
        <v>4148</v>
      </c>
      <c r="N557">
        <v>7</v>
      </c>
      <c r="O557" s="7" t="s">
        <v>487</v>
      </c>
      <c r="P557" s="6">
        <v>945807.39</v>
      </c>
      <c r="Q557" s="6">
        <v>-82271.960000000006</v>
      </c>
      <c r="R557" s="17">
        <f>IF(P557&gt;0,ROUND(Q557/P557,3),"na   ")</f>
        <v>-8.6999999999999994E-2</v>
      </c>
      <c r="S557" s="6">
        <f>Q557*-1</f>
        <v>82271.960000000006</v>
      </c>
      <c r="T557" s="6">
        <f>ROUND(S557*0.67,2)</f>
        <v>55122.21</v>
      </c>
    </row>
    <row r="559" spans="3:20" x14ac:dyDescent="0.2">
      <c r="M559" t="s">
        <v>975</v>
      </c>
    </row>
    <row r="560" spans="3:20" x14ac:dyDescent="0.2">
      <c r="M560">
        <v>160</v>
      </c>
      <c r="N560">
        <v>71</v>
      </c>
      <c r="O560" s="7" t="s">
        <v>594</v>
      </c>
      <c r="P560" s="6">
        <v>0</v>
      </c>
      <c r="Q560" s="6">
        <v>0</v>
      </c>
      <c r="R560" s="17" t="str">
        <f t="shared" ref="R560:R594" si="83">IF(P560&gt;0,ROUND(Q560/P560,3),"na   ")</f>
        <v xml:space="preserve">na   </v>
      </c>
      <c r="S560" s="6">
        <f t="shared" ref="S560:S594" si="84">Q560*-1</f>
        <v>0</v>
      </c>
      <c r="T560" s="6">
        <f t="shared" ref="T560:T594" si="85">ROUND(S560*0.67,2)</f>
        <v>0</v>
      </c>
    </row>
    <row r="561" spans="13:20" x14ac:dyDescent="0.2">
      <c r="M561">
        <v>3000</v>
      </c>
      <c r="N561">
        <v>1</v>
      </c>
      <c r="O561" s="7" t="s">
        <v>879</v>
      </c>
      <c r="P561" s="6">
        <v>0</v>
      </c>
      <c r="Q561" s="6">
        <v>0</v>
      </c>
      <c r="R561" s="17" t="str">
        <f t="shared" si="83"/>
        <v xml:space="preserve">na   </v>
      </c>
      <c r="S561" s="6">
        <f t="shared" si="84"/>
        <v>0</v>
      </c>
      <c r="T561" s="6">
        <f t="shared" si="85"/>
        <v>0</v>
      </c>
    </row>
    <row r="562" spans="13:20" x14ac:dyDescent="0.2">
      <c r="M562">
        <v>3999</v>
      </c>
      <c r="N562">
        <v>1</v>
      </c>
      <c r="O562" s="7" t="s">
        <v>880</v>
      </c>
      <c r="P562" s="6">
        <v>0</v>
      </c>
      <c r="Q562" s="6">
        <v>0</v>
      </c>
      <c r="R562" s="17" t="str">
        <f t="shared" si="83"/>
        <v xml:space="preserve">na   </v>
      </c>
      <c r="S562" s="6">
        <f t="shared" si="84"/>
        <v>0</v>
      </c>
      <c r="T562" s="6">
        <f t="shared" si="85"/>
        <v>0</v>
      </c>
    </row>
    <row r="563" spans="13:20" x14ac:dyDescent="0.2">
      <c r="M563">
        <v>4019</v>
      </c>
      <c r="N563">
        <v>7</v>
      </c>
      <c r="O563" s="7" t="s">
        <v>887</v>
      </c>
      <c r="P563" s="6">
        <v>0</v>
      </c>
      <c r="Q563" s="6">
        <v>0</v>
      </c>
      <c r="R563" s="17" t="str">
        <f t="shared" si="83"/>
        <v xml:space="preserve">na   </v>
      </c>
      <c r="S563" s="6">
        <f t="shared" si="84"/>
        <v>0</v>
      </c>
      <c r="T563" s="6">
        <f t="shared" si="85"/>
        <v>0</v>
      </c>
    </row>
    <row r="564" spans="13:20" x14ac:dyDescent="0.2">
      <c r="M564">
        <v>4021</v>
      </c>
      <c r="N564">
        <v>7</v>
      </c>
      <c r="O564" s="7" t="s">
        <v>889</v>
      </c>
      <c r="P564" s="6">
        <v>0</v>
      </c>
      <c r="Q564" s="6">
        <v>0</v>
      </c>
      <c r="R564" s="17" t="str">
        <f t="shared" si="83"/>
        <v xml:space="preserve">na   </v>
      </c>
      <c r="S564" s="6">
        <f t="shared" si="84"/>
        <v>0</v>
      </c>
      <c r="T564" s="6">
        <f t="shared" si="85"/>
        <v>0</v>
      </c>
    </row>
    <row r="565" spans="13:20" x14ac:dyDescent="0.2">
      <c r="M565">
        <v>4040</v>
      </c>
      <c r="N565">
        <v>7</v>
      </c>
      <c r="O565" s="7" t="s">
        <v>895</v>
      </c>
      <c r="P565" s="6">
        <v>0</v>
      </c>
      <c r="Q565" s="6">
        <v>0</v>
      </c>
      <c r="R565" s="17" t="str">
        <f t="shared" si="83"/>
        <v xml:space="preserve">na   </v>
      </c>
      <c r="S565" s="6">
        <f t="shared" si="84"/>
        <v>0</v>
      </c>
      <c r="T565" s="6">
        <f t="shared" si="85"/>
        <v>0</v>
      </c>
    </row>
    <row r="566" spans="13:20" x14ac:dyDescent="0.2">
      <c r="M566">
        <v>4044</v>
      </c>
      <c r="N566">
        <v>7</v>
      </c>
      <c r="O566" s="7" t="s">
        <v>484</v>
      </c>
      <c r="P566" s="6">
        <v>0</v>
      </c>
      <c r="Q566" s="6">
        <v>0</v>
      </c>
      <c r="R566" s="17" t="str">
        <f t="shared" si="83"/>
        <v xml:space="preserve">na   </v>
      </c>
      <c r="S566" s="6">
        <f t="shared" si="84"/>
        <v>0</v>
      </c>
      <c r="T566" s="6">
        <f t="shared" si="85"/>
        <v>0</v>
      </c>
    </row>
    <row r="567" spans="13:20" x14ac:dyDescent="0.2">
      <c r="M567">
        <v>4051</v>
      </c>
      <c r="N567">
        <v>7</v>
      </c>
      <c r="O567" s="7" t="s">
        <v>899</v>
      </c>
      <c r="P567" s="6">
        <v>0</v>
      </c>
      <c r="Q567" s="6">
        <v>0</v>
      </c>
      <c r="R567" s="17" t="str">
        <f t="shared" si="83"/>
        <v xml:space="preserve">na   </v>
      </c>
      <c r="S567" s="6">
        <f t="shared" si="84"/>
        <v>0</v>
      </c>
      <c r="T567" s="6">
        <f t="shared" si="85"/>
        <v>0</v>
      </c>
    </row>
    <row r="568" spans="13:20" x14ac:dyDescent="0.2">
      <c r="M568">
        <v>4060</v>
      </c>
      <c r="N568">
        <v>7</v>
      </c>
      <c r="O568" s="7" t="s">
        <v>905</v>
      </c>
      <c r="P568" s="6">
        <v>0</v>
      </c>
      <c r="Q568" s="6">
        <v>0</v>
      </c>
      <c r="R568" s="17" t="str">
        <f t="shared" si="83"/>
        <v xml:space="preserve">na   </v>
      </c>
      <c r="S568" s="6">
        <f t="shared" si="84"/>
        <v>0</v>
      </c>
      <c r="T568" s="6">
        <f t="shared" si="85"/>
        <v>0</v>
      </c>
    </row>
    <row r="569" spans="13:20" x14ac:dyDescent="0.2">
      <c r="M569">
        <v>4062</v>
      </c>
      <c r="N569">
        <v>7</v>
      </c>
      <c r="O569" s="7" t="s">
        <v>906</v>
      </c>
      <c r="P569" s="6">
        <v>0</v>
      </c>
      <c r="Q569" s="6">
        <v>0</v>
      </c>
      <c r="R569" s="17" t="str">
        <f t="shared" si="83"/>
        <v xml:space="preserve">na   </v>
      </c>
      <c r="S569" s="6">
        <f t="shared" si="84"/>
        <v>0</v>
      </c>
      <c r="T569" s="6">
        <f t="shared" si="85"/>
        <v>0</v>
      </c>
    </row>
    <row r="570" spans="13:20" x14ac:dyDescent="0.2">
      <c r="M570">
        <v>4065</v>
      </c>
      <c r="N570">
        <v>7</v>
      </c>
      <c r="O570" s="7" t="s">
        <v>908</v>
      </c>
      <c r="P570" s="6">
        <v>0</v>
      </c>
      <c r="Q570" s="6">
        <v>0</v>
      </c>
      <c r="R570" s="17" t="str">
        <f t="shared" si="83"/>
        <v xml:space="preserve">na   </v>
      </c>
      <c r="S570" s="6">
        <f t="shared" si="84"/>
        <v>0</v>
      </c>
      <c r="T570" s="6">
        <f t="shared" si="85"/>
        <v>0</v>
      </c>
    </row>
    <row r="571" spans="13:20" x14ac:dyDescent="0.2">
      <c r="M571">
        <v>4069</v>
      </c>
      <c r="N571">
        <v>7</v>
      </c>
      <c r="O571" s="7" t="s">
        <v>911</v>
      </c>
      <c r="P571" s="6">
        <v>0</v>
      </c>
      <c r="Q571" s="6">
        <v>0</v>
      </c>
      <c r="R571" s="17" t="str">
        <f t="shared" si="83"/>
        <v xml:space="preserve">na   </v>
      </c>
      <c r="S571" s="6">
        <f t="shared" si="84"/>
        <v>0</v>
      </c>
      <c r="T571" s="6">
        <f t="shared" si="85"/>
        <v>0</v>
      </c>
    </row>
    <row r="572" spans="13:20" x14ac:dyDescent="0.2">
      <c r="M572">
        <v>4071</v>
      </c>
      <c r="N572">
        <v>7</v>
      </c>
      <c r="O572" s="7" t="s">
        <v>913</v>
      </c>
      <c r="P572" s="6">
        <v>0</v>
      </c>
      <c r="Q572" s="6">
        <v>0</v>
      </c>
      <c r="R572" s="17" t="str">
        <f t="shared" si="83"/>
        <v xml:space="preserve">na   </v>
      </c>
      <c r="S572" s="6">
        <f t="shared" si="84"/>
        <v>0</v>
      </c>
      <c r="T572" s="6">
        <f t="shared" si="85"/>
        <v>0</v>
      </c>
    </row>
    <row r="573" spans="13:20" x14ac:dyDescent="0.2">
      <c r="M573">
        <v>4072</v>
      </c>
      <c r="N573">
        <v>7</v>
      </c>
      <c r="O573" s="7" t="s">
        <v>485</v>
      </c>
      <c r="P573" s="6">
        <v>0</v>
      </c>
      <c r="Q573" s="6">
        <v>0</v>
      </c>
      <c r="R573" s="17" t="str">
        <f t="shared" si="83"/>
        <v xml:space="preserve">na   </v>
      </c>
      <c r="S573" s="6">
        <f t="shared" si="84"/>
        <v>0</v>
      </c>
      <c r="T573" s="6">
        <f t="shared" si="85"/>
        <v>0</v>
      </c>
    </row>
    <row r="574" spans="13:20" x14ac:dyDescent="0.2">
      <c r="M574">
        <v>4076</v>
      </c>
      <c r="N574">
        <v>7</v>
      </c>
      <c r="O574" s="7" t="s">
        <v>917</v>
      </c>
      <c r="P574" s="6">
        <v>0</v>
      </c>
      <c r="Q574" s="6">
        <v>0</v>
      </c>
      <c r="R574" s="17" t="str">
        <f t="shared" si="83"/>
        <v xml:space="preserve">na   </v>
      </c>
      <c r="S574" s="6">
        <f t="shared" si="84"/>
        <v>0</v>
      </c>
      <c r="T574" s="6">
        <f t="shared" si="85"/>
        <v>0</v>
      </c>
    </row>
    <row r="575" spans="13:20" x14ac:dyDescent="0.2">
      <c r="M575">
        <v>4096</v>
      </c>
      <c r="N575">
        <v>7</v>
      </c>
      <c r="O575" s="7" t="s">
        <v>929</v>
      </c>
      <c r="P575" s="6">
        <v>0</v>
      </c>
      <c r="Q575" s="6">
        <v>0</v>
      </c>
      <c r="R575" s="17" t="str">
        <f t="shared" si="83"/>
        <v xml:space="preserve">na   </v>
      </c>
      <c r="S575" s="6">
        <f t="shared" si="84"/>
        <v>0</v>
      </c>
      <c r="T575" s="6">
        <f t="shared" si="85"/>
        <v>0</v>
      </c>
    </row>
    <row r="576" spans="13:20" x14ac:dyDescent="0.2">
      <c r="M576">
        <v>4128</v>
      </c>
      <c r="N576">
        <v>7</v>
      </c>
      <c r="O576" s="7" t="s">
        <v>948</v>
      </c>
      <c r="P576" s="6">
        <v>0</v>
      </c>
      <c r="Q576" s="6">
        <v>0</v>
      </c>
      <c r="R576" s="17" t="str">
        <f t="shared" si="83"/>
        <v xml:space="preserve">na   </v>
      </c>
      <c r="S576" s="6">
        <f t="shared" si="84"/>
        <v>0</v>
      </c>
      <c r="T576" s="6">
        <f t="shared" si="85"/>
        <v>0</v>
      </c>
    </row>
    <row r="577" spans="13:20" x14ac:dyDescent="0.2">
      <c r="M577">
        <v>4129</v>
      </c>
      <c r="N577">
        <v>7</v>
      </c>
      <c r="O577" s="7" t="s">
        <v>949</v>
      </c>
      <c r="P577" s="6">
        <v>0</v>
      </c>
      <c r="Q577" s="6">
        <v>0</v>
      </c>
      <c r="R577" s="17" t="str">
        <f t="shared" si="83"/>
        <v xml:space="preserve">na   </v>
      </c>
      <c r="S577" s="6">
        <f t="shared" si="84"/>
        <v>0</v>
      </c>
      <c r="T577" s="6">
        <f t="shared" si="85"/>
        <v>0</v>
      </c>
    </row>
    <row r="578" spans="13:20" x14ac:dyDescent="0.2">
      <c r="M578">
        <v>4136</v>
      </c>
      <c r="N578">
        <v>7</v>
      </c>
      <c r="O578" s="7" t="s">
        <v>951</v>
      </c>
      <c r="P578" s="6">
        <v>0</v>
      </c>
      <c r="Q578" s="6">
        <v>0</v>
      </c>
      <c r="R578" s="17" t="str">
        <f t="shared" si="83"/>
        <v xml:space="preserve">na   </v>
      </c>
      <c r="S578" s="6">
        <f t="shared" si="84"/>
        <v>0</v>
      </c>
      <c r="T578" s="6">
        <f t="shared" si="85"/>
        <v>0</v>
      </c>
    </row>
    <row r="579" spans="13:20" x14ac:dyDescent="0.2">
      <c r="M579">
        <v>4157</v>
      </c>
      <c r="N579">
        <v>7</v>
      </c>
      <c r="O579" s="7" t="s">
        <v>957</v>
      </c>
      <c r="P579" s="6">
        <v>0</v>
      </c>
      <c r="Q579" s="6">
        <v>0</v>
      </c>
      <c r="R579" s="17" t="str">
        <f t="shared" si="83"/>
        <v xml:space="preserve">na   </v>
      </c>
      <c r="S579" s="6">
        <f t="shared" si="84"/>
        <v>0</v>
      </c>
      <c r="T579" s="6">
        <f t="shared" si="85"/>
        <v>0</v>
      </c>
    </row>
    <row r="580" spans="13:20" x14ac:dyDescent="0.2">
      <c r="M580">
        <v>4158</v>
      </c>
      <c r="N580">
        <v>7</v>
      </c>
      <c r="O580" s="7" t="s">
        <v>958</v>
      </c>
      <c r="P580" s="6">
        <v>0</v>
      </c>
      <c r="Q580" s="6">
        <v>0</v>
      </c>
      <c r="R580" s="17" t="str">
        <f t="shared" si="83"/>
        <v xml:space="preserve">na   </v>
      </c>
      <c r="S580" s="6">
        <f t="shared" si="84"/>
        <v>0</v>
      </c>
      <c r="T580" s="6">
        <f t="shared" si="85"/>
        <v>0</v>
      </c>
    </row>
    <row r="581" spans="13:20" x14ac:dyDescent="0.2">
      <c r="M581">
        <v>4164</v>
      </c>
      <c r="N581">
        <v>7</v>
      </c>
      <c r="O581" s="7" t="s">
        <v>959</v>
      </c>
      <c r="P581" s="6">
        <v>0</v>
      </c>
      <c r="Q581" s="6">
        <v>0</v>
      </c>
      <c r="R581" s="17" t="str">
        <f t="shared" si="83"/>
        <v xml:space="preserve">na   </v>
      </c>
      <c r="S581" s="6">
        <f t="shared" si="84"/>
        <v>0</v>
      </c>
      <c r="T581" s="6">
        <f t="shared" si="85"/>
        <v>0</v>
      </c>
    </row>
    <row r="582" spans="13:20" x14ac:dyDescent="0.2">
      <c r="M582">
        <v>4165</v>
      </c>
      <c r="N582">
        <v>7</v>
      </c>
      <c r="O582" s="7" t="s">
        <v>488</v>
      </c>
      <c r="P582" s="6">
        <v>0</v>
      </c>
      <c r="Q582" s="6">
        <v>0</v>
      </c>
      <c r="R582" s="17" t="str">
        <f t="shared" si="83"/>
        <v xml:space="preserve">na   </v>
      </c>
      <c r="S582" s="6">
        <f t="shared" si="84"/>
        <v>0</v>
      </c>
      <c r="T582" s="6">
        <f t="shared" si="85"/>
        <v>0</v>
      </c>
    </row>
    <row r="583" spans="13:20" x14ac:dyDescent="0.2">
      <c r="M583">
        <v>4176</v>
      </c>
      <c r="N583">
        <v>7</v>
      </c>
      <c r="O583" s="7" t="s">
        <v>961</v>
      </c>
      <c r="P583" s="6">
        <v>0</v>
      </c>
      <c r="Q583" s="6">
        <v>0</v>
      </c>
      <c r="R583" s="17" t="str">
        <f t="shared" si="83"/>
        <v xml:space="preserve">na   </v>
      </c>
      <c r="S583" s="6">
        <f t="shared" si="84"/>
        <v>0</v>
      </c>
      <c r="T583" s="6">
        <f t="shared" si="85"/>
        <v>0</v>
      </c>
    </row>
    <row r="584" spans="13:20" x14ac:dyDescent="0.2">
      <c r="M584">
        <v>4182</v>
      </c>
      <c r="N584">
        <v>7</v>
      </c>
      <c r="O584" s="7" t="s">
        <v>962</v>
      </c>
      <c r="P584" s="6">
        <v>0</v>
      </c>
      <c r="Q584" s="6">
        <v>0</v>
      </c>
      <c r="R584" s="17" t="str">
        <f t="shared" si="83"/>
        <v xml:space="preserve">na   </v>
      </c>
      <c r="S584" s="6">
        <f t="shared" si="84"/>
        <v>0</v>
      </c>
      <c r="T584" s="6">
        <f t="shared" si="85"/>
        <v>0</v>
      </c>
    </row>
    <row r="585" spans="13:20" x14ac:dyDescent="0.2">
      <c r="M585">
        <v>4183</v>
      </c>
      <c r="N585">
        <v>7</v>
      </c>
      <c r="O585" s="7" t="s">
        <v>963</v>
      </c>
      <c r="P585" s="6">
        <v>0</v>
      </c>
      <c r="Q585" s="6">
        <v>0</v>
      </c>
      <c r="R585" s="17" t="str">
        <f t="shared" si="83"/>
        <v xml:space="preserve">na   </v>
      </c>
      <c r="S585" s="6">
        <f t="shared" si="84"/>
        <v>0</v>
      </c>
      <c r="T585" s="6">
        <f t="shared" si="85"/>
        <v>0</v>
      </c>
    </row>
    <row r="586" spans="13:20" x14ac:dyDescent="0.2">
      <c r="M586">
        <v>4184</v>
      </c>
      <c r="N586">
        <v>7</v>
      </c>
      <c r="O586" s="7" t="s">
        <v>964</v>
      </c>
      <c r="P586" s="6">
        <v>0</v>
      </c>
      <c r="Q586" s="6">
        <v>0</v>
      </c>
      <c r="R586" s="17" t="str">
        <f t="shared" si="83"/>
        <v xml:space="preserve">na   </v>
      </c>
      <c r="S586" s="6">
        <f t="shared" si="84"/>
        <v>0</v>
      </c>
      <c r="T586" s="6">
        <f t="shared" si="85"/>
        <v>0</v>
      </c>
    </row>
    <row r="587" spans="13:20" x14ac:dyDescent="0.2">
      <c r="M587">
        <v>4185</v>
      </c>
      <c r="N587">
        <v>7</v>
      </c>
      <c r="O587" s="7" t="s">
        <v>965</v>
      </c>
      <c r="P587" s="6">
        <v>0</v>
      </c>
      <c r="Q587" s="6">
        <v>0</v>
      </c>
      <c r="R587" s="17" t="str">
        <f t="shared" si="83"/>
        <v xml:space="preserve">na   </v>
      </c>
      <c r="S587" s="6">
        <f t="shared" si="84"/>
        <v>0</v>
      </c>
      <c r="T587" s="6">
        <f t="shared" si="85"/>
        <v>0</v>
      </c>
    </row>
    <row r="588" spans="13:20" x14ac:dyDescent="0.2">
      <c r="M588">
        <v>4186</v>
      </c>
      <c r="N588">
        <v>7</v>
      </c>
      <c r="O588" s="7" t="s">
        <v>966</v>
      </c>
      <c r="P588" s="6">
        <v>0</v>
      </c>
      <c r="Q588" s="6">
        <v>0</v>
      </c>
      <c r="R588" s="17" t="str">
        <f t="shared" si="83"/>
        <v xml:space="preserve">na   </v>
      </c>
      <c r="S588" s="6">
        <f t="shared" si="84"/>
        <v>0</v>
      </c>
      <c r="T588" s="6">
        <f t="shared" si="85"/>
        <v>0</v>
      </c>
    </row>
    <row r="589" spans="13:20" x14ac:dyDescent="0.2">
      <c r="M589">
        <v>4187</v>
      </c>
      <c r="N589">
        <v>7</v>
      </c>
      <c r="O589" s="7" t="s">
        <v>967</v>
      </c>
      <c r="P589" s="6">
        <v>0</v>
      </c>
      <c r="Q589" s="6">
        <v>0</v>
      </c>
      <c r="R589" s="17" t="str">
        <f t="shared" si="83"/>
        <v xml:space="preserve">na   </v>
      </c>
      <c r="S589" s="6">
        <f t="shared" si="84"/>
        <v>0</v>
      </c>
      <c r="T589" s="6">
        <f t="shared" si="85"/>
        <v>0</v>
      </c>
    </row>
    <row r="590" spans="13:20" x14ac:dyDescent="0.2">
      <c r="M590">
        <v>4188</v>
      </c>
      <c r="N590">
        <v>7</v>
      </c>
      <c r="O590" s="7" t="s">
        <v>968</v>
      </c>
      <c r="P590" s="6">
        <v>0</v>
      </c>
      <c r="Q590" s="6">
        <v>0</v>
      </c>
      <c r="R590" s="17" t="str">
        <f t="shared" si="83"/>
        <v xml:space="preserve">na   </v>
      </c>
      <c r="S590" s="6">
        <f t="shared" si="84"/>
        <v>0</v>
      </c>
      <c r="T590" s="6">
        <f t="shared" si="85"/>
        <v>0</v>
      </c>
    </row>
    <row r="591" spans="13:20" x14ac:dyDescent="0.2">
      <c r="M591">
        <v>4189</v>
      </c>
      <c r="N591">
        <v>7</v>
      </c>
      <c r="O591" s="7" t="s">
        <v>969</v>
      </c>
      <c r="P591" s="6">
        <v>0</v>
      </c>
      <c r="Q591" s="6">
        <v>0</v>
      </c>
      <c r="R591" s="17" t="str">
        <f t="shared" si="83"/>
        <v xml:space="preserve">na   </v>
      </c>
      <c r="S591" s="6">
        <f t="shared" si="84"/>
        <v>0</v>
      </c>
      <c r="T591" s="6">
        <f t="shared" si="85"/>
        <v>0</v>
      </c>
    </row>
    <row r="592" spans="13:20" x14ac:dyDescent="0.2">
      <c r="M592">
        <v>4191</v>
      </c>
      <c r="N592">
        <v>7</v>
      </c>
      <c r="O592" s="7" t="s">
        <v>970</v>
      </c>
      <c r="P592" s="6">
        <v>0</v>
      </c>
      <c r="Q592" s="6">
        <v>0</v>
      </c>
      <c r="R592" s="17" t="str">
        <f t="shared" si="83"/>
        <v xml:space="preserve">na   </v>
      </c>
      <c r="S592" s="6">
        <f t="shared" si="84"/>
        <v>0</v>
      </c>
      <c r="T592" s="6">
        <f t="shared" si="85"/>
        <v>0</v>
      </c>
    </row>
    <row r="593" spans="13:20" x14ac:dyDescent="0.2">
      <c r="M593">
        <v>4192</v>
      </c>
      <c r="N593">
        <v>7</v>
      </c>
      <c r="O593" s="7" t="s">
        <v>971</v>
      </c>
      <c r="P593" s="6">
        <v>0</v>
      </c>
      <c r="Q593" s="6">
        <v>0</v>
      </c>
      <c r="R593" s="17" t="str">
        <f t="shared" si="83"/>
        <v xml:space="preserve">na   </v>
      </c>
      <c r="S593" s="6">
        <f t="shared" si="84"/>
        <v>0</v>
      </c>
      <c r="T593" s="6">
        <f t="shared" si="85"/>
        <v>0</v>
      </c>
    </row>
    <row r="594" spans="13:20" x14ac:dyDescent="0.2">
      <c r="M594">
        <v>4999</v>
      </c>
      <c r="N594">
        <v>7</v>
      </c>
      <c r="O594" s="7" t="s">
        <v>972</v>
      </c>
      <c r="P594" s="6">
        <v>0</v>
      </c>
      <c r="Q594" s="6">
        <v>0</v>
      </c>
      <c r="R594" s="17" t="str">
        <f t="shared" si="83"/>
        <v xml:space="preserve">na   </v>
      </c>
      <c r="S594" s="6">
        <f t="shared" si="84"/>
        <v>0</v>
      </c>
      <c r="T594" s="6">
        <f t="shared" si="85"/>
        <v>0</v>
      </c>
    </row>
  </sheetData>
  <phoneticPr fontId="4" type="noConversion"/>
  <printOptions gridLines="1"/>
  <pageMargins left="0.75" right="0.5" top="1" bottom="0.75" header="0.5" footer="0.25"/>
  <pageSetup scale="70" fitToHeight="15" orientation="landscape" r:id="rId1"/>
  <headerFooter alignWithMargins="0">
    <oddHeader xml:space="preserve">&amp;LMDE, Program Finance&amp;COne-Time General Education Reduction and
Offsetting Fiscal Stabilization Component of Federal Stimulus Act (ARRA)
Laws 2009, Chapter 96, Article 1, Sections 21 &amp;&amp; 25&amp;R6/30/2009
</oddHeader>
    <oddFooter>&amp;L*  General education revenue prior to school district underlevies.
    Excludes pension adjustments, and school district referendum revenue, alternative attendance adjustment and contract penalties.
** Newly consolidated July 1, 2009.  &amp;R&amp;P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6"/>
  <sheetViews>
    <sheetView zoomScale="90" workbookViewId="0">
      <selection activeCell="D45" sqref="D45"/>
    </sheetView>
  </sheetViews>
  <sheetFormatPr defaultRowHeight="12.75" x14ac:dyDescent="0.2"/>
  <cols>
    <col min="1" max="1" width="5.7109375" customWidth="1"/>
    <col min="2" max="2" width="6" bestFit="1" customWidth="1"/>
    <col min="3" max="3" width="41.42578125" customWidth="1"/>
    <col min="4" max="4" width="14.5703125" style="8" customWidth="1"/>
    <col min="5" max="5" width="4.7109375" style="8" customWidth="1"/>
    <col min="6" max="6" width="57.85546875" style="8" customWidth="1"/>
    <col min="7" max="9" width="18.7109375" customWidth="1"/>
    <col min="10" max="10" width="3.7109375" customWidth="1"/>
    <col min="14" max="14" width="18.28515625" customWidth="1"/>
    <col min="15" max="19" width="18.7109375" customWidth="1"/>
  </cols>
  <sheetData>
    <row r="1" spans="1:7" x14ac:dyDescent="0.2">
      <c r="A1" t="s">
        <v>992</v>
      </c>
      <c r="C1" s="18"/>
      <c r="D1" s="51"/>
      <c r="E1" s="51"/>
      <c r="F1" s="52"/>
      <c r="G1" s="6"/>
    </row>
    <row r="2" spans="1:7" x14ac:dyDescent="0.2">
      <c r="C2" s="18"/>
      <c r="D2" s="6"/>
      <c r="E2" s="6"/>
      <c r="F2" s="6"/>
      <c r="G2" s="6"/>
    </row>
    <row r="3" spans="1:7" x14ac:dyDescent="0.2">
      <c r="C3" s="18"/>
      <c r="D3" s="6"/>
      <c r="E3" s="6"/>
      <c r="F3" s="6"/>
      <c r="G3" s="6"/>
    </row>
    <row r="4" spans="1:7" x14ac:dyDescent="0.2">
      <c r="A4" t="s">
        <v>983</v>
      </c>
      <c r="C4" s="18"/>
      <c r="D4" s="6" t="s">
        <v>984</v>
      </c>
      <c r="E4" s="51"/>
      <c r="F4" s="52" t="s">
        <v>985</v>
      </c>
      <c r="G4" s="6"/>
    </row>
    <row r="5" spans="1:7" x14ac:dyDescent="0.2">
      <c r="C5" s="18"/>
      <c r="D5" s="6"/>
      <c r="E5" s="6"/>
      <c r="F5" s="52"/>
      <c r="G5" s="6"/>
    </row>
    <row r="6" spans="1:7" x14ac:dyDescent="0.2">
      <c r="A6">
        <v>4101</v>
      </c>
      <c r="B6">
        <v>7</v>
      </c>
      <c r="C6" s="18" t="s">
        <v>486</v>
      </c>
      <c r="D6" s="6">
        <v>-5505.02</v>
      </c>
      <c r="E6" s="6"/>
      <c r="F6" s="53" t="s">
        <v>986</v>
      </c>
      <c r="G6" s="6"/>
    </row>
    <row r="7" spans="1:7" x14ac:dyDescent="0.2">
      <c r="A7">
        <v>4148</v>
      </c>
      <c r="B7">
        <v>7</v>
      </c>
      <c r="C7" s="18" t="s">
        <v>487</v>
      </c>
      <c r="D7" s="6">
        <v>-82271.960000000006</v>
      </c>
      <c r="E7" s="6"/>
      <c r="F7" s="53" t="s">
        <v>994</v>
      </c>
      <c r="G7" s="6"/>
    </row>
    <row r="8" spans="1:7" x14ac:dyDescent="0.2">
      <c r="C8" s="18"/>
      <c r="D8" s="6"/>
      <c r="E8" s="6"/>
      <c r="F8" s="52"/>
      <c r="G8" s="6"/>
    </row>
    <row r="9" spans="1:7" x14ac:dyDescent="0.2">
      <c r="A9" t="s">
        <v>993</v>
      </c>
      <c r="C9" s="18"/>
      <c r="D9" s="6" t="s">
        <v>984</v>
      </c>
      <c r="E9" s="51"/>
      <c r="F9" s="52" t="s">
        <v>985</v>
      </c>
      <c r="G9" s="6"/>
    </row>
    <row r="10" spans="1:7" x14ac:dyDescent="0.2">
      <c r="C10" s="18"/>
      <c r="D10" s="51"/>
      <c r="E10" s="51"/>
      <c r="F10" s="52"/>
      <c r="G10" s="6"/>
    </row>
    <row r="11" spans="1:7" x14ac:dyDescent="0.2">
      <c r="A11">
        <v>160</v>
      </c>
      <c r="B11">
        <v>70</v>
      </c>
      <c r="C11" s="18" t="s">
        <v>494</v>
      </c>
      <c r="D11" s="6">
        <v>-34301.85</v>
      </c>
      <c r="E11" s="6"/>
      <c r="F11" s="53" t="s">
        <v>987</v>
      </c>
      <c r="G11" s="6"/>
    </row>
    <row r="12" spans="1:7" x14ac:dyDescent="0.2">
      <c r="C12" s="18"/>
      <c r="D12" s="6"/>
      <c r="E12" s="6"/>
      <c r="F12" s="53" t="s">
        <v>988</v>
      </c>
      <c r="G12" s="6"/>
    </row>
    <row r="13" spans="1:7" x14ac:dyDescent="0.2">
      <c r="C13" s="18"/>
      <c r="D13" s="6"/>
      <c r="E13" s="6"/>
      <c r="F13" s="6"/>
      <c r="G13" s="6"/>
    </row>
    <row r="14" spans="1:7" x14ac:dyDescent="0.2">
      <c r="A14" t="s">
        <v>531</v>
      </c>
      <c r="C14" s="18"/>
      <c r="D14" s="6">
        <f>SUM(D6:D11)</f>
        <v>-122078.83000000002</v>
      </c>
      <c r="E14" s="6"/>
      <c r="F14" s="6"/>
      <c r="G14" s="6"/>
    </row>
    <row r="15" spans="1:7" x14ac:dyDescent="0.2">
      <c r="A15" s="18"/>
      <c r="B15" s="18"/>
      <c r="C15" s="18"/>
      <c r="D15" s="50"/>
      <c r="E15" s="50"/>
      <c r="F15" s="6"/>
      <c r="G15" s="6"/>
    </row>
    <row r="16" spans="1:7" x14ac:dyDescent="0.2">
      <c r="C16" s="18"/>
      <c r="D16" s="6"/>
      <c r="E16" s="6"/>
      <c r="F16" s="6"/>
      <c r="G16" s="6"/>
    </row>
    <row r="17" spans="1:7" x14ac:dyDescent="0.2">
      <c r="A17" t="s">
        <v>532</v>
      </c>
      <c r="C17" s="18"/>
      <c r="D17" s="6"/>
      <c r="E17" s="6"/>
      <c r="F17" s="6"/>
      <c r="G17" s="6"/>
    </row>
    <row r="18" spans="1:7" x14ac:dyDescent="0.2">
      <c r="C18" s="18"/>
      <c r="D18" s="6"/>
      <c r="E18" s="6"/>
      <c r="F18" s="6"/>
      <c r="G18" s="6"/>
    </row>
    <row r="19" spans="1:7" x14ac:dyDescent="0.2">
      <c r="A19">
        <v>4154</v>
      </c>
      <c r="B19">
        <v>7</v>
      </c>
      <c r="C19" s="18" t="s">
        <v>462</v>
      </c>
      <c r="D19" s="6">
        <v>-25106.639999999999</v>
      </c>
      <c r="E19" s="6"/>
      <c r="F19" s="6"/>
      <c r="G19" s="6"/>
    </row>
    <row r="20" spans="1:7" x14ac:dyDescent="0.2">
      <c r="A20">
        <v>4028</v>
      </c>
      <c r="B20">
        <v>7</v>
      </c>
      <c r="C20" s="18" t="s">
        <v>363</v>
      </c>
      <c r="D20" s="6">
        <v>-17684.71</v>
      </c>
      <c r="E20" s="6"/>
      <c r="F20" s="6"/>
      <c r="G20" s="6"/>
    </row>
    <row r="21" spans="1:7" x14ac:dyDescent="0.2">
      <c r="C21" s="18"/>
      <c r="D21" s="6"/>
      <c r="E21" s="6"/>
      <c r="F21" s="6"/>
      <c r="G21" s="6"/>
    </row>
    <row r="22" spans="1:7" x14ac:dyDescent="0.2">
      <c r="C22" s="18"/>
      <c r="D22" s="6"/>
      <c r="E22" s="6"/>
      <c r="F22" s="6"/>
      <c r="G22" s="6"/>
    </row>
    <row r="23" spans="1:7" x14ac:dyDescent="0.2">
      <c r="A23" t="s">
        <v>528</v>
      </c>
      <c r="C23" s="18"/>
      <c r="D23" s="6"/>
      <c r="E23" s="6"/>
      <c r="F23" s="6"/>
      <c r="G23" s="6"/>
    </row>
    <row r="24" spans="1:7" x14ac:dyDescent="0.2">
      <c r="B24" t="s">
        <v>529</v>
      </c>
      <c r="C24" s="18"/>
      <c r="D24" s="49">
        <v>8.6985959099999996E-2</v>
      </c>
      <c r="E24" s="49"/>
      <c r="F24" s="6"/>
      <c r="G24" s="6"/>
    </row>
    <row r="25" spans="1:7" x14ac:dyDescent="0.2">
      <c r="B25" t="s">
        <v>530</v>
      </c>
      <c r="C25" s="18"/>
      <c r="D25" s="49">
        <v>8.70072026E-2</v>
      </c>
      <c r="E25" s="49"/>
      <c r="F25" s="6"/>
      <c r="G25" s="6"/>
    </row>
    <row r="26" spans="1:7" x14ac:dyDescent="0.2">
      <c r="C26" s="18"/>
      <c r="D26" s="6"/>
      <c r="E26" s="6"/>
      <c r="F26" s="6"/>
      <c r="G26" s="6"/>
    </row>
    <row r="27" spans="1:7" x14ac:dyDescent="0.2">
      <c r="C27" s="18"/>
      <c r="D27" s="6"/>
      <c r="E27" s="6"/>
      <c r="F27" s="6"/>
      <c r="G27" s="6"/>
    </row>
    <row r="28" spans="1:7" x14ac:dyDescent="0.2">
      <c r="A28" t="s">
        <v>973</v>
      </c>
      <c r="D28"/>
      <c r="E28"/>
      <c r="F28" s="6"/>
      <c r="G28" s="6"/>
    </row>
    <row r="29" spans="1:7" x14ac:dyDescent="0.2">
      <c r="A29">
        <v>62</v>
      </c>
      <c r="B29">
        <v>1</v>
      </c>
      <c r="C29" s="18" t="s">
        <v>566</v>
      </c>
      <c r="D29" s="6">
        <v>-291169.65000000002</v>
      </c>
      <c r="F29" s="52" t="s">
        <v>990</v>
      </c>
      <c r="G29" s="6"/>
    </row>
    <row r="30" spans="1:7" x14ac:dyDescent="0.2">
      <c r="A30">
        <v>371</v>
      </c>
      <c r="B30">
        <v>1</v>
      </c>
      <c r="C30" s="18" t="s">
        <v>664</v>
      </c>
      <c r="D30" s="6">
        <v>-70156.08</v>
      </c>
      <c r="F30" s="52" t="s">
        <v>990</v>
      </c>
      <c r="G30" s="6"/>
    </row>
    <row r="31" spans="1:7" x14ac:dyDescent="0.2">
      <c r="A31">
        <v>2903</v>
      </c>
      <c r="C31" s="18"/>
      <c r="D31"/>
      <c r="F31" s="6"/>
      <c r="G31" s="6"/>
    </row>
    <row r="32" spans="1:7" x14ac:dyDescent="0.2">
      <c r="C32" s="18"/>
      <c r="D32"/>
      <c r="F32" s="6"/>
      <c r="G32" s="6"/>
    </row>
    <row r="33" spans="1:19" x14ac:dyDescent="0.2">
      <c r="A33">
        <v>411</v>
      </c>
      <c r="B33">
        <v>1</v>
      </c>
      <c r="C33" s="18" t="s">
        <v>674</v>
      </c>
      <c r="D33" s="6">
        <v>-65490.93</v>
      </c>
      <c r="F33" s="52" t="s">
        <v>991</v>
      </c>
      <c r="G33" s="6"/>
    </row>
    <row r="34" spans="1:19" x14ac:dyDescent="0.2">
      <c r="A34">
        <v>417</v>
      </c>
      <c r="B34">
        <v>1</v>
      </c>
      <c r="C34" s="18" t="s">
        <v>678</v>
      </c>
      <c r="D34" s="6">
        <v>-428604.65</v>
      </c>
      <c r="F34" s="52" t="s">
        <v>991</v>
      </c>
      <c r="G34" s="6"/>
    </row>
    <row r="35" spans="1:19" x14ac:dyDescent="0.2">
      <c r="A35">
        <v>2904</v>
      </c>
      <c r="C35" s="18"/>
      <c r="D35"/>
      <c r="F35" s="6"/>
      <c r="G35" s="6"/>
    </row>
    <row r="36" spans="1:19" x14ac:dyDescent="0.2">
      <c r="C36" s="18"/>
      <c r="D36"/>
      <c r="F36" s="6"/>
      <c r="G36" s="6"/>
    </row>
    <row r="37" spans="1:19" x14ac:dyDescent="0.2">
      <c r="A37">
        <v>2887</v>
      </c>
      <c r="B37">
        <v>1</v>
      </c>
      <c r="C37" s="18" t="s">
        <v>872</v>
      </c>
      <c r="D37" s="6">
        <v>-203264.85</v>
      </c>
      <c r="F37" s="52" t="s">
        <v>989</v>
      </c>
      <c r="G37" s="6"/>
    </row>
    <row r="38" spans="1:19" x14ac:dyDescent="0.2">
      <c r="C38" s="18"/>
      <c r="D38" s="6"/>
      <c r="E38" s="6"/>
      <c r="F38" s="6"/>
      <c r="G38" s="6"/>
    </row>
    <row r="39" spans="1:19" x14ac:dyDescent="0.2">
      <c r="A39" t="s">
        <v>982</v>
      </c>
      <c r="C39" s="18"/>
      <c r="D39" s="6">
        <f>SUM(D29:D37)</f>
        <v>-1058686.1600000001</v>
      </c>
      <c r="E39" s="6"/>
      <c r="F39" s="6"/>
      <c r="G39" s="6"/>
    </row>
    <row r="40" spans="1:19" x14ac:dyDescent="0.2">
      <c r="C40" s="18"/>
      <c r="D40" s="6"/>
      <c r="E40" s="6"/>
      <c r="F40" s="6"/>
      <c r="G40" s="6"/>
    </row>
    <row r="41" spans="1:19" x14ac:dyDescent="0.2">
      <c r="C41" s="18"/>
      <c r="D41" s="6"/>
      <c r="E41" s="6"/>
      <c r="F41" s="6"/>
      <c r="G41" s="6"/>
      <c r="L41" t="s">
        <v>973</v>
      </c>
    </row>
    <row r="42" spans="1:19" x14ac:dyDescent="0.2">
      <c r="L42">
        <v>62</v>
      </c>
      <c r="M42">
        <v>1</v>
      </c>
      <c r="N42" s="18" t="s">
        <v>566</v>
      </c>
      <c r="O42" s="50">
        <v>3347317.76</v>
      </c>
      <c r="P42" s="6">
        <v>-291169.65000000002</v>
      </c>
      <c r="Q42" s="17">
        <f>IF(O42&gt;0,ROUND(P42/O42,3),"na   ")</f>
        <v>-8.6999999999999994E-2</v>
      </c>
      <c r="R42" s="6">
        <f>P42*-1</f>
        <v>291169.65000000002</v>
      </c>
      <c r="S42" s="6">
        <f>ROUND(R42*0.67,2)</f>
        <v>195083.67</v>
      </c>
    </row>
    <row r="43" spans="1:19" x14ac:dyDescent="0.2">
      <c r="L43">
        <v>371</v>
      </c>
      <c r="M43">
        <v>1</v>
      </c>
      <c r="N43" s="18" t="s">
        <v>664</v>
      </c>
      <c r="O43" s="50">
        <v>806521.87</v>
      </c>
      <c r="P43" s="6">
        <v>-70156.08</v>
      </c>
      <c r="Q43" s="17">
        <f>IF(O43&gt;0,ROUND(P43/O43,3),"na   ")</f>
        <v>-8.6999999999999994E-2</v>
      </c>
      <c r="R43" s="6">
        <f>P43*-1</f>
        <v>70156.08</v>
      </c>
      <c r="S43" s="6">
        <f>ROUND(R43*0.67,2)</f>
        <v>47004.57</v>
      </c>
    </row>
    <row r="44" spans="1:19" x14ac:dyDescent="0.2">
      <c r="L44">
        <v>2903</v>
      </c>
      <c r="N44" s="18"/>
      <c r="O44" s="18"/>
    </row>
    <row r="45" spans="1:19" x14ac:dyDescent="0.2">
      <c r="N45" s="18"/>
      <c r="O45" s="18"/>
    </row>
    <row r="46" spans="1:19" x14ac:dyDescent="0.2">
      <c r="L46">
        <v>411</v>
      </c>
      <c r="M46">
        <v>1</v>
      </c>
      <c r="N46" s="18" t="s">
        <v>674</v>
      </c>
      <c r="O46" s="50">
        <v>752890.82</v>
      </c>
      <c r="P46" s="6">
        <v>-65490.93</v>
      </c>
      <c r="Q46" s="17">
        <f>IF(O46&gt;0,ROUND(P46/O46,3),"na   ")</f>
        <v>-8.6999999999999994E-2</v>
      </c>
      <c r="R46" s="6">
        <f>P46*-1</f>
        <v>65490.93</v>
      </c>
      <c r="S46" s="6">
        <f>ROUND(R46*0.67,2)</f>
        <v>43878.92</v>
      </c>
    </row>
    <row r="47" spans="1:19" x14ac:dyDescent="0.2">
      <c r="L47">
        <v>417</v>
      </c>
      <c r="M47">
        <v>1</v>
      </c>
      <c r="N47" s="18" t="s">
        <v>678</v>
      </c>
      <c r="O47" s="50">
        <v>4927285.46</v>
      </c>
      <c r="P47" s="6">
        <v>-428604.65</v>
      </c>
      <c r="Q47" s="17">
        <f>IF(O47&gt;0,ROUND(P47/O47,3),"na   ")</f>
        <v>-8.6999999999999994E-2</v>
      </c>
      <c r="R47" s="6">
        <f>P47*-1</f>
        <v>428604.65</v>
      </c>
      <c r="S47" s="6">
        <f>ROUND(R47*0.67,2)</f>
        <v>287165.12</v>
      </c>
    </row>
    <row r="48" spans="1:19" x14ac:dyDescent="0.2">
      <c r="L48">
        <v>2904</v>
      </c>
      <c r="N48" s="18"/>
      <c r="O48" s="18"/>
    </row>
    <row r="49" spans="12:19" x14ac:dyDescent="0.2">
      <c r="N49" s="18"/>
      <c r="O49" s="18"/>
    </row>
    <row r="50" spans="12:19" x14ac:dyDescent="0.2">
      <c r="L50">
        <v>2887</v>
      </c>
      <c r="M50">
        <v>1</v>
      </c>
      <c r="N50" s="18" t="s">
        <v>872</v>
      </c>
      <c r="O50" s="50">
        <v>2336754.71</v>
      </c>
      <c r="P50" s="6">
        <v>-203264.85</v>
      </c>
      <c r="Q50" s="17">
        <f>IF(O50&gt;0,ROUND(P50/O50,3),"na   ")</f>
        <v>-8.6999999999999994E-2</v>
      </c>
      <c r="R50" s="6">
        <f>P50*-1</f>
        <v>203264.85</v>
      </c>
      <c r="S50" s="6">
        <f>ROUND(R50*0.67,2)</f>
        <v>136187.45000000001</v>
      </c>
    </row>
    <row r="51" spans="12:19" x14ac:dyDescent="0.2">
      <c r="N51" s="18"/>
      <c r="O51" s="50"/>
      <c r="P51" s="6"/>
      <c r="Q51" s="17"/>
      <c r="R51" s="6"/>
      <c r="S51" s="6"/>
    </row>
    <row r="52" spans="12:19" x14ac:dyDescent="0.2">
      <c r="L52" t="s">
        <v>982</v>
      </c>
      <c r="N52" s="18"/>
      <c r="O52" s="50"/>
      <c r="P52" s="6"/>
      <c r="Q52" s="17"/>
      <c r="R52" s="6">
        <f>SUM(R42:R50)</f>
        <v>1058686.1600000001</v>
      </c>
      <c r="S52" s="6"/>
    </row>
    <row r="53" spans="12:19" x14ac:dyDescent="0.2">
      <c r="N53" s="18"/>
      <c r="O53" s="50"/>
      <c r="P53" s="6"/>
      <c r="Q53" s="17"/>
      <c r="R53" s="6"/>
      <c r="S53" s="6"/>
    </row>
    <row r="54" spans="12:19" x14ac:dyDescent="0.2">
      <c r="N54" s="18"/>
      <c r="O54" s="18"/>
    </row>
    <row r="55" spans="12:19" x14ac:dyDescent="0.2">
      <c r="L55" t="s">
        <v>974</v>
      </c>
      <c r="N55" s="18"/>
      <c r="O55" s="18"/>
    </row>
    <row r="56" spans="12:19" x14ac:dyDescent="0.2">
      <c r="L56">
        <v>160</v>
      </c>
      <c r="M56">
        <v>70</v>
      </c>
      <c r="N56" s="18" t="s">
        <v>494</v>
      </c>
      <c r="O56" s="50">
        <v>394337.76</v>
      </c>
      <c r="P56" s="6">
        <v>-34301.85</v>
      </c>
      <c r="Q56" s="17">
        <f>IF(O56&gt;0,ROUND(P56/O56,3),"na   ")</f>
        <v>-8.6999999999999994E-2</v>
      </c>
      <c r="R56" s="6">
        <f>P56*-1</f>
        <v>34301.85</v>
      </c>
      <c r="S56" s="6">
        <f>ROUND(R56*0.67,2)</f>
        <v>22982.240000000002</v>
      </c>
    </row>
    <row r="57" spans="12:19" x14ac:dyDescent="0.2">
      <c r="L57">
        <v>4101</v>
      </c>
      <c r="M57">
        <v>7</v>
      </c>
      <c r="N57" s="18" t="s">
        <v>486</v>
      </c>
      <c r="O57" s="50">
        <v>63286.27</v>
      </c>
      <c r="P57" s="6">
        <v>-5505.02</v>
      </c>
      <c r="Q57" s="17">
        <f>IF(O57&gt;0,ROUND(P57/O57,3),"na   ")</f>
        <v>-8.6999999999999994E-2</v>
      </c>
      <c r="R57" s="6">
        <f>P57*-1</f>
        <v>5505.02</v>
      </c>
      <c r="S57" s="6">
        <f>ROUND(R57*0.67,2)</f>
        <v>3688.36</v>
      </c>
    </row>
    <row r="58" spans="12:19" x14ac:dyDescent="0.2">
      <c r="L58">
        <v>4148</v>
      </c>
      <c r="M58">
        <v>7</v>
      </c>
      <c r="N58" s="18" t="s">
        <v>487</v>
      </c>
      <c r="O58" s="50">
        <v>945807.39</v>
      </c>
      <c r="P58" s="6">
        <v>-82271.960000000006</v>
      </c>
      <c r="Q58" s="17">
        <f>IF(O58&gt;0,ROUND(P58/O58,3),"na   ")</f>
        <v>-8.6999999999999994E-2</v>
      </c>
      <c r="R58" s="6">
        <f>P58*-1</f>
        <v>82271.960000000006</v>
      </c>
      <c r="S58" s="6">
        <f>ROUND(R58*0.67,2)</f>
        <v>55122.21</v>
      </c>
    </row>
    <row r="59" spans="12:19" x14ac:dyDescent="0.2">
      <c r="N59" s="18"/>
      <c r="O59" s="18"/>
    </row>
    <row r="60" spans="12:19" x14ac:dyDescent="0.2">
      <c r="L60" t="s">
        <v>975</v>
      </c>
      <c r="N60" s="18"/>
      <c r="O60" s="18"/>
    </row>
    <row r="61" spans="12:19" x14ac:dyDescent="0.2">
      <c r="L61">
        <v>160</v>
      </c>
      <c r="M61">
        <v>71</v>
      </c>
      <c r="N61" s="18" t="s">
        <v>594</v>
      </c>
      <c r="O61" s="50">
        <v>0</v>
      </c>
      <c r="P61" s="6">
        <v>0</v>
      </c>
      <c r="Q61" s="17" t="str">
        <f t="shared" ref="Q61:Q95" si="0">IF(O61&gt;0,ROUND(P61/O61,3),"na   ")</f>
        <v xml:space="preserve">na   </v>
      </c>
      <c r="R61" s="6">
        <f t="shared" ref="R61:R95" si="1">P61*-1</f>
        <v>0</v>
      </c>
      <c r="S61" s="6">
        <f t="shared" ref="S61:S95" si="2">ROUND(R61*0.67,2)</f>
        <v>0</v>
      </c>
    </row>
    <row r="62" spans="12:19" x14ac:dyDescent="0.2">
      <c r="L62">
        <v>3000</v>
      </c>
      <c r="M62">
        <v>1</v>
      </c>
      <c r="N62" s="18" t="s">
        <v>879</v>
      </c>
      <c r="O62" s="50">
        <v>0</v>
      </c>
      <c r="P62" s="6">
        <v>0</v>
      </c>
      <c r="Q62" s="17" t="str">
        <f t="shared" si="0"/>
        <v xml:space="preserve">na   </v>
      </c>
      <c r="R62" s="6">
        <f t="shared" si="1"/>
        <v>0</v>
      </c>
      <c r="S62" s="6">
        <f t="shared" si="2"/>
        <v>0</v>
      </c>
    </row>
    <row r="63" spans="12:19" x14ac:dyDescent="0.2">
      <c r="L63">
        <v>3999</v>
      </c>
      <c r="M63">
        <v>1</v>
      </c>
      <c r="N63" s="18" t="s">
        <v>880</v>
      </c>
      <c r="O63" s="50">
        <v>0</v>
      </c>
      <c r="P63" s="6">
        <v>0</v>
      </c>
      <c r="Q63" s="17" t="str">
        <f t="shared" si="0"/>
        <v xml:space="preserve">na   </v>
      </c>
      <c r="R63" s="6">
        <f t="shared" si="1"/>
        <v>0</v>
      </c>
      <c r="S63" s="6">
        <f t="shared" si="2"/>
        <v>0</v>
      </c>
    </row>
    <row r="64" spans="12:19" x14ac:dyDescent="0.2">
      <c r="L64">
        <v>4019</v>
      </c>
      <c r="M64">
        <v>7</v>
      </c>
      <c r="N64" s="18" t="s">
        <v>887</v>
      </c>
      <c r="O64" s="50">
        <v>0</v>
      </c>
      <c r="P64" s="6">
        <v>0</v>
      </c>
      <c r="Q64" s="17" t="str">
        <f t="shared" si="0"/>
        <v xml:space="preserve">na   </v>
      </c>
      <c r="R64" s="6">
        <f t="shared" si="1"/>
        <v>0</v>
      </c>
      <c r="S64" s="6">
        <f t="shared" si="2"/>
        <v>0</v>
      </c>
    </row>
    <row r="65" spans="12:19" x14ac:dyDescent="0.2">
      <c r="L65">
        <v>4021</v>
      </c>
      <c r="M65">
        <v>7</v>
      </c>
      <c r="N65" s="18" t="s">
        <v>889</v>
      </c>
      <c r="O65" s="50">
        <v>0</v>
      </c>
      <c r="P65" s="6">
        <v>0</v>
      </c>
      <c r="Q65" s="17" t="str">
        <f t="shared" si="0"/>
        <v xml:space="preserve">na   </v>
      </c>
      <c r="R65" s="6">
        <f t="shared" si="1"/>
        <v>0</v>
      </c>
      <c r="S65" s="6">
        <f t="shared" si="2"/>
        <v>0</v>
      </c>
    </row>
    <row r="66" spans="12:19" x14ac:dyDescent="0.2">
      <c r="L66">
        <v>4040</v>
      </c>
      <c r="M66">
        <v>7</v>
      </c>
      <c r="N66" s="18" t="s">
        <v>895</v>
      </c>
      <c r="O66" s="50">
        <v>0</v>
      </c>
      <c r="P66" s="6">
        <v>0</v>
      </c>
      <c r="Q66" s="17" t="str">
        <f t="shared" si="0"/>
        <v xml:space="preserve">na   </v>
      </c>
      <c r="R66" s="6">
        <f t="shared" si="1"/>
        <v>0</v>
      </c>
      <c r="S66" s="6">
        <f t="shared" si="2"/>
        <v>0</v>
      </c>
    </row>
    <row r="67" spans="12:19" x14ac:dyDescent="0.2">
      <c r="L67">
        <v>4044</v>
      </c>
      <c r="M67">
        <v>7</v>
      </c>
      <c r="N67" s="18" t="s">
        <v>484</v>
      </c>
      <c r="O67" s="50">
        <v>0</v>
      </c>
      <c r="P67" s="6">
        <v>0</v>
      </c>
      <c r="Q67" s="17" t="str">
        <f t="shared" si="0"/>
        <v xml:space="preserve">na   </v>
      </c>
      <c r="R67" s="6">
        <f t="shared" si="1"/>
        <v>0</v>
      </c>
      <c r="S67" s="6">
        <f t="shared" si="2"/>
        <v>0</v>
      </c>
    </row>
    <row r="68" spans="12:19" x14ac:dyDescent="0.2">
      <c r="L68">
        <v>4051</v>
      </c>
      <c r="M68">
        <v>7</v>
      </c>
      <c r="N68" s="18" t="s">
        <v>899</v>
      </c>
      <c r="O68" s="50">
        <v>0</v>
      </c>
      <c r="P68" s="6">
        <v>0</v>
      </c>
      <c r="Q68" s="17" t="str">
        <f t="shared" si="0"/>
        <v xml:space="preserve">na   </v>
      </c>
      <c r="R68" s="6">
        <f t="shared" si="1"/>
        <v>0</v>
      </c>
      <c r="S68" s="6">
        <f t="shared" si="2"/>
        <v>0</v>
      </c>
    </row>
    <row r="69" spans="12:19" x14ac:dyDescent="0.2">
      <c r="L69">
        <v>4060</v>
      </c>
      <c r="M69">
        <v>7</v>
      </c>
      <c r="N69" s="18" t="s">
        <v>905</v>
      </c>
      <c r="O69" s="50">
        <v>0</v>
      </c>
      <c r="P69" s="6">
        <v>0</v>
      </c>
      <c r="Q69" s="17" t="str">
        <f t="shared" si="0"/>
        <v xml:space="preserve">na   </v>
      </c>
      <c r="R69" s="6">
        <f t="shared" si="1"/>
        <v>0</v>
      </c>
      <c r="S69" s="6">
        <f t="shared" si="2"/>
        <v>0</v>
      </c>
    </row>
    <row r="70" spans="12:19" x14ac:dyDescent="0.2">
      <c r="L70">
        <v>4062</v>
      </c>
      <c r="M70">
        <v>7</v>
      </c>
      <c r="N70" s="18" t="s">
        <v>906</v>
      </c>
      <c r="O70" s="50">
        <v>0</v>
      </c>
      <c r="P70" s="6">
        <v>0</v>
      </c>
      <c r="Q70" s="17" t="str">
        <f t="shared" si="0"/>
        <v xml:space="preserve">na   </v>
      </c>
      <c r="R70" s="6">
        <f t="shared" si="1"/>
        <v>0</v>
      </c>
      <c r="S70" s="6">
        <f t="shared" si="2"/>
        <v>0</v>
      </c>
    </row>
    <row r="71" spans="12:19" x14ac:dyDescent="0.2">
      <c r="L71">
        <v>4065</v>
      </c>
      <c r="M71">
        <v>7</v>
      </c>
      <c r="N71" s="18" t="s">
        <v>908</v>
      </c>
      <c r="O71" s="50">
        <v>0</v>
      </c>
      <c r="P71" s="6">
        <v>0</v>
      </c>
      <c r="Q71" s="17" t="str">
        <f t="shared" si="0"/>
        <v xml:space="preserve">na   </v>
      </c>
      <c r="R71" s="6">
        <f t="shared" si="1"/>
        <v>0</v>
      </c>
      <c r="S71" s="6">
        <f t="shared" si="2"/>
        <v>0</v>
      </c>
    </row>
    <row r="72" spans="12:19" x14ac:dyDescent="0.2">
      <c r="L72">
        <v>4069</v>
      </c>
      <c r="M72">
        <v>7</v>
      </c>
      <c r="N72" s="18" t="s">
        <v>911</v>
      </c>
      <c r="O72" s="50">
        <v>0</v>
      </c>
      <c r="P72" s="6">
        <v>0</v>
      </c>
      <c r="Q72" s="17" t="str">
        <f t="shared" si="0"/>
        <v xml:space="preserve">na   </v>
      </c>
      <c r="R72" s="6">
        <f t="shared" si="1"/>
        <v>0</v>
      </c>
      <c r="S72" s="6">
        <f t="shared" si="2"/>
        <v>0</v>
      </c>
    </row>
    <row r="73" spans="12:19" x14ac:dyDescent="0.2">
      <c r="L73">
        <v>4071</v>
      </c>
      <c r="M73">
        <v>7</v>
      </c>
      <c r="N73" s="18" t="s">
        <v>913</v>
      </c>
      <c r="O73" s="50">
        <v>0</v>
      </c>
      <c r="P73" s="6">
        <v>0</v>
      </c>
      <c r="Q73" s="17" t="str">
        <f t="shared" si="0"/>
        <v xml:space="preserve">na   </v>
      </c>
      <c r="R73" s="6">
        <f t="shared" si="1"/>
        <v>0</v>
      </c>
      <c r="S73" s="6">
        <f t="shared" si="2"/>
        <v>0</v>
      </c>
    </row>
    <row r="74" spans="12:19" x14ac:dyDescent="0.2">
      <c r="L74">
        <v>4072</v>
      </c>
      <c r="M74">
        <v>7</v>
      </c>
      <c r="N74" s="18" t="s">
        <v>485</v>
      </c>
      <c r="O74" s="50">
        <v>0</v>
      </c>
      <c r="P74" s="6">
        <v>0</v>
      </c>
      <c r="Q74" s="17" t="str">
        <f t="shared" si="0"/>
        <v xml:space="preserve">na   </v>
      </c>
      <c r="R74" s="6">
        <f t="shared" si="1"/>
        <v>0</v>
      </c>
      <c r="S74" s="6">
        <f t="shared" si="2"/>
        <v>0</v>
      </c>
    </row>
    <row r="75" spans="12:19" x14ac:dyDescent="0.2">
      <c r="L75">
        <v>4076</v>
      </c>
      <c r="M75">
        <v>7</v>
      </c>
      <c r="N75" s="18" t="s">
        <v>917</v>
      </c>
      <c r="O75" s="50">
        <v>0</v>
      </c>
      <c r="P75" s="6">
        <v>0</v>
      </c>
      <c r="Q75" s="17" t="str">
        <f t="shared" si="0"/>
        <v xml:space="preserve">na   </v>
      </c>
      <c r="R75" s="6">
        <f t="shared" si="1"/>
        <v>0</v>
      </c>
      <c r="S75" s="6">
        <f t="shared" si="2"/>
        <v>0</v>
      </c>
    </row>
    <row r="76" spans="12:19" x14ac:dyDescent="0.2">
      <c r="L76">
        <v>4096</v>
      </c>
      <c r="M76">
        <v>7</v>
      </c>
      <c r="N76" s="18" t="s">
        <v>929</v>
      </c>
      <c r="O76" s="50">
        <v>0</v>
      </c>
      <c r="P76" s="6">
        <v>0</v>
      </c>
      <c r="Q76" s="17" t="str">
        <f t="shared" si="0"/>
        <v xml:space="preserve">na   </v>
      </c>
      <c r="R76" s="6">
        <f t="shared" si="1"/>
        <v>0</v>
      </c>
      <c r="S76" s="6">
        <f t="shared" si="2"/>
        <v>0</v>
      </c>
    </row>
    <row r="77" spans="12:19" x14ac:dyDescent="0.2">
      <c r="L77">
        <v>4128</v>
      </c>
      <c r="M77">
        <v>7</v>
      </c>
      <c r="N77" s="18" t="s">
        <v>948</v>
      </c>
      <c r="O77" s="50">
        <v>0</v>
      </c>
      <c r="P77" s="6">
        <v>0</v>
      </c>
      <c r="Q77" s="17" t="str">
        <f t="shared" si="0"/>
        <v xml:space="preserve">na   </v>
      </c>
      <c r="R77" s="6">
        <f t="shared" si="1"/>
        <v>0</v>
      </c>
      <c r="S77" s="6">
        <f t="shared" si="2"/>
        <v>0</v>
      </c>
    </row>
    <row r="78" spans="12:19" x14ac:dyDescent="0.2">
      <c r="L78">
        <v>4129</v>
      </c>
      <c r="M78">
        <v>7</v>
      </c>
      <c r="N78" s="18" t="s">
        <v>949</v>
      </c>
      <c r="O78" s="50">
        <v>0</v>
      </c>
      <c r="P78" s="6">
        <v>0</v>
      </c>
      <c r="Q78" s="17" t="str">
        <f t="shared" si="0"/>
        <v xml:space="preserve">na   </v>
      </c>
      <c r="R78" s="6">
        <f t="shared" si="1"/>
        <v>0</v>
      </c>
      <c r="S78" s="6">
        <f t="shared" si="2"/>
        <v>0</v>
      </c>
    </row>
    <row r="79" spans="12:19" x14ac:dyDescent="0.2">
      <c r="L79">
        <v>4136</v>
      </c>
      <c r="M79">
        <v>7</v>
      </c>
      <c r="N79" s="18" t="s">
        <v>951</v>
      </c>
      <c r="O79" s="50">
        <v>0</v>
      </c>
      <c r="P79" s="6">
        <v>0</v>
      </c>
      <c r="Q79" s="17" t="str">
        <f t="shared" si="0"/>
        <v xml:space="preserve">na   </v>
      </c>
      <c r="R79" s="6">
        <f t="shared" si="1"/>
        <v>0</v>
      </c>
      <c r="S79" s="6">
        <f t="shared" si="2"/>
        <v>0</v>
      </c>
    </row>
    <row r="80" spans="12:19" x14ac:dyDescent="0.2">
      <c r="L80">
        <v>4157</v>
      </c>
      <c r="M80">
        <v>7</v>
      </c>
      <c r="N80" s="18" t="s">
        <v>957</v>
      </c>
      <c r="O80" s="50">
        <v>0</v>
      </c>
      <c r="P80" s="6">
        <v>0</v>
      </c>
      <c r="Q80" s="17" t="str">
        <f t="shared" si="0"/>
        <v xml:space="preserve">na   </v>
      </c>
      <c r="R80" s="6">
        <f t="shared" si="1"/>
        <v>0</v>
      </c>
      <c r="S80" s="6">
        <f t="shared" si="2"/>
        <v>0</v>
      </c>
    </row>
    <row r="81" spans="12:19" x14ac:dyDescent="0.2">
      <c r="L81">
        <v>4158</v>
      </c>
      <c r="M81">
        <v>7</v>
      </c>
      <c r="N81" s="18" t="s">
        <v>958</v>
      </c>
      <c r="O81" s="50">
        <v>0</v>
      </c>
      <c r="P81" s="6">
        <v>0</v>
      </c>
      <c r="Q81" s="17" t="str">
        <f t="shared" si="0"/>
        <v xml:space="preserve">na   </v>
      </c>
      <c r="R81" s="6">
        <f t="shared" si="1"/>
        <v>0</v>
      </c>
      <c r="S81" s="6">
        <f t="shared" si="2"/>
        <v>0</v>
      </c>
    </row>
    <row r="82" spans="12:19" x14ac:dyDescent="0.2">
      <c r="L82">
        <v>4164</v>
      </c>
      <c r="M82">
        <v>7</v>
      </c>
      <c r="N82" s="18" t="s">
        <v>959</v>
      </c>
      <c r="O82" s="50">
        <v>0</v>
      </c>
      <c r="P82" s="6">
        <v>0</v>
      </c>
      <c r="Q82" s="17" t="str">
        <f t="shared" si="0"/>
        <v xml:space="preserve">na   </v>
      </c>
      <c r="R82" s="6">
        <f t="shared" si="1"/>
        <v>0</v>
      </c>
      <c r="S82" s="6">
        <f t="shared" si="2"/>
        <v>0</v>
      </c>
    </row>
    <row r="83" spans="12:19" x14ac:dyDescent="0.2">
      <c r="L83">
        <v>4165</v>
      </c>
      <c r="M83">
        <v>7</v>
      </c>
      <c r="N83" s="18" t="s">
        <v>488</v>
      </c>
      <c r="O83" s="50">
        <v>0</v>
      </c>
      <c r="P83" s="6">
        <v>0</v>
      </c>
      <c r="Q83" s="17" t="str">
        <f t="shared" si="0"/>
        <v xml:space="preserve">na   </v>
      </c>
      <c r="R83" s="6">
        <f t="shared" si="1"/>
        <v>0</v>
      </c>
      <c r="S83" s="6">
        <f t="shared" si="2"/>
        <v>0</v>
      </c>
    </row>
    <row r="84" spans="12:19" x14ac:dyDescent="0.2">
      <c r="L84">
        <v>4176</v>
      </c>
      <c r="M84">
        <v>7</v>
      </c>
      <c r="N84" s="18" t="s">
        <v>961</v>
      </c>
      <c r="O84" s="50">
        <v>0</v>
      </c>
      <c r="P84" s="6">
        <v>0</v>
      </c>
      <c r="Q84" s="17" t="str">
        <f t="shared" si="0"/>
        <v xml:space="preserve">na   </v>
      </c>
      <c r="R84" s="6">
        <f t="shared" si="1"/>
        <v>0</v>
      </c>
      <c r="S84" s="6">
        <f t="shared" si="2"/>
        <v>0</v>
      </c>
    </row>
    <row r="85" spans="12:19" x14ac:dyDescent="0.2">
      <c r="L85">
        <v>4182</v>
      </c>
      <c r="M85">
        <v>7</v>
      </c>
      <c r="N85" s="18" t="s">
        <v>962</v>
      </c>
      <c r="O85" s="50">
        <v>0</v>
      </c>
      <c r="P85" s="6">
        <v>0</v>
      </c>
      <c r="Q85" s="17" t="str">
        <f t="shared" si="0"/>
        <v xml:space="preserve">na   </v>
      </c>
      <c r="R85" s="6">
        <f t="shared" si="1"/>
        <v>0</v>
      </c>
      <c r="S85" s="6">
        <f t="shared" si="2"/>
        <v>0</v>
      </c>
    </row>
    <row r="86" spans="12:19" x14ac:dyDescent="0.2">
      <c r="L86">
        <v>4183</v>
      </c>
      <c r="M86">
        <v>7</v>
      </c>
      <c r="N86" s="18" t="s">
        <v>963</v>
      </c>
      <c r="O86" s="50">
        <v>0</v>
      </c>
      <c r="P86" s="6">
        <v>0</v>
      </c>
      <c r="Q86" s="17" t="str">
        <f t="shared" si="0"/>
        <v xml:space="preserve">na   </v>
      </c>
      <c r="R86" s="6">
        <f t="shared" si="1"/>
        <v>0</v>
      </c>
      <c r="S86" s="6">
        <f t="shared" si="2"/>
        <v>0</v>
      </c>
    </row>
    <row r="87" spans="12:19" x14ac:dyDescent="0.2">
      <c r="L87">
        <v>4184</v>
      </c>
      <c r="M87">
        <v>7</v>
      </c>
      <c r="N87" s="18" t="s">
        <v>964</v>
      </c>
      <c r="O87" s="50">
        <v>0</v>
      </c>
      <c r="P87" s="6">
        <v>0</v>
      </c>
      <c r="Q87" s="17" t="str">
        <f t="shared" si="0"/>
        <v xml:space="preserve">na   </v>
      </c>
      <c r="R87" s="6">
        <f t="shared" si="1"/>
        <v>0</v>
      </c>
      <c r="S87" s="6">
        <f t="shared" si="2"/>
        <v>0</v>
      </c>
    </row>
    <row r="88" spans="12:19" x14ac:dyDescent="0.2">
      <c r="L88">
        <v>4185</v>
      </c>
      <c r="M88">
        <v>7</v>
      </c>
      <c r="N88" s="18" t="s">
        <v>965</v>
      </c>
      <c r="O88" s="50">
        <v>0</v>
      </c>
      <c r="P88" s="6">
        <v>0</v>
      </c>
      <c r="Q88" s="17" t="str">
        <f t="shared" si="0"/>
        <v xml:space="preserve">na   </v>
      </c>
      <c r="R88" s="6">
        <f t="shared" si="1"/>
        <v>0</v>
      </c>
      <c r="S88" s="6">
        <f t="shared" si="2"/>
        <v>0</v>
      </c>
    </row>
    <row r="89" spans="12:19" x14ac:dyDescent="0.2">
      <c r="L89">
        <v>4186</v>
      </c>
      <c r="M89">
        <v>7</v>
      </c>
      <c r="N89" s="18" t="s">
        <v>966</v>
      </c>
      <c r="O89" s="50">
        <v>0</v>
      </c>
      <c r="P89" s="6">
        <v>0</v>
      </c>
      <c r="Q89" s="17" t="str">
        <f t="shared" si="0"/>
        <v xml:space="preserve">na   </v>
      </c>
      <c r="R89" s="6">
        <f t="shared" si="1"/>
        <v>0</v>
      </c>
      <c r="S89" s="6">
        <f t="shared" si="2"/>
        <v>0</v>
      </c>
    </row>
    <row r="90" spans="12:19" x14ac:dyDescent="0.2">
      <c r="L90">
        <v>4187</v>
      </c>
      <c r="M90">
        <v>7</v>
      </c>
      <c r="N90" s="18" t="s">
        <v>967</v>
      </c>
      <c r="O90" s="50">
        <v>0</v>
      </c>
      <c r="P90" s="6">
        <v>0</v>
      </c>
      <c r="Q90" s="17" t="str">
        <f t="shared" si="0"/>
        <v xml:space="preserve">na   </v>
      </c>
      <c r="R90" s="6">
        <f t="shared" si="1"/>
        <v>0</v>
      </c>
      <c r="S90" s="6">
        <f t="shared" si="2"/>
        <v>0</v>
      </c>
    </row>
    <row r="91" spans="12:19" x14ac:dyDescent="0.2">
      <c r="L91">
        <v>4188</v>
      </c>
      <c r="M91">
        <v>7</v>
      </c>
      <c r="N91" s="18" t="s">
        <v>968</v>
      </c>
      <c r="O91" s="50">
        <v>0</v>
      </c>
      <c r="P91" s="6">
        <v>0</v>
      </c>
      <c r="Q91" s="17" t="str">
        <f t="shared" si="0"/>
        <v xml:space="preserve">na   </v>
      </c>
      <c r="R91" s="6">
        <f t="shared" si="1"/>
        <v>0</v>
      </c>
      <c r="S91" s="6">
        <f t="shared" si="2"/>
        <v>0</v>
      </c>
    </row>
    <row r="92" spans="12:19" x14ac:dyDescent="0.2">
      <c r="L92">
        <v>4189</v>
      </c>
      <c r="M92">
        <v>7</v>
      </c>
      <c r="N92" s="18" t="s">
        <v>969</v>
      </c>
      <c r="O92" s="50">
        <v>0</v>
      </c>
      <c r="P92" s="6">
        <v>0</v>
      </c>
      <c r="Q92" s="17" t="str">
        <f t="shared" si="0"/>
        <v xml:space="preserve">na   </v>
      </c>
      <c r="R92" s="6">
        <f t="shared" si="1"/>
        <v>0</v>
      </c>
      <c r="S92" s="6">
        <f t="shared" si="2"/>
        <v>0</v>
      </c>
    </row>
    <row r="93" spans="12:19" x14ac:dyDescent="0.2">
      <c r="L93">
        <v>4191</v>
      </c>
      <c r="M93">
        <v>7</v>
      </c>
      <c r="N93" s="18" t="s">
        <v>970</v>
      </c>
      <c r="O93" s="50">
        <v>0</v>
      </c>
      <c r="P93" s="6">
        <v>0</v>
      </c>
      <c r="Q93" s="17" t="str">
        <f t="shared" si="0"/>
        <v xml:space="preserve">na   </v>
      </c>
      <c r="R93" s="6">
        <f t="shared" si="1"/>
        <v>0</v>
      </c>
      <c r="S93" s="6">
        <f t="shared" si="2"/>
        <v>0</v>
      </c>
    </row>
    <row r="94" spans="12:19" x14ac:dyDescent="0.2">
      <c r="L94">
        <v>4192</v>
      </c>
      <c r="M94">
        <v>7</v>
      </c>
      <c r="N94" s="18" t="s">
        <v>971</v>
      </c>
      <c r="O94" s="50">
        <v>0</v>
      </c>
      <c r="P94" s="6">
        <v>0</v>
      </c>
      <c r="Q94" s="17" t="str">
        <f t="shared" si="0"/>
        <v xml:space="preserve">na   </v>
      </c>
      <c r="R94" s="6">
        <f t="shared" si="1"/>
        <v>0</v>
      </c>
      <c r="S94" s="6">
        <f t="shared" si="2"/>
        <v>0</v>
      </c>
    </row>
    <row r="95" spans="12:19" x14ac:dyDescent="0.2">
      <c r="L95">
        <v>4999</v>
      </c>
      <c r="M95">
        <v>7</v>
      </c>
      <c r="N95" s="18" t="s">
        <v>972</v>
      </c>
      <c r="O95" s="50">
        <v>0</v>
      </c>
      <c r="P95" s="6">
        <v>0</v>
      </c>
      <c r="Q95" s="17" t="str">
        <f t="shared" si="0"/>
        <v xml:space="preserve">na   </v>
      </c>
      <c r="R95" s="6">
        <f t="shared" si="1"/>
        <v>0</v>
      </c>
      <c r="S95" s="6">
        <f t="shared" si="2"/>
        <v>0</v>
      </c>
    </row>
    <row r="96" spans="12:19" x14ac:dyDescent="0.2">
      <c r="N96" s="18"/>
      <c r="O96" s="18"/>
    </row>
  </sheetData>
  <phoneticPr fontId="4" type="noConversion"/>
  <printOptions gridLines="1"/>
  <pageMargins left="0.75" right="0.5" top="1" bottom="0.75" header="0.5" footer="0.25"/>
  <pageSetup scale="70" fitToHeight="15" orientation="landscape" r:id="rId1"/>
  <headerFooter alignWithMargins="0">
    <oddHeader xml:space="preserve">&amp;LMDE, Program Finance&amp;COne-Time General Education Reduction and
Offsetting Fiscal Stabilization Component of Federal Stimulus Act (ARRA)
Laws 2009, Chapter 96, Article 1, Sections 21 &amp;&amp; 25&amp;R6/30/2009
</oddHeader>
    <oddFooter>&amp;L*  General education revenue prior to school district underlevies.
    Excludes pension adjustments, and school district referendum revenue, alternative attendance adjustment and contract penalties.
** Newly consolidated July 1, 2009.  &amp;R&amp;P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"/>
  <sheetViews>
    <sheetView workbookViewId="0">
      <pane xSplit="4" ySplit="2" topLeftCell="E466" activePane="bottomRight" state="frozen"/>
      <selection activeCell="D45" sqref="D45"/>
      <selection pane="topRight" activeCell="D45" sqref="D45"/>
      <selection pane="bottomLeft" activeCell="D45" sqref="D45"/>
      <selection pane="bottomRight" activeCell="D45" sqref="D45"/>
    </sheetView>
  </sheetViews>
  <sheetFormatPr defaultRowHeight="12.75" x14ac:dyDescent="0.2"/>
  <cols>
    <col min="1" max="1" width="7.7109375" bestFit="1" customWidth="1"/>
    <col min="2" max="2" width="8.5703125" bestFit="1" customWidth="1"/>
    <col min="3" max="3" width="7.28515625" bestFit="1" customWidth="1"/>
    <col min="4" max="4" width="43" bestFit="1" customWidth="1"/>
    <col min="5" max="5" width="19.42578125" customWidth="1"/>
    <col min="6" max="6" width="16.7109375" customWidth="1"/>
    <col min="7" max="7" width="18.5703125" customWidth="1"/>
    <col min="8" max="8" width="15.140625" customWidth="1"/>
    <col min="13" max="13" width="15" bestFit="1" customWidth="1"/>
  </cols>
  <sheetData>
    <row r="1" spans="1:14" x14ac:dyDescent="0.2">
      <c r="F1" s="8" t="s">
        <v>496</v>
      </c>
      <c r="G1" s="8" t="s">
        <v>497</v>
      </c>
      <c r="M1" s="8" t="s">
        <v>498</v>
      </c>
    </row>
    <row r="2" spans="1:14" x14ac:dyDescent="0.2">
      <c r="A2" s="1" t="s">
        <v>0</v>
      </c>
      <c r="B2" s="1" t="s">
        <v>1</v>
      </c>
      <c r="C2" s="1" t="s">
        <v>2</v>
      </c>
      <c r="D2" s="1" t="s">
        <v>3</v>
      </c>
      <c r="E2" s="3" t="s">
        <v>4</v>
      </c>
      <c r="F2" s="3" t="s">
        <v>343</v>
      </c>
      <c r="G2" s="3" t="s">
        <v>5</v>
      </c>
      <c r="H2" s="3" t="s">
        <v>492</v>
      </c>
      <c r="J2" s="1" t="s">
        <v>1</v>
      </c>
      <c r="K2" s="1" t="s">
        <v>2</v>
      </c>
      <c r="L2" s="1" t="s">
        <v>3</v>
      </c>
      <c r="M2" s="3" t="s">
        <v>5</v>
      </c>
    </row>
    <row r="3" spans="1:14" x14ac:dyDescent="0.2">
      <c r="A3" t="s">
        <v>6</v>
      </c>
      <c r="B3">
        <v>1</v>
      </c>
      <c r="C3">
        <v>1</v>
      </c>
      <c r="D3" t="s">
        <v>7</v>
      </c>
      <c r="E3" s="5">
        <v>9328153.3599999994</v>
      </c>
      <c r="F3" s="5">
        <v>811418.37</v>
      </c>
      <c r="G3" s="2">
        <f>ROUND(E3*$G$485,2)</f>
        <v>811616.53</v>
      </c>
      <c r="H3" s="4">
        <f>G3-F3</f>
        <v>198.1600000000326</v>
      </c>
      <c r="I3">
        <f>J3-B3</f>
        <v>0</v>
      </c>
      <c r="J3">
        <v>1</v>
      </c>
      <c r="K3">
        <v>1</v>
      </c>
      <c r="L3" t="s">
        <v>7</v>
      </c>
      <c r="M3" s="2">
        <v>811616.53</v>
      </c>
      <c r="N3" s="4">
        <f>M3-G3</f>
        <v>0</v>
      </c>
    </row>
    <row r="4" spans="1:14" x14ac:dyDescent="0.2">
      <c r="A4" t="s">
        <v>6</v>
      </c>
      <c r="B4">
        <v>1</v>
      </c>
      <c r="C4">
        <v>3</v>
      </c>
      <c r="D4" t="s">
        <v>8</v>
      </c>
      <c r="E4" s="5">
        <v>294798519.26999998</v>
      </c>
      <c r="F4" s="5">
        <v>25643331.940000001</v>
      </c>
      <c r="G4" s="2">
        <f t="shared" ref="G4:G67" si="0">ROUND(E4*$G$485,2)</f>
        <v>25649594.489999998</v>
      </c>
      <c r="H4" s="4">
        <f t="shared" ref="H4:H67" si="1">G4-F4</f>
        <v>6262.5499999970198</v>
      </c>
      <c r="I4">
        <f t="shared" ref="I4:I67" si="2">J4-B4</f>
        <v>0</v>
      </c>
      <c r="J4">
        <v>1</v>
      </c>
      <c r="K4">
        <v>3</v>
      </c>
      <c r="L4" t="s">
        <v>8</v>
      </c>
      <c r="M4" s="2">
        <v>25649594.489999998</v>
      </c>
      <c r="N4" s="4">
        <f t="shared" ref="N4:N67" si="3">M4-G4</f>
        <v>0</v>
      </c>
    </row>
    <row r="5" spans="1:14" x14ac:dyDescent="0.2">
      <c r="A5" t="s">
        <v>6</v>
      </c>
      <c r="B5">
        <v>2</v>
      </c>
      <c r="C5">
        <v>1</v>
      </c>
      <c r="D5" t="s">
        <v>9</v>
      </c>
      <c r="E5" s="5">
        <v>2766922.62</v>
      </c>
      <c r="F5" s="5">
        <v>240683.42</v>
      </c>
      <c r="G5" s="2">
        <f t="shared" si="0"/>
        <v>240742.2</v>
      </c>
      <c r="H5" s="4">
        <f t="shared" si="1"/>
        <v>58.779999999998836</v>
      </c>
      <c r="I5">
        <f t="shared" si="2"/>
        <v>0</v>
      </c>
      <c r="J5">
        <v>2</v>
      </c>
      <c r="K5">
        <v>1</v>
      </c>
      <c r="L5" t="s">
        <v>9</v>
      </c>
      <c r="M5" s="2">
        <v>240742.2</v>
      </c>
      <c r="N5" s="4">
        <f t="shared" si="3"/>
        <v>0</v>
      </c>
    </row>
    <row r="6" spans="1:14" x14ac:dyDescent="0.2">
      <c r="A6" t="s">
        <v>6</v>
      </c>
      <c r="B6">
        <v>4</v>
      </c>
      <c r="C6">
        <v>1</v>
      </c>
      <c r="D6" t="s">
        <v>10</v>
      </c>
      <c r="E6" s="5">
        <v>3657448.83</v>
      </c>
      <c r="F6" s="5">
        <v>318146.69</v>
      </c>
      <c r="G6" s="2">
        <f t="shared" si="0"/>
        <v>318224.39</v>
      </c>
      <c r="H6" s="4">
        <f t="shared" si="1"/>
        <v>77.700000000011642</v>
      </c>
      <c r="I6">
        <f t="shared" si="2"/>
        <v>0</v>
      </c>
      <c r="J6">
        <v>4</v>
      </c>
      <c r="K6">
        <v>1</v>
      </c>
      <c r="L6" t="s">
        <v>10</v>
      </c>
      <c r="M6" s="2">
        <v>318224.39</v>
      </c>
      <c r="N6" s="4">
        <f t="shared" si="3"/>
        <v>0</v>
      </c>
    </row>
    <row r="7" spans="1:14" x14ac:dyDescent="0.2">
      <c r="A7" t="s">
        <v>6</v>
      </c>
      <c r="B7">
        <v>6</v>
      </c>
      <c r="C7">
        <v>3</v>
      </c>
      <c r="D7" t="s">
        <v>11</v>
      </c>
      <c r="E7" s="5">
        <v>23262965.870000001</v>
      </c>
      <c r="F7" s="5">
        <v>2023551.4</v>
      </c>
      <c r="G7" s="2">
        <f t="shared" si="0"/>
        <v>2024045.58</v>
      </c>
      <c r="H7" s="4">
        <f t="shared" si="1"/>
        <v>494.18000000016764</v>
      </c>
      <c r="I7">
        <f t="shared" si="2"/>
        <v>0</v>
      </c>
      <c r="J7">
        <v>6</v>
      </c>
      <c r="K7">
        <v>3</v>
      </c>
      <c r="L7" t="s">
        <v>11</v>
      </c>
      <c r="M7" s="2">
        <v>2024045.58</v>
      </c>
      <c r="N7" s="4">
        <f t="shared" si="3"/>
        <v>0</v>
      </c>
    </row>
    <row r="8" spans="1:14" x14ac:dyDescent="0.2">
      <c r="A8" t="s">
        <v>6</v>
      </c>
      <c r="B8">
        <v>11</v>
      </c>
      <c r="C8">
        <v>1</v>
      </c>
      <c r="D8" t="s">
        <v>12</v>
      </c>
      <c r="E8" s="5">
        <v>264601342.59</v>
      </c>
      <c r="F8" s="5">
        <v>23016601.559999999</v>
      </c>
      <c r="G8" s="2">
        <f t="shared" si="0"/>
        <v>23022222.620000001</v>
      </c>
      <c r="H8" s="4">
        <f t="shared" si="1"/>
        <v>5621.0600000023842</v>
      </c>
      <c r="I8">
        <f t="shared" si="2"/>
        <v>0</v>
      </c>
      <c r="J8">
        <v>11</v>
      </c>
      <c r="K8">
        <v>1</v>
      </c>
      <c r="L8" t="s">
        <v>12</v>
      </c>
      <c r="M8" s="2">
        <v>23022222.620000001</v>
      </c>
      <c r="N8" s="4">
        <f t="shared" si="3"/>
        <v>0</v>
      </c>
    </row>
    <row r="9" spans="1:14" x14ac:dyDescent="0.2">
      <c r="A9" t="s">
        <v>6</v>
      </c>
      <c r="B9">
        <v>12</v>
      </c>
      <c r="C9">
        <v>1</v>
      </c>
      <c r="D9" t="s">
        <v>13</v>
      </c>
      <c r="E9" s="5">
        <v>45771927.670000002</v>
      </c>
      <c r="F9" s="5">
        <v>3981515.03</v>
      </c>
      <c r="G9" s="2">
        <f t="shared" si="0"/>
        <v>3982487.38</v>
      </c>
      <c r="H9" s="4">
        <f t="shared" si="1"/>
        <v>972.35000000009313</v>
      </c>
      <c r="I9">
        <f t="shared" si="2"/>
        <v>0</v>
      </c>
      <c r="J9">
        <v>12</v>
      </c>
      <c r="K9">
        <v>1</v>
      </c>
      <c r="L9" t="s">
        <v>13</v>
      </c>
      <c r="M9" s="2">
        <v>3982487.38</v>
      </c>
      <c r="N9" s="4">
        <f t="shared" si="3"/>
        <v>0</v>
      </c>
    </row>
    <row r="10" spans="1:14" x14ac:dyDescent="0.2">
      <c r="A10" t="s">
        <v>6</v>
      </c>
      <c r="B10">
        <v>13</v>
      </c>
      <c r="C10">
        <v>1</v>
      </c>
      <c r="D10" t="s">
        <v>14</v>
      </c>
      <c r="E10" s="5">
        <v>22123909.879999999</v>
      </c>
      <c r="F10" s="5">
        <v>1924469.52</v>
      </c>
      <c r="G10" s="2">
        <f t="shared" si="0"/>
        <v>1924939.51</v>
      </c>
      <c r="H10" s="4">
        <f t="shared" si="1"/>
        <v>469.98999999999069</v>
      </c>
      <c r="I10">
        <f t="shared" si="2"/>
        <v>0</v>
      </c>
      <c r="J10">
        <v>13</v>
      </c>
      <c r="K10">
        <v>1</v>
      </c>
      <c r="L10" t="s">
        <v>14</v>
      </c>
      <c r="M10" s="2">
        <v>1924939.51</v>
      </c>
      <c r="N10" s="4">
        <f t="shared" si="3"/>
        <v>0</v>
      </c>
    </row>
    <row r="11" spans="1:14" x14ac:dyDescent="0.2">
      <c r="A11" t="s">
        <v>6</v>
      </c>
      <c r="B11">
        <v>14</v>
      </c>
      <c r="C11">
        <v>1</v>
      </c>
      <c r="D11" t="s">
        <v>15</v>
      </c>
      <c r="E11" s="5">
        <v>19584387.93</v>
      </c>
      <c r="F11" s="5">
        <v>1703566.77</v>
      </c>
      <c r="G11" s="2">
        <f t="shared" si="0"/>
        <v>1703982.81</v>
      </c>
      <c r="H11" s="4">
        <f t="shared" si="1"/>
        <v>416.04000000003725</v>
      </c>
      <c r="I11">
        <f t="shared" si="2"/>
        <v>0</v>
      </c>
      <c r="J11">
        <v>14</v>
      </c>
      <c r="K11">
        <v>1</v>
      </c>
      <c r="L11" t="s">
        <v>15</v>
      </c>
      <c r="M11" s="2">
        <v>1703982.81</v>
      </c>
      <c r="N11" s="4">
        <f t="shared" si="3"/>
        <v>0</v>
      </c>
    </row>
    <row r="12" spans="1:14" x14ac:dyDescent="0.2">
      <c r="A12" t="s">
        <v>6</v>
      </c>
      <c r="B12">
        <v>15</v>
      </c>
      <c r="C12">
        <v>1</v>
      </c>
      <c r="D12" t="s">
        <v>16</v>
      </c>
      <c r="E12" s="5">
        <v>38514928.890000001</v>
      </c>
      <c r="F12" s="5">
        <v>3350258.03</v>
      </c>
      <c r="G12" s="2">
        <f t="shared" si="0"/>
        <v>3351076.22</v>
      </c>
      <c r="H12" s="4">
        <f t="shared" si="1"/>
        <v>818.19000000040978</v>
      </c>
      <c r="I12">
        <f t="shared" si="2"/>
        <v>0</v>
      </c>
      <c r="J12">
        <v>15</v>
      </c>
      <c r="K12">
        <v>1</v>
      </c>
      <c r="L12" t="s">
        <v>16</v>
      </c>
      <c r="M12" s="2">
        <v>3351076.22</v>
      </c>
      <c r="N12" s="4">
        <f t="shared" si="3"/>
        <v>0</v>
      </c>
    </row>
    <row r="13" spans="1:14" x14ac:dyDescent="0.2">
      <c r="A13" t="s">
        <v>6</v>
      </c>
      <c r="B13">
        <v>16</v>
      </c>
      <c r="C13">
        <v>1</v>
      </c>
      <c r="D13" t="s">
        <v>17</v>
      </c>
      <c r="E13" s="5">
        <v>31292831.18</v>
      </c>
      <c r="F13" s="5">
        <v>2722036.93</v>
      </c>
      <c r="G13" s="2">
        <f t="shared" si="0"/>
        <v>2722701.7</v>
      </c>
      <c r="H13" s="4">
        <f t="shared" si="1"/>
        <v>664.77000000001863</v>
      </c>
      <c r="I13">
        <f t="shared" si="2"/>
        <v>0</v>
      </c>
      <c r="J13">
        <v>16</v>
      </c>
      <c r="K13">
        <v>1</v>
      </c>
      <c r="L13" t="s">
        <v>17</v>
      </c>
      <c r="M13" s="2">
        <v>2722701.7</v>
      </c>
      <c r="N13" s="4">
        <f t="shared" si="3"/>
        <v>0</v>
      </c>
    </row>
    <row r="14" spans="1:14" x14ac:dyDescent="0.2">
      <c r="A14" t="s">
        <v>6</v>
      </c>
      <c r="B14">
        <v>22</v>
      </c>
      <c r="C14">
        <v>1</v>
      </c>
      <c r="D14" t="s">
        <v>18</v>
      </c>
      <c r="E14" s="5">
        <v>18319097.809999999</v>
      </c>
      <c r="F14" s="5">
        <v>1593504.29</v>
      </c>
      <c r="G14" s="2">
        <f t="shared" si="0"/>
        <v>1593893.45</v>
      </c>
      <c r="H14" s="4">
        <f t="shared" si="1"/>
        <v>389.15999999991618</v>
      </c>
      <c r="I14">
        <f t="shared" si="2"/>
        <v>0</v>
      </c>
      <c r="J14">
        <v>22</v>
      </c>
      <c r="K14">
        <v>1</v>
      </c>
      <c r="L14" t="s">
        <v>18</v>
      </c>
      <c r="M14" s="2">
        <v>1593893.45</v>
      </c>
      <c r="N14" s="4">
        <f t="shared" si="3"/>
        <v>0</v>
      </c>
    </row>
    <row r="15" spans="1:14" x14ac:dyDescent="0.2">
      <c r="A15" t="s">
        <v>6</v>
      </c>
      <c r="B15">
        <v>23</v>
      </c>
      <c r="C15">
        <v>1</v>
      </c>
      <c r="D15" t="s">
        <v>19</v>
      </c>
      <c r="E15" s="5">
        <v>6750946.0700000003</v>
      </c>
      <c r="F15" s="5">
        <v>587237.52</v>
      </c>
      <c r="G15" s="2">
        <f t="shared" si="0"/>
        <v>587380.93000000005</v>
      </c>
      <c r="H15" s="4">
        <f t="shared" si="1"/>
        <v>143.4100000000326</v>
      </c>
      <c r="I15">
        <f t="shared" si="2"/>
        <v>0</v>
      </c>
      <c r="J15">
        <v>23</v>
      </c>
      <c r="K15">
        <v>1</v>
      </c>
      <c r="L15" t="s">
        <v>19</v>
      </c>
      <c r="M15" s="2">
        <v>587380.93000000005</v>
      </c>
      <c r="N15" s="4">
        <f t="shared" si="3"/>
        <v>0</v>
      </c>
    </row>
    <row r="16" spans="1:14" x14ac:dyDescent="0.2">
      <c r="A16" t="s">
        <v>6</v>
      </c>
      <c r="B16">
        <v>25</v>
      </c>
      <c r="C16">
        <v>1</v>
      </c>
      <c r="D16" t="s">
        <v>20</v>
      </c>
      <c r="E16" s="5">
        <v>703111.69</v>
      </c>
      <c r="F16" s="5">
        <v>61160.84</v>
      </c>
      <c r="G16" s="2">
        <f t="shared" si="0"/>
        <v>61175.78</v>
      </c>
      <c r="H16" s="4">
        <f t="shared" si="1"/>
        <v>14.940000000002328</v>
      </c>
      <c r="I16">
        <f t="shared" si="2"/>
        <v>0</v>
      </c>
      <c r="J16">
        <v>25</v>
      </c>
      <c r="K16">
        <v>1</v>
      </c>
      <c r="L16" t="s">
        <v>20</v>
      </c>
      <c r="M16" s="2">
        <v>61175.78</v>
      </c>
      <c r="N16" s="4">
        <f t="shared" si="3"/>
        <v>0</v>
      </c>
    </row>
    <row r="17" spans="1:14" x14ac:dyDescent="0.2">
      <c r="A17" t="s">
        <v>6</v>
      </c>
      <c r="B17">
        <v>31</v>
      </c>
      <c r="C17">
        <v>1</v>
      </c>
      <c r="D17" t="s">
        <v>21</v>
      </c>
      <c r="E17" s="5">
        <v>33285009.010000002</v>
      </c>
      <c r="F17" s="5">
        <v>2895328.43</v>
      </c>
      <c r="G17" s="2">
        <f t="shared" si="0"/>
        <v>2896035.52</v>
      </c>
      <c r="H17" s="4">
        <f t="shared" si="1"/>
        <v>707.08999999985099</v>
      </c>
      <c r="I17">
        <f t="shared" si="2"/>
        <v>0</v>
      </c>
      <c r="J17">
        <v>31</v>
      </c>
      <c r="K17">
        <v>1</v>
      </c>
      <c r="L17" t="s">
        <v>21</v>
      </c>
      <c r="M17" s="2">
        <v>2896035.52</v>
      </c>
      <c r="N17" s="4">
        <f t="shared" si="3"/>
        <v>0</v>
      </c>
    </row>
    <row r="18" spans="1:14" x14ac:dyDescent="0.2">
      <c r="A18" t="s">
        <v>6</v>
      </c>
      <c r="B18">
        <v>32</v>
      </c>
      <c r="C18">
        <v>1</v>
      </c>
      <c r="D18" t="s">
        <v>22</v>
      </c>
      <c r="E18" s="5">
        <v>5224015.0199999996</v>
      </c>
      <c r="F18" s="5">
        <v>454415.96</v>
      </c>
      <c r="G18" s="2">
        <f t="shared" si="0"/>
        <v>454526.93</v>
      </c>
      <c r="H18" s="4">
        <f t="shared" si="1"/>
        <v>110.96999999997206</v>
      </c>
      <c r="I18">
        <f t="shared" si="2"/>
        <v>0</v>
      </c>
      <c r="J18">
        <v>32</v>
      </c>
      <c r="K18">
        <v>1</v>
      </c>
      <c r="L18" t="s">
        <v>22</v>
      </c>
      <c r="M18" s="2">
        <v>454526.93</v>
      </c>
      <c r="N18" s="4">
        <f t="shared" si="3"/>
        <v>0</v>
      </c>
    </row>
    <row r="19" spans="1:14" x14ac:dyDescent="0.2">
      <c r="A19" t="s">
        <v>6</v>
      </c>
      <c r="B19">
        <v>36</v>
      </c>
      <c r="C19">
        <v>1</v>
      </c>
      <c r="D19" t="s">
        <v>23</v>
      </c>
      <c r="E19" s="5">
        <v>2831595.59</v>
      </c>
      <c r="F19" s="5">
        <v>246309.06</v>
      </c>
      <c r="G19" s="2">
        <f t="shared" si="0"/>
        <v>246369.21</v>
      </c>
      <c r="H19" s="4">
        <f t="shared" si="1"/>
        <v>60.149999999994179</v>
      </c>
      <c r="I19">
        <f t="shared" si="2"/>
        <v>0</v>
      </c>
      <c r="J19">
        <v>36</v>
      </c>
      <c r="K19">
        <v>1</v>
      </c>
      <c r="L19" t="s">
        <v>23</v>
      </c>
      <c r="M19" s="2">
        <v>246369.21</v>
      </c>
      <c r="N19" s="4">
        <f t="shared" si="3"/>
        <v>0</v>
      </c>
    </row>
    <row r="20" spans="1:14" x14ac:dyDescent="0.2">
      <c r="A20" t="s">
        <v>6</v>
      </c>
      <c r="B20">
        <v>38</v>
      </c>
      <c r="C20">
        <v>1</v>
      </c>
      <c r="D20" t="s">
        <v>24</v>
      </c>
      <c r="E20" s="5">
        <v>11701654.779999999</v>
      </c>
      <c r="F20" s="5">
        <v>1017879.66</v>
      </c>
      <c r="G20" s="2">
        <f t="shared" si="0"/>
        <v>1018128.25</v>
      </c>
      <c r="H20" s="4">
        <f t="shared" si="1"/>
        <v>248.5899999999674</v>
      </c>
      <c r="I20">
        <f t="shared" si="2"/>
        <v>0</v>
      </c>
      <c r="J20">
        <v>38</v>
      </c>
      <c r="K20">
        <v>1</v>
      </c>
      <c r="L20" t="s">
        <v>24</v>
      </c>
      <c r="M20" s="2">
        <v>1018128.25</v>
      </c>
      <c r="N20" s="4">
        <f t="shared" si="3"/>
        <v>0</v>
      </c>
    </row>
    <row r="21" spans="1:14" x14ac:dyDescent="0.2">
      <c r="A21" t="s">
        <v>6</v>
      </c>
      <c r="B21">
        <v>47</v>
      </c>
      <c r="C21">
        <v>1</v>
      </c>
      <c r="D21" t="s">
        <v>25</v>
      </c>
      <c r="E21" s="5">
        <v>23919347.190000001</v>
      </c>
      <c r="F21" s="5">
        <v>2080647.36</v>
      </c>
      <c r="G21" s="2">
        <f t="shared" si="0"/>
        <v>2081155.49</v>
      </c>
      <c r="H21" s="4">
        <f t="shared" si="1"/>
        <v>508.12999999988824</v>
      </c>
      <c r="I21">
        <f t="shared" si="2"/>
        <v>0</v>
      </c>
      <c r="J21">
        <v>47</v>
      </c>
      <c r="K21">
        <v>1</v>
      </c>
      <c r="L21" t="s">
        <v>25</v>
      </c>
      <c r="M21" s="2">
        <v>2081155.49</v>
      </c>
      <c r="N21" s="4">
        <f t="shared" si="3"/>
        <v>0</v>
      </c>
    </row>
    <row r="22" spans="1:14" x14ac:dyDescent="0.2">
      <c r="A22" t="s">
        <v>6</v>
      </c>
      <c r="B22">
        <v>51</v>
      </c>
      <c r="C22">
        <v>1</v>
      </c>
      <c r="D22" t="s">
        <v>26</v>
      </c>
      <c r="E22" s="5">
        <v>10962757.48</v>
      </c>
      <c r="F22" s="5">
        <v>953605.97</v>
      </c>
      <c r="G22" s="2">
        <f t="shared" si="0"/>
        <v>953838.86</v>
      </c>
      <c r="H22" s="4">
        <f t="shared" si="1"/>
        <v>232.89000000001397</v>
      </c>
      <c r="I22">
        <f t="shared" si="2"/>
        <v>0</v>
      </c>
      <c r="J22">
        <v>51</v>
      </c>
      <c r="K22">
        <v>1</v>
      </c>
      <c r="L22" t="s">
        <v>26</v>
      </c>
      <c r="M22" s="2">
        <v>953838.86</v>
      </c>
      <c r="N22" s="4">
        <f t="shared" si="3"/>
        <v>0</v>
      </c>
    </row>
    <row r="23" spans="1:14" x14ac:dyDescent="0.2">
      <c r="A23" t="s">
        <v>6</v>
      </c>
      <c r="B23">
        <v>75</v>
      </c>
      <c r="C23">
        <v>1</v>
      </c>
      <c r="D23" t="s">
        <v>27</v>
      </c>
      <c r="E23" s="5">
        <v>4013758.68</v>
      </c>
      <c r="F23" s="5">
        <v>349140.65</v>
      </c>
      <c r="G23" s="2">
        <f t="shared" si="0"/>
        <v>349225.91</v>
      </c>
      <c r="H23" s="4">
        <f t="shared" si="1"/>
        <v>85.259999999951106</v>
      </c>
      <c r="I23">
        <f t="shared" si="2"/>
        <v>0</v>
      </c>
      <c r="J23">
        <v>75</v>
      </c>
      <c r="K23">
        <v>1</v>
      </c>
      <c r="L23" t="s">
        <v>27</v>
      </c>
      <c r="M23" s="2">
        <v>349225.91</v>
      </c>
      <c r="N23" s="4">
        <f t="shared" si="3"/>
        <v>0</v>
      </c>
    </row>
    <row r="24" spans="1:14" x14ac:dyDescent="0.2">
      <c r="A24" t="s">
        <v>6</v>
      </c>
      <c r="B24">
        <v>77</v>
      </c>
      <c r="C24">
        <v>1</v>
      </c>
      <c r="D24" t="s">
        <v>28</v>
      </c>
      <c r="E24" s="5">
        <v>47753478.630000003</v>
      </c>
      <c r="F24" s="5">
        <v>4153882.14</v>
      </c>
      <c r="G24" s="2">
        <f t="shared" si="0"/>
        <v>4154896.59</v>
      </c>
      <c r="H24" s="4">
        <f t="shared" si="1"/>
        <v>1014.4499999997206</v>
      </c>
      <c r="I24">
        <f t="shared" si="2"/>
        <v>0</v>
      </c>
      <c r="J24">
        <v>77</v>
      </c>
      <c r="K24">
        <v>1</v>
      </c>
      <c r="L24" t="s">
        <v>28</v>
      </c>
      <c r="M24" s="2">
        <v>4154896.59</v>
      </c>
      <c r="N24" s="4">
        <f t="shared" si="3"/>
        <v>0</v>
      </c>
    </row>
    <row r="25" spans="1:14" x14ac:dyDescent="0.2">
      <c r="A25" t="s">
        <v>6</v>
      </c>
      <c r="B25">
        <v>81</v>
      </c>
      <c r="C25">
        <v>1</v>
      </c>
      <c r="D25" t="s">
        <v>29</v>
      </c>
      <c r="E25" s="5">
        <v>1107975.04</v>
      </c>
      <c r="F25" s="5">
        <v>96378.27</v>
      </c>
      <c r="G25" s="2">
        <f t="shared" si="0"/>
        <v>96401.81</v>
      </c>
      <c r="H25" s="4">
        <f t="shared" si="1"/>
        <v>23.539999999993597</v>
      </c>
      <c r="I25">
        <f t="shared" si="2"/>
        <v>0</v>
      </c>
      <c r="J25">
        <v>81</v>
      </c>
      <c r="K25">
        <v>1</v>
      </c>
      <c r="L25" t="s">
        <v>29</v>
      </c>
      <c r="M25" s="2">
        <v>96401.81</v>
      </c>
      <c r="N25" s="4">
        <f t="shared" si="3"/>
        <v>0</v>
      </c>
    </row>
    <row r="26" spans="1:14" x14ac:dyDescent="0.2">
      <c r="A26" t="s">
        <v>6</v>
      </c>
      <c r="B26">
        <v>84</v>
      </c>
      <c r="C26">
        <v>1</v>
      </c>
      <c r="D26" t="s">
        <v>30</v>
      </c>
      <c r="E26" s="5">
        <v>4791215.55</v>
      </c>
      <c r="F26" s="5">
        <v>416768.48</v>
      </c>
      <c r="G26" s="2">
        <f t="shared" si="0"/>
        <v>416870.26</v>
      </c>
      <c r="H26" s="4">
        <f t="shared" si="1"/>
        <v>101.78000000002794</v>
      </c>
      <c r="I26">
        <f t="shared" si="2"/>
        <v>0</v>
      </c>
      <c r="J26">
        <v>84</v>
      </c>
      <c r="K26">
        <v>1</v>
      </c>
      <c r="L26" t="s">
        <v>30</v>
      </c>
      <c r="M26" s="2">
        <v>416870.26</v>
      </c>
      <c r="N26" s="4">
        <f t="shared" si="3"/>
        <v>0</v>
      </c>
    </row>
    <row r="27" spans="1:14" x14ac:dyDescent="0.2">
      <c r="A27" t="s">
        <v>6</v>
      </c>
      <c r="B27">
        <v>85</v>
      </c>
      <c r="C27">
        <v>1</v>
      </c>
      <c r="D27" t="s">
        <v>31</v>
      </c>
      <c r="E27" s="5">
        <v>4048622.9</v>
      </c>
      <c r="F27" s="5">
        <v>352173.35</v>
      </c>
      <c r="G27" s="2">
        <f t="shared" si="0"/>
        <v>352259.35</v>
      </c>
      <c r="H27" s="4">
        <f t="shared" si="1"/>
        <v>86</v>
      </c>
      <c r="I27">
        <f t="shared" si="2"/>
        <v>0</v>
      </c>
      <c r="J27">
        <v>85</v>
      </c>
      <c r="K27">
        <v>1</v>
      </c>
      <c r="L27" t="s">
        <v>31</v>
      </c>
      <c r="M27" s="2">
        <v>352259.35</v>
      </c>
      <c r="N27" s="4">
        <f t="shared" si="3"/>
        <v>0</v>
      </c>
    </row>
    <row r="28" spans="1:14" x14ac:dyDescent="0.2">
      <c r="A28" t="s">
        <v>6</v>
      </c>
      <c r="B28">
        <v>88</v>
      </c>
      <c r="C28">
        <v>1</v>
      </c>
      <c r="D28" t="s">
        <v>32</v>
      </c>
      <c r="E28" s="5">
        <v>13827462.58</v>
      </c>
      <c r="F28" s="5">
        <v>1202795.0900000001</v>
      </c>
      <c r="G28" s="2">
        <f t="shared" si="0"/>
        <v>1203088.8400000001</v>
      </c>
      <c r="H28" s="4">
        <f t="shared" si="1"/>
        <v>293.75</v>
      </c>
      <c r="I28">
        <f t="shared" si="2"/>
        <v>0</v>
      </c>
      <c r="J28">
        <v>88</v>
      </c>
      <c r="K28">
        <v>1</v>
      </c>
      <c r="L28" t="s">
        <v>32</v>
      </c>
      <c r="M28" s="2">
        <v>1203088.8400000001</v>
      </c>
      <c r="N28" s="4">
        <f t="shared" si="3"/>
        <v>0</v>
      </c>
    </row>
    <row r="29" spans="1:14" x14ac:dyDescent="0.2">
      <c r="A29" t="s">
        <v>6</v>
      </c>
      <c r="B29">
        <v>91</v>
      </c>
      <c r="C29">
        <v>1</v>
      </c>
      <c r="D29" t="s">
        <v>33</v>
      </c>
      <c r="E29" s="5">
        <v>4777300.3600000003</v>
      </c>
      <c r="F29" s="5">
        <v>415558.05</v>
      </c>
      <c r="G29" s="2">
        <f t="shared" si="0"/>
        <v>415659.54</v>
      </c>
      <c r="H29" s="4">
        <f t="shared" si="1"/>
        <v>101.48999999999069</v>
      </c>
      <c r="I29">
        <f t="shared" si="2"/>
        <v>0</v>
      </c>
      <c r="J29">
        <v>91</v>
      </c>
      <c r="K29">
        <v>1</v>
      </c>
      <c r="L29" t="s">
        <v>33</v>
      </c>
      <c r="M29" s="2">
        <v>415659.54</v>
      </c>
      <c r="N29" s="4">
        <f t="shared" si="3"/>
        <v>0</v>
      </c>
    </row>
    <row r="30" spans="1:14" x14ac:dyDescent="0.2">
      <c r="A30" t="s">
        <v>6</v>
      </c>
      <c r="B30">
        <v>93</v>
      </c>
      <c r="C30">
        <v>1</v>
      </c>
      <c r="D30" t="s">
        <v>34</v>
      </c>
      <c r="E30" s="5">
        <v>4149454.88</v>
      </c>
      <c r="F30" s="5">
        <v>360944.31</v>
      </c>
      <c r="G30" s="2">
        <f t="shared" si="0"/>
        <v>361032.46</v>
      </c>
      <c r="H30" s="4">
        <f t="shared" si="1"/>
        <v>88.150000000023283</v>
      </c>
      <c r="I30">
        <f t="shared" si="2"/>
        <v>0</v>
      </c>
      <c r="J30">
        <v>93</v>
      </c>
      <c r="K30">
        <v>1</v>
      </c>
      <c r="L30" t="s">
        <v>34</v>
      </c>
      <c r="M30" s="2">
        <v>361032.46</v>
      </c>
      <c r="N30" s="4">
        <f t="shared" si="3"/>
        <v>0</v>
      </c>
    </row>
    <row r="31" spans="1:14" x14ac:dyDescent="0.2">
      <c r="A31" t="s">
        <v>6</v>
      </c>
      <c r="B31">
        <v>94</v>
      </c>
      <c r="C31">
        <v>1</v>
      </c>
      <c r="D31" t="s">
        <v>35</v>
      </c>
      <c r="E31" s="5">
        <v>17938946.800000001</v>
      </c>
      <c r="F31" s="5">
        <v>1560436.49</v>
      </c>
      <c r="G31" s="2">
        <f t="shared" si="0"/>
        <v>1560817.58</v>
      </c>
      <c r="H31" s="4">
        <f t="shared" si="1"/>
        <v>381.09000000008382</v>
      </c>
      <c r="I31">
        <f t="shared" si="2"/>
        <v>0</v>
      </c>
      <c r="J31">
        <v>94</v>
      </c>
      <c r="K31">
        <v>1</v>
      </c>
      <c r="L31" t="s">
        <v>35</v>
      </c>
      <c r="M31" s="2">
        <v>1560817.58</v>
      </c>
      <c r="N31" s="4">
        <f t="shared" si="3"/>
        <v>0</v>
      </c>
    </row>
    <row r="32" spans="1:14" x14ac:dyDescent="0.2">
      <c r="A32" t="s">
        <v>6</v>
      </c>
      <c r="B32">
        <v>95</v>
      </c>
      <c r="C32">
        <v>1</v>
      </c>
      <c r="D32" t="s">
        <v>36</v>
      </c>
      <c r="E32" s="5">
        <v>2589685.4900000002</v>
      </c>
      <c r="F32" s="5">
        <v>225266.28</v>
      </c>
      <c r="G32" s="2">
        <f t="shared" si="0"/>
        <v>225321.29</v>
      </c>
      <c r="H32" s="4">
        <f t="shared" si="1"/>
        <v>55.010000000009313</v>
      </c>
      <c r="I32">
        <f t="shared" si="2"/>
        <v>0</v>
      </c>
      <c r="J32">
        <v>95</v>
      </c>
      <c r="K32">
        <v>1</v>
      </c>
      <c r="L32" t="s">
        <v>36</v>
      </c>
      <c r="M32" s="2">
        <v>225321.29</v>
      </c>
      <c r="N32" s="4">
        <f t="shared" si="3"/>
        <v>0</v>
      </c>
    </row>
    <row r="33" spans="1:14" x14ac:dyDescent="0.2">
      <c r="A33" t="s">
        <v>6</v>
      </c>
      <c r="B33">
        <v>97</v>
      </c>
      <c r="C33">
        <v>1</v>
      </c>
      <c r="D33" t="s">
        <v>37</v>
      </c>
      <c r="E33" s="5">
        <v>4964273.46</v>
      </c>
      <c r="F33" s="5">
        <v>431822.09</v>
      </c>
      <c r="G33" s="2">
        <f t="shared" si="0"/>
        <v>431927.55</v>
      </c>
      <c r="H33" s="4">
        <f t="shared" si="1"/>
        <v>105.45999999996275</v>
      </c>
      <c r="I33">
        <f t="shared" si="2"/>
        <v>0</v>
      </c>
      <c r="J33">
        <v>97</v>
      </c>
      <c r="K33">
        <v>1</v>
      </c>
      <c r="L33" t="s">
        <v>37</v>
      </c>
      <c r="M33" s="2">
        <v>431927.55</v>
      </c>
      <c r="N33" s="4">
        <f t="shared" si="3"/>
        <v>0</v>
      </c>
    </row>
    <row r="34" spans="1:14" x14ac:dyDescent="0.2">
      <c r="A34" t="s">
        <v>6</v>
      </c>
      <c r="B34">
        <v>99</v>
      </c>
      <c r="C34">
        <v>1</v>
      </c>
      <c r="D34" t="s">
        <v>38</v>
      </c>
      <c r="E34" s="5">
        <v>7290763.1200000001</v>
      </c>
      <c r="F34" s="5">
        <v>634194.02</v>
      </c>
      <c r="G34" s="2">
        <f t="shared" si="0"/>
        <v>634348.9</v>
      </c>
      <c r="H34" s="4">
        <f t="shared" si="1"/>
        <v>154.88000000000466</v>
      </c>
      <c r="I34">
        <f t="shared" si="2"/>
        <v>0</v>
      </c>
      <c r="J34">
        <v>99</v>
      </c>
      <c r="K34">
        <v>1</v>
      </c>
      <c r="L34" t="s">
        <v>38</v>
      </c>
      <c r="M34" s="2">
        <v>634348.9</v>
      </c>
      <c r="N34" s="4">
        <f t="shared" si="3"/>
        <v>0</v>
      </c>
    </row>
    <row r="35" spans="1:14" x14ac:dyDescent="0.2">
      <c r="A35" t="s">
        <v>6</v>
      </c>
      <c r="B35">
        <v>100</v>
      </c>
      <c r="C35">
        <v>1</v>
      </c>
      <c r="D35" t="s">
        <v>39</v>
      </c>
      <c r="E35" s="5">
        <v>2276453.91</v>
      </c>
      <c r="F35" s="5">
        <v>198019.53</v>
      </c>
      <c r="G35" s="2">
        <f t="shared" si="0"/>
        <v>198067.89</v>
      </c>
      <c r="H35" s="4">
        <f t="shared" si="1"/>
        <v>48.360000000015134</v>
      </c>
      <c r="I35">
        <f t="shared" si="2"/>
        <v>0</v>
      </c>
      <c r="J35">
        <v>100</v>
      </c>
      <c r="K35">
        <v>1</v>
      </c>
      <c r="L35" t="s">
        <v>39</v>
      </c>
      <c r="M35" s="2">
        <v>198067.89</v>
      </c>
      <c r="N35" s="4">
        <f t="shared" si="3"/>
        <v>0</v>
      </c>
    </row>
    <row r="36" spans="1:14" x14ac:dyDescent="0.2">
      <c r="A36" t="s">
        <v>6</v>
      </c>
      <c r="B36">
        <v>108</v>
      </c>
      <c r="C36">
        <v>1</v>
      </c>
      <c r="D36" t="s">
        <v>40</v>
      </c>
      <c r="E36" s="5">
        <v>6986442.8399999999</v>
      </c>
      <c r="F36" s="5">
        <v>607722.43000000005</v>
      </c>
      <c r="G36" s="2">
        <f t="shared" si="0"/>
        <v>607870.85</v>
      </c>
      <c r="H36" s="4">
        <f t="shared" si="1"/>
        <v>148.41999999992549</v>
      </c>
      <c r="I36">
        <f t="shared" si="2"/>
        <v>0</v>
      </c>
      <c r="J36">
        <v>108</v>
      </c>
      <c r="K36">
        <v>1</v>
      </c>
      <c r="L36" t="s">
        <v>40</v>
      </c>
      <c r="M36" s="2">
        <v>607870.85</v>
      </c>
      <c r="N36" s="4">
        <f t="shared" si="3"/>
        <v>0</v>
      </c>
    </row>
    <row r="37" spans="1:14" x14ac:dyDescent="0.2">
      <c r="A37" t="s">
        <v>6</v>
      </c>
      <c r="B37">
        <v>110</v>
      </c>
      <c r="C37">
        <v>1</v>
      </c>
      <c r="D37" t="s">
        <v>41</v>
      </c>
      <c r="E37" s="5">
        <v>18710844.699999999</v>
      </c>
      <c r="F37" s="5">
        <v>1627580.77</v>
      </c>
      <c r="G37" s="2">
        <f t="shared" si="0"/>
        <v>1627978.26</v>
      </c>
      <c r="H37" s="4">
        <f t="shared" si="1"/>
        <v>397.48999999999069</v>
      </c>
      <c r="I37">
        <f t="shared" si="2"/>
        <v>0</v>
      </c>
      <c r="J37">
        <v>110</v>
      </c>
      <c r="K37">
        <v>1</v>
      </c>
      <c r="L37" t="s">
        <v>41</v>
      </c>
      <c r="M37" s="2">
        <v>1627978.26</v>
      </c>
      <c r="N37" s="4">
        <f t="shared" si="3"/>
        <v>0</v>
      </c>
    </row>
    <row r="38" spans="1:14" x14ac:dyDescent="0.2">
      <c r="A38" t="s">
        <v>6</v>
      </c>
      <c r="B38">
        <v>111</v>
      </c>
      <c r="C38">
        <v>1</v>
      </c>
      <c r="D38" t="s">
        <v>42</v>
      </c>
      <c r="E38" s="5">
        <v>10478602.869999999</v>
      </c>
      <c r="F38" s="5">
        <v>911491.32</v>
      </c>
      <c r="G38" s="2">
        <f t="shared" si="0"/>
        <v>911713.92</v>
      </c>
      <c r="H38" s="4">
        <f t="shared" si="1"/>
        <v>222.60000000009313</v>
      </c>
      <c r="I38">
        <f t="shared" si="2"/>
        <v>0</v>
      </c>
      <c r="J38">
        <v>111</v>
      </c>
      <c r="K38">
        <v>1</v>
      </c>
      <c r="L38" t="s">
        <v>42</v>
      </c>
      <c r="M38" s="2">
        <v>911713.92</v>
      </c>
      <c r="N38" s="4">
        <f t="shared" si="3"/>
        <v>0</v>
      </c>
    </row>
    <row r="39" spans="1:14" x14ac:dyDescent="0.2">
      <c r="A39" t="s">
        <v>6</v>
      </c>
      <c r="B39">
        <v>112</v>
      </c>
      <c r="C39">
        <v>1</v>
      </c>
      <c r="D39" t="s">
        <v>43</v>
      </c>
      <c r="E39" s="5">
        <v>56770389.479999997</v>
      </c>
      <c r="F39" s="5">
        <v>4938226.78</v>
      </c>
      <c r="G39" s="2">
        <f t="shared" si="0"/>
        <v>4939432.78</v>
      </c>
      <c r="H39" s="4">
        <f t="shared" si="1"/>
        <v>1206</v>
      </c>
      <c r="I39">
        <f t="shared" si="2"/>
        <v>0</v>
      </c>
      <c r="J39">
        <v>112</v>
      </c>
      <c r="K39">
        <v>1</v>
      </c>
      <c r="L39" t="s">
        <v>43</v>
      </c>
      <c r="M39" s="2">
        <v>4939432.78</v>
      </c>
      <c r="N39" s="4">
        <f t="shared" si="3"/>
        <v>0</v>
      </c>
    </row>
    <row r="40" spans="1:14" x14ac:dyDescent="0.2">
      <c r="A40" t="s">
        <v>6</v>
      </c>
      <c r="B40">
        <v>113</v>
      </c>
      <c r="C40">
        <v>1</v>
      </c>
      <c r="D40" t="s">
        <v>44</v>
      </c>
      <c r="E40" s="5">
        <v>6365281.71</v>
      </c>
      <c r="F40" s="5">
        <v>553690.13</v>
      </c>
      <c r="G40" s="2">
        <f t="shared" si="0"/>
        <v>553825.36</v>
      </c>
      <c r="H40" s="4">
        <f t="shared" si="1"/>
        <v>135.22999999998137</v>
      </c>
      <c r="I40">
        <f t="shared" si="2"/>
        <v>0</v>
      </c>
      <c r="J40">
        <v>113</v>
      </c>
      <c r="K40">
        <v>1</v>
      </c>
      <c r="L40" t="s">
        <v>44</v>
      </c>
      <c r="M40" s="2">
        <v>553825.36</v>
      </c>
      <c r="N40" s="4">
        <f t="shared" si="3"/>
        <v>0</v>
      </c>
    </row>
    <row r="41" spans="1:14" x14ac:dyDescent="0.2">
      <c r="A41" t="s">
        <v>6</v>
      </c>
      <c r="B41">
        <v>115</v>
      </c>
      <c r="C41">
        <v>1</v>
      </c>
      <c r="D41" t="s">
        <v>45</v>
      </c>
      <c r="E41" s="5">
        <v>9403896.3100000005</v>
      </c>
      <c r="F41" s="5">
        <v>818006.94</v>
      </c>
      <c r="G41" s="2">
        <f t="shared" si="0"/>
        <v>818206.71</v>
      </c>
      <c r="H41" s="4">
        <f t="shared" si="1"/>
        <v>199.77000000001863</v>
      </c>
      <c r="I41">
        <f t="shared" si="2"/>
        <v>0</v>
      </c>
      <c r="J41">
        <v>115</v>
      </c>
      <c r="K41">
        <v>1</v>
      </c>
      <c r="L41" t="s">
        <v>45</v>
      </c>
      <c r="M41" s="2">
        <v>818206.71</v>
      </c>
      <c r="N41" s="4">
        <f t="shared" si="3"/>
        <v>0</v>
      </c>
    </row>
    <row r="42" spans="1:14" x14ac:dyDescent="0.2">
      <c r="A42" t="s">
        <v>6</v>
      </c>
      <c r="B42">
        <v>116</v>
      </c>
      <c r="C42">
        <v>1</v>
      </c>
      <c r="D42" t="s">
        <v>46</v>
      </c>
      <c r="E42" s="5">
        <v>5556607.75</v>
      </c>
      <c r="F42" s="5">
        <v>483346.85</v>
      </c>
      <c r="G42" s="2">
        <f t="shared" si="0"/>
        <v>483464.9</v>
      </c>
      <c r="H42" s="4">
        <f t="shared" si="1"/>
        <v>118.05000000004657</v>
      </c>
      <c r="I42">
        <f t="shared" si="2"/>
        <v>0</v>
      </c>
      <c r="J42">
        <v>116</v>
      </c>
      <c r="K42">
        <v>1</v>
      </c>
      <c r="L42" t="s">
        <v>46</v>
      </c>
      <c r="M42" s="2">
        <v>483464.9</v>
      </c>
      <c r="N42" s="4">
        <f t="shared" si="3"/>
        <v>0</v>
      </c>
    </row>
    <row r="43" spans="1:14" x14ac:dyDescent="0.2">
      <c r="A43" t="s">
        <v>6</v>
      </c>
      <c r="B43">
        <v>118</v>
      </c>
      <c r="C43">
        <v>1</v>
      </c>
      <c r="D43" t="s">
        <v>47</v>
      </c>
      <c r="E43" s="5">
        <v>4122306.45</v>
      </c>
      <c r="F43" s="5">
        <v>358582.78</v>
      </c>
      <c r="G43" s="2">
        <f t="shared" si="0"/>
        <v>358670.35</v>
      </c>
      <c r="H43" s="4">
        <f t="shared" si="1"/>
        <v>87.569999999948777</v>
      </c>
      <c r="I43">
        <f t="shared" si="2"/>
        <v>0</v>
      </c>
      <c r="J43">
        <v>118</v>
      </c>
      <c r="K43">
        <v>1</v>
      </c>
      <c r="L43" t="s">
        <v>47</v>
      </c>
      <c r="M43" s="2">
        <v>358670.35</v>
      </c>
      <c r="N43" s="4">
        <f t="shared" si="3"/>
        <v>0</v>
      </c>
    </row>
    <row r="44" spans="1:14" x14ac:dyDescent="0.2">
      <c r="A44" t="s">
        <v>6</v>
      </c>
      <c r="B44">
        <v>129</v>
      </c>
      <c r="C44">
        <v>1</v>
      </c>
      <c r="D44" t="s">
        <v>48</v>
      </c>
      <c r="E44" s="5">
        <v>10622835.41</v>
      </c>
      <c r="F44" s="5">
        <v>924037.53</v>
      </c>
      <c r="G44" s="2">
        <f t="shared" si="0"/>
        <v>924263.19</v>
      </c>
      <c r="H44" s="4">
        <f t="shared" si="1"/>
        <v>225.65999999991618</v>
      </c>
      <c r="I44">
        <f t="shared" si="2"/>
        <v>0</v>
      </c>
      <c r="J44">
        <v>129</v>
      </c>
      <c r="K44">
        <v>1</v>
      </c>
      <c r="L44" t="s">
        <v>48</v>
      </c>
      <c r="M44" s="2">
        <v>924263.19</v>
      </c>
      <c r="N44" s="4">
        <f t="shared" si="3"/>
        <v>0</v>
      </c>
    </row>
    <row r="45" spans="1:14" x14ac:dyDescent="0.2">
      <c r="A45" t="s">
        <v>6</v>
      </c>
      <c r="B45">
        <v>138</v>
      </c>
      <c r="C45">
        <v>1</v>
      </c>
      <c r="D45" t="s">
        <v>49</v>
      </c>
      <c r="E45" s="5">
        <v>24894662.449999999</v>
      </c>
      <c r="F45" s="5">
        <v>2165486.09</v>
      </c>
      <c r="G45" s="2">
        <f t="shared" si="0"/>
        <v>2166014.94</v>
      </c>
      <c r="H45" s="4">
        <f t="shared" si="1"/>
        <v>528.85000000009313</v>
      </c>
      <c r="I45">
        <f t="shared" si="2"/>
        <v>0</v>
      </c>
      <c r="J45">
        <v>138</v>
      </c>
      <c r="K45">
        <v>1</v>
      </c>
      <c r="L45" t="s">
        <v>49</v>
      </c>
      <c r="M45" s="2">
        <v>2166014.94</v>
      </c>
      <c r="N45" s="4">
        <f t="shared" si="3"/>
        <v>0</v>
      </c>
    </row>
    <row r="46" spans="1:14" x14ac:dyDescent="0.2">
      <c r="A46" t="s">
        <v>6</v>
      </c>
      <c r="B46">
        <v>139</v>
      </c>
      <c r="C46">
        <v>1</v>
      </c>
      <c r="D46" t="s">
        <v>50</v>
      </c>
      <c r="E46" s="5">
        <v>6178459.2400000002</v>
      </c>
      <c r="F46" s="5">
        <v>537439.19999999995</v>
      </c>
      <c r="G46" s="2">
        <f t="shared" si="0"/>
        <v>537570.44999999995</v>
      </c>
      <c r="H46" s="4">
        <f t="shared" si="1"/>
        <v>131.25</v>
      </c>
      <c r="I46">
        <f t="shared" si="2"/>
        <v>0</v>
      </c>
      <c r="J46">
        <v>139</v>
      </c>
      <c r="K46">
        <v>1</v>
      </c>
      <c r="L46" t="s">
        <v>50</v>
      </c>
      <c r="M46" s="2">
        <v>537570.44999999995</v>
      </c>
      <c r="N46" s="4">
        <f t="shared" si="3"/>
        <v>0</v>
      </c>
    </row>
    <row r="47" spans="1:14" x14ac:dyDescent="0.2">
      <c r="A47" t="s">
        <v>6</v>
      </c>
      <c r="B47">
        <v>146</v>
      </c>
      <c r="C47">
        <v>1</v>
      </c>
      <c r="D47" t="s">
        <v>51</v>
      </c>
      <c r="E47" s="5">
        <v>5381438.3399999999</v>
      </c>
      <c r="F47" s="5">
        <v>468109.58</v>
      </c>
      <c r="G47" s="2">
        <f t="shared" si="0"/>
        <v>468223.9</v>
      </c>
      <c r="H47" s="4">
        <f t="shared" si="1"/>
        <v>114.32000000000698</v>
      </c>
      <c r="I47">
        <f t="shared" si="2"/>
        <v>0</v>
      </c>
      <c r="J47">
        <v>146</v>
      </c>
      <c r="K47">
        <v>1</v>
      </c>
      <c r="L47" t="s">
        <v>51</v>
      </c>
      <c r="M47" s="2">
        <v>468223.9</v>
      </c>
      <c r="N47" s="4">
        <f t="shared" si="3"/>
        <v>0</v>
      </c>
    </row>
    <row r="48" spans="1:14" x14ac:dyDescent="0.2">
      <c r="A48" t="s">
        <v>6</v>
      </c>
      <c r="B48">
        <v>150</v>
      </c>
      <c r="C48">
        <v>1</v>
      </c>
      <c r="D48" t="s">
        <v>52</v>
      </c>
      <c r="E48" s="5">
        <v>5921082.2800000003</v>
      </c>
      <c r="F48" s="5">
        <v>515051.02</v>
      </c>
      <c r="G48" s="2">
        <f t="shared" si="0"/>
        <v>515176.81</v>
      </c>
      <c r="H48" s="4">
        <f t="shared" si="1"/>
        <v>125.78999999997905</v>
      </c>
      <c r="I48">
        <f t="shared" si="2"/>
        <v>0</v>
      </c>
      <c r="J48">
        <v>150</v>
      </c>
      <c r="K48">
        <v>1</v>
      </c>
      <c r="L48" t="s">
        <v>52</v>
      </c>
      <c r="M48" s="2">
        <v>515176.81</v>
      </c>
      <c r="N48" s="4">
        <f t="shared" si="3"/>
        <v>0</v>
      </c>
    </row>
    <row r="49" spans="1:14" x14ac:dyDescent="0.2">
      <c r="A49" t="s">
        <v>6</v>
      </c>
      <c r="B49">
        <v>152</v>
      </c>
      <c r="C49">
        <v>1</v>
      </c>
      <c r="D49" t="s">
        <v>53</v>
      </c>
      <c r="E49" s="5">
        <v>36330345.409999996</v>
      </c>
      <c r="F49" s="5">
        <v>3160229.94</v>
      </c>
      <c r="G49" s="2">
        <f t="shared" si="0"/>
        <v>3161001.72</v>
      </c>
      <c r="H49" s="4">
        <f t="shared" si="1"/>
        <v>771.78000000026077</v>
      </c>
      <c r="I49">
        <f t="shared" si="2"/>
        <v>0</v>
      </c>
      <c r="J49">
        <v>152</v>
      </c>
      <c r="K49">
        <v>1</v>
      </c>
      <c r="L49" t="s">
        <v>53</v>
      </c>
      <c r="M49" s="2">
        <v>3161001.72</v>
      </c>
      <c r="N49" s="4">
        <f t="shared" si="3"/>
        <v>0</v>
      </c>
    </row>
    <row r="50" spans="1:14" x14ac:dyDescent="0.2">
      <c r="A50" t="s">
        <v>6</v>
      </c>
      <c r="B50">
        <v>162</v>
      </c>
      <c r="C50">
        <v>1</v>
      </c>
      <c r="D50" t="s">
        <v>54</v>
      </c>
      <c r="E50" s="5">
        <v>7520934.0700000003</v>
      </c>
      <c r="F50" s="5">
        <v>654215.66</v>
      </c>
      <c r="G50" s="2">
        <f t="shared" si="0"/>
        <v>654375.43000000005</v>
      </c>
      <c r="H50" s="4">
        <f t="shared" si="1"/>
        <v>159.77000000001863</v>
      </c>
      <c r="I50">
        <f t="shared" si="2"/>
        <v>0</v>
      </c>
      <c r="J50">
        <v>162</v>
      </c>
      <c r="K50">
        <v>1</v>
      </c>
      <c r="L50" t="s">
        <v>54</v>
      </c>
      <c r="M50" s="2">
        <v>654375.43000000005</v>
      </c>
      <c r="N50" s="4">
        <f t="shared" si="3"/>
        <v>0</v>
      </c>
    </row>
    <row r="51" spans="1:14" x14ac:dyDescent="0.2">
      <c r="A51" t="s">
        <v>6</v>
      </c>
      <c r="B51">
        <v>166</v>
      </c>
      <c r="C51">
        <v>1</v>
      </c>
      <c r="D51" t="s">
        <v>55</v>
      </c>
      <c r="E51" s="5">
        <v>4582830.83</v>
      </c>
      <c r="F51" s="5">
        <v>398641.94</v>
      </c>
      <c r="G51" s="2">
        <f t="shared" si="0"/>
        <v>398739.29</v>
      </c>
      <c r="H51" s="4">
        <f t="shared" si="1"/>
        <v>97.349999999976717</v>
      </c>
      <c r="I51">
        <f t="shared" si="2"/>
        <v>0</v>
      </c>
      <c r="J51">
        <v>166</v>
      </c>
      <c r="K51">
        <v>1</v>
      </c>
      <c r="L51" t="s">
        <v>55</v>
      </c>
      <c r="M51" s="2">
        <v>398739.29</v>
      </c>
      <c r="N51" s="4">
        <f t="shared" si="3"/>
        <v>0</v>
      </c>
    </row>
    <row r="52" spans="1:14" x14ac:dyDescent="0.2">
      <c r="A52" t="s">
        <v>6</v>
      </c>
      <c r="B52">
        <v>173</v>
      </c>
      <c r="C52">
        <v>1</v>
      </c>
      <c r="D52" t="s">
        <v>56</v>
      </c>
      <c r="E52" s="5">
        <v>3563392.7</v>
      </c>
      <c r="F52" s="5">
        <v>309965.13</v>
      </c>
      <c r="G52" s="2">
        <f t="shared" si="0"/>
        <v>310040.83</v>
      </c>
      <c r="H52" s="4">
        <f t="shared" si="1"/>
        <v>75.700000000011642</v>
      </c>
      <c r="I52">
        <f t="shared" si="2"/>
        <v>0</v>
      </c>
      <c r="J52">
        <v>173</v>
      </c>
      <c r="K52">
        <v>1</v>
      </c>
      <c r="L52" t="s">
        <v>56</v>
      </c>
      <c r="M52" s="2">
        <v>310040.83</v>
      </c>
      <c r="N52" s="4">
        <f t="shared" si="3"/>
        <v>0</v>
      </c>
    </row>
    <row r="53" spans="1:14" x14ac:dyDescent="0.2">
      <c r="A53" t="s">
        <v>6</v>
      </c>
      <c r="B53">
        <v>177</v>
      </c>
      <c r="C53">
        <v>1</v>
      </c>
      <c r="D53" t="s">
        <v>57</v>
      </c>
      <c r="E53" s="5">
        <v>6613691.2800000003</v>
      </c>
      <c r="F53" s="5">
        <v>575298.28</v>
      </c>
      <c r="G53" s="2">
        <f t="shared" si="0"/>
        <v>575438.78</v>
      </c>
      <c r="H53" s="4">
        <f t="shared" si="1"/>
        <v>140.5</v>
      </c>
      <c r="I53">
        <f t="shared" si="2"/>
        <v>0</v>
      </c>
      <c r="J53">
        <v>177</v>
      </c>
      <c r="K53">
        <v>1</v>
      </c>
      <c r="L53" t="s">
        <v>57</v>
      </c>
      <c r="M53" s="2">
        <v>575438.78</v>
      </c>
      <c r="N53" s="4">
        <f t="shared" si="3"/>
        <v>0</v>
      </c>
    </row>
    <row r="54" spans="1:14" x14ac:dyDescent="0.2">
      <c r="A54" t="s">
        <v>6</v>
      </c>
      <c r="B54">
        <v>181</v>
      </c>
      <c r="C54">
        <v>1</v>
      </c>
      <c r="D54" t="s">
        <v>58</v>
      </c>
      <c r="E54" s="5">
        <v>49764601.039999999</v>
      </c>
      <c r="F54" s="5">
        <v>4328821.55</v>
      </c>
      <c r="G54" s="2">
        <f t="shared" si="0"/>
        <v>4329878.72</v>
      </c>
      <c r="H54" s="4">
        <f t="shared" si="1"/>
        <v>1057.1699999999255</v>
      </c>
      <c r="I54">
        <f t="shared" si="2"/>
        <v>0</v>
      </c>
      <c r="J54">
        <v>181</v>
      </c>
      <c r="K54">
        <v>1</v>
      </c>
      <c r="L54" t="s">
        <v>58</v>
      </c>
      <c r="M54" s="2">
        <v>4329878.72</v>
      </c>
      <c r="N54" s="4">
        <f t="shared" si="3"/>
        <v>0</v>
      </c>
    </row>
    <row r="55" spans="1:14" x14ac:dyDescent="0.2">
      <c r="A55" t="s">
        <v>6</v>
      </c>
      <c r="B55">
        <v>182</v>
      </c>
      <c r="C55">
        <v>1</v>
      </c>
      <c r="D55" t="s">
        <v>59</v>
      </c>
      <c r="E55" s="5">
        <v>8572276.0299999993</v>
      </c>
      <c r="F55" s="5">
        <v>745667.65</v>
      </c>
      <c r="G55" s="2">
        <f t="shared" si="0"/>
        <v>745849.76</v>
      </c>
      <c r="H55" s="4">
        <f t="shared" si="1"/>
        <v>182.10999999998603</v>
      </c>
      <c r="I55">
        <f t="shared" si="2"/>
        <v>0</v>
      </c>
      <c r="J55">
        <v>182</v>
      </c>
      <c r="K55">
        <v>1</v>
      </c>
      <c r="L55" t="s">
        <v>59</v>
      </c>
      <c r="M55" s="2">
        <v>745849.76</v>
      </c>
      <c r="N55" s="4">
        <f t="shared" si="3"/>
        <v>0</v>
      </c>
    </row>
    <row r="56" spans="1:14" x14ac:dyDescent="0.2">
      <c r="A56" t="s">
        <v>6</v>
      </c>
      <c r="B56">
        <v>186</v>
      </c>
      <c r="C56">
        <v>1</v>
      </c>
      <c r="D56" t="s">
        <v>60</v>
      </c>
      <c r="E56" s="5">
        <v>10435381.09</v>
      </c>
      <c r="F56" s="5">
        <v>907731.63</v>
      </c>
      <c r="G56" s="2">
        <f t="shared" si="0"/>
        <v>907953.32</v>
      </c>
      <c r="H56" s="4">
        <f t="shared" si="1"/>
        <v>221.68999999994412</v>
      </c>
      <c r="I56">
        <f t="shared" si="2"/>
        <v>0</v>
      </c>
      <c r="J56">
        <v>186</v>
      </c>
      <c r="K56">
        <v>1</v>
      </c>
      <c r="L56" t="s">
        <v>60</v>
      </c>
      <c r="M56" s="2">
        <v>907953.32</v>
      </c>
      <c r="N56" s="4">
        <f t="shared" si="3"/>
        <v>0</v>
      </c>
    </row>
    <row r="57" spans="1:14" x14ac:dyDescent="0.2">
      <c r="A57" t="s">
        <v>6</v>
      </c>
      <c r="B57">
        <v>191</v>
      </c>
      <c r="C57">
        <v>1</v>
      </c>
      <c r="D57" t="s">
        <v>61</v>
      </c>
      <c r="E57" s="5">
        <v>70865310.709999993</v>
      </c>
      <c r="F57" s="5">
        <v>6164287.0199999996</v>
      </c>
      <c r="G57" s="2">
        <f t="shared" si="0"/>
        <v>6165792.4500000002</v>
      </c>
      <c r="H57" s="4">
        <f t="shared" si="1"/>
        <v>1505.4300000006333</v>
      </c>
      <c r="I57">
        <f t="shared" si="2"/>
        <v>0</v>
      </c>
      <c r="J57">
        <v>191</v>
      </c>
      <c r="K57">
        <v>1</v>
      </c>
      <c r="L57" t="s">
        <v>61</v>
      </c>
      <c r="M57" s="2">
        <v>6165792.4500000002</v>
      </c>
      <c r="N57" s="4">
        <f t="shared" si="3"/>
        <v>0</v>
      </c>
    </row>
    <row r="58" spans="1:14" x14ac:dyDescent="0.2">
      <c r="A58" t="s">
        <v>6</v>
      </c>
      <c r="B58">
        <v>192</v>
      </c>
      <c r="C58">
        <v>1</v>
      </c>
      <c r="D58" t="s">
        <v>62</v>
      </c>
      <c r="E58" s="5">
        <v>40949415.670000002</v>
      </c>
      <c r="F58" s="5">
        <v>3562024.2</v>
      </c>
      <c r="G58" s="2">
        <f t="shared" si="0"/>
        <v>3562894.11</v>
      </c>
      <c r="H58" s="4">
        <f t="shared" si="1"/>
        <v>869.90999999968335</v>
      </c>
      <c r="I58">
        <f t="shared" si="2"/>
        <v>0</v>
      </c>
      <c r="J58">
        <v>192</v>
      </c>
      <c r="K58">
        <v>1</v>
      </c>
      <c r="L58" t="s">
        <v>62</v>
      </c>
      <c r="M58" s="2">
        <v>3562894.11</v>
      </c>
      <c r="N58" s="4">
        <f t="shared" si="3"/>
        <v>0</v>
      </c>
    </row>
    <row r="59" spans="1:14" x14ac:dyDescent="0.2">
      <c r="A59" t="s">
        <v>6</v>
      </c>
      <c r="B59">
        <v>194</v>
      </c>
      <c r="C59">
        <v>1</v>
      </c>
      <c r="D59" t="s">
        <v>63</v>
      </c>
      <c r="E59" s="5">
        <v>70774219.709999993</v>
      </c>
      <c r="F59" s="5">
        <v>6156363.3799999999</v>
      </c>
      <c r="G59" s="2">
        <f t="shared" si="0"/>
        <v>6157866.8700000001</v>
      </c>
      <c r="H59" s="4">
        <f t="shared" si="1"/>
        <v>1503.4900000002235</v>
      </c>
      <c r="I59">
        <f t="shared" si="2"/>
        <v>0</v>
      </c>
      <c r="J59">
        <v>194</v>
      </c>
      <c r="K59">
        <v>1</v>
      </c>
      <c r="L59" t="s">
        <v>63</v>
      </c>
      <c r="M59" s="2">
        <v>6157866.8700000001</v>
      </c>
      <c r="N59" s="4">
        <f t="shared" si="3"/>
        <v>0</v>
      </c>
    </row>
    <row r="60" spans="1:14" x14ac:dyDescent="0.2">
      <c r="A60" t="s">
        <v>6</v>
      </c>
      <c r="B60">
        <v>195</v>
      </c>
      <c r="C60">
        <v>1</v>
      </c>
      <c r="D60" t="s">
        <v>64</v>
      </c>
      <c r="E60" s="5">
        <v>3422634.02</v>
      </c>
      <c r="F60" s="5">
        <v>297721.09999999998</v>
      </c>
      <c r="G60" s="2">
        <f t="shared" si="0"/>
        <v>297793.81</v>
      </c>
      <c r="H60" s="4">
        <f t="shared" si="1"/>
        <v>72.710000000020955</v>
      </c>
      <c r="I60">
        <f t="shared" si="2"/>
        <v>0</v>
      </c>
      <c r="J60">
        <v>195</v>
      </c>
      <c r="K60">
        <v>1</v>
      </c>
      <c r="L60" t="s">
        <v>64</v>
      </c>
      <c r="M60" s="2">
        <v>297793.81</v>
      </c>
      <c r="N60" s="4">
        <f t="shared" si="3"/>
        <v>0</v>
      </c>
    </row>
    <row r="61" spans="1:14" x14ac:dyDescent="0.2">
      <c r="A61" t="s">
        <v>6</v>
      </c>
      <c r="B61">
        <v>196</v>
      </c>
      <c r="C61">
        <v>1</v>
      </c>
      <c r="D61" t="s">
        <v>65</v>
      </c>
      <c r="E61" s="5">
        <v>184307886.22</v>
      </c>
      <c r="F61" s="5">
        <v>16032198.25</v>
      </c>
      <c r="G61" s="2">
        <f t="shared" si="0"/>
        <v>16036113.6</v>
      </c>
      <c r="H61" s="4">
        <f t="shared" si="1"/>
        <v>3915.3499999996275</v>
      </c>
      <c r="I61">
        <f t="shared" si="2"/>
        <v>0</v>
      </c>
      <c r="J61">
        <v>196</v>
      </c>
      <c r="K61">
        <v>1</v>
      </c>
      <c r="L61" t="s">
        <v>65</v>
      </c>
      <c r="M61" s="2">
        <v>16036113.6</v>
      </c>
      <c r="N61" s="4">
        <f t="shared" si="3"/>
        <v>0</v>
      </c>
    </row>
    <row r="62" spans="1:14" x14ac:dyDescent="0.2">
      <c r="A62" t="s">
        <v>6</v>
      </c>
      <c r="B62">
        <v>197</v>
      </c>
      <c r="C62">
        <v>1</v>
      </c>
      <c r="D62" t="s">
        <v>66</v>
      </c>
      <c r="E62" s="5">
        <v>29971805.370000001</v>
      </c>
      <c r="F62" s="5">
        <v>2607126.2400000002</v>
      </c>
      <c r="G62" s="2">
        <f t="shared" si="0"/>
        <v>2607762.94</v>
      </c>
      <c r="H62" s="4">
        <f t="shared" si="1"/>
        <v>636.6999999997206</v>
      </c>
      <c r="I62">
        <f t="shared" si="2"/>
        <v>0</v>
      </c>
      <c r="J62">
        <v>197</v>
      </c>
      <c r="K62">
        <v>1</v>
      </c>
      <c r="L62" t="s">
        <v>66</v>
      </c>
      <c r="M62" s="2">
        <v>2607762.94</v>
      </c>
      <c r="N62" s="4">
        <f t="shared" si="3"/>
        <v>0</v>
      </c>
    </row>
    <row r="63" spans="1:14" x14ac:dyDescent="0.2">
      <c r="A63" t="s">
        <v>6</v>
      </c>
      <c r="B63">
        <v>199</v>
      </c>
      <c r="C63">
        <v>1</v>
      </c>
      <c r="D63" t="s">
        <v>67</v>
      </c>
      <c r="E63" s="5">
        <v>24793751.300000001</v>
      </c>
      <c r="F63" s="5">
        <v>2156708.2400000002</v>
      </c>
      <c r="G63" s="2">
        <f t="shared" si="0"/>
        <v>2157234.94</v>
      </c>
      <c r="H63" s="4">
        <f t="shared" si="1"/>
        <v>526.6999999997206</v>
      </c>
      <c r="I63">
        <f t="shared" si="2"/>
        <v>0</v>
      </c>
      <c r="J63">
        <v>199</v>
      </c>
      <c r="K63">
        <v>1</v>
      </c>
      <c r="L63" t="s">
        <v>67</v>
      </c>
      <c r="M63" s="2">
        <v>2157234.94</v>
      </c>
      <c r="N63" s="4">
        <f t="shared" si="3"/>
        <v>0</v>
      </c>
    </row>
    <row r="64" spans="1:14" x14ac:dyDescent="0.2">
      <c r="A64" t="s">
        <v>6</v>
      </c>
      <c r="B64">
        <v>200</v>
      </c>
      <c r="C64">
        <v>1</v>
      </c>
      <c r="D64" t="s">
        <v>68</v>
      </c>
      <c r="E64" s="5">
        <v>32493650.649999999</v>
      </c>
      <c r="F64" s="5">
        <v>2826491.37</v>
      </c>
      <c r="G64" s="2">
        <f t="shared" si="0"/>
        <v>2827181.65</v>
      </c>
      <c r="H64" s="4">
        <f t="shared" si="1"/>
        <v>690.27999999979511</v>
      </c>
      <c r="I64">
        <f t="shared" si="2"/>
        <v>0</v>
      </c>
      <c r="J64">
        <v>200</v>
      </c>
      <c r="K64">
        <v>1</v>
      </c>
      <c r="L64" t="s">
        <v>68</v>
      </c>
      <c r="M64" s="2">
        <v>2827181.65</v>
      </c>
      <c r="N64" s="4">
        <f t="shared" si="3"/>
        <v>0</v>
      </c>
    </row>
    <row r="65" spans="1:14" x14ac:dyDescent="0.2">
      <c r="A65" t="s">
        <v>6</v>
      </c>
      <c r="B65">
        <v>203</v>
      </c>
      <c r="C65">
        <v>1</v>
      </c>
      <c r="D65" t="s">
        <v>69</v>
      </c>
      <c r="E65" s="5">
        <v>5671496.8300000001</v>
      </c>
      <c r="F65" s="5">
        <v>493340.59</v>
      </c>
      <c r="G65" s="2">
        <f t="shared" si="0"/>
        <v>493461.07</v>
      </c>
      <c r="H65" s="4">
        <f t="shared" si="1"/>
        <v>120.47999999998137</v>
      </c>
      <c r="I65">
        <f t="shared" si="2"/>
        <v>0</v>
      </c>
      <c r="J65">
        <v>203</v>
      </c>
      <c r="K65">
        <v>1</v>
      </c>
      <c r="L65" t="s">
        <v>69</v>
      </c>
      <c r="M65" s="2">
        <v>493461.07</v>
      </c>
      <c r="N65" s="4">
        <f t="shared" si="3"/>
        <v>0</v>
      </c>
    </row>
    <row r="66" spans="1:14" x14ac:dyDescent="0.2">
      <c r="A66" t="s">
        <v>6</v>
      </c>
      <c r="B66">
        <v>204</v>
      </c>
      <c r="C66">
        <v>1</v>
      </c>
      <c r="D66" t="s">
        <v>70</v>
      </c>
      <c r="E66" s="5">
        <v>12942676.560000001</v>
      </c>
      <c r="F66" s="5">
        <v>1125831.1299999999</v>
      </c>
      <c r="G66" s="2">
        <f t="shared" si="0"/>
        <v>1126106.08</v>
      </c>
      <c r="H66" s="4">
        <f t="shared" si="1"/>
        <v>274.95000000018626</v>
      </c>
      <c r="I66">
        <f t="shared" si="2"/>
        <v>0</v>
      </c>
      <c r="J66">
        <v>204</v>
      </c>
      <c r="K66">
        <v>1</v>
      </c>
      <c r="L66" t="s">
        <v>70</v>
      </c>
      <c r="M66" s="2">
        <v>1126106.08</v>
      </c>
      <c r="N66" s="4">
        <f t="shared" si="3"/>
        <v>0</v>
      </c>
    </row>
    <row r="67" spans="1:14" x14ac:dyDescent="0.2">
      <c r="A67" t="s">
        <v>6</v>
      </c>
      <c r="B67">
        <v>206</v>
      </c>
      <c r="C67">
        <v>1</v>
      </c>
      <c r="D67" t="s">
        <v>71</v>
      </c>
      <c r="E67" s="5">
        <v>26882855.940000001</v>
      </c>
      <c r="F67" s="5">
        <v>2338431.0099999998</v>
      </c>
      <c r="G67" s="2">
        <f t="shared" si="0"/>
        <v>2339002.09</v>
      </c>
      <c r="H67" s="4">
        <f t="shared" si="1"/>
        <v>571.08000000007451</v>
      </c>
      <c r="I67">
        <f t="shared" si="2"/>
        <v>0</v>
      </c>
      <c r="J67">
        <v>206</v>
      </c>
      <c r="K67">
        <v>1</v>
      </c>
      <c r="L67" t="s">
        <v>71</v>
      </c>
      <c r="M67" s="2">
        <v>2339002.09</v>
      </c>
      <c r="N67" s="4">
        <f t="shared" si="3"/>
        <v>0</v>
      </c>
    </row>
    <row r="68" spans="1:14" x14ac:dyDescent="0.2">
      <c r="A68" t="s">
        <v>6</v>
      </c>
      <c r="B68">
        <v>207</v>
      </c>
      <c r="C68">
        <v>1</v>
      </c>
      <c r="D68" t="s">
        <v>72</v>
      </c>
      <c r="E68" s="5">
        <v>2083722</v>
      </c>
      <c r="F68" s="5">
        <v>181254.56</v>
      </c>
      <c r="G68" s="2">
        <f t="shared" ref="G68:G131" si="4">ROUND(E68*$G$485,2)</f>
        <v>181298.82</v>
      </c>
      <c r="H68" s="4">
        <f t="shared" ref="H68:H131" si="5">G68-F68</f>
        <v>44.260000000009313</v>
      </c>
      <c r="I68">
        <f t="shared" ref="I68:I131" si="6">J68-B68</f>
        <v>0</v>
      </c>
      <c r="J68">
        <v>207</v>
      </c>
      <c r="K68">
        <v>1</v>
      </c>
      <c r="L68" t="s">
        <v>72</v>
      </c>
      <c r="M68" s="2">
        <v>181298.82</v>
      </c>
      <c r="N68" s="4">
        <f t="shared" ref="N68:N131" si="7">M68-G68</f>
        <v>0</v>
      </c>
    </row>
    <row r="69" spans="1:14" x14ac:dyDescent="0.2">
      <c r="A69" t="s">
        <v>6</v>
      </c>
      <c r="B69">
        <v>208</v>
      </c>
      <c r="C69">
        <v>1</v>
      </c>
      <c r="D69" t="s">
        <v>73</v>
      </c>
      <c r="E69" s="5">
        <v>1207264.82</v>
      </c>
      <c r="F69" s="5">
        <v>105015.09</v>
      </c>
      <c r="G69" s="2">
        <f t="shared" si="4"/>
        <v>105040.73</v>
      </c>
      <c r="H69" s="4">
        <f t="shared" si="5"/>
        <v>25.639999999999418</v>
      </c>
      <c r="I69">
        <f t="shared" si="6"/>
        <v>0</v>
      </c>
      <c r="J69">
        <v>208</v>
      </c>
      <c r="K69">
        <v>1</v>
      </c>
      <c r="L69" t="s">
        <v>73</v>
      </c>
      <c r="M69" s="2">
        <v>105040.73</v>
      </c>
      <c r="N69" s="4">
        <f t="shared" si="7"/>
        <v>0</v>
      </c>
    </row>
    <row r="70" spans="1:14" x14ac:dyDescent="0.2">
      <c r="A70" t="s">
        <v>6</v>
      </c>
      <c r="B70">
        <v>213</v>
      </c>
      <c r="C70">
        <v>1</v>
      </c>
      <c r="D70" t="s">
        <v>74</v>
      </c>
      <c r="E70" s="5">
        <v>5003964.83</v>
      </c>
      <c r="F70" s="5">
        <v>435274.68</v>
      </c>
      <c r="G70" s="2">
        <f t="shared" si="4"/>
        <v>435380.98</v>
      </c>
      <c r="H70" s="4">
        <f t="shared" si="5"/>
        <v>106.29999999998836</v>
      </c>
      <c r="I70">
        <f t="shared" si="6"/>
        <v>0</v>
      </c>
      <c r="J70">
        <v>213</v>
      </c>
      <c r="K70">
        <v>1</v>
      </c>
      <c r="L70" t="s">
        <v>74</v>
      </c>
      <c r="M70" s="2">
        <v>435380.98</v>
      </c>
      <c r="N70" s="4">
        <f t="shared" si="7"/>
        <v>0</v>
      </c>
    </row>
    <row r="71" spans="1:14" x14ac:dyDescent="0.2">
      <c r="A71" t="s">
        <v>6</v>
      </c>
      <c r="B71">
        <v>227</v>
      </c>
      <c r="C71">
        <v>1</v>
      </c>
      <c r="D71" t="s">
        <v>75</v>
      </c>
      <c r="E71" s="5">
        <v>5789751.71</v>
      </c>
      <c r="F71" s="5">
        <v>503627.11</v>
      </c>
      <c r="G71" s="2">
        <f t="shared" si="4"/>
        <v>503750.1</v>
      </c>
      <c r="H71" s="4">
        <f t="shared" si="5"/>
        <v>122.98999999999069</v>
      </c>
      <c r="I71">
        <f t="shared" si="6"/>
        <v>0</v>
      </c>
      <c r="J71">
        <v>227</v>
      </c>
      <c r="K71">
        <v>1</v>
      </c>
      <c r="L71" t="s">
        <v>75</v>
      </c>
      <c r="M71" s="2">
        <v>503750.1</v>
      </c>
      <c r="N71" s="4">
        <f t="shared" si="7"/>
        <v>0</v>
      </c>
    </row>
    <row r="72" spans="1:14" x14ac:dyDescent="0.2">
      <c r="A72" t="s">
        <v>6</v>
      </c>
      <c r="B72">
        <v>229</v>
      </c>
      <c r="C72">
        <v>1</v>
      </c>
      <c r="D72" t="s">
        <v>76</v>
      </c>
      <c r="E72" s="5">
        <v>2472913</v>
      </c>
      <c r="F72" s="5">
        <v>215108.71</v>
      </c>
      <c r="G72" s="2">
        <f t="shared" si="4"/>
        <v>215161.24</v>
      </c>
      <c r="H72" s="4">
        <f t="shared" si="5"/>
        <v>52.529999999998836</v>
      </c>
      <c r="I72">
        <f t="shared" si="6"/>
        <v>0</v>
      </c>
      <c r="J72">
        <v>229</v>
      </c>
      <c r="K72">
        <v>1</v>
      </c>
      <c r="L72" t="s">
        <v>76</v>
      </c>
      <c r="M72" s="2">
        <v>215161.24</v>
      </c>
      <c r="N72" s="4">
        <f t="shared" si="7"/>
        <v>0</v>
      </c>
    </row>
    <row r="73" spans="1:14" x14ac:dyDescent="0.2">
      <c r="A73" t="s">
        <v>6</v>
      </c>
      <c r="B73">
        <v>238</v>
      </c>
      <c r="C73">
        <v>1</v>
      </c>
      <c r="D73" t="s">
        <v>77</v>
      </c>
      <c r="E73" s="5">
        <v>2155235.85</v>
      </c>
      <c r="F73" s="5">
        <v>187475.26</v>
      </c>
      <c r="G73" s="2">
        <f t="shared" si="4"/>
        <v>187521.04</v>
      </c>
      <c r="H73" s="4">
        <f t="shared" si="5"/>
        <v>45.779999999998836</v>
      </c>
      <c r="I73">
        <f t="shared" si="6"/>
        <v>0</v>
      </c>
      <c r="J73">
        <v>238</v>
      </c>
      <c r="K73">
        <v>1</v>
      </c>
      <c r="L73" t="s">
        <v>77</v>
      </c>
      <c r="M73" s="2">
        <v>187521.04</v>
      </c>
      <c r="N73" s="4">
        <f t="shared" si="7"/>
        <v>0</v>
      </c>
    </row>
    <row r="74" spans="1:14" x14ac:dyDescent="0.2">
      <c r="A74" t="s">
        <v>6</v>
      </c>
      <c r="B74">
        <v>239</v>
      </c>
      <c r="C74">
        <v>1</v>
      </c>
      <c r="D74" t="s">
        <v>78</v>
      </c>
      <c r="E74" s="5">
        <v>4550467.13</v>
      </c>
      <c r="F74" s="5">
        <v>395826.75</v>
      </c>
      <c r="G74" s="2">
        <f t="shared" si="4"/>
        <v>395923.42</v>
      </c>
      <c r="H74" s="4">
        <f t="shared" si="5"/>
        <v>96.669999999983702</v>
      </c>
      <c r="I74">
        <f t="shared" si="6"/>
        <v>0</v>
      </c>
      <c r="J74">
        <v>239</v>
      </c>
      <c r="K74">
        <v>1</v>
      </c>
      <c r="L74" t="s">
        <v>78</v>
      </c>
      <c r="M74" s="2">
        <v>395923.42</v>
      </c>
      <c r="N74" s="4">
        <f t="shared" si="7"/>
        <v>0</v>
      </c>
    </row>
    <row r="75" spans="1:14" x14ac:dyDescent="0.2">
      <c r="A75" t="s">
        <v>6</v>
      </c>
      <c r="B75">
        <v>241</v>
      </c>
      <c r="C75">
        <v>1</v>
      </c>
      <c r="D75" t="s">
        <v>79</v>
      </c>
      <c r="E75" s="5">
        <v>24421009.620000001</v>
      </c>
      <c r="F75" s="5">
        <v>2124284.94</v>
      </c>
      <c r="G75" s="2">
        <f t="shared" si="4"/>
        <v>2124803.73</v>
      </c>
      <c r="H75" s="4">
        <f t="shared" si="5"/>
        <v>518.79000000003725</v>
      </c>
      <c r="I75">
        <f t="shared" si="6"/>
        <v>0</v>
      </c>
      <c r="J75">
        <v>241</v>
      </c>
      <c r="K75">
        <v>1</v>
      </c>
      <c r="L75" t="s">
        <v>79</v>
      </c>
      <c r="M75" s="2">
        <v>2124803.73</v>
      </c>
      <c r="N75" s="4">
        <f t="shared" si="7"/>
        <v>0</v>
      </c>
    </row>
    <row r="76" spans="1:14" x14ac:dyDescent="0.2">
      <c r="A76" t="s">
        <v>6</v>
      </c>
      <c r="B76">
        <v>242</v>
      </c>
      <c r="C76">
        <v>1</v>
      </c>
      <c r="D76" t="s">
        <v>80</v>
      </c>
      <c r="E76" s="5">
        <v>2983552.86</v>
      </c>
      <c r="F76" s="5">
        <v>259527.21</v>
      </c>
      <c r="G76" s="2">
        <f t="shared" si="4"/>
        <v>259590.59</v>
      </c>
      <c r="H76" s="4">
        <f t="shared" si="5"/>
        <v>63.380000000004657</v>
      </c>
      <c r="I76">
        <f t="shared" si="6"/>
        <v>0</v>
      </c>
      <c r="J76">
        <v>242</v>
      </c>
      <c r="K76">
        <v>1</v>
      </c>
      <c r="L76" t="s">
        <v>80</v>
      </c>
      <c r="M76" s="2">
        <v>259590.59</v>
      </c>
      <c r="N76" s="4">
        <f t="shared" si="7"/>
        <v>0</v>
      </c>
    </row>
    <row r="77" spans="1:14" x14ac:dyDescent="0.2">
      <c r="A77" t="s">
        <v>6</v>
      </c>
      <c r="B77">
        <v>252</v>
      </c>
      <c r="C77">
        <v>1</v>
      </c>
      <c r="D77" t="s">
        <v>81</v>
      </c>
      <c r="E77" s="5">
        <v>8388430.1200000001</v>
      </c>
      <c r="F77" s="5">
        <v>729675.64</v>
      </c>
      <c r="G77" s="2">
        <f t="shared" si="4"/>
        <v>729853.84</v>
      </c>
      <c r="H77" s="4">
        <f t="shared" si="5"/>
        <v>178.19999999995343</v>
      </c>
      <c r="I77">
        <f t="shared" si="6"/>
        <v>0</v>
      </c>
      <c r="J77">
        <v>252</v>
      </c>
      <c r="K77">
        <v>1</v>
      </c>
      <c r="L77" t="s">
        <v>81</v>
      </c>
      <c r="M77" s="2">
        <v>729853.84</v>
      </c>
      <c r="N77" s="4">
        <f t="shared" si="7"/>
        <v>0</v>
      </c>
    </row>
    <row r="78" spans="1:14" x14ac:dyDescent="0.2">
      <c r="A78" t="s">
        <v>6</v>
      </c>
      <c r="B78">
        <v>253</v>
      </c>
      <c r="C78">
        <v>1</v>
      </c>
      <c r="D78" t="s">
        <v>82</v>
      </c>
      <c r="E78" s="5">
        <v>4233434.8499999996</v>
      </c>
      <c r="F78" s="5">
        <v>368249.39</v>
      </c>
      <c r="G78" s="2">
        <f t="shared" si="4"/>
        <v>368339.32</v>
      </c>
      <c r="H78" s="4">
        <f t="shared" si="5"/>
        <v>89.929999999993015</v>
      </c>
      <c r="I78">
        <f t="shared" si="6"/>
        <v>0</v>
      </c>
      <c r="J78">
        <v>253</v>
      </c>
      <c r="K78">
        <v>1</v>
      </c>
      <c r="L78" t="s">
        <v>82</v>
      </c>
      <c r="M78" s="2">
        <v>368339.32</v>
      </c>
      <c r="N78" s="4">
        <f t="shared" si="7"/>
        <v>0</v>
      </c>
    </row>
    <row r="79" spans="1:14" x14ac:dyDescent="0.2">
      <c r="A79" t="s">
        <v>6</v>
      </c>
      <c r="B79">
        <v>255</v>
      </c>
      <c r="C79">
        <v>1</v>
      </c>
      <c r="D79" t="s">
        <v>83</v>
      </c>
      <c r="E79" s="5">
        <v>8002177.9900000002</v>
      </c>
      <c r="F79" s="5">
        <v>696077.13</v>
      </c>
      <c r="G79" s="2">
        <f t="shared" si="4"/>
        <v>696247.12</v>
      </c>
      <c r="H79" s="4">
        <f t="shared" si="5"/>
        <v>169.98999999999069</v>
      </c>
      <c r="I79">
        <f t="shared" si="6"/>
        <v>0</v>
      </c>
      <c r="J79">
        <v>255</v>
      </c>
      <c r="K79">
        <v>1</v>
      </c>
      <c r="L79" t="s">
        <v>83</v>
      </c>
      <c r="M79" s="2">
        <v>696247.12</v>
      </c>
      <c r="N79" s="4">
        <f t="shared" si="7"/>
        <v>0</v>
      </c>
    </row>
    <row r="80" spans="1:14" x14ac:dyDescent="0.2">
      <c r="A80" t="s">
        <v>6</v>
      </c>
      <c r="B80">
        <v>256</v>
      </c>
      <c r="C80">
        <v>1</v>
      </c>
      <c r="D80" t="s">
        <v>84</v>
      </c>
      <c r="E80" s="5">
        <v>18870545.98</v>
      </c>
      <c r="F80" s="5">
        <v>1641472.54</v>
      </c>
      <c r="G80" s="2">
        <f t="shared" si="4"/>
        <v>1641873.42</v>
      </c>
      <c r="H80" s="4">
        <f t="shared" si="5"/>
        <v>400.87999999988824</v>
      </c>
      <c r="I80">
        <f t="shared" si="6"/>
        <v>0</v>
      </c>
      <c r="J80">
        <v>256</v>
      </c>
      <c r="K80">
        <v>1</v>
      </c>
      <c r="L80" t="s">
        <v>84</v>
      </c>
      <c r="M80" s="2">
        <v>1641873.42</v>
      </c>
      <c r="N80" s="4">
        <f t="shared" si="7"/>
        <v>0</v>
      </c>
    </row>
    <row r="81" spans="1:14" x14ac:dyDescent="0.2">
      <c r="A81" t="s">
        <v>6</v>
      </c>
      <c r="B81">
        <v>261</v>
      </c>
      <c r="C81">
        <v>1</v>
      </c>
      <c r="D81" t="s">
        <v>85</v>
      </c>
      <c r="E81" s="5">
        <v>1803283.23</v>
      </c>
      <c r="F81" s="5">
        <v>156860.32</v>
      </c>
      <c r="G81" s="2">
        <f t="shared" si="4"/>
        <v>156898.63</v>
      </c>
      <c r="H81" s="4">
        <f t="shared" si="5"/>
        <v>38.309999999997672</v>
      </c>
      <c r="I81">
        <f t="shared" si="6"/>
        <v>0</v>
      </c>
      <c r="J81">
        <v>261</v>
      </c>
      <c r="K81">
        <v>1</v>
      </c>
      <c r="L81" t="s">
        <v>85</v>
      </c>
      <c r="M81" s="2">
        <v>156898.63</v>
      </c>
      <c r="N81" s="4">
        <f t="shared" si="7"/>
        <v>0</v>
      </c>
    </row>
    <row r="82" spans="1:14" x14ac:dyDescent="0.2">
      <c r="A82" t="s">
        <v>6</v>
      </c>
      <c r="B82">
        <v>264</v>
      </c>
      <c r="C82">
        <v>1</v>
      </c>
      <c r="D82" t="s">
        <v>86</v>
      </c>
      <c r="E82" s="5">
        <v>1095049.8400000001</v>
      </c>
      <c r="F82" s="5">
        <v>95253.96</v>
      </c>
      <c r="G82" s="2">
        <f t="shared" si="4"/>
        <v>95277.22</v>
      </c>
      <c r="H82" s="4">
        <f t="shared" si="5"/>
        <v>23.259999999994761</v>
      </c>
      <c r="I82">
        <f t="shared" si="6"/>
        <v>0</v>
      </c>
      <c r="J82">
        <v>264</v>
      </c>
      <c r="K82">
        <v>1</v>
      </c>
      <c r="L82" t="s">
        <v>86</v>
      </c>
      <c r="M82" s="2">
        <v>95277.22</v>
      </c>
      <c r="N82" s="4">
        <f t="shared" si="7"/>
        <v>0</v>
      </c>
    </row>
    <row r="83" spans="1:14" x14ac:dyDescent="0.2">
      <c r="A83" t="s">
        <v>6</v>
      </c>
      <c r="B83">
        <v>270</v>
      </c>
      <c r="C83">
        <v>1</v>
      </c>
      <c r="D83" t="s">
        <v>87</v>
      </c>
      <c r="E83" s="5">
        <v>52450634.030000001</v>
      </c>
      <c r="F83" s="5">
        <v>4562468.71</v>
      </c>
      <c r="G83" s="2">
        <f t="shared" si="4"/>
        <v>4563582.9400000004</v>
      </c>
      <c r="H83" s="4">
        <f t="shared" si="5"/>
        <v>1114.230000000447</v>
      </c>
      <c r="I83">
        <f t="shared" si="6"/>
        <v>0</v>
      </c>
      <c r="J83">
        <v>270</v>
      </c>
      <c r="K83">
        <v>1</v>
      </c>
      <c r="L83" t="s">
        <v>87</v>
      </c>
      <c r="M83" s="2">
        <v>4563582.9400000004</v>
      </c>
      <c r="N83" s="4">
        <f t="shared" si="7"/>
        <v>0</v>
      </c>
    </row>
    <row r="84" spans="1:14" x14ac:dyDescent="0.2">
      <c r="A84" t="s">
        <v>6</v>
      </c>
      <c r="B84">
        <v>271</v>
      </c>
      <c r="C84">
        <v>1</v>
      </c>
      <c r="D84" t="s">
        <v>88</v>
      </c>
      <c r="E84" s="5">
        <v>70213016.079999998</v>
      </c>
      <c r="F84" s="5">
        <v>6107546.5499999998</v>
      </c>
      <c r="G84" s="2">
        <f t="shared" si="4"/>
        <v>6109038.1200000001</v>
      </c>
      <c r="H84" s="4">
        <f t="shared" si="5"/>
        <v>1491.570000000298</v>
      </c>
      <c r="I84">
        <f t="shared" si="6"/>
        <v>0</v>
      </c>
      <c r="J84">
        <v>271</v>
      </c>
      <c r="K84">
        <v>1</v>
      </c>
      <c r="L84" t="s">
        <v>88</v>
      </c>
      <c r="M84" s="2">
        <v>6109038.1200000001</v>
      </c>
      <c r="N84" s="4">
        <f t="shared" si="7"/>
        <v>0</v>
      </c>
    </row>
    <row r="85" spans="1:14" x14ac:dyDescent="0.2">
      <c r="A85" t="s">
        <v>6</v>
      </c>
      <c r="B85">
        <v>272</v>
      </c>
      <c r="C85">
        <v>1</v>
      </c>
      <c r="D85" t="s">
        <v>89</v>
      </c>
      <c r="E85" s="5">
        <v>65503747.100000001</v>
      </c>
      <c r="F85" s="5">
        <v>5697906.2699999996</v>
      </c>
      <c r="G85" s="2">
        <f t="shared" si="4"/>
        <v>5699297.79</v>
      </c>
      <c r="H85" s="4">
        <f t="shared" si="5"/>
        <v>1391.5200000004843</v>
      </c>
      <c r="I85">
        <f t="shared" si="6"/>
        <v>0</v>
      </c>
      <c r="J85">
        <v>272</v>
      </c>
      <c r="K85">
        <v>1</v>
      </c>
      <c r="L85" t="s">
        <v>89</v>
      </c>
      <c r="M85" s="2">
        <v>5699297.79</v>
      </c>
      <c r="N85" s="4">
        <f t="shared" si="7"/>
        <v>0</v>
      </c>
    </row>
    <row r="86" spans="1:14" x14ac:dyDescent="0.2">
      <c r="A86" t="s">
        <v>6</v>
      </c>
      <c r="B86">
        <v>273</v>
      </c>
      <c r="C86">
        <v>1</v>
      </c>
      <c r="D86" t="s">
        <v>90</v>
      </c>
      <c r="E86" s="5">
        <v>48456113.549999997</v>
      </c>
      <c r="F86" s="5">
        <v>4215001.51</v>
      </c>
      <c r="G86" s="2">
        <f t="shared" si="4"/>
        <v>4216030.8899999997</v>
      </c>
      <c r="H86" s="4">
        <f t="shared" si="5"/>
        <v>1029.3799999998882</v>
      </c>
      <c r="I86">
        <f t="shared" si="6"/>
        <v>0</v>
      </c>
      <c r="J86">
        <v>273</v>
      </c>
      <c r="K86">
        <v>1</v>
      </c>
      <c r="L86" t="s">
        <v>90</v>
      </c>
      <c r="M86" s="2">
        <v>4216030.8899999997</v>
      </c>
      <c r="N86" s="4">
        <f t="shared" si="7"/>
        <v>0</v>
      </c>
    </row>
    <row r="87" spans="1:14" x14ac:dyDescent="0.2">
      <c r="A87" t="s">
        <v>6</v>
      </c>
      <c r="B87">
        <v>276</v>
      </c>
      <c r="C87">
        <v>1</v>
      </c>
      <c r="D87" t="s">
        <v>91</v>
      </c>
      <c r="E87" s="5">
        <v>51815271.880000003</v>
      </c>
      <c r="F87" s="5">
        <v>4507201.12</v>
      </c>
      <c r="G87" s="2">
        <f t="shared" si="4"/>
        <v>4508301.8600000003</v>
      </c>
      <c r="H87" s="4">
        <f t="shared" si="5"/>
        <v>1100.7400000002235</v>
      </c>
      <c r="I87">
        <f t="shared" si="6"/>
        <v>0</v>
      </c>
      <c r="J87">
        <v>276</v>
      </c>
      <c r="K87">
        <v>1</v>
      </c>
      <c r="L87" t="s">
        <v>91</v>
      </c>
      <c r="M87" s="2">
        <v>4508301.8600000003</v>
      </c>
      <c r="N87" s="4">
        <f t="shared" si="7"/>
        <v>0</v>
      </c>
    </row>
    <row r="88" spans="1:14" x14ac:dyDescent="0.2">
      <c r="A88" t="s">
        <v>6</v>
      </c>
      <c r="B88">
        <v>277</v>
      </c>
      <c r="C88">
        <v>1</v>
      </c>
      <c r="D88" t="s">
        <v>92</v>
      </c>
      <c r="E88" s="5">
        <v>14407446.43</v>
      </c>
      <c r="F88" s="5">
        <v>1253245.55</v>
      </c>
      <c r="G88" s="2">
        <f t="shared" si="4"/>
        <v>1253551.6100000001</v>
      </c>
      <c r="H88" s="4">
        <f t="shared" si="5"/>
        <v>306.06000000005588</v>
      </c>
      <c r="I88">
        <f t="shared" si="6"/>
        <v>0</v>
      </c>
      <c r="J88">
        <v>277</v>
      </c>
      <c r="K88">
        <v>1</v>
      </c>
      <c r="L88" t="s">
        <v>92</v>
      </c>
      <c r="M88" s="2">
        <v>1253551.6100000001</v>
      </c>
      <c r="N88" s="4">
        <f t="shared" si="7"/>
        <v>0</v>
      </c>
    </row>
    <row r="89" spans="1:14" x14ac:dyDescent="0.2">
      <c r="A89" t="s">
        <v>6</v>
      </c>
      <c r="B89">
        <v>278</v>
      </c>
      <c r="C89">
        <v>1</v>
      </c>
      <c r="D89" t="s">
        <v>93</v>
      </c>
      <c r="E89" s="5">
        <v>17443482.800000001</v>
      </c>
      <c r="F89" s="5">
        <v>1517338.08</v>
      </c>
      <c r="G89" s="2">
        <f t="shared" si="4"/>
        <v>1517708.64</v>
      </c>
      <c r="H89" s="4">
        <f t="shared" si="5"/>
        <v>370.55999999982305</v>
      </c>
      <c r="I89">
        <f t="shared" si="6"/>
        <v>0</v>
      </c>
      <c r="J89">
        <v>278</v>
      </c>
      <c r="K89">
        <v>1</v>
      </c>
      <c r="L89" t="s">
        <v>93</v>
      </c>
      <c r="M89" s="2">
        <v>1517708.64</v>
      </c>
      <c r="N89" s="4">
        <f t="shared" si="7"/>
        <v>0</v>
      </c>
    </row>
    <row r="90" spans="1:14" x14ac:dyDescent="0.2">
      <c r="A90" t="s">
        <v>6</v>
      </c>
      <c r="B90">
        <v>279</v>
      </c>
      <c r="C90">
        <v>1</v>
      </c>
      <c r="D90" t="s">
        <v>94</v>
      </c>
      <c r="E90" s="5">
        <v>154194390.36000001</v>
      </c>
      <c r="F90" s="5">
        <v>13412746.93</v>
      </c>
      <c r="G90" s="2">
        <f t="shared" si="4"/>
        <v>13416022.560000001</v>
      </c>
      <c r="H90" s="4">
        <f t="shared" si="5"/>
        <v>3275.6300000008196</v>
      </c>
      <c r="I90">
        <f t="shared" si="6"/>
        <v>0</v>
      </c>
      <c r="J90">
        <v>279</v>
      </c>
      <c r="K90">
        <v>1</v>
      </c>
      <c r="L90" t="s">
        <v>94</v>
      </c>
      <c r="M90" s="2">
        <v>13416022.560000001</v>
      </c>
      <c r="N90" s="4">
        <f t="shared" si="7"/>
        <v>0</v>
      </c>
    </row>
    <row r="91" spans="1:14" x14ac:dyDescent="0.2">
      <c r="A91" t="s">
        <v>6</v>
      </c>
      <c r="B91">
        <v>280</v>
      </c>
      <c r="C91">
        <v>1</v>
      </c>
      <c r="D91" t="s">
        <v>95</v>
      </c>
      <c r="E91" s="5">
        <v>30774775.25</v>
      </c>
      <c r="F91" s="5">
        <v>2676973.34</v>
      </c>
      <c r="G91" s="2">
        <f t="shared" si="4"/>
        <v>2677627.11</v>
      </c>
      <c r="H91" s="4">
        <f t="shared" si="5"/>
        <v>653.77000000001863</v>
      </c>
      <c r="I91">
        <f t="shared" si="6"/>
        <v>0</v>
      </c>
      <c r="J91">
        <v>280</v>
      </c>
      <c r="K91">
        <v>1</v>
      </c>
      <c r="L91" t="s">
        <v>95</v>
      </c>
      <c r="M91" s="2">
        <v>2677627.11</v>
      </c>
      <c r="N91" s="4">
        <f t="shared" si="7"/>
        <v>0</v>
      </c>
    </row>
    <row r="92" spans="1:14" x14ac:dyDescent="0.2">
      <c r="A92" t="s">
        <v>6</v>
      </c>
      <c r="B92">
        <v>281</v>
      </c>
      <c r="C92">
        <v>1</v>
      </c>
      <c r="D92" t="s">
        <v>96</v>
      </c>
      <c r="E92" s="5">
        <v>91148060.409999996</v>
      </c>
      <c r="F92" s="5">
        <v>7928601.4500000002</v>
      </c>
      <c r="G92" s="2">
        <f t="shared" si="4"/>
        <v>7930537.7599999998</v>
      </c>
      <c r="H92" s="4">
        <f t="shared" si="5"/>
        <v>1936.3099999995902</v>
      </c>
      <c r="I92">
        <f t="shared" si="6"/>
        <v>0</v>
      </c>
      <c r="J92">
        <v>281</v>
      </c>
      <c r="K92">
        <v>1</v>
      </c>
      <c r="L92" t="s">
        <v>96</v>
      </c>
      <c r="M92" s="2">
        <v>7930537.7599999998</v>
      </c>
      <c r="N92" s="4">
        <f t="shared" si="7"/>
        <v>0</v>
      </c>
    </row>
    <row r="93" spans="1:14" x14ac:dyDescent="0.2">
      <c r="A93" t="s">
        <v>6</v>
      </c>
      <c r="B93">
        <v>282</v>
      </c>
      <c r="C93">
        <v>1</v>
      </c>
      <c r="D93" t="s">
        <v>97</v>
      </c>
      <c r="E93" s="5">
        <v>11470890.85</v>
      </c>
      <c r="F93" s="5">
        <v>997806.44</v>
      </c>
      <c r="G93" s="2">
        <f t="shared" si="4"/>
        <v>998050.12</v>
      </c>
      <c r="H93" s="4">
        <f t="shared" si="5"/>
        <v>243.68000000005122</v>
      </c>
      <c r="I93">
        <f t="shared" si="6"/>
        <v>0</v>
      </c>
      <c r="J93">
        <v>282</v>
      </c>
      <c r="K93">
        <v>1</v>
      </c>
      <c r="L93" t="s">
        <v>97</v>
      </c>
      <c r="M93" s="2">
        <v>998050.12</v>
      </c>
      <c r="N93" s="4">
        <f t="shared" si="7"/>
        <v>0</v>
      </c>
    </row>
    <row r="94" spans="1:14" x14ac:dyDescent="0.2">
      <c r="A94" t="s">
        <v>6</v>
      </c>
      <c r="B94">
        <v>283</v>
      </c>
      <c r="C94">
        <v>1</v>
      </c>
      <c r="D94" t="s">
        <v>98</v>
      </c>
      <c r="E94" s="5">
        <v>29326079.850000001</v>
      </c>
      <c r="F94" s="5">
        <v>2550957.1800000002</v>
      </c>
      <c r="G94" s="2">
        <f t="shared" si="4"/>
        <v>2551580.17</v>
      </c>
      <c r="H94" s="4">
        <f t="shared" si="5"/>
        <v>622.98999999975786</v>
      </c>
      <c r="I94">
        <f t="shared" si="6"/>
        <v>0</v>
      </c>
      <c r="J94">
        <v>283</v>
      </c>
      <c r="K94">
        <v>1</v>
      </c>
      <c r="L94" t="s">
        <v>98</v>
      </c>
      <c r="M94" s="2">
        <v>2551580.17</v>
      </c>
      <c r="N94" s="4">
        <f t="shared" si="7"/>
        <v>0</v>
      </c>
    </row>
    <row r="95" spans="1:14" x14ac:dyDescent="0.2">
      <c r="A95" t="s">
        <v>6</v>
      </c>
      <c r="B95">
        <v>284</v>
      </c>
      <c r="C95">
        <v>1</v>
      </c>
      <c r="D95" t="s">
        <v>99</v>
      </c>
      <c r="E95" s="5">
        <v>66040372.5</v>
      </c>
      <c r="F95" s="5">
        <v>5744585.1399999997</v>
      </c>
      <c r="G95" s="2">
        <f t="shared" si="4"/>
        <v>5745988.0700000003</v>
      </c>
      <c r="H95" s="4">
        <f t="shared" si="5"/>
        <v>1402.9300000006333</v>
      </c>
      <c r="I95">
        <f t="shared" si="6"/>
        <v>0</v>
      </c>
      <c r="J95">
        <v>284</v>
      </c>
      <c r="K95">
        <v>1</v>
      </c>
      <c r="L95" t="s">
        <v>99</v>
      </c>
      <c r="M95" s="2">
        <v>5745988.0700000003</v>
      </c>
      <c r="N95" s="4">
        <f t="shared" si="7"/>
        <v>0</v>
      </c>
    </row>
    <row r="96" spans="1:14" x14ac:dyDescent="0.2">
      <c r="A96" t="s">
        <v>6</v>
      </c>
      <c r="B96">
        <v>286</v>
      </c>
      <c r="C96">
        <v>1</v>
      </c>
      <c r="D96" t="s">
        <v>100</v>
      </c>
      <c r="E96" s="5">
        <v>14228786.34</v>
      </c>
      <c r="F96" s="5">
        <v>1237704.6299999999</v>
      </c>
      <c r="G96" s="2">
        <f t="shared" si="4"/>
        <v>1238006.8999999999</v>
      </c>
      <c r="H96" s="4">
        <f t="shared" si="5"/>
        <v>302.27000000001863</v>
      </c>
      <c r="I96">
        <f t="shared" si="6"/>
        <v>0</v>
      </c>
      <c r="J96">
        <v>286</v>
      </c>
      <c r="K96">
        <v>1</v>
      </c>
      <c r="L96" t="s">
        <v>100</v>
      </c>
      <c r="M96" s="2">
        <v>1238006.8999999999</v>
      </c>
      <c r="N96" s="4">
        <f t="shared" si="7"/>
        <v>0</v>
      </c>
    </row>
    <row r="97" spans="1:14" x14ac:dyDescent="0.2">
      <c r="A97" t="s">
        <v>6</v>
      </c>
      <c r="B97">
        <v>294</v>
      </c>
      <c r="C97">
        <v>1</v>
      </c>
      <c r="D97" t="s">
        <v>101</v>
      </c>
      <c r="E97" s="5">
        <v>8802665.2300000004</v>
      </c>
      <c r="F97" s="5">
        <v>765708.28</v>
      </c>
      <c r="G97" s="2">
        <f t="shared" si="4"/>
        <v>765895.28</v>
      </c>
      <c r="H97" s="4">
        <f t="shared" si="5"/>
        <v>187</v>
      </c>
      <c r="I97">
        <f t="shared" si="6"/>
        <v>0</v>
      </c>
      <c r="J97">
        <v>294</v>
      </c>
      <c r="K97">
        <v>1</v>
      </c>
      <c r="L97" t="s">
        <v>101</v>
      </c>
      <c r="M97" s="2">
        <v>765895.28</v>
      </c>
      <c r="N97" s="4">
        <f t="shared" si="7"/>
        <v>0</v>
      </c>
    </row>
    <row r="98" spans="1:14" x14ac:dyDescent="0.2">
      <c r="A98" t="s">
        <v>6</v>
      </c>
      <c r="B98">
        <v>297</v>
      </c>
      <c r="C98">
        <v>1</v>
      </c>
      <c r="D98" t="s">
        <v>102</v>
      </c>
      <c r="E98" s="5">
        <v>2231786.66</v>
      </c>
      <c r="F98" s="5">
        <v>194134.1</v>
      </c>
      <c r="G98" s="2">
        <f t="shared" si="4"/>
        <v>194181.51</v>
      </c>
      <c r="H98" s="4">
        <f t="shared" si="5"/>
        <v>47.410000000003492</v>
      </c>
      <c r="I98">
        <f t="shared" si="6"/>
        <v>0</v>
      </c>
      <c r="J98">
        <v>297</v>
      </c>
      <c r="K98">
        <v>1</v>
      </c>
      <c r="L98" t="s">
        <v>102</v>
      </c>
      <c r="M98" s="2">
        <v>194181.51</v>
      </c>
      <c r="N98" s="4">
        <f t="shared" si="7"/>
        <v>0</v>
      </c>
    </row>
    <row r="99" spans="1:14" x14ac:dyDescent="0.2">
      <c r="A99" t="s">
        <v>6</v>
      </c>
      <c r="B99">
        <v>299</v>
      </c>
      <c r="C99">
        <v>1</v>
      </c>
      <c r="D99" t="s">
        <v>103</v>
      </c>
      <c r="E99" s="5">
        <v>5488022.8099999996</v>
      </c>
      <c r="F99" s="5">
        <v>477380.93</v>
      </c>
      <c r="G99" s="2">
        <f t="shared" si="4"/>
        <v>477497.51</v>
      </c>
      <c r="H99" s="4">
        <f t="shared" si="5"/>
        <v>116.5800000000163</v>
      </c>
      <c r="I99">
        <f t="shared" si="6"/>
        <v>0</v>
      </c>
      <c r="J99">
        <v>299</v>
      </c>
      <c r="K99">
        <v>1</v>
      </c>
      <c r="L99" t="s">
        <v>103</v>
      </c>
      <c r="M99" s="2">
        <v>477497.51</v>
      </c>
      <c r="N99" s="4">
        <f t="shared" si="7"/>
        <v>0</v>
      </c>
    </row>
    <row r="100" spans="1:14" x14ac:dyDescent="0.2">
      <c r="A100" t="s">
        <v>6</v>
      </c>
      <c r="B100">
        <v>300</v>
      </c>
      <c r="C100">
        <v>1</v>
      </c>
      <c r="D100" t="s">
        <v>104</v>
      </c>
      <c r="E100" s="5">
        <v>9699093.4600000009</v>
      </c>
      <c r="F100" s="5">
        <v>843684.95</v>
      </c>
      <c r="G100" s="2">
        <f t="shared" si="4"/>
        <v>843890.99</v>
      </c>
      <c r="H100" s="4">
        <f t="shared" si="5"/>
        <v>206.04000000003725</v>
      </c>
      <c r="I100">
        <f t="shared" si="6"/>
        <v>0</v>
      </c>
      <c r="J100">
        <v>300</v>
      </c>
      <c r="K100">
        <v>1</v>
      </c>
      <c r="L100" t="s">
        <v>104</v>
      </c>
      <c r="M100" s="2">
        <v>843890.99</v>
      </c>
      <c r="N100" s="4">
        <f t="shared" si="7"/>
        <v>0</v>
      </c>
    </row>
    <row r="101" spans="1:14" x14ac:dyDescent="0.2">
      <c r="A101" t="s">
        <v>6</v>
      </c>
      <c r="B101">
        <v>306</v>
      </c>
      <c r="C101">
        <v>1</v>
      </c>
      <c r="D101" t="s">
        <v>105</v>
      </c>
      <c r="E101" s="5">
        <v>2119739.52</v>
      </c>
      <c r="F101" s="5">
        <v>184387.58</v>
      </c>
      <c r="G101" s="2">
        <f t="shared" si="4"/>
        <v>184432.61</v>
      </c>
      <c r="H101" s="4">
        <f t="shared" si="5"/>
        <v>45.029999999998836</v>
      </c>
      <c r="I101">
        <f t="shared" si="6"/>
        <v>0</v>
      </c>
      <c r="J101">
        <v>306</v>
      </c>
      <c r="K101">
        <v>1</v>
      </c>
      <c r="L101" t="s">
        <v>105</v>
      </c>
      <c r="M101" s="2">
        <v>184432.61</v>
      </c>
      <c r="N101" s="4">
        <f t="shared" si="7"/>
        <v>0</v>
      </c>
    </row>
    <row r="102" spans="1:14" x14ac:dyDescent="0.2">
      <c r="A102" t="s">
        <v>6</v>
      </c>
      <c r="B102">
        <v>308</v>
      </c>
      <c r="C102">
        <v>1</v>
      </c>
      <c r="D102" t="s">
        <v>106</v>
      </c>
      <c r="E102" s="5">
        <v>3884423.44</v>
      </c>
      <c r="F102" s="5">
        <v>337890.3</v>
      </c>
      <c r="G102" s="2">
        <f t="shared" si="4"/>
        <v>337972.82</v>
      </c>
      <c r="H102" s="4">
        <f t="shared" si="5"/>
        <v>82.520000000018626</v>
      </c>
      <c r="I102">
        <f t="shared" si="6"/>
        <v>0</v>
      </c>
      <c r="J102">
        <v>308</v>
      </c>
      <c r="K102">
        <v>1</v>
      </c>
      <c r="L102" t="s">
        <v>106</v>
      </c>
      <c r="M102" s="2">
        <v>337972.82</v>
      </c>
      <c r="N102" s="4">
        <f t="shared" si="7"/>
        <v>0</v>
      </c>
    </row>
    <row r="103" spans="1:14" x14ac:dyDescent="0.2">
      <c r="A103" t="s">
        <v>6</v>
      </c>
      <c r="B103">
        <v>309</v>
      </c>
      <c r="C103">
        <v>1</v>
      </c>
      <c r="D103" t="s">
        <v>107</v>
      </c>
      <c r="E103" s="5">
        <v>11177399.99</v>
      </c>
      <c r="F103" s="5">
        <v>972276.86</v>
      </c>
      <c r="G103" s="2">
        <f t="shared" si="4"/>
        <v>972514.31</v>
      </c>
      <c r="H103" s="4">
        <f t="shared" si="5"/>
        <v>237.45000000006985</v>
      </c>
      <c r="I103">
        <f t="shared" si="6"/>
        <v>0</v>
      </c>
      <c r="J103">
        <v>309</v>
      </c>
      <c r="K103">
        <v>1</v>
      </c>
      <c r="L103" t="s">
        <v>107</v>
      </c>
      <c r="M103" s="2">
        <v>972514.31</v>
      </c>
      <c r="N103" s="4">
        <f t="shared" si="7"/>
        <v>0</v>
      </c>
    </row>
    <row r="104" spans="1:14" x14ac:dyDescent="0.2">
      <c r="A104" t="s">
        <v>6</v>
      </c>
      <c r="B104">
        <v>314</v>
      </c>
      <c r="C104">
        <v>1</v>
      </c>
      <c r="D104" t="s">
        <v>108</v>
      </c>
      <c r="E104" s="5">
        <v>6399664.2999999998</v>
      </c>
      <c r="F104" s="5">
        <v>556680.93999999994</v>
      </c>
      <c r="G104" s="2">
        <f t="shared" si="4"/>
        <v>556816.89</v>
      </c>
      <c r="H104" s="4">
        <f t="shared" si="5"/>
        <v>135.95000000006985</v>
      </c>
      <c r="I104">
        <f t="shared" si="6"/>
        <v>0</v>
      </c>
      <c r="J104">
        <v>314</v>
      </c>
      <c r="K104">
        <v>1</v>
      </c>
      <c r="L104" t="s">
        <v>108</v>
      </c>
      <c r="M104" s="2">
        <v>556816.89</v>
      </c>
      <c r="N104" s="4">
        <f t="shared" si="7"/>
        <v>0</v>
      </c>
    </row>
    <row r="105" spans="1:14" x14ac:dyDescent="0.2">
      <c r="A105" t="s">
        <v>6</v>
      </c>
      <c r="B105">
        <v>316</v>
      </c>
      <c r="C105">
        <v>1</v>
      </c>
      <c r="D105" t="s">
        <v>109</v>
      </c>
      <c r="E105" s="5">
        <v>8233106.9100000001</v>
      </c>
      <c r="F105" s="5">
        <v>716164.7</v>
      </c>
      <c r="G105" s="2">
        <f t="shared" si="4"/>
        <v>716339.6</v>
      </c>
      <c r="H105" s="4">
        <f t="shared" si="5"/>
        <v>174.90000000002328</v>
      </c>
      <c r="I105">
        <f t="shared" si="6"/>
        <v>0</v>
      </c>
      <c r="J105">
        <v>316</v>
      </c>
      <c r="K105">
        <v>1</v>
      </c>
      <c r="L105" t="s">
        <v>109</v>
      </c>
      <c r="M105" s="2">
        <v>716339.6</v>
      </c>
      <c r="N105" s="4">
        <f t="shared" si="7"/>
        <v>0</v>
      </c>
    </row>
    <row r="106" spans="1:14" x14ac:dyDescent="0.2">
      <c r="A106" t="s">
        <v>6</v>
      </c>
      <c r="B106">
        <v>317</v>
      </c>
      <c r="C106">
        <v>1</v>
      </c>
      <c r="D106" t="s">
        <v>110</v>
      </c>
      <c r="E106" s="5">
        <v>7217422.3099999996</v>
      </c>
      <c r="F106" s="5">
        <v>627814.40000000002</v>
      </c>
      <c r="G106" s="2">
        <f t="shared" si="4"/>
        <v>627967.73</v>
      </c>
      <c r="H106" s="4">
        <f t="shared" si="5"/>
        <v>153.32999999995809</v>
      </c>
      <c r="I106">
        <f t="shared" si="6"/>
        <v>0</v>
      </c>
      <c r="J106">
        <v>317</v>
      </c>
      <c r="K106">
        <v>1</v>
      </c>
      <c r="L106" t="s">
        <v>110</v>
      </c>
      <c r="M106" s="2">
        <v>627967.73</v>
      </c>
      <c r="N106" s="4">
        <f t="shared" si="7"/>
        <v>0</v>
      </c>
    </row>
    <row r="107" spans="1:14" x14ac:dyDescent="0.2">
      <c r="A107" t="s">
        <v>6</v>
      </c>
      <c r="B107">
        <v>318</v>
      </c>
      <c r="C107">
        <v>1</v>
      </c>
      <c r="D107" t="s">
        <v>111</v>
      </c>
      <c r="E107" s="5">
        <v>26819494.870000001</v>
      </c>
      <c r="F107" s="5">
        <v>2332919.48</v>
      </c>
      <c r="G107" s="2">
        <f t="shared" si="4"/>
        <v>2333489.2200000002</v>
      </c>
      <c r="H107" s="4">
        <f t="shared" si="5"/>
        <v>569.74000000022352</v>
      </c>
      <c r="I107">
        <f t="shared" si="6"/>
        <v>0</v>
      </c>
      <c r="J107">
        <v>318</v>
      </c>
      <c r="K107">
        <v>1</v>
      </c>
      <c r="L107" t="s">
        <v>111</v>
      </c>
      <c r="M107" s="2">
        <v>2333489.2200000002</v>
      </c>
      <c r="N107" s="4">
        <f t="shared" si="7"/>
        <v>0</v>
      </c>
    </row>
    <row r="108" spans="1:14" x14ac:dyDescent="0.2">
      <c r="A108" t="s">
        <v>6</v>
      </c>
      <c r="B108">
        <v>319</v>
      </c>
      <c r="C108">
        <v>1</v>
      </c>
      <c r="D108" t="s">
        <v>112</v>
      </c>
      <c r="E108" s="5">
        <v>4504709.0599999996</v>
      </c>
      <c r="F108" s="5">
        <v>391846.44</v>
      </c>
      <c r="G108" s="2">
        <f t="shared" si="4"/>
        <v>391942.13</v>
      </c>
      <c r="H108" s="4">
        <f t="shared" si="5"/>
        <v>95.690000000002328</v>
      </c>
      <c r="I108">
        <f t="shared" si="6"/>
        <v>0</v>
      </c>
      <c r="J108">
        <v>319</v>
      </c>
      <c r="K108">
        <v>1</v>
      </c>
      <c r="L108" t="s">
        <v>112</v>
      </c>
      <c r="M108" s="2">
        <v>391942.13</v>
      </c>
      <c r="N108" s="4">
        <f t="shared" si="7"/>
        <v>0</v>
      </c>
    </row>
    <row r="109" spans="1:14" x14ac:dyDescent="0.2">
      <c r="A109" t="s">
        <v>6</v>
      </c>
      <c r="B109">
        <v>323</v>
      </c>
      <c r="C109">
        <v>2</v>
      </c>
      <c r="D109" t="s">
        <v>113</v>
      </c>
      <c r="E109" s="5">
        <v>217007.94</v>
      </c>
      <c r="F109" s="5">
        <v>18876.64</v>
      </c>
      <c r="G109" s="2">
        <f t="shared" si="4"/>
        <v>18881.25</v>
      </c>
      <c r="H109" s="4">
        <f t="shared" si="5"/>
        <v>4.6100000000005821</v>
      </c>
      <c r="I109">
        <f t="shared" si="6"/>
        <v>0</v>
      </c>
      <c r="J109">
        <v>323</v>
      </c>
      <c r="K109">
        <v>2</v>
      </c>
      <c r="L109" t="s">
        <v>113</v>
      </c>
      <c r="M109" s="2">
        <v>18881.25</v>
      </c>
      <c r="N109" s="4">
        <f t="shared" si="7"/>
        <v>0</v>
      </c>
    </row>
    <row r="110" spans="1:14" x14ac:dyDescent="0.2">
      <c r="A110" t="s">
        <v>6</v>
      </c>
      <c r="B110">
        <v>330</v>
      </c>
      <c r="C110">
        <v>1</v>
      </c>
      <c r="D110" t="s">
        <v>114</v>
      </c>
      <c r="E110" s="5">
        <v>2560127.5</v>
      </c>
      <c r="F110" s="5">
        <v>222695.15</v>
      </c>
      <c r="G110" s="2">
        <f t="shared" si="4"/>
        <v>222749.53</v>
      </c>
      <c r="H110" s="4">
        <f t="shared" si="5"/>
        <v>54.380000000004657</v>
      </c>
      <c r="I110">
        <f t="shared" si="6"/>
        <v>0</v>
      </c>
      <c r="J110">
        <v>330</v>
      </c>
      <c r="K110">
        <v>1</v>
      </c>
      <c r="L110" t="s">
        <v>114</v>
      </c>
      <c r="M110" s="2">
        <v>222749.53</v>
      </c>
      <c r="N110" s="4">
        <f t="shared" si="7"/>
        <v>0</v>
      </c>
    </row>
    <row r="111" spans="1:14" x14ac:dyDescent="0.2">
      <c r="A111" t="s">
        <v>6</v>
      </c>
      <c r="B111">
        <v>332</v>
      </c>
      <c r="C111">
        <v>1</v>
      </c>
      <c r="D111" t="s">
        <v>115</v>
      </c>
      <c r="E111" s="5">
        <v>12738160.710000001</v>
      </c>
      <c r="F111" s="5">
        <v>1108041.1299999999</v>
      </c>
      <c r="G111" s="2">
        <f t="shared" si="4"/>
        <v>1108311.73</v>
      </c>
      <c r="H111" s="4">
        <f t="shared" si="5"/>
        <v>270.60000000009313</v>
      </c>
      <c r="I111">
        <f t="shared" si="6"/>
        <v>0</v>
      </c>
      <c r="J111">
        <v>332</v>
      </c>
      <c r="K111">
        <v>1</v>
      </c>
      <c r="L111" t="s">
        <v>115</v>
      </c>
      <c r="M111" s="2">
        <v>1108311.73</v>
      </c>
      <c r="N111" s="4">
        <f t="shared" si="7"/>
        <v>0</v>
      </c>
    </row>
    <row r="112" spans="1:14" x14ac:dyDescent="0.2">
      <c r="A112" t="s">
        <v>6</v>
      </c>
      <c r="B112">
        <v>333</v>
      </c>
      <c r="C112">
        <v>1</v>
      </c>
      <c r="D112" t="s">
        <v>116</v>
      </c>
      <c r="E112" s="5">
        <v>4420792.7</v>
      </c>
      <c r="F112" s="5">
        <v>384546.89</v>
      </c>
      <c r="G112" s="2">
        <f t="shared" si="4"/>
        <v>384640.81</v>
      </c>
      <c r="H112" s="4">
        <f t="shared" si="5"/>
        <v>93.919999999983702</v>
      </c>
      <c r="I112">
        <f t="shared" si="6"/>
        <v>0</v>
      </c>
      <c r="J112">
        <v>333</v>
      </c>
      <c r="K112">
        <v>1</v>
      </c>
      <c r="L112" t="s">
        <v>116</v>
      </c>
      <c r="M112" s="2">
        <v>384640.81</v>
      </c>
      <c r="N112" s="4">
        <f t="shared" si="7"/>
        <v>0</v>
      </c>
    </row>
    <row r="113" spans="1:14" x14ac:dyDescent="0.2">
      <c r="A113" t="s">
        <v>6</v>
      </c>
      <c r="B113">
        <v>345</v>
      </c>
      <c r="C113">
        <v>1</v>
      </c>
      <c r="D113" t="s">
        <v>117</v>
      </c>
      <c r="E113" s="5">
        <v>10401678.189999999</v>
      </c>
      <c r="F113" s="5">
        <v>904799.95</v>
      </c>
      <c r="G113" s="2">
        <f t="shared" si="4"/>
        <v>905020.92</v>
      </c>
      <c r="H113" s="4">
        <f t="shared" si="5"/>
        <v>220.97000000008848</v>
      </c>
      <c r="I113">
        <f t="shared" si="6"/>
        <v>0</v>
      </c>
      <c r="J113">
        <v>345</v>
      </c>
      <c r="K113">
        <v>1</v>
      </c>
      <c r="L113" t="s">
        <v>117</v>
      </c>
      <c r="M113" s="2">
        <v>905020.92</v>
      </c>
      <c r="N113" s="4">
        <f t="shared" si="7"/>
        <v>0</v>
      </c>
    </row>
    <row r="114" spans="1:14" x14ac:dyDescent="0.2">
      <c r="A114" t="s">
        <v>6</v>
      </c>
      <c r="B114">
        <v>347</v>
      </c>
      <c r="C114">
        <v>1</v>
      </c>
      <c r="D114" t="s">
        <v>118</v>
      </c>
      <c r="E114" s="5">
        <v>29359812.899999999</v>
      </c>
      <c r="F114" s="5">
        <v>2553891.48</v>
      </c>
      <c r="G114" s="2">
        <f t="shared" si="4"/>
        <v>2554515.19</v>
      </c>
      <c r="H114" s="4">
        <f t="shared" si="5"/>
        <v>623.70999999996275</v>
      </c>
      <c r="I114">
        <f t="shared" si="6"/>
        <v>0</v>
      </c>
      <c r="J114">
        <v>347</v>
      </c>
      <c r="K114">
        <v>1</v>
      </c>
      <c r="L114" t="s">
        <v>118</v>
      </c>
      <c r="M114" s="2">
        <v>2554515.19</v>
      </c>
      <c r="N114" s="4">
        <f t="shared" si="7"/>
        <v>0</v>
      </c>
    </row>
    <row r="115" spans="1:14" x14ac:dyDescent="0.2">
      <c r="A115" t="s">
        <v>6</v>
      </c>
      <c r="B115">
        <v>356</v>
      </c>
      <c r="C115">
        <v>1</v>
      </c>
      <c r="D115" t="s">
        <v>119</v>
      </c>
      <c r="E115" s="5">
        <v>1626425.79</v>
      </c>
      <c r="F115" s="5">
        <v>141476.21</v>
      </c>
      <c r="G115" s="2">
        <f t="shared" si="4"/>
        <v>141510.76</v>
      </c>
      <c r="H115" s="4">
        <f t="shared" si="5"/>
        <v>34.550000000017462</v>
      </c>
      <c r="I115">
        <f t="shared" si="6"/>
        <v>0</v>
      </c>
      <c r="J115">
        <v>356</v>
      </c>
      <c r="K115">
        <v>1</v>
      </c>
      <c r="L115" t="s">
        <v>119</v>
      </c>
      <c r="M115" s="2">
        <v>141510.76</v>
      </c>
      <c r="N115" s="4">
        <f t="shared" si="7"/>
        <v>0</v>
      </c>
    </row>
    <row r="116" spans="1:14" x14ac:dyDescent="0.2">
      <c r="A116" t="s">
        <v>6</v>
      </c>
      <c r="B116">
        <v>361</v>
      </c>
      <c r="C116">
        <v>1</v>
      </c>
      <c r="D116" t="s">
        <v>120</v>
      </c>
      <c r="E116" s="5">
        <v>9422960.7200000007</v>
      </c>
      <c r="F116" s="5">
        <v>819665.28</v>
      </c>
      <c r="G116" s="2">
        <f t="shared" si="4"/>
        <v>819865.45</v>
      </c>
      <c r="H116" s="4">
        <f t="shared" si="5"/>
        <v>200.16999999992549</v>
      </c>
      <c r="I116">
        <f t="shared" si="6"/>
        <v>0</v>
      </c>
      <c r="J116">
        <v>361</v>
      </c>
      <c r="K116">
        <v>1</v>
      </c>
      <c r="L116" t="s">
        <v>120</v>
      </c>
      <c r="M116" s="2">
        <v>819865.45</v>
      </c>
      <c r="N116" s="4">
        <f t="shared" si="7"/>
        <v>0</v>
      </c>
    </row>
    <row r="117" spans="1:14" x14ac:dyDescent="0.2">
      <c r="A117" t="s">
        <v>6</v>
      </c>
      <c r="B117">
        <v>362</v>
      </c>
      <c r="C117">
        <v>1</v>
      </c>
      <c r="D117" t="s">
        <v>121</v>
      </c>
      <c r="E117" s="5">
        <v>3087047.56</v>
      </c>
      <c r="F117" s="5">
        <v>268529.78999999998</v>
      </c>
      <c r="G117" s="2">
        <f t="shared" si="4"/>
        <v>268595.37</v>
      </c>
      <c r="H117" s="4">
        <f t="shared" si="5"/>
        <v>65.580000000016298</v>
      </c>
      <c r="I117">
        <f t="shared" si="6"/>
        <v>0</v>
      </c>
      <c r="J117">
        <v>362</v>
      </c>
      <c r="K117">
        <v>1</v>
      </c>
      <c r="L117" t="s">
        <v>121</v>
      </c>
      <c r="M117" s="2">
        <v>268595.37</v>
      </c>
      <c r="N117" s="4">
        <f t="shared" si="7"/>
        <v>0</v>
      </c>
    </row>
    <row r="118" spans="1:14" x14ac:dyDescent="0.2">
      <c r="A118" t="s">
        <v>6</v>
      </c>
      <c r="B118">
        <v>363</v>
      </c>
      <c r="C118">
        <v>1</v>
      </c>
      <c r="D118" t="s">
        <v>122</v>
      </c>
      <c r="E118" s="5">
        <v>4076213.88</v>
      </c>
      <c r="F118" s="5">
        <v>354573.37</v>
      </c>
      <c r="G118" s="2">
        <f t="shared" si="4"/>
        <v>354659.97</v>
      </c>
      <c r="H118" s="4">
        <f t="shared" si="5"/>
        <v>86.599999999976717</v>
      </c>
      <c r="I118">
        <f t="shared" si="6"/>
        <v>0</v>
      </c>
      <c r="J118">
        <v>363</v>
      </c>
      <c r="K118">
        <v>1</v>
      </c>
      <c r="L118" t="s">
        <v>122</v>
      </c>
      <c r="M118" s="2">
        <v>354659.97</v>
      </c>
      <c r="N118" s="4">
        <f t="shared" si="7"/>
        <v>0</v>
      </c>
    </row>
    <row r="119" spans="1:14" x14ac:dyDescent="0.2">
      <c r="A119" t="s">
        <v>6</v>
      </c>
      <c r="B119">
        <v>378</v>
      </c>
      <c r="C119">
        <v>1</v>
      </c>
      <c r="D119" t="s">
        <v>123</v>
      </c>
      <c r="E119" s="5">
        <v>3531957.89</v>
      </c>
      <c r="F119" s="5">
        <v>307230.74</v>
      </c>
      <c r="G119" s="2">
        <f t="shared" si="4"/>
        <v>307305.78000000003</v>
      </c>
      <c r="H119" s="4">
        <f t="shared" si="5"/>
        <v>75.040000000037253</v>
      </c>
      <c r="I119">
        <f t="shared" si="6"/>
        <v>0</v>
      </c>
      <c r="J119">
        <v>378</v>
      </c>
      <c r="K119">
        <v>1</v>
      </c>
      <c r="L119" t="s">
        <v>123</v>
      </c>
      <c r="M119" s="2">
        <v>307305.78000000003</v>
      </c>
      <c r="N119" s="4">
        <f t="shared" si="7"/>
        <v>0</v>
      </c>
    </row>
    <row r="120" spans="1:14" x14ac:dyDescent="0.2">
      <c r="A120" t="s">
        <v>6</v>
      </c>
      <c r="B120">
        <v>381</v>
      </c>
      <c r="C120">
        <v>1</v>
      </c>
      <c r="D120" t="s">
        <v>124</v>
      </c>
      <c r="E120" s="5">
        <v>11052067.960000001</v>
      </c>
      <c r="F120" s="5">
        <v>961374.73</v>
      </c>
      <c r="G120" s="2">
        <f t="shared" si="4"/>
        <v>961609.52</v>
      </c>
      <c r="H120" s="4">
        <f t="shared" si="5"/>
        <v>234.79000000003725</v>
      </c>
      <c r="I120">
        <f t="shared" si="6"/>
        <v>0</v>
      </c>
      <c r="J120">
        <v>381</v>
      </c>
      <c r="K120">
        <v>1</v>
      </c>
      <c r="L120" t="s">
        <v>124</v>
      </c>
      <c r="M120" s="2">
        <v>961609.52</v>
      </c>
      <c r="N120" s="4">
        <f t="shared" si="7"/>
        <v>0</v>
      </c>
    </row>
    <row r="121" spans="1:14" x14ac:dyDescent="0.2">
      <c r="A121" t="s">
        <v>6</v>
      </c>
      <c r="B121">
        <v>390</v>
      </c>
      <c r="C121">
        <v>1</v>
      </c>
      <c r="D121" t="s">
        <v>125</v>
      </c>
      <c r="E121" s="5">
        <v>4422877.1500000004</v>
      </c>
      <c r="F121" s="5">
        <v>384728.21</v>
      </c>
      <c r="G121" s="2">
        <f t="shared" si="4"/>
        <v>384822.17</v>
      </c>
      <c r="H121" s="4">
        <f t="shared" si="5"/>
        <v>93.959999999962747</v>
      </c>
      <c r="I121">
        <f t="shared" si="6"/>
        <v>0</v>
      </c>
      <c r="J121">
        <v>390</v>
      </c>
      <c r="K121">
        <v>1</v>
      </c>
      <c r="L121" t="s">
        <v>125</v>
      </c>
      <c r="M121" s="2">
        <v>384822.17</v>
      </c>
      <c r="N121" s="4">
        <f t="shared" si="7"/>
        <v>0</v>
      </c>
    </row>
    <row r="122" spans="1:14" x14ac:dyDescent="0.2">
      <c r="A122" t="s">
        <v>6</v>
      </c>
      <c r="B122">
        <v>391</v>
      </c>
      <c r="C122">
        <v>1</v>
      </c>
      <c r="D122" t="s">
        <v>126</v>
      </c>
      <c r="E122" s="5">
        <v>2798971.7</v>
      </c>
      <c r="F122" s="5">
        <v>243471.24</v>
      </c>
      <c r="G122" s="2">
        <f t="shared" si="4"/>
        <v>243530.7</v>
      </c>
      <c r="H122" s="4">
        <f t="shared" si="5"/>
        <v>59.460000000020955</v>
      </c>
      <c r="I122">
        <f t="shared" si="6"/>
        <v>0</v>
      </c>
      <c r="J122">
        <v>391</v>
      </c>
      <c r="K122">
        <v>1</v>
      </c>
      <c r="L122" t="s">
        <v>126</v>
      </c>
      <c r="M122" s="2">
        <v>243530.7</v>
      </c>
      <c r="N122" s="4">
        <f t="shared" si="7"/>
        <v>0</v>
      </c>
    </row>
    <row r="123" spans="1:14" x14ac:dyDescent="0.2">
      <c r="A123" t="s">
        <v>6</v>
      </c>
      <c r="B123">
        <v>392</v>
      </c>
      <c r="C123">
        <v>1</v>
      </c>
      <c r="D123" t="s">
        <v>127</v>
      </c>
      <c r="E123" s="5">
        <v>4551734.74</v>
      </c>
      <c r="F123" s="5">
        <v>395937.01</v>
      </c>
      <c r="G123" s="2">
        <f t="shared" si="4"/>
        <v>396033.71</v>
      </c>
      <c r="H123" s="4">
        <f t="shared" si="5"/>
        <v>96.700000000011642</v>
      </c>
      <c r="I123">
        <f t="shared" si="6"/>
        <v>0</v>
      </c>
      <c r="J123">
        <v>392</v>
      </c>
      <c r="K123">
        <v>1</v>
      </c>
      <c r="L123" t="s">
        <v>127</v>
      </c>
      <c r="M123" s="2">
        <v>396033.71</v>
      </c>
      <c r="N123" s="4">
        <f t="shared" si="7"/>
        <v>0</v>
      </c>
    </row>
    <row r="124" spans="1:14" x14ac:dyDescent="0.2">
      <c r="A124" t="s">
        <v>6</v>
      </c>
      <c r="B124">
        <v>394</v>
      </c>
      <c r="C124">
        <v>1</v>
      </c>
      <c r="D124" t="s">
        <v>128</v>
      </c>
      <c r="E124" s="5">
        <v>7140942.3399999999</v>
      </c>
      <c r="F124" s="5">
        <v>621161.72</v>
      </c>
      <c r="G124" s="2">
        <f t="shared" si="4"/>
        <v>621313.42000000004</v>
      </c>
      <c r="H124" s="4">
        <f t="shared" si="5"/>
        <v>151.70000000006985</v>
      </c>
      <c r="I124">
        <f t="shared" si="6"/>
        <v>0</v>
      </c>
      <c r="J124">
        <v>394</v>
      </c>
      <c r="K124">
        <v>1</v>
      </c>
      <c r="L124" t="s">
        <v>128</v>
      </c>
      <c r="M124" s="2">
        <v>621313.42000000004</v>
      </c>
      <c r="N124" s="4">
        <f t="shared" si="7"/>
        <v>0</v>
      </c>
    </row>
    <row r="125" spans="1:14" x14ac:dyDescent="0.2">
      <c r="A125" t="s">
        <v>6</v>
      </c>
      <c r="B125">
        <v>402</v>
      </c>
      <c r="C125">
        <v>1</v>
      </c>
      <c r="D125" t="s">
        <v>129</v>
      </c>
      <c r="E125" s="5">
        <v>1196663.1299999999</v>
      </c>
      <c r="F125" s="5">
        <v>104092.89</v>
      </c>
      <c r="G125" s="2">
        <f t="shared" si="4"/>
        <v>104118.31</v>
      </c>
      <c r="H125" s="4">
        <f t="shared" si="5"/>
        <v>25.419999999998254</v>
      </c>
      <c r="I125">
        <f t="shared" si="6"/>
        <v>0</v>
      </c>
      <c r="J125">
        <v>402</v>
      </c>
      <c r="K125">
        <v>1</v>
      </c>
      <c r="L125" t="s">
        <v>129</v>
      </c>
      <c r="M125" s="2">
        <v>104118.31</v>
      </c>
      <c r="N125" s="4">
        <f t="shared" si="7"/>
        <v>0</v>
      </c>
    </row>
    <row r="126" spans="1:14" x14ac:dyDescent="0.2">
      <c r="A126" t="s">
        <v>6</v>
      </c>
      <c r="B126">
        <v>403</v>
      </c>
      <c r="C126">
        <v>1</v>
      </c>
      <c r="D126" t="s">
        <v>130</v>
      </c>
      <c r="E126" s="5">
        <v>1318825.54</v>
      </c>
      <c r="F126" s="5">
        <v>114719.3</v>
      </c>
      <c r="G126" s="2">
        <f t="shared" si="4"/>
        <v>114747.32</v>
      </c>
      <c r="H126" s="4">
        <f t="shared" si="5"/>
        <v>28.020000000004075</v>
      </c>
      <c r="I126">
        <f t="shared" si="6"/>
        <v>0</v>
      </c>
      <c r="J126">
        <v>403</v>
      </c>
      <c r="K126">
        <v>1</v>
      </c>
      <c r="L126" t="s">
        <v>130</v>
      </c>
      <c r="M126" s="2">
        <v>114747.32</v>
      </c>
      <c r="N126" s="4">
        <f t="shared" si="7"/>
        <v>0</v>
      </c>
    </row>
    <row r="127" spans="1:14" x14ac:dyDescent="0.2">
      <c r="A127" t="s">
        <v>6</v>
      </c>
      <c r="B127">
        <v>404</v>
      </c>
      <c r="C127">
        <v>1</v>
      </c>
      <c r="D127" t="s">
        <v>131</v>
      </c>
      <c r="E127" s="5">
        <v>1399461.63</v>
      </c>
      <c r="F127" s="5">
        <v>121733.51</v>
      </c>
      <c r="G127" s="2">
        <f t="shared" si="4"/>
        <v>121763.24</v>
      </c>
      <c r="H127" s="4">
        <f t="shared" si="5"/>
        <v>29.730000000010477</v>
      </c>
      <c r="I127">
        <f t="shared" si="6"/>
        <v>0</v>
      </c>
      <c r="J127">
        <v>404</v>
      </c>
      <c r="K127">
        <v>1</v>
      </c>
      <c r="L127" t="s">
        <v>131</v>
      </c>
      <c r="M127" s="2">
        <v>121763.24</v>
      </c>
      <c r="N127" s="4">
        <f t="shared" si="7"/>
        <v>0</v>
      </c>
    </row>
    <row r="128" spans="1:14" x14ac:dyDescent="0.2">
      <c r="A128" t="s">
        <v>6</v>
      </c>
      <c r="B128">
        <v>413</v>
      </c>
      <c r="C128">
        <v>1</v>
      </c>
      <c r="D128" t="s">
        <v>132</v>
      </c>
      <c r="E128" s="5">
        <v>15409387.460000001</v>
      </c>
      <c r="F128" s="5">
        <v>1340400.3500000001</v>
      </c>
      <c r="G128" s="2">
        <f t="shared" si="4"/>
        <v>1340727.7</v>
      </c>
      <c r="H128" s="4">
        <f t="shared" si="5"/>
        <v>327.3499999998603</v>
      </c>
      <c r="I128">
        <f t="shared" si="6"/>
        <v>0</v>
      </c>
      <c r="J128">
        <v>413</v>
      </c>
      <c r="K128">
        <v>1</v>
      </c>
      <c r="L128" t="s">
        <v>132</v>
      </c>
      <c r="M128" s="2">
        <v>1340727.7</v>
      </c>
      <c r="N128" s="4">
        <f t="shared" si="7"/>
        <v>0</v>
      </c>
    </row>
    <row r="129" spans="1:14" x14ac:dyDescent="0.2">
      <c r="A129" t="s">
        <v>6</v>
      </c>
      <c r="B129">
        <v>414</v>
      </c>
      <c r="C129">
        <v>1</v>
      </c>
      <c r="D129" t="s">
        <v>133</v>
      </c>
      <c r="E129" s="5">
        <v>3266306.58</v>
      </c>
      <c r="F129" s="5">
        <v>284122.81</v>
      </c>
      <c r="G129" s="2">
        <f t="shared" si="4"/>
        <v>284192.2</v>
      </c>
      <c r="H129" s="4">
        <f t="shared" si="5"/>
        <v>69.39000000001397</v>
      </c>
      <c r="I129">
        <f t="shared" si="6"/>
        <v>0</v>
      </c>
      <c r="J129">
        <v>414</v>
      </c>
      <c r="K129">
        <v>1</v>
      </c>
      <c r="L129" t="s">
        <v>133</v>
      </c>
      <c r="M129" s="2">
        <v>284192.2</v>
      </c>
      <c r="N129" s="4">
        <f t="shared" si="7"/>
        <v>0</v>
      </c>
    </row>
    <row r="130" spans="1:14" x14ac:dyDescent="0.2">
      <c r="A130" t="s">
        <v>6</v>
      </c>
      <c r="B130">
        <v>415</v>
      </c>
      <c r="C130">
        <v>1</v>
      </c>
      <c r="D130" t="s">
        <v>134</v>
      </c>
      <c r="E130" s="5">
        <v>1275318.8600000001</v>
      </c>
      <c r="F130" s="5">
        <v>110934.83</v>
      </c>
      <c r="G130" s="2">
        <f t="shared" si="4"/>
        <v>110961.93</v>
      </c>
      <c r="H130" s="4">
        <f t="shared" si="5"/>
        <v>27.099999999991269</v>
      </c>
      <c r="I130">
        <f t="shared" si="6"/>
        <v>0</v>
      </c>
      <c r="J130">
        <v>415</v>
      </c>
      <c r="K130">
        <v>1</v>
      </c>
      <c r="L130" t="s">
        <v>134</v>
      </c>
      <c r="M130" s="2">
        <v>110961.93</v>
      </c>
      <c r="N130" s="4">
        <f t="shared" si="7"/>
        <v>0</v>
      </c>
    </row>
    <row r="131" spans="1:14" x14ac:dyDescent="0.2">
      <c r="A131" t="s">
        <v>6</v>
      </c>
      <c r="B131">
        <v>423</v>
      </c>
      <c r="C131">
        <v>1</v>
      </c>
      <c r="D131" t="s">
        <v>135</v>
      </c>
      <c r="E131" s="5">
        <v>19405960.469999999</v>
      </c>
      <c r="F131" s="5">
        <v>1688046.08</v>
      </c>
      <c r="G131" s="2">
        <f t="shared" si="4"/>
        <v>1688458.33</v>
      </c>
      <c r="H131" s="4">
        <f t="shared" si="5"/>
        <v>412.25</v>
      </c>
      <c r="I131">
        <f t="shared" si="6"/>
        <v>0</v>
      </c>
      <c r="J131">
        <v>423</v>
      </c>
      <c r="K131">
        <v>1</v>
      </c>
      <c r="L131" t="s">
        <v>135</v>
      </c>
      <c r="M131" s="2">
        <v>1688458.33</v>
      </c>
      <c r="N131" s="4">
        <f t="shared" si="7"/>
        <v>0</v>
      </c>
    </row>
    <row r="132" spans="1:14" x14ac:dyDescent="0.2">
      <c r="A132" t="s">
        <v>6</v>
      </c>
      <c r="B132">
        <v>424</v>
      </c>
      <c r="C132">
        <v>1</v>
      </c>
      <c r="D132" t="s">
        <v>136</v>
      </c>
      <c r="E132" s="5">
        <v>2963244.29</v>
      </c>
      <c r="F132" s="5">
        <v>257760.65</v>
      </c>
      <c r="G132" s="2">
        <f t="shared" ref="G132:G195" si="8">ROUND(E132*$G$485,2)</f>
        <v>257823.6</v>
      </c>
      <c r="H132" s="4">
        <f t="shared" ref="H132:H195" si="9">G132-F132</f>
        <v>62.950000000011642</v>
      </c>
      <c r="I132">
        <f t="shared" ref="I132:I195" si="10">J132-B132</f>
        <v>0</v>
      </c>
      <c r="J132">
        <v>424</v>
      </c>
      <c r="K132">
        <v>1</v>
      </c>
      <c r="L132" t="s">
        <v>136</v>
      </c>
      <c r="M132" s="2">
        <v>257823.6</v>
      </c>
      <c r="N132" s="4">
        <f t="shared" ref="N132:N195" si="11">M132-G132</f>
        <v>0</v>
      </c>
    </row>
    <row r="133" spans="1:14" x14ac:dyDescent="0.2">
      <c r="A133" t="s">
        <v>6</v>
      </c>
      <c r="B133">
        <v>432</v>
      </c>
      <c r="C133">
        <v>1</v>
      </c>
      <c r="D133" t="s">
        <v>137</v>
      </c>
      <c r="E133" s="5">
        <v>5400865.3300000001</v>
      </c>
      <c r="F133" s="5">
        <v>469799.45</v>
      </c>
      <c r="G133" s="2">
        <f t="shared" si="8"/>
        <v>469914.18</v>
      </c>
      <c r="H133" s="4">
        <f t="shared" si="9"/>
        <v>114.72999999998137</v>
      </c>
      <c r="I133">
        <f t="shared" si="10"/>
        <v>0</v>
      </c>
      <c r="J133">
        <v>432</v>
      </c>
      <c r="K133">
        <v>1</v>
      </c>
      <c r="L133" t="s">
        <v>137</v>
      </c>
      <c r="M133" s="2">
        <v>469914.18</v>
      </c>
      <c r="N133" s="4">
        <f t="shared" si="11"/>
        <v>0</v>
      </c>
    </row>
    <row r="134" spans="1:14" x14ac:dyDescent="0.2">
      <c r="A134" t="s">
        <v>6</v>
      </c>
      <c r="B134">
        <v>435</v>
      </c>
      <c r="C134">
        <v>1</v>
      </c>
      <c r="D134" t="s">
        <v>138</v>
      </c>
      <c r="E134" s="5">
        <v>5138450.3099999996</v>
      </c>
      <c r="F134" s="5">
        <v>446973.03</v>
      </c>
      <c r="G134" s="2">
        <f t="shared" si="8"/>
        <v>447082.19</v>
      </c>
      <c r="H134" s="4">
        <f t="shared" si="9"/>
        <v>109.15999999997439</v>
      </c>
      <c r="I134">
        <f t="shared" si="10"/>
        <v>0</v>
      </c>
      <c r="J134">
        <v>435</v>
      </c>
      <c r="K134">
        <v>1</v>
      </c>
      <c r="L134" t="s">
        <v>138</v>
      </c>
      <c r="M134" s="2">
        <v>447082.19</v>
      </c>
      <c r="N134" s="4">
        <f t="shared" si="11"/>
        <v>0</v>
      </c>
    </row>
    <row r="135" spans="1:14" x14ac:dyDescent="0.2">
      <c r="A135" t="s">
        <v>6</v>
      </c>
      <c r="B135">
        <v>441</v>
      </c>
      <c r="C135">
        <v>1</v>
      </c>
      <c r="D135" t="s">
        <v>139</v>
      </c>
      <c r="E135" s="5">
        <v>3070229.57</v>
      </c>
      <c r="F135" s="5">
        <v>267066.86</v>
      </c>
      <c r="G135" s="2">
        <f t="shared" si="8"/>
        <v>267132.09000000003</v>
      </c>
      <c r="H135" s="4">
        <f t="shared" si="9"/>
        <v>65.230000000039581</v>
      </c>
      <c r="I135">
        <f t="shared" si="10"/>
        <v>0</v>
      </c>
      <c r="J135">
        <v>441</v>
      </c>
      <c r="K135">
        <v>1</v>
      </c>
      <c r="L135" t="s">
        <v>139</v>
      </c>
      <c r="M135" s="2">
        <v>267132.09000000003</v>
      </c>
      <c r="N135" s="4">
        <f t="shared" si="11"/>
        <v>0</v>
      </c>
    </row>
    <row r="136" spans="1:14" x14ac:dyDescent="0.2">
      <c r="A136" t="s">
        <v>6</v>
      </c>
      <c r="B136">
        <v>447</v>
      </c>
      <c r="C136">
        <v>1</v>
      </c>
      <c r="D136" t="s">
        <v>140</v>
      </c>
      <c r="E136" s="5">
        <v>2165896.7999999998</v>
      </c>
      <c r="F136" s="5">
        <v>188402.61</v>
      </c>
      <c r="G136" s="2">
        <f t="shared" si="8"/>
        <v>188448.62</v>
      </c>
      <c r="H136" s="4">
        <f t="shared" si="9"/>
        <v>46.010000000009313</v>
      </c>
      <c r="I136">
        <f t="shared" si="10"/>
        <v>0</v>
      </c>
      <c r="J136">
        <v>447</v>
      </c>
      <c r="K136">
        <v>1</v>
      </c>
      <c r="L136" t="s">
        <v>140</v>
      </c>
      <c r="M136" s="2">
        <v>188448.62</v>
      </c>
      <c r="N136" s="4">
        <f t="shared" si="11"/>
        <v>0</v>
      </c>
    </row>
    <row r="137" spans="1:14" x14ac:dyDescent="0.2">
      <c r="A137" t="s">
        <v>6</v>
      </c>
      <c r="B137">
        <v>458</v>
      </c>
      <c r="C137">
        <v>1</v>
      </c>
      <c r="D137" t="s">
        <v>141</v>
      </c>
      <c r="E137" s="5">
        <v>2373910.94</v>
      </c>
      <c r="F137" s="5">
        <v>206496.92</v>
      </c>
      <c r="G137" s="2">
        <f t="shared" si="8"/>
        <v>206547.35</v>
      </c>
      <c r="H137" s="4">
        <f t="shared" si="9"/>
        <v>50.429999999993015</v>
      </c>
      <c r="I137">
        <f t="shared" si="10"/>
        <v>0</v>
      </c>
      <c r="J137">
        <v>458</v>
      </c>
      <c r="K137">
        <v>1</v>
      </c>
      <c r="L137" t="s">
        <v>141</v>
      </c>
      <c r="M137" s="2">
        <v>206547.35</v>
      </c>
      <c r="N137" s="4">
        <f t="shared" si="11"/>
        <v>0</v>
      </c>
    </row>
    <row r="138" spans="1:14" x14ac:dyDescent="0.2">
      <c r="A138" t="s">
        <v>6</v>
      </c>
      <c r="B138">
        <v>463</v>
      </c>
      <c r="C138">
        <v>1</v>
      </c>
      <c r="D138" t="s">
        <v>142</v>
      </c>
      <c r="E138" s="5">
        <v>5901165.3200000003</v>
      </c>
      <c r="F138" s="5">
        <v>513318.53</v>
      </c>
      <c r="G138" s="2">
        <f t="shared" si="8"/>
        <v>513443.89</v>
      </c>
      <c r="H138" s="4">
        <f t="shared" si="9"/>
        <v>125.35999999998603</v>
      </c>
      <c r="I138">
        <f t="shared" si="10"/>
        <v>0</v>
      </c>
      <c r="J138">
        <v>463</v>
      </c>
      <c r="K138">
        <v>1</v>
      </c>
      <c r="L138" t="s">
        <v>142</v>
      </c>
      <c r="M138" s="2">
        <v>513443.89</v>
      </c>
      <c r="N138" s="4">
        <f t="shared" si="11"/>
        <v>0</v>
      </c>
    </row>
    <row r="139" spans="1:14" x14ac:dyDescent="0.2">
      <c r="A139" t="s">
        <v>6</v>
      </c>
      <c r="B139">
        <v>465</v>
      </c>
      <c r="C139">
        <v>1</v>
      </c>
      <c r="D139" t="s">
        <v>143</v>
      </c>
      <c r="E139" s="5">
        <v>11953938.619999999</v>
      </c>
      <c r="F139" s="5">
        <v>1039824.82</v>
      </c>
      <c r="G139" s="2">
        <f t="shared" si="8"/>
        <v>1040078.76</v>
      </c>
      <c r="H139" s="4">
        <f t="shared" si="9"/>
        <v>253.94000000006054</v>
      </c>
      <c r="I139">
        <f t="shared" si="10"/>
        <v>0</v>
      </c>
      <c r="J139">
        <v>465</v>
      </c>
      <c r="K139">
        <v>1</v>
      </c>
      <c r="L139" t="s">
        <v>143</v>
      </c>
      <c r="M139" s="2">
        <v>1040078.76</v>
      </c>
      <c r="N139" s="4">
        <f t="shared" si="11"/>
        <v>0</v>
      </c>
    </row>
    <row r="140" spans="1:14" x14ac:dyDescent="0.2">
      <c r="A140" t="s">
        <v>6</v>
      </c>
      <c r="B140">
        <v>466</v>
      </c>
      <c r="C140">
        <v>1</v>
      </c>
      <c r="D140" t="s">
        <v>144</v>
      </c>
      <c r="E140" s="5">
        <v>15363156.119999999</v>
      </c>
      <c r="F140" s="5">
        <v>1336378.8700000001</v>
      </c>
      <c r="G140" s="2">
        <f t="shared" si="8"/>
        <v>1336705.24</v>
      </c>
      <c r="H140" s="4">
        <f t="shared" si="9"/>
        <v>326.36999999987893</v>
      </c>
      <c r="I140">
        <f t="shared" si="10"/>
        <v>0</v>
      </c>
      <c r="J140">
        <v>466</v>
      </c>
      <c r="K140">
        <v>1</v>
      </c>
      <c r="L140" t="s">
        <v>144</v>
      </c>
      <c r="M140" s="2">
        <v>1336705.24</v>
      </c>
      <c r="N140" s="4">
        <f t="shared" si="11"/>
        <v>0</v>
      </c>
    </row>
    <row r="141" spans="1:14" x14ac:dyDescent="0.2">
      <c r="A141" t="s">
        <v>6</v>
      </c>
      <c r="B141">
        <v>473</v>
      </c>
      <c r="C141">
        <v>1</v>
      </c>
      <c r="D141" t="s">
        <v>145</v>
      </c>
      <c r="E141" s="5">
        <v>4122487.57</v>
      </c>
      <c r="F141" s="5">
        <v>358598.54</v>
      </c>
      <c r="G141" s="2">
        <f t="shared" si="8"/>
        <v>358686.11</v>
      </c>
      <c r="H141" s="4">
        <f t="shared" si="9"/>
        <v>87.570000000006985</v>
      </c>
      <c r="I141">
        <f t="shared" si="10"/>
        <v>0</v>
      </c>
      <c r="J141">
        <v>473</v>
      </c>
      <c r="K141">
        <v>1</v>
      </c>
      <c r="L141" t="s">
        <v>145</v>
      </c>
      <c r="M141" s="2">
        <v>358686.11</v>
      </c>
      <c r="N141" s="4">
        <f t="shared" si="11"/>
        <v>0</v>
      </c>
    </row>
    <row r="142" spans="1:14" x14ac:dyDescent="0.2">
      <c r="A142" t="s">
        <v>6</v>
      </c>
      <c r="B142">
        <v>477</v>
      </c>
      <c r="C142">
        <v>1</v>
      </c>
      <c r="D142" t="s">
        <v>146</v>
      </c>
      <c r="E142" s="5">
        <v>23360544.699999999</v>
      </c>
      <c r="F142" s="5">
        <v>2032039.39</v>
      </c>
      <c r="G142" s="2">
        <f t="shared" si="8"/>
        <v>2032535.65</v>
      </c>
      <c r="H142" s="4">
        <f t="shared" si="9"/>
        <v>496.26000000000931</v>
      </c>
      <c r="I142">
        <f t="shared" si="10"/>
        <v>0</v>
      </c>
      <c r="J142">
        <v>477</v>
      </c>
      <c r="K142">
        <v>1</v>
      </c>
      <c r="L142" t="s">
        <v>146</v>
      </c>
      <c r="M142" s="2">
        <v>2032535.65</v>
      </c>
      <c r="N142" s="4">
        <f t="shared" si="11"/>
        <v>0</v>
      </c>
    </row>
    <row r="143" spans="1:14" x14ac:dyDescent="0.2">
      <c r="A143" t="s">
        <v>6</v>
      </c>
      <c r="B143">
        <v>480</v>
      </c>
      <c r="C143">
        <v>1</v>
      </c>
      <c r="D143" t="s">
        <v>147</v>
      </c>
      <c r="E143" s="5">
        <v>5628118.6200000001</v>
      </c>
      <c r="F143" s="5">
        <v>489567.3</v>
      </c>
      <c r="G143" s="2">
        <f t="shared" si="8"/>
        <v>489686.86</v>
      </c>
      <c r="H143" s="4">
        <f t="shared" si="9"/>
        <v>119.55999999999767</v>
      </c>
      <c r="I143">
        <f t="shared" si="10"/>
        <v>0</v>
      </c>
      <c r="J143">
        <v>480</v>
      </c>
      <c r="K143">
        <v>1</v>
      </c>
      <c r="L143" t="s">
        <v>147</v>
      </c>
      <c r="M143" s="2">
        <v>489686.86</v>
      </c>
      <c r="N143" s="4">
        <f t="shared" si="11"/>
        <v>0</v>
      </c>
    </row>
    <row r="144" spans="1:14" x14ac:dyDescent="0.2">
      <c r="A144" t="s">
        <v>6</v>
      </c>
      <c r="B144">
        <v>482</v>
      </c>
      <c r="C144">
        <v>1</v>
      </c>
      <c r="D144" t="s">
        <v>148</v>
      </c>
      <c r="E144" s="5">
        <v>17487219.68</v>
      </c>
      <c r="F144" s="5">
        <v>1521142.58</v>
      </c>
      <c r="G144" s="2">
        <f t="shared" si="8"/>
        <v>1521514.07</v>
      </c>
      <c r="H144" s="4">
        <f t="shared" si="9"/>
        <v>371.48999999999069</v>
      </c>
      <c r="I144">
        <f t="shared" si="10"/>
        <v>0</v>
      </c>
      <c r="J144">
        <v>482</v>
      </c>
      <c r="K144">
        <v>1</v>
      </c>
      <c r="L144" t="s">
        <v>148</v>
      </c>
      <c r="M144" s="2">
        <v>1521514.07</v>
      </c>
      <c r="N144" s="4">
        <f t="shared" si="11"/>
        <v>0</v>
      </c>
    </row>
    <row r="145" spans="1:14" x14ac:dyDescent="0.2">
      <c r="A145" t="s">
        <v>6</v>
      </c>
      <c r="B145">
        <v>484</v>
      </c>
      <c r="C145">
        <v>1</v>
      </c>
      <c r="D145" t="s">
        <v>149</v>
      </c>
      <c r="E145" s="5">
        <v>7297465.5899999999</v>
      </c>
      <c r="F145" s="5">
        <v>634777.04</v>
      </c>
      <c r="G145" s="2">
        <f t="shared" si="8"/>
        <v>634932.06999999995</v>
      </c>
      <c r="H145" s="4">
        <f t="shared" si="9"/>
        <v>155.02999999991152</v>
      </c>
      <c r="I145">
        <f t="shared" si="10"/>
        <v>0</v>
      </c>
      <c r="J145">
        <v>484</v>
      </c>
      <c r="K145">
        <v>1</v>
      </c>
      <c r="L145" t="s">
        <v>149</v>
      </c>
      <c r="M145" s="2">
        <v>634932.06999999995</v>
      </c>
      <c r="N145" s="4">
        <f t="shared" si="11"/>
        <v>0</v>
      </c>
    </row>
    <row r="146" spans="1:14" x14ac:dyDescent="0.2">
      <c r="A146" t="s">
        <v>6</v>
      </c>
      <c r="B146">
        <v>485</v>
      </c>
      <c r="C146">
        <v>1</v>
      </c>
      <c r="D146" t="s">
        <v>150</v>
      </c>
      <c r="E146" s="5">
        <v>4748334.8</v>
      </c>
      <c r="F146" s="5">
        <v>413038.46</v>
      </c>
      <c r="G146" s="2">
        <f t="shared" si="8"/>
        <v>413139.33</v>
      </c>
      <c r="H146" s="4">
        <f t="shared" si="9"/>
        <v>100.86999999999534</v>
      </c>
      <c r="I146">
        <f t="shared" si="10"/>
        <v>0</v>
      </c>
      <c r="J146">
        <v>485</v>
      </c>
      <c r="K146">
        <v>1</v>
      </c>
      <c r="L146" t="s">
        <v>150</v>
      </c>
      <c r="M146" s="2">
        <v>413139.33</v>
      </c>
      <c r="N146" s="4">
        <f t="shared" si="11"/>
        <v>0</v>
      </c>
    </row>
    <row r="147" spans="1:14" x14ac:dyDescent="0.2">
      <c r="A147" t="s">
        <v>6</v>
      </c>
      <c r="B147">
        <v>486</v>
      </c>
      <c r="C147">
        <v>1</v>
      </c>
      <c r="D147" t="s">
        <v>151</v>
      </c>
      <c r="E147" s="5">
        <v>2477007.79</v>
      </c>
      <c r="F147" s="5">
        <v>215464.9</v>
      </c>
      <c r="G147" s="2">
        <f t="shared" si="8"/>
        <v>215517.52</v>
      </c>
      <c r="H147" s="4">
        <f t="shared" si="9"/>
        <v>52.619999999995343</v>
      </c>
      <c r="I147">
        <f t="shared" si="10"/>
        <v>0</v>
      </c>
      <c r="J147">
        <v>486</v>
      </c>
      <c r="K147">
        <v>1</v>
      </c>
      <c r="L147" t="s">
        <v>151</v>
      </c>
      <c r="M147" s="2">
        <v>215517.52</v>
      </c>
      <c r="N147" s="4">
        <f t="shared" si="11"/>
        <v>0</v>
      </c>
    </row>
    <row r="148" spans="1:14" x14ac:dyDescent="0.2">
      <c r="A148" t="s">
        <v>6</v>
      </c>
      <c r="B148">
        <v>487</v>
      </c>
      <c r="C148">
        <v>1</v>
      </c>
      <c r="D148" t="s">
        <v>152</v>
      </c>
      <c r="E148" s="5">
        <v>2689076.88</v>
      </c>
      <c r="F148" s="5">
        <v>233911.93</v>
      </c>
      <c r="G148" s="2">
        <f t="shared" si="8"/>
        <v>233969.06</v>
      </c>
      <c r="H148" s="4">
        <f t="shared" si="9"/>
        <v>57.130000000004657</v>
      </c>
      <c r="I148">
        <f t="shared" si="10"/>
        <v>0</v>
      </c>
      <c r="J148">
        <v>487</v>
      </c>
      <c r="K148">
        <v>1</v>
      </c>
      <c r="L148" t="s">
        <v>152</v>
      </c>
      <c r="M148" s="2">
        <v>233969.06</v>
      </c>
      <c r="N148" s="4">
        <f t="shared" si="11"/>
        <v>0</v>
      </c>
    </row>
    <row r="149" spans="1:14" x14ac:dyDescent="0.2">
      <c r="A149" t="s">
        <v>6</v>
      </c>
      <c r="B149">
        <v>492</v>
      </c>
      <c r="C149">
        <v>1</v>
      </c>
      <c r="D149" t="s">
        <v>153</v>
      </c>
      <c r="E149" s="5">
        <v>30305241.670000002</v>
      </c>
      <c r="F149" s="5">
        <v>2636130.5099999998</v>
      </c>
      <c r="G149" s="2">
        <f t="shared" si="8"/>
        <v>2636774.2999999998</v>
      </c>
      <c r="H149" s="4">
        <f t="shared" si="9"/>
        <v>643.79000000003725</v>
      </c>
      <c r="I149">
        <f t="shared" si="10"/>
        <v>0</v>
      </c>
      <c r="J149">
        <v>492</v>
      </c>
      <c r="K149">
        <v>1</v>
      </c>
      <c r="L149" t="s">
        <v>153</v>
      </c>
      <c r="M149" s="2">
        <v>2636774.2999999998</v>
      </c>
      <c r="N149" s="4">
        <f t="shared" si="11"/>
        <v>0</v>
      </c>
    </row>
    <row r="150" spans="1:14" x14ac:dyDescent="0.2">
      <c r="A150" t="s">
        <v>6</v>
      </c>
      <c r="B150">
        <v>495</v>
      </c>
      <c r="C150">
        <v>1</v>
      </c>
      <c r="D150" t="s">
        <v>154</v>
      </c>
      <c r="E150" s="5">
        <v>2502616.13</v>
      </c>
      <c r="F150" s="5">
        <v>217692.46</v>
      </c>
      <c r="G150" s="2">
        <f t="shared" si="8"/>
        <v>217745.63</v>
      </c>
      <c r="H150" s="4">
        <f t="shared" si="9"/>
        <v>53.170000000012806</v>
      </c>
      <c r="I150">
        <f t="shared" si="10"/>
        <v>0</v>
      </c>
      <c r="J150">
        <v>495</v>
      </c>
      <c r="K150">
        <v>1</v>
      </c>
      <c r="L150" t="s">
        <v>154</v>
      </c>
      <c r="M150" s="2">
        <v>217745.63</v>
      </c>
      <c r="N150" s="4">
        <f t="shared" si="11"/>
        <v>0</v>
      </c>
    </row>
    <row r="151" spans="1:14" x14ac:dyDescent="0.2">
      <c r="A151" t="s">
        <v>6</v>
      </c>
      <c r="B151">
        <v>497</v>
      </c>
      <c r="C151">
        <v>1</v>
      </c>
      <c r="D151" t="s">
        <v>155</v>
      </c>
      <c r="E151" s="5">
        <v>1768282.49</v>
      </c>
      <c r="F151" s="5">
        <v>153815.75</v>
      </c>
      <c r="G151" s="2">
        <f t="shared" si="8"/>
        <v>153853.31</v>
      </c>
      <c r="H151" s="4">
        <f t="shared" si="9"/>
        <v>37.559999999997672</v>
      </c>
      <c r="I151">
        <f t="shared" si="10"/>
        <v>0</v>
      </c>
      <c r="J151">
        <v>497</v>
      </c>
      <c r="K151">
        <v>1</v>
      </c>
      <c r="L151" t="s">
        <v>155</v>
      </c>
      <c r="M151" s="2">
        <v>153853.31</v>
      </c>
      <c r="N151" s="4">
        <f t="shared" si="11"/>
        <v>0</v>
      </c>
    </row>
    <row r="152" spans="1:14" x14ac:dyDescent="0.2">
      <c r="A152" t="s">
        <v>6</v>
      </c>
      <c r="B152">
        <v>499</v>
      </c>
      <c r="C152">
        <v>1</v>
      </c>
      <c r="D152" t="s">
        <v>156</v>
      </c>
      <c r="E152" s="5">
        <v>2111320.92</v>
      </c>
      <c r="F152" s="5">
        <v>183655.28</v>
      </c>
      <c r="G152" s="2">
        <f t="shared" si="8"/>
        <v>183700.13</v>
      </c>
      <c r="H152" s="4">
        <f t="shared" si="9"/>
        <v>44.850000000005821</v>
      </c>
      <c r="I152">
        <f t="shared" si="10"/>
        <v>0</v>
      </c>
      <c r="J152">
        <v>499</v>
      </c>
      <c r="K152">
        <v>1</v>
      </c>
      <c r="L152" t="s">
        <v>156</v>
      </c>
      <c r="M152" s="2">
        <v>183700.13</v>
      </c>
      <c r="N152" s="4">
        <f t="shared" si="11"/>
        <v>0</v>
      </c>
    </row>
    <row r="153" spans="1:14" x14ac:dyDescent="0.2">
      <c r="A153" t="s">
        <v>6</v>
      </c>
      <c r="B153">
        <v>500</v>
      </c>
      <c r="C153">
        <v>1</v>
      </c>
      <c r="D153" t="s">
        <v>157</v>
      </c>
      <c r="E153" s="5">
        <v>3943722.78</v>
      </c>
      <c r="F153" s="5">
        <v>343048.51</v>
      </c>
      <c r="G153" s="2">
        <f t="shared" si="8"/>
        <v>343132.29</v>
      </c>
      <c r="H153" s="4">
        <f t="shared" si="9"/>
        <v>83.779999999969732</v>
      </c>
      <c r="I153">
        <f t="shared" si="10"/>
        <v>0</v>
      </c>
      <c r="J153">
        <v>500</v>
      </c>
      <c r="K153">
        <v>1</v>
      </c>
      <c r="L153" t="s">
        <v>157</v>
      </c>
      <c r="M153" s="2">
        <v>343132.29</v>
      </c>
      <c r="N153" s="4">
        <f t="shared" si="11"/>
        <v>0</v>
      </c>
    </row>
    <row r="154" spans="1:14" x14ac:dyDescent="0.2">
      <c r="A154" t="s">
        <v>6</v>
      </c>
      <c r="B154">
        <v>505</v>
      </c>
      <c r="C154">
        <v>1</v>
      </c>
      <c r="D154" t="s">
        <v>158</v>
      </c>
      <c r="E154" s="5">
        <v>2979908.39</v>
      </c>
      <c r="F154" s="5">
        <v>259210.19</v>
      </c>
      <c r="G154" s="2">
        <f t="shared" si="8"/>
        <v>259273.49</v>
      </c>
      <c r="H154" s="4">
        <f t="shared" si="9"/>
        <v>63.299999999988358</v>
      </c>
      <c r="I154">
        <f t="shared" si="10"/>
        <v>0</v>
      </c>
      <c r="J154">
        <v>505</v>
      </c>
      <c r="K154">
        <v>1</v>
      </c>
      <c r="L154" t="s">
        <v>158</v>
      </c>
      <c r="M154" s="2">
        <v>259273.49</v>
      </c>
      <c r="N154" s="4">
        <f t="shared" si="11"/>
        <v>0</v>
      </c>
    </row>
    <row r="155" spans="1:14" x14ac:dyDescent="0.2">
      <c r="A155" t="s">
        <v>6</v>
      </c>
      <c r="B155">
        <v>507</v>
      </c>
      <c r="C155">
        <v>1</v>
      </c>
      <c r="D155" t="s">
        <v>159</v>
      </c>
      <c r="E155" s="5">
        <v>2057885.38</v>
      </c>
      <c r="F155" s="5">
        <v>179007.13</v>
      </c>
      <c r="G155" s="2">
        <f t="shared" si="8"/>
        <v>179050.85</v>
      </c>
      <c r="H155" s="4">
        <f t="shared" si="9"/>
        <v>43.720000000001164</v>
      </c>
      <c r="I155">
        <f t="shared" si="10"/>
        <v>0</v>
      </c>
      <c r="J155">
        <v>507</v>
      </c>
      <c r="K155">
        <v>1</v>
      </c>
      <c r="L155" t="s">
        <v>159</v>
      </c>
      <c r="M155" s="2">
        <v>179050.85</v>
      </c>
      <c r="N155" s="4">
        <f t="shared" si="11"/>
        <v>0</v>
      </c>
    </row>
    <row r="156" spans="1:14" x14ac:dyDescent="0.2">
      <c r="A156" t="s">
        <v>6</v>
      </c>
      <c r="B156">
        <v>508</v>
      </c>
      <c r="C156">
        <v>1</v>
      </c>
      <c r="D156" t="s">
        <v>160</v>
      </c>
      <c r="E156" s="5">
        <v>12443672</v>
      </c>
      <c r="F156" s="5">
        <v>1082424.74</v>
      </c>
      <c r="G156" s="2">
        <f t="shared" si="8"/>
        <v>1082689.0900000001</v>
      </c>
      <c r="H156" s="4">
        <f t="shared" si="9"/>
        <v>264.35000000009313</v>
      </c>
      <c r="I156">
        <f t="shared" si="10"/>
        <v>0</v>
      </c>
      <c r="J156">
        <v>508</v>
      </c>
      <c r="K156">
        <v>1</v>
      </c>
      <c r="L156" t="s">
        <v>160</v>
      </c>
      <c r="M156" s="2">
        <v>1082689.0900000001</v>
      </c>
      <c r="N156" s="4">
        <f t="shared" si="11"/>
        <v>0</v>
      </c>
    </row>
    <row r="157" spans="1:14" x14ac:dyDescent="0.2">
      <c r="A157" t="s">
        <v>6</v>
      </c>
      <c r="B157">
        <v>511</v>
      </c>
      <c r="C157">
        <v>1</v>
      </c>
      <c r="D157" t="s">
        <v>161</v>
      </c>
      <c r="E157" s="5">
        <v>4406521.5999999996</v>
      </c>
      <c r="F157" s="5">
        <v>383305.51</v>
      </c>
      <c r="G157" s="2">
        <f t="shared" si="8"/>
        <v>383399.12</v>
      </c>
      <c r="H157" s="4">
        <f t="shared" si="9"/>
        <v>93.60999999998603</v>
      </c>
      <c r="I157">
        <f t="shared" si="10"/>
        <v>0</v>
      </c>
      <c r="J157">
        <v>511</v>
      </c>
      <c r="K157">
        <v>1</v>
      </c>
      <c r="L157" t="s">
        <v>161</v>
      </c>
      <c r="M157" s="2">
        <v>383399.12</v>
      </c>
      <c r="N157" s="4">
        <f t="shared" si="11"/>
        <v>0</v>
      </c>
    </row>
    <row r="158" spans="1:14" x14ac:dyDescent="0.2">
      <c r="A158" t="s">
        <v>6</v>
      </c>
      <c r="B158">
        <v>513</v>
      </c>
      <c r="C158">
        <v>1</v>
      </c>
      <c r="D158" t="s">
        <v>162</v>
      </c>
      <c r="E158" s="5">
        <v>1158921.19</v>
      </c>
      <c r="F158" s="5">
        <v>100809.87</v>
      </c>
      <c r="G158" s="2">
        <f t="shared" si="8"/>
        <v>100834.49</v>
      </c>
      <c r="H158" s="4">
        <f t="shared" si="9"/>
        <v>24.620000000009895</v>
      </c>
      <c r="I158">
        <f t="shared" si="10"/>
        <v>0</v>
      </c>
      <c r="J158">
        <v>513</v>
      </c>
      <c r="K158">
        <v>1</v>
      </c>
      <c r="L158" t="s">
        <v>162</v>
      </c>
      <c r="M158" s="2">
        <v>100834.49</v>
      </c>
      <c r="N158" s="4">
        <f t="shared" si="11"/>
        <v>0</v>
      </c>
    </row>
    <row r="159" spans="1:14" x14ac:dyDescent="0.2">
      <c r="A159" t="s">
        <v>6</v>
      </c>
      <c r="B159">
        <v>514</v>
      </c>
      <c r="C159">
        <v>1</v>
      </c>
      <c r="D159" t="s">
        <v>163</v>
      </c>
      <c r="E159" s="5">
        <v>1347154.19</v>
      </c>
      <c r="F159" s="5">
        <v>117183.5</v>
      </c>
      <c r="G159" s="2">
        <f t="shared" si="8"/>
        <v>117212.12</v>
      </c>
      <c r="H159" s="4">
        <f t="shared" si="9"/>
        <v>28.619999999995343</v>
      </c>
      <c r="I159">
        <f t="shared" si="10"/>
        <v>0</v>
      </c>
      <c r="J159">
        <v>514</v>
      </c>
      <c r="K159">
        <v>1</v>
      </c>
      <c r="L159" t="s">
        <v>163</v>
      </c>
      <c r="M159" s="2">
        <v>117212.12</v>
      </c>
      <c r="N159" s="4">
        <f t="shared" si="11"/>
        <v>0</v>
      </c>
    </row>
    <row r="160" spans="1:14" x14ac:dyDescent="0.2">
      <c r="A160" t="s">
        <v>6</v>
      </c>
      <c r="B160">
        <v>516</v>
      </c>
      <c r="C160">
        <v>1</v>
      </c>
      <c r="D160" t="s">
        <v>164</v>
      </c>
      <c r="E160" s="5">
        <v>801193.04</v>
      </c>
      <c r="F160" s="5">
        <v>69692.55</v>
      </c>
      <c r="G160" s="2">
        <f t="shared" si="8"/>
        <v>69709.570000000007</v>
      </c>
      <c r="H160" s="4">
        <f t="shared" si="9"/>
        <v>17.020000000004075</v>
      </c>
      <c r="I160">
        <f t="shared" si="10"/>
        <v>0</v>
      </c>
      <c r="J160">
        <v>516</v>
      </c>
      <c r="K160">
        <v>1</v>
      </c>
      <c r="L160" t="s">
        <v>164</v>
      </c>
      <c r="M160" s="2">
        <v>69709.570000000007</v>
      </c>
      <c r="N160" s="4">
        <f t="shared" si="11"/>
        <v>0</v>
      </c>
    </row>
    <row r="161" spans="1:14" x14ac:dyDescent="0.2">
      <c r="A161" t="s">
        <v>6</v>
      </c>
      <c r="B161">
        <v>518</v>
      </c>
      <c r="C161">
        <v>1</v>
      </c>
      <c r="D161" t="s">
        <v>165</v>
      </c>
      <c r="E161" s="5">
        <v>15952797.25</v>
      </c>
      <c r="F161" s="5">
        <v>1387669.37</v>
      </c>
      <c r="G161" s="2">
        <f t="shared" si="8"/>
        <v>1388008.26</v>
      </c>
      <c r="H161" s="4">
        <f t="shared" si="9"/>
        <v>338.88999999989755</v>
      </c>
      <c r="I161">
        <f t="shared" si="10"/>
        <v>0</v>
      </c>
      <c r="J161">
        <v>518</v>
      </c>
      <c r="K161">
        <v>1</v>
      </c>
      <c r="L161" t="s">
        <v>165</v>
      </c>
      <c r="M161" s="2">
        <v>1388008.26</v>
      </c>
      <c r="N161" s="4">
        <f t="shared" si="11"/>
        <v>0</v>
      </c>
    </row>
    <row r="162" spans="1:14" x14ac:dyDescent="0.2">
      <c r="A162" t="s">
        <v>6</v>
      </c>
      <c r="B162">
        <v>531</v>
      </c>
      <c r="C162">
        <v>1</v>
      </c>
      <c r="D162" t="s">
        <v>166</v>
      </c>
      <c r="E162" s="5">
        <v>10666621.609999999</v>
      </c>
      <c r="F162" s="5">
        <v>927846.31</v>
      </c>
      <c r="G162" s="2">
        <f t="shared" si="8"/>
        <v>928072.91</v>
      </c>
      <c r="H162" s="4">
        <f t="shared" si="9"/>
        <v>226.59999999997672</v>
      </c>
      <c r="I162">
        <f t="shared" si="10"/>
        <v>0</v>
      </c>
      <c r="J162">
        <v>531</v>
      </c>
      <c r="K162">
        <v>1</v>
      </c>
      <c r="L162" t="s">
        <v>166</v>
      </c>
      <c r="M162" s="2">
        <v>928072.91</v>
      </c>
      <c r="N162" s="4">
        <f t="shared" si="11"/>
        <v>0</v>
      </c>
    </row>
    <row r="163" spans="1:14" x14ac:dyDescent="0.2">
      <c r="A163" t="s">
        <v>6</v>
      </c>
      <c r="B163">
        <v>533</v>
      </c>
      <c r="C163">
        <v>1</v>
      </c>
      <c r="D163" t="s">
        <v>167</v>
      </c>
      <c r="E163" s="5">
        <v>8048290.75</v>
      </c>
      <c r="F163" s="5">
        <v>700088.29</v>
      </c>
      <c r="G163" s="2">
        <f t="shared" si="8"/>
        <v>700259.26</v>
      </c>
      <c r="H163" s="4">
        <f t="shared" si="9"/>
        <v>170.96999999997206</v>
      </c>
      <c r="I163">
        <f t="shared" si="10"/>
        <v>0</v>
      </c>
      <c r="J163">
        <v>533</v>
      </c>
      <c r="K163">
        <v>1</v>
      </c>
      <c r="L163" t="s">
        <v>167</v>
      </c>
      <c r="M163" s="2">
        <v>700259.26</v>
      </c>
      <c r="N163" s="4">
        <f t="shared" si="11"/>
        <v>0</v>
      </c>
    </row>
    <row r="164" spans="1:14" x14ac:dyDescent="0.2">
      <c r="A164" t="s">
        <v>6</v>
      </c>
      <c r="B164">
        <v>534</v>
      </c>
      <c r="C164">
        <v>1</v>
      </c>
      <c r="D164" t="s">
        <v>168</v>
      </c>
      <c r="E164" s="5">
        <v>11402959.33</v>
      </c>
      <c r="F164" s="5">
        <v>991897.35</v>
      </c>
      <c r="G164" s="2">
        <f t="shared" si="8"/>
        <v>992139.59</v>
      </c>
      <c r="H164" s="4">
        <f t="shared" si="9"/>
        <v>242.23999999999069</v>
      </c>
      <c r="I164">
        <f t="shared" si="10"/>
        <v>0</v>
      </c>
      <c r="J164">
        <v>534</v>
      </c>
      <c r="K164">
        <v>1</v>
      </c>
      <c r="L164" t="s">
        <v>168</v>
      </c>
      <c r="M164" s="2">
        <v>992139.59</v>
      </c>
      <c r="N164" s="4">
        <f t="shared" si="11"/>
        <v>0</v>
      </c>
    </row>
    <row r="165" spans="1:14" x14ac:dyDescent="0.2">
      <c r="A165" t="s">
        <v>6</v>
      </c>
      <c r="B165">
        <v>535</v>
      </c>
      <c r="C165">
        <v>1</v>
      </c>
      <c r="D165" t="s">
        <v>169</v>
      </c>
      <c r="E165" s="5">
        <v>107240858.17</v>
      </c>
      <c r="F165" s="5">
        <v>9328448.9000000004</v>
      </c>
      <c r="G165" s="2">
        <f t="shared" si="8"/>
        <v>9330727.0700000003</v>
      </c>
      <c r="H165" s="4">
        <f t="shared" si="9"/>
        <v>2278.1699999999255</v>
      </c>
      <c r="I165">
        <f t="shared" si="10"/>
        <v>0</v>
      </c>
      <c r="J165">
        <v>535</v>
      </c>
      <c r="K165">
        <v>1</v>
      </c>
      <c r="L165" t="s">
        <v>169</v>
      </c>
      <c r="M165" s="2">
        <v>9330727.0700000003</v>
      </c>
      <c r="N165" s="4">
        <f t="shared" si="11"/>
        <v>0</v>
      </c>
    </row>
    <row r="166" spans="1:14" x14ac:dyDescent="0.2">
      <c r="A166" t="s">
        <v>6</v>
      </c>
      <c r="B166">
        <v>542</v>
      </c>
      <c r="C166">
        <v>1</v>
      </c>
      <c r="D166" t="s">
        <v>170</v>
      </c>
      <c r="E166" s="5">
        <v>3599553.94</v>
      </c>
      <c r="F166" s="5">
        <v>313110.65000000002</v>
      </c>
      <c r="G166" s="2">
        <f t="shared" si="8"/>
        <v>313187.12</v>
      </c>
      <c r="H166" s="4">
        <f t="shared" si="9"/>
        <v>76.46999999997206</v>
      </c>
      <c r="I166">
        <f t="shared" si="10"/>
        <v>0</v>
      </c>
      <c r="J166">
        <v>542</v>
      </c>
      <c r="K166">
        <v>1</v>
      </c>
      <c r="L166" t="s">
        <v>170</v>
      </c>
      <c r="M166" s="2">
        <v>313187.12</v>
      </c>
      <c r="N166" s="4">
        <f t="shared" si="11"/>
        <v>0</v>
      </c>
    </row>
    <row r="167" spans="1:14" x14ac:dyDescent="0.2">
      <c r="A167" t="s">
        <v>6</v>
      </c>
      <c r="B167">
        <v>544</v>
      </c>
      <c r="C167">
        <v>1</v>
      </c>
      <c r="D167" t="s">
        <v>171</v>
      </c>
      <c r="E167" s="5">
        <v>17036698.059999999</v>
      </c>
      <c r="F167" s="5">
        <v>1481953.52</v>
      </c>
      <c r="G167" s="2">
        <f t="shared" si="8"/>
        <v>1482315.44</v>
      </c>
      <c r="H167" s="4">
        <f t="shared" si="9"/>
        <v>361.91999999992549</v>
      </c>
      <c r="I167">
        <f t="shared" si="10"/>
        <v>0</v>
      </c>
      <c r="J167">
        <v>544</v>
      </c>
      <c r="K167">
        <v>1</v>
      </c>
      <c r="L167" t="s">
        <v>171</v>
      </c>
      <c r="M167" s="2">
        <v>1482315.44</v>
      </c>
      <c r="N167" s="4">
        <f t="shared" si="11"/>
        <v>0</v>
      </c>
    </row>
    <row r="168" spans="1:14" x14ac:dyDescent="0.2">
      <c r="A168" t="s">
        <v>6</v>
      </c>
      <c r="B168">
        <v>545</v>
      </c>
      <c r="C168">
        <v>1</v>
      </c>
      <c r="D168" t="s">
        <v>172</v>
      </c>
      <c r="E168" s="5">
        <v>2721970.11</v>
      </c>
      <c r="F168" s="5">
        <v>236773.18</v>
      </c>
      <c r="G168" s="2">
        <f t="shared" si="8"/>
        <v>236831</v>
      </c>
      <c r="H168" s="4">
        <f t="shared" si="9"/>
        <v>57.820000000006985</v>
      </c>
      <c r="I168">
        <f t="shared" si="10"/>
        <v>0</v>
      </c>
      <c r="J168">
        <v>545</v>
      </c>
      <c r="K168">
        <v>1</v>
      </c>
      <c r="L168" t="s">
        <v>172</v>
      </c>
      <c r="M168" s="2">
        <v>236831</v>
      </c>
      <c r="N168" s="4">
        <f t="shared" si="11"/>
        <v>0</v>
      </c>
    </row>
    <row r="169" spans="1:14" x14ac:dyDescent="0.2">
      <c r="A169" t="s">
        <v>6</v>
      </c>
      <c r="B169">
        <v>547</v>
      </c>
      <c r="C169">
        <v>1</v>
      </c>
      <c r="D169" t="s">
        <v>173</v>
      </c>
      <c r="E169" s="5">
        <v>3992717.85</v>
      </c>
      <c r="F169" s="5">
        <v>347310.39</v>
      </c>
      <c r="G169" s="2">
        <f t="shared" si="8"/>
        <v>347395.21</v>
      </c>
      <c r="H169" s="4">
        <f t="shared" si="9"/>
        <v>84.820000000006985</v>
      </c>
      <c r="I169">
        <f t="shared" si="10"/>
        <v>0</v>
      </c>
      <c r="J169">
        <v>547</v>
      </c>
      <c r="K169">
        <v>1</v>
      </c>
      <c r="L169" t="s">
        <v>173</v>
      </c>
      <c r="M169" s="2">
        <v>347395.21</v>
      </c>
      <c r="N169" s="4">
        <f t="shared" si="11"/>
        <v>0</v>
      </c>
    </row>
    <row r="170" spans="1:14" x14ac:dyDescent="0.2">
      <c r="A170" t="s">
        <v>6</v>
      </c>
      <c r="B170">
        <v>548</v>
      </c>
      <c r="C170">
        <v>1</v>
      </c>
      <c r="D170" t="s">
        <v>174</v>
      </c>
      <c r="E170" s="5">
        <v>7321552.0499999998</v>
      </c>
      <c r="F170" s="5">
        <v>636872.23</v>
      </c>
      <c r="G170" s="2">
        <f t="shared" si="8"/>
        <v>637027.76</v>
      </c>
      <c r="H170" s="4">
        <f t="shared" si="9"/>
        <v>155.53000000002794</v>
      </c>
      <c r="I170">
        <f t="shared" si="10"/>
        <v>0</v>
      </c>
      <c r="J170">
        <v>548</v>
      </c>
      <c r="K170">
        <v>1</v>
      </c>
      <c r="L170" t="s">
        <v>174</v>
      </c>
      <c r="M170" s="2">
        <v>637027.76</v>
      </c>
      <c r="N170" s="4">
        <f t="shared" si="11"/>
        <v>0</v>
      </c>
    </row>
    <row r="171" spans="1:14" x14ac:dyDescent="0.2">
      <c r="A171" t="s">
        <v>6</v>
      </c>
      <c r="B171">
        <v>549</v>
      </c>
      <c r="C171">
        <v>1</v>
      </c>
      <c r="D171" t="s">
        <v>175</v>
      </c>
      <c r="E171" s="5">
        <v>10765084.970000001</v>
      </c>
      <c r="F171" s="5">
        <v>936411.24</v>
      </c>
      <c r="G171" s="2">
        <f t="shared" si="8"/>
        <v>936639.93</v>
      </c>
      <c r="H171" s="4">
        <f t="shared" si="9"/>
        <v>228.69000000006054</v>
      </c>
      <c r="I171">
        <f t="shared" si="10"/>
        <v>0</v>
      </c>
      <c r="J171">
        <v>549</v>
      </c>
      <c r="K171">
        <v>1</v>
      </c>
      <c r="L171" t="s">
        <v>175</v>
      </c>
      <c r="M171" s="2">
        <v>936639.93</v>
      </c>
      <c r="N171" s="4">
        <f t="shared" si="11"/>
        <v>0</v>
      </c>
    </row>
    <row r="172" spans="1:14" x14ac:dyDescent="0.2">
      <c r="A172" t="s">
        <v>6</v>
      </c>
      <c r="B172">
        <v>550</v>
      </c>
      <c r="C172">
        <v>1</v>
      </c>
      <c r="D172" t="s">
        <v>176</v>
      </c>
      <c r="E172" s="5">
        <v>3629971.34</v>
      </c>
      <c r="F172" s="5">
        <v>315756.53999999998</v>
      </c>
      <c r="G172" s="2">
        <f t="shared" si="8"/>
        <v>315833.65000000002</v>
      </c>
      <c r="H172" s="4">
        <f t="shared" si="9"/>
        <v>77.110000000044238</v>
      </c>
      <c r="I172">
        <f t="shared" si="10"/>
        <v>0</v>
      </c>
      <c r="J172">
        <v>550</v>
      </c>
      <c r="K172">
        <v>1</v>
      </c>
      <c r="L172" t="s">
        <v>176</v>
      </c>
      <c r="M172" s="2">
        <v>315833.65000000002</v>
      </c>
      <c r="N172" s="4">
        <f t="shared" si="11"/>
        <v>0</v>
      </c>
    </row>
    <row r="173" spans="1:14" x14ac:dyDescent="0.2">
      <c r="A173" t="s">
        <v>6</v>
      </c>
      <c r="B173">
        <v>553</v>
      </c>
      <c r="C173">
        <v>1</v>
      </c>
      <c r="D173" t="s">
        <v>177</v>
      </c>
      <c r="E173" s="5">
        <v>5102378</v>
      </c>
      <c r="F173" s="5">
        <v>443835.24</v>
      </c>
      <c r="G173" s="2">
        <f t="shared" si="8"/>
        <v>443943.64</v>
      </c>
      <c r="H173" s="4">
        <f t="shared" si="9"/>
        <v>108.40000000002328</v>
      </c>
      <c r="I173">
        <f t="shared" si="10"/>
        <v>0</v>
      </c>
      <c r="J173">
        <v>553</v>
      </c>
      <c r="K173">
        <v>1</v>
      </c>
      <c r="L173" t="s">
        <v>177</v>
      </c>
      <c r="M173" s="2">
        <v>443943.64</v>
      </c>
      <c r="N173" s="4">
        <f t="shared" si="11"/>
        <v>0</v>
      </c>
    </row>
    <row r="174" spans="1:14" x14ac:dyDescent="0.2">
      <c r="A174" t="s">
        <v>6</v>
      </c>
      <c r="B174">
        <v>561</v>
      </c>
      <c r="C174">
        <v>1</v>
      </c>
      <c r="D174" t="s">
        <v>178</v>
      </c>
      <c r="E174" s="5">
        <v>1794875.46</v>
      </c>
      <c r="F174" s="5">
        <v>156128.95999999999</v>
      </c>
      <c r="G174" s="2">
        <f t="shared" si="8"/>
        <v>156167.09</v>
      </c>
      <c r="H174" s="4">
        <f t="shared" si="9"/>
        <v>38.130000000004657</v>
      </c>
      <c r="I174">
        <f t="shared" si="10"/>
        <v>0</v>
      </c>
      <c r="J174">
        <v>561</v>
      </c>
      <c r="K174">
        <v>1</v>
      </c>
      <c r="L174" t="s">
        <v>178</v>
      </c>
      <c r="M174" s="2">
        <v>156167.09</v>
      </c>
      <c r="N174" s="4">
        <f t="shared" si="11"/>
        <v>0</v>
      </c>
    </row>
    <row r="175" spans="1:14" x14ac:dyDescent="0.2">
      <c r="A175" t="s">
        <v>6</v>
      </c>
      <c r="B175">
        <v>564</v>
      </c>
      <c r="C175">
        <v>1</v>
      </c>
      <c r="D175" t="s">
        <v>179</v>
      </c>
      <c r="E175" s="5">
        <v>13477363.220000001</v>
      </c>
      <c r="F175" s="5">
        <v>1172341.3700000001</v>
      </c>
      <c r="G175" s="2">
        <f t="shared" si="8"/>
        <v>1172627.67</v>
      </c>
      <c r="H175" s="4">
        <f t="shared" si="9"/>
        <v>286.29999999981374</v>
      </c>
      <c r="I175">
        <f t="shared" si="10"/>
        <v>0</v>
      </c>
      <c r="J175">
        <v>564</v>
      </c>
      <c r="K175">
        <v>1</v>
      </c>
      <c r="L175" t="s">
        <v>179</v>
      </c>
      <c r="M175" s="2">
        <v>1172627.67</v>
      </c>
      <c r="N175" s="4">
        <f t="shared" si="11"/>
        <v>0</v>
      </c>
    </row>
    <row r="176" spans="1:14" x14ac:dyDescent="0.2">
      <c r="A176" t="s">
        <v>6</v>
      </c>
      <c r="B176">
        <v>577</v>
      </c>
      <c r="C176">
        <v>1</v>
      </c>
      <c r="D176" t="s">
        <v>180</v>
      </c>
      <c r="E176" s="5">
        <v>3409973.21</v>
      </c>
      <c r="F176" s="5">
        <v>296619.78999999998</v>
      </c>
      <c r="G176" s="2">
        <f t="shared" si="8"/>
        <v>296692.23</v>
      </c>
      <c r="H176" s="4">
        <f t="shared" si="9"/>
        <v>72.440000000002328</v>
      </c>
      <c r="I176">
        <f t="shared" si="10"/>
        <v>0</v>
      </c>
      <c r="J176">
        <v>577</v>
      </c>
      <c r="K176">
        <v>1</v>
      </c>
      <c r="L176" t="s">
        <v>180</v>
      </c>
      <c r="M176" s="2">
        <v>296692.23</v>
      </c>
      <c r="N176" s="4">
        <f t="shared" si="11"/>
        <v>0</v>
      </c>
    </row>
    <row r="177" spans="1:14" x14ac:dyDescent="0.2">
      <c r="A177" t="s">
        <v>6</v>
      </c>
      <c r="B177">
        <v>578</v>
      </c>
      <c r="C177">
        <v>1</v>
      </c>
      <c r="D177" t="s">
        <v>181</v>
      </c>
      <c r="E177" s="5">
        <v>10969128.789999999</v>
      </c>
      <c r="F177" s="5">
        <v>954160.19</v>
      </c>
      <c r="G177" s="2">
        <f t="shared" si="8"/>
        <v>954393.21</v>
      </c>
      <c r="H177" s="4">
        <f t="shared" si="9"/>
        <v>233.02000000001863</v>
      </c>
      <c r="I177">
        <f t="shared" si="10"/>
        <v>0</v>
      </c>
      <c r="J177">
        <v>578</v>
      </c>
      <c r="K177">
        <v>1</v>
      </c>
      <c r="L177" t="s">
        <v>181</v>
      </c>
      <c r="M177" s="2">
        <v>954393.21</v>
      </c>
      <c r="N177" s="4">
        <f t="shared" si="11"/>
        <v>0</v>
      </c>
    </row>
    <row r="178" spans="1:14" x14ac:dyDescent="0.2">
      <c r="A178" t="s">
        <v>6</v>
      </c>
      <c r="B178">
        <v>581</v>
      </c>
      <c r="C178">
        <v>1</v>
      </c>
      <c r="D178" t="s">
        <v>182</v>
      </c>
      <c r="E178" s="5">
        <v>2196336.7599999998</v>
      </c>
      <c r="F178" s="5">
        <v>191050.46</v>
      </c>
      <c r="G178" s="2">
        <f t="shared" si="8"/>
        <v>191097.12</v>
      </c>
      <c r="H178" s="4">
        <f t="shared" si="9"/>
        <v>46.660000000003492</v>
      </c>
      <c r="I178">
        <f t="shared" si="10"/>
        <v>0</v>
      </c>
      <c r="J178">
        <v>581</v>
      </c>
      <c r="K178">
        <v>1</v>
      </c>
      <c r="L178" t="s">
        <v>182</v>
      </c>
      <c r="M178" s="2">
        <v>191097.12</v>
      </c>
      <c r="N178" s="4">
        <f t="shared" si="11"/>
        <v>0</v>
      </c>
    </row>
    <row r="179" spans="1:14" x14ac:dyDescent="0.2">
      <c r="A179" t="s">
        <v>6</v>
      </c>
      <c r="B179">
        <v>592</v>
      </c>
      <c r="C179">
        <v>1</v>
      </c>
      <c r="D179" t="s">
        <v>183</v>
      </c>
      <c r="E179" s="5">
        <v>1120008.46</v>
      </c>
      <c r="F179" s="5">
        <v>97425.01</v>
      </c>
      <c r="G179" s="2">
        <f t="shared" si="8"/>
        <v>97448.8</v>
      </c>
      <c r="H179" s="4">
        <f t="shared" si="9"/>
        <v>23.790000000008149</v>
      </c>
      <c r="I179">
        <f t="shared" si="10"/>
        <v>0</v>
      </c>
      <c r="J179">
        <v>592</v>
      </c>
      <c r="K179">
        <v>1</v>
      </c>
      <c r="L179" t="s">
        <v>183</v>
      </c>
      <c r="M179" s="2">
        <v>97448.8</v>
      </c>
      <c r="N179" s="4">
        <f t="shared" si="11"/>
        <v>0</v>
      </c>
    </row>
    <row r="180" spans="1:14" x14ac:dyDescent="0.2">
      <c r="A180" t="s">
        <v>6</v>
      </c>
      <c r="B180">
        <v>593</v>
      </c>
      <c r="C180">
        <v>1</v>
      </c>
      <c r="D180" t="s">
        <v>184</v>
      </c>
      <c r="E180" s="5">
        <v>9476436.7300000004</v>
      </c>
      <c r="F180" s="5">
        <v>824316.94</v>
      </c>
      <c r="G180" s="2">
        <f t="shared" si="8"/>
        <v>824518.25</v>
      </c>
      <c r="H180" s="4">
        <f t="shared" si="9"/>
        <v>201.31000000005588</v>
      </c>
      <c r="I180">
        <f t="shared" si="10"/>
        <v>0</v>
      </c>
      <c r="J180">
        <v>593</v>
      </c>
      <c r="K180">
        <v>1</v>
      </c>
      <c r="L180" t="s">
        <v>184</v>
      </c>
      <c r="M180" s="2">
        <v>824518.25</v>
      </c>
      <c r="N180" s="4">
        <f t="shared" si="11"/>
        <v>0</v>
      </c>
    </row>
    <row r="181" spans="1:14" x14ac:dyDescent="0.2">
      <c r="A181" t="s">
        <v>6</v>
      </c>
      <c r="B181">
        <v>595</v>
      </c>
      <c r="C181">
        <v>1</v>
      </c>
      <c r="D181" t="s">
        <v>185</v>
      </c>
      <c r="E181" s="5">
        <v>11531837.199999999</v>
      </c>
      <c r="F181" s="5">
        <v>1003107.92</v>
      </c>
      <c r="G181" s="2">
        <f t="shared" si="8"/>
        <v>1003352.9</v>
      </c>
      <c r="H181" s="4">
        <f t="shared" si="9"/>
        <v>244.97999999998137</v>
      </c>
      <c r="I181">
        <f t="shared" si="10"/>
        <v>0</v>
      </c>
      <c r="J181">
        <v>595</v>
      </c>
      <c r="K181">
        <v>1</v>
      </c>
      <c r="L181" t="s">
        <v>185</v>
      </c>
      <c r="M181" s="2">
        <v>1003352.9</v>
      </c>
      <c r="N181" s="4">
        <f t="shared" si="11"/>
        <v>0</v>
      </c>
    </row>
    <row r="182" spans="1:14" x14ac:dyDescent="0.2">
      <c r="A182" t="s">
        <v>6</v>
      </c>
      <c r="B182">
        <v>599</v>
      </c>
      <c r="C182">
        <v>1</v>
      </c>
      <c r="D182" t="s">
        <v>186</v>
      </c>
      <c r="E182" s="5">
        <v>3685944.51</v>
      </c>
      <c r="F182" s="5">
        <v>320625.42</v>
      </c>
      <c r="G182" s="2">
        <f t="shared" si="8"/>
        <v>320703.71999999997</v>
      </c>
      <c r="H182" s="4">
        <f t="shared" si="9"/>
        <v>78.299999999988358</v>
      </c>
      <c r="I182">
        <f t="shared" si="10"/>
        <v>0</v>
      </c>
      <c r="J182">
        <v>599</v>
      </c>
      <c r="K182">
        <v>1</v>
      </c>
      <c r="L182" t="s">
        <v>186</v>
      </c>
      <c r="M182" s="2">
        <v>320703.71999999997</v>
      </c>
      <c r="N182" s="4">
        <f t="shared" si="11"/>
        <v>0</v>
      </c>
    </row>
    <row r="183" spans="1:14" x14ac:dyDescent="0.2">
      <c r="A183" t="s">
        <v>6</v>
      </c>
      <c r="B183">
        <v>600</v>
      </c>
      <c r="C183">
        <v>1</v>
      </c>
      <c r="D183" t="s">
        <v>187</v>
      </c>
      <c r="E183" s="5">
        <v>1923168.11</v>
      </c>
      <c r="F183" s="5">
        <v>167288.62</v>
      </c>
      <c r="G183" s="2">
        <f t="shared" si="8"/>
        <v>167329.48000000001</v>
      </c>
      <c r="H183" s="4">
        <f t="shared" si="9"/>
        <v>40.860000000015134</v>
      </c>
      <c r="I183">
        <f t="shared" si="10"/>
        <v>0</v>
      </c>
      <c r="J183">
        <v>600</v>
      </c>
      <c r="K183">
        <v>1</v>
      </c>
      <c r="L183" t="s">
        <v>187</v>
      </c>
      <c r="M183" s="2">
        <v>167329.48000000001</v>
      </c>
      <c r="N183" s="4">
        <f t="shared" si="11"/>
        <v>0</v>
      </c>
    </row>
    <row r="184" spans="1:14" x14ac:dyDescent="0.2">
      <c r="A184" t="s">
        <v>6</v>
      </c>
      <c r="B184">
        <v>601</v>
      </c>
      <c r="C184">
        <v>1</v>
      </c>
      <c r="D184" t="s">
        <v>188</v>
      </c>
      <c r="E184" s="5">
        <v>4824920.16</v>
      </c>
      <c r="F184" s="5">
        <v>419700.31</v>
      </c>
      <c r="G184" s="2">
        <f t="shared" si="8"/>
        <v>419802.81</v>
      </c>
      <c r="H184" s="4">
        <f t="shared" si="9"/>
        <v>102.5</v>
      </c>
      <c r="I184">
        <f t="shared" si="10"/>
        <v>0</v>
      </c>
      <c r="J184">
        <v>601</v>
      </c>
      <c r="K184">
        <v>1</v>
      </c>
      <c r="L184" t="s">
        <v>188</v>
      </c>
      <c r="M184" s="2">
        <v>419802.81</v>
      </c>
      <c r="N184" s="4">
        <f t="shared" si="11"/>
        <v>0</v>
      </c>
    </row>
    <row r="185" spans="1:14" x14ac:dyDescent="0.2">
      <c r="A185" t="s">
        <v>6</v>
      </c>
      <c r="B185">
        <v>611</v>
      </c>
      <c r="C185">
        <v>1</v>
      </c>
      <c r="D185" t="s">
        <v>189</v>
      </c>
      <c r="E185" s="5">
        <v>690839.14</v>
      </c>
      <c r="F185" s="5">
        <v>60093.31</v>
      </c>
      <c r="G185" s="2">
        <f t="shared" si="8"/>
        <v>60107.98</v>
      </c>
      <c r="H185" s="4">
        <f t="shared" si="9"/>
        <v>14.67000000000553</v>
      </c>
      <c r="I185">
        <f t="shared" si="10"/>
        <v>0</v>
      </c>
      <c r="J185">
        <v>611</v>
      </c>
      <c r="K185">
        <v>1</v>
      </c>
      <c r="L185" t="s">
        <v>189</v>
      </c>
      <c r="M185" s="2">
        <v>60107.98</v>
      </c>
      <c r="N185" s="4">
        <f t="shared" si="11"/>
        <v>0</v>
      </c>
    </row>
    <row r="186" spans="1:14" x14ac:dyDescent="0.2">
      <c r="A186" t="s">
        <v>6</v>
      </c>
      <c r="B186">
        <v>621</v>
      </c>
      <c r="C186">
        <v>1</v>
      </c>
      <c r="D186" t="s">
        <v>190</v>
      </c>
      <c r="E186" s="5">
        <v>68201223.810000002</v>
      </c>
      <c r="F186" s="5">
        <v>5932548.8600000003</v>
      </c>
      <c r="G186" s="2">
        <f t="shared" si="8"/>
        <v>5933997.7000000002</v>
      </c>
      <c r="H186" s="4">
        <f t="shared" si="9"/>
        <v>1448.839999999851</v>
      </c>
      <c r="I186">
        <f t="shared" si="10"/>
        <v>0</v>
      </c>
      <c r="J186">
        <v>621</v>
      </c>
      <c r="K186">
        <v>1</v>
      </c>
      <c r="L186" t="s">
        <v>190</v>
      </c>
      <c r="M186" s="2">
        <v>5933997.7000000002</v>
      </c>
      <c r="N186" s="4">
        <f t="shared" si="11"/>
        <v>0</v>
      </c>
    </row>
    <row r="187" spans="1:14" x14ac:dyDescent="0.2">
      <c r="A187" t="s">
        <v>6</v>
      </c>
      <c r="B187">
        <v>622</v>
      </c>
      <c r="C187">
        <v>1</v>
      </c>
      <c r="D187" t="s">
        <v>191</v>
      </c>
      <c r="E187" s="5">
        <v>81981289.430000007</v>
      </c>
      <c r="F187" s="5">
        <v>7131221.0899999999</v>
      </c>
      <c r="G187" s="2">
        <f t="shared" si="8"/>
        <v>7132962.6600000001</v>
      </c>
      <c r="H187" s="4">
        <f t="shared" si="9"/>
        <v>1741.570000000298</v>
      </c>
      <c r="I187">
        <f t="shared" si="10"/>
        <v>0</v>
      </c>
      <c r="J187">
        <v>622</v>
      </c>
      <c r="K187">
        <v>1</v>
      </c>
      <c r="L187" t="s">
        <v>191</v>
      </c>
      <c r="M187" s="2">
        <v>7132962.6600000001</v>
      </c>
      <c r="N187" s="4">
        <f t="shared" si="11"/>
        <v>0</v>
      </c>
    </row>
    <row r="188" spans="1:14" x14ac:dyDescent="0.2">
      <c r="A188" t="s">
        <v>6</v>
      </c>
      <c r="B188">
        <v>623</v>
      </c>
      <c r="C188">
        <v>1</v>
      </c>
      <c r="D188" t="s">
        <v>192</v>
      </c>
      <c r="E188" s="5">
        <v>44335145.140000001</v>
      </c>
      <c r="F188" s="5">
        <v>3856535.12</v>
      </c>
      <c r="G188" s="2">
        <f t="shared" si="8"/>
        <v>3857476.96</v>
      </c>
      <c r="H188" s="4">
        <f t="shared" si="9"/>
        <v>941.83999999985099</v>
      </c>
      <c r="I188">
        <f t="shared" si="10"/>
        <v>0</v>
      </c>
      <c r="J188">
        <v>623</v>
      </c>
      <c r="K188">
        <v>1</v>
      </c>
      <c r="L188" t="s">
        <v>192</v>
      </c>
      <c r="M188" s="2">
        <v>3857476.96</v>
      </c>
      <c r="N188" s="4">
        <f t="shared" si="11"/>
        <v>0</v>
      </c>
    </row>
    <row r="189" spans="1:14" x14ac:dyDescent="0.2">
      <c r="A189" t="s">
        <v>6</v>
      </c>
      <c r="B189">
        <v>624</v>
      </c>
      <c r="C189">
        <v>1</v>
      </c>
      <c r="D189" t="s">
        <v>193</v>
      </c>
      <c r="E189" s="5">
        <v>55095000.630000003</v>
      </c>
      <c r="F189" s="5">
        <v>4792491.47</v>
      </c>
      <c r="G189" s="2">
        <f t="shared" si="8"/>
        <v>4793661.88</v>
      </c>
      <c r="H189" s="4">
        <f t="shared" si="9"/>
        <v>1170.410000000149</v>
      </c>
      <c r="I189">
        <f t="shared" si="10"/>
        <v>0</v>
      </c>
      <c r="J189">
        <v>624</v>
      </c>
      <c r="K189">
        <v>1</v>
      </c>
      <c r="L189" t="s">
        <v>193</v>
      </c>
      <c r="M189" s="2">
        <v>4793661.88</v>
      </c>
      <c r="N189" s="4">
        <f t="shared" si="11"/>
        <v>0</v>
      </c>
    </row>
    <row r="190" spans="1:14" x14ac:dyDescent="0.2">
      <c r="A190" t="s">
        <v>6</v>
      </c>
      <c r="B190">
        <v>625</v>
      </c>
      <c r="C190">
        <v>1</v>
      </c>
      <c r="D190" t="s">
        <v>194</v>
      </c>
      <c r="E190" s="5">
        <v>334836995.85000002</v>
      </c>
      <c r="F190" s="5">
        <v>29126117.23</v>
      </c>
      <c r="G190" s="2">
        <f t="shared" si="8"/>
        <v>29133230.34</v>
      </c>
      <c r="H190" s="4">
        <f t="shared" si="9"/>
        <v>7113.109999999404</v>
      </c>
      <c r="I190">
        <f t="shared" si="10"/>
        <v>0</v>
      </c>
      <c r="J190">
        <v>625</v>
      </c>
      <c r="K190">
        <v>1</v>
      </c>
      <c r="L190" t="s">
        <v>194</v>
      </c>
      <c r="M190" s="2">
        <v>29133230.34</v>
      </c>
      <c r="N190" s="4">
        <f t="shared" si="11"/>
        <v>0</v>
      </c>
    </row>
    <row r="191" spans="1:14" x14ac:dyDescent="0.2">
      <c r="A191" t="s">
        <v>6</v>
      </c>
      <c r="B191">
        <v>627</v>
      </c>
      <c r="C191">
        <v>1</v>
      </c>
      <c r="D191" t="s">
        <v>195</v>
      </c>
      <c r="E191" s="5">
        <v>1769241.78</v>
      </c>
      <c r="F191" s="5">
        <v>153899.19</v>
      </c>
      <c r="G191" s="2">
        <f t="shared" si="8"/>
        <v>153936.78</v>
      </c>
      <c r="H191" s="4">
        <f t="shared" si="9"/>
        <v>37.589999999996508</v>
      </c>
      <c r="I191">
        <f t="shared" si="10"/>
        <v>0</v>
      </c>
      <c r="J191">
        <v>627</v>
      </c>
      <c r="K191">
        <v>1</v>
      </c>
      <c r="L191" t="s">
        <v>195</v>
      </c>
      <c r="M191" s="2">
        <v>153936.78</v>
      </c>
      <c r="N191" s="4">
        <f t="shared" si="11"/>
        <v>0</v>
      </c>
    </row>
    <row r="192" spans="1:14" x14ac:dyDescent="0.2">
      <c r="A192" t="s">
        <v>6</v>
      </c>
      <c r="B192">
        <v>628</v>
      </c>
      <c r="C192">
        <v>1</v>
      </c>
      <c r="D192" t="s">
        <v>196</v>
      </c>
      <c r="E192" s="5">
        <v>1117493.81</v>
      </c>
      <c r="F192" s="5">
        <v>97206.27</v>
      </c>
      <c r="G192" s="2">
        <f t="shared" si="8"/>
        <v>97230.01</v>
      </c>
      <c r="H192" s="4">
        <f t="shared" si="9"/>
        <v>23.739999999990687</v>
      </c>
      <c r="I192">
        <f t="shared" si="10"/>
        <v>0</v>
      </c>
      <c r="J192">
        <v>628</v>
      </c>
      <c r="K192">
        <v>1</v>
      </c>
      <c r="L192" t="s">
        <v>196</v>
      </c>
      <c r="M192" s="2">
        <v>97230.01</v>
      </c>
      <c r="N192" s="4">
        <f t="shared" si="11"/>
        <v>0</v>
      </c>
    </row>
    <row r="193" spans="1:14" x14ac:dyDescent="0.2">
      <c r="A193" t="s">
        <v>6</v>
      </c>
      <c r="B193">
        <v>630</v>
      </c>
      <c r="C193">
        <v>1</v>
      </c>
      <c r="D193" t="s">
        <v>197</v>
      </c>
      <c r="E193" s="5">
        <v>2816764.31</v>
      </c>
      <c r="F193" s="5">
        <v>245018.95</v>
      </c>
      <c r="G193" s="2">
        <f t="shared" si="8"/>
        <v>245078.78</v>
      </c>
      <c r="H193" s="4">
        <f t="shared" si="9"/>
        <v>59.829999999987194</v>
      </c>
      <c r="I193">
        <f t="shared" si="10"/>
        <v>0</v>
      </c>
      <c r="J193">
        <v>630</v>
      </c>
      <c r="K193">
        <v>1</v>
      </c>
      <c r="L193" t="s">
        <v>197</v>
      </c>
      <c r="M193" s="2">
        <v>245078.78</v>
      </c>
      <c r="N193" s="4">
        <f t="shared" si="11"/>
        <v>0</v>
      </c>
    </row>
    <row r="194" spans="1:14" x14ac:dyDescent="0.2">
      <c r="A194" t="s">
        <v>6</v>
      </c>
      <c r="B194">
        <v>635</v>
      </c>
      <c r="C194">
        <v>1</v>
      </c>
      <c r="D194" t="s">
        <v>198</v>
      </c>
      <c r="E194" s="5">
        <v>576068.79</v>
      </c>
      <c r="F194" s="5">
        <v>50109.9</v>
      </c>
      <c r="G194" s="2">
        <f t="shared" si="8"/>
        <v>50122.13</v>
      </c>
      <c r="H194" s="4">
        <f t="shared" si="9"/>
        <v>12.229999999995925</v>
      </c>
      <c r="I194">
        <f t="shared" si="10"/>
        <v>0</v>
      </c>
      <c r="J194">
        <v>635</v>
      </c>
      <c r="K194">
        <v>1</v>
      </c>
      <c r="L194" t="s">
        <v>198</v>
      </c>
      <c r="M194" s="2">
        <v>50122.13</v>
      </c>
      <c r="N194" s="4">
        <f t="shared" si="11"/>
        <v>0</v>
      </c>
    </row>
    <row r="195" spans="1:14" x14ac:dyDescent="0.2">
      <c r="A195" t="s">
        <v>6</v>
      </c>
      <c r="B195">
        <v>640</v>
      </c>
      <c r="C195">
        <v>1</v>
      </c>
      <c r="D195" t="s">
        <v>199</v>
      </c>
      <c r="E195" s="5">
        <v>2819744.72</v>
      </c>
      <c r="F195" s="5">
        <v>245278.2</v>
      </c>
      <c r="G195" s="2">
        <f t="shared" si="8"/>
        <v>245338.1</v>
      </c>
      <c r="H195" s="4">
        <f t="shared" si="9"/>
        <v>59.899999999994179</v>
      </c>
      <c r="I195">
        <f t="shared" si="10"/>
        <v>0</v>
      </c>
      <c r="J195">
        <v>640</v>
      </c>
      <c r="K195">
        <v>1</v>
      </c>
      <c r="L195" t="s">
        <v>199</v>
      </c>
      <c r="M195" s="2">
        <v>245338.1</v>
      </c>
      <c r="N195" s="4">
        <f t="shared" si="11"/>
        <v>0</v>
      </c>
    </row>
    <row r="196" spans="1:14" x14ac:dyDescent="0.2">
      <c r="A196" t="s">
        <v>6</v>
      </c>
      <c r="B196">
        <v>656</v>
      </c>
      <c r="C196">
        <v>1</v>
      </c>
      <c r="D196" t="s">
        <v>200</v>
      </c>
      <c r="E196" s="5">
        <v>28096250.100000001</v>
      </c>
      <c r="F196" s="5">
        <v>2443979.2599999998</v>
      </c>
      <c r="G196" s="2">
        <f t="shared" ref="G196:G259" si="12">ROUND(E196*$G$485,2)</f>
        <v>2444576.12</v>
      </c>
      <c r="H196" s="4">
        <f t="shared" ref="H196:H259" si="13">G196-F196</f>
        <v>596.86000000033528</v>
      </c>
      <c r="I196">
        <f t="shared" ref="I196:I259" si="14">J196-B196</f>
        <v>0</v>
      </c>
      <c r="J196">
        <v>656</v>
      </c>
      <c r="K196">
        <v>1</v>
      </c>
      <c r="L196" t="s">
        <v>200</v>
      </c>
      <c r="M196" s="2">
        <v>2444576.12</v>
      </c>
      <c r="N196" s="4">
        <f t="shared" ref="N196:N259" si="15">M196-G196</f>
        <v>0</v>
      </c>
    </row>
    <row r="197" spans="1:14" x14ac:dyDescent="0.2">
      <c r="A197" t="s">
        <v>6</v>
      </c>
      <c r="B197">
        <v>659</v>
      </c>
      <c r="C197">
        <v>1</v>
      </c>
      <c r="D197" t="s">
        <v>201</v>
      </c>
      <c r="E197" s="5">
        <v>25393784.75</v>
      </c>
      <c r="F197" s="5">
        <v>2208902.7200000002</v>
      </c>
      <c r="G197" s="2">
        <f t="shared" si="12"/>
        <v>2209442.17</v>
      </c>
      <c r="H197" s="4">
        <f t="shared" si="13"/>
        <v>539.4499999997206</v>
      </c>
      <c r="I197">
        <f t="shared" si="14"/>
        <v>0</v>
      </c>
      <c r="J197">
        <v>659</v>
      </c>
      <c r="K197">
        <v>1</v>
      </c>
      <c r="L197" t="s">
        <v>201</v>
      </c>
      <c r="M197" s="2">
        <v>2209442.17</v>
      </c>
      <c r="N197" s="4">
        <f t="shared" si="15"/>
        <v>0</v>
      </c>
    </row>
    <row r="198" spans="1:14" x14ac:dyDescent="0.2">
      <c r="A198" t="s">
        <v>6</v>
      </c>
      <c r="B198">
        <v>671</v>
      </c>
      <c r="C198">
        <v>1</v>
      </c>
      <c r="D198" t="s">
        <v>202</v>
      </c>
      <c r="E198" s="5">
        <v>2267884.0299999998</v>
      </c>
      <c r="F198" s="5">
        <v>197274.07</v>
      </c>
      <c r="G198" s="2">
        <f t="shared" si="12"/>
        <v>197322.25</v>
      </c>
      <c r="H198" s="4">
        <f t="shared" si="13"/>
        <v>48.179999999993015</v>
      </c>
      <c r="I198">
        <f t="shared" si="14"/>
        <v>0</v>
      </c>
      <c r="J198">
        <v>671</v>
      </c>
      <c r="K198">
        <v>1</v>
      </c>
      <c r="L198" t="s">
        <v>202</v>
      </c>
      <c r="M198" s="2">
        <v>197322.25</v>
      </c>
      <c r="N198" s="4">
        <f t="shared" si="15"/>
        <v>0</v>
      </c>
    </row>
    <row r="199" spans="1:14" x14ac:dyDescent="0.2">
      <c r="A199" t="s">
        <v>6</v>
      </c>
      <c r="B199">
        <v>676</v>
      </c>
      <c r="C199">
        <v>1</v>
      </c>
      <c r="D199" t="s">
        <v>203</v>
      </c>
      <c r="E199" s="5">
        <v>1614074.47</v>
      </c>
      <c r="F199" s="5">
        <v>140401.82</v>
      </c>
      <c r="G199" s="2">
        <f t="shared" si="12"/>
        <v>140436.1</v>
      </c>
      <c r="H199" s="4">
        <f t="shared" si="13"/>
        <v>34.279999999998836</v>
      </c>
      <c r="I199">
        <f t="shared" si="14"/>
        <v>0</v>
      </c>
      <c r="J199">
        <v>676</v>
      </c>
      <c r="K199">
        <v>1</v>
      </c>
      <c r="L199" t="s">
        <v>203</v>
      </c>
      <c r="M199" s="2">
        <v>140436.1</v>
      </c>
      <c r="N199" s="4">
        <f t="shared" si="15"/>
        <v>0</v>
      </c>
    </row>
    <row r="200" spans="1:14" x14ac:dyDescent="0.2">
      <c r="A200" t="s">
        <v>6</v>
      </c>
      <c r="B200">
        <v>682</v>
      </c>
      <c r="C200">
        <v>1</v>
      </c>
      <c r="D200" t="s">
        <v>204</v>
      </c>
      <c r="E200" s="5">
        <v>8808220.8399999999</v>
      </c>
      <c r="F200" s="5">
        <v>766191.54</v>
      </c>
      <c r="G200" s="2">
        <f t="shared" si="12"/>
        <v>766378.66</v>
      </c>
      <c r="H200" s="4">
        <f t="shared" si="13"/>
        <v>187.11999999999534</v>
      </c>
      <c r="I200">
        <f t="shared" si="14"/>
        <v>0</v>
      </c>
      <c r="J200">
        <v>682</v>
      </c>
      <c r="K200">
        <v>1</v>
      </c>
      <c r="L200" t="s">
        <v>204</v>
      </c>
      <c r="M200" s="2">
        <v>766378.66</v>
      </c>
      <c r="N200" s="4">
        <f t="shared" si="15"/>
        <v>0</v>
      </c>
    </row>
    <row r="201" spans="1:14" x14ac:dyDescent="0.2">
      <c r="A201" t="s">
        <v>6</v>
      </c>
      <c r="B201">
        <v>690</v>
      </c>
      <c r="C201">
        <v>1</v>
      </c>
      <c r="D201" t="s">
        <v>205</v>
      </c>
      <c r="E201" s="5">
        <v>8340059.3700000001</v>
      </c>
      <c r="F201" s="5">
        <v>725468.06</v>
      </c>
      <c r="G201" s="2">
        <f t="shared" si="12"/>
        <v>725645.24</v>
      </c>
      <c r="H201" s="4">
        <f t="shared" si="13"/>
        <v>177.17999999993481</v>
      </c>
      <c r="I201">
        <f t="shared" si="14"/>
        <v>0</v>
      </c>
      <c r="J201">
        <v>690</v>
      </c>
      <c r="K201">
        <v>1</v>
      </c>
      <c r="L201" t="s">
        <v>205</v>
      </c>
      <c r="M201" s="2">
        <v>725645.24</v>
      </c>
      <c r="N201" s="4">
        <f t="shared" si="15"/>
        <v>0</v>
      </c>
    </row>
    <row r="202" spans="1:14" x14ac:dyDescent="0.2">
      <c r="A202" t="s">
        <v>6</v>
      </c>
      <c r="B202">
        <v>695</v>
      </c>
      <c r="C202">
        <v>1</v>
      </c>
      <c r="D202" t="s">
        <v>206</v>
      </c>
      <c r="E202" s="5">
        <v>5205674.91</v>
      </c>
      <c r="F202" s="5">
        <v>452820.62</v>
      </c>
      <c r="G202" s="2">
        <f t="shared" si="12"/>
        <v>452931.21</v>
      </c>
      <c r="H202" s="4">
        <f t="shared" si="13"/>
        <v>110.59000000002561</v>
      </c>
      <c r="I202">
        <f t="shared" si="14"/>
        <v>0</v>
      </c>
      <c r="J202">
        <v>695</v>
      </c>
      <c r="K202">
        <v>1</v>
      </c>
      <c r="L202" t="s">
        <v>206</v>
      </c>
      <c r="M202" s="2">
        <v>452931.21</v>
      </c>
      <c r="N202" s="4">
        <f t="shared" si="15"/>
        <v>0</v>
      </c>
    </row>
    <row r="203" spans="1:14" x14ac:dyDescent="0.2">
      <c r="A203" t="s">
        <v>6</v>
      </c>
      <c r="B203">
        <v>696</v>
      </c>
      <c r="C203">
        <v>1</v>
      </c>
      <c r="D203" t="s">
        <v>207</v>
      </c>
      <c r="E203" s="5">
        <v>3922032.03</v>
      </c>
      <c r="F203" s="5">
        <v>341161.72</v>
      </c>
      <c r="G203" s="2">
        <f t="shared" si="12"/>
        <v>341245.04</v>
      </c>
      <c r="H203" s="4">
        <f t="shared" si="13"/>
        <v>83.320000000006985</v>
      </c>
      <c r="I203">
        <f t="shared" si="14"/>
        <v>0</v>
      </c>
      <c r="J203">
        <v>696</v>
      </c>
      <c r="K203">
        <v>1</v>
      </c>
      <c r="L203" t="s">
        <v>207</v>
      </c>
      <c r="M203" s="2">
        <v>341245.04</v>
      </c>
      <c r="N203" s="4">
        <f t="shared" si="15"/>
        <v>0</v>
      </c>
    </row>
    <row r="204" spans="1:14" x14ac:dyDescent="0.2">
      <c r="A204" t="s">
        <v>6</v>
      </c>
      <c r="B204">
        <v>698</v>
      </c>
      <c r="C204">
        <v>1</v>
      </c>
      <c r="D204" t="s">
        <v>208</v>
      </c>
      <c r="E204" s="5">
        <v>3001981.8</v>
      </c>
      <c r="F204" s="5">
        <v>261130.27</v>
      </c>
      <c r="G204" s="2">
        <f t="shared" si="12"/>
        <v>261194.04</v>
      </c>
      <c r="H204" s="4">
        <f t="shared" si="13"/>
        <v>63.770000000018626</v>
      </c>
      <c r="I204">
        <f t="shared" si="14"/>
        <v>0</v>
      </c>
      <c r="J204">
        <v>698</v>
      </c>
      <c r="K204">
        <v>1</v>
      </c>
      <c r="L204" t="s">
        <v>208</v>
      </c>
      <c r="M204" s="2">
        <v>261194.04</v>
      </c>
      <c r="N204" s="4">
        <f t="shared" si="15"/>
        <v>0</v>
      </c>
    </row>
    <row r="205" spans="1:14" x14ac:dyDescent="0.2">
      <c r="A205" t="s">
        <v>6</v>
      </c>
      <c r="B205">
        <v>700</v>
      </c>
      <c r="C205">
        <v>1</v>
      </c>
      <c r="D205" t="s">
        <v>209</v>
      </c>
      <c r="E205" s="5">
        <v>13085981.439999999</v>
      </c>
      <c r="F205" s="5">
        <v>1138296.6499999999</v>
      </c>
      <c r="G205" s="2">
        <f t="shared" si="12"/>
        <v>1138574.6399999999</v>
      </c>
      <c r="H205" s="4">
        <f t="shared" si="13"/>
        <v>277.98999999999069</v>
      </c>
      <c r="I205">
        <f t="shared" si="14"/>
        <v>0</v>
      </c>
      <c r="J205">
        <v>700</v>
      </c>
      <c r="K205">
        <v>1</v>
      </c>
      <c r="L205" t="s">
        <v>209</v>
      </c>
      <c r="M205" s="2">
        <v>1138574.6399999999</v>
      </c>
      <c r="N205" s="4">
        <f t="shared" si="15"/>
        <v>0</v>
      </c>
    </row>
    <row r="206" spans="1:14" x14ac:dyDescent="0.2">
      <c r="A206" t="s">
        <v>6</v>
      </c>
      <c r="B206">
        <v>701</v>
      </c>
      <c r="C206">
        <v>1</v>
      </c>
      <c r="D206" t="s">
        <v>210</v>
      </c>
      <c r="E206" s="5">
        <v>16398914.789999999</v>
      </c>
      <c r="F206" s="5">
        <v>1426475.33</v>
      </c>
      <c r="G206" s="2">
        <f t="shared" si="12"/>
        <v>1426823.7</v>
      </c>
      <c r="H206" s="4">
        <f t="shared" si="13"/>
        <v>348.36999999987893</v>
      </c>
      <c r="I206">
        <f t="shared" si="14"/>
        <v>0</v>
      </c>
      <c r="J206">
        <v>701</v>
      </c>
      <c r="K206">
        <v>1</v>
      </c>
      <c r="L206" t="s">
        <v>210</v>
      </c>
      <c r="M206" s="2">
        <v>1426823.7</v>
      </c>
      <c r="N206" s="4">
        <f t="shared" si="15"/>
        <v>0</v>
      </c>
    </row>
    <row r="207" spans="1:14" x14ac:dyDescent="0.2">
      <c r="A207" t="s">
        <v>6</v>
      </c>
      <c r="B207">
        <v>704</v>
      </c>
      <c r="C207">
        <v>1</v>
      </c>
      <c r="D207" t="s">
        <v>211</v>
      </c>
      <c r="E207" s="5">
        <v>11844276.359999999</v>
      </c>
      <c r="F207" s="5">
        <v>1030285.74</v>
      </c>
      <c r="G207" s="2">
        <f t="shared" si="12"/>
        <v>1030537.35</v>
      </c>
      <c r="H207" s="4">
        <f t="shared" si="13"/>
        <v>251.60999999998603</v>
      </c>
      <c r="I207">
        <f t="shared" si="14"/>
        <v>0</v>
      </c>
      <c r="J207">
        <v>704</v>
      </c>
      <c r="K207">
        <v>1</v>
      </c>
      <c r="L207" t="s">
        <v>211</v>
      </c>
      <c r="M207" s="2">
        <v>1030537.35</v>
      </c>
      <c r="N207" s="4">
        <f t="shared" si="15"/>
        <v>0</v>
      </c>
    </row>
    <row r="208" spans="1:14" x14ac:dyDescent="0.2">
      <c r="A208" t="s">
        <v>6</v>
      </c>
      <c r="B208">
        <v>706</v>
      </c>
      <c r="C208">
        <v>1</v>
      </c>
      <c r="D208" t="s">
        <v>212</v>
      </c>
      <c r="E208" s="5">
        <v>10870090.42</v>
      </c>
      <c r="F208" s="5">
        <v>945545.24</v>
      </c>
      <c r="G208" s="2">
        <f t="shared" si="12"/>
        <v>945776.16</v>
      </c>
      <c r="H208" s="4">
        <f t="shared" si="13"/>
        <v>230.92000000004191</v>
      </c>
      <c r="I208">
        <f t="shared" si="14"/>
        <v>0</v>
      </c>
      <c r="J208">
        <v>706</v>
      </c>
      <c r="K208">
        <v>1</v>
      </c>
      <c r="L208" t="s">
        <v>212</v>
      </c>
      <c r="M208" s="2">
        <v>945776.16</v>
      </c>
      <c r="N208" s="4">
        <f t="shared" si="15"/>
        <v>0</v>
      </c>
    </row>
    <row r="209" spans="1:14" x14ac:dyDescent="0.2">
      <c r="A209" t="s">
        <v>6</v>
      </c>
      <c r="B209">
        <v>707</v>
      </c>
      <c r="C209">
        <v>1</v>
      </c>
      <c r="D209" t="s">
        <v>213</v>
      </c>
      <c r="E209" s="5">
        <v>1034372.84</v>
      </c>
      <c r="F209" s="5">
        <v>89975.91</v>
      </c>
      <c r="G209" s="2">
        <f t="shared" si="12"/>
        <v>89997.89</v>
      </c>
      <c r="H209" s="4">
        <f t="shared" si="13"/>
        <v>21.979999999995925</v>
      </c>
      <c r="I209">
        <f t="shared" si="14"/>
        <v>0</v>
      </c>
      <c r="J209">
        <v>707</v>
      </c>
      <c r="K209">
        <v>1</v>
      </c>
      <c r="L209" t="s">
        <v>213</v>
      </c>
      <c r="M209" s="2">
        <v>89997.89</v>
      </c>
      <c r="N209" s="4">
        <f t="shared" si="15"/>
        <v>0</v>
      </c>
    </row>
    <row r="210" spans="1:14" x14ac:dyDescent="0.2">
      <c r="A210" t="s">
        <v>6</v>
      </c>
      <c r="B210">
        <v>709</v>
      </c>
      <c r="C210">
        <v>1</v>
      </c>
      <c r="D210" t="s">
        <v>214</v>
      </c>
      <c r="E210" s="5">
        <v>68804266.359999999</v>
      </c>
      <c r="F210" s="5">
        <v>5985005.0999999996</v>
      </c>
      <c r="G210" s="2">
        <f t="shared" si="12"/>
        <v>5986466.7400000002</v>
      </c>
      <c r="H210" s="4">
        <f t="shared" si="13"/>
        <v>1461.640000000596</v>
      </c>
      <c r="I210">
        <f t="shared" si="14"/>
        <v>0</v>
      </c>
      <c r="J210">
        <v>709</v>
      </c>
      <c r="K210">
        <v>1</v>
      </c>
      <c r="L210" t="s">
        <v>214</v>
      </c>
      <c r="M210" s="2">
        <v>5986466.7400000002</v>
      </c>
      <c r="N210" s="4">
        <f t="shared" si="15"/>
        <v>0</v>
      </c>
    </row>
    <row r="211" spans="1:14" x14ac:dyDescent="0.2">
      <c r="A211" t="s">
        <v>6</v>
      </c>
      <c r="B211">
        <v>712</v>
      </c>
      <c r="C211">
        <v>1</v>
      </c>
      <c r="D211" t="s">
        <v>215</v>
      </c>
      <c r="E211" s="5">
        <v>3999359.88</v>
      </c>
      <c r="F211" s="5">
        <v>347888.15</v>
      </c>
      <c r="G211" s="2">
        <f t="shared" si="12"/>
        <v>347973.12</v>
      </c>
      <c r="H211" s="4">
        <f t="shared" si="13"/>
        <v>84.96999999997206</v>
      </c>
      <c r="I211">
        <f t="shared" si="14"/>
        <v>0</v>
      </c>
      <c r="J211">
        <v>712</v>
      </c>
      <c r="K211">
        <v>1</v>
      </c>
      <c r="L211" t="s">
        <v>215</v>
      </c>
      <c r="M211" s="2">
        <v>347973.12</v>
      </c>
      <c r="N211" s="4">
        <f t="shared" si="15"/>
        <v>0</v>
      </c>
    </row>
    <row r="212" spans="1:14" x14ac:dyDescent="0.2">
      <c r="A212" t="s">
        <v>6</v>
      </c>
      <c r="B212">
        <v>716</v>
      </c>
      <c r="C212">
        <v>1</v>
      </c>
      <c r="D212" t="s">
        <v>216</v>
      </c>
      <c r="E212" s="5">
        <v>9769626.8699999992</v>
      </c>
      <c r="F212" s="5">
        <v>849820.36</v>
      </c>
      <c r="G212" s="2">
        <f t="shared" si="12"/>
        <v>850027.9</v>
      </c>
      <c r="H212" s="4">
        <f t="shared" si="13"/>
        <v>207.54000000003725</v>
      </c>
      <c r="I212">
        <f t="shared" si="14"/>
        <v>0</v>
      </c>
      <c r="J212">
        <v>716</v>
      </c>
      <c r="K212">
        <v>1</v>
      </c>
      <c r="L212" t="s">
        <v>216</v>
      </c>
      <c r="M212" s="2">
        <v>850027.9</v>
      </c>
      <c r="N212" s="4">
        <f t="shared" si="15"/>
        <v>0</v>
      </c>
    </row>
    <row r="213" spans="1:14" x14ac:dyDescent="0.2">
      <c r="A213" t="s">
        <v>6</v>
      </c>
      <c r="B213">
        <v>717</v>
      </c>
      <c r="C213">
        <v>1</v>
      </c>
      <c r="D213" t="s">
        <v>217</v>
      </c>
      <c r="E213" s="5">
        <v>10499082.720000001</v>
      </c>
      <c r="F213" s="5">
        <v>913272.78</v>
      </c>
      <c r="G213" s="2">
        <f t="shared" si="12"/>
        <v>913495.82</v>
      </c>
      <c r="H213" s="4">
        <f t="shared" si="13"/>
        <v>223.03999999992084</v>
      </c>
      <c r="I213">
        <f t="shared" si="14"/>
        <v>0</v>
      </c>
      <c r="J213">
        <v>717</v>
      </c>
      <c r="K213">
        <v>1</v>
      </c>
      <c r="L213" t="s">
        <v>217</v>
      </c>
      <c r="M213" s="2">
        <v>913495.82</v>
      </c>
      <c r="N213" s="4">
        <f t="shared" si="15"/>
        <v>0</v>
      </c>
    </row>
    <row r="214" spans="1:14" x14ac:dyDescent="0.2">
      <c r="A214" t="s">
        <v>6</v>
      </c>
      <c r="B214">
        <v>719</v>
      </c>
      <c r="C214">
        <v>1</v>
      </c>
      <c r="D214" t="s">
        <v>218</v>
      </c>
      <c r="E214" s="5">
        <v>42629873.770000003</v>
      </c>
      <c r="F214" s="5">
        <v>3708200.46</v>
      </c>
      <c r="G214" s="2">
        <f t="shared" si="12"/>
        <v>3709106.06</v>
      </c>
      <c r="H214" s="4">
        <f t="shared" si="13"/>
        <v>905.60000000009313</v>
      </c>
      <c r="I214">
        <f t="shared" si="14"/>
        <v>0</v>
      </c>
      <c r="J214">
        <v>719</v>
      </c>
      <c r="K214">
        <v>1</v>
      </c>
      <c r="L214" t="s">
        <v>218</v>
      </c>
      <c r="M214" s="2">
        <v>3709106.06</v>
      </c>
      <c r="N214" s="4">
        <f t="shared" si="15"/>
        <v>0</v>
      </c>
    </row>
    <row r="215" spans="1:14" x14ac:dyDescent="0.2">
      <c r="A215" t="s">
        <v>6</v>
      </c>
      <c r="B215">
        <v>720</v>
      </c>
      <c r="C215">
        <v>1</v>
      </c>
      <c r="D215" t="s">
        <v>219</v>
      </c>
      <c r="E215" s="5">
        <v>41839780.93</v>
      </c>
      <c r="F215" s="5">
        <v>3639473.47</v>
      </c>
      <c r="G215" s="2">
        <f t="shared" si="12"/>
        <v>3640362.3</v>
      </c>
      <c r="H215" s="4">
        <f t="shared" si="13"/>
        <v>888.82999999960884</v>
      </c>
      <c r="I215">
        <f t="shared" si="14"/>
        <v>0</v>
      </c>
      <c r="J215">
        <v>720</v>
      </c>
      <c r="K215">
        <v>1</v>
      </c>
      <c r="L215" t="s">
        <v>219</v>
      </c>
      <c r="M215" s="2">
        <v>3640362.3</v>
      </c>
      <c r="N215" s="4">
        <f t="shared" si="15"/>
        <v>0</v>
      </c>
    </row>
    <row r="216" spans="1:14" x14ac:dyDescent="0.2">
      <c r="A216" t="s">
        <v>6</v>
      </c>
      <c r="B216">
        <v>721</v>
      </c>
      <c r="C216">
        <v>1</v>
      </c>
      <c r="D216" t="s">
        <v>220</v>
      </c>
      <c r="E216" s="5">
        <v>22435660.510000002</v>
      </c>
      <c r="F216" s="5">
        <v>1951587.45</v>
      </c>
      <c r="G216" s="2">
        <f t="shared" si="12"/>
        <v>1952064.06</v>
      </c>
      <c r="H216" s="4">
        <f t="shared" si="13"/>
        <v>476.61000000010245</v>
      </c>
      <c r="I216">
        <f t="shared" si="14"/>
        <v>0</v>
      </c>
      <c r="J216">
        <v>721</v>
      </c>
      <c r="K216">
        <v>1</v>
      </c>
      <c r="L216" t="s">
        <v>220</v>
      </c>
      <c r="M216" s="2">
        <v>1952064.06</v>
      </c>
      <c r="N216" s="4">
        <f t="shared" si="15"/>
        <v>0</v>
      </c>
    </row>
    <row r="217" spans="1:14" x14ac:dyDescent="0.2">
      <c r="A217" t="s">
        <v>6</v>
      </c>
      <c r="B217">
        <v>726</v>
      </c>
      <c r="C217">
        <v>1</v>
      </c>
      <c r="D217" t="s">
        <v>221</v>
      </c>
      <c r="E217" s="5">
        <v>16876169.77</v>
      </c>
      <c r="F217" s="5">
        <v>1467989.81</v>
      </c>
      <c r="G217" s="2">
        <f t="shared" si="12"/>
        <v>1468348.32</v>
      </c>
      <c r="H217" s="4">
        <f t="shared" si="13"/>
        <v>358.51000000000931</v>
      </c>
      <c r="I217">
        <f t="shared" si="14"/>
        <v>0</v>
      </c>
      <c r="J217">
        <v>726</v>
      </c>
      <c r="K217">
        <v>1</v>
      </c>
      <c r="L217" t="s">
        <v>221</v>
      </c>
      <c r="M217" s="2">
        <v>1468348.32</v>
      </c>
      <c r="N217" s="4">
        <f t="shared" si="15"/>
        <v>0</v>
      </c>
    </row>
    <row r="218" spans="1:14" x14ac:dyDescent="0.2">
      <c r="A218" t="s">
        <v>6</v>
      </c>
      <c r="B218">
        <v>727</v>
      </c>
      <c r="C218">
        <v>1</v>
      </c>
      <c r="D218" t="s">
        <v>222</v>
      </c>
      <c r="E218" s="5">
        <v>23104429.27</v>
      </c>
      <c r="F218" s="5">
        <v>2009760.94</v>
      </c>
      <c r="G218" s="2">
        <f t="shared" si="12"/>
        <v>2010251.76</v>
      </c>
      <c r="H218" s="4">
        <f t="shared" si="13"/>
        <v>490.82000000006519</v>
      </c>
      <c r="I218">
        <f t="shared" si="14"/>
        <v>0</v>
      </c>
      <c r="J218">
        <v>727</v>
      </c>
      <c r="K218">
        <v>1</v>
      </c>
      <c r="L218" t="s">
        <v>222</v>
      </c>
      <c r="M218" s="2">
        <v>2010251.76</v>
      </c>
      <c r="N218" s="4">
        <f t="shared" si="15"/>
        <v>0</v>
      </c>
    </row>
    <row r="219" spans="1:14" x14ac:dyDescent="0.2">
      <c r="A219" t="s">
        <v>6</v>
      </c>
      <c r="B219">
        <v>728</v>
      </c>
      <c r="C219">
        <v>1</v>
      </c>
      <c r="D219" t="s">
        <v>223</v>
      </c>
      <c r="E219" s="5">
        <v>77348652.060000002</v>
      </c>
      <c r="F219" s="5">
        <v>6728246.6799999997</v>
      </c>
      <c r="G219" s="2">
        <f t="shared" si="12"/>
        <v>6729889.8399999999</v>
      </c>
      <c r="H219" s="4">
        <f t="shared" si="13"/>
        <v>1643.160000000149</v>
      </c>
      <c r="I219">
        <f t="shared" si="14"/>
        <v>0</v>
      </c>
      <c r="J219">
        <v>728</v>
      </c>
      <c r="K219">
        <v>1</v>
      </c>
      <c r="L219" t="s">
        <v>223</v>
      </c>
      <c r="M219" s="2">
        <v>6729889.8399999999</v>
      </c>
      <c r="N219" s="4">
        <f t="shared" si="15"/>
        <v>0</v>
      </c>
    </row>
    <row r="220" spans="1:14" x14ac:dyDescent="0.2">
      <c r="A220" t="s">
        <v>6</v>
      </c>
      <c r="B220">
        <v>738</v>
      </c>
      <c r="C220">
        <v>1</v>
      </c>
      <c r="D220" t="s">
        <v>224</v>
      </c>
      <c r="E220" s="5">
        <v>6572306.6699999999</v>
      </c>
      <c r="F220" s="5">
        <v>571698.4</v>
      </c>
      <c r="G220" s="2">
        <f t="shared" si="12"/>
        <v>571838.02</v>
      </c>
      <c r="H220" s="4">
        <f t="shared" si="13"/>
        <v>139.61999999999534</v>
      </c>
      <c r="I220">
        <f t="shared" si="14"/>
        <v>0</v>
      </c>
      <c r="J220">
        <v>738</v>
      </c>
      <c r="K220">
        <v>1</v>
      </c>
      <c r="L220" t="s">
        <v>224</v>
      </c>
      <c r="M220" s="2">
        <v>571838.02</v>
      </c>
      <c r="N220" s="4">
        <f t="shared" si="15"/>
        <v>0</v>
      </c>
    </row>
    <row r="221" spans="1:14" x14ac:dyDescent="0.2">
      <c r="A221" t="s">
        <v>6</v>
      </c>
      <c r="B221">
        <v>739</v>
      </c>
      <c r="C221">
        <v>1</v>
      </c>
      <c r="D221" t="s">
        <v>225</v>
      </c>
      <c r="E221" s="5">
        <v>4968801.95</v>
      </c>
      <c r="F221" s="5">
        <v>432216</v>
      </c>
      <c r="G221" s="2">
        <f t="shared" si="12"/>
        <v>432321.56</v>
      </c>
      <c r="H221" s="4">
        <f t="shared" si="13"/>
        <v>105.55999999999767</v>
      </c>
      <c r="I221">
        <f t="shared" si="14"/>
        <v>0</v>
      </c>
      <c r="J221">
        <v>739</v>
      </c>
      <c r="K221">
        <v>1</v>
      </c>
      <c r="L221" t="s">
        <v>225</v>
      </c>
      <c r="M221" s="2">
        <v>432321.56</v>
      </c>
      <c r="N221" s="4">
        <f t="shared" si="15"/>
        <v>0</v>
      </c>
    </row>
    <row r="222" spans="1:14" x14ac:dyDescent="0.2">
      <c r="A222" t="s">
        <v>6</v>
      </c>
      <c r="B222">
        <v>740</v>
      </c>
      <c r="C222">
        <v>1</v>
      </c>
      <c r="D222" t="s">
        <v>226</v>
      </c>
      <c r="E222" s="5">
        <v>9655482.6699999999</v>
      </c>
      <c r="F222" s="5">
        <v>839891.42</v>
      </c>
      <c r="G222" s="2">
        <f t="shared" si="12"/>
        <v>840096.54</v>
      </c>
      <c r="H222" s="4">
        <f t="shared" si="13"/>
        <v>205.11999999999534</v>
      </c>
      <c r="I222">
        <f t="shared" si="14"/>
        <v>0</v>
      </c>
      <c r="J222">
        <v>740</v>
      </c>
      <c r="K222">
        <v>1</v>
      </c>
      <c r="L222" t="s">
        <v>226</v>
      </c>
      <c r="M222" s="2">
        <v>840096.54</v>
      </c>
      <c r="N222" s="4">
        <f t="shared" si="15"/>
        <v>0</v>
      </c>
    </row>
    <row r="223" spans="1:14" x14ac:dyDescent="0.2">
      <c r="A223" t="s">
        <v>6</v>
      </c>
      <c r="B223">
        <v>741</v>
      </c>
      <c r="C223">
        <v>1</v>
      </c>
      <c r="D223" t="s">
        <v>227</v>
      </c>
      <c r="E223" s="5">
        <v>7086515.2199999997</v>
      </c>
      <c r="F223" s="5">
        <v>616427.31999999995</v>
      </c>
      <c r="G223" s="2">
        <f t="shared" si="12"/>
        <v>616577.87</v>
      </c>
      <c r="H223" s="4">
        <f t="shared" si="13"/>
        <v>150.55000000004657</v>
      </c>
      <c r="I223">
        <f t="shared" si="14"/>
        <v>0</v>
      </c>
      <c r="J223">
        <v>741</v>
      </c>
      <c r="K223">
        <v>1</v>
      </c>
      <c r="L223" t="s">
        <v>227</v>
      </c>
      <c r="M223" s="2">
        <v>616577.87</v>
      </c>
      <c r="N223" s="4">
        <f t="shared" si="15"/>
        <v>0</v>
      </c>
    </row>
    <row r="224" spans="1:14" x14ac:dyDescent="0.2">
      <c r="A224" t="s">
        <v>6</v>
      </c>
      <c r="B224">
        <v>742</v>
      </c>
      <c r="C224">
        <v>1</v>
      </c>
      <c r="D224" t="s">
        <v>228</v>
      </c>
      <c r="E224" s="5">
        <v>68183562.379999995</v>
      </c>
      <c r="F224" s="5">
        <v>5931012.5700000003</v>
      </c>
      <c r="G224" s="2">
        <f t="shared" si="12"/>
        <v>5932461.0300000003</v>
      </c>
      <c r="H224" s="4">
        <f t="shared" si="13"/>
        <v>1448.4599999999627</v>
      </c>
      <c r="I224">
        <f t="shared" si="14"/>
        <v>0</v>
      </c>
      <c r="J224">
        <v>742</v>
      </c>
      <c r="K224">
        <v>1</v>
      </c>
      <c r="L224" t="s">
        <v>228</v>
      </c>
      <c r="M224" s="2">
        <v>5932461.0300000003</v>
      </c>
      <c r="N224" s="4">
        <f t="shared" si="15"/>
        <v>0</v>
      </c>
    </row>
    <row r="225" spans="1:14" x14ac:dyDescent="0.2">
      <c r="A225" t="s">
        <v>6</v>
      </c>
      <c r="B225">
        <v>743</v>
      </c>
      <c r="C225">
        <v>1</v>
      </c>
      <c r="D225" t="s">
        <v>229</v>
      </c>
      <c r="E225" s="5">
        <v>7422659.4800000004</v>
      </c>
      <c r="F225" s="5">
        <v>645667.15</v>
      </c>
      <c r="G225" s="2">
        <f t="shared" si="12"/>
        <v>645824.84</v>
      </c>
      <c r="H225" s="4">
        <f t="shared" si="13"/>
        <v>157.68999999994412</v>
      </c>
      <c r="I225">
        <f t="shared" si="14"/>
        <v>0</v>
      </c>
      <c r="J225">
        <v>743</v>
      </c>
      <c r="K225">
        <v>1</v>
      </c>
      <c r="L225" t="s">
        <v>229</v>
      </c>
      <c r="M225" s="2">
        <v>645824.84</v>
      </c>
      <c r="N225" s="4">
        <f t="shared" si="15"/>
        <v>0</v>
      </c>
    </row>
    <row r="226" spans="1:14" x14ac:dyDescent="0.2">
      <c r="A226" t="s">
        <v>6</v>
      </c>
      <c r="B226">
        <v>745</v>
      </c>
      <c r="C226">
        <v>1</v>
      </c>
      <c r="D226" t="s">
        <v>230</v>
      </c>
      <c r="E226" s="5">
        <v>10462020.810000001</v>
      </c>
      <c r="F226" s="5">
        <v>910048.91</v>
      </c>
      <c r="G226" s="2">
        <f t="shared" si="12"/>
        <v>910271.16</v>
      </c>
      <c r="H226" s="4">
        <f t="shared" si="13"/>
        <v>222.25</v>
      </c>
      <c r="I226">
        <f t="shared" si="14"/>
        <v>0</v>
      </c>
      <c r="J226">
        <v>745</v>
      </c>
      <c r="K226">
        <v>1</v>
      </c>
      <c r="L226" t="s">
        <v>230</v>
      </c>
      <c r="M226" s="2">
        <v>910271.16</v>
      </c>
      <c r="N226" s="4">
        <f t="shared" si="15"/>
        <v>0</v>
      </c>
    </row>
    <row r="227" spans="1:14" x14ac:dyDescent="0.2">
      <c r="A227" t="s">
        <v>6</v>
      </c>
      <c r="B227">
        <v>748</v>
      </c>
      <c r="C227">
        <v>1</v>
      </c>
      <c r="D227" t="s">
        <v>231</v>
      </c>
      <c r="E227" s="5">
        <v>20129056.91</v>
      </c>
      <c r="F227" s="5">
        <v>1750945.32</v>
      </c>
      <c r="G227" s="2">
        <f t="shared" si="12"/>
        <v>1751372.93</v>
      </c>
      <c r="H227" s="4">
        <f t="shared" si="13"/>
        <v>427.60999999986961</v>
      </c>
      <c r="I227">
        <f t="shared" si="14"/>
        <v>0</v>
      </c>
      <c r="J227">
        <v>748</v>
      </c>
      <c r="K227">
        <v>1</v>
      </c>
      <c r="L227" t="s">
        <v>231</v>
      </c>
      <c r="M227" s="2">
        <v>1751372.93</v>
      </c>
      <c r="N227" s="4">
        <f t="shared" si="15"/>
        <v>0</v>
      </c>
    </row>
    <row r="228" spans="1:14" x14ac:dyDescent="0.2">
      <c r="A228" t="s">
        <v>6</v>
      </c>
      <c r="B228">
        <v>750</v>
      </c>
      <c r="C228">
        <v>1</v>
      </c>
      <c r="D228" t="s">
        <v>232</v>
      </c>
      <c r="E228" s="5">
        <v>14814767.279999999</v>
      </c>
      <c r="F228" s="5">
        <v>1288676.74</v>
      </c>
      <c r="G228" s="2">
        <f t="shared" si="12"/>
        <v>1288991.46</v>
      </c>
      <c r="H228" s="4">
        <f t="shared" si="13"/>
        <v>314.71999999997206</v>
      </c>
      <c r="I228">
        <f t="shared" si="14"/>
        <v>0</v>
      </c>
      <c r="J228">
        <v>750</v>
      </c>
      <c r="K228">
        <v>1</v>
      </c>
      <c r="L228" t="s">
        <v>232</v>
      </c>
      <c r="M228" s="2">
        <v>1288991.46</v>
      </c>
      <c r="N228" s="4">
        <f t="shared" si="15"/>
        <v>0</v>
      </c>
    </row>
    <row r="229" spans="1:14" x14ac:dyDescent="0.2">
      <c r="A229" t="s">
        <v>6</v>
      </c>
      <c r="B229">
        <v>756</v>
      </c>
      <c r="C229">
        <v>1</v>
      </c>
      <c r="D229" t="s">
        <v>233</v>
      </c>
      <c r="E229" s="5">
        <v>4714952.51</v>
      </c>
      <c r="F229" s="5">
        <v>410134.67</v>
      </c>
      <c r="G229" s="2">
        <f t="shared" si="12"/>
        <v>410234.83</v>
      </c>
      <c r="H229" s="4">
        <f t="shared" si="13"/>
        <v>100.1600000000326</v>
      </c>
      <c r="I229">
        <f t="shared" si="14"/>
        <v>0</v>
      </c>
      <c r="J229">
        <v>756</v>
      </c>
      <c r="K229">
        <v>1</v>
      </c>
      <c r="L229" t="s">
        <v>233</v>
      </c>
      <c r="M229" s="2">
        <v>410234.83</v>
      </c>
      <c r="N229" s="4">
        <f t="shared" si="15"/>
        <v>0</v>
      </c>
    </row>
    <row r="230" spans="1:14" x14ac:dyDescent="0.2">
      <c r="A230" t="s">
        <v>6</v>
      </c>
      <c r="B230">
        <v>761</v>
      </c>
      <c r="C230">
        <v>1</v>
      </c>
      <c r="D230" t="s">
        <v>234</v>
      </c>
      <c r="E230" s="5">
        <v>33429498.449999999</v>
      </c>
      <c r="F230" s="5">
        <v>2907896.98</v>
      </c>
      <c r="G230" s="2">
        <f t="shared" si="12"/>
        <v>2908607.14</v>
      </c>
      <c r="H230" s="4">
        <f t="shared" si="13"/>
        <v>710.16000000014901</v>
      </c>
      <c r="I230">
        <f t="shared" si="14"/>
        <v>0</v>
      </c>
      <c r="J230">
        <v>761</v>
      </c>
      <c r="K230">
        <v>1</v>
      </c>
      <c r="L230" t="s">
        <v>234</v>
      </c>
      <c r="M230" s="2">
        <v>2908607.14</v>
      </c>
      <c r="N230" s="4">
        <f t="shared" si="15"/>
        <v>0</v>
      </c>
    </row>
    <row r="231" spans="1:14" x14ac:dyDescent="0.2">
      <c r="A231" t="s">
        <v>6</v>
      </c>
      <c r="B231">
        <v>763</v>
      </c>
      <c r="C231">
        <v>1</v>
      </c>
      <c r="D231" t="s">
        <v>235</v>
      </c>
      <c r="E231" s="5">
        <v>4859035.88</v>
      </c>
      <c r="F231" s="5">
        <v>422667.9</v>
      </c>
      <c r="G231" s="2">
        <f t="shared" si="12"/>
        <v>422771.12</v>
      </c>
      <c r="H231" s="4">
        <f t="shared" si="13"/>
        <v>103.21999999997206</v>
      </c>
      <c r="I231">
        <f t="shared" si="14"/>
        <v>0</v>
      </c>
      <c r="J231">
        <v>763</v>
      </c>
      <c r="K231">
        <v>1</v>
      </c>
      <c r="L231" t="s">
        <v>235</v>
      </c>
      <c r="M231" s="2">
        <v>422771.12</v>
      </c>
      <c r="N231" s="4">
        <f t="shared" si="15"/>
        <v>0</v>
      </c>
    </row>
    <row r="232" spans="1:14" x14ac:dyDescent="0.2">
      <c r="A232" t="s">
        <v>6</v>
      </c>
      <c r="B232">
        <v>768</v>
      </c>
      <c r="C232">
        <v>1</v>
      </c>
      <c r="D232" t="s">
        <v>236</v>
      </c>
      <c r="E232" s="5">
        <v>1734731.61</v>
      </c>
      <c r="F232" s="5">
        <v>150897.29</v>
      </c>
      <c r="G232" s="2">
        <f t="shared" si="12"/>
        <v>150934.14000000001</v>
      </c>
      <c r="H232" s="4">
        <f t="shared" si="13"/>
        <v>36.850000000005821</v>
      </c>
      <c r="I232">
        <f t="shared" si="14"/>
        <v>0</v>
      </c>
      <c r="J232">
        <v>768</v>
      </c>
      <c r="K232">
        <v>1</v>
      </c>
      <c r="L232" t="s">
        <v>236</v>
      </c>
      <c r="M232" s="2">
        <v>150934.14000000001</v>
      </c>
      <c r="N232" s="4">
        <f t="shared" si="15"/>
        <v>0</v>
      </c>
    </row>
    <row r="233" spans="1:14" x14ac:dyDescent="0.2">
      <c r="A233" t="s">
        <v>6</v>
      </c>
      <c r="B233">
        <v>769</v>
      </c>
      <c r="C233">
        <v>1</v>
      </c>
      <c r="D233" t="s">
        <v>237</v>
      </c>
      <c r="E233" s="5">
        <v>5877890.3399999999</v>
      </c>
      <c r="F233" s="5">
        <v>511293.93</v>
      </c>
      <c r="G233" s="2">
        <f t="shared" si="12"/>
        <v>511418.8</v>
      </c>
      <c r="H233" s="4">
        <f t="shared" si="13"/>
        <v>124.86999999999534</v>
      </c>
      <c r="I233">
        <f t="shared" si="14"/>
        <v>0</v>
      </c>
      <c r="J233">
        <v>769</v>
      </c>
      <c r="K233">
        <v>1</v>
      </c>
      <c r="L233" t="s">
        <v>237</v>
      </c>
      <c r="M233" s="2">
        <v>511418.8</v>
      </c>
      <c r="N233" s="4">
        <f t="shared" si="15"/>
        <v>0</v>
      </c>
    </row>
    <row r="234" spans="1:14" x14ac:dyDescent="0.2">
      <c r="A234" t="s">
        <v>6</v>
      </c>
      <c r="B234">
        <v>771</v>
      </c>
      <c r="C234">
        <v>1</v>
      </c>
      <c r="D234" t="s">
        <v>238</v>
      </c>
      <c r="E234" s="5">
        <v>1236179.24</v>
      </c>
      <c r="F234" s="5">
        <v>107530.24000000001</v>
      </c>
      <c r="G234" s="2">
        <f t="shared" si="12"/>
        <v>107556.5</v>
      </c>
      <c r="H234" s="4">
        <f t="shared" si="13"/>
        <v>26.259999999994761</v>
      </c>
      <c r="I234">
        <f t="shared" si="14"/>
        <v>0</v>
      </c>
      <c r="J234">
        <v>771</v>
      </c>
      <c r="K234">
        <v>1</v>
      </c>
      <c r="L234" t="s">
        <v>238</v>
      </c>
      <c r="M234" s="2">
        <v>107556.5</v>
      </c>
      <c r="N234" s="4">
        <f t="shared" si="15"/>
        <v>0</v>
      </c>
    </row>
    <row r="235" spans="1:14" x14ac:dyDescent="0.2">
      <c r="A235" t="s">
        <v>6</v>
      </c>
      <c r="B235">
        <v>775</v>
      </c>
      <c r="C235">
        <v>1</v>
      </c>
      <c r="D235" t="s">
        <v>239</v>
      </c>
      <c r="E235" s="5">
        <v>3916906</v>
      </c>
      <c r="F235" s="5">
        <v>340715.83</v>
      </c>
      <c r="G235" s="2">
        <f t="shared" si="12"/>
        <v>340799.03</v>
      </c>
      <c r="H235" s="4">
        <f t="shared" si="13"/>
        <v>83.200000000011642</v>
      </c>
      <c r="I235">
        <f t="shared" si="14"/>
        <v>0</v>
      </c>
      <c r="J235">
        <v>775</v>
      </c>
      <c r="K235">
        <v>1</v>
      </c>
      <c r="L235" t="s">
        <v>239</v>
      </c>
      <c r="M235" s="2">
        <v>340799.03</v>
      </c>
      <c r="N235" s="4">
        <f t="shared" si="15"/>
        <v>0</v>
      </c>
    </row>
    <row r="236" spans="1:14" x14ac:dyDescent="0.2">
      <c r="A236" t="s">
        <v>6</v>
      </c>
      <c r="B236">
        <v>777</v>
      </c>
      <c r="C236">
        <v>1</v>
      </c>
      <c r="D236" t="s">
        <v>240</v>
      </c>
      <c r="E236" s="5">
        <v>6752405.5</v>
      </c>
      <c r="F236" s="5">
        <v>587364.47</v>
      </c>
      <c r="G236" s="2">
        <f t="shared" si="12"/>
        <v>587507.91</v>
      </c>
      <c r="H236" s="4">
        <f t="shared" si="13"/>
        <v>143.44000000006054</v>
      </c>
      <c r="I236">
        <f t="shared" si="14"/>
        <v>0</v>
      </c>
      <c r="J236">
        <v>777</v>
      </c>
      <c r="K236">
        <v>1</v>
      </c>
      <c r="L236" t="s">
        <v>240</v>
      </c>
      <c r="M236" s="2">
        <v>587507.91</v>
      </c>
      <c r="N236" s="4">
        <f t="shared" si="15"/>
        <v>0</v>
      </c>
    </row>
    <row r="237" spans="1:14" x14ac:dyDescent="0.2">
      <c r="A237" t="s">
        <v>6</v>
      </c>
      <c r="B237">
        <v>786</v>
      </c>
      <c r="C237">
        <v>1</v>
      </c>
      <c r="D237" t="s">
        <v>241</v>
      </c>
      <c r="E237" s="5">
        <v>3609064.76</v>
      </c>
      <c r="F237" s="5">
        <v>313937.96000000002</v>
      </c>
      <c r="G237" s="2">
        <f t="shared" si="12"/>
        <v>314014.63</v>
      </c>
      <c r="H237" s="4">
        <f t="shared" si="13"/>
        <v>76.669999999983702</v>
      </c>
      <c r="I237">
        <f t="shared" si="14"/>
        <v>0</v>
      </c>
      <c r="J237">
        <v>786</v>
      </c>
      <c r="K237">
        <v>1</v>
      </c>
      <c r="L237" t="s">
        <v>241</v>
      </c>
      <c r="M237" s="2">
        <v>314014.63</v>
      </c>
      <c r="N237" s="4">
        <f t="shared" si="15"/>
        <v>0</v>
      </c>
    </row>
    <row r="238" spans="1:14" x14ac:dyDescent="0.2">
      <c r="A238" t="s">
        <v>6</v>
      </c>
      <c r="B238">
        <v>787</v>
      </c>
      <c r="C238">
        <v>1</v>
      </c>
      <c r="D238" t="s">
        <v>242</v>
      </c>
      <c r="E238" s="5">
        <v>3715947.52</v>
      </c>
      <c r="F238" s="5">
        <v>323235.26</v>
      </c>
      <c r="G238" s="2">
        <f t="shared" si="12"/>
        <v>323314.2</v>
      </c>
      <c r="H238" s="4">
        <f t="shared" si="13"/>
        <v>78.940000000002328</v>
      </c>
      <c r="I238">
        <f t="shared" si="14"/>
        <v>0</v>
      </c>
      <c r="J238">
        <v>787</v>
      </c>
      <c r="K238">
        <v>1</v>
      </c>
      <c r="L238" t="s">
        <v>242</v>
      </c>
      <c r="M238" s="2">
        <v>323314.2</v>
      </c>
      <c r="N238" s="4">
        <f t="shared" si="15"/>
        <v>0</v>
      </c>
    </row>
    <row r="239" spans="1:14" x14ac:dyDescent="0.2">
      <c r="A239" t="s">
        <v>6</v>
      </c>
      <c r="B239">
        <v>801</v>
      </c>
      <c r="C239">
        <v>1</v>
      </c>
      <c r="D239" t="s">
        <v>243</v>
      </c>
      <c r="E239" s="5">
        <v>931871.55</v>
      </c>
      <c r="F239" s="5">
        <v>81059.740000000005</v>
      </c>
      <c r="G239" s="2">
        <f t="shared" si="12"/>
        <v>81079.539999999994</v>
      </c>
      <c r="H239" s="4">
        <f t="shared" si="13"/>
        <v>19.799999999988358</v>
      </c>
      <c r="I239">
        <f t="shared" si="14"/>
        <v>0</v>
      </c>
      <c r="J239">
        <v>801</v>
      </c>
      <c r="K239">
        <v>1</v>
      </c>
      <c r="L239" t="s">
        <v>243</v>
      </c>
      <c r="M239" s="2">
        <v>81079.539999999994</v>
      </c>
      <c r="N239" s="4">
        <f t="shared" si="15"/>
        <v>0</v>
      </c>
    </row>
    <row r="240" spans="1:14" x14ac:dyDescent="0.2">
      <c r="A240" t="s">
        <v>6</v>
      </c>
      <c r="B240">
        <v>803</v>
      </c>
      <c r="C240">
        <v>1</v>
      </c>
      <c r="D240" t="s">
        <v>244</v>
      </c>
      <c r="E240" s="5">
        <v>3165087.18</v>
      </c>
      <c r="F240" s="5">
        <v>275318.14</v>
      </c>
      <c r="G240" s="2">
        <f t="shared" si="12"/>
        <v>275385.38</v>
      </c>
      <c r="H240" s="4">
        <f t="shared" si="13"/>
        <v>67.239999999990687</v>
      </c>
      <c r="I240">
        <f t="shared" si="14"/>
        <v>0</v>
      </c>
      <c r="J240">
        <v>803</v>
      </c>
      <c r="K240">
        <v>1</v>
      </c>
      <c r="L240" t="s">
        <v>244</v>
      </c>
      <c r="M240" s="2">
        <v>275385.38</v>
      </c>
      <c r="N240" s="4">
        <f t="shared" si="15"/>
        <v>0</v>
      </c>
    </row>
    <row r="241" spans="1:14" x14ac:dyDescent="0.2">
      <c r="A241" t="s">
        <v>6</v>
      </c>
      <c r="B241">
        <v>811</v>
      </c>
      <c r="C241">
        <v>1</v>
      </c>
      <c r="D241" t="s">
        <v>245</v>
      </c>
      <c r="E241" s="5">
        <v>4266788.67</v>
      </c>
      <c r="F241" s="5">
        <v>371150.7</v>
      </c>
      <c r="G241" s="2">
        <f t="shared" si="12"/>
        <v>371241.35</v>
      </c>
      <c r="H241" s="4">
        <f t="shared" si="13"/>
        <v>90.649999999965075</v>
      </c>
      <c r="I241">
        <f t="shared" si="14"/>
        <v>0</v>
      </c>
      <c r="J241">
        <v>811</v>
      </c>
      <c r="K241">
        <v>1</v>
      </c>
      <c r="L241" t="s">
        <v>245</v>
      </c>
      <c r="M241" s="2">
        <v>371241.35</v>
      </c>
      <c r="N241" s="4">
        <f t="shared" si="15"/>
        <v>0</v>
      </c>
    </row>
    <row r="242" spans="1:14" x14ac:dyDescent="0.2">
      <c r="A242" t="s">
        <v>6</v>
      </c>
      <c r="B242">
        <v>813</v>
      </c>
      <c r="C242">
        <v>1</v>
      </c>
      <c r="D242" t="s">
        <v>246</v>
      </c>
      <c r="E242" s="5">
        <v>8536766.8399999999</v>
      </c>
      <c r="F242" s="5">
        <v>742578.85</v>
      </c>
      <c r="G242" s="2">
        <f t="shared" si="12"/>
        <v>742760.2</v>
      </c>
      <c r="H242" s="4">
        <f t="shared" si="13"/>
        <v>181.34999999997672</v>
      </c>
      <c r="I242">
        <f t="shared" si="14"/>
        <v>0</v>
      </c>
      <c r="J242">
        <v>813</v>
      </c>
      <c r="K242">
        <v>1</v>
      </c>
      <c r="L242" t="s">
        <v>246</v>
      </c>
      <c r="M242" s="2">
        <v>742760.2</v>
      </c>
      <c r="N242" s="4">
        <f t="shared" si="15"/>
        <v>0</v>
      </c>
    </row>
    <row r="243" spans="1:14" x14ac:dyDescent="0.2">
      <c r="A243" t="s">
        <v>6</v>
      </c>
      <c r="B243">
        <v>818</v>
      </c>
      <c r="C243">
        <v>1</v>
      </c>
      <c r="D243" t="s">
        <v>247</v>
      </c>
      <c r="E243" s="5">
        <v>3196582.14</v>
      </c>
      <c r="F243" s="5">
        <v>278057.76</v>
      </c>
      <c r="G243" s="2">
        <f t="shared" si="12"/>
        <v>278125.67</v>
      </c>
      <c r="H243" s="4">
        <f t="shared" si="13"/>
        <v>67.909999999974389</v>
      </c>
      <c r="I243">
        <f t="shared" si="14"/>
        <v>0</v>
      </c>
      <c r="J243">
        <v>818</v>
      </c>
      <c r="K243">
        <v>1</v>
      </c>
      <c r="L243" t="s">
        <v>247</v>
      </c>
      <c r="M243" s="2">
        <v>278125.67</v>
      </c>
      <c r="N243" s="4">
        <f t="shared" si="15"/>
        <v>0</v>
      </c>
    </row>
    <row r="244" spans="1:14" x14ac:dyDescent="0.2">
      <c r="A244" t="s">
        <v>6</v>
      </c>
      <c r="B244">
        <v>820</v>
      </c>
      <c r="C244">
        <v>1</v>
      </c>
      <c r="D244" t="s">
        <v>248</v>
      </c>
      <c r="E244" s="5">
        <v>4067506.42</v>
      </c>
      <c r="F244" s="5">
        <v>353815.95</v>
      </c>
      <c r="G244" s="2">
        <f t="shared" si="12"/>
        <v>353902.36</v>
      </c>
      <c r="H244" s="4">
        <f t="shared" si="13"/>
        <v>86.409999999974389</v>
      </c>
      <c r="I244">
        <f t="shared" si="14"/>
        <v>0</v>
      </c>
      <c r="J244">
        <v>820</v>
      </c>
      <c r="K244">
        <v>1</v>
      </c>
      <c r="L244" t="s">
        <v>248</v>
      </c>
      <c r="M244" s="2">
        <v>353902.36</v>
      </c>
      <c r="N244" s="4">
        <f t="shared" si="15"/>
        <v>0</v>
      </c>
    </row>
    <row r="245" spans="1:14" x14ac:dyDescent="0.2">
      <c r="A245" t="s">
        <v>6</v>
      </c>
      <c r="B245">
        <v>821</v>
      </c>
      <c r="C245">
        <v>1</v>
      </c>
      <c r="D245" t="s">
        <v>249</v>
      </c>
      <c r="E245" s="5">
        <v>5534817.1200000001</v>
      </c>
      <c r="F245" s="5">
        <v>481451.38</v>
      </c>
      <c r="G245" s="2">
        <f t="shared" si="12"/>
        <v>481568.95</v>
      </c>
      <c r="H245" s="4">
        <f t="shared" si="13"/>
        <v>117.57000000000698</v>
      </c>
      <c r="I245">
        <f t="shared" si="14"/>
        <v>0</v>
      </c>
      <c r="J245">
        <v>821</v>
      </c>
      <c r="K245">
        <v>1</v>
      </c>
      <c r="L245" t="s">
        <v>249</v>
      </c>
      <c r="M245" s="2">
        <v>481568.95</v>
      </c>
      <c r="N245" s="4">
        <f t="shared" si="15"/>
        <v>0</v>
      </c>
    </row>
    <row r="246" spans="1:14" x14ac:dyDescent="0.2">
      <c r="A246" t="s">
        <v>6</v>
      </c>
      <c r="B246">
        <v>829</v>
      </c>
      <c r="C246">
        <v>1</v>
      </c>
      <c r="D246" t="s">
        <v>250</v>
      </c>
      <c r="E246" s="5">
        <v>12816951.23</v>
      </c>
      <c r="F246" s="5">
        <v>1114894.8</v>
      </c>
      <c r="G246" s="2">
        <f t="shared" si="12"/>
        <v>1115167.07</v>
      </c>
      <c r="H246" s="4">
        <f t="shared" si="13"/>
        <v>272.27000000001863</v>
      </c>
      <c r="I246">
        <f t="shared" si="14"/>
        <v>0</v>
      </c>
      <c r="J246">
        <v>829</v>
      </c>
      <c r="K246">
        <v>1</v>
      </c>
      <c r="L246" t="s">
        <v>250</v>
      </c>
      <c r="M246" s="2">
        <v>1115167.07</v>
      </c>
      <c r="N246" s="4">
        <f t="shared" si="15"/>
        <v>0</v>
      </c>
    </row>
    <row r="247" spans="1:14" x14ac:dyDescent="0.2">
      <c r="A247" t="s">
        <v>6</v>
      </c>
      <c r="B247">
        <v>831</v>
      </c>
      <c r="C247">
        <v>1</v>
      </c>
      <c r="D247" t="s">
        <v>251</v>
      </c>
      <c r="E247" s="5">
        <v>48882098.619999997</v>
      </c>
      <c r="F247" s="5">
        <v>4252056.2300000004</v>
      </c>
      <c r="G247" s="2">
        <f t="shared" si="12"/>
        <v>4253094.66</v>
      </c>
      <c r="H247" s="4">
        <f t="shared" si="13"/>
        <v>1038.429999999702</v>
      </c>
      <c r="I247">
        <f t="shared" si="14"/>
        <v>0</v>
      </c>
      <c r="J247">
        <v>831</v>
      </c>
      <c r="K247">
        <v>1</v>
      </c>
      <c r="L247" t="s">
        <v>251</v>
      </c>
      <c r="M247" s="2">
        <v>4253094.66</v>
      </c>
      <c r="N247" s="4">
        <f t="shared" si="15"/>
        <v>0</v>
      </c>
    </row>
    <row r="248" spans="1:14" x14ac:dyDescent="0.2">
      <c r="A248" t="s">
        <v>6</v>
      </c>
      <c r="B248">
        <v>832</v>
      </c>
      <c r="C248">
        <v>1</v>
      </c>
      <c r="D248" t="s">
        <v>252</v>
      </c>
      <c r="E248" s="5">
        <v>20028722.690000001</v>
      </c>
      <c r="F248" s="5">
        <v>1742217.65</v>
      </c>
      <c r="G248" s="2">
        <f t="shared" si="12"/>
        <v>1742643.13</v>
      </c>
      <c r="H248" s="4">
        <f t="shared" si="13"/>
        <v>425.47999999998137</v>
      </c>
      <c r="I248">
        <f t="shared" si="14"/>
        <v>0</v>
      </c>
      <c r="J248">
        <v>832</v>
      </c>
      <c r="K248">
        <v>1</v>
      </c>
      <c r="L248" t="s">
        <v>252</v>
      </c>
      <c r="M248" s="2">
        <v>1742643.13</v>
      </c>
      <c r="N248" s="4">
        <f t="shared" si="15"/>
        <v>0</v>
      </c>
    </row>
    <row r="249" spans="1:14" x14ac:dyDescent="0.2">
      <c r="A249" t="s">
        <v>6</v>
      </c>
      <c r="B249">
        <v>833</v>
      </c>
      <c r="C249">
        <v>1</v>
      </c>
      <c r="D249" t="s">
        <v>253</v>
      </c>
      <c r="E249" s="5">
        <v>110294545.02</v>
      </c>
      <c r="F249" s="5">
        <v>9594076.7799999993</v>
      </c>
      <c r="G249" s="2">
        <f t="shared" si="12"/>
        <v>9596419.8200000003</v>
      </c>
      <c r="H249" s="4">
        <f t="shared" si="13"/>
        <v>2343.0400000009686</v>
      </c>
      <c r="I249">
        <f t="shared" si="14"/>
        <v>0</v>
      </c>
      <c r="J249">
        <v>833</v>
      </c>
      <c r="K249">
        <v>1</v>
      </c>
      <c r="L249" t="s">
        <v>253</v>
      </c>
      <c r="M249" s="2">
        <v>9596419.8200000003</v>
      </c>
      <c r="N249" s="4">
        <f t="shared" si="15"/>
        <v>0</v>
      </c>
    </row>
    <row r="250" spans="1:14" x14ac:dyDescent="0.2">
      <c r="A250" t="s">
        <v>6</v>
      </c>
      <c r="B250">
        <v>834</v>
      </c>
      <c r="C250">
        <v>1</v>
      </c>
      <c r="D250" t="s">
        <v>254</v>
      </c>
      <c r="E250" s="5">
        <v>57262946.649999999</v>
      </c>
      <c r="F250" s="5">
        <v>4981072.34</v>
      </c>
      <c r="G250" s="2">
        <f t="shared" si="12"/>
        <v>4982288.8</v>
      </c>
      <c r="H250" s="4">
        <f t="shared" si="13"/>
        <v>1216.4599999999627</v>
      </c>
      <c r="I250">
        <f t="shared" si="14"/>
        <v>0</v>
      </c>
      <c r="J250">
        <v>834</v>
      </c>
      <c r="K250">
        <v>1</v>
      </c>
      <c r="L250" t="s">
        <v>254</v>
      </c>
      <c r="M250" s="2">
        <v>4982288.8</v>
      </c>
      <c r="N250" s="4">
        <f t="shared" si="15"/>
        <v>0</v>
      </c>
    </row>
    <row r="251" spans="1:14" x14ac:dyDescent="0.2">
      <c r="A251" t="s">
        <v>6</v>
      </c>
      <c r="B251">
        <v>836</v>
      </c>
      <c r="C251">
        <v>1</v>
      </c>
      <c r="D251" t="s">
        <v>255</v>
      </c>
      <c r="E251" s="5">
        <v>1575224.73</v>
      </c>
      <c r="F251" s="5">
        <v>137022.43</v>
      </c>
      <c r="G251" s="2">
        <f t="shared" si="12"/>
        <v>137055.9</v>
      </c>
      <c r="H251" s="4">
        <f t="shared" si="13"/>
        <v>33.470000000001164</v>
      </c>
      <c r="I251">
        <f t="shared" si="14"/>
        <v>0</v>
      </c>
      <c r="J251">
        <v>836</v>
      </c>
      <c r="K251">
        <v>1</v>
      </c>
      <c r="L251" t="s">
        <v>255</v>
      </c>
      <c r="M251" s="2">
        <v>137055.9</v>
      </c>
      <c r="N251" s="4">
        <f t="shared" si="15"/>
        <v>0</v>
      </c>
    </row>
    <row r="252" spans="1:14" x14ac:dyDescent="0.2">
      <c r="A252" t="s">
        <v>6</v>
      </c>
      <c r="B252">
        <v>837</v>
      </c>
      <c r="C252">
        <v>1</v>
      </c>
      <c r="D252" t="s">
        <v>256</v>
      </c>
      <c r="E252" s="5">
        <v>3927281.73</v>
      </c>
      <c r="F252" s="5">
        <v>341618.37</v>
      </c>
      <c r="G252" s="2">
        <f t="shared" si="12"/>
        <v>341701.8</v>
      </c>
      <c r="H252" s="4">
        <f t="shared" si="13"/>
        <v>83.429999999993015</v>
      </c>
      <c r="I252">
        <f t="shared" si="14"/>
        <v>0</v>
      </c>
      <c r="J252">
        <v>837</v>
      </c>
      <c r="K252">
        <v>1</v>
      </c>
      <c r="L252" t="s">
        <v>256</v>
      </c>
      <c r="M252" s="2">
        <v>341701.8</v>
      </c>
      <c r="N252" s="4">
        <f t="shared" si="15"/>
        <v>0</v>
      </c>
    </row>
    <row r="253" spans="1:14" x14ac:dyDescent="0.2">
      <c r="A253" t="s">
        <v>6</v>
      </c>
      <c r="B253">
        <v>840</v>
      </c>
      <c r="C253">
        <v>1</v>
      </c>
      <c r="D253" t="s">
        <v>257</v>
      </c>
      <c r="E253" s="5">
        <v>8409479.9800000004</v>
      </c>
      <c r="F253" s="5">
        <v>731506.68</v>
      </c>
      <c r="G253" s="2">
        <f t="shared" si="12"/>
        <v>731685.33</v>
      </c>
      <c r="H253" s="4">
        <f t="shared" si="13"/>
        <v>178.64999999990687</v>
      </c>
      <c r="I253">
        <f t="shared" si="14"/>
        <v>0</v>
      </c>
      <c r="J253">
        <v>840</v>
      </c>
      <c r="K253">
        <v>1</v>
      </c>
      <c r="L253" t="s">
        <v>257</v>
      </c>
      <c r="M253" s="2">
        <v>731685.33</v>
      </c>
      <c r="N253" s="4">
        <f t="shared" si="15"/>
        <v>0</v>
      </c>
    </row>
    <row r="254" spans="1:14" x14ac:dyDescent="0.2">
      <c r="A254" t="s">
        <v>6</v>
      </c>
      <c r="B254">
        <v>846</v>
      </c>
      <c r="C254">
        <v>1</v>
      </c>
      <c r="D254" t="s">
        <v>258</v>
      </c>
      <c r="E254" s="5">
        <v>5800579.21</v>
      </c>
      <c r="F254" s="5">
        <v>504568.95</v>
      </c>
      <c r="G254" s="2">
        <f t="shared" si="12"/>
        <v>504692.17</v>
      </c>
      <c r="H254" s="4">
        <f t="shared" si="13"/>
        <v>123.21999999997206</v>
      </c>
      <c r="I254">
        <f t="shared" si="14"/>
        <v>0</v>
      </c>
      <c r="J254">
        <v>846</v>
      </c>
      <c r="K254">
        <v>1</v>
      </c>
      <c r="L254" t="s">
        <v>258</v>
      </c>
      <c r="M254" s="2">
        <v>504692.17</v>
      </c>
      <c r="N254" s="4">
        <f t="shared" si="15"/>
        <v>0</v>
      </c>
    </row>
    <row r="255" spans="1:14" x14ac:dyDescent="0.2">
      <c r="A255" t="s">
        <v>6</v>
      </c>
      <c r="B255">
        <v>850</v>
      </c>
      <c r="C255">
        <v>1</v>
      </c>
      <c r="D255" t="s">
        <v>259</v>
      </c>
      <c r="E255" s="5">
        <v>1484488.61</v>
      </c>
      <c r="F255" s="5">
        <v>129129.67</v>
      </c>
      <c r="G255" s="2">
        <f t="shared" si="12"/>
        <v>129161.2</v>
      </c>
      <c r="H255" s="4">
        <f t="shared" si="13"/>
        <v>31.529999999998836</v>
      </c>
      <c r="I255">
        <f t="shared" si="14"/>
        <v>0</v>
      </c>
      <c r="J255">
        <v>850</v>
      </c>
      <c r="K255">
        <v>1</v>
      </c>
      <c r="L255" t="s">
        <v>259</v>
      </c>
      <c r="M255" s="2">
        <v>129161.2</v>
      </c>
      <c r="N255" s="4">
        <f t="shared" si="15"/>
        <v>0</v>
      </c>
    </row>
    <row r="256" spans="1:14" x14ac:dyDescent="0.2">
      <c r="A256" t="s">
        <v>6</v>
      </c>
      <c r="B256">
        <v>852</v>
      </c>
      <c r="C256">
        <v>1</v>
      </c>
      <c r="D256" t="s">
        <v>260</v>
      </c>
      <c r="E256" s="5">
        <v>971008.11</v>
      </c>
      <c r="F256" s="5">
        <v>84464.07</v>
      </c>
      <c r="G256" s="2">
        <f t="shared" si="12"/>
        <v>84484.7</v>
      </c>
      <c r="H256" s="4">
        <f t="shared" si="13"/>
        <v>20.629999999990105</v>
      </c>
      <c r="I256">
        <f t="shared" si="14"/>
        <v>0</v>
      </c>
      <c r="J256">
        <v>852</v>
      </c>
      <c r="K256">
        <v>1</v>
      </c>
      <c r="L256" t="s">
        <v>260</v>
      </c>
      <c r="M256" s="2">
        <v>84484.7</v>
      </c>
      <c r="N256" s="4">
        <f t="shared" si="15"/>
        <v>0</v>
      </c>
    </row>
    <row r="257" spans="1:14" x14ac:dyDescent="0.2">
      <c r="A257" t="s">
        <v>6</v>
      </c>
      <c r="B257">
        <v>857</v>
      </c>
      <c r="C257">
        <v>1</v>
      </c>
      <c r="D257" t="s">
        <v>261</v>
      </c>
      <c r="E257" s="5">
        <v>4991132.0199999996</v>
      </c>
      <c r="F257" s="5">
        <v>434158.41</v>
      </c>
      <c r="G257" s="2">
        <f t="shared" si="12"/>
        <v>434264.43</v>
      </c>
      <c r="H257" s="4">
        <f t="shared" si="13"/>
        <v>106.02000000001863</v>
      </c>
      <c r="I257">
        <f t="shared" si="14"/>
        <v>0</v>
      </c>
      <c r="J257">
        <v>857</v>
      </c>
      <c r="K257">
        <v>1</v>
      </c>
      <c r="L257" t="s">
        <v>261</v>
      </c>
      <c r="M257" s="2">
        <v>434264.43</v>
      </c>
      <c r="N257" s="4">
        <f t="shared" si="15"/>
        <v>0</v>
      </c>
    </row>
    <row r="258" spans="1:14" x14ac:dyDescent="0.2">
      <c r="A258" t="s">
        <v>6</v>
      </c>
      <c r="B258">
        <v>858</v>
      </c>
      <c r="C258">
        <v>1</v>
      </c>
      <c r="D258" t="s">
        <v>262</v>
      </c>
      <c r="E258" s="5">
        <v>6736317.2300000004</v>
      </c>
      <c r="F258" s="5">
        <v>585965.02</v>
      </c>
      <c r="G258" s="2">
        <f t="shared" si="12"/>
        <v>586108.12</v>
      </c>
      <c r="H258" s="4">
        <f t="shared" si="13"/>
        <v>143.09999999997672</v>
      </c>
      <c r="I258">
        <f t="shared" si="14"/>
        <v>0</v>
      </c>
      <c r="J258">
        <v>858</v>
      </c>
      <c r="K258">
        <v>1</v>
      </c>
      <c r="L258" t="s">
        <v>262</v>
      </c>
      <c r="M258" s="2">
        <v>586108.12</v>
      </c>
      <c r="N258" s="4">
        <f t="shared" si="15"/>
        <v>0</v>
      </c>
    </row>
    <row r="259" spans="1:14" x14ac:dyDescent="0.2">
      <c r="A259" t="s">
        <v>6</v>
      </c>
      <c r="B259">
        <v>861</v>
      </c>
      <c r="C259">
        <v>1</v>
      </c>
      <c r="D259" t="s">
        <v>263</v>
      </c>
      <c r="E259" s="5">
        <v>24441445.09</v>
      </c>
      <c r="F259" s="5">
        <v>2126062.54</v>
      </c>
      <c r="G259" s="2">
        <f t="shared" si="12"/>
        <v>2126581.7599999998</v>
      </c>
      <c r="H259" s="4">
        <f t="shared" si="13"/>
        <v>519.21999999973923</v>
      </c>
      <c r="I259">
        <f t="shared" si="14"/>
        <v>0</v>
      </c>
      <c r="J259">
        <v>861</v>
      </c>
      <c r="K259">
        <v>1</v>
      </c>
      <c r="L259" t="s">
        <v>263</v>
      </c>
      <c r="M259" s="2">
        <v>2126581.7599999998</v>
      </c>
      <c r="N259" s="4">
        <f t="shared" si="15"/>
        <v>0</v>
      </c>
    </row>
    <row r="260" spans="1:14" x14ac:dyDescent="0.2">
      <c r="A260" t="s">
        <v>6</v>
      </c>
      <c r="B260">
        <v>876</v>
      </c>
      <c r="C260">
        <v>1</v>
      </c>
      <c r="D260" t="s">
        <v>264</v>
      </c>
      <c r="E260" s="5">
        <v>11749875.77</v>
      </c>
      <c r="F260" s="5">
        <v>1022074.21</v>
      </c>
      <c r="G260" s="2">
        <f t="shared" ref="G260:G323" si="16">ROUND(E260*$G$485,2)</f>
        <v>1022323.82</v>
      </c>
      <c r="H260" s="4">
        <f t="shared" ref="H260:H323" si="17">G260-F260</f>
        <v>249.60999999998603</v>
      </c>
      <c r="I260">
        <f t="shared" ref="I260:I323" si="18">J260-B260</f>
        <v>0</v>
      </c>
      <c r="J260">
        <v>876</v>
      </c>
      <c r="K260">
        <v>1</v>
      </c>
      <c r="L260" t="s">
        <v>264</v>
      </c>
      <c r="M260" s="2">
        <v>1022323.82</v>
      </c>
      <c r="N260" s="4">
        <f t="shared" ref="N260:N323" si="19">M260-G260</f>
        <v>0</v>
      </c>
    </row>
    <row r="261" spans="1:14" x14ac:dyDescent="0.2">
      <c r="A261" t="s">
        <v>6</v>
      </c>
      <c r="B261">
        <v>877</v>
      </c>
      <c r="C261">
        <v>1</v>
      </c>
      <c r="D261" t="s">
        <v>265</v>
      </c>
      <c r="E261" s="5">
        <v>36707230.229999997</v>
      </c>
      <c r="F261" s="5">
        <v>3193013.63</v>
      </c>
      <c r="G261" s="2">
        <f t="shared" si="16"/>
        <v>3193793.42</v>
      </c>
      <c r="H261" s="4">
        <f t="shared" si="17"/>
        <v>779.79000000003725</v>
      </c>
      <c r="I261">
        <f t="shared" si="18"/>
        <v>0</v>
      </c>
      <c r="J261">
        <v>877</v>
      </c>
      <c r="K261">
        <v>1</v>
      </c>
      <c r="L261" t="s">
        <v>265</v>
      </c>
      <c r="M261" s="2">
        <v>3193793.42</v>
      </c>
      <c r="N261" s="4">
        <f t="shared" si="19"/>
        <v>0</v>
      </c>
    </row>
    <row r="262" spans="1:14" x14ac:dyDescent="0.2">
      <c r="A262" t="s">
        <v>6</v>
      </c>
      <c r="B262">
        <v>879</v>
      </c>
      <c r="C262">
        <v>1</v>
      </c>
      <c r="D262" t="s">
        <v>266</v>
      </c>
      <c r="E262" s="5">
        <v>15095080.99</v>
      </c>
      <c r="F262" s="5">
        <v>1313060.1000000001</v>
      </c>
      <c r="G262" s="2">
        <f t="shared" si="16"/>
        <v>1313380.77</v>
      </c>
      <c r="H262" s="4">
        <f t="shared" si="17"/>
        <v>320.66999999992549</v>
      </c>
      <c r="I262">
        <f t="shared" si="18"/>
        <v>0</v>
      </c>
      <c r="J262">
        <v>879</v>
      </c>
      <c r="K262">
        <v>1</v>
      </c>
      <c r="L262" t="s">
        <v>266</v>
      </c>
      <c r="M262" s="2">
        <v>1313380.77</v>
      </c>
      <c r="N262" s="4">
        <f t="shared" si="19"/>
        <v>0</v>
      </c>
    </row>
    <row r="263" spans="1:14" x14ac:dyDescent="0.2">
      <c r="A263" t="s">
        <v>6</v>
      </c>
      <c r="B263">
        <v>881</v>
      </c>
      <c r="C263">
        <v>1</v>
      </c>
      <c r="D263" t="s">
        <v>267</v>
      </c>
      <c r="E263" s="5">
        <v>6516329.9100000001</v>
      </c>
      <c r="F263" s="5">
        <v>566829.21</v>
      </c>
      <c r="G263" s="2">
        <f t="shared" si="16"/>
        <v>566967.64</v>
      </c>
      <c r="H263" s="4">
        <f t="shared" si="17"/>
        <v>138.43000000005122</v>
      </c>
      <c r="I263">
        <f t="shared" si="18"/>
        <v>0</v>
      </c>
      <c r="J263">
        <v>881</v>
      </c>
      <c r="K263">
        <v>1</v>
      </c>
      <c r="L263" t="s">
        <v>267</v>
      </c>
      <c r="M263" s="2">
        <v>566967.64</v>
      </c>
      <c r="N263" s="4">
        <f t="shared" si="19"/>
        <v>0</v>
      </c>
    </row>
    <row r="264" spans="1:14" x14ac:dyDescent="0.2">
      <c r="A264" t="s">
        <v>6</v>
      </c>
      <c r="B264">
        <v>882</v>
      </c>
      <c r="C264">
        <v>1</v>
      </c>
      <c r="D264" t="s">
        <v>268</v>
      </c>
      <c r="E264" s="5">
        <v>25314776.699999999</v>
      </c>
      <c r="F264" s="5">
        <v>2202030.13</v>
      </c>
      <c r="G264" s="2">
        <f t="shared" si="16"/>
        <v>2202567.91</v>
      </c>
      <c r="H264" s="4">
        <f t="shared" si="17"/>
        <v>537.78000000026077</v>
      </c>
      <c r="I264">
        <f t="shared" si="18"/>
        <v>0</v>
      </c>
      <c r="J264">
        <v>882</v>
      </c>
      <c r="K264">
        <v>1</v>
      </c>
      <c r="L264" t="s">
        <v>268</v>
      </c>
      <c r="M264" s="2">
        <v>2202567.91</v>
      </c>
      <c r="N264" s="4">
        <f t="shared" si="19"/>
        <v>0</v>
      </c>
    </row>
    <row r="265" spans="1:14" x14ac:dyDescent="0.2">
      <c r="A265" t="s">
        <v>6</v>
      </c>
      <c r="B265">
        <v>883</v>
      </c>
      <c r="C265">
        <v>1</v>
      </c>
      <c r="D265" t="s">
        <v>269</v>
      </c>
      <c r="E265" s="5">
        <v>10358693.98</v>
      </c>
      <c r="F265" s="5">
        <v>901060.93</v>
      </c>
      <c r="G265" s="2">
        <f t="shared" si="16"/>
        <v>901280.99</v>
      </c>
      <c r="H265" s="4">
        <f t="shared" si="17"/>
        <v>220.05999999993946</v>
      </c>
      <c r="I265">
        <f t="shared" si="18"/>
        <v>0</v>
      </c>
      <c r="J265">
        <v>883</v>
      </c>
      <c r="K265">
        <v>1</v>
      </c>
      <c r="L265" t="s">
        <v>269</v>
      </c>
      <c r="M265" s="2">
        <v>901280.99</v>
      </c>
      <c r="N265" s="4">
        <f t="shared" si="19"/>
        <v>0</v>
      </c>
    </row>
    <row r="266" spans="1:14" x14ac:dyDescent="0.2">
      <c r="A266" t="s">
        <v>6</v>
      </c>
      <c r="B266">
        <v>885</v>
      </c>
      <c r="C266">
        <v>1</v>
      </c>
      <c r="D266" t="s">
        <v>270</v>
      </c>
      <c r="E266" s="5">
        <v>28847955.09</v>
      </c>
      <c r="F266" s="5">
        <v>2509367.04</v>
      </c>
      <c r="G266" s="2">
        <f t="shared" si="16"/>
        <v>2509979.87</v>
      </c>
      <c r="H266" s="4">
        <f t="shared" si="17"/>
        <v>612.83000000007451</v>
      </c>
      <c r="I266">
        <f t="shared" si="18"/>
        <v>0</v>
      </c>
      <c r="J266">
        <v>885</v>
      </c>
      <c r="K266">
        <v>1</v>
      </c>
      <c r="L266" t="s">
        <v>270</v>
      </c>
      <c r="M266" s="2">
        <v>2509979.87</v>
      </c>
      <c r="N266" s="4">
        <f t="shared" si="19"/>
        <v>0</v>
      </c>
    </row>
    <row r="267" spans="1:14" x14ac:dyDescent="0.2">
      <c r="A267" t="s">
        <v>6</v>
      </c>
      <c r="B267">
        <v>891</v>
      </c>
      <c r="C267">
        <v>1</v>
      </c>
      <c r="D267" t="s">
        <v>271</v>
      </c>
      <c r="E267" s="5">
        <v>3968677.62</v>
      </c>
      <c r="F267" s="5">
        <v>345219.23</v>
      </c>
      <c r="G267" s="2">
        <f t="shared" si="16"/>
        <v>345303.54</v>
      </c>
      <c r="H267" s="4">
        <f t="shared" si="17"/>
        <v>84.309999999997672</v>
      </c>
      <c r="I267">
        <f t="shared" si="18"/>
        <v>0</v>
      </c>
      <c r="J267">
        <v>891</v>
      </c>
      <c r="K267">
        <v>1</v>
      </c>
      <c r="L267" t="s">
        <v>271</v>
      </c>
      <c r="M267" s="2">
        <v>345303.54</v>
      </c>
      <c r="N267" s="4">
        <f t="shared" si="19"/>
        <v>0</v>
      </c>
    </row>
    <row r="268" spans="1:14" x14ac:dyDescent="0.2">
      <c r="A268" t="s">
        <v>6</v>
      </c>
      <c r="B268">
        <v>911</v>
      </c>
      <c r="C268">
        <v>1</v>
      </c>
      <c r="D268" t="s">
        <v>272</v>
      </c>
      <c r="E268" s="5">
        <v>34662211.229999997</v>
      </c>
      <c r="F268" s="5">
        <v>3015125.69</v>
      </c>
      <c r="G268" s="2">
        <f t="shared" si="16"/>
        <v>3015862.04</v>
      </c>
      <c r="H268" s="4">
        <f t="shared" si="17"/>
        <v>736.35000000009313</v>
      </c>
      <c r="I268">
        <f t="shared" si="18"/>
        <v>0</v>
      </c>
      <c r="J268">
        <v>911</v>
      </c>
      <c r="K268">
        <v>1</v>
      </c>
      <c r="L268" t="s">
        <v>272</v>
      </c>
      <c r="M268" s="2">
        <v>3015862.04</v>
      </c>
      <c r="N268" s="4">
        <f t="shared" si="19"/>
        <v>0</v>
      </c>
    </row>
    <row r="269" spans="1:14" x14ac:dyDescent="0.2">
      <c r="A269" t="s">
        <v>6</v>
      </c>
      <c r="B269">
        <v>912</v>
      </c>
      <c r="C269">
        <v>1</v>
      </c>
      <c r="D269" t="s">
        <v>273</v>
      </c>
      <c r="E269" s="5">
        <v>12853126.390000001</v>
      </c>
      <c r="F269" s="5">
        <v>1118041.53</v>
      </c>
      <c r="G269" s="2">
        <f t="shared" si="16"/>
        <v>1118314.57</v>
      </c>
      <c r="H269" s="4">
        <f t="shared" si="17"/>
        <v>273.04000000003725</v>
      </c>
      <c r="I269">
        <f t="shared" si="18"/>
        <v>0</v>
      </c>
      <c r="J269">
        <v>912</v>
      </c>
      <c r="K269">
        <v>1</v>
      </c>
      <c r="L269" t="s">
        <v>273</v>
      </c>
      <c r="M269" s="2">
        <v>1118314.57</v>
      </c>
      <c r="N269" s="4">
        <f t="shared" si="19"/>
        <v>0</v>
      </c>
    </row>
    <row r="270" spans="1:14" x14ac:dyDescent="0.2">
      <c r="A270" t="s">
        <v>6</v>
      </c>
      <c r="B270">
        <v>914</v>
      </c>
      <c r="C270">
        <v>1</v>
      </c>
      <c r="D270" t="s">
        <v>274</v>
      </c>
      <c r="E270" s="5">
        <v>1980035.01</v>
      </c>
      <c r="F270" s="5">
        <v>172235.24</v>
      </c>
      <c r="G270" s="2">
        <f t="shared" si="16"/>
        <v>172277.31</v>
      </c>
      <c r="H270" s="4">
        <f t="shared" si="17"/>
        <v>42.070000000006985</v>
      </c>
      <c r="I270">
        <f t="shared" si="18"/>
        <v>0</v>
      </c>
      <c r="J270">
        <v>914</v>
      </c>
      <c r="K270">
        <v>1</v>
      </c>
      <c r="L270" t="s">
        <v>274</v>
      </c>
      <c r="M270" s="2">
        <v>172277.31</v>
      </c>
      <c r="N270" s="4">
        <f t="shared" si="19"/>
        <v>0</v>
      </c>
    </row>
    <row r="271" spans="1:14" x14ac:dyDescent="0.2">
      <c r="A271" t="s">
        <v>6</v>
      </c>
      <c r="B271">
        <v>2071</v>
      </c>
      <c r="C271">
        <v>1</v>
      </c>
      <c r="D271" t="s">
        <v>275</v>
      </c>
      <c r="E271" s="5">
        <v>5260973.6399999997</v>
      </c>
      <c r="F271" s="5">
        <v>457630.84</v>
      </c>
      <c r="G271" s="2">
        <f t="shared" si="16"/>
        <v>457742.6</v>
      </c>
      <c r="H271" s="4">
        <f t="shared" si="17"/>
        <v>111.75999999995111</v>
      </c>
      <c r="I271">
        <f t="shared" si="18"/>
        <v>0</v>
      </c>
      <c r="J271">
        <v>2071</v>
      </c>
      <c r="K271">
        <v>1</v>
      </c>
      <c r="L271" t="s">
        <v>275</v>
      </c>
      <c r="M271" s="2">
        <v>457742.6</v>
      </c>
      <c r="N271" s="4">
        <f t="shared" si="19"/>
        <v>0</v>
      </c>
    </row>
    <row r="272" spans="1:14" x14ac:dyDescent="0.2">
      <c r="A272" t="s">
        <v>6</v>
      </c>
      <c r="B272">
        <v>2125</v>
      </c>
      <c r="C272">
        <v>1</v>
      </c>
      <c r="D272" t="s">
        <v>276</v>
      </c>
      <c r="E272" s="5">
        <v>7591873.0999999996</v>
      </c>
      <c r="F272" s="5">
        <v>660386.36</v>
      </c>
      <c r="G272" s="2">
        <f t="shared" si="16"/>
        <v>660547.64</v>
      </c>
      <c r="H272" s="4">
        <f t="shared" si="17"/>
        <v>161.28000000002794</v>
      </c>
      <c r="I272">
        <f t="shared" si="18"/>
        <v>0</v>
      </c>
      <c r="J272">
        <v>2125</v>
      </c>
      <c r="K272">
        <v>1</v>
      </c>
      <c r="L272" t="s">
        <v>276</v>
      </c>
      <c r="M272" s="2">
        <v>660547.64</v>
      </c>
      <c r="N272" s="4">
        <f t="shared" si="19"/>
        <v>0</v>
      </c>
    </row>
    <row r="273" spans="1:14" x14ac:dyDescent="0.2">
      <c r="A273" t="s">
        <v>6</v>
      </c>
      <c r="B273">
        <v>2134</v>
      </c>
      <c r="C273">
        <v>1</v>
      </c>
      <c r="D273" t="s">
        <v>277</v>
      </c>
      <c r="E273" s="5">
        <v>5750030.5800000001</v>
      </c>
      <c r="F273" s="5">
        <v>500171.92</v>
      </c>
      <c r="G273" s="2">
        <f t="shared" si="16"/>
        <v>500294.08</v>
      </c>
      <c r="H273" s="4">
        <f t="shared" si="17"/>
        <v>122.1600000000326</v>
      </c>
      <c r="I273">
        <f t="shared" si="18"/>
        <v>0</v>
      </c>
      <c r="J273">
        <v>2134</v>
      </c>
      <c r="K273">
        <v>1</v>
      </c>
      <c r="L273" t="s">
        <v>277</v>
      </c>
      <c r="M273" s="2">
        <v>500294.08</v>
      </c>
      <c r="N273" s="4">
        <f t="shared" si="19"/>
        <v>0</v>
      </c>
    </row>
    <row r="274" spans="1:14" x14ac:dyDescent="0.2">
      <c r="A274" t="s">
        <v>6</v>
      </c>
      <c r="B274">
        <v>2135</v>
      </c>
      <c r="C274">
        <v>1</v>
      </c>
      <c r="D274" t="s">
        <v>278</v>
      </c>
      <c r="E274" s="5">
        <v>7884543.04</v>
      </c>
      <c r="F274" s="5">
        <v>685844.54</v>
      </c>
      <c r="G274" s="2">
        <f t="shared" si="16"/>
        <v>686012.03</v>
      </c>
      <c r="H274" s="4">
        <f t="shared" si="17"/>
        <v>167.48999999999069</v>
      </c>
      <c r="I274">
        <f t="shared" si="18"/>
        <v>0</v>
      </c>
      <c r="J274">
        <v>2135</v>
      </c>
      <c r="K274">
        <v>1</v>
      </c>
      <c r="L274" t="s">
        <v>278</v>
      </c>
      <c r="M274" s="2">
        <v>686012.03</v>
      </c>
      <c r="N274" s="4">
        <f t="shared" si="19"/>
        <v>0</v>
      </c>
    </row>
    <row r="275" spans="1:14" x14ac:dyDescent="0.2">
      <c r="A275" t="s">
        <v>6</v>
      </c>
      <c r="B275">
        <v>2137</v>
      </c>
      <c r="C275">
        <v>1</v>
      </c>
      <c r="D275" t="s">
        <v>279</v>
      </c>
      <c r="E275" s="5">
        <v>5040158.92</v>
      </c>
      <c r="F275" s="5">
        <v>438423.06</v>
      </c>
      <c r="G275" s="2">
        <f t="shared" si="16"/>
        <v>438530.13</v>
      </c>
      <c r="H275" s="4">
        <f t="shared" si="17"/>
        <v>107.07000000000698</v>
      </c>
      <c r="I275">
        <f t="shared" si="18"/>
        <v>0</v>
      </c>
      <c r="J275">
        <v>2137</v>
      </c>
      <c r="K275">
        <v>1</v>
      </c>
      <c r="L275" t="s">
        <v>279</v>
      </c>
      <c r="M275" s="2">
        <v>438530.13</v>
      </c>
      <c r="N275" s="4">
        <f t="shared" si="19"/>
        <v>0</v>
      </c>
    </row>
    <row r="276" spans="1:14" x14ac:dyDescent="0.2">
      <c r="A276" t="s">
        <v>6</v>
      </c>
      <c r="B276">
        <v>2142</v>
      </c>
      <c r="C276">
        <v>1</v>
      </c>
      <c r="D276" t="s">
        <v>280</v>
      </c>
      <c r="E276" s="5">
        <v>18523820.280000001</v>
      </c>
      <c r="F276" s="5">
        <v>1611312.27</v>
      </c>
      <c r="G276" s="2">
        <f t="shared" si="16"/>
        <v>1611705.78</v>
      </c>
      <c r="H276" s="4">
        <f t="shared" si="17"/>
        <v>393.51000000000931</v>
      </c>
      <c r="I276">
        <f t="shared" si="18"/>
        <v>0</v>
      </c>
      <c r="J276">
        <v>2142</v>
      </c>
      <c r="K276">
        <v>1</v>
      </c>
      <c r="L276" t="s">
        <v>280</v>
      </c>
      <c r="M276" s="2">
        <v>1611705.78</v>
      </c>
      <c r="N276" s="4">
        <f t="shared" si="19"/>
        <v>0</v>
      </c>
    </row>
    <row r="277" spans="1:14" x14ac:dyDescent="0.2">
      <c r="A277" t="s">
        <v>6</v>
      </c>
      <c r="B277">
        <v>2143</v>
      </c>
      <c r="C277">
        <v>1</v>
      </c>
      <c r="D277" t="s">
        <v>281</v>
      </c>
      <c r="E277" s="5">
        <v>6454619.3600000003</v>
      </c>
      <c r="F277" s="5">
        <v>561461.26</v>
      </c>
      <c r="G277" s="2">
        <f t="shared" si="16"/>
        <v>561598.37</v>
      </c>
      <c r="H277" s="4">
        <f t="shared" si="17"/>
        <v>137.10999999998603</v>
      </c>
      <c r="I277">
        <f t="shared" si="18"/>
        <v>0</v>
      </c>
      <c r="J277">
        <v>2143</v>
      </c>
      <c r="K277">
        <v>1</v>
      </c>
      <c r="L277" t="s">
        <v>281</v>
      </c>
      <c r="M277" s="2">
        <v>561598.37</v>
      </c>
      <c r="N277" s="4">
        <f t="shared" si="19"/>
        <v>0</v>
      </c>
    </row>
    <row r="278" spans="1:14" x14ac:dyDescent="0.2">
      <c r="A278" t="s">
        <v>6</v>
      </c>
      <c r="B278">
        <v>2144</v>
      </c>
      <c r="C278">
        <v>1</v>
      </c>
      <c r="D278" t="s">
        <v>282</v>
      </c>
      <c r="E278" s="5">
        <v>22708874.280000001</v>
      </c>
      <c r="F278" s="5">
        <v>1975353.21</v>
      </c>
      <c r="G278" s="2">
        <f t="shared" si="16"/>
        <v>1975835.63</v>
      </c>
      <c r="H278" s="4">
        <f t="shared" si="17"/>
        <v>482.41999999992549</v>
      </c>
      <c r="I278">
        <f t="shared" si="18"/>
        <v>0</v>
      </c>
      <c r="J278">
        <v>2144</v>
      </c>
      <c r="K278">
        <v>1</v>
      </c>
      <c r="L278" t="s">
        <v>282</v>
      </c>
      <c r="M278" s="2">
        <v>1975835.63</v>
      </c>
      <c r="N278" s="4">
        <f t="shared" si="19"/>
        <v>0</v>
      </c>
    </row>
    <row r="279" spans="1:14" x14ac:dyDescent="0.2">
      <c r="A279" t="s">
        <v>6</v>
      </c>
      <c r="B279">
        <v>2149</v>
      </c>
      <c r="C279">
        <v>1</v>
      </c>
      <c r="D279" t="s">
        <v>283</v>
      </c>
      <c r="E279" s="5">
        <v>8201971.3099999996</v>
      </c>
      <c r="F279" s="5">
        <v>713456.34</v>
      </c>
      <c r="G279" s="2">
        <f t="shared" si="16"/>
        <v>713630.58</v>
      </c>
      <c r="H279" s="4">
        <f t="shared" si="17"/>
        <v>174.23999999999069</v>
      </c>
      <c r="I279">
        <f t="shared" si="18"/>
        <v>0</v>
      </c>
      <c r="J279">
        <v>2149</v>
      </c>
      <c r="K279">
        <v>1</v>
      </c>
      <c r="L279" t="s">
        <v>283</v>
      </c>
      <c r="M279" s="2">
        <v>713630.58</v>
      </c>
      <c r="N279" s="4">
        <f t="shared" si="19"/>
        <v>0</v>
      </c>
    </row>
    <row r="280" spans="1:14" x14ac:dyDescent="0.2">
      <c r="A280" t="s">
        <v>6</v>
      </c>
      <c r="B280">
        <v>2154</v>
      </c>
      <c r="C280">
        <v>1</v>
      </c>
      <c r="D280" t="s">
        <v>284</v>
      </c>
      <c r="E280" s="5">
        <v>8548524.8900000006</v>
      </c>
      <c r="F280" s="5">
        <v>743601.64</v>
      </c>
      <c r="G280" s="2">
        <f t="shared" si="16"/>
        <v>743783.24</v>
      </c>
      <c r="H280" s="4">
        <f t="shared" si="17"/>
        <v>181.59999999997672</v>
      </c>
      <c r="I280">
        <f t="shared" si="18"/>
        <v>0</v>
      </c>
      <c r="J280">
        <v>2154</v>
      </c>
      <c r="K280">
        <v>1</v>
      </c>
      <c r="L280" t="s">
        <v>284</v>
      </c>
      <c r="M280" s="2">
        <v>743783.24</v>
      </c>
      <c r="N280" s="4">
        <f t="shared" si="19"/>
        <v>0</v>
      </c>
    </row>
    <row r="281" spans="1:14" x14ac:dyDescent="0.2">
      <c r="A281" t="s">
        <v>6</v>
      </c>
      <c r="B281">
        <v>2155</v>
      </c>
      <c r="C281">
        <v>1</v>
      </c>
      <c r="D281" t="s">
        <v>285</v>
      </c>
      <c r="E281" s="5">
        <v>8362204.1699999999</v>
      </c>
      <c r="F281" s="5">
        <v>727394.35</v>
      </c>
      <c r="G281" s="2">
        <f t="shared" si="16"/>
        <v>727571.99</v>
      </c>
      <c r="H281" s="4">
        <f t="shared" si="17"/>
        <v>177.64000000001397</v>
      </c>
      <c r="I281">
        <f t="shared" si="18"/>
        <v>0</v>
      </c>
      <c r="J281">
        <v>2155</v>
      </c>
      <c r="K281">
        <v>1</v>
      </c>
      <c r="L281" t="s">
        <v>285</v>
      </c>
      <c r="M281" s="2">
        <v>727571.99</v>
      </c>
      <c r="N281" s="4">
        <f t="shared" si="19"/>
        <v>0</v>
      </c>
    </row>
    <row r="282" spans="1:14" x14ac:dyDescent="0.2">
      <c r="A282" t="s">
        <v>6</v>
      </c>
      <c r="B282">
        <v>2159</v>
      </c>
      <c r="C282">
        <v>1</v>
      </c>
      <c r="D282" t="s">
        <v>286</v>
      </c>
      <c r="E282" s="5">
        <v>4408474.4000000004</v>
      </c>
      <c r="F282" s="5">
        <v>383475.37</v>
      </c>
      <c r="G282" s="2">
        <f t="shared" si="16"/>
        <v>383569.03</v>
      </c>
      <c r="H282" s="4">
        <f t="shared" si="17"/>
        <v>93.660000000032596</v>
      </c>
      <c r="I282">
        <f t="shared" si="18"/>
        <v>0</v>
      </c>
      <c r="J282">
        <v>2159</v>
      </c>
      <c r="K282">
        <v>1</v>
      </c>
      <c r="L282" t="s">
        <v>286</v>
      </c>
      <c r="M282" s="2">
        <v>383569.03</v>
      </c>
      <c r="N282" s="4">
        <f t="shared" si="19"/>
        <v>0</v>
      </c>
    </row>
    <row r="283" spans="1:14" x14ac:dyDescent="0.2">
      <c r="A283" t="s">
        <v>6</v>
      </c>
      <c r="B283">
        <v>2164</v>
      </c>
      <c r="C283">
        <v>1</v>
      </c>
      <c r="D283" t="s">
        <v>287</v>
      </c>
      <c r="E283" s="5">
        <v>8646834.8100000005</v>
      </c>
      <c r="F283" s="5">
        <v>752153.22</v>
      </c>
      <c r="G283" s="2">
        <f t="shared" si="16"/>
        <v>752336.91</v>
      </c>
      <c r="H283" s="4">
        <f t="shared" si="17"/>
        <v>183.69000000006054</v>
      </c>
      <c r="I283">
        <f t="shared" si="18"/>
        <v>0</v>
      </c>
      <c r="J283">
        <v>2164</v>
      </c>
      <c r="K283">
        <v>1</v>
      </c>
      <c r="L283" t="s">
        <v>287</v>
      </c>
      <c r="M283" s="2">
        <v>752336.91</v>
      </c>
      <c r="N283" s="4">
        <f t="shared" si="19"/>
        <v>0</v>
      </c>
    </row>
    <row r="284" spans="1:14" x14ac:dyDescent="0.2">
      <c r="A284" t="s">
        <v>6</v>
      </c>
      <c r="B284">
        <v>2165</v>
      </c>
      <c r="C284">
        <v>1</v>
      </c>
      <c r="D284" t="s">
        <v>288</v>
      </c>
      <c r="E284" s="5">
        <v>7312800.4199999999</v>
      </c>
      <c r="F284" s="5">
        <v>636110.96</v>
      </c>
      <c r="G284" s="2">
        <f t="shared" si="16"/>
        <v>636266.31000000006</v>
      </c>
      <c r="H284" s="4">
        <f t="shared" si="17"/>
        <v>155.35000000009313</v>
      </c>
      <c r="I284">
        <f t="shared" si="18"/>
        <v>0</v>
      </c>
      <c r="J284">
        <v>2165</v>
      </c>
      <c r="K284">
        <v>1</v>
      </c>
      <c r="L284" t="s">
        <v>288</v>
      </c>
      <c r="M284" s="2">
        <v>636266.31000000006</v>
      </c>
      <c r="N284" s="4">
        <f t="shared" si="19"/>
        <v>0</v>
      </c>
    </row>
    <row r="285" spans="1:14" x14ac:dyDescent="0.2">
      <c r="A285" t="s">
        <v>6</v>
      </c>
      <c r="B285">
        <v>2167</v>
      </c>
      <c r="C285">
        <v>1</v>
      </c>
      <c r="D285" t="s">
        <v>289</v>
      </c>
      <c r="E285" s="5">
        <v>3894076.29</v>
      </c>
      <c r="F285" s="5">
        <v>338729.96</v>
      </c>
      <c r="G285" s="2">
        <f t="shared" si="16"/>
        <v>338812.68</v>
      </c>
      <c r="H285" s="4">
        <f t="shared" si="17"/>
        <v>82.71999999997206</v>
      </c>
      <c r="I285">
        <f t="shared" si="18"/>
        <v>0</v>
      </c>
      <c r="J285">
        <v>2167</v>
      </c>
      <c r="K285">
        <v>1</v>
      </c>
      <c r="L285" t="s">
        <v>289</v>
      </c>
      <c r="M285" s="2">
        <v>338812.68</v>
      </c>
      <c r="N285" s="4">
        <f t="shared" si="19"/>
        <v>0</v>
      </c>
    </row>
    <row r="286" spans="1:14" x14ac:dyDescent="0.2">
      <c r="A286" t="s">
        <v>6</v>
      </c>
      <c r="B286">
        <v>2168</v>
      </c>
      <c r="C286">
        <v>1</v>
      </c>
      <c r="D286" t="s">
        <v>290</v>
      </c>
      <c r="E286" s="5">
        <v>6548859.7699999996</v>
      </c>
      <c r="F286" s="5">
        <v>569658.85</v>
      </c>
      <c r="G286" s="2">
        <f t="shared" si="16"/>
        <v>569797.97</v>
      </c>
      <c r="H286" s="4">
        <f t="shared" si="17"/>
        <v>139.11999999999534</v>
      </c>
      <c r="I286">
        <f t="shared" si="18"/>
        <v>0</v>
      </c>
      <c r="J286">
        <v>2168</v>
      </c>
      <c r="K286">
        <v>1</v>
      </c>
      <c r="L286" t="s">
        <v>290</v>
      </c>
      <c r="M286" s="2">
        <v>569797.97</v>
      </c>
      <c r="N286" s="4">
        <f t="shared" si="19"/>
        <v>0</v>
      </c>
    </row>
    <row r="287" spans="1:14" x14ac:dyDescent="0.2">
      <c r="A287" t="s">
        <v>6</v>
      </c>
      <c r="B287">
        <v>2169</v>
      </c>
      <c r="C287">
        <v>1</v>
      </c>
      <c r="D287" t="s">
        <v>291</v>
      </c>
      <c r="E287" s="5">
        <v>5073420.33</v>
      </c>
      <c r="F287" s="5">
        <v>441316.33</v>
      </c>
      <c r="G287" s="2">
        <f t="shared" si="16"/>
        <v>441424.11</v>
      </c>
      <c r="H287" s="4">
        <f t="shared" si="17"/>
        <v>107.77999999996973</v>
      </c>
      <c r="I287">
        <f t="shared" si="18"/>
        <v>0</v>
      </c>
      <c r="J287">
        <v>2169</v>
      </c>
      <c r="K287">
        <v>1</v>
      </c>
      <c r="L287" t="s">
        <v>291</v>
      </c>
      <c r="M287" s="2">
        <v>441424.11</v>
      </c>
      <c r="N287" s="4">
        <f t="shared" si="19"/>
        <v>0</v>
      </c>
    </row>
    <row r="288" spans="1:14" x14ac:dyDescent="0.2">
      <c r="A288" t="s">
        <v>6</v>
      </c>
      <c r="B288">
        <v>2170</v>
      </c>
      <c r="C288">
        <v>1</v>
      </c>
      <c r="D288" t="s">
        <v>292</v>
      </c>
      <c r="E288" s="5">
        <v>10744759.27</v>
      </c>
      <c r="F288" s="5">
        <v>934643.19</v>
      </c>
      <c r="G288" s="2">
        <f t="shared" si="16"/>
        <v>934871.45</v>
      </c>
      <c r="H288" s="4">
        <f t="shared" si="17"/>
        <v>228.26000000000931</v>
      </c>
      <c r="I288">
        <f t="shared" si="18"/>
        <v>0</v>
      </c>
      <c r="J288">
        <v>2170</v>
      </c>
      <c r="K288">
        <v>1</v>
      </c>
      <c r="L288" t="s">
        <v>292</v>
      </c>
      <c r="M288" s="2">
        <v>934871.45</v>
      </c>
      <c r="N288" s="4">
        <f t="shared" si="19"/>
        <v>0</v>
      </c>
    </row>
    <row r="289" spans="1:14" x14ac:dyDescent="0.2">
      <c r="A289" t="s">
        <v>6</v>
      </c>
      <c r="B289">
        <v>2171</v>
      </c>
      <c r="C289">
        <v>1</v>
      </c>
      <c r="D289" t="s">
        <v>293</v>
      </c>
      <c r="E289" s="5">
        <v>2428562.75</v>
      </c>
      <c r="F289" s="5">
        <v>211250.86</v>
      </c>
      <c r="G289" s="2">
        <f t="shared" si="16"/>
        <v>211302.45</v>
      </c>
      <c r="H289" s="4">
        <f t="shared" si="17"/>
        <v>51.590000000025611</v>
      </c>
      <c r="I289">
        <f t="shared" si="18"/>
        <v>0</v>
      </c>
      <c r="J289">
        <v>2171</v>
      </c>
      <c r="K289">
        <v>1</v>
      </c>
      <c r="L289" t="s">
        <v>293</v>
      </c>
      <c r="M289" s="2">
        <v>211302.45</v>
      </c>
      <c r="N289" s="4">
        <f t="shared" si="19"/>
        <v>0</v>
      </c>
    </row>
    <row r="290" spans="1:14" x14ac:dyDescent="0.2">
      <c r="A290" t="s">
        <v>6</v>
      </c>
      <c r="B290">
        <v>2172</v>
      </c>
      <c r="C290">
        <v>1</v>
      </c>
      <c r="D290" t="s">
        <v>294</v>
      </c>
      <c r="E290" s="5">
        <v>5812764.8399999999</v>
      </c>
      <c r="F290" s="5">
        <v>505628.92</v>
      </c>
      <c r="G290" s="2">
        <f t="shared" si="16"/>
        <v>505752.41</v>
      </c>
      <c r="H290" s="4">
        <f t="shared" si="17"/>
        <v>123.48999999999069</v>
      </c>
      <c r="I290">
        <f t="shared" si="18"/>
        <v>0</v>
      </c>
      <c r="J290">
        <v>2172</v>
      </c>
      <c r="K290">
        <v>1</v>
      </c>
      <c r="L290" t="s">
        <v>294</v>
      </c>
      <c r="M290" s="2">
        <v>505752.41</v>
      </c>
      <c r="N290" s="4">
        <f t="shared" si="19"/>
        <v>0</v>
      </c>
    </row>
    <row r="291" spans="1:14" x14ac:dyDescent="0.2">
      <c r="A291" t="s">
        <v>6</v>
      </c>
      <c r="B291">
        <v>2174</v>
      </c>
      <c r="C291">
        <v>1</v>
      </c>
      <c r="D291" t="s">
        <v>295</v>
      </c>
      <c r="E291" s="5">
        <v>7625110.4199999999</v>
      </c>
      <c r="F291" s="5">
        <v>663277.54</v>
      </c>
      <c r="G291" s="2">
        <f t="shared" si="16"/>
        <v>663439.53</v>
      </c>
      <c r="H291" s="4">
        <f t="shared" si="17"/>
        <v>161.98999999999069</v>
      </c>
      <c r="I291">
        <f t="shared" si="18"/>
        <v>0</v>
      </c>
      <c r="J291">
        <v>2174</v>
      </c>
      <c r="K291">
        <v>1</v>
      </c>
      <c r="L291" t="s">
        <v>295</v>
      </c>
      <c r="M291" s="2">
        <v>663439.53</v>
      </c>
      <c r="N291" s="4">
        <f t="shared" si="19"/>
        <v>0</v>
      </c>
    </row>
    <row r="292" spans="1:14" x14ac:dyDescent="0.2">
      <c r="A292" t="s">
        <v>6</v>
      </c>
      <c r="B292">
        <v>2176</v>
      </c>
      <c r="C292">
        <v>1</v>
      </c>
      <c r="D292" t="s">
        <v>296</v>
      </c>
      <c r="E292" s="5">
        <v>3777308.02</v>
      </c>
      <c r="F292" s="5">
        <v>328572.76</v>
      </c>
      <c r="G292" s="2">
        <f t="shared" si="16"/>
        <v>328653</v>
      </c>
      <c r="H292" s="4">
        <f t="shared" si="17"/>
        <v>80.239999999990687</v>
      </c>
      <c r="I292">
        <f t="shared" si="18"/>
        <v>0</v>
      </c>
      <c r="J292">
        <v>2176</v>
      </c>
      <c r="K292">
        <v>1</v>
      </c>
      <c r="L292" t="s">
        <v>296</v>
      </c>
      <c r="M292" s="2">
        <v>328653</v>
      </c>
      <c r="N292" s="4">
        <f t="shared" si="19"/>
        <v>0</v>
      </c>
    </row>
    <row r="293" spans="1:14" x14ac:dyDescent="0.2">
      <c r="A293" t="s">
        <v>6</v>
      </c>
      <c r="B293">
        <v>2180</v>
      </c>
      <c r="C293">
        <v>1</v>
      </c>
      <c r="D293" t="s">
        <v>297</v>
      </c>
      <c r="E293" s="5">
        <v>5091767.42</v>
      </c>
      <c r="F293" s="5">
        <v>442912.27</v>
      </c>
      <c r="G293" s="2">
        <f t="shared" si="16"/>
        <v>443020.44</v>
      </c>
      <c r="H293" s="4">
        <f t="shared" si="17"/>
        <v>108.1699999999837</v>
      </c>
      <c r="I293">
        <f t="shared" si="18"/>
        <v>0</v>
      </c>
      <c r="J293">
        <v>2180</v>
      </c>
      <c r="K293">
        <v>1</v>
      </c>
      <c r="L293" t="s">
        <v>297</v>
      </c>
      <c r="M293" s="2">
        <v>443020.44</v>
      </c>
      <c r="N293" s="4">
        <f t="shared" si="19"/>
        <v>0</v>
      </c>
    </row>
    <row r="294" spans="1:14" x14ac:dyDescent="0.2">
      <c r="A294" t="s">
        <v>6</v>
      </c>
      <c r="B294">
        <v>2184</v>
      </c>
      <c r="C294">
        <v>1</v>
      </c>
      <c r="D294" t="s">
        <v>298</v>
      </c>
      <c r="E294" s="5">
        <v>8091635.5599999996</v>
      </c>
      <c r="F294" s="5">
        <v>703858.68</v>
      </c>
      <c r="G294" s="2">
        <f t="shared" si="16"/>
        <v>704030.57</v>
      </c>
      <c r="H294" s="4">
        <f t="shared" si="17"/>
        <v>171.88999999989755</v>
      </c>
      <c r="I294">
        <f t="shared" si="18"/>
        <v>0</v>
      </c>
      <c r="J294">
        <v>2184</v>
      </c>
      <c r="K294">
        <v>1</v>
      </c>
      <c r="L294" t="s">
        <v>298</v>
      </c>
      <c r="M294" s="2">
        <v>704030.57</v>
      </c>
      <c r="N294" s="4">
        <f t="shared" si="19"/>
        <v>0</v>
      </c>
    </row>
    <row r="295" spans="1:14" x14ac:dyDescent="0.2">
      <c r="A295" t="s">
        <v>6</v>
      </c>
      <c r="B295">
        <v>2190</v>
      </c>
      <c r="C295">
        <v>1</v>
      </c>
      <c r="D295" t="s">
        <v>299</v>
      </c>
      <c r="E295" s="5">
        <v>6841023.8099999996</v>
      </c>
      <c r="F295" s="5">
        <v>595073.02</v>
      </c>
      <c r="G295" s="2">
        <f t="shared" si="16"/>
        <v>595218.34</v>
      </c>
      <c r="H295" s="4">
        <f t="shared" si="17"/>
        <v>145.31999999994878</v>
      </c>
      <c r="I295">
        <f t="shared" si="18"/>
        <v>0</v>
      </c>
      <c r="J295">
        <v>2190</v>
      </c>
      <c r="K295">
        <v>1</v>
      </c>
      <c r="L295" t="s">
        <v>299</v>
      </c>
      <c r="M295" s="2">
        <v>595218.34</v>
      </c>
      <c r="N295" s="4">
        <f t="shared" si="19"/>
        <v>0</v>
      </c>
    </row>
    <row r="296" spans="1:14" x14ac:dyDescent="0.2">
      <c r="A296" t="s">
        <v>6</v>
      </c>
      <c r="B296">
        <v>2198</v>
      </c>
      <c r="C296">
        <v>1</v>
      </c>
      <c r="D296" t="s">
        <v>300</v>
      </c>
      <c r="E296" s="5">
        <v>4020918.06</v>
      </c>
      <c r="F296" s="5">
        <v>349763.41</v>
      </c>
      <c r="G296" s="2">
        <f t="shared" si="16"/>
        <v>349848.83</v>
      </c>
      <c r="H296" s="4">
        <f t="shared" si="17"/>
        <v>85.42000000004191</v>
      </c>
      <c r="I296">
        <f t="shared" si="18"/>
        <v>0</v>
      </c>
      <c r="J296">
        <v>2198</v>
      </c>
      <c r="K296">
        <v>1</v>
      </c>
      <c r="L296" t="s">
        <v>300</v>
      </c>
      <c r="M296" s="2">
        <v>349848.83</v>
      </c>
      <c r="N296" s="4">
        <f t="shared" si="19"/>
        <v>0</v>
      </c>
    </row>
    <row r="297" spans="1:14" x14ac:dyDescent="0.2">
      <c r="A297" t="s">
        <v>6</v>
      </c>
      <c r="B297">
        <v>2215</v>
      </c>
      <c r="C297">
        <v>1</v>
      </c>
      <c r="D297" t="s">
        <v>301</v>
      </c>
      <c r="E297" s="5">
        <v>2712653.03</v>
      </c>
      <c r="F297" s="5">
        <v>235962.73</v>
      </c>
      <c r="G297" s="2">
        <f t="shared" si="16"/>
        <v>236020.35</v>
      </c>
      <c r="H297" s="4">
        <f t="shared" si="17"/>
        <v>57.619999999995343</v>
      </c>
      <c r="I297">
        <f t="shared" si="18"/>
        <v>0</v>
      </c>
      <c r="J297">
        <v>2215</v>
      </c>
      <c r="K297">
        <v>1</v>
      </c>
      <c r="L297" t="s">
        <v>301</v>
      </c>
      <c r="M297" s="2">
        <v>236020.35</v>
      </c>
      <c r="N297" s="4">
        <f t="shared" si="19"/>
        <v>0</v>
      </c>
    </row>
    <row r="298" spans="1:14" x14ac:dyDescent="0.2">
      <c r="A298" t="s">
        <v>6</v>
      </c>
      <c r="B298">
        <v>2310</v>
      </c>
      <c r="C298">
        <v>1</v>
      </c>
      <c r="D298" t="s">
        <v>302</v>
      </c>
      <c r="E298" s="5">
        <v>8445557.0299999993</v>
      </c>
      <c r="F298" s="5">
        <v>734644.88</v>
      </c>
      <c r="G298" s="2">
        <f t="shared" si="16"/>
        <v>734824.29</v>
      </c>
      <c r="H298" s="4">
        <f t="shared" si="17"/>
        <v>179.4100000000326</v>
      </c>
      <c r="I298">
        <f t="shared" si="18"/>
        <v>0</v>
      </c>
      <c r="J298">
        <v>2310</v>
      </c>
      <c r="K298">
        <v>1</v>
      </c>
      <c r="L298" t="s">
        <v>302</v>
      </c>
      <c r="M298" s="2">
        <v>734824.29</v>
      </c>
      <c r="N298" s="4">
        <f t="shared" si="19"/>
        <v>0</v>
      </c>
    </row>
    <row r="299" spans="1:14" x14ac:dyDescent="0.2">
      <c r="A299" t="s">
        <v>6</v>
      </c>
      <c r="B299">
        <v>2311</v>
      </c>
      <c r="C299">
        <v>1</v>
      </c>
      <c r="D299" t="s">
        <v>303</v>
      </c>
      <c r="E299" s="5">
        <v>3666422.76</v>
      </c>
      <c r="F299" s="5">
        <v>318927.3</v>
      </c>
      <c r="G299" s="2">
        <f t="shared" si="16"/>
        <v>319005.19</v>
      </c>
      <c r="H299" s="4">
        <f t="shared" si="17"/>
        <v>77.89000000001397</v>
      </c>
      <c r="I299">
        <f t="shared" si="18"/>
        <v>0</v>
      </c>
      <c r="J299">
        <v>2311</v>
      </c>
      <c r="K299">
        <v>1</v>
      </c>
      <c r="L299" t="s">
        <v>303</v>
      </c>
      <c r="M299" s="2">
        <v>319005.19</v>
      </c>
      <c r="N299" s="4">
        <f t="shared" si="19"/>
        <v>0</v>
      </c>
    </row>
    <row r="300" spans="1:14" x14ac:dyDescent="0.2">
      <c r="A300" t="s">
        <v>6</v>
      </c>
      <c r="B300">
        <v>2342</v>
      </c>
      <c r="C300">
        <v>1</v>
      </c>
      <c r="D300" t="s">
        <v>304</v>
      </c>
      <c r="E300" s="5">
        <v>5465587.2000000002</v>
      </c>
      <c r="F300" s="5">
        <v>475429.34</v>
      </c>
      <c r="G300" s="2">
        <f t="shared" si="16"/>
        <v>475545.45</v>
      </c>
      <c r="H300" s="4">
        <f t="shared" si="17"/>
        <v>116.10999999998603</v>
      </c>
      <c r="I300">
        <f t="shared" si="18"/>
        <v>0</v>
      </c>
      <c r="J300">
        <v>2342</v>
      </c>
      <c r="K300">
        <v>1</v>
      </c>
      <c r="L300" t="s">
        <v>304</v>
      </c>
      <c r="M300" s="2">
        <v>475545.45</v>
      </c>
      <c r="N300" s="4">
        <f t="shared" si="19"/>
        <v>0</v>
      </c>
    </row>
    <row r="301" spans="1:14" x14ac:dyDescent="0.2">
      <c r="A301" t="s">
        <v>6</v>
      </c>
      <c r="B301">
        <v>2358</v>
      </c>
      <c r="C301">
        <v>1</v>
      </c>
      <c r="D301" t="s">
        <v>305</v>
      </c>
      <c r="E301" s="5">
        <v>2228563.91</v>
      </c>
      <c r="F301" s="5">
        <v>193853.77</v>
      </c>
      <c r="G301" s="2">
        <f t="shared" si="16"/>
        <v>193901.11</v>
      </c>
      <c r="H301" s="4">
        <f t="shared" si="17"/>
        <v>47.339999999996508</v>
      </c>
      <c r="I301">
        <f t="shared" si="18"/>
        <v>0</v>
      </c>
      <c r="J301">
        <v>2358</v>
      </c>
      <c r="K301">
        <v>1</v>
      </c>
      <c r="L301" t="s">
        <v>305</v>
      </c>
      <c r="M301" s="2">
        <v>193901.11</v>
      </c>
      <c r="N301" s="4">
        <f t="shared" si="19"/>
        <v>0</v>
      </c>
    </row>
    <row r="302" spans="1:14" x14ac:dyDescent="0.2">
      <c r="A302" t="s">
        <v>6</v>
      </c>
      <c r="B302">
        <v>2364</v>
      </c>
      <c r="C302">
        <v>1</v>
      </c>
      <c r="D302" t="s">
        <v>306</v>
      </c>
      <c r="E302" s="5">
        <v>5025553.3499999996</v>
      </c>
      <c r="F302" s="5">
        <v>437152.58</v>
      </c>
      <c r="G302" s="2">
        <f t="shared" si="16"/>
        <v>437259.34</v>
      </c>
      <c r="H302" s="4">
        <f t="shared" si="17"/>
        <v>106.76000000000931</v>
      </c>
      <c r="I302">
        <f t="shared" si="18"/>
        <v>0</v>
      </c>
      <c r="J302">
        <v>2364</v>
      </c>
      <c r="K302">
        <v>1</v>
      </c>
      <c r="L302" t="s">
        <v>306</v>
      </c>
      <c r="M302" s="2">
        <v>437259.34</v>
      </c>
      <c r="N302" s="4">
        <f t="shared" si="19"/>
        <v>0</v>
      </c>
    </row>
    <row r="303" spans="1:14" x14ac:dyDescent="0.2">
      <c r="A303" t="s">
        <v>6</v>
      </c>
      <c r="B303">
        <v>2365</v>
      </c>
      <c r="C303">
        <v>1</v>
      </c>
      <c r="D303" t="s">
        <v>307</v>
      </c>
      <c r="E303" s="5">
        <v>6203333.79</v>
      </c>
      <c r="F303" s="5">
        <v>539602.93999999994</v>
      </c>
      <c r="G303" s="2">
        <f t="shared" si="16"/>
        <v>539734.72</v>
      </c>
      <c r="H303" s="4">
        <f t="shared" si="17"/>
        <v>131.78000000002794</v>
      </c>
      <c r="I303">
        <f t="shared" si="18"/>
        <v>0</v>
      </c>
      <c r="J303">
        <v>2365</v>
      </c>
      <c r="K303">
        <v>1</v>
      </c>
      <c r="L303" t="s">
        <v>307</v>
      </c>
      <c r="M303" s="2">
        <v>539734.72</v>
      </c>
      <c r="N303" s="4">
        <f t="shared" si="19"/>
        <v>0</v>
      </c>
    </row>
    <row r="304" spans="1:14" x14ac:dyDescent="0.2">
      <c r="A304" t="s">
        <v>6</v>
      </c>
      <c r="B304">
        <v>2396</v>
      </c>
      <c r="C304">
        <v>1</v>
      </c>
      <c r="D304" t="s">
        <v>308</v>
      </c>
      <c r="E304" s="5">
        <v>5667473.79</v>
      </c>
      <c r="F304" s="5">
        <v>492990.64</v>
      </c>
      <c r="G304" s="2">
        <f t="shared" si="16"/>
        <v>493111.03999999998</v>
      </c>
      <c r="H304" s="4">
        <f t="shared" si="17"/>
        <v>120.39999999996508</v>
      </c>
      <c r="I304">
        <f t="shared" si="18"/>
        <v>0</v>
      </c>
      <c r="J304">
        <v>2396</v>
      </c>
      <c r="K304">
        <v>1</v>
      </c>
      <c r="L304" t="s">
        <v>308</v>
      </c>
      <c r="M304" s="2">
        <v>493111.03999999998</v>
      </c>
      <c r="N304" s="4">
        <f t="shared" si="19"/>
        <v>0</v>
      </c>
    </row>
    <row r="305" spans="1:14" x14ac:dyDescent="0.2">
      <c r="A305" t="s">
        <v>6</v>
      </c>
      <c r="B305">
        <v>2397</v>
      </c>
      <c r="C305">
        <v>1</v>
      </c>
      <c r="D305" t="s">
        <v>309</v>
      </c>
      <c r="E305" s="5">
        <v>8433392.4900000002</v>
      </c>
      <c r="F305" s="5">
        <v>733586.73</v>
      </c>
      <c r="G305" s="2">
        <f t="shared" si="16"/>
        <v>733765.89</v>
      </c>
      <c r="H305" s="4">
        <f t="shared" si="17"/>
        <v>179.1600000000326</v>
      </c>
      <c r="I305">
        <f t="shared" si="18"/>
        <v>0</v>
      </c>
      <c r="J305">
        <v>2397</v>
      </c>
      <c r="K305">
        <v>1</v>
      </c>
      <c r="L305" t="s">
        <v>309</v>
      </c>
      <c r="M305" s="2">
        <v>733765.89</v>
      </c>
      <c r="N305" s="4">
        <f t="shared" si="19"/>
        <v>0</v>
      </c>
    </row>
    <row r="306" spans="1:14" x14ac:dyDescent="0.2">
      <c r="A306" t="s">
        <v>6</v>
      </c>
      <c r="B306">
        <v>2448</v>
      </c>
      <c r="C306">
        <v>1</v>
      </c>
      <c r="D306" t="s">
        <v>310</v>
      </c>
      <c r="E306" s="5">
        <v>5618824.7800000003</v>
      </c>
      <c r="F306" s="5">
        <v>488758.86</v>
      </c>
      <c r="G306" s="2">
        <f t="shared" si="16"/>
        <v>488878.23</v>
      </c>
      <c r="H306" s="4">
        <f t="shared" si="17"/>
        <v>119.36999999999534</v>
      </c>
      <c r="I306">
        <f t="shared" si="18"/>
        <v>0</v>
      </c>
      <c r="J306">
        <v>2448</v>
      </c>
      <c r="K306">
        <v>1</v>
      </c>
      <c r="L306" t="s">
        <v>310</v>
      </c>
      <c r="M306" s="2">
        <v>488878.23</v>
      </c>
      <c r="N306" s="4">
        <f t="shared" si="19"/>
        <v>0</v>
      </c>
    </row>
    <row r="307" spans="1:14" x14ac:dyDescent="0.2">
      <c r="A307" t="s">
        <v>6</v>
      </c>
      <c r="B307">
        <v>2527</v>
      </c>
      <c r="C307">
        <v>1</v>
      </c>
      <c r="D307" t="s">
        <v>311</v>
      </c>
      <c r="E307" s="5">
        <v>2193765.9300000002</v>
      </c>
      <c r="F307" s="5">
        <v>190826.83</v>
      </c>
      <c r="G307" s="2">
        <f t="shared" si="16"/>
        <v>190873.44</v>
      </c>
      <c r="H307" s="4">
        <f t="shared" si="17"/>
        <v>46.610000000015134</v>
      </c>
      <c r="I307">
        <f t="shared" si="18"/>
        <v>0</v>
      </c>
      <c r="J307">
        <v>2527</v>
      </c>
      <c r="K307">
        <v>1</v>
      </c>
      <c r="L307" t="s">
        <v>311</v>
      </c>
      <c r="M307" s="2">
        <v>190873.44</v>
      </c>
      <c r="N307" s="4">
        <f t="shared" si="19"/>
        <v>0</v>
      </c>
    </row>
    <row r="308" spans="1:14" x14ac:dyDescent="0.2">
      <c r="A308" t="s">
        <v>6</v>
      </c>
      <c r="B308">
        <v>2534</v>
      </c>
      <c r="C308">
        <v>1</v>
      </c>
      <c r="D308" t="s">
        <v>312</v>
      </c>
      <c r="E308" s="5">
        <v>5654362.5199999996</v>
      </c>
      <c r="F308" s="5">
        <v>491850.15</v>
      </c>
      <c r="G308" s="2">
        <f t="shared" si="16"/>
        <v>491970.27</v>
      </c>
      <c r="H308" s="4">
        <f t="shared" si="17"/>
        <v>120.11999999999534</v>
      </c>
      <c r="I308">
        <f t="shared" si="18"/>
        <v>0</v>
      </c>
      <c r="J308">
        <v>2534</v>
      </c>
      <c r="K308">
        <v>1</v>
      </c>
      <c r="L308" t="s">
        <v>312</v>
      </c>
      <c r="M308" s="2">
        <v>491970.27</v>
      </c>
      <c r="N308" s="4">
        <f t="shared" si="19"/>
        <v>0</v>
      </c>
    </row>
    <row r="309" spans="1:14" x14ac:dyDescent="0.2">
      <c r="A309" t="s">
        <v>6</v>
      </c>
      <c r="B309">
        <v>2536</v>
      </c>
      <c r="C309">
        <v>1</v>
      </c>
      <c r="D309" t="s">
        <v>313</v>
      </c>
      <c r="E309" s="5">
        <v>2156090.09</v>
      </c>
      <c r="F309" s="5">
        <v>187549.56</v>
      </c>
      <c r="G309" s="2">
        <f t="shared" si="16"/>
        <v>187595.37</v>
      </c>
      <c r="H309" s="4">
        <f t="shared" si="17"/>
        <v>45.809999999997672</v>
      </c>
      <c r="I309">
        <f t="shared" si="18"/>
        <v>0</v>
      </c>
      <c r="J309">
        <v>2536</v>
      </c>
      <c r="K309">
        <v>1</v>
      </c>
      <c r="L309" t="s">
        <v>313</v>
      </c>
      <c r="M309" s="2">
        <v>187595.37</v>
      </c>
      <c r="N309" s="4">
        <f t="shared" si="19"/>
        <v>0</v>
      </c>
    </row>
    <row r="310" spans="1:14" x14ac:dyDescent="0.2">
      <c r="A310" t="s">
        <v>6</v>
      </c>
      <c r="B310">
        <v>2580</v>
      </c>
      <c r="C310">
        <v>1</v>
      </c>
      <c r="D310" t="s">
        <v>314</v>
      </c>
      <c r="E310" s="5">
        <v>5962259.9100000001</v>
      </c>
      <c r="F310" s="5">
        <v>518632.9</v>
      </c>
      <c r="G310" s="2">
        <f t="shared" si="16"/>
        <v>518759.56</v>
      </c>
      <c r="H310" s="4">
        <f t="shared" si="17"/>
        <v>126.65999999997439</v>
      </c>
      <c r="I310">
        <f t="shared" si="18"/>
        <v>0</v>
      </c>
      <c r="J310">
        <v>2580</v>
      </c>
      <c r="K310">
        <v>1</v>
      </c>
      <c r="L310" t="s">
        <v>314</v>
      </c>
      <c r="M310" s="2">
        <v>518759.56</v>
      </c>
      <c r="N310" s="4">
        <f t="shared" si="19"/>
        <v>0</v>
      </c>
    </row>
    <row r="311" spans="1:14" x14ac:dyDescent="0.2">
      <c r="A311" t="s">
        <v>6</v>
      </c>
      <c r="B311">
        <v>2609</v>
      </c>
      <c r="C311">
        <v>1</v>
      </c>
      <c r="D311" t="s">
        <v>315</v>
      </c>
      <c r="E311" s="5">
        <v>3497042.94</v>
      </c>
      <c r="F311" s="5">
        <v>304193.63</v>
      </c>
      <c r="G311" s="2">
        <f t="shared" si="16"/>
        <v>304267.92</v>
      </c>
      <c r="H311" s="4">
        <f t="shared" si="17"/>
        <v>74.289999999979045</v>
      </c>
      <c r="I311">
        <f t="shared" si="18"/>
        <v>0</v>
      </c>
      <c r="J311">
        <v>2609</v>
      </c>
      <c r="K311">
        <v>1</v>
      </c>
      <c r="L311" t="s">
        <v>315</v>
      </c>
      <c r="M311" s="2">
        <v>304267.92</v>
      </c>
      <c r="N311" s="4">
        <f t="shared" si="19"/>
        <v>0</v>
      </c>
    </row>
    <row r="312" spans="1:14" x14ac:dyDescent="0.2">
      <c r="A312" t="s">
        <v>6</v>
      </c>
      <c r="B312">
        <v>2683</v>
      </c>
      <c r="C312">
        <v>1</v>
      </c>
      <c r="D312" t="s">
        <v>316</v>
      </c>
      <c r="E312" s="5">
        <v>4022595.05</v>
      </c>
      <c r="F312" s="5">
        <v>349909.29</v>
      </c>
      <c r="G312" s="2">
        <f t="shared" si="16"/>
        <v>349994.74</v>
      </c>
      <c r="H312" s="4">
        <f t="shared" si="17"/>
        <v>85.450000000011642</v>
      </c>
      <c r="I312">
        <f t="shared" si="18"/>
        <v>0</v>
      </c>
      <c r="J312">
        <v>2683</v>
      </c>
      <c r="K312">
        <v>1</v>
      </c>
      <c r="L312" t="s">
        <v>316</v>
      </c>
      <c r="M312" s="2">
        <v>349994.74</v>
      </c>
      <c r="N312" s="4">
        <f t="shared" si="19"/>
        <v>0</v>
      </c>
    </row>
    <row r="313" spans="1:14" x14ac:dyDescent="0.2">
      <c r="A313" t="s">
        <v>6</v>
      </c>
      <c r="B313">
        <v>2687</v>
      </c>
      <c r="C313">
        <v>1</v>
      </c>
      <c r="D313" t="s">
        <v>317</v>
      </c>
      <c r="E313" s="5">
        <v>6691338.3099999996</v>
      </c>
      <c r="F313" s="5">
        <v>582052.48</v>
      </c>
      <c r="G313" s="2">
        <f t="shared" si="16"/>
        <v>582194.63</v>
      </c>
      <c r="H313" s="4">
        <f t="shared" si="17"/>
        <v>142.15000000002328</v>
      </c>
      <c r="I313">
        <f t="shared" si="18"/>
        <v>0</v>
      </c>
      <c r="J313">
        <v>2687</v>
      </c>
      <c r="K313">
        <v>1</v>
      </c>
      <c r="L313" t="s">
        <v>317</v>
      </c>
      <c r="M313" s="2">
        <v>582194.63</v>
      </c>
      <c r="N313" s="4">
        <f t="shared" si="19"/>
        <v>0</v>
      </c>
    </row>
    <row r="314" spans="1:14" x14ac:dyDescent="0.2">
      <c r="A314" t="s">
        <v>6</v>
      </c>
      <c r="B314">
        <v>2689</v>
      </c>
      <c r="C314">
        <v>1</v>
      </c>
      <c r="D314" t="s">
        <v>318</v>
      </c>
      <c r="E314" s="5">
        <v>8255161.1100000003</v>
      </c>
      <c r="F314" s="5">
        <v>718083.11</v>
      </c>
      <c r="G314" s="2">
        <f t="shared" si="16"/>
        <v>718258.48</v>
      </c>
      <c r="H314" s="4">
        <f t="shared" si="17"/>
        <v>175.36999999999534</v>
      </c>
      <c r="I314">
        <f t="shared" si="18"/>
        <v>0</v>
      </c>
      <c r="J314">
        <v>2689</v>
      </c>
      <c r="K314">
        <v>1</v>
      </c>
      <c r="L314" t="s">
        <v>318</v>
      </c>
      <c r="M314" s="2">
        <v>718258.48</v>
      </c>
      <c r="N314" s="4">
        <f t="shared" si="19"/>
        <v>0</v>
      </c>
    </row>
    <row r="315" spans="1:14" x14ac:dyDescent="0.2">
      <c r="A315" t="s">
        <v>6</v>
      </c>
      <c r="B315">
        <v>2711</v>
      </c>
      <c r="C315">
        <v>1</v>
      </c>
      <c r="D315" t="s">
        <v>319</v>
      </c>
      <c r="E315" s="5">
        <v>6135992.7699999996</v>
      </c>
      <c r="F315" s="5">
        <v>533745.22</v>
      </c>
      <c r="G315" s="2">
        <f t="shared" si="16"/>
        <v>533875.56999999995</v>
      </c>
      <c r="H315" s="4">
        <f t="shared" si="17"/>
        <v>130.34999999997672</v>
      </c>
      <c r="I315">
        <f t="shared" si="18"/>
        <v>0</v>
      </c>
      <c r="J315">
        <v>2711</v>
      </c>
      <c r="K315">
        <v>1</v>
      </c>
      <c r="L315" t="s">
        <v>319</v>
      </c>
      <c r="M315" s="2">
        <v>533875.56999999995</v>
      </c>
      <c r="N315" s="4">
        <f t="shared" si="19"/>
        <v>0</v>
      </c>
    </row>
    <row r="316" spans="1:14" x14ac:dyDescent="0.2">
      <c r="A316" t="s">
        <v>6</v>
      </c>
      <c r="B316">
        <v>2752</v>
      </c>
      <c r="C316">
        <v>1</v>
      </c>
      <c r="D316" t="s">
        <v>320</v>
      </c>
      <c r="E316" s="5">
        <v>12537253.24</v>
      </c>
      <c r="F316" s="5">
        <v>1090565</v>
      </c>
      <c r="G316" s="2">
        <f t="shared" si="16"/>
        <v>1090831.33</v>
      </c>
      <c r="H316" s="4">
        <f t="shared" si="17"/>
        <v>266.33000000007451</v>
      </c>
      <c r="I316">
        <f t="shared" si="18"/>
        <v>0</v>
      </c>
      <c r="J316">
        <v>2752</v>
      </c>
      <c r="K316">
        <v>1</v>
      </c>
      <c r="L316" t="s">
        <v>320</v>
      </c>
      <c r="M316" s="2">
        <v>1090831.33</v>
      </c>
      <c r="N316" s="4">
        <f t="shared" si="19"/>
        <v>0</v>
      </c>
    </row>
    <row r="317" spans="1:14" x14ac:dyDescent="0.2">
      <c r="A317" t="s">
        <v>6</v>
      </c>
      <c r="B317">
        <v>2753</v>
      </c>
      <c r="C317">
        <v>1</v>
      </c>
      <c r="D317" t="s">
        <v>321</v>
      </c>
      <c r="E317" s="5">
        <v>9149970.7200000007</v>
      </c>
      <c r="F317" s="5">
        <v>795918.98</v>
      </c>
      <c r="G317" s="2">
        <f t="shared" si="16"/>
        <v>796113.36</v>
      </c>
      <c r="H317" s="4">
        <f t="shared" si="17"/>
        <v>194.38000000000466</v>
      </c>
      <c r="I317">
        <f t="shared" si="18"/>
        <v>0</v>
      </c>
      <c r="J317">
        <v>2753</v>
      </c>
      <c r="K317">
        <v>1</v>
      </c>
      <c r="L317" t="s">
        <v>321</v>
      </c>
      <c r="M317" s="2">
        <v>796113.36</v>
      </c>
      <c r="N317" s="4">
        <f t="shared" si="19"/>
        <v>0</v>
      </c>
    </row>
    <row r="318" spans="1:14" x14ac:dyDescent="0.2">
      <c r="A318" t="s">
        <v>6</v>
      </c>
      <c r="B318">
        <v>2754</v>
      </c>
      <c r="C318">
        <v>1</v>
      </c>
      <c r="D318" t="s">
        <v>322</v>
      </c>
      <c r="E318" s="5">
        <v>2961675.72</v>
      </c>
      <c r="F318" s="5">
        <v>257624.2</v>
      </c>
      <c r="G318" s="2">
        <f t="shared" si="16"/>
        <v>257687.12</v>
      </c>
      <c r="H318" s="4">
        <f t="shared" si="17"/>
        <v>62.919999999983702</v>
      </c>
      <c r="I318">
        <f t="shared" si="18"/>
        <v>0</v>
      </c>
      <c r="J318">
        <v>2754</v>
      </c>
      <c r="K318">
        <v>1</v>
      </c>
      <c r="L318" t="s">
        <v>322</v>
      </c>
      <c r="M318" s="2">
        <v>257687.12</v>
      </c>
      <c r="N318" s="4">
        <f t="shared" si="19"/>
        <v>0</v>
      </c>
    </row>
    <row r="319" spans="1:14" x14ac:dyDescent="0.2">
      <c r="A319" t="s">
        <v>6</v>
      </c>
      <c r="B319">
        <v>2759</v>
      </c>
      <c r="C319">
        <v>1</v>
      </c>
      <c r="D319" t="s">
        <v>323</v>
      </c>
      <c r="E319" s="5">
        <v>2478229.29</v>
      </c>
      <c r="F319" s="5">
        <v>215571.15</v>
      </c>
      <c r="G319" s="2">
        <f t="shared" si="16"/>
        <v>215623.8</v>
      </c>
      <c r="H319" s="4">
        <f t="shared" si="17"/>
        <v>52.649999999994179</v>
      </c>
      <c r="I319">
        <f t="shared" si="18"/>
        <v>0</v>
      </c>
      <c r="J319">
        <v>2759</v>
      </c>
      <c r="K319">
        <v>1</v>
      </c>
      <c r="L319" t="s">
        <v>323</v>
      </c>
      <c r="M319" s="2">
        <v>215623.8</v>
      </c>
      <c r="N319" s="4">
        <f t="shared" si="19"/>
        <v>0</v>
      </c>
    </row>
    <row r="320" spans="1:14" x14ac:dyDescent="0.2">
      <c r="A320" t="s">
        <v>6</v>
      </c>
      <c r="B320">
        <v>2805</v>
      </c>
      <c r="C320">
        <v>1</v>
      </c>
      <c r="D320" t="s">
        <v>324</v>
      </c>
      <c r="E320" s="5">
        <v>7242903.3600000003</v>
      </c>
      <c r="F320" s="5">
        <v>630030.9</v>
      </c>
      <c r="G320" s="2">
        <f t="shared" si="16"/>
        <v>630184.76</v>
      </c>
      <c r="H320" s="4">
        <f t="shared" si="17"/>
        <v>153.85999999998603</v>
      </c>
      <c r="I320">
        <f t="shared" si="18"/>
        <v>0</v>
      </c>
      <c r="J320">
        <v>2805</v>
      </c>
      <c r="K320">
        <v>1</v>
      </c>
      <c r="L320" t="s">
        <v>324</v>
      </c>
      <c r="M320" s="2">
        <v>630184.76</v>
      </c>
      <c r="N320" s="4">
        <f t="shared" si="19"/>
        <v>0</v>
      </c>
    </row>
    <row r="321" spans="1:14" x14ac:dyDescent="0.2">
      <c r="A321" t="s">
        <v>6</v>
      </c>
      <c r="B321">
        <v>2835</v>
      </c>
      <c r="C321">
        <v>1</v>
      </c>
      <c r="D321" t="s">
        <v>325</v>
      </c>
      <c r="E321" s="5">
        <v>3525890.31</v>
      </c>
      <c r="F321" s="5">
        <v>306702.95</v>
      </c>
      <c r="G321" s="2">
        <f t="shared" si="16"/>
        <v>306777.84999999998</v>
      </c>
      <c r="H321" s="4">
        <f t="shared" si="17"/>
        <v>74.899999999965075</v>
      </c>
      <c r="I321">
        <f t="shared" si="18"/>
        <v>0</v>
      </c>
      <c r="J321">
        <v>2835</v>
      </c>
      <c r="K321">
        <v>1</v>
      </c>
      <c r="L321" t="s">
        <v>325</v>
      </c>
      <c r="M321" s="2">
        <v>306777.84999999998</v>
      </c>
      <c r="N321" s="4">
        <f t="shared" si="19"/>
        <v>0</v>
      </c>
    </row>
    <row r="322" spans="1:14" x14ac:dyDescent="0.2">
      <c r="A322" t="s">
        <v>6</v>
      </c>
      <c r="B322">
        <v>2853</v>
      </c>
      <c r="C322">
        <v>1</v>
      </c>
      <c r="D322" t="s">
        <v>326</v>
      </c>
      <c r="E322" s="5">
        <v>6917745.3899999997</v>
      </c>
      <c r="F322" s="5">
        <v>601746.72</v>
      </c>
      <c r="G322" s="2">
        <f t="shared" si="16"/>
        <v>601893.67000000004</v>
      </c>
      <c r="H322" s="4">
        <f t="shared" si="17"/>
        <v>146.95000000006985</v>
      </c>
      <c r="I322">
        <f t="shared" si="18"/>
        <v>0</v>
      </c>
      <c r="J322">
        <v>2853</v>
      </c>
      <c r="K322">
        <v>1</v>
      </c>
      <c r="L322" t="s">
        <v>326</v>
      </c>
      <c r="M322" s="2">
        <v>601893.67000000004</v>
      </c>
      <c r="N322" s="4">
        <f t="shared" si="19"/>
        <v>0</v>
      </c>
    </row>
    <row r="323" spans="1:14" x14ac:dyDescent="0.2">
      <c r="A323" t="s">
        <v>6</v>
      </c>
      <c r="B323">
        <v>2854</v>
      </c>
      <c r="C323">
        <v>1</v>
      </c>
      <c r="D323" t="s">
        <v>327</v>
      </c>
      <c r="E323" s="5">
        <v>4131307.02</v>
      </c>
      <c r="F323" s="5">
        <v>359365.7</v>
      </c>
      <c r="G323" s="2">
        <f t="shared" si="16"/>
        <v>359453.47</v>
      </c>
      <c r="H323" s="4">
        <f t="shared" si="17"/>
        <v>87.769999999960419</v>
      </c>
      <c r="I323">
        <f t="shared" si="18"/>
        <v>0</v>
      </c>
      <c r="J323">
        <v>2854</v>
      </c>
      <c r="K323">
        <v>1</v>
      </c>
      <c r="L323" t="s">
        <v>327</v>
      </c>
      <c r="M323" s="2">
        <v>359453.47</v>
      </c>
      <c r="N323" s="4">
        <f t="shared" si="19"/>
        <v>0</v>
      </c>
    </row>
    <row r="324" spans="1:14" x14ac:dyDescent="0.2">
      <c r="A324" t="s">
        <v>6</v>
      </c>
      <c r="B324">
        <v>2856</v>
      </c>
      <c r="C324">
        <v>1</v>
      </c>
      <c r="D324" t="s">
        <v>328</v>
      </c>
      <c r="E324" s="5">
        <v>2950180.72</v>
      </c>
      <c r="F324" s="5">
        <v>256624.3</v>
      </c>
      <c r="G324" s="2">
        <f t="shared" ref="G324:G338" si="20">ROUND(E324*$G$485,2)</f>
        <v>256686.97</v>
      </c>
      <c r="H324" s="4">
        <f t="shared" ref="H324:H338" si="21">G324-F324</f>
        <v>62.670000000012806</v>
      </c>
      <c r="I324">
        <f t="shared" ref="I324:I338" si="22">J324-B324</f>
        <v>0</v>
      </c>
      <c r="J324">
        <v>2856</v>
      </c>
      <c r="K324">
        <v>1</v>
      </c>
      <c r="L324" t="s">
        <v>328</v>
      </c>
      <c r="M324" s="2">
        <v>256686.97</v>
      </c>
      <c r="N324" s="4">
        <f t="shared" ref="N324:N338" si="23">M324-G324</f>
        <v>0</v>
      </c>
    </row>
    <row r="325" spans="1:14" x14ac:dyDescent="0.2">
      <c r="A325" t="s">
        <v>6</v>
      </c>
      <c r="B325">
        <v>2859</v>
      </c>
      <c r="C325">
        <v>1</v>
      </c>
      <c r="D325" t="s">
        <v>329</v>
      </c>
      <c r="E325" s="5">
        <v>12305536.029999999</v>
      </c>
      <c r="F325" s="5">
        <v>1070408.8500000001</v>
      </c>
      <c r="G325" s="2">
        <f t="shared" si="20"/>
        <v>1070670.27</v>
      </c>
      <c r="H325" s="4">
        <f t="shared" si="21"/>
        <v>261.41999999992549</v>
      </c>
      <c r="I325">
        <f t="shared" si="22"/>
        <v>0</v>
      </c>
      <c r="J325">
        <v>2859</v>
      </c>
      <c r="K325">
        <v>1</v>
      </c>
      <c r="L325" t="s">
        <v>329</v>
      </c>
      <c r="M325" s="2">
        <v>1070670.27</v>
      </c>
      <c r="N325" s="4">
        <f t="shared" si="23"/>
        <v>0</v>
      </c>
    </row>
    <row r="326" spans="1:14" x14ac:dyDescent="0.2">
      <c r="A326" t="s">
        <v>6</v>
      </c>
      <c r="B326">
        <v>2860</v>
      </c>
      <c r="C326">
        <v>1</v>
      </c>
      <c r="D326" t="s">
        <v>330</v>
      </c>
      <c r="E326" s="5">
        <v>8708198.9700000007</v>
      </c>
      <c r="F326" s="5">
        <v>757491.04</v>
      </c>
      <c r="G326" s="2">
        <f t="shared" si="20"/>
        <v>757676.03</v>
      </c>
      <c r="H326" s="4">
        <f t="shared" si="21"/>
        <v>184.98999999999069</v>
      </c>
      <c r="I326">
        <f t="shared" si="22"/>
        <v>0</v>
      </c>
      <c r="J326">
        <v>2860</v>
      </c>
      <c r="K326">
        <v>1</v>
      </c>
      <c r="L326" t="s">
        <v>330</v>
      </c>
      <c r="M326" s="2">
        <v>757676.03</v>
      </c>
      <c r="N326" s="4">
        <f t="shared" si="23"/>
        <v>0</v>
      </c>
    </row>
    <row r="327" spans="1:14" x14ac:dyDescent="0.2">
      <c r="A327" t="s">
        <v>6</v>
      </c>
      <c r="B327">
        <v>2884</v>
      </c>
      <c r="C327">
        <v>1</v>
      </c>
      <c r="D327" t="s">
        <v>331</v>
      </c>
      <c r="E327" s="5">
        <v>3766772.9</v>
      </c>
      <c r="F327" s="5">
        <v>327656.34999999998</v>
      </c>
      <c r="G327" s="2">
        <f t="shared" si="20"/>
        <v>327736.37</v>
      </c>
      <c r="H327" s="4">
        <f t="shared" si="21"/>
        <v>80.020000000018626</v>
      </c>
      <c r="I327">
        <f t="shared" si="22"/>
        <v>0</v>
      </c>
      <c r="J327">
        <v>2884</v>
      </c>
      <c r="K327">
        <v>1</v>
      </c>
      <c r="L327" t="s">
        <v>331</v>
      </c>
      <c r="M327" s="2">
        <v>327736.37</v>
      </c>
      <c r="N327" s="4">
        <f t="shared" si="23"/>
        <v>0</v>
      </c>
    </row>
    <row r="328" spans="1:14" x14ac:dyDescent="0.2">
      <c r="A328" t="s">
        <v>6</v>
      </c>
      <c r="B328">
        <v>2886</v>
      </c>
      <c r="C328">
        <v>1</v>
      </c>
      <c r="D328" t="s">
        <v>332</v>
      </c>
      <c r="E328" s="5">
        <v>2877592.69</v>
      </c>
      <c r="F328" s="5">
        <v>250310.16</v>
      </c>
      <c r="G328" s="2">
        <f t="shared" si="20"/>
        <v>250371.29</v>
      </c>
      <c r="H328" s="4">
        <f t="shared" si="21"/>
        <v>61.130000000004657</v>
      </c>
      <c r="I328">
        <f t="shared" si="22"/>
        <v>0</v>
      </c>
      <c r="J328">
        <v>2886</v>
      </c>
      <c r="K328">
        <v>1</v>
      </c>
      <c r="L328" t="s">
        <v>332</v>
      </c>
      <c r="M328" s="2">
        <v>250371.29</v>
      </c>
      <c r="N328" s="4">
        <f t="shared" si="23"/>
        <v>0</v>
      </c>
    </row>
    <row r="329" spans="1:14" x14ac:dyDescent="0.2">
      <c r="A329" t="s">
        <v>6</v>
      </c>
      <c r="B329">
        <v>2888</v>
      </c>
      <c r="C329">
        <v>1</v>
      </c>
      <c r="D329" t="s">
        <v>333</v>
      </c>
      <c r="E329" s="5">
        <v>3175545.66</v>
      </c>
      <c r="F329" s="5">
        <v>276227.88</v>
      </c>
      <c r="G329" s="2">
        <f t="shared" si="20"/>
        <v>276295.34000000003</v>
      </c>
      <c r="H329" s="4">
        <f t="shared" si="21"/>
        <v>67.460000000020955</v>
      </c>
      <c r="I329">
        <f t="shared" si="22"/>
        <v>0</v>
      </c>
      <c r="J329">
        <v>2888</v>
      </c>
      <c r="K329">
        <v>1</v>
      </c>
      <c r="L329" t="s">
        <v>333</v>
      </c>
      <c r="M329" s="2">
        <v>276295.34000000003</v>
      </c>
      <c r="N329" s="4">
        <f t="shared" si="23"/>
        <v>0</v>
      </c>
    </row>
    <row r="330" spans="1:14" x14ac:dyDescent="0.2">
      <c r="A330" t="s">
        <v>6</v>
      </c>
      <c r="B330">
        <v>2889</v>
      </c>
      <c r="C330">
        <v>1</v>
      </c>
      <c r="D330" t="s">
        <v>334</v>
      </c>
      <c r="E330" s="5">
        <v>4282064.18</v>
      </c>
      <c r="F330" s="5">
        <v>372479.46</v>
      </c>
      <c r="G330" s="2">
        <f t="shared" si="20"/>
        <v>372570.43</v>
      </c>
      <c r="H330" s="4">
        <f t="shared" si="21"/>
        <v>90.96999999997206</v>
      </c>
      <c r="I330">
        <f t="shared" si="22"/>
        <v>0</v>
      </c>
      <c r="J330">
        <v>2889</v>
      </c>
      <c r="K330">
        <v>1</v>
      </c>
      <c r="L330" t="s">
        <v>334</v>
      </c>
      <c r="M330" s="2">
        <v>372570.43</v>
      </c>
      <c r="N330" s="4">
        <f t="shared" si="23"/>
        <v>0</v>
      </c>
    </row>
    <row r="331" spans="1:14" x14ac:dyDescent="0.2">
      <c r="A331" t="s">
        <v>6</v>
      </c>
      <c r="B331">
        <v>2890</v>
      </c>
      <c r="C331">
        <v>1</v>
      </c>
      <c r="D331" t="s">
        <v>335</v>
      </c>
      <c r="E331" s="5">
        <v>4264010.62</v>
      </c>
      <c r="F331" s="5">
        <v>370909.05</v>
      </c>
      <c r="G331" s="2">
        <f t="shared" si="20"/>
        <v>370999.64</v>
      </c>
      <c r="H331" s="4">
        <f t="shared" si="21"/>
        <v>90.590000000025611</v>
      </c>
      <c r="I331">
        <f t="shared" si="22"/>
        <v>0</v>
      </c>
      <c r="J331">
        <v>2890</v>
      </c>
      <c r="K331">
        <v>1</v>
      </c>
      <c r="L331" t="s">
        <v>335</v>
      </c>
      <c r="M331" s="2">
        <v>370999.64</v>
      </c>
      <c r="N331" s="4">
        <f t="shared" si="23"/>
        <v>0</v>
      </c>
    </row>
    <row r="332" spans="1:14" x14ac:dyDescent="0.2">
      <c r="A332" t="s">
        <v>6</v>
      </c>
      <c r="B332">
        <v>2895</v>
      </c>
      <c r="C332">
        <v>1</v>
      </c>
      <c r="D332" t="s">
        <v>336</v>
      </c>
      <c r="E332" s="5">
        <v>8122771.0700000003</v>
      </c>
      <c r="F332" s="5">
        <v>706567.03</v>
      </c>
      <c r="G332" s="2">
        <f t="shared" si="20"/>
        <v>706739.59</v>
      </c>
      <c r="H332" s="4">
        <f t="shared" si="21"/>
        <v>172.55999999993946</v>
      </c>
      <c r="I332">
        <f t="shared" si="22"/>
        <v>0</v>
      </c>
      <c r="J332">
        <v>2895</v>
      </c>
      <c r="K332">
        <v>1</v>
      </c>
      <c r="L332" t="s">
        <v>336</v>
      </c>
      <c r="M332" s="2">
        <v>706739.59</v>
      </c>
      <c r="N332" s="4">
        <f t="shared" si="23"/>
        <v>0</v>
      </c>
    </row>
    <row r="333" spans="1:14" x14ac:dyDescent="0.2">
      <c r="A333" t="s">
        <v>6</v>
      </c>
      <c r="B333">
        <v>2897</v>
      </c>
      <c r="C333">
        <v>1</v>
      </c>
      <c r="D333" t="s">
        <v>337</v>
      </c>
      <c r="E333" s="5">
        <v>8576580.2400000002</v>
      </c>
      <c r="F333" s="5">
        <v>746042.06</v>
      </c>
      <c r="G333" s="2">
        <f t="shared" si="20"/>
        <v>746224.25</v>
      </c>
      <c r="H333" s="4">
        <f t="shared" si="21"/>
        <v>182.18999999994412</v>
      </c>
      <c r="I333">
        <f t="shared" si="22"/>
        <v>0</v>
      </c>
      <c r="J333">
        <v>2897</v>
      </c>
      <c r="K333">
        <v>1</v>
      </c>
      <c r="L333" t="s">
        <v>337</v>
      </c>
      <c r="M333" s="2">
        <v>746224.25</v>
      </c>
      <c r="N333" s="4">
        <f t="shared" si="23"/>
        <v>0</v>
      </c>
    </row>
    <row r="334" spans="1:14" x14ac:dyDescent="0.2">
      <c r="A334" t="s">
        <v>6</v>
      </c>
      <c r="B334">
        <v>2898</v>
      </c>
      <c r="C334">
        <v>1</v>
      </c>
      <c r="D334" t="s">
        <v>338</v>
      </c>
      <c r="E334" s="5">
        <v>4528594.37</v>
      </c>
      <c r="F334" s="5">
        <v>393924.12</v>
      </c>
      <c r="G334" s="2">
        <f t="shared" si="20"/>
        <v>394020.33</v>
      </c>
      <c r="H334" s="4">
        <f t="shared" si="21"/>
        <v>96.210000000020955</v>
      </c>
      <c r="I334">
        <f t="shared" si="22"/>
        <v>0</v>
      </c>
      <c r="J334">
        <v>2898</v>
      </c>
      <c r="K334">
        <v>1</v>
      </c>
      <c r="L334" t="s">
        <v>338</v>
      </c>
      <c r="M334" s="2">
        <v>394020.33</v>
      </c>
      <c r="N334" s="4">
        <f t="shared" si="23"/>
        <v>0</v>
      </c>
    </row>
    <row r="335" spans="1:14" x14ac:dyDescent="0.2">
      <c r="A335" t="s">
        <v>6</v>
      </c>
      <c r="B335">
        <v>2899</v>
      </c>
      <c r="C335">
        <v>1</v>
      </c>
      <c r="D335" t="s">
        <v>339</v>
      </c>
      <c r="E335" s="5">
        <v>10201955.619999999</v>
      </c>
      <c r="F335" s="5">
        <v>887426.89</v>
      </c>
      <c r="G335" s="2">
        <f t="shared" si="20"/>
        <v>887643.62</v>
      </c>
      <c r="H335" s="4">
        <f t="shared" si="21"/>
        <v>216.72999999998137</v>
      </c>
      <c r="I335">
        <f t="shared" si="22"/>
        <v>0</v>
      </c>
      <c r="J335">
        <v>2899</v>
      </c>
      <c r="K335">
        <v>1</v>
      </c>
      <c r="L335" t="s">
        <v>339</v>
      </c>
      <c r="M335" s="2">
        <v>887643.62</v>
      </c>
      <c r="N335" s="4">
        <f t="shared" si="23"/>
        <v>0</v>
      </c>
    </row>
    <row r="336" spans="1:14" x14ac:dyDescent="0.2">
      <c r="A336" t="s">
        <v>6</v>
      </c>
      <c r="B336">
        <v>2902</v>
      </c>
      <c r="C336">
        <v>1</v>
      </c>
      <c r="D336" t="s">
        <v>340</v>
      </c>
      <c r="E336" s="5">
        <v>3760780.62</v>
      </c>
      <c r="F336" s="5">
        <v>327135.11</v>
      </c>
      <c r="G336" s="2">
        <f t="shared" si="20"/>
        <v>327215</v>
      </c>
      <c r="H336" s="4">
        <f t="shared" si="21"/>
        <v>79.89000000001397</v>
      </c>
      <c r="I336">
        <f t="shared" si="22"/>
        <v>0</v>
      </c>
      <c r="J336">
        <v>2902</v>
      </c>
      <c r="K336">
        <v>1</v>
      </c>
      <c r="L336" t="s">
        <v>340</v>
      </c>
      <c r="M336" s="2">
        <v>327215</v>
      </c>
      <c r="N336" s="4">
        <f t="shared" si="23"/>
        <v>0</v>
      </c>
    </row>
    <row r="337" spans="1:14" x14ac:dyDescent="0.2">
      <c r="A337" t="s">
        <v>6</v>
      </c>
      <c r="B337">
        <v>2903</v>
      </c>
      <c r="C337">
        <v>1</v>
      </c>
      <c r="D337" t="s">
        <v>341</v>
      </c>
      <c r="E337" s="5">
        <v>4153839.63</v>
      </c>
      <c r="F337" s="5">
        <v>361325.72</v>
      </c>
      <c r="G337" s="2">
        <f t="shared" si="20"/>
        <v>361413.97</v>
      </c>
      <c r="H337" s="4">
        <f t="shared" si="21"/>
        <v>88.25</v>
      </c>
      <c r="I337">
        <f t="shared" si="22"/>
        <v>0</v>
      </c>
      <c r="J337">
        <v>2903</v>
      </c>
      <c r="K337">
        <v>1</v>
      </c>
      <c r="L337" t="s">
        <v>341</v>
      </c>
      <c r="M337" s="2">
        <v>361413.97</v>
      </c>
      <c r="N337" s="4">
        <f t="shared" si="23"/>
        <v>0</v>
      </c>
    </row>
    <row r="338" spans="1:14" x14ac:dyDescent="0.2">
      <c r="A338" t="s">
        <v>6</v>
      </c>
      <c r="B338">
        <v>2904</v>
      </c>
      <c r="C338">
        <v>1</v>
      </c>
      <c r="D338" t="s">
        <v>342</v>
      </c>
      <c r="E338" s="5">
        <v>5680176.2800000003</v>
      </c>
      <c r="F338" s="5">
        <v>494095.58</v>
      </c>
      <c r="G338" s="2">
        <f t="shared" si="20"/>
        <v>494216.25</v>
      </c>
      <c r="H338" s="4">
        <f t="shared" si="21"/>
        <v>120.6699999999837</v>
      </c>
      <c r="I338">
        <f t="shared" si="22"/>
        <v>0</v>
      </c>
      <c r="J338">
        <v>2904</v>
      </c>
      <c r="K338">
        <v>1</v>
      </c>
      <c r="L338" t="s">
        <v>342</v>
      </c>
      <c r="M338" s="2">
        <v>494216.25</v>
      </c>
      <c r="N338" s="4">
        <f t="shared" si="23"/>
        <v>0</v>
      </c>
    </row>
    <row r="339" spans="1:14" x14ac:dyDescent="0.2">
      <c r="I339">
        <f>SUM(I3:I338)</f>
        <v>0</v>
      </c>
    </row>
    <row r="340" spans="1:14" x14ac:dyDescent="0.2">
      <c r="A340" s="1" t="s">
        <v>0</v>
      </c>
      <c r="B340" s="1" t="s">
        <v>1</v>
      </c>
      <c r="C340" s="1" t="s">
        <v>2</v>
      </c>
      <c r="D340" s="1" t="s">
        <v>3</v>
      </c>
      <c r="E340" s="3" t="s">
        <v>344</v>
      </c>
      <c r="F340" s="3" t="s">
        <v>343</v>
      </c>
      <c r="J340" s="1" t="s">
        <v>1</v>
      </c>
      <c r="K340" s="1" t="s">
        <v>2</v>
      </c>
      <c r="L340" s="1" t="s">
        <v>3</v>
      </c>
      <c r="M340" s="1" t="s">
        <v>5</v>
      </c>
    </row>
    <row r="341" spans="1:14" x14ac:dyDescent="0.2">
      <c r="A341" t="s">
        <v>6</v>
      </c>
      <c r="B341">
        <v>4000</v>
      </c>
      <c r="C341">
        <v>7</v>
      </c>
      <c r="D341" t="s">
        <v>345</v>
      </c>
      <c r="E341" s="5">
        <v>1235522.1000000001</v>
      </c>
      <c r="F341" s="5">
        <v>107490.42</v>
      </c>
      <c r="G341" s="2">
        <f t="shared" ref="G341:G404" si="24">ROUND(E341*$G$485,2)</f>
        <v>107499.32</v>
      </c>
      <c r="H341" s="4">
        <f t="shared" ref="H341:H404" si="25">G341-F341</f>
        <v>8.9000000000087311</v>
      </c>
      <c r="I341">
        <f>J341-B341</f>
        <v>0</v>
      </c>
      <c r="J341">
        <v>4000</v>
      </c>
      <c r="K341">
        <v>7</v>
      </c>
      <c r="L341" t="s">
        <v>345</v>
      </c>
      <c r="M341" s="2">
        <v>107499.32</v>
      </c>
      <c r="N341" s="4">
        <f t="shared" ref="N341:N404" si="26">M341-G341</f>
        <v>0</v>
      </c>
    </row>
    <row r="342" spans="1:14" x14ac:dyDescent="0.2">
      <c r="A342" t="s">
        <v>6</v>
      </c>
      <c r="B342">
        <v>4001</v>
      </c>
      <c r="C342">
        <v>7</v>
      </c>
      <c r="D342" t="s">
        <v>346</v>
      </c>
      <c r="E342" s="5">
        <v>1154761.8400000001</v>
      </c>
      <c r="F342" s="5">
        <v>100464.28</v>
      </c>
      <c r="G342" s="2">
        <f t="shared" si="24"/>
        <v>100472.6</v>
      </c>
      <c r="H342" s="4">
        <f t="shared" si="25"/>
        <v>8.3200000000069849</v>
      </c>
      <c r="I342">
        <f t="shared" ref="I342:I405" si="27">J342-B342</f>
        <v>0</v>
      </c>
      <c r="J342">
        <v>4001</v>
      </c>
      <c r="K342">
        <v>7</v>
      </c>
      <c r="L342" t="s">
        <v>346</v>
      </c>
      <c r="M342" s="2">
        <v>100472.6</v>
      </c>
      <c r="N342" s="4">
        <f t="shared" si="26"/>
        <v>0</v>
      </c>
    </row>
    <row r="343" spans="1:14" x14ac:dyDescent="0.2">
      <c r="A343" t="s">
        <v>6</v>
      </c>
      <c r="B343">
        <v>4003</v>
      </c>
      <c r="C343">
        <v>7</v>
      </c>
      <c r="D343" t="s">
        <v>347</v>
      </c>
      <c r="E343" s="5">
        <v>851306.25</v>
      </c>
      <c r="F343" s="5">
        <v>74063.64</v>
      </c>
      <c r="G343" s="2">
        <f t="shared" si="24"/>
        <v>74069.78</v>
      </c>
      <c r="H343" s="4">
        <f t="shared" si="25"/>
        <v>6.1399999999994179</v>
      </c>
      <c r="I343">
        <f t="shared" si="27"/>
        <v>0</v>
      </c>
      <c r="J343">
        <v>4003</v>
      </c>
      <c r="K343">
        <v>7</v>
      </c>
      <c r="L343" t="s">
        <v>347</v>
      </c>
      <c r="M343" s="2">
        <v>74069.78</v>
      </c>
      <c r="N343" s="4">
        <f t="shared" si="26"/>
        <v>0</v>
      </c>
    </row>
    <row r="344" spans="1:14" x14ac:dyDescent="0.2">
      <c r="A344" t="s">
        <v>6</v>
      </c>
      <c r="B344">
        <v>4004</v>
      </c>
      <c r="C344">
        <v>7</v>
      </c>
      <c r="D344" t="s">
        <v>348</v>
      </c>
      <c r="E344" s="5">
        <v>991209.81</v>
      </c>
      <c r="F344" s="5">
        <v>86235.25</v>
      </c>
      <c r="G344" s="2">
        <f t="shared" si="24"/>
        <v>86242.39</v>
      </c>
      <c r="H344" s="4">
        <f t="shared" si="25"/>
        <v>7.1399999999994179</v>
      </c>
      <c r="I344">
        <f t="shared" si="27"/>
        <v>0</v>
      </c>
      <c r="J344">
        <v>4004</v>
      </c>
      <c r="K344">
        <v>7</v>
      </c>
      <c r="L344" t="s">
        <v>348</v>
      </c>
      <c r="M344" s="2">
        <v>86242.39</v>
      </c>
      <c r="N344" s="4">
        <f t="shared" si="26"/>
        <v>0</v>
      </c>
    </row>
    <row r="345" spans="1:14" x14ac:dyDescent="0.2">
      <c r="A345" t="s">
        <v>6</v>
      </c>
      <c r="B345">
        <v>4005</v>
      </c>
      <c r="C345">
        <v>7</v>
      </c>
      <c r="D345" t="s">
        <v>349</v>
      </c>
      <c r="E345" s="5">
        <v>62476.43</v>
      </c>
      <c r="F345" s="5">
        <v>5435.45</v>
      </c>
      <c r="G345" s="2">
        <f t="shared" si="24"/>
        <v>5435.9</v>
      </c>
      <c r="H345" s="4">
        <f t="shared" si="25"/>
        <v>0.4499999999998181</v>
      </c>
      <c r="I345">
        <f t="shared" si="27"/>
        <v>0</v>
      </c>
      <c r="J345">
        <v>4005</v>
      </c>
      <c r="K345">
        <v>7</v>
      </c>
      <c r="L345" t="s">
        <v>349</v>
      </c>
      <c r="M345" s="2">
        <v>5435.9</v>
      </c>
      <c r="N345" s="4">
        <f t="shared" si="26"/>
        <v>0</v>
      </c>
    </row>
    <row r="346" spans="1:14" x14ac:dyDescent="0.2">
      <c r="A346" t="s">
        <v>6</v>
      </c>
      <c r="B346">
        <v>4006</v>
      </c>
      <c r="C346">
        <v>7</v>
      </c>
      <c r="D346" t="s">
        <v>350</v>
      </c>
      <c r="E346" s="5">
        <v>657273.76</v>
      </c>
      <c r="F346" s="5">
        <v>57182.82</v>
      </c>
      <c r="G346" s="2">
        <f t="shared" si="24"/>
        <v>57187.55</v>
      </c>
      <c r="H346" s="4">
        <f t="shared" si="25"/>
        <v>4.7300000000032014</v>
      </c>
      <c r="I346">
        <f t="shared" si="27"/>
        <v>0</v>
      </c>
      <c r="J346">
        <v>4006</v>
      </c>
      <c r="K346">
        <v>7</v>
      </c>
      <c r="L346" t="s">
        <v>350</v>
      </c>
      <c r="M346" s="2">
        <v>57187.55</v>
      </c>
      <c r="N346" s="4">
        <f t="shared" si="26"/>
        <v>0</v>
      </c>
    </row>
    <row r="347" spans="1:14" x14ac:dyDescent="0.2">
      <c r="A347" t="s">
        <v>6</v>
      </c>
      <c r="B347">
        <v>4007</v>
      </c>
      <c r="C347">
        <v>7</v>
      </c>
      <c r="D347" t="s">
        <v>351</v>
      </c>
      <c r="E347" s="5">
        <v>853443.87</v>
      </c>
      <c r="F347" s="5">
        <v>74249.62</v>
      </c>
      <c r="G347" s="2">
        <f t="shared" si="24"/>
        <v>74255.759999999995</v>
      </c>
      <c r="H347" s="4">
        <f t="shared" si="25"/>
        <v>6.1399999999994179</v>
      </c>
      <c r="I347">
        <f t="shared" si="27"/>
        <v>0</v>
      </c>
      <c r="J347">
        <v>4007</v>
      </c>
      <c r="K347">
        <v>7</v>
      </c>
      <c r="L347" t="s">
        <v>351</v>
      </c>
      <c r="M347" s="2">
        <v>74255.759999999995</v>
      </c>
      <c r="N347" s="4">
        <f t="shared" si="26"/>
        <v>0</v>
      </c>
    </row>
    <row r="348" spans="1:14" x14ac:dyDescent="0.2">
      <c r="A348" t="s">
        <v>6</v>
      </c>
      <c r="B348">
        <v>4008</v>
      </c>
      <c r="C348">
        <v>7</v>
      </c>
      <c r="D348" t="s">
        <v>352</v>
      </c>
      <c r="E348" s="5">
        <v>3524311.36</v>
      </c>
      <c r="F348" s="5">
        <v>306615.09000000003</v>
      </c>
      <c r="G348" s="2">
        <f t="shared" si="24"/>
        <v>306640.46999999997</v>
      </c>
      <c r="H348" s="4">
        <f t="shared" si="25"/>
        <v>25.379999999946449</v>
      </c>
      <c r="I348">
        <f t="shared" si="27"/>
        <v>0</v>
      </c>
      <c r="J348">
        <v>4008</v>
      </c>
      <c r="K348">
        <v>7</v>
      </c>
      <c r="L348" t="s">
        <v>352</v>
      </c>
      <c r="M348" s="2">
        <v>306640.46999999997</v>
      </c>
      <c r="N348" s="4">
        <f t="shared" si="26"/>
        <v>0</v>
      </c>
    </row>
    <row r="349" spans="1:14" x14ac:dyDescent="0.2">
      <c r="A349" t="s">
        <v>6</v>
      </c>
      <c r="B349">
        <v>4011</v>
      </c>
      <c r="C349">
        <v>7</v>
      </c>
      <c r="D349" t="s">
        <v>353</v>
      </c>
      <c r="E349" s="5">
        <v>2127545.48</v>
      </c>
      <c r="F349" s="5">
        <v>185096.46</v>
      </c>
      <c r="G349" s="2">
        <f t="shared" si="24"/>
        <v>185111.78</v>
      </c>
      <c r="H349" s="4">
        <f t="shared" si="25"/>
        <v>15.320000000006985</v>
      </c>
      <c r="I349">
        <f t="shared" si="27"/>
        <v>0</v>
      </c>
      <c r="J349">
        <v>4011</v>
      </c>
      <c r="K349">
        <v>7</v>
      </c>
      <c r="L349" t="s">
        <v>353</v>
      </c>
      <c r="M349" s="2">
        <v>185111.78</v>
      </c>
      <c r="N349" s="4">
        <f t="shared" si="26"/>
        <v>0</v>
      </c>
    </row>
    <row r="350" spans="1:14" x14ac:dyDescent="0.2">
      <c r="A350" t="s">
        <v>6</v>
      </c>
      <c r="B350">
        <v>4012</v>
      </c>
      <c r="C350">
        <v>7</v>
      </c>
      <c r="D350" t="s">
        <v>354</v>
      </c>
      <c r="E350" s="5">
        <v>304644.03999999998</v>
      </c>
      <c r="F350" s="5">
        <v>26504.03</v>
      </c>
      <c r="G350" s="2">
        <f t="shared" si="24"/>
        <v>26506.23</v>
      </c>
      <c r="H350" s="4">
        <f t="shared" si="25"/>
        <v>2.2000000000007276</v>
      </c>
      <c r="I350">
        <f t="shared" si="27"/>
        <v>0</v>
      </c>
      <c r="J350">
        <v>4012</v>
      </c>
      <c r="K350">
        <v>7</v>
      </c>
      <c r="L350" t="s">
        <v>354</v>
      </c>
      <c r="M350" s="2">
        <v>26506.23</v>
      </c>
      <c r="N350" s="4">
        <f t="shared" si="26"/>
        <v>0</v>
      </c>
    </row>
    <row r="351" spans="1:14" x14ac:dyDescent="0.2">
      <c r="A351" t="s">
        <v>6</v>
      </c>
      <c r="B351">
        <v>4015</v>
      </c>
      <c r="C351">
        <v>7</v>
      </c>
      <c r="D351" t="s">
        <v>355</v>
      </c>
      <c r="E351" s="5">
        <v>5315638.79</v>
      </c>
      <c r="F351" s="5">
        <v>462460.57</v>
      </c>
      <c r="G351" s="2">
        <f t="shared" si="24"/>
        <v>462498.86</v>
      </c>
      <c r="H351" s="4">
        <f t="shared" si="25"/>
        <v>38.289999999979045</v>
      </c>
      <c r="I351">
        <f t="shared" si="27"/>
        <v>0</v>
      </c>
      <c r="J351">
        <v>4015</v>
      </c>
      <c r="K351">
        <v>7</v>
      </c>
      <c r="L351" t="s">
        <v>355</v>
      </c>
      <c r="M351" s="2">
        <v>462498.86</v>
      </c>
      <c r="N351" s="4">
        <f t="shared" si="26"/>
        <v>0</v>
      </c>
    </row>
    <row r="352" spans="1:14" x14ac:dyDescent="0.2">
      <c r="A352" t="s">
        <v>6</v>
      </c>
      <c r="B352">
        <v>4016</v>
      </c>
      <c r="C352">
        <v>7</v>
      </c>
      <c r="D352" t="s">
        <v>356</v>
      </c>
      <c r="E352" s="5">
        <v>971428.64</v>
      </c>
      <c r="F352" s="5">
        <v>84514.29</v>
      </c>
      <c r="G352" s="2">
        <f t="shared" si="24"/>
        <v>84521.29</v>
      </c>
      <c r="H352" s="4">
        <f t="shared" si="25"/>
        <v>7</v>
      </c>
      <c r="I352">
        <f t="shared" si="27"/>
        <v>0</v>
      </c>
      <c r="J352">
        <v>4016</v>
      </c>
      <c r="K352">
        <v>7</v>
      </c>
      <c r="L352" t="s">
        <v>356</v>
      </c>
      <c r="M352" s="2">
        <v>84521.29</v>
      </c>
      <c r="N352" s="4">
        <f t="shared" si="26"/>
        <v>0</v>
      </c>
    </row>
    <row r="353" spans="1:14" x14ac:dyDescent="0.2">
      <c r="A353" t="s">
        <v>6</v>
      </c>
      <c r="B353">
        <v>4017</v>
      </c>
      <c r="C353">
        <v>7</v>
      </c>
      <c r="D353" t="s">
        <v>357</v>
      </c>
      <c r="E353" s="5">
        <v>14845661.17</v>
      </c>
      <c r="F353" s="5">
        <v>1291572.52</v>
      </c>
      <c r="G353" s="2">
        <f t="shared" si="24"/>
        <v>1291679.45</v>
      </c>
      <c r="H353" s="4">
        <f t="shared" si="25"/>
        <v>106.92999999993481</v>
      </c>
      <c r="I353">
        <f t="shared" si="27"/>
        <v>0</v>
      </c>
      <c r="J353">
        <v>4017</v>
      </c>
      <c r="K353">
        <v>7</v>
      </c>
      <c r="L353" t="s">
        <v>357</v>
      </c>
      <c r="M353" s="2">
        <v>1291679.45</v>
      </c>
      <c r="N353" s="4">
        <f t="shared" si="26"/>
        <v>0</v>
      </c>
    </row>
    <row r="354" spans="1:14" x14ac:dyDescent="0.2">
      <c r="A354" t="s">
        <v>6</v>
      </c>
      <c r="B354">
        <v>4018</v>
      </c>
      <c r="C354">
        <v>7</v>
      </c>
      <c r="D354" t="s">
        <v>358</v>
      </c>
      <c r="E354" s="5">
        <v>3458936.31</v>
      </c>
      <c r="F354" s="5">
        <v>300927.46000000002</v>
      </c>
      <c r="G354" s="2">
        <f t="shared" si="24"/>
        <v>300952.37</v>
      </c>
      <c r="H354" s="4">
        <f t="shared" si="25"/>
        <v>24.909999999974389</v>
      </c>
      <c r="I354">
        <f t="shared" si="27"/>
        <v>0</v>
      </c>
      <c r="J354">
        <v>4018</v>
      </c>
      <c r="K354">
        <v>7</v>
      </c>
      <c r="L354" t="s">
        <v>358</v>
      </c>
      <c r="M354" s="2">
        <v>300952.37</v>
      </c>
      <c r="N354" s="4">
        <f t="shared" si="26"/>
        <v>0</v>
      </c>
    </row>
    <row r="355" spans="1:14" x14ac:dyDescent="0.2">
      <c r="A355" t="s">
        <v>6</v>
      </c>
      <c r="B355">
        <v>4020</v>
      </c>
      <c r="C355">
        <v>7</v>
      </c>
      <c r="D355" t="s">
        <v>359</v>
      </c>
      <c r="E355" s="5">
        <v>5591735.0800000001</v>
      </c>
      <c r="F355" s="5">
        <v>486480.95</v>
      </c>
      <c r="G355" s="2">
        <f t="shared" si="24"/>
        <v>486521.23</v>
      </c>
      <c r="H355" s="4">
        <f t="shared" si="25"/>
        <v>40.279999999969732</v>
      </c>
      <c r="I355">
        <f t="shared" si="27"/>
        <v>0</v>
      </c>
      <c r="J355">
        <v>4020</v>
      </c>
      <c r="K355">
        <v>7</v>
      </c>
      <c r="L355" t="s">
        <v>359</v>
      </c>
      <c r="M355" s="2">
        <v>486521.23</v>
      </c>
      <c r="N355" s="4">
        <f t="shared" si="26"/>
        <v>0</v>
      </c>
    </row>
    <row r="356" spans="1:14" x14ac:dyDescent="0.2">
      <c r="A356" t="s">
        <v>6</v>
      </c>
      <c r="B356">
        <v>4025</v>
      </c>
      <c r="C356">
        <v>7</v>
      </c>
      <c r="D356" t="s">
        <v>360</v>
      </c>
      <c r="E356" s="5">
        <v>777176.38</v>
      </c>
      <c r="F356" s="5">
        <v>67614.350000000006</v>
      </c>
      <c r="G356" s="2">
        <f t="shared" si="24"/>
        <v>67619.94</v>
      </c>
      <c r="H356" s="4">
        <f t="shared" si="25"/>
        <v>5.5899999999965075</v>
      </c>
      <c r="I356">
        <f t="shared" si="27"/>
        <v>0</v>
      </c>
      <c r="J356">
        <v>4025</v>
      </c>
      <c r="K356">
        <v>7</v>
      </c>
      <c r="L356" t="s">
        <v>360</v>
      </c>
      <c r="M356" s="2">
        <v>67619.94</v>
      </c>
      <c r="N356" s="4">
        <f t="shared" si="26"/>
        <v>0</v>
      </c>
    </row>
    <row r="357" spans="1:14" x14ac:dyDescent="0.2">
      <c r="A357" t="s">
        <v>6</v>
      </c>
      <c r="B357">
        <v>4026</v>
      </c>
      <c r="C357">
        <v>7</v>
      </c>
      <c r="D357" t="s">
        <v>361</v>
      </c>
      <c r="E357" s="5">
        <v>1323641.05</v>
      </c>
      <c r="F357" s="5">
        <v>115156.77</v>
      </c>
      <c r="G357" s="2">
        <f t="shared" si="24"/>
        <v>115166.31</v>
      </c>
      <c r="H357" s="4">
        <f t="shared" si="25"/>
        <v>9.5399999999935972</v>
      </c>
      <c r="I357">
        <f t="shared" si="27"/>
        <v>0</v>
      </c>
      <c r="J357">
        <v>4026</v>
      </c>
      <c r="K357">
        <v>7</v>
      </c>
      <c r="L357" t="s">
        <v>361</v>
      </c>
      <c r="M357" s="2">
        <v>115166.31</v>
      </c>
      <c r="N357" s="4">
        <f t="shared" si="26"/>
        <v>0</v>
      </c>
    </row>
    <row r="358" spans="1:14" x14ac:dyDescent="0.2">
      <c r="A358" t="s">
        <v>6</v>
      </c>
      <c r="B358">
        <v>4027</v>
      </c>
      <c r="C358">
        <v>7</v>
      </c>
      <c r="D358" t="s">
        <v>362</v>
      </c>
      <c r="E358" s="5">
        <v>4886388.59</v>
      </c>
      <c r="F358" s="5">
        <v>425115.81</v>
      </c>
      <c r="G358" s="2">
        <f t="shared" si="24"/>
        <v>425151</v>
      </c>
      <c r="H358" s="4">
        <f t="shared" si="25"/>
        <v>35.190000000002328</v>
      </c>
      <c r="I358">
        <f t="shared" si="27"/>
        <v>0</v>
      </c>
      <c r="J358">
        <v>4027</v>
      </c>
      <c r="K358">
        <v>7</v>
      </c>
      <c r="L358" t="s">
        <v>362</v>
      </c>
      <c r="M358" s="2">
        <v>425151</v>
      </c>
      <c r="N358" s="4">
        <f t="shared" si="26"/>
        <v>0</v>
      </c>
    </row>
    <row r="359" spans="1:14" x14ac:dyDescent="0.2">
      <c r="A359" s="31" t="s">
        <v>6</v>
      </c>
      <c r="B359" s="31">
        <v>4028</v>
      </c>
      <c r="C359" s="31">
        <v>7</v>
      </c>
      <c r="D359" s="31" t="s">
        <v>363</v>
      </c>
      <c r="E359" s="32">
        <v>203272.58</v>
      </c>
      <c r="F359" s="32">
        <v>17684.71</v>
      </c>
      <c r="G359" s="33">
        <f t="shared" si="24"/>
        <v>17686.18</v>
      </c>
      <c r="H359" s="34">
        <f t="shared" si="25"/>
        <v>1.4700000000011642</v>
      </c>
      <c r="I359">
        <f t="shared" si="27"/>
        <v>0</v>
      </c>
      <c r="J359">
        <v>4028</v>
      </c>
      <c r="K359">
        <v>7</v>
      </c>
      <c r="L359" t="s">
        <v>363</v>
      </c>
      <c r="M359" s="2">
        <v>17686.18</v>
      </c>
      <c r="N359" s="4">
        <f t="shared" si="26"/>
        <v>0</v>
      </c>
    </row>
    <row r="360" spans="1:14" x14ac:dyDescent="0.2">
      <c r="A360" t="s">
        <v>6</v>
      </c>
      <c r="B360">
        <v>4029</v>
      </c>
      <c r="C360">
        <v>7</v>
      </c>
      <c r="D360" t="s">
        <v>364</v>
      </c>
      <c r="E360" s="5">
        <v>2810262.65</v>
      </c>
      <c r="F360" s="5">
        <v>244492.85</v>
      </c>
      <c r="G360" s="2">
        <f t="shared" si="24"/>
        <v>244513.09</v>
      </c>
      <c r="H360" s="4">
        <f t="shared" si="25"/>
        <v>20.239999999990687</v>
      </c>
      <c r="I360">
        <f t="shared" si="27"/>
        <v>0</v>
      </c>
      <c r="J360">
        <v>4029</v>
      </c>
      <c r="K360">
        <v>7</v>
      </c>
      <c r="L360" t="s">
        <v>364</v>
      </c>
      <c r="M360" s="2">
        <v>244513.09</v>
      </c>
      <c r="N360" s="4">
        <f t="shared" si="26"/>
        <v>0</v>
      </c>
    </row>
    <row r="361" spans="1:14" x14ac:dyDescent="0.2">
      <c r="A361" t="s">
        <v>6</v>
      </c>
      <c r="B361">
        <v>4030</v>
      </c>
      <c r="C361">
        <v>7</v>
      </c>
      <c r="D361" t="s">
        <v>365</v>
      </c>
      <c r="E361" s="5">
        <v>1248582.1599999999</v>
      </c>
      <c r="F361" s="5">
        <v>108626.65</v>
      </c>
      <c r="G361" s="2">
        <f t="shared" si="24"/>
        <v>108635.64</v>
      </c>
      <c r="H361" s="4">
        <f t="shared" si="25"/>
        <v>8.9900000000052387</v>
      </c>
      <c r="I361">
        <f t="shared" si="27"/>
        <v>0</v>
      </c>
      <c r="J361">
        <v>4030</v>
      </c>
      <c r="K361">
        <v>7</v>
      </c>
      <c r="L361" t="s">
        <v>365</v>
      </c>
      <c r="M361" s="2">
        <v>108635.64</v>
      </c>
      <c r="N361" s="4">
        <f t="shared" si="26"/>
        <v>0</v>
      </c>
    </row>
    <row r="362" spans="1:14" x14ac:dyDescent="0.2">
      <c r="A362" t="s">
        <v>6</v>
      </c>
      <c r="B362">
        <v>4031</v>
      </c>
      <c r="C362">
        <v>7</v>
      </c>
      <c r="D362" t="s">
        <v>366</v>
      </c>
      <c r="E362" s="5">
        <v>444958.8</v>
      </c>
      <c r="F362" s="5">
        <v>38711.42</v>
      </c>
      <c r="G362" s="2">
        <f t="shared" si="24"/>
        <v>38714.620000000003</v>
      </c>
      <c r="H362" s="4">
        <f t="shared" si="25"/>
        <v>3.2000000000043656</v>
      </c>
      <c r="I362">
        <f t="shared" si="27"/>
        <v>0</v>
      </c>
      <c r="J362">
        <v>4031</v>
      </c>
      <c r="K362">
        <v>7</v>
      </c>
      <c r="L362" t="s">
        <v>366</v>
      </c>
      <c r="M362" s="2">
        <v>38714.620000000003</v>
      </c>
      <c r="N362" s="4">
        <f t="shared" si="26"/>
        <v>0</v>
      </c>
    </row>
    <row r="363" spans="1:14" x14ac:dyDescent="0.2">
      <c r="A363" t="s">
        <v>6</v>
      </c>
      <c r="B363">
        <v>4032</v>
      </c>
      <c r="C363">
        <v>7</v>
      </c>
      <c r="D363" t="s">
        <v>367</v>
      </c>
      <c r="E363" s="5">
        <v>3194215.62</v>
      </c>
      <c r="F363" s="5">
        <v>277896.76</v>
      </c>
      <c r="G363" s="2">
        <f t="shared" si="24"/>
        <v>277919.77</v>
      </c>
      <c r="H363" s="4">
        <f t="shared" si="25"/>
        <v>23.010000000009313</v>
      </c>
      <c r="I363">
        <f t="shared" si="27"/>
        <v>0</v>
      </c>
      <c r="J363">
        <v>4032</v>
      </c>
      <c r="K363">
        <v>7</v>
      </c>
      <c r="L363" t="s">
        <v>367</v>
      </c>
      <c r="M363" s="2">
        <v>277919.77</v>
      </c>
      <c r="N363" s="4">
        <f t="shared" si="26"/>
        <v>0</v>
      </c>
    </row>
    <row r="364" spans="1:14" x14ac:dyDescent="0.2">
      <c r="A364" t="s">
        <v>6</v>
      </c>
      <c r="B364">
        <v>4035</v>
      </c>
      <c r="C364">
        <v>7</v>
      </c>
      <c r="D364" t="s">
        <v>368</v>
      </c>
      <c r="E364" s="5">
        <v>1845742.86</v>
      </c>
      <c r="F364" s="5">
        <v>160579.63</v>
      </c>
      <c r="G364" s="2">
        <f t="shared" si="24"/>
        <v>160592.92000000001</v>
      </c>
      <c r="H364" s="4">
        <f t="shared" si="25"/>
        <v>13.290000000008149</v>
      </c>
      <c r="I364">
        <f t="shared" si="27"/>
        <v>0</v>
      </c>
      <c r="J364">
        <v>4035</v>
      </c>
      <c r="K364">
        <v>7</v>
      </c>
      <c r="L364" t="s">
        <v>368</v>
      </c>
      <c r="M364" s="2">
        <v>160592.92000000001</v>
      </c>
      <c r="N364" s="4">
        <f t="shared" si="26"/>
        <v>0</v>
      </c>
    </row>
    <row r="365" spans="1:14" x14ac:dyDescent="0.2">
      <c r="A365" t="s">
        <v>6</v>
      </c>
      <c r="B365">
        <v>4036</v>
      </c>
      <c r="C365">
        <v>7</v>
      </c>
      <c r="D365" t="s">
        <v>369</v>
      </c>
      <c r="E365" s="5">
        <v>573663.39</v>
      </c>
      <c r="F365" s="5">
        <v>49908.71</v>
      </c>
      <c r="G365" s="2">
        <f t="shared" si="24"/>
        <v>49912.85</v>
      </c>
      <c r="H365" s="4">
        <f t="shared" si="25"/>
        <v>4.1399999999994179</v>
      </c>
      <c r="I365">
        <f t="shared" si="27"/>
        <v>0</v>
      </c>
      <c r="J365">
        <v>4036</v>
      </c>
      <c r="K365">
        <v>7</v>
      </c>
      <c r="L365" t="s">
        <v>369</v>
      </c>
      <c r="M365" s="2">
        <v>49912.85</v>
      </c>
      <c r="N365" s="4">
        <f t="shared" si="26"/>
        <v>0</v>
      </c>
    </row>
    <row r="366" spans="1:14" x14ac:dyDescent="0.2">
      <c r="A366" t="s">
        <v>6</v>
      </c>
      <c r="B366">
        <v>4038</v>
      </c>
      <c r="C366">
        <v>7</v>
      </c>
      <c r="D366" t="s">
        <v>370</v>
      </c>
      <c r="E366" s="5">
        <v>2253332.2400000002</v>
      </c>
      <c r="F366" s="5">
        <v>196039.9</v>
      </c>
      <c r="G366" s="2">
        <f t="shared" si="24"/>
        <v>196056.13</v>
      </c>
      <c r="H366" s="4">
        <f t="shared" si="25"/>
        <v>16.230000000010477</v>
      </c>
      <c r="I366">
        <f t="shared" si="27"/>
        <v>0</v>
      </c>
      <c r="J366">
        <v>4038</v>
      </c>
      <c r="K366">
        <v>7</v>
      </c>
      <c r="L366" t="s">
        <v>370</v>
      </c>
      <c r="M366" s="2">
        <v>196056.13</v>
      </c>
      <c r="N366" s="4">
        <f t="shared" si="26"/>
        <v>0</v>
      </c>
    </row>
    <row r="367" spans="1:14" x14ac:dyDescent="0.2">
      <c r="A367" t="s">
        <v>6</v>
      </c>
      <c r="B367">
        <v>4039</v>
      </c>
      <c r="C367">
        <v>7</v>
      </c>
      <c r="D367" t="s">
        <v>371</v>
      </c>
      <c r="E367" s="5">
        <v>1998896.27</v>
      </c>
      <c r="F367" s="5">
        <v>173903.98</v>
      </c>
      <c r="G367" s="2">
        <f t="shared" si="24"/>
        <v>173918.37</v>
      </c>
      <c r="H367" s="4">
        <f t="shared" si="25"/>
        <v>14.389999999984866</v>
      </c>
      <c r="I367">
        <f t="shared" si="27"/>
        <v>0</v>
      </c>
      <c r="J367">
        <v>4039</v>
      </c>
      <c r="K367">
        <v>7</v>
      </c>
      <c r="L367" t="s">
        <v>371</v>
      </c>
      <c r="M367" s="2">
        <v>173918.37</v>
      </c>
      <c r="N367" s="4">
        <f t="shared" si="26"/>
        <v>0</v>
      </c>
    </row>
    <row r="368" spans="1:14" x14ac:dyDescent="0.2">
      <c r="A368" t="s">
        <v>6</v>
      </c>
      <c r="B368">
        <v>4042</v>
      </c>
      <c r="C368">
        <v>7</v>
      </c>
      <c r="D368" t="s">
        <v>372</v>
      </c>
      <c r="E368" s="5">
        <v>1301084.53</v>
      </c>
      <c r="F368" s="5">
        <v>113194.35</v>
      </c>
      <c r="G368" s="2">
        <f t="shared" si="24"/>
        <v>113203.73</v>
      </c>
      <c r="H368" s="4">
        <f t="shared" si="25"/>
        <v>9.3799999999901047</v>
      </c>
      <c r="I368">
        <f t="shared" si="27"/>
        <v>0</v>
      </c>
      <c r="J368">
        <v>4042</v>
      </c>
      <c r="K368">
        <v>7</v>
      </c>
      <c r="L368" t="s">
        <v>372</v>
      </c>
      <c r="M368" s="2">
        <v>113203.73</v>
      </c>
      <c r="N368" s="4">
        <f t="shared" si="26"/>
        <v>0</v>
      </c>
    </row>
    <row r="369" spans="1:14" x14ac:dyDescent="0.2">
      <c r="A369" t="s">
        <v>6</v>
      </c>
      <c r="B369">
        <v>4043</v>
      </c>
      <c r="C369">
        <v>7</v>
      </c>
      <c r="D369" t="s">
        <v>373</v>
      </c>
      <c r="E369" s="5">
        <v>1850749.87</v>
      </c>
      <c r="F369" s="5">
        <v>161015.24</v>
      </c>
      <c r="G369" s="2">
        <f t="shared" si="24"/>
        <v>161028.57</v>
      </c>
      <c r="H369" s="4">
        <f t="shared" si="25"/>
        <v>13.330000000016298</v>
      </c>
      <c r="I369">
        <f t="shared" si="27"/>
        <v>0</v>
      </c>
      <c r="J369">
        <v>4043</v>
      </c>
      <c r="K369">
        <v>7</v>
      </c>
      <c r="L369" t="s">
        <v>373</v>
      </c>
      <c r="M369" s="2">
        <v>161028.57</v>
      </c>
      <c r="N369" s="4">
        <f t="shared" si="26"/>
        <v>0</v>
      </c>
    </row>
    <row r="370" spans="1:14" x14ac:dyDescent="0.2">
      <c r="A370" t="s">
        <v>6</v>
      </c>
      <c r="B370">
        <v>4045</v>
      </c>
      <c r="C370">
        <v>7</v>
      </c>
      <c r="D370" t="s">
        <v>374</v>
      </c>
      <c r="E370" s="5">
        <v>485695.69</v>
      </c>
      <c r="F370" s="5">
        <v>42255.53</v>
      </c>
      <c r="G370" s="2">
        <f t="shared" si="24"/>
        <v>42259.02</v>
      </c>
      <c r="H370" s="4">
        <f t="shared" si="25"/>
        <v>3.4899999999979627</v>
      </c>
      <c r="I370">
        <f t="shared" si="27"/>
        <v>0</v>
      </c>
      <c r="J370">
        <v>4045</v>
      </c>
      <c r="K370">
        <v>7</v>
      </c>
      <c r="L370" t="s">
        <v>374</v>
      </c>
      <c r="M370" s="2">
        <v>42259.02</v>
      </c>
      <c r="N370" s="4">
        <f t="shared" si="26"/>
        <v>0</v>
      </c>
    </row>
    <row r="371" spans="1:14" x14ac:dyDescent="0.2">
      <c r="A371" t="s">
        <v>6</v>
      </c>
      <c r="B371">
        <v>4046</v>
      </c>
      <c r="C371">
        <v>7</v>
      </c>
      <c r="D371" t="s">
        <v>375</v>
      </c>
      <c r="E371" s="5">
        <v>641262.72</v>
      </c>
      <c r="F371" s="5">
        <v>55789.86</v>
      </c>
      <c r="G371" s="2">
        <f t="shared" si="24"/>
        <v>55794.48</v>
      </c>
      <c r="H371" s="4">
        <f t="shared" si="25"/>
        <v>4.6200000000026193</v>
      </c>
      <c r="I371">
        <f t="shared" si="27"/>
        <v>0</v>
      </c>
      <c r="J371">
        <v>4046</v>
      </c>
      <c r="K371">
        <v>7</v>
      </c>
      <c r="L371" t="s">
        <v>375</v>
      </c>
      <c r="M371" s="2">
        <v>55794.48</v>
      </c>
      <c r="N371" s="4">
        <f t="shared" si="26"/>
        <v>0</v>
      </c>
    </row>
    <row r="372" spans="1:14" x14ac:dyDescent="0.2">
      <c r="A372" t="s">
        <v>6</v>
      </c>
      <c r="B372">
        <v>4048</v>
      </c>
      <c r="C372">
        <v>7</v>
      </c>
      <c r="D372" t="s">
        <v>376</v>
      </c>
      <c r="E372" s="5">
        <v>301833.64</v>
      </c>
      <c r="F372" s="5">
        <v>26259.53</v>
      </c>
      <c r="G372" s="2">
        <f t="shared" si="24"/>
        <v>26261.7</v>
      </c>
      <c r="H372" s="4">
        <f t="shared" si="25"/>
        <v>2.1700000000018917</v>
      </c>
      <c r="I372">
        <f t="shared" si="27"/>
        <v>0</v>
      </c>
      <c r="J372">
        <v>4048</v>
      </c>
      <c r="K372">
        <v>7</v>
      </c>
      <c r="L372" t="s">
        <v>376</v>
      </c>
      <c r="M372" s="2">
        <v>26261.7</v>
      </c>
      <c r="N372" s="4">
        <f t="shared" si="26"/>
        <v>0</v>
      </c>
    </row>
    <row r="373" spans="1:14" x14ac:dyDescent="0.2">
      <c r="A373" t="s">
        <v>6</v>
      </c>
      <c r="B373">
        <v>4049</v>
      </c>
      <c r="C373">
        <v>7</v>
      </c>
      <c r="D373" t="s">
        <v>377</v>
      </c>
      <c r="E373" s="5">
        <v>1123032.04</v>
      </c>
      <c r="F373" s="5">
        <v>97703.79</v>
      </c>
      <c r="G373" s="2">
        <f t="shared" si="24"/>
        <v>97711.88</v>
      </c>
      <c r="H373" s="4">
        <f t="shared" si="25"/>
        <v>8.0900000000110595</v>
      </c>
      <c r="I373">
        <f t="shared" si="27"/>
        <v>0</v>
      </c>
      <c r="J373">
        <v>4049</v>
      </c>
      <c r="K373">
        <v>7</v>
      </c>
      <c r="L373" t="s">
        <v>377</v>
      </c>
      <c r="M373" s="2">
        <v>97711.88</v>
      </c>
      <c r="N373" s="4">
        <f t="shared" si="26"/>
        <v>0</v>
      </c>
    </row>
    <row r="374" spans="1:14" x14ac:dyDescent="0.2">
      <c r="A374" t="s">
        <v>6</v>
      </c>
      <c r="B374">
        <v>4050</v>
      </c>
      <c r="C374">
        <v>7</v>
      </c>
      <c r="D374" t="s">
        <v>378</v>
      </c>
      <c r="E374" s="5">
        <v>542033.80000000005</v>
      </c>
      <c r="F374" s="5">
        <v>47156.94</v>
      </c>
      <c r="G374" s="2">
        <f t="shared" si="24"/>
        <v>47160.84</v>
      </c>
      <c r="H374" s="4">
        <f t="shared" si="25"/>
        <v>3.8999999999941792</v>
      </c>
      <c r="I374">
        <f t="shared" si="27"/>
        <v>0</v>
      </c>
      <c r="J374">
        <v>4050</v>
      </c>
      <c r="K374">
        <v>7</v>
      </c>
      <c r="L374" t="s">
        <v>378</v>
      </c>
      <c r="M374" s="2">
        <v>47160.84</v>
      </c>
      <c r="N374" s="4">
        <f t="shared" si="26"/>
        <v>0</v>
      </c>
    </row>
    <row r="375" spans="1:14" x14ac:dyDescent="0.2">
      <c r="A375" t="s">
        <v>6</v>
      </c>
      <c r="B375">
        <v>4052</v>
      </c>
      <c r="C375">
        <v>7</v>
      </c>
      <c r="D375" t="s">
        <v>379</v>
      </c>
      <c r="E375" s="5">
        <v>984488.11</v>
      </c>
      <c r="F375" s="5">
        <v>85650.47</v>
      </c>
      <c r="G375" s="2">
        <f t="shared" si="24"/>
        <v>85657.56</v>
      </c>
      <c r="H375" s="4">
        <f t="shared" si="25"/>
        <v>7.0899999999965075</v>
      </c>
      <c r="I375">
        <f t="shared" si="27"/>
        <v>0</v>
      </c>
      <c r="J375">
        <v>4052</v>
      </c>
      <c r="K375">
        <v>7</v>
      </c>
      <c r="L375" t="s">
        <v>379</v>
      </c>
      <c r="M375" s="2">
        <v>85657.56</v>
      </c>
      <c r="N375" s="4">
        <f t="shared" si="26"/>
        <v>0</v>
      </c>
    </row>
    <row r="376" spans="1:14" x14ac:dyDescent="0.2">
      <c r="A376" t="s">
        <v>6</v>
      </c>
      <c r="B376">
        <v>4053</v>
      </c>
      <c r="C376">
        <v>7</v>
      </c>
      <c r="D376" t="s">
        <v>380</v>
      </c>
      <c r="E376" s="5">
        <v>1179920.97</v>
      </c>
      <c r="F376" s="5">
        <v>102653.12</v>
      </c>
      <c r="G376" s="2">
        <f t="shared" si="24"/>
        <v>102661.62</v>
      </c>
      <c r="H376" s="4">
        <f t="shared" si="25"/>
        <v>8.5</v>
      </c>
      <c r="I376">
        <f t="shared" si="27"/>
        <v>0</v>
      </c>
      <c r="J376">
        <v>4053</v>
      </c>
      <c r="K376">
        <v>7</v>
      </c>
      <c r="L376" t="s">
        <v>380</v>
      </c>
      <c r="M376" s="2">
        <v>102661.62</v>
      </c>
      <c r="N376" s="4">
        <f t="shared" si="26"/>
        <v>0</v>
      </c>
    </row>
    <row r="377" spans="1:14" x14ac:dyDescent="0.2">
      <c r="A377" s="19" t="s">
        <v>6</v>
      </c>
      <c r="B377" s="19">
        <v>4054</v>
      </c>
      <c r="C377" s="19">
        <v>7</v>
      </c>
      <c r="D377" s="19" t="s">
        <v>381</v>
      </c>
      <c r="E377" s="37">
        <v>293368.52</v>
      </c>
      <c r="F377" s="37">
        <v>25523.06</v>
      </c>
      <c r="G377" s="38">
        <f t="shared" si="24"/>
        <v>25525.17</v>
      </c>
      <c r="H377" s="39">
        <f t="shared" si="25"/>
        <v>2.1099999999969441</v>
      </c>
      <c r="I377">
        <f t="shared" si="27"/>
        <v>0</v>
      </c>
      <c r="J377">
        <v>4054</v>
      </c>
      <c r="K377">
        <v>7</v>
      </c>
      <c r="L377" t="s">
        <v>381</v>
      </c>
      <c r="M377" s="2">
        <v>25525.17</v>
      </c>
      <c r="N377" s="4">
        <f t="shared" si="26"/>
        <v>0</v>
      </c>
    </row>
    <row r="378" spans="1:14" x14ac:dyDescent="0.2">
      <c r="A378" t="s">
        <v>6</v>
      </c>
      <c r="B378">
        <v>4055</v>
      </c>
      <c r="C378">
        <v>7</v>
      </c>
      <c r="D378" t="s">
        <v>382</v>
      </c>
      <c r="E378" s="5">
        <v>851317.02</v>
      </c>
      <c r="F378" s="5">
        <v>74064.58</v>
      </c>
      <c r="G378" s="2">
        <f t="shared" si="24"/>
        <v>74070.710000000006</v>
      </c>
      <c r="H378" s="4">
        <f t="shared" si="25"/>
        <v>6.1300000000046566</v>
      </c>
      <c r="I378">
        <f t="shared" si="27"/>
        <v>0</v>
      </c>
      <c r="J378">
        <v>4055</v>
      </c>
      <c r="K378">
        <v>7</v>
      </c>
      <c r="L378" t="s">
        <v>382</v>
      </c>
      <c r="M378" s="2">
        <v>74070.710000000006</v>
      </c>
      <c r="N378" s="4">
        <f t="shared" si="26"/>
        <v>0</v>
      </c>
    </row>
    <row r="379" spans="1:14" x14ac:dyDescent="0.2">
      <c r="A379" t="s">
        <v>6</v>
      </c>
      <c r="B379">
        <v>4056</v>
      </c>
      <c r="C379">
        <v>7</v>
      </c>
      <c r="D379" t="s">
        <v>383</v>
      </c>
      <c r="E379" s="5">
        <v>825622.75</v>
      </c>
      <c r="F379" s="5">
        <v>71829.179999999993</v>
      </c>
      <c r="G379" s="2">
        <f t="shared" si="24"/>
        <v>71835.13</v>
      </c>
      <c r="H379" s="4">
        <f t="shared" si="25"/>
        <v>5.9500000000116415</v>
      </c>
      <c r="I379">
        <f t="shared" si="27"/>
        <v>0</v>
      </c>
      <c r="J379">
        <v>4056</v>
      </c>
      <c r="K379">
        <v>7</v>
      </c>
      <c r="L379" t="s">
        <v>383</v>
      </c>
      <c r="M379" s="2">
        <v>71835.13</v>
      </c>
      <c r="N379" s="4">
        <f t="shared" si="26"/>
        <v>0</v>
      </c>
    </row>
    <row r="380" spans="1:14" x14ac:dyDescent="0.2">
      <c r="A380" t="s">
        <v>6</v>
      </c>
      <c r="B380">
        <v>4057</v>
      </c>
      <c r="C380">
        <v>7</v>
      </c>
      <c r="D380" t="s">
        <v>384</v>
      </c>
      <c r="E380" s="5">
        <v>947473.25</v>
      </c>
      <c r="F380" s="5">
        <v>82430.17</v>
      </c>
      <c r="G380" s="2">
        <f t="shared" si="24"/>
        <v>82437</v>
      </c>
      <c r="H380" s="4">
        <f t="shared" si="25"/>
        <v>6.8300000000017462</v>
      </c>
      <c r="I380">
        <f t="shared" si="27"/>
        <v>0</v>
      </c>
      <c r="J380">
        <v>4057</v>
      </c>
      <c r="K380">
        <v>7</v>
      </c>
      <c r="L380" t="s">
        <v>384</v>
      </c>
      <c r="M380" s="2">
        <v>82437</v>
      </c>
      <c r="N380" s="4">
        <f t="shared" si="26"/>
        <v>0</v>
      </c>
    </row>
    <row r="381" spans="1:14" x14ac:dyDescent="0.2">
      <c r="A381" t="s">
        <v>6</v>
      </c>
      <c r="B381">
        <v>4058</v>
      </c>
      <c r="C381">
        <v>7</v>
      </c>
      <c r="D381" t="s">
        <v>385</v>
      </c>
      <c r="E381" s="5">
        <v>1020027.38</v>
      </c>
      <c r="F381" s="5">
        <v>88742.38</v>
      </c>
      <c r="G381" s="2">
        <f t="shared" si="24"/>
        <v>88749.73</v>
      </c>
      <c r="H381" s="4">
        <f t="shared" si="25"/>
        <v>7.3499999999912689</v>
      </c>
      <c r="I381">
        <f t="shared" si="27"/>
        <v>0</v>
      </c>
      <c r="J381">
        <v>4058</v>
      </c>
      <c r="K381">
        <v>7</v>
      </c>
      <c r="L381" t="s">
        <v>385</v>
      </c>
      <c r="M381" s="2">
        <v>88749.73</v>
      </c>
      <c r="N381" s="4">
        <f t="shared" si="26"/>
        <v>0</v>
      </c>
    </row>
    <row r="382" spans="1:14" x14ac:dyDescent="0.2">
      <c r="A382" t="s">
        <v>6</v>
      </c>
      <c r="B382">
        <v>4059</v>
      </c>
      <c r="C382">
        <v>7</v>
      </c>
      <c r="D382" t="s">
        <v>386</v>
      </c>
      <c r="E382" s="5">
        <v>674541.83</v>
      </c>
      <c r="F382" s="5">
        <v>58685.14</v>
      </c>
      <c r="G382" s="2">
        <f t="shared" si="24"/>
        <v>58690</v>
      </c>
      <c r="H382" s="4">
        <f t="shared" si="25"/>
        <v>4.8600000000005821</v>
      </c>
      <c r="I382">
        <f t="shared" si="27"/>
        <v>0</v>
      </c>
      <c r="J382">
        <v>4059</v>
      </c>
      <c r="K382">
        <v>7</v>
      </c>
      <c r="L382" t="s">
        <v>386</v>
      </c>
      <c r="M382" s="2">
        <v>58690</v>
      </c>
      <c r="N382" s="4">
        <f t="shared" si="26"/>
        <v>0</v>
      </c>
    </row>
    <row r="383" spans="1:14" x14ac:dyDescent="0.2">
      <c r="A383" t="s">
        <v>6</v>
      </c>
      <c r="B383">
        <v>4061</v>
      </c>
      <c r="C383">
        <v>7</v>
      </c>
      <c r="D383" t="s">
        <v>387</v>
      </c>
      <c r="E383" s="5">
        <v>842208.65</v>
      </c>
      <c r="F383" s="5">
        <v>73272.149999999994</v>
      </c>
      <c r="G383" s="2">
        <f t="shared" si="24"/>
        <v>73278.22</v>
      </c>
      <c r="H383" s="4">
        <f t="shared" si="25"/>
        <v>6.0700000000069849</v>
      </c>
      <c r="I383">
        <f t="shared" si="27"/>
        <v>0</v>
      </c>
      <c r="J383">
        <v>4061</v>
      </c>
      <c r="K383">
        <v>7</v>
      </c>
      <c r="L383" t="s">
        <v>387</v>
      </c>
      <c r="M383" s="2">
        <v>73278.22</v>
      </c>
      <c r="N383" s="4">
        <f t="shared" si="26"/>
        <v>0</v>
      </c>
    </row>
    <row r="384" spans="1:14" x14ac:dyDescent="0.2">
      <c r="A384" t="s">
        <v>6</v>
      </c>
      <c r="B384">
        <v>4064</v>
      </c>
      <c r="C384">
        <v>7</v>
      </c>
      <c r="D384" t="s">
        <v>388</v>
      </c>
      <c r="E384" s="5">
        <v>689530.15</v>
      </c>
      <c r="F384" s="5">
        <v>59989.120000000003</v>
      </c>
      <c r="G384" s="2">
        <f t="shared" si="24"/>
        <v>59994.09</v>
      </c>
      <c r="H384" s="4">
        <f t="shared" si="25"/>
        <v>4.9699999999938882</v>
      </c>
      <c r="I384">
        <f t="shared" si="27"/>
        <v>0</v>
      </c>
      <c r="J384">
        <v>4064</v>
      </c>
      <c r="K384">
        <v>7</v>
      </c>
      <c r="L384" t="s">
        <v>388</v>
      </c>
      <c r="M384" s="2">
        <v>59994.09</v>
      </c>
      <c r="N384" s="4">
        <f t="shared" si="26"/>
        <v>0</v>
      </c>
    </row>
    <row r="385" spans="1:14" x14ac:dyDescent="0.2">
      <c r="A385" t="s">
        <v>6</v>
      </c>
      <c r="B385">
        <v>4066</v>
      </c>
      <c r="C385">
        <v>7</v>
      </c>
      <c r="D385" t="s">
        <v>389</v>
      </c>
      <c r="E385" s="5">
        <v>627826.12</v>
      </c>
      <c r="F385" s="5">
        <v>54620.87</v>
      </c>
      <c r="G385" s="2">
        <f t="shared" si="24"/>
        <v>54625.39</v>
      </c>
      <c r="H385" s="4">
        <f t="shared" si="25"/>
        <v>4.5199999999967986</v>
      </c>
      <c r="I385">
        <f t="shared" si="27"/>
        <v>0</v>
      </c>
      <c r="J385">
        <v>4066</v>
      </c>
      <c r="K385">
        <v>7</v>
      </c>
      <c r="L385" t="s">
        <v>389</v>
      </c>
      <c r="M385" s="2">
        <v>54625.39</v>
      </c>
      <c r="N385" s="4">
        <f t="shared" si="26"/>
        <v>0</v>
      </c>
    </row>
    <row r="386" spans="1:14" x14ac:dyDescent="0.2">
      <c r="A386" t="s">
        <v>6</v>
      </c>
      <c r="B386">
        <v>4067</v>
      </c>
      <c r="C386">
        <v>7</v>
      </c>
      <c r="D386" t="s">
        <v>390</v>
      </c>
      <c r="E386" s="5">
        <v>2394296.2599999998</v>
      </c>
      <c r="F386" s="5">
        <v>208303.77</v>
      </c>
      <c r="G386" s="2">
        <f t="shared" si="24"/>
        <v>208321.02</v>
      </c>
      <c r="H386" s="4">
        <f t="shared" si="25"/>
        <v>17.25</v>
      </c>
      <c r="I386">
        <f t="shared" si="27"/>
        <v>0</v>
      </c>
      <c r="J386">
        <v>4067</v>
      </c>
      <c r="K386">
        <v>7</v>
      </c>
      <c r="L386" t="s">
        <v>390</v>
      </c>
      <c r="M386" s="2">
        <v>208321.02</v>
      </c>
      <c r="N386" s="4">
        <f t="shared" si="26"/>
        <v>0</v>
      </c>
    </row>
    <row r="387" spans="1:14" x14ac:dyDescent="0.2">
      <c r="A387" t="s">
        <v>6</v>
      </c>
      <c r="B387">
        <v>4068</v>
      </c>
      <c r="C387">
        <v>7</v>
      </c>
      <c r="D387" t="s">
        <v>391</v>
      </c>
      <c r="E387" s="5">
        <v>2411697.84</v>
      </c>
      <c r="F387" s="5">
        <v>209817.71</v>
      </c>
      <c r="G387" s="2">
        <f t="shared" si="24"/>
        <v>209835.08</v>
      </c>
      <c r="H387" s="4">
        <f t="shared" si="25"/>
        <v>17.369999999995343</v>
      </c>
      <c r="I387">
        <f t="shared" si="27"/>
        <v>0</v>
      </c>
      <c r="J387">
        <v>4068</v>
      </c>
      <c r="K387">
        <v>7</v>
      </c>
      <c r="L387" t="s">
        <v>391</v>
      </c>
      <c r="M387" s="2">
        <v>209835.08</v>
      </c>
      <c r="N387" s="4">
        <f t="shared" si="26"/>
        <v>0</v>
      </c>
    </row>
    <row r="388" spans="1:14" x14ac:dyDescent="0.2">
      <c r="A388" t="s">
        <v>6</v>
      </c>
      <c r="B388">
        <v>4070</v>
      </c>
      <c r="C388">
        <v>7</v>
      </c>
      <c r="D388" t="s">
        <v>392</v>
      </c>
      <c r="E388" s="5">
        <v>4364606.84</v>
      </c>
      <c r="F388" s="5">
        <v>379720.8</v>
      </c>
      <c r="G388" s="2">
        <f t="shared" si="24"/>
        <v>379752.23</v>
      </c>
      <c r="H388" s="4">
        <f t="shared" si="25"/>
        <v>31.429999999993015</v>
      </c>
      <c r="I388">
        <f t="shared" si="27"/>
        <v>0</v>
      </c>
      <c r="J388">
        <v>4070</v>
      </c>
      <c r="K388">
        <v>7</v>
      </c>
      <c r="L388" t="s">
        <v>392</v>
      </c>
      <c r="M388" s="2">
        <v>379752.23</v>
      </c>
      <c r="N388" s="4">
        <f t="shared" si="26"/>
        <v>0</v>
      </c>
    </row>
    <row r="389" spans="1:14" x14ac:dyDescent="0.2">
      <c r="A389" t="s">
        <v>6</v>
      </c>
      <c r="B389">
        <v>4073</v>
      </c>
      <c r="C389">
        <v>7</v>
      </c>
      <c r="D389" t="s">
        <v>393</v>
      </c>
      <c r="E389" s="5">
        <v>2200314.9</v>
      </c>
      <c r="F389" s="5">
        <v>191427.4</v>
      </c>
      <c r="G389" s="2">
        <f t="shared" si="24"/>
        <v>191443.24</v>
      </c>
      <c r="H389" s="4">
        <f t="shared" si="25"/>
        <v>15.839999999996508</v>
      </c>
      <c r="I389">
        <f t="shared" si="27"/>
        <v>0</v>
      </c>
      <c r="J389">
        <v>4073</v>
      </c>
      <c r="K389">
        <v>7</v>
      </c>
      <c r="L389" t="s">
        <v>393</v>
      </c>
      <c r="M389" s="2">
        <v>191443.24</v>
      </c>
      <c r="N389" s="4">
        <f t="shared" si="26"/>
        <v>0</v>
      </c>
    </row>
    <row r="390" spans="1:14" x14ac:dyDescent="0.2">
      <c r="A390" t="s">
        <v>6</v>
      </c>
      <c r="B390">
        <v>4074</v>
      </c>
      <c r="C390">
        <v>7</v>
      </c>
      <c r="D390" t="s">
        <v>394</v>
      </c>
      <c r="E390" s="5">
        <v>1513743.39</v>
      </c>
      <c r="F390" s="5">
        <v>131695.67000000001</v>
      </c>
      <c r="G390" s="2">
        <f t="shared" si="24"/>
        <v>131706.57999999999</v>
      </c>
      <c r="H390" s="4">
        <f t="shared" si="25"/>
        <v>10.909999999974389</v>
      </c>
      <c r="I390">
        <f t="shared" si="27"/>
        <v>0</v>
      </c>
      <c r="J390">
        <v>4074</v>
      </c>
      <c r="K390">
        <v>7</v>
      </c>
      <c r="L390" t="s">
        <v>394</v>
      </c>
      <c r="M390" s="2">
        <v>131706.57999999999</v>
      </c>
      <c r="N390" s="4">
        <f t="shared" si="26"/>
        <v>0</v>
      </c>
    </row>
    <row r="391" spans="1:14" x14ac:dyDescent="0.2">
      <c r="A391" t="s">
        <v>6</v>
      </c>
      <c r="B391">
        <v>4075</v>
      </c>
      <c r="C391">
        <v>7</v>
      </c>
      <c r="D391" t="s">
        <v>395</v>
      </c>
      <c r="E391" s="5">
        <v>1285425.33</v>
      </c>
      <c r="F391" s="5">
        <v>111832</v>
      </c>
      <c r="G391" s="2">
        <f t="shared" si="24"/>
        <v>111841.26</v>
      </c>
      <c r="H391" s="4">
        <f t="shared" si="25"/>
        <v>9.2599999999947613</v>
      </c>
      <c r="I391">
        <f t="shared" si="27"/>
        <v>0</v>
      </c>
      <c r="J391">
        <v>4075</v>
      </c>
      <c r="K391">
        <v>7</v>
      </c>
      <c r="L391" t="s">
        <v>395</v>
      </c>
      <c r="M391" s="2">
        <v>111841.26</v>
      </c>
      <c r="N391" s="4">
        <f t="shared" si="26"/>
        <v>0</v>
      </c>
    </row>
    <row r="392" spans="1:14" x14ac:dyDescent="0.2">
      <c r="A392" t="s">
        <v>6</v>
      </c>
      <c r="B392">
        <v>4077</v>
      </c>
      <c r="C392">
        <v>7</v>
      </c>
      <c r="D392" t="s">
        <v>396</v>
      </c>
      <c r="E392" s="5">
        <v>5206503.96</v>
      </c>
      <c r="F392" s="5">
        <v>452965.84</v>
      </c>
      <c r="G392" s="2">
        <f t="shared" si="24"/>
        <v>453003.34</v>
      </c>
      <c r="H392" s="4">
        <f t="shared" si="25"/>
        <v>37.5</v>
      </c>
      <c r="I392">
        <f t="shared" si="27"/>
        <v>0</v>
      </c>
      <c r="J392">
        <v>4077</v>
      </c>
      <c r="K392">
        <v>7</v>
      </c>
      <c r="L392" t="s">
        <v>396</v>
      </c>
      <c r="M392" s="2">
        <v>453003.34</v>
      </c>
      <c r="N392" s="4">
        <f t="shared" si="26"/>
        <v>0</v>
      </c>
    </row>
    <row r="393" spans="1:14" x14ac:dyDescent="0.2">
      <c r="A393" t="s">
        <v>6</v>
      </c>
      <c r="B393">
        <v>4078</v>
      </c>
      <c r="C393">
        <v>7</v>
      </c>
      <c r="D393" t="s">
        <v>397</v>
      </c>
      <c r="E393" s="5">
        <v>3302331.86</v>
      </c>
      <c r="F393" s="5">
        <v>287302.87</v>
      </c>
      <c r="G393" s="2">
        <f t="shared" si="24"/>
        <v>287326.65999999997</v>
      </c>
      <c r="H393" s="4">
        <f t="shared" si="25"/>
        <v>23.789999999979045</v>
      </c>
      <c r="I393">
        <f t="shared" si="27"/>
        <v>0</v>
      </c>
      <c r="J393">
        <v>4078</v>
      </c>
      <c r="K393">
        <v>7</v>
      </c>
      <c r="L393" t="s">
        <v>397</v>
      </c>
      <c r="M393" s="2">
        <v>287326.65999999997</v>
      </c>
      <c r="N393" s="4">
        <f t="shared" si="26"/>
        <v>0</v>
      </c>
    </row>
    <row r="394" spans="1:14" x14ac:dyDescent="0.2">
      <c r="A394" t="s">
        <v>6</v>
      </c>
      <c r="B394">
        <v>4079</v>
      </c>
      <c r="C394">
        <v>7</v>
      </c>
      <c r="D394" t="s">
        <v>398</v>
      </c>
      <c r="E394" s="5">
        <v>765874.68</v>
      </c>
      <c r="F394" s="5">
        <v>66631.100000000006</v>
      </c>
      <c r="G394" s="2">
        <f t="shared" si="24"/>
        <v>66636.61</v>
      </c>
      <c r="H394" s="4">
        <f t="shared" si="25"/>
        <v>5.5099999999947613</v>
      </c>
      <c r="I394">
        <f t="shared" si="27"/>
        <v>0</v>
      </c>
      <c r="J394">
        <v>4079</v>
      </c>
      <c r="K394">
        <v>7</v>
      </c>
      <c r="L394" t="s">
        <v>398</v>
      </c>
      <c r="M394" s="2">
        <v>66636.61</v>
      </c>
      <c r="N394" s="4">
        <f t="shared" si="26"/>
        <v>0</v>
      </c>
    </row>
    <row r="395" spans="1:14" x14ac:dyDescent="0.2">
      <c r="A395" t="s">
        <v>6</v>
      </c>
      <c r="B395">
        <v>4080</v>
      </c>
      <c r="C395">
        <v>7</v>
      </c>
      <c r="D395" t="s">
        <v>399</v>
      </c>
      <c r="E395" s="5">
        <v>422512.45</v>
      </c>
      <c r="F395" s="5">
        <v>36758.58</v>
      </c>
      <c r="G395" s="2">
        <f t="shared" si="24"/>
        <v>36761.629999999997</v>
      </c>
      <c r="H395" s="4">
        <f t="shared" si="25"/>
        <v>3.0499999999956344</v>
      </c>
      <c r="I395">
        <f t="shared" si="27"/>
        <v>0</v>
      </c>
      <c r="J395">
        <v>4080</v>
      </c>
      <c r="K395">
        <v>7</v>
      </c>
      <c r="L395" t="s">
        <v>399</v>
      </c>
      <c r="M395" s="2">
        <v>36761.629999999997</v>
      </c>
      <c r="N395" s="4">
        <f t="shared" si="26"/>
        <v>0</v>
      </c>
    </row>
    <row r="396" spans="1:14" x14ac:dyDescent="0.2">
      <c r="A396" t="s">
        <v>6</v>
      </c>
      <c r="B396">
        <v>4081</v>
      </c>
      <c r="C396">
        <v>7</v>
      </c>
      <c r="D396" t="s">
        <v>400</v>
      </c>
      <c r="E396" s="5">
        <v>443603.92</v>
      </c>
      <c r="F396" s="5">
        <v>38593.54</v>
      </c>
      <c r="G396" s="2">
        <f t="shared" si="24"/>
        <v>38596.74</v>
      </c>
      <c r="H396" s="4">
        <f t="shared" si="25"/>
        <v>3.1999999999970896</v>
      </c>
      <c r="I396">
        <f t="shared" si="27"/>
        <v>0</v>
      </c>
      <c r="J396">
        <v>4081</v>
      </c>
      <c r="K396">
        <v>7</v>
      </c>
      <c r="L396" t="s">
        <v>400</v>
      </c>
      <c r="M396" s="2">
        <v>38596.74</v>
      </c>
      <c r="N396" s="4">
        <f t="shared" si="26"/>
        <v>0</v>
      </c>
    </row>
    <row r="397" spans="1:14" x14ac:dyDescent="0.2">
      <c r="A397" t="s">
        <v>6</v>
      </c>
      <c r="B397">
        <v>4082</v>
      </c>
      <c r="C397">
        <v>7</v>
      </c>
      <c r="D397" t="s">
        <v>401</v>
      </c>
      <c r="E397" s="5">
        <v>5565809.7300000004</v>
      </c>
      <c r="F397" s="5">
        <v>484225.45</v>
      </c>
      <c r="G397" s="2">
        <f t="shared" si="24"/>
        <v>484265.53</v>
      </c>
      <c r="H397" s="4">
        <f t="shared" si="25"/>
        <v>40.080000000016298</v>
      </c>
      <c r="I397">
        <f t="shared" si="27"/>
        <v>0</v>
      </c>
      <c r="J397">
        <v>4082</v>
      </c>
      <c r="K397">
        <v>7</v>
      </c>
      <c r="L397" t="s">
        <v>401</v>
      </c>
      <c r="M397" s="2">
        <v>484265.53</v>
      </c>
      <c r="N397" s="4">
        <f t="shared" si="26"/>
        <v>0</v>
      </c>
    </row>
    <row r="398" spans="1:14" x14ac:dyDescent="0.2">
      <c r="A398" t="s">
        <v>6</v>
      </c>
      <c r="B398">
        <v>4083</v>
      </c>
      <c r="C398">
        <v>7</v>
      </c>
      <c r="D398" t="s">
        <v>402</v>
      </c>
      <c r="E398" s="5">
        <v>418500.44</v>
      </c>
      <c r="F398" s="5">
        <v>36409.54</v>
      </c>
      <c r="G398" s="2">
        <f t="shared" si="24"/>
        <v>36412.550000000003</v>
      </c>
      <c r="H398" s="4">
        <f t="shared" si="25"/>
        <v>3.0100000000020373</v>
      </c>
      <c r="I398">
        <f t="shared" si="27"/>
        <v>0</v>
      </c>
      <c r="J398">
        <v>4083</v>
      </c>
      <c r="K398">
        <v>7</v>
      </c>
      <c r="L398" t="s">
        <v>402</v>
      </c>
      <c r="M398" s="2">
        <v>36412.550000000003</v>
      </c>
      <c r="N398" s="4">
        <f t="shared" si="26"/>
        <v>0</v>
      </c>
    </row>
    <row r="399" spans="1:14" x14ac:dyDescent="0.2">
      <c r="A399" t="s">
        <v>6</v>
      </c>
      <c r="B399">
        <v>4084</v>
      </c>
      <c r="C399">
        <v>7</v>
      </c>
      <c r="D399" t="s">
        <v>403</v>
      </c>
      <c r="E399" s="5">
        <v>1548627.13</v>
      </c>
      <c r="F399" s="5">
        <v>134730.56</v>
      </c>
      <c r="G399" s="2">
        <f t="shared" si="24"/>
        <v>134741.71</v>
      </c>
      <c r="H399" s="4">
        <f t="shared" si="25"/>
        <v>11.149999999994179</v>
      </c>
      <c r="I399">
        <f t="shared" si="27"/>
        <v>0</v>
      </c>
      <c r="J399">
        <v>4084</v>
      </c>
      <c r="K399">
        <v>7</v>
      </c>
      <c r="L399" t="s">
        <v>403</v>
      </c>
      <c r="M399" s="2">
        <v>134741.71</v>
      </c>
      <c r="N399" s="4">
        <f t="shared" si="26"/>
        <v>0</v>
      </c>
    </row>
    <row r="400" spans="1:14" x14ac:dyDescent="0.2">
      <c r="A400" t="s">
        <v>6</v>
      </c>
      <c r="B400">
        <v>4085</v>
      </c>
      <c r="C400">
        <v>7</v>
      </c>
      <c r="D400" t="s">
        <v>404</v>
      </c>
      <c r="E400" s="5">
        <v>1521745.71</v>
      </c>
      <c r="F400" s="5">
        <v>132391.88</v>
      </c>
      <c r="G400" s="2">
        <f t="shared" si="24"/>
        <v>132402.84</v>
      </c>
      <c r="H400" s="4">
        <f t="shared" si="25"/>
        <v>10.959999999991851</v>
      </c>
      <c r="I400">
        <f t="shared" si="27"/>
        <v>0</v>
      </c>
      <c r="J400">
        <v>4085</v>
      </c>
      <c r="K400">
        <v>7</v>
      </c>
      <c r="L400" t="s">
        <v>404</v>
      </c>
      <c r="M400" s="2">
        <v>132402.84</v>
      </c>
      <c r="N400" s="4">
        <f t="shared" si="26"/>
        <v>0</v>
      </c>
    </row>
    <row r="401" spans="1:14" x14ac:dyDescent="0.2">
      <c r="A401" t="s">
        <v>6</v>
      </c>
      <c r="B401">
        <v>4086</v>
      </c>
      <c r="C401">
        <v>7</v>
      </c>
      <c r="D401" t="s">
        <v>405</v>
      </c>
      <c r="E401" s="5">
        <v>1985909.42</v>
      </c>
      <c r="F401" s="5">
        <v>172774.12</v>
      </c>
      <c r="G401" s="2">
        <f t="shared" si="24"/>
        <v>172788.42</v>
      </c>
      <c r="H401" s="4">
        <f t="shared" si="25"/>
        <v>14.300000000017462</v>
      </c>
      <c r="I401">
        <f t="shared" si="27"/>
        <v>0</v>
      </c>
      <c r="J401">
        <v>4086</v>
      </c>
      <c r="K401">
        <v>7</v>
      </c>
      <c r="L401" t="s">
        <v>405</v>
      </c>
      <c r="M401" s="2">
        <v>172788.42</v>
      </c>
      <c r="N401" s="4">
        <f t="shared" si="26"/>
        <v>0</v>
      </c>
    </row>
    <row r="402" spans="1:14" x14ac:dyDescent="0.2">
      <c r="A402" t="s">
        <v>6</v>
      </c>
      <c r="B402">
        <v>4087</v>
      </c>
      <c r="C402">
        <v>7</v>
      </c>
      <c r="D402" t="s">
        <v>406</v>
      </c>
      <c r="E402" s="5">
        <v>634060.98</v>
      </c>
      <c r="F402" s="5">
        <v>55163.31</v>
      </c>
      <c r="G402" s="2">
        <f t="shared" si="24"/>
        <v>55167.87</v>
      </c>
      <c r="H402" s="4">
        <f t="shared" si="25"/>
        <v>4.5600000000049477</v>
      </c>
      <c r="I402">
        <f t="shared" si="27"/>
        <v>0</v>
      </c>
      <c r="J402">
        <v>4087</v>
      </c>
      <c r="K402">
        <v>7</v>
      </c>
      <c r="L402" t="s">
        <v>406</v>
      </c>
      <c r="M402" s="2">
        <v>55167.87</v>
      </c>
      <c r="N402" s="4">
        <f t="shared" si="26"/>
        <v>0</v>
      </c>
    </row>
    <row r="403" spans="1:14" x14ac:dyDescent="0.2">
      <c r="A403" t="s">
        <v>6</v>
      </c>
      <c r="B403">
        <v>4088</v>
      </c>
      <c r="C403">
        <v>7</v>
      </c>
      <c r="D403" t="s">
        <v>407</v>
      </c>
      <c r="E403" s="5">
        <v>2064664.62</v>
      </c>
      <c r="F403" s="5">
        <v>179625.82</v>
      </c>
      <c r="G403" s="2">
        <f t="shared" si="24"/>
        <v>179640.69</v>
      </c>
      <c r="H403" s="4">
        <f t="shared" si="25"/>
        <v>14.869999999995343</v>
      </c>
      <c r="I403">
        <f t="shared" si="27"/>
        <v>0</v>
      </c>
      <c r="J403">
        <v>4088</v>
      </c>
      <c r="K403">
        <v>7</v>
      </c>
      <c r="L403" t="s">
        <v>407</v>
      </c>
      <c r="M403" s="2">
        <v>179640.69</v>
      </c>
      <c r="N403" s="4">
        <f t="shared" si="26"/>
        <v>0</v>
      </c>
    </row>
    <row r="404" spans="1:14" x14ac:dyDescent="0.2">
      <c r="A404" t="s">
        <v>6</v>
      </c>
      <c r="B404">
        <v>4089</v>
      </c>
      <c r="C404">
        <v>7</v>
      </c>
      <c r="D404" t="s">
        <v>408</v>
      </c>
      <c r="E404" s="5">
        <v>767964.8</v>
      </c>
      <c r="F404" s="5">
        <v>66812.94</v>
      </c>
      <c r="G404" s="2">
        <f t="shared" si="24"/>
        <v>66818.47</v>
      </c>
      <c r="H404" s="4">
        <f t="shared" si="25"/>
        <v>5.5299999999988358</v>
      </c>
      <c r="I404">
        <f t="shared" si="27"/>
        <v>0</v>
      </c>
      <c r="J404">
        <v>4089</v>
      </c>
      <c r="K404">
        <v>7</v>
      </c>
      <c r="L404" t="s">
        <v>408</v>
      </c>
      <c r="M404" s="2">
        <v>66818.47</v>
      </c>
      <c r="N404" s="4">
        <f t="shared" si="26"/>
        <v>0</v>
      </c>
    </row>
    <row r="405" spans="1:14" x14ac:dyDescent="0.2">
      <c r="A405" t="s">
        <v>6</v>
      </c>
      <c r="B405">
        <v>4090</v>
      </c>
      <c r="C405">
        <v>7</v>
      </c>
      <c r="D405" t="s">
        <v>409</v>
      </c>
      <c r="E405" s="5">
        <v>653056.06999999995</v>
      </c>
      <c r="F405" s="5">
        <v>56815.88</v>
      </c>
      <c r="G405" s="2">
        <f t="shared" ref="G405:G468" si="28">ROUND(E405*$G$485,2)</f>
        <v>56820.58</v>
      </c>
      <c r="H405" s="4">
        <f t="shared" ref="H405:H468" si="29">G405-F405</f>
        <v>4.7000000000043656</v>
      </c>
      <c r="I405">
        <f t="shared" si="27"/>
        <v>0</v>
      </c>
      <c r="J405">
        <v>4090</v>
      </c>
      <c r="K405">
        <v>7</v>
      </c>
      <c r="L405" t="s">
        <v>409</v>
      </c>
      <c r="M405" s="2">
        <v>56820.58</v>
      </c>
      <c r="N405" s="4">
        <f t="shared" ref="N405:N468" si="30">M405-G405</f>
        <v>0</v>
      </c>
    </row>
    <row r="406" spans="1:14" x14ac:dyDescent="0.2">
      <c r="A406" t="s">
        <v>6</v>
      </c>
      <c r="B406">
        <v>4091</v>
      </c>
      <c r="C406">
        <v>7</v>
      </c>
      <c r="D406" t="s">
        <v>410</v>
      </c>
      <c r="E406" s="5">
        <v>840153.76</v>
      </c>
      <c r="F406" s="5">
        <v>73093.38</v>
      </c>
      <c r="G406" s="2">
        <f t="shared" si="28"/>
        <v>73099.429999999993</v>
      </c>
      <c r="H406" s="4">
        <f t="shared" si="29"/>
        <v>6.0499999999883585</v>
      </c>
      <c r="I406">
        <f t="shared" ref="I406:I469" si="31">J406-B406</f>
        <v>0</v>
      </c>
      <c r="J406">
        <v>4091</v>
      </c>
      <c r="K406">
        <v>7</v>
      </c>
      <c r="L406" t="s">
        <v>410</v>
      </c>
      <c r="M406" s="2">
        <v>73099.429999999993</v>
      </c>
      <c r="N406" s="4">
        <f t="shared" si="30"/>
        <v>0</v>
      </c>
    </row>
    <row r="407" spans="1:14" x14ac:dyDescent="0.2">
      <c r="A407" t="s">
        <v>6</v>
      </c>
      <c r="B407">
        <v>4092</v>
      </c>
      <c r="C407">
        <v>7</v>
      </c>
      <c r="D407" t="s">
        <v>411</v>
      </c>
      <c r="E407" s="5">
        <v>648834.24</v>
      </c>
      <c r="F407" s="5">
        <v>56448.58</v>
      </c>
      <c r="G407" s="2">
        <f t="shared" si="28"/>
        <v>56453.25</v>
      </c>
      <c r="H407" s="4">
        <f t="shared" si="29"/>
        <v>4.6699999999982538</v>
      </c>
      <c r="I407">
        <f t="shared" si="31"/>
        <v>0</v>
      </c>
      <c r="J407">
        <v>4092</v>
      </c>
      <c r="K407">
        <v>7</v>
      </c>
      <c r="L407" t="s">
        <v>411</v>
      </c>
      <c r="M407" s="2">
        <v>56453.25</v>
      </c>
      <c r="N407" s="4">
        <f t="shared" si="30"/>
        <v>0</v>
      </c>
    </row>
    <row r="408" spans="1:14" x14ac:dyDescent="0.2">
      <c r="A408" t="s">
        <v>6</v>
      </c>
      <c r="B408">
        <v>4093</v>
      </c>
      <c r="C408">
        <v>7</v>
      </c>
      <c r="D408" t="s">
        <v>412</v>
      </c>
      <c r="E408" s="5">
        <v>1051726.28</v>
      </c>
      <c r="F408" s="5">
        <v>91500.19</v>
      </c>
      <c r="G408" s="2">
        <f t="shared" si="28"/>
        <v>91507.76</v>
      </c>
      <c r="H408" s="4">
        <f t="shared" si="29"/>
        <v>7.569999999992433</v>
      </c>
      <c r="I408">
        <f t="shared" si="31"/>
        <v>0</v>
      </c>
      <c r="J408">
        <v>4093</v>
      </c>
      <c r="K408">
        <v>7</v>
      </c>
      <c r="L408" t="s">
        <v>412</v>
      </c>
      <c r="M408" s="2">
        <v>91507.76</v>
      </c>
      <c r="N408" s="4">
        <f t="shared" si="30"/>
        <v>0</v>
      </c>
    </row>
    <row r="409" spans="1:14" x14ac:dyDescent="0.2">
      <c r="A409" t="s">
        <v>6</v>
      </c>
      <c r="B409">
        <v>4095</v>
      </c>
      <c r="C409">
        <v>7</v>
      </c>
      <c r="D409" t="s">
        <v>413</v>
      </c>
      <c r="E409" s="5">
        <v>1022615.6</v>
      </c>
      <c r="F409" s="5">
        <v>88967.56</v>
      </c>
      <c r="G409" s="2">
        <f t="shared" si="28"/>
        <v>88974.92</v>
      </c>
      <c r="H409" s="4">
        <f t="shared" si="29"/>
        <v>7.3600000000005821</v>
      </c>
      <c r="I409">
        <f t="shared" si="31"/>
        <v>0</v>
      </c>
      <c r="J409">
        <v>4095</v>
      </c>
      <c r="K409">
        <v>7</v>
      </c>
      <c r="L409" t="s">
        <v>413</v>
      </c>
      <c r="M409" s="2">
        <v>88974.92</v>
      </c>
      <c r="N409" s="4">
        <f t="shared" si="30"/>
        <v>0</v>
      </c>
    </row>
    <row r="410" spans="1:14" x14ac:dyDescent="0.2">
      <c r="A410" t="s">
        <v>6</v>
      </c>
      <c r="B410">
        <v>4097</v>
      </c>
      <c r="C410">
        <v>7</v>
      </c>
      <c r="D410" t="s">
        <v>414</v>
      </c>
      <c r="E410" s="5">
        <v>2079309.84</v>
      </c>
      <c r="F410" s="5">
        <v>180899.96</v>
      </c>
      <c r="G410" s="2">
        <f t="shared" si="28"/>
        <v>180914.93</v>
      </c>
      <c r="H410" s="4">
        <f t="shared" si="29"/>
        <v>14.970000000001164</v>
      </c>
      <c r="I410">
        <f t="shared" si="31"/>
        <v>0</v>
      </c>
      <c r="J410">
        <v>4097</v>
      </c>
      <c r="K410">
        <v>7</v>
      </c>
      <c r="L410" t="s">
        <v>414</v>
      </c>
      <c r="M410" s="2">
        <v>180914.93</v>
      </c>
      <c r="N410" s="4">
        <f t="shared" si="30"/>
        <v>0</v>
      </c>
    </row>
    <row r="411" spans="1:14" x14ac:dyDescent="0.2">
      <c r="A411" t="s">
        <v>6</v>
      </c>
      <c r="B411">
        <v>4098</v>
      </c>
      <c r="C411">
        <v>7</v>
      </c>
      <c r="D411" t="s">
        <v>415</v>
      </c>
      <c r="E411" s="5">
        <v>2126114.89</v>
      </c>
      <c r="F411" s="5">
        <v>184972</v>
      </c>
      <c r="G411" s="2">
        <f t="shared" si="28"/>
        <v>184987.31</v>
      </c>
      <c r="H411" s="4">
        <f t="shared" si="29"/>
        <v>15.309999999997672</v>
      </c>
      <c r="I411">
        <f t="shared" si="31"/>
        <v>0</v>
      </c>
      <c r="J411">
        <v>4098</v>
      </c>
      <c r="K411">
        <v>7</v>
      </c>
      <c r="L411" t="s">
        <v>415</v>
      </c>
      <c r="M411" s="2">
        <v>184987.31</v>
      </c>
      <c r="N411" s="4">
        <f t="shared" si="30"/>
        <v>0</v>
      </c>
    </row>
    <row r="412" spans="1:14" x14ac:dyDescent="0.2">
      <c r="A412" t="s">
        <v>6</v>
      </c>
      <c r="B412">
        <v>4099</v>
      </c>
      <c r="C412">
        <v>7</v>
      </c>
      <c r="D412" t="s">
        <v>416</v>
      </c>
      <c r="E412" s="5">
        <v>3360556.83</v>
      </c>
      <c r="F412" s="5">
        <v>292368.44</v>
      </c>
      <c r="G412" s="2">
        <f t="shared" si="28"/>
        <v>292392.65000000002</v>
      </c>
      <c r="H412" s="4">
        <f t="shared" si="29"/>
        <v>24.210000000020955</v>
      </c>
      <c r="I412">
        <f t="shared" si="31"/>
        <v>0</v>
      </c>
      <c r="J412">
        <v>4099</v>
      </c>
      <c r="K412">
        <v>7</v>
      </c>
      <c r="L412" t="s">
        <v>416</v>
      </c>
      <c r="M412" s="2">
        <v>292392.65000000002</v>
      </c>
      <c r="N412" s="4">
        <f t="shared" si="30"/>
        <v>0</v>
      </c>
    </row>
    <row r="413" spans="1:14" x14ac:dyDescent="0.2">
      <c r="A413" t="s">
        <v>6</v>
      </c>
      <c r="B413">
        <v>4100</v>
      </c>
      <c r="C413">
        <v>7</v>
      </c>
      <c r="D413" t="s">
        <v>417</v>
      </c>
      <c r="E413" s="5">
        <v>256766.05</v>
      </c>
      <c r="F413" s="5">
        <v>22338.65</v>
      </c>
      <c r="G413" s="2">
        <f t="shared" si="28"/>
        <v>22340.5</v>
      </c>
      <c r="H413" s="4">
        <f t="shared" si="29"/>
        <v>1.8499999999985448</v>
      </c>
      <c r="I413">
        <f t="shared" si="31"/>
        <v>0</v>
      </c>
      <c r="J413">
        <v>4100</v>
      </c>
      <c r="K413">
        <v>7</v>
      </c>
      <c r="L413" t="s">
        <v>417</v>
      </c>
      <c r="M413" s="2">
        <v>22340.5</v>
      </c>
      <c r="N413" s="4">
        <f t="shared" si="30"/>
        <v>0</v>
      </c>
    </row>
    <row r="414" spans="1:14" x14ac:dyDescent="0.2">
      <c r="A414" t="s">
        <v>6</v>
      </c>
      <c r="B414">
        <v>4102</v>
      </c>
      <c r="C414">
        <v>7</v>
      </c>
      <c r="D414" t="s">
        <v>418</v>
      </c>
      <c r="E414" s="5">
        <v>4400163.82</v>
      </c>
      <c r="F414" s="5">
        <v>382814.25</v>
      </c>
      <c r="G414" s="2">
        <f t="shared" si="28"/>
        <v>382845.94</v>
      </c>
      <c r="H414" s="4">
        <f t="shared" si="29"/>
        <v>31.690000000002328</v>
      </c>
      <c r="I414">
        <f t="shared" si="31"/>
        <v>0</v>
      </c>
      <c r="J414">
        <v>4102</v>
      </c>
      <c r="K414">
        <v>7</v>
      </c>
      <c r="L414" t="s">
        <v>418</v>
      </c>
      <c r="M414" s="2">
        <v>382845.94</v>
      </c>
      <c r="N414" s="4">
        <f t="shared" si="30"/>
        <v>0</v>
      </c>
    </row>
    <row r="415" spans="1:14" x14ac:dyDescent="0.2">
      <c r="A415" t="s">
        <v>6</v>
      </c>
      <c r="B415">
        <v>4103</v>
      </c>
      <c r="C415">
        <v>7</v>
      </c>
      <c r="D415" t="s">
        <v>419</v>
      </c>
      <c r="E415" s="5">
        <v>4266706.0599999996</v>
      </c>
      <c r="F415" s="5">
        <v>371203.43</v>
      </c>
      <c r="G415" s="2">
        <f t="shared" si="28"/>
        <v>371234.16</v>
      </c>
      <c r="H415" s="4">
        <f t="shared" si="29"/>
        <v>30.729999999981374</v>
      </c>
      <c r="I415">
        <f t="shared" si="31"/>
        <v>0</v>
      </c>
      <c r="J415">
        <v>4103</v>
      </c>
      <c r="K415">
        <v>7</v>
      </c>
      <c r="L415" t="s">
        <v>419</v>
      </c>
      <c r="M415" s="2">
        <v>371234.16</v>
      </c>
      <c r="N415" s="4">
        <f t="shared" si="30"/>
        <v>0</v>
      </c>
    </row>
    <row r="416" spans="1:14" x14ac:dyDescent="0.2">
      <c r="A416" t="s">
        <v>6</v>
      </c>
      <c r="B416">
        <v>4104</v>
      </c>
      <c r="C416">
        <v>7</v>
      </c>
      <c r="D416" t="s">
        <v>420</v>
      </c>
      <c r="E416" s="5">
        <v>1388448.5</v>
      </c>
      <c r="F416" s="5">
        <v>120795.02</v>
      </c>
      <c r="G416" s="2">
        <f t="shared" si="28"/>
        <v>120805.02</v>
      </c>
      <c r="H416" s="4">
        <f t="shared" si="29"/>
        <v>10</v>
      </c>
      <c r="I416">
        <f t="shared" si="31"/>
        <v>0</v>
      </c>
      <c r="J416">
        <v>4104</v>
      </c>
      <c r="K416">
        <v>7</v>
      </c>
      <c r="L416" t="s">
        <v>420</v>
      </c>
      <c r="M416" s="2">
        <v>120805.02</v>
      </c>
      <c r="N416" s="4">
        <f t="shared" si="30"/>
        <v>0</v>
      </c>
    </row>
    <row r="417" spans="1:14" x14ac:dyDescent="0.2">
      <c r="A417" t="s">
        <v>6</v>
      </c>
      <c r="B417">
        <v>4105</v>
      </c>
      <c r="C417">
        <v>7</v>
      </c>
      <c r="D417" t="s">
        <v>421</v>
      </c>
      <c r="E417" s="5">
        <v>1464388.58</v>
      </c>
      <c r="F417" s="5">
        <v>127401.81</v>
      </c>
      <c r="G417" s="2">
        <f t="shared" si="28"/>
        <v>127412.35</v>
      </c>
      <c r="H417" s="4">
        <f t="shared" si="29"/>
        <v>10.540000000008149</v>
      </c>
      <c r="I417">
        <f t="shared" si="31"/>
        <v>0</v>
      </c>
      <c r="J417">
        <v>4105</v>
      </c>
      <c r="K417">
        <v>7</v>
      </c>
      <c r="L417" t="s">
        <v>421</v>
      </c>
      <c r="M417" s="2">
        <v>127412.35</v>
      </c>
      <c r="N417" s="4">
        <f t="shared" si="30"/>
        <v>0</v>
      </c>
    </row>
    <row r="418" spans="1:14" x14ac:dyDescent="0.2">
      <c r="A418" t="s">
        <v>6</v>
      </c>
      <c r="B418">
        <v>4106</v>
      </c>
      <c r="C418">
        <v>7</v>
      </c>
      <c r="D418" t="s">
        <v>422</v>
      </c>
      <c r="E418" s="5">
        <v>1223443.8600000001</v>
      </c>
      <c r="F418" s="5">
        <v>106439.62</v>
      </c>
      <c r="G418" s="2">
        <f t="shared" si="28"/>
        <v>106448.43</v>
      </c>
      <c r="H418" s="4">
        <f t="shared" si="29"/>
        <v>8.8099999999976717</v>
      </c>
      <c r="I418">
        <f t="shared" si="31"/>
        <v>0</v>
      </c>
      <c r="J418">
        <v>4106</v>
      </c>
      <c r="K418">
        <v>7</v>
      </c>
      <c r="L418" t="s">
        <v>422</v>
      </c>
      <c r="M418" s="2">
        <v>106448.43</v>
      </c>
      <c r="N418" s="4">
        <f t="shared" si="30"/>
        <v>0</v>
      </c>
    </row>
    <row r="419" spans="1:14" x14ac:dyDescent="0.2">
      <c r="A419" t="s">
        <v>6</v>
      </c>
      <c r="B419">
        <v>4107</v>
      </c>
      <c r="C419">
        <v>7</v>
      </c>
      <c r="D419" t="s">
        <v>423</v>
      </c>
      <c r="E419" s="5">
        <v>592432.5</v>
      </c>
      <c r="F419" s="5">
        <v>51541.63</v>
      </c>
      <c r="G419" s="2">
        <f t="shared" si="28"/>
        <v>51545.89</v>
      </c>
      <c r="H419" s="4">
        <f t="shared" si="29"/>
        <v>4.2600000000020373</v>
      </c>
      <c r="I419">
        <f t="shared" si="31"/>
        <v>0</v>
      </c>
      <c r="J419">
        <v>4107</v>
      </c>
      <c r="K419">
        <v>7</v>
      </c>
      <c r="L419" t="s">
        <v>423</v>
      </c>
      <c r="M419" s="2">
        <v>51545.89</v>
      </c>
      <c r="N419" s="4">
        <f t="shared" si="30"/>
        <v>0</v>
      </c>
    </row>
    <row r="420" spans="1:14" x14ac:dyDescent="0.2">
      <c r="A420" t="s">
        <v>6</v>
      </c>
      <c r="B420">
        <v>4108</v>
      </c>
      <c r="C420">
        <v>7</v>
      </c>
      <c r="D420" t="s">
        <v>424</v>
      </c>
      <c r="E420" s="5">
        <v>906736.24</v>
      </c>
      <c r="F420" s="5">
        <v>78886.05</v>
      </c>
      <c r="G420" s="2">
        <f t="shared" si="28"/>
        <v>78892.58</v>
      </c>
      <c r="H420" s="4">
        <f t="shared" si="29"/>
        <v>6.5299999999988358</v>
      </c>
      <c r="I420">
        <f t="shared" si="31"/>
        <v>0</v>
      </c>
      <c r="J420">
        <v>4108</v>
      </c>
      <c r="K420">
        <v>7</v>
      </c>
      <c r="L420" t="s">
        <v>424</v>
      </c>
      <c r="M420" s="2">
        <v>78892.58</v>
      </c>
      <c r="N420" s="4">
        <f t="shared" si="30"/>
        <v>0</v>
      </c>
    </row>
    <row r="421" spans="1:14" x14ac:dyDescent="0.2">
      <c r="A421" t="s">
        <v>6</v>
      </c>
      <c r="B421">
        <v>4109</v>
      </c>
      <c r="C421">
        <v>7</v>
      </c>
      <c r="D421" t="s">
        <v>425</v>
      </c>
      <c r="E421" s="5">
        <v>1508232.05</v>
      </c>
      <c r="F421" s="5">
        <v>131216.19</v>
      </c>
      <c r="G421" s="2">
        <f t="shared" si="28"/>
        <v>131227.04999999999</v>
      </c>
      <c r="H421" s="4">
        <f t="shared" si="29"/>
        <v>10.85999999998603</v>
      </c>
      <c r="I421">
        <f t="shared" si="31"/>
        <v>0</v>
      </c>
      <c r="J421">
        <v>4109</v>
      </c>
      <c r="K421">
        <v>7</v>
      </c>
      <c r="L421" t="s">
        <v>425</v>
      </c>
      <c r="M421" s="2">
        <v>131227.04999999999</v>
      </c>
      <c r="N421" s="4">
        <f t="shared" si="30"/>
        <v>0</v>
      </c>
    </row>
    <row r="422" spans="1:14" x14ac:dyDescent="0.2">
      <c r="A422" t="s">
        <v>6</v>
      </c>
      <c r="B422">
        <v>4110</v>
      </c>
      <c r="C422">
        <v>7</v>
      </c>
      <c r="D422" t="s">
        <v>426</v>
      </c>
      <c r="E422" s="5">
        <v>1448231.71</v>
      </c>
      <c r="F422" s="5">
        <v>125996.16</v>
      </c>
      <c r="G422" s="2">
        <f t="shared" si="28"/>
        <v>126006.59</v>
      </c>
      <c r="H422" s="4">
        <f t="shared" si="29"/>
        <v>10.429999999993015</v>
      </c>
      <c r="I422">
        <f t="shared" si="31"/>
        <v>0</v>
      </c>
      <c r="J422">
        <v>4110</v>
      </c>
      <c r="K422">
        <v>7</v>
      </c>
      <c r="L422" t="s">
        <v>426</v>
      </c>
      <c r="M422" s="2">
        <v>126006.59</v>
      </c>
      <c r="N422" s="4">
        <f t="shared" si="30"/>
        <v>0</v>
      </c>
    </row>
    <row r="423" spans="1:14" x14ac:dyDescent="0.2">
      <c r="A423" t="s">
        <v>6</v>
      </c>
      <c r="B423">
        <v>4111</v>
      </c>
      <c r="C423">
        <v>7</v>
      </c>
      <c r="D423" t="s">
        <v>427</v>
      </c>
      <c r="E423" s="5">
        <v>692670.48</v>
      </c>
      <c r="F423" s="5">
        <v>60262.33</v>
      </c>
      <c r="G423" s="2">
        <f t="shared" si="28"/>
        <v>60267.32</v>
      </c>
      <c r="H423" s="4">
        <f t="shared" si="29"/>
        <v>4.9899999999979627</v>
      </c>
      <c r="I423">
        <f t="shared" si="31"/>
        <v>0</v>
      </c>
      <c r="J423">
        <v>4111</v>
      </c>
      <c r="K423">
        <v>7</v>
      </c>
      <c r="L423" t="s">
        <v>427</v>
      </c>
      <c r="M423" s="2">
        <v>60267.32</v>
      </c>
      <c r="N423" s="4">
        <f t="shared" si="30"/>
        <v>0</v>
      </c>
    </row>
    <row r="424" spans="1:14" x14ac:dyDescent="0.2">
      <c r="A424" t="s">
        <v>6</v>
      </c>
      <c r="B424">
        <v>4112</v>
      </c>
      <c r="C424">
        <v>7</v>
      </c>
      <c r="D424" t="s">
        <v>428</v>
      </c>
      <c r="E424" s="5">
        <v>2476506.36</v>
      </c>
      <c r="F424" s="5">
        <v>215456.05</v>
      </c>
      <c r="G424" s="2">
        <f t="shared" si="28"/>
        <v>215473.89</v>
      </c>
      <c r="H424" s="4">
        <f t="shared" si="29"/>
        <v>17.840000000025611</v>
      </c>
      <c r="I424">
        <f t="shared" si="31"/>
        <v>0</v>
      </c>
      <c r="J424">
        <v>4112</v>
      </c>
      <c r="K424">
        <v>7</v>
      </c>
      <c r="L424" t="s">
        <v>428</v>
      </c>
      <c r="M424" s="2">
        <v>215473.89</v>
      </c>
      <c r="N424" s="4">
        <f t="shared" si="30"/>
        <v>0</v>
      </c>
    </row>
    <row r="425" spans="1:14" x14ac:dyDescent="0.2">
      <c r="A425" t="s">
        <v>6</v>
      </c>
      <c r="B425">
        <v>4113</v>
      </c>
      <c r="C425">
        <v>7</v>
      </c>
      <c r="D425" t="s">
        <v>429</v>
      </c>
      <c r="E425" s="5">
        <v>409900.4</v>
      </c>
      <c r="F425" s="5">
        <v>35661.33</v>
      </c>
      <c r="G425" s="2">
        <f t="shared" si="28"/>
        <v>35664.29</v>
      </c>
      <c r="H425" s="4">
        <f t="shared" si="29"/>
        <v>2.9599999999991269</v>
      </c>
      <c r="I425">
        <f t="shared" si="31"/>
        <v>0</v>
      </c>
      <c r="J425">
        <v>4113</v>
      </c>
      <c r="K425">
        <v>7</v>
      </c>
      <c r="L425" t="s">
        <v>429</v>
      </c>
      <c r="M425" s="2">
        <v>35664.29</v>
      </c>
      <c r="N425" s="4">
        <f t="shared" si="30"/>
        <v>0</v>
      </c>
    </row>
    <row r="426" spans="1:14" x14ac:dyDescent="0.2">
      <c r="A426" t="s">
        <v>6</v>
      </c>
      <c r="B426">
        <v>4114</v>
      </c>
      <c r="C426">
        <v>7</v>
      </c>
      <c r="D426" t="s">
        <v>430</v>
      </c>
      <c r="E426" s="5">
        <v>799085.36</v>
      </c>
      <c r="F426" s="5">
        <v>69520.429999999993</v>
      </c>
      <c r="G426" s="2">
        <f t="shared" si="28"/>
        <v>69526.179999999993</v>
      </c>
      <c r="H426" s="4">
        <f t="shared" si="29"/>
        <v>5.75</v>
      </c>
      <c r="I426">
        <f t="shared" si="31"/>
        <v>0</v>
      </c>
      <c r="J426">
        <v>4114</v>
      </c>
      <c r="K426">
        <v>7</v>
      </c>
      <c r="L426" t="s">
        <v>430</v>
      </c>
      <c r="M426" s="2">
        <v>69526.179999999993</v>
      </c>
      <c r="N426" s="4">
        <f t="shared" si="30"/>
        <v>0</v>
      </c>
    </row>
    <row r="427" spans="1:14" x14ac:dyDescent="0.2">
      <c r="A427" t="s">
        <v>6</v>
      </c>
      <c r="B427">
        <v>4115</v>
      </c>
      <c r="C427">
        <v>7</v>
      </c>
      <c r="D427" t="s">
        <v>431</v>
      </c>
      <c r="E427" s="5">
        <v>1074485.0900000001</v>
      </c>
      <c r="F427" s="5">
        <v>93480.2</v>
      </c>
      <c r="G427" s="2">
        <f t="shared" si="28"/>
        <v>93487.94</v>
      </c>
      <c r="H427" s="4">
        <f t="shared" si="29"/>
        <v>7.7400000000052387</v>
      </c>
      <c r="I427">
        <f t="shared" si="31"/>
        <v>0</v>
      </c>
      <c r="J427">
        <v>4115</v>
      </c>
      <c r="K427">
        <v>7</v>
      </c>
      <c r="L427" t="s">
        <v>431</v>
      </c>
      <c r="M427" s="2">
        <v>93487.94</v>
      </c>
      <c r="N427" s="4">
        <f t="shared" si="30"/>
        <v>0</v>
      </c>
    </row>
    <row r="428" spans="1:14" x14ac:dyDescent="0.2">
      <c r="A428" t="s">
        <v>6</v>
      </c>
      <c r="B428">
        <v>4116</v>
      </c>
      <c r="C428">
        <v>7</v>
      </c>
      <c r="D428" t="s">
        <v>432</v>
      </c>
      <c r="E428" s="5">
        <v>2347179.75</v>
      </c>
      <c r="F428" s="5">
        <v>204204.64</v>
      </c>
      <c r="G428" s="2">
        <f t="shared" si="28"/>
        <v>204221.54</v>
      </c>
      <c r="H428" s="4">
        <f t="shared" si="29"/>
        <v>16.899999999994179</v>
      </c>
      <c r="I428">
        <f t="shared" si="31"/>
        <v>0</v>
      </c>
      <c r="J428">
        <v>4116</v>
      </c>
      <c r="K428">
        <v>7</v>
      </c>
      <c r="L428" t="s">
        <v>432</v>
      </c>
      <c r="M428" s="2">
        <v>204221.54</v>
      </c>
      <c r="N428" s="4">
        <f t="shared" si="30"/>
        <v>0</v>
      </c>
    </row>
    <row r="429" spans="1:14" x14ac:dyDescent="0.2">
      <c r="A429" t="s">
        <v>6</v>
      </c>
      <c r="B429">
        <v>4118</v>
      </c>
      <c r="C429">
        <v>7</v>
      </c>
      <c r="D429" t="s">
        <v>433</v>
      </c>
      <c r="E429" s="5">
        <v>1412617.25</v>
      </c>
      <c r="F429" s="5">
        <v>122897.7</v>
      </c>
      <c r="G429" s="2">
        <f t="shared" si="28"/>
        <v>122907.88</v>
      </c>
      <c r="H429" s="4">
        <f t="shared" si="29"/>
        <v>10.180000000007567</v>
      </c>
      <c r="I429">
        <f t="shared" si="31"/>
        <v>0</v>
      </c>
      <c r="J429">
        <v>4118</v>
      </c>
      <c r="K429">
        <v>7</v>
      </c>
      <c r="L429" t="s">
        <v>433</v>
      </c>
      <c r="M429" s="2">
        <v>122907.88</v>
      </c>
      <c r="N429" s="4">
        <f t="shared" si="30"/>
        <v>0</v>
      </c>
    </row>
    <row r="430" spans="1:14" x14ac:dyDescent="0.2">
      <c r="A430" t="s">
        <v>6</v>
      </c>
      <c r="B430">
        <v>4119</v>
      </c>
      <c r="C430">
        <v>7</v>
      </c>
      <c r="D430" t="s">
        <v>434</v>
      </c>
      <c r="E430" s="5">
        <v>568320.36</v>
      </c>
      <c r="F430" s="5">
        <v>49443.87</v>
      </c>
      <c r="G430" s="2">
        <f t="shared" si="28"/>
        <v>49447.96</v>
      </c>
      <c r="H430" s="4">
        <f t="shared" si="29"/>
        <v>4.0899999999965075</v>
      </c>
      <c r="I430">
        <f t="shared" si="31"/>
        <v>0</v>
      </c>
      <c r="J430">
        <v>4119</v>
      </c>
      <c r="K430">
        <v>7</v>
      </c>
      <c r="L430" t="s">
        <v>434</v>
      </c>
      <c r="M430" s="2">
        <v>49447.96</v>
      </c>
      <c r="N430" s="4">
        <f t="shared" si="30"/>
        <v>0</v>
      </c>
    </row>
    <row r="431" spans="1:14" x14ac:dyDescent="0.2">
      <c r="A431" t="s">
        <v>6</v>
      </c>
      <c r="B431">
        <v>4120</v>
      </c>
      <c r="C431">
        <v>7</v>
      </c>
      <c r="D431" t="s">
        <v>435</v>
      </c>
      <c r="E431" s="5">
        <v>2515714.9500000002</v>
      </c>
      <c r="F431" s="5">
        <v>218867.20000000001</v>
      </c>
      <c r="G431" s="2">
        <f t="shared" si="28"/>
        <v>218885.32</v>
      </c>
      <c r="H431" s="4">
        <f t="shared" si="29"/>
        <v>18.119999999995343</v>
      </c>
      <c r="I431">
        <f t="shared" si="31"/>
        <v>0</v>
      </c>
      <c r="J431">
        <v>4120</v>
      </c>
      <c r="K431">
        <v>7</v>
      </c>
      <c r="L431" t="s">
        <v>435</v>
      </c>
      <c r="M431" s="2">
        <v>218885.32</v>
      </c>
      <c r="N431" s="4">
        <f t="shared" si="30"/>
        <v>0</v>
      </c>
    </row>
    <row r="432" spans="1:14" x14ac:dyDescent="0.2">
      <c r="A432" t="s">
        <v>6</v>
      </c>
      <c r="B432">
        <v>4121</v>
      </c>
      <c r="C432">
        <v>7</v>
      </c>
      <c r="D432" t="s">
        <v>436</v>
      </c>
      <c r="E432" s="5">
        <v>2685526.3</v>
      </c>
      <c r="F432" s="5">
        <v>233640.79</v>
      </c>
      <c r="G432" s="2">
        <f t="shared" si="28"/>
        <v>233660.13</v>
      </c>
      <c r="H432" s="4">
        <f t="shared" si="29"/>
        <v>19.339999999996508</v>
      </c>
      <c r="I432">
        <f t="shared" si="31"/>
        <v>0</v>
      </c>
      <c r="J432">
        <v>4121</v>
      </c>
      <c r="K432">
        <v>7</v>
      </c>
      <c r="L432" t="s">
        <v>436</v>
      </c>
      <c r="M432" s="2">
        <v>233660.13</v>
      </c>
      <c r="N432" s="4">
        <f t="shared" si="30"/>
        <v>0</v>
      </c>
    </row>
    <row r="433" spans="1:14" x14ac:dyDescent="0.2">
      <c r="A433" t="s">
        <v>6</v>
      </c>
      <c r="B433">
        <v>4122</v>
      </c>
      <c r="C433">
        <v>7</v>
      </c>
      <c r="D433" t="s">
        <v>437</v>
      </c>
      <c r="E433" s="5">
        <v>1952089.63</v>
      </c>
      <c r="F433" s="5">
        <v>169831.8</v>
      </c>
      <c r="G433" s="2">
        <f t="shared" si="28"/>
        <v>169845.86</v>
      </c>
      <c r="H433" s="4">
        <f t="shared" si="29"/>
        <v>14.059999999997672</v>
      </c>
      <c r="I433">
        <f t="shared" si="31"/>
        <v>0</v>
      </c>
      <c r="J433">
        <v>4122</v>
      </c>
      <c r="K433">
        <v>7</v>
      </c>
      <c r="L433" t="s">
        <v>437</v>
      </c>
      <c r="M433" s="2">
        <v>169845.86</v>
      </c>
      <c r="N433" s="4">
        <f t="shared" si="30"/>
        <v>0</v>
      </c>
    </row>
    <row r="434" spans="1:14" x14ac:dyDescent="0.2">
      <c r="A434" t="s">
        <v>6</v>
      </c>
      <c r="B434">
        <v>4123</v>
      </c>
      <c r="C434">
        <v>7</v>
      </c>
      <c r="D434" t="s">
        <v>438</v>
      </c>
      <c r="E434" s="5">
        <v>265857.40000000002</v>
      </c>
      <c r="F434" s="5">
        <v>23129.59</v>
      </c>
      <c r="G434" s="2">
        <f t="shared" si="28"/>
        <v>23131.51</v>
      </c>
      <c r="H434" s="4">
        <f t="shared" si="29"/>
        <v>1.9199999999982538</v>
      </c>
      <c r="I434">
        <f t="shared" si="31"/>
        <v>0</v>
      </c>
      <c r="J434">
        <v>4123</v>
      </c>
      <c r="K434">
        <v>7</v>
      </c>
      <c r="L434" t="s">
        <v>438</v>
      </c>
      <c r="M434" s="2">
        <v>23131.51</v>
      </c>
      <c r="N434" s="4">
        <f t="shared" si="30"/>
        <v>0</v>
      </c>
    </row>
    <row r="435" spans="1:14" x14ac:dyDescent="0.2">
      <c r="A435" t="s">
        <v>6</v>
      </c>
      <c r="B435">
        <v>4124</v>
      </c>
      <c r="C435">
        <v>7</v>
      </c>
      <c r="D435" t="s">
        <v>439</v>
      </c>
      <c r="E435" s="5">
        <v>1508996.71</v>
      </c>
      <c r="F435" s="5">
        <v>131282.71</v>
      </c>
      <c r="G435" s="2">
        <f t="shared" si="28"/>
        <v>131293.57999999999</v>
      </c>
      <c r="H435" s="4">
        <f t="shared" si="29"/>
        <v>10.869999999995343</v>
      </c>
      <c r="I435">
        <f t="shared" si="31"/>
        <v>0</v>
      </c>
      <c r="J435">
        <v>4124</v>
      </c>
      <c r="K435">
        <v>7</v>
      </c>
      <c r="L435" t="s">
        <v>439</v>
      </c>
      <c r="M435" s="2">
        <v>131293.57999999999</v>
      </c>
      <c r="N435" s="4">
        <f t="shared" si="30"/>
        <v>0</v>
      </c>
    </row>
    <row r="436" spans="1:14" x14ac:dyDescent="0.2">
      <c r="A436" t="s">
        <v>6</v>
      </c>
      <c r="B436">
        <v>4125</v>
      </c>
      <c r="C436">
        <v>7</v>
      </c>
      <c r="D436" t="s">
        <v>440</v>
      </c>
      <c r="E436" s="5">
        <v>848263.52</v>
      </c>
      <c r="F436" s="5">
        <v>73798.929999999993</v>
      </c>
      <c r="G436" s="2">
        <f t="shared" si="28"/>
        <v>73805.039999999994</v>
      </c>
      <c r="H436" s="4">
        <f t="shared" si="29"/>
        <v>6.1100000000005821</v>
      </c>
      <c r="I436">
        <f t="shared" si="31"/>
        <v>0</v>
      </c>
      <c r="J436">
        <v>4125</v>
      </c>
      <c r="K436">
        <v>7</v>
      </c>
      <c r="L436" t="s">
        <v>440</v>
      </c>
      <c r="M436" s="2">
        <v>73805.039999999994</v>
      </c>
      <c r="N436" s="4">
        <f t="shared" si="30"/>
        <v>0</v>
      </c>
    </row>
    <row r="437" spans="1:14" x14ac:dyDescent="0.2">
      <c r="A437" t="s">
        <v>6</v>
      </c>
      <c r="B437">
        <v>4126</v>
      </c>
      <c r="C437">
        <v>7</v>
      </c>
      <c r="D437" t="s">
        <v>441</v>
      </c>
      <c r="E437" s="5">
        <v>3108063.18</v>
      </c>
      <c r="F437" s="5">
        <v>270401.5</v>
      </c>
      <c r="G437" s="2">
        <f t="shared" si="28"/>
        <v>270423.88</v>
      </c>
      <c r="H437" s="4">
        <f t="shared" si="29"/>
        <v>22.380000000004657</v>
      </c>
      <c r="I437">
        <f t="shared" si="31"/>
        <v>0</v>
      </c>
      <c r="J437">
        <v>4126</v>
      </c>
      <c r="K437">
        <v>7</v>
      </c>
      <c r="L437" t="s">
        <v>441</v>
      </c>
      <c r="M437" s="2">
        <v>270423.88</v>
      </c>
      <c r="N437" s="4">
        <f t="shared" si="30"/>
        <v>0</v>
      </c>
    </row>
    <row r="438" spans="1:14" x14ac:dyDescent="0.2">
      <c r="A438" t="s">
        <v>6</v>
      </c>
      <c r="B438">
        <v>4127</v>
      </c>
      <c r="C438">
        <v>7</v>
      </c>
      <c r="D438" t="s">
        <v>442</v>
      </c>
      <c r="E438" s="5">
        <v>800295.51</v>
      </c>
      <c r="F438" s="5">
        <v>69625.710000000006</v>
      </c>
      <c r="G438" s="2">
        <f t="shared" si="28"/>
        <v>69631.47</v>
      </c>
      <c r="H438" s="4">
        <f t="shared" si="29"/>
        <v>5.7599999999947613</v>
      </c>
      <c r="I438">
        <f t="shared" si="31"/>
        <v>0</v>
      </c>
      <c r="J438">
        <v>4127</v>
      </c>
      <c r="K438">
        <v>7</v>
      </c>
      <c r="L438" t="s">
        <v>442</v>
      </c>
      <c r="M438" s="2">
        <v>69631.47</v>
      </c>
      <c r="N438" s="4">
        <f t="shared" si="30"/>
        <v>0</v>
      </c>
    </row>
    <row r="439" spans="1:14" x14ac:dyDescent="0.2">
      <c r="A439" t="s">
        <v>6</v>
      </c>
      <c r="B439">
        <v>4131</v>
      </c>
      <c r="C439">
        <v>7</v>
      </c>
      <c r="D439" t="s">
        <v>443</v>
      </c>
      <c r="E439" s="5">
        <v>1738036.11</v>
      </c>
      <c r="F439" s="5">
        <v>151209.14000000001</v>
      </c>
      <c r="G439" s="2">
        <f t="shared" si="28"/>
        <v>151221.66</v>
      </c>
      <c r="H439" s="4">
        <f t="shared" si="29"/>
        <v>12.519999999989523</v>
      </c>
      <c r="I439">
        <f t="shared" si="31"/>
        <v>0</v>
      </c>
      <c r="J439">
        <v>4131</v>
      </c>
      <c r="K439">
        <v>7</v>
      </c>
      <c r="L439" t="s">
        <v>443</v>
      </c>
      <c r="M439" s="2">
        <v>151221.66</v>
      </c>
      <c r="N439" s="4">
        <f t="shared" si="30"/>
        <v>0</v>
      </c>
    </row>
    <row r="440" spans="1:14" x14ac:dyDescent="0.2">
      <c r="A440" t="s">
        <v>6</v>
      </c>
      <c r="B440">
        <v>4132</v>
      </c>
      <c r="C440">
        <v>7</v>
      </c>
      <c r="D440" t="s">
        <v>444</v>
      </c>
      <c r="E440" s="5">
        <v>566893.84</v>
      </c>
      <c r="F440" s="5">
        <v>49319.76</v>
      </c>
      <c r="G440" s="2">
        <f t="shared" si="28"/>
        <v>49323.85</v>
      </c>
      <c r="H440" s="4">
        <f t="shared" si="29"/>
        <v>4.0899999999965075</v>
      </c>
      <c r="I440">
        <f t="shared" si="31"/>
        <v>0</v>
      </c>
      <c r="J440">
        <v>4132</v>
      </c>
      <c r="K440">
        <v>7</v>
      </c>
      <c r="L440" t="s">
        <v>444</v>
      </c>
      <c r="M440" s="2">
        <v>49323.85</v>
      </c>
      <c r="N440" s="4">
        <f t="shared" si="30"/>
        <v>0</v>
      </c>
    </row>
    <row r="441" spans="1:14" x14ac:dyDescent="0.2">
      <c r="A441" t="s">
        <v>6</v>
      </c>
      <c r="B441">
        <v>4133</v>
      </c>
      <c r="C441">
        <v>7</v>
      </c>
      <c r="D441" t="s">
        <v>445</v>
      </c>
      <c r="E441" s="5">
        <v>435771.27</v>
      </c>
      <c r="F441" s="5">
        <v>37912.1</v>
      </c>
      <c r="G441" s="2">
        <f t="shared" si="28"/>
        <v>37915.24</v>
      </c>
      <c r="H441" s="4">
        <f t="shared" si="29"/>
        <v>3.1399999999994179</v>
      </c>
      <c r="I441">
        <f t="shared" si="31"/>
        <v>0</v>
      </c>
      <c r="J441">
        <v>4133</v>
      </c>
      <c r="K441">
        <v>7</v>
      </c>
      <c r="L441" t="s">
        <v>445</v>
      </c>
      <c r="M441" s="2">
        <v>37915.24</v>
      </c>
      <c r="N441" s="4">
        <f t="shared" si="30"/>
        <v>0</v>
      </c>
    </row>
    <row r="442" spans="1:14" x14ac:dyDescent="0.2">
      <c r="A442" t="s">
        <v>6</v>
      </c>
      <c r="B442">
        <v>4135</v>
      </c>
      <c r="C442">
        <v>7</v>
      </c>
      <c r="D442" t="s">
        <v>446</v>
      </c>
      <c r="E442" s="5">
        <v>1079597.75</v>
      </c>
      <c r="F442" s="5">
        <v>93925</v>
      </c>
      <c r="G442" s="2">
        <f t="shared" si="28"/>
        <v>93932.78</v>
      </c>
      <c r="H442" s="4">
        <f t="shared" si="29"/>
        <v>7.7799999999988358</v>
      </c>
      <c r="I442">
        <f t="shared" si="31"/>
        <v>0</v>
      </c>
      <c r="J442">
        <v>4135</v>
      </c>
      <c r="K442">
        <v>7</v>
      </c>
      <c r="L442" t="s">
        <v>446</v>
      </c>
      <c r="M442" s="2">
        <v>93932.78</v>
      </c>
      <c r="N442" s="4">
        <f t="shared" si="30"/>
        <v>0</v>
      </c>
    </row>
    <row r="443" spans="1:14" x14ac:dyDescent="0.2">
      <c r="A443" t="s">
        <v>6</v>
      </c>
      <c r="B443">
        <v>4137</v>
      </c>
      <c r="C443">
        <v>7</v>
      </c>
      <c r="D443" t="s">
        <v>447</v>
      </c>
      <c r="E443" s="5">
        <v>739697.58</v>
      </c>
      <c r="F443" s="5">
        <v>64353.69</v>
      </c>
      <c r="G443" s="2">
        <f t="shared" si="28"/>
        <v>64359.02</v>
      </c>
      <c r="H443" s="4">
        <f t="shared" si="29"/>
        <v>5.3299999999944703</v>
      </c>
      <c r="I443">
        <f t="shared" si="31"/>
        <v>0</v>
      </c>
      <c r="J443">
        <v>4137</v>
      </c>
      <c r="K443">
        <v>7</v>
      </c>
      <c r="L443" t="s">
        <v>447</v>
      </c>
      <c r="M443" s="2">
        <v>64359.02</v>
      </c>
      <c r="N443" s="4">
        <f t="shared" si="30"/>
        <v>0</v>
      </c>
    </row>
    <row r="444" spans="1:14" x14ac:dyDescent="0.2">
      <c r="A444" t="s">
        <v>6</v>
      </c>
      <c r="B444">
        <v>4138</v>
      </c>
      <c r="C444">
        <v>7</v>
      </c>
      <c r="D444" t="s">
        <v>448</v>
      </c>
      <c r="E444" s="5">
        <v>327710.12</v>
      </c>
      <c r="F444" s="5">
        <v>28510.78</v>
      </c>
      <c r="G444" s="2">
        <f t="shared" si="28"/>
        <v>28513.14</v>
      </c>
      <c r="H444" s="4">
        <f t="shared" si="29"/>
        <v>2.3600000000005821</v>
      </c>
      <c r="I444">
        <f t="shared" si="31"/>
        <v>0</v>
      </c>
      <c r="J444">
        <v>4138</v>
      </c>
      <c r="K444">
        <v>7</v>
      </c>
      <c r="L444" t="s">
        <v>448</v>
      </c>
      <c r="M444" s="2">
        <v>28513.14</v>
      </c>
      <c r="N444" s="4">
        <f t="shared" si="30"/>
        <v>0</v>
      </c>
    </row>
    <row r="445" spans="1:14" x14ac:dyDescent="0.2">
      <c r="A445" t="s">
        <v>6</v>
      </c>
      <c r="B445">
        <v>4139</v>
      </c>
      <c r="C445">
        <v>7</v>
      </c>
      <c r="D445" t="s">
        <v>449</v>
      </c>
      <c r="E445" s="5">
        <v>2231380.36</v>
      </c>
      <c r="F445" s="5">
        <v>194130.09</v>
      </c>
      <c r="G445" s="2">
        <f t="shared" si="28"/>
        <v>194146.16</v>
      </c>
      <c r="H445" s="4">
        <f t="shared" si="29"/>
        <v>16.070000000006985</v>
      </c>
      <c r="I445">
        <f t="shared" si="31"/>
        <v>0</v>
      </c>
      <c r="J445">
        <v>4139</v>
      </c>
      <c r="K445">
        <v>7</v>
      </c>
      <c r="L445" t="s">
        <v>449</v>
      </c>
      <c r="M445" s="2">
        <v>194146.16</v>
      </c>
      <c r="N445" s="4">
        <f t="shared" si="30"/>
        <v>0</v>
      </c>
    </row>
    <row r="446" spans="1:14" x14ac:dyDescent="0.2">
      <c r="A446" t="s">
        <v>6</v>
      </c>
      <c r="B446">
        <v>4140</v>
      </c>
      <c r="C446">
        <v>7</v>
      </c>
      <c r="D446" t="s">
        <v>450</v>
      </c>
      <c r="E446" s="5">
        <v>805787.71</v>
      </c>
      <c r="F446" s="5">
        <v>70103.53</v>
      </c>
      <c r="G446" s="2">
        <f t="shared" si="28"/>
        <v>70109.33</v>
      </c>
      <c r="H446" s="4">
        <f t="shared" si="29"/>
        <v>5.8000000000029104</v>
      </c>
      <c r="I446">
        <f t="shared" si="31"/>
        <v>0</v>
      </c>
      <c r="J446">
        <v>4140</v>
      </c>
      <c r="K446">
        <v>7</v>
      </c>
      <c r="L446" t="s">
        <v>450</v>
      </c>
      <c r="M446" s="2">
        <v>70109.33</v>
      </c>
      <c r="N446" s="4">
        <f t="shared" si="30"/>
        <v>0</v>
      </c>
    </row>
    <row r="447" spans="1:14" x14ac:dyDescent="0.2">
      <c r="A447" t="s">
        <v>6</v>
      </c>
      <c r="B447">
        <v>4141</v>
      </c>
      <c r="C447">
        <v>7</v>
      </c>
      <c r="D447" t="s">
        <v>451</v>
      </c>
      <c r="E447" s="5">
        <v>1950999.02</v>
      </c>
      <c r="F447" s="5">
        <v>169736.91</v>
      </c>
      <c r="G447" s="2">
        <f t="shared" si="28"/>
        <v>169750.97</v>
      </c>
      <c r="H447" s="4">
        <f t="shared" si="29"/>
        <v>14.059999999997672</v>
      </c>
      <c r="I447">
        <f t="shared" si="31"/>
        <v>0</v>
      </c>
      <c r="J447">
        <v>4141</v>
      </c>
      <c r="K447">
        <v>7</v>
      </c>
      <c r="L447" t="s">
        <v>451</v>
      </c>
      <c r="M447" s="2">
        <v>169750.97</v>
      </c>
      <c r="N447" s="4">
        <f t="shared" si="30"/>
        <v>0</v>
      </c>
    </row>
    <row r="448" spans="1:14" x14ac:dyDescent="0.2">
      <c r="A448" t="s">
        <v>6</v>
      </c>
      <c r="B448">
        <v>4142</v>
      </c>
      <c r="C448">
        <v>7</v>
      </c>
      <c r="D448" t="s">
        <v>452</v>
      </c>
      <c r="E448" s="5">
        <v>1672263.91</v>
      </c>
      <c r="F448" s="5">
        <v>145486.96</v>
      </c>
      <c r="G448" s="2">
        <f t="shared" si="28"/>
        <v>145499</v>
      </c>
      <c r="H448" s="4">
        <f t="shared" si="29"/>
        <v>12.040000000008149</v>
      </c>
      <c r="I448">
        <f t="shared" si="31"/>
        <v>0</v>
      </c>
      <c r="J448">
        <v>4142</v>
      </c>
      <c r="K448">
        <v>7</v>
      </c>
      <c r="L448" t="s">
        <v>452</v>
      </c>
      <c r="M448" s="2">
        <v>145499</v>
      </c>
      <c r="N448" s="4">
        <f t="shared" si="30"/>
        <v>0</v>
      </c>
    </row>
    <row r="449" spans="1:14" x14ac:dyDescent="0.2">
      <c r="A449" t="s">
        <v>6</v>
      </c>
      <c r="B449">
        <v>4143</v>
      </c>
      <c r="C449">
        <v>7</v>
      </c>
      <c r="D449" t="s">
        <v>453</v>
      </c>
      <c r="E449" s="5">
        <v>3227263.51</v>
      </c>
      <c r="F449" s="5">
        <v>280771.93</v>
      </c>
      <c r="G449" s="2">
        <f t="shared" si="28"/>
        <v>280795.17</v>
      </c>
      <c r="H449" s="4">
        <f t="shared" si="29"/>
        <v>23.239999999990687</v>
      </c>
      <c r="I449">
        <f t="shared" si="31"/>
        <v>0</v>
      </c>
      <c r="J449">
        <v>4143</v>
      </c>
      <c r="K449">
        <v>7</v>
      </c>
      <c r="L449" t="s">
        <v>453</v>
      </c>
      <c r="M449" s="2">
        <v>280795.17</v>
      </c>
      <c r="N449" s="4">
        <f t="shared" si="30"/>
        <v>0</v>
      </c>
    </row>
    <row r="450" spans="1:14" x14ac:dyDescent="0.2">
      <c r="A450" t="s">
        <v>6</v>
      </c>
      <c r="B450">
        <v>4144</v>
      </c>
      <c r="C450">
        <v>7</v>
      </c>
      <c r="D450" t="s">
        <v>454</v>
      </c>
      <c r="E450" s="5">
        <v>489582.59</v>
      </c>
      <c r="F450" s="5">
        <v>42593.69</v>
      </c>
      <c r="G450" s="2">
        <f t="shared" si="28"/>
        <v>42597.21</v>
      </c>
      <c r="H450" s="4">
        <f t="shared" si="29"/>
        <v>3.5199999999967986</v>
      </c>
      <c r="I450">
        <f t="shared" si="31"/>
        <v>0</v>
      </c>
      <c r="J450">
        <v>4144</v>
      </c>
      <c r="K450">
        <v>7</v>
      </c>
      <c r="L450" t="s">
        <v>454</v>
      </c>
      <c r="M450" s="2">
        <v>42597.21</v>
      </c>
      <c r="N450" s="4">
        <f t="shared" si="30"/>
        <v>0</v>
      </c>
    </row>
    <row r="451" spans="1:14" x14ac:dyDescent="0.2">
      <c r="A451" t="s">
        <v>6</v>
      </c>
      <c r="B451">
        <v>4145</v>
      </c>
      <c r="C451">
        <v>7</v>
      </c>
      <c r="D451" t="s">
        <v>455</v>
      </c>
      <c r="E451" s="5">
        <v>324110.2</v>
      </c>
      <c r="F451" s="5">
        <v>28197.59</v>
      </c>
      <c r="G451" s="2">
        <f t="shared" si="28"/>
        <v>28199.919999999998</v>
      </c>
      <c r="H451" s="4">
        <f t="shared" si="29"/>
        <v>2.3299999999981083</v>
      </c>
      <c r="I451">
        <f t="shared" si="31"/>
        <v>0</v>
      </c>
      <c r="J451">
        <v>4145</v>
      </c>
      <c r="K451">
        <v>7</v>
      </c>
      <c r="L451" t="s">
        <v>455</v>
      </c>
      <c r="M451" s="2">
        <v>28199.919999999998</v>
      </c>
      <c r="N451" s="4">
        <f t="shared" si="30"/>
        <v>0</v>
      </c>
    </row>
    <row r="452" spans="1:14" x14ac:dyDescent="0.2">
      <c r="A452" t="s">
        <v>6</v>
      </c>
      <c r="B452">
        <v>4146</v>
      </c>
      <c r="C452">
        <v>7</v>
      </c>
      <c r="D452" t="s">
        <v>456</v>
      </c>
      <c r="E452" s="5">
        <v>722498.86</v>
      </c>
      <c r="F452" s="5">
        <v>62857.4</v>
      </c>
      <c r="G452" s="2">
        <f t="shared" si="28"/>
        <v>62862.6</v>
      </c>
      <c r="H452" s="4">
        <f t="shared" si="29"/>
        <v>5.1999999999970896</v>
      </c>
      <c r="I452">
        <f t="shared" si="31"/>
        <v>0</v>
      </c>
      <c r="J452">
        <v>4146</v>
      </c>
      <c r="K452">
        <v>7</v>
      </c>
      <c r="L452" t="s">
        <v>456</v>
      </c>
      <c r="M452" s="2">
        <v>62862.6</v>
      </c>
      <c r="N452" s="4">
        <f t="shared" si="30"/>
        <v>0</v>
      </c>
    </row>
    <row r="453" spans="1:14" x14ac:dyDescent="0.2">
      <c r="A453" t="s">
        <v>6</v>
      </c>
      <c r="B453">
        <v>4149</v>
      </c>
      <c r="C453">
        <v>7</v>
      </c>
      <c r="D453" t="s">
        <v>457</v>
      </c>
      <c r="E453" s="5">
        <v>632914.72</v>
      </c>
      <c r="F453" s="5">
        <v>55063.58</v>
      </c>
      <c r="G453" s="2">
        <f t="shared" si="28"/>
        <v>55068.14</v>
      </c>
      <c r="H453" s="4">
        <f t="shared" si="29"/>
        <v>4.5599999999976717</v>
      </c>
      <c r="I453">
        <f t="shared" si="31"/>
        <v>0</v>
      </c>
      <c r="J453">
        <v>4149</v>
      </c>
      <c r="K453">
        <v>7</v>
      </c>
      <c r="L453" t="s">
        <v>457</v>
      </c>
      <c r="M453" s="2">
        <v>55068.14</v>
      </c>
      <c r="N453" s="4">
        <f t="shared" si="30"/>
        <v>0</v>
      </c>
    </row>
    <row r="454" spans="1:14" x14ac:dyDescent="0.2">
      <c r="A454" t="s">
        <v>6</v>
      </c>
      <c r="B454">
        <v>4150</v>
      </c>
      <c r="C454">
        <v>7</v>
      </c>
      <c r="D454" t="s">
        <v>458</v>
      </c>
      <c r="E454" s="5">
        <v>690299.95</v>
      </c>
      <c r="F454" s="5">
        <v>60056.1</v>
      </c>
      <c r="G454" s="2">
        <f t="shared" si="28"/>
        <v>60061.07</v>
      </c>
      <c r="H454" s="4">
        <f t="shared" si="29"/>
        <v>4.9700000000011642</v>
      </c>
      <c r="I454">
        <f t="shared" si="31"/>
        <v>0</v>
      </c>
      <c r="J454">
        <v>4150</v>
      </c>
      <c r="K454">
        <v>7</v>
      </c>
      <c r="L454" t="s">
        <v>458</v>
      </c>
      <c r="M454" s="2">
        <v>60061.07</v>
      </c>
      <c r="N454" s="4">
        <f t="shared" si="30"/>
        <v>0</v>
      </c>
    </row>
    <row r="455" spans="1:14" x14ac:dyDescent="0.2">
      <c r="A455" t="s">
        <v>6</v>
      </c>
      <c r="B455">
        <v>4151</v>
      </c>
      <c r="C455">
        <v>7</v>
      </c>
      <c r="D455" t="s">
        <v>459</v>
      </c>
      <c r="E455" s="5">
        <v>558154.28</v>
      </c>
      <c r="F455" s="5">
        <v>48559.42</v>
      </c>
      <c r="G455" s="2">
        <f t="shared" si="28"/>
        <v>48563.44</v>
      </c>
      <c r="H455" s="4">
        <f t="shared" si="29"/>
        <v>4.0200000000040745</v>
      </c>
      <c r="I455">
        <f t="shared" si="31"/>
        <v>0</v>
      </c>
      <c r="J455">
        <v>4151</v>
      </c>
      <c r="K455">
        <v>7</v>
      </c>
      <c r="L455" t="s">
        <v>459</v>
      </c>
      <c r="M455" s="2">
        <v>48563.44</v>
      </c>
      <c r="N455" s="4">
        <f t="shared" si="30"/>
        <v>0</v>
      </c>
    </row>
    <row r="456" spans="1:14" x14ac:dyDescent="0.2">
      <c r="A456" t="s">
        <v>6</v>
      </c>
      <c r="B456">
        <v>4152</v>
      </c>
      <c r="C456">
        <v>7</v>
      </c>
      <c r="D456" t="s">
        <v>460</v>
      </c>
      <c r="E456" s="5">
        <v>664226.96</v>
      </c>
      <c r="F456" s="5">
        <v>57787.75</v>
      </c>
      <c r="G456" s="2">
        <f t="shared" si="28"/>
        <v>57792.53</v>
      </c>
      <c r="H456" s="4">
        <f t="shared" si="29"/>
        <v>4.7799999999988358</v>
      </c>
      <c r="I456">
        <f t="shared" si="31"/>
        <v>0</v>
      </c>
      <c r="J456">
        <v>4152</v>
      </c>
      <c r="K456">
        <v>7</v>
      </c>
      <c r="L456" t="s">
        <v>460</v>
      </c>
      <c r="M456" s="2">
        <v>57792.53</v>
      </c>
      <c r="N456" s="4">
        <f t="shared" si="30"/>
        <v>0</v>
      </c>
    </row>
    <row r="457" spans="1:14" x14ac:dyDescent="0.2">
      <c r="A457" t="s">
        <v>6</v>
      </c>
      <c r="B457">
        <v>4153</v>
      </c>
      <c r="C457">
        <v>7</v>
      </c>
      <c r="D457" t="s">
        <v>461</v>
      </c>
      <c r="E457" s="5">
        <v>1771954.17</v>
      </c>
      <c r="F457" s="5">
        <v>154160.01</v>
      </c>
      <c r="G457" s="2">
        <f t="shared" si="28"/>
        <v>154172.78</v>
      </c>
      <c r="H457" s="4">
        <f t="shared" si="29"/>
        <v>12.769999999989523</v>
      </c>
      <c r="I457">
        <f t="shared" si="31"/>
        <v>0</v>
      </c>
      <c r="J457">
        <v>4153</v>
      </c>
      <c r="K457">
        <v>7</v>
      </c>
      <c r="L457" t="s">
        <v>461</v>
      </c>
      <c r="M457" s="2">
        <v>154172.78</v>
      </c>
      <c r="N457" s="4">
        <f t="shared" si="30"/>
        <v>0</v>
      </c>
    </row>
    <row r="458" spans="1:14" x14ac:dyDescent="0.2">
      <c r="A458" s="27" t="s">
        <v>6</v>
      </c>
      <c r="B458" s="27">
        <v>4154</v>
      </c>
      <c r="C458" s="27">
        <v>7</v>
      </c>
      <c r="D458" s="27" t="s">
        <v>462</v>
      </c>
      <c r="E458" s="28">
        <v>288582.03000000003</v>
      </c>
      <c r="F458" s="28">
        <v>25106.639999999999</v>
      </c>
      <c r="G458" s="29">
        <f t="shared" si="28"/>
        <v>25108.720000000001</v>
      </c>
      <c r="H458" s="30">
        <f t="shared" si="29"/>
        <v>2.0800000000017462</v>
      </c>
      <c r="I458">
        <f t="shared" si="31"/>
        <v>0</v>
      </c>
      <c r="J458">
        <v>4154</v>
      </c>
      <c r="K458">
        <v>7</v>
      </c>
      <c r="L458" t="s">
        <v>462</v>
      </c>
      <c r="M458" s="2">
        <v>25108.720000000001</v>
      </c>
      <c r="N458" s="4">
        <f t="shared" si="30"/>
        <v>0</v>
      </c>
    </row>
    <row r="459" spans="1:14" x14ac:dyDescent="0.2">
      <c r="A459" t="s">
        <v>6</v>
      </c>
      <c r="B459">
        <v>4155</v>
      </c>
      <c r="C459">
        <v>7</v>
      </c>
      <c r="D459" t="s">
        <v>463</v>
      </c>
      <c r="E459" s="5">
        <v>667194.92000000004</v>
      </c>
      <c r="F459" s="5">
        <v>58045.96</v>
      </c>
      <c r="G459" s="2">
        <f t="shared" si="28"/>
        <v>58050.76</v>
      </c>
      <c r="H459" s="4">
        <f t="shared" si="29"/>
        <v>4.8000000000029104</v>
      </c>
      <c r="I459">
        <f t="shared" si="31"/>
        <v>0</v>
      </c>
      <c r="J459">
        <v>4155</v>
      </c>
      <c r="K459">
        <v>7</v>
      </c>
      <c r="L459" t="s">
        <v>463</v>
      </c>
      <c r="M459" s="2">
        <v>58050.76</v>
      </c>
      <c r="N459" s="4">
        <f t="shared" si="30"/>
        <v>0</v>
      </c>
    </row>
    <row r="460" spans="1:14" x14ac:dyDescent="0.2">
      <c r="A460" t="s">
        <v>6</v>
      </c>
      <c r="B460">
        <v>4159</v>
      </c>
      <c r="C460">
        <v>7</v>
      </c>
      <c r="D460" t="s">
        <v>464</v>
      </c>
      <c r="E460" s="5">
        <v>1592678.17</v>
      </c>
      <c r="F460" s="5">
        <v>138563</v>
      </c>
      <c r="G460" s="2">
        <f t="shared" si="28"/>
        <v>138574.47</v>
      </c>
      <c r="H460" s="4">
        <f t="shared" si="29"/>
        <v>11.470000000001164</v>
      </c>
      <c r="I460">
        <f t="shared" si="31"/>
        <v>0</v>
      </c>
      <c r="J460">
        <v>4159</v>
      </c>
      <c r="K460">
        <v>7</v>
      </c>
      <c r="L460" t="s">
        <v>464</v>
      </c>
      <c r="M460" s="2">
        <v>138574.47</v>
      </c>
      <c r="N460" s="4">
        <f t="shared" si="30"/>
        <v>0</v>
      </c>
    </row>
    <row r="461" spans="1:14" x14ac:dyDescent="0.2">
      <c r="A461" t="s">
        <v>6</v>
      </c>
      <c r="B461">
        <v>4160</v>
      </c>
      <c r="C461">
        <v>7</v>
      </c>
      <c r="D461" t="s">
        <v>465</v>
      </c>
      <c r="E461" s="5">
        <v>806001.44</v>
      </c>
      <c r="F461" s="5">
        <v>70122.13</v>
      </c>
      <c r="G461" s="2">
        <f t="shared" si="28"/>
        <v>70127.929999999993</v>
      </c>
      <c r="H461" s="4">
        <f t="shared" si="29"/>
        <v>5.7999999999883585</v>
      </c>
      <c r="I461">
        <f t="shared" si="31"/>
        <v>0</v>
      </c>
      <c r="J461">
        <v>4160</v>
      </c>
      <c r="K461">
        <v>7</v>
      </c>
      <c r="L461" t="s">
        <v>465</v>
      </c>
      <c r="M461" s="2">
        <v>70127.929999999993</v>
      </c>
      <c r="N461" s="4">
        <f t="shared" si="30"/>
        <v>0</v>
      </c>
    </row>
    <row r="462" spans="1:14" x14ac:dyDescent="0.2">
      <c r="A462" t="s">
        <v>6</v>
      </c>
      <c r="B462">
        <v>4161</v>
      </c>
      <c r="C462">
        <v>7</v>
      </c>
      <c r="D462" t="s">
        <v>466</v>
      </c>
      <c r="E462" s="5">
        <v>594048.61</v>
      </c>
      <c r="F462" s="5">
        <v>51682.23</v>
      </c>
      <c r="G462" s="2">
        <f t="shared" si="28"/>
        <v>51686.51</v>
      </c>
      <c r="H462" s="4">
        <f t="shared" si="29"/>
        <v>4.2799999999988358</v>
      </c>
      <c r="I462">
        <f t="shared" si="31"/>
        <v>0</v>
      </c>
      <c r="J462">
        <v>4161</v>
      </c>
      <c r="K462">
        <v>7</v>
      </c>
      <c r="L462" t="s">
        <v>466</v>
      </c>
      <c r="M462" s="2">
        <v>51686.51</v>
      </c>
      <c r="N462" s="4">
        <f t="shared" si="30"/>
        <v>0</v>
      </c>
    </row>
    <row r="463" spans="1:14" x14ac:dyDescent="0.2">
      <c r="A463" t="s">
        <v>6</v>
      </c>
      <c r="B463">
        <v>4162</v>
      </c>
      <c r="C463">
        <v>7</v>
      </c>
      <c r="D463" t="s">
        <v>467</v>
      </c>
      <c r="E463" s="5">
        <v>620407.49</v>
      </c>
      <c r="F463" s="5">
        <v>53975.45</v>
      </c>
      <c r="G463" s="2">
        <f t="shared" si="28"/>
        <v>53979.92</v>
      </c>
      <c r="H463" s="4">
        <f t="shared" si="29"/>
        <v>4.4700000000011642</v>
      </c>
      <c r="I463">
        <f t="shared" si="31"/>
        <v>0</v>
      </c>
      <c r="J463">
        <v>4162</v>
      </c>
      <c r="K463">
        <v>7</v>
      </c>
      <c r="L463" t="s">
        <v>467</v>
      </c>
      <c r="M463" s="2">
        <v>53979.92</v>
      </c>
      <c r="N463" s="4">
        <f t="shared" si="30"/>
        <v>0</v>
      </c>
    </row>
    <row r="464" spans="1:14" x14ac:dyDescent="0.2">
      <c r="A464" t="s">
        <v>6</v>
      </c>
      <c r="B464">
        <v>4163</v>
      </c>
      <c r="C464">
        <v>7</v>
      </c>
      <c r="D464" t="s">
        <v>468</v>
      </c>
      <c r="E464" s="5">
        <v>1382419.03</v>
      </c>
      <c r="F464" s="5">
        <v>120270.46</v>
      </c>
      <c r="G464" s="2">
        <f t="shared" si="28"/>
        <v>120280.41</v>
      </c>
      <c r="H464" s="4">
        <f t="shared" si="29"/>
        <v>9.9499999999970896</v>
      </c>
      <c r="I464">
        <f t="shared" si="31"/>
        <v>0</v>
      </c>
      <c r="J464">
        <v>4163</v>
      </c>
      <c r="K464">
        <v>7</v>
      </c>
      <c r="L464" t="s">
        <v>468</v>
      </c>
      <c r="M464" s="2">
        <v>120280.41</v>
      </c>
      <c r="N464" s="4">
        <f t="shared" si="30"/>
        <v>0</v>
      </c>
    </row>
    <row r="465" spans="1:14" x14ac:dyDescent="0.2">
      <c r="A465" t="s">
        <v>6</v>
      </c>
      <c r="B465">
        <v>4166</v>
      </c>
      <c r="C465">
        <v>7</v>
      </c>
      <c r="D465" t="s">
        <v>469</v>
      </c>
      <c r="E465" s="5">
        <v>599295.96</v>
      </c>
      <c r="F465" s="5">
        <v>52138.75</v>
      </c>
      <c r="G465" s="2">
        <f t="shared" si="28"/>
        <v>52143.07</v>
      </c>
      <c r="H465" s="4">
        <f t="shared" si="29"/>
        <v>4.319999999999709</v>
      </c>
      <c r="I465">
        <f t="shared" si="31"/>
        <v>0</v>
      </c>
      <c r="J465">
        <v>4166</v>
      </c>
      <c r="K465">
        <v>7</v>
      </c>
      <c r="L465" t="s">
        <v>469</v>
      </c>
      <c r="M465" s="2">
        <v>52143.07</v>
      </c>
      <c r="N465" s="4">
        <f t="shared" si="30"/>
        <v>0</v>
      </c>
    </row>
    <row r="466" spans="1:14" x14ac:dyDescent="0.2">
      <c r="A466" t="s">
        <v>6</v>
      </c>
      <c r="B466">
        <v>4167</v>
      </c>
      <c r="C466">
        <v>7</v>
      </c>
      <c r="D466" t="s">
        <v>470</v>
      </c>
      <c r="E466" s="5">
        <v>340460.17</v>
      </c>
      <c r="F466" s="5">
        <v>29620.03</v>
      </c>
      <c r="G466" s="2">
        <f t="shared" si="28"/>
        <v>29622.49</v>
      </c>
      <c r="H466" s="4">
        <f t="shared" si="29"/>
        <v>2.4600000000027649</v>
      </c>
      <c r="I466">
        <f t="shared" si="31"/>
        <v>0</v>
      </c>
      <c r="J466">
        <v>4167</v>
      </c>
      <c r="K466">
        <v>7</v>
      </c>
      <c r="L466" t="s">
        <v>470</v>
      </c>
      <c r="M466" s="2">
        <v>29622.49</v>
      </c>
      <c r="N466" s="4">
        <f t="shared" si="30"/>
        <v>0</v>
      </c>
    </row>
    <row r="467" spans="1:14" x14ac:dyDescent="0.2">
      <c r="A467" t="s">
        <v>6</v>
      </c>
      <c r="B467">
        <v>4168</v>
      </c>
      <c r="C467">
        <v>7</v>
      </c>
      <c r="D467" t="s">
        <v>471</v>
      </c>
      <c r="E467" s="5">
        <v>491243.51</v>
      </c>
      <c r="F467" s="5">
        <v>42738.19</v>
      </c>
      <c r="G467" s="2">
        <f t="shared" si="28"/>
        <v>42741.72</v>
      </c>
      <c r="H467" s="4">
        <f t="shared" si="29"/>
        <v>3.5299999999988358</v>
      </c>
      <c r="I467">
        <f t="shared" si="31"/>
        <v>0</v>
      </c>
      <c r="J467">
        <v>4168</v>
      </c>
      <c r="K467">
        <v>7</v>
      </c>
      <c r="L467" t="s">
        <v>471</v>
      </c>
      <c r="M467" s="2">
        <v>42741.72</v>
      </c>
      <c r="N467" s="4">
        <f t="shared" si="30"/>
        <v>0</v>
      </c>
    </row>
    <row r="468" spans="1:14" x14ac:dyDescent="0.2">
      <c r="A468" t="s">
        <v>6</v>
      </c>
      <c r="B468">
        <v>4169</v>
      </c>
      <c r="C468">
        <v>7</v>
      </c>
      <c r="D468" t="s">
        <v>472</v>
      </c>
      <c r="E468" s="5">
        <v>967038.84</v>
      </c>
      <c r="F468" s="5">
        <v>84132.38</v>
      </c>
      <c r="G468" s="2">
        <f t="shared" si="28"/>
        <v>84139.34</v>
      </c>
      <c r="H468" s="4">
        <f t="shared" si="29"/>
        <v>6.9599999999918509</v>
      </c>
      <c r="I468">
        <f t="shared" si="31"/>
        <v>0</v>
      </c>
      <c r="J468">
        <v>4169</v>
      </c>
      <c r="K468">
        <v>7</v>
      </c>
      <c r="L468" t="s">
        <v>472</v>
      </c>
      <c r="M468" s="2">
        <v>84139.34</v>
      </c>
      <c r="N468" s="4">
        <f t="shared" si="30"/>
        <v>0</v>
      </c>
    </row>
    <row r="469" spans="1:14" x14ac:dyDescent="0.2">
      <c r="A469" t="s">
        <v>6</v>
      </c>
      <c r="B469">
        <v>4170</v>
      </c>
      <c r="C469">
        <v>7</v>
      </c>
      <c r="D469" t="s">
        <v>473</v>
      </c>
      <c r="E469" s="5">
        <v>949834.57</v>
      </c>
      <c r="F469" s="5">
        <v>82635.61</v>
      </c>
      <c r="G469" s="2">
        <f t="shared" ref="G469:G477" si="32">ROUND(E469*$G$485,2)</f>
        <v>82642.45</v>
      </c>
      <c r="H469" s="4">
        <f t="shared" ref="H469:H478" si="33">G469-F469</f>
        <v>6.8399999999965075</v>
      </c>
      <c r="I469">
        <f t="shared" si="31"/>
        <v>0</v>
      </c>
      <c r="J469">
        <v>4170</v>
      </c>
      <c r="K469">
        <v>7</v>
      </c>
      <c r="L469" t="s">
        <v>473</v>
      </c>
      <c r="M469" s="2">
        <v>82642.45</v>
      </c>
      <c r="N469" s="4">
        <f t="shared" ref="N469:N478" si="34">M469-G469</f>
        <v>0</v>
      </c>
    </row>
    <row r="470" spans="1:14" x14ac:dyDescent="0.2">
      <c r="A470" t="s">
        <v>6</v>
      </c>
      <c r="B470">
        <v>4171</v>
      </c>
      <c r="C470">
        <v>7</v>
      </c>
      <c r="D470" t="s">
        <v>474</v>
      </c>
      <c r="E470" s="5">
        <v>1788907.2</v>
      </c>
      <c r="F470" s="5">
        <v>155634.93</v>
      </c>
      <c r="G470" s="2">
        <f t="shared" si="32"/>
        <v>155647.81</v>
      </c>
      <c r="H470" s="4">
        <f t="shared" si="33"/>
        <v>12.880000000004657</v>
      </c>
      <c r="I470">
        <f t="shared" ref="I470:I478" si="35">J470-B470</f>
        <v>0</v>
      </c>
      <c r="J470">
        <v>4171</v>
      </c>
      <c r="K470">
        <v>7</v>
      </c>
      <c r="L470" t="s">
        <v>474</v>
      </c>
      <c r="M470" s="2">
        <v>155647.81</v>
      </c>
      <c r="N470" s="4">
        <f t="shared" si="34"/>
        <v>0</v>
      </c>
    </row>
    <row r="471" spans="1:14" x14ac:dyDescent="0.2">
      <c r="A471" t="s">
        <v>6</v>
      </c>
      <c r="B471">
        <v>4172</v>
      </c>
      <c r="C471">
        <v>7</v>
      </c>
      <c r="D471" t="s">
        <v>475</v>
      </c>
      <c r="E471" s="5">
        <v>395264.7</v>
      </c>
      <c r="F471" s="5">
        <v>34388.03</v>
      </c>
      <c r="G471" s="2">
        <f t="shared" si="32"/>
        <v>34390.879999999997</v>
      </c>
      <c r="H471" s="4">
        <f t="shared" si="33"/>
        <v>2.8499999999985448</v>
      </c>
      <c r="I471">
        <f t="shared" si="35"/>
        <v>0</v>
      </c>
      <c r="J471">
        <v>4172</v>
      </c>
      <c r="K471">
        <v>7</v>
      </c>
      <c r="L471" t="s">
        <v>475</v>
      </c>
      <c r="M471" s="2">
        <v>34390.879999999997</v>
      </c>
      <c r="N471" s="4">
        <f t="shared" si="34"/>
        <v>0</v>
      </c>
    </row>
    <row r="472" spans="1:14" x14ac:dyDescent="0.2">
      <c r="A472" t="s">
        <v>6</v>
      </c>
      <c r="B472">
        <v>4173</v>
      </c>
      <c r="C472">
        <v>7</v>
      </c>
      <c r="D472" t="s">
        <v>476</v>
      </c>
      <c r="E472" s="5">
        <v>1310561.17</v>
      </c>
      <c r="F472" s="5">
        <v>114018.82</v>
      </c>
      <c r="G472" s="2">
        <f t="shared" si="32"/>
        <v>114028.26</v>
      </c>
      <c r="H472" s="4">
        <f t="shared" si="33"/>
        <v>9.4399999999877764</v>
      </c>
      <c r="I472">
        <f t="shared" si="35"/>
        <v>0</v>
      </c>
      <c r="J472">
        <v>4173</v>
      </c>
      <c r="K472">
        <v>7</v>
      </c>
      <c r="L472" t="s">
        <v>476</v>
      </c>
      <c r="M472" s="2">
        <v>114028.26</v>
      </c>
      <c r="N472" s="4">
        <f t="shared" si="34"/>
        <v>0</v>
      </c>
    </row>
    <row r="473" spans="1:14" x14ac:dyDescent="0.2">
      <c r="A473" t="s">
        <v>6</v>
      </c>
      <c r="B473">
        <v>4174</v>
      </c>
      <c r="C473">
        <v>7</v>
      </c>
      <c r="D473" t="s">
        <v>477</v>
      </c>
      <c r="E473" s="5">
        <v>304596.61</v>
      </c>
      <c r="F473" s="5">
        <v>26499.91</v>
      </c>
      <c r="G473" s="2">
        <f t="shared" si="32"/>
        <v>26502.1</v>
      </c>
      <c r="H473" s="4">
        <f t="shared" si="33"/>
        <v>2.1899999999986903</v>
      </c>
      <c r="I473">
        <f t="shared" si="35"/>
        <v>0</v>
      </c>
      <c r="J473">
        <v>4174</v>
      </c>
      <c r="K473">
        <v>7</v>
      </c>
      <c r="L473" t="s">
        <v>477</v>
      </c>
      <c r="M473" s="2">
        <v>26502.1</v>
      </c>
      <c r="N473" s="4">
        <f t="shared" si="34"/>
        <v>0</v>
      </c>
    </row>
    <row r="474" spans="1:14" x14ac:dyDescent="0.2">
      <c r="A474" t="s">
        <v>6</v>
      </c>
      <c r="B474">
        <v>4175</v>
      </c>
      <c r="C474">
        <v>7</v>
      </c>
      <c r="D474" t="s">
        <v>478</v>
      </c>
      <c r="E474" s="5">
        <v>384607.68</v>
      </c>
      <c r="F474" s="5">
        <v>33460.870000000003</v>
      </c>
      <c r="G474" s="2">
        <f t="shared" si="32"/>
        <v>33463.64</v>
      </c>
      <c r="H474" s="4">
        <f t="shared" si="33"/>
        <v>2.7699999999967986</v>
      </c>
      <c r="I474">
        <f t="shared" si="35"/>
        <v>0</v>
      </c>
      <c r="J474">
        <v>4175</v>
      </c>
      <c r="K474">
        <v>7</v>
      </c>
      <c r="L474" t="s">
        <v>478</v>
      </c>
      <c r="M474" s="2">
        <v>33463.64</v>
      </c>
      <c r="N474" s="4">
        <f t="shared" si="34"/>
        <v>0</v>
      </c>
    </row>
    <row r="475" spans="1:14" x14ac:dyDescent="0.2">
      <c r="A475" t="s">
        <v>6</v>
      </c>
      <c r="B475">
        <v>4177</v>
      </c>
      <c r="C475">
        <v>7</v>
      </c>
      <c r="D475" t="s">
        <v>479</v>
      </c>
      <c r="E475" s="5">
        <v>460543.39</v>
      </c>
      <c r="F475" s="5">
        <v>40067.269999999997</v>
      </c>
      <c r="G475" s="2">
        <f t="shared" si="32"/>
        <v>40070.589999999997</v>
      </c>
      <c r="H475" s="4">
        <f t="shared" si="33"/>
        <v>3.319999999999709</v>
      </c>
      <c r="I475">
        <f t="shared" si="35"/>
        <v>0</v>
      </c>
      <c r="J475">
        <v>4177</v>
      </c>
      <c r="K475">
        <v>7</v>
      </c>
      <c r="L475" t="s">
        <v>479</v>
      </c>
      <c r="M475" s="2">
        <v>40070.589999999997</v>
      </c>
      <c r="N475" s="4">
        <f t="shared" si="34"/>
        <v>0</v>
      </c>
    </row>
    <row r="476" spans="1:14" x14ac:dyDescent="0.2">
      <c r="A476" t="s">
        <v>6</v>
      </c>
      <c r="B476">
        <v>4178</v>
      </c>
      <c r="C476">
        <v>7</v>
      </c>
      <c r="D476" t="s">
        <v>480</v>
      </c>
      <c r="E476" s="5">
        <v>1920288.68</v>
      </c>
      <c r="F476" s="5">
        <v>167065.12</v>
      </c>
      <c r="G476" s="2">
        <f t="shared" si="32"/>
        <v>167078.95000000001</v>
      </c>
      <c r="H476" s="4">
        <f t="shared" si="33"/>
        <v>13.830000000016298</v>
      </c>
      <c r="I476">
        <f t="shared" si="35"/>
        <v>0</v>
      </c>
      <c r="J476">
        <v>4178</v>
      </c>
      <c r="K476">
        <v>7</v>
      </c>
      <c r="L476" t="s">
        <v>480</v>
      </c>
      <c r="M476" s="2">
        <v>167078.95000000001</v>
      </c>
      <c r="N476" s="4">
        <f t="shared" si="34"/>
        <v>0</v>
      </c>
    </row>
    <row r="477" spans="1:14" x14ac:dyDescent="0.2">
      <c r="A477" t="s">
        <v>6</v>
      </c>
      <c r="B477">
        <v>4180</v>
      </c>
      <c r="C477">
        <v>7</v>
      </c>
      <c r="D477" t="s">
        <v>481</v>
      </c>
      <c r="E477" s="5">
        <v>1119018.27</v>
      </c>
      <c r="F477" s="5">
        <v>97354.59</v>
      </c>
      <c r="G477" s="2">
        <f t="shared" si="32"/>
        <v>97362.65</v>
      </c>
      <c r="H477" s="4">
        <f t="shared" si="33"/>
        <v>8.0599999999976717</v>
      </c>
      <c r="I477">
        <f t="shared" si="35"/>
        <v>0</v>
      </c>
      <c r="J477">
        <v>4180</v>
      </c>
      <c r="K477">
        <v>7</v>
      </c>
      <c r="L477" t="s">
        <v>481</v>
      </c>
      <c r="M477" s="2">
        <v>97362.65</v>
      </c>
      <c r="N477" s="4">
        <f t="shared" si="34"/>
        <v>0</v>
      </c>
    </row>
    <row r="478" spans="1:14" x14ac:dyDescent="0.2">
      <c r="A478" t="s">
        <v>6</v>
      </c>
      <c r="B478">
        <v>4181</v>
      </c>
      <c r="C478">
        <v>7</v>
      </c>
      <c r="D478" t="s">
        <v>482</v>
      </c>
      <c r="E478" s="5">
        <v>1466263.35</v>
      </c>
      <c r="F478" s="5">
        <v>127564.91</v>
      </c>
      <c r="G478" s="2">
        <f>ROUND(E478*$G$485,2)</f>
        <v>127575.47</v>
      </c>
      <c r="H478" s="4">
        <f t="shared" si="33"/>
        <v>10.559999999997672</v>
      </c>
      <c r="I478">
        <f t="shared" si="35"/>
        <v>0</v>
      </c>
      <c r="J478">
        <v>4181</v>
      </c>
      <c r="K478">
        <v>7</v>
      </c>
      <c r="L478" t="s">
        <v>482</v>
      </c>
      <c r="M478" s="2">
        <v>127575.47</v>
      </c>
      <c r="N478" s="4">
        <f t="shared" si="34"/>
        <v>0</v>
      </c>
    </row>
    <row r="479" spans="1:14" x14ac:dyDescent="0.2">
      <c r="I479">
        <f>SUM(I341:I478)</f>
        <v>0</v>
      </c>
    </row>
    <row r="480" spans="1:14" x14ac:dyDescent="0.2">
      <c r="D480" t="s">
        <v>489</v>
      </c>
      <c r="E480" s="4">
        <f>SUM(E3:E338)</f>
        <v>5537362553.0900002</v>
      </c>
      <c r="F480" s="4">
        <f>SUM(F3:F338)</f>
        <v>481672792.54000008</v>
      </c>
      <c r="G480" s="4">
        <f>SUM(G3:G338)</f>
        <v>481790425.58999991</v>
      </c>
      <c r="H480" s="4">
        <f>SUM(H3:H338)</f>
        <v>117633.05000000182</v>
      </c>
      <c r="M480" s="4">
        <f>SUM(M3:M338)</f>
        <v>481790425.58999991</v>
      </c>
    </row>
    <row r="481" spans="2:13" x14ac:dyDescent="0.2">
      <c r="D481" t="s">
        <v>490</v>
      </c>
      <c r="E481" s="4">
        <f>SUM(E341:E478)</f>
        <v>209288126.65000015</v>
      </c>
      <c r="F481" s="4">
        <f>SUM(F341:F478)</f>
        <v>18208067.060000002</v>
      </c>
      <c r="G481" s="4">
        <f>SUM(G341:G478)</f>
        <v>18209574.389999997</v>
      </c>
      <c r="H481" s="4">
        <f>SUM(H341:H478)</f>
        <v>1507.3299999997207</v>
      </c>
      <c r="M481" s="4">
        <f>SUM(M341:M478)</f>
        <v>18209574.389999997</v>
      </c>
    </row>
    <row r="483" spans="2:13" x14ac:dyDescent="0.2">
      <c r="D483" t="s">
        <v>491</v>
      </c>
      <c r="E483" s="4">
        <f>SUM(E480:E481)</f>
        <v>5746650679.7400007</v>
      </c>
      <c r="F483" s="4">
        <f>SUM(F480:F481)</f>
        <v>499880859.60000008</v>
      </c>
      <c r="G483" s="4">
        <f>SUM(G480:G481)</f>
        <v>499999999.9799999</v>
      </c>
      <c r="H483" s="4">
        <f>SUM(H480:H481)</f>
        <v>119140.38000000155</v>
      </c>
      <c r="M483" s="4">
        <f>SUM(M480:M481)</f>
        <v>499999999.9799999</v>
      </c>
    </row>
    <row r="484" spans="2:13" x14ac:dyDescent="0.2">
      <c r="E484" s="4"/>
      <c r="F484" s="4"/>
      <c r="G484" s="2">
        <v>500000000</v>
      </c>
    </row>
    <row r="485" spans="2:13" x14ac:dyDescent="0.2">
      <c r="G485" s="11">
        <f>ROUND(G484/E483,10)</f>
        <v>8.70072026E-2</v>
      </c>
    </row>
    <row r="486" spans="2:13" x14ac:dyDescent="0.2">
      <c r="G486" s="11"/>
    </row>
    <row r="487" spans="2:13" x14ac:dyDescent="0.2">
      <c r="G487" s="2">
        <v>481790425.58999991</v>
      </c>
    </row>
    <row r="488" spans="2:13" x14ac:dyDescent="0.2">
      <c r="E488" s="2">
        <v>5537756890.9300013</v>
      </c>
      <c r="G488" s="2">
        <v>18209574.389999997</v>
      </c>
    </row>
    <row r="489" spans="2:13" x14ac:dyDescent="0.2">
      <c r="E489" s="2">
        <v>210297220.31000012</v>
      </c>
    </row>
    <row r="490" spans="2:13" x14ac:dyDescent="0.2">
      <c r="E490" s="2"/>
    </row>
    <row r="491" spans="2:13" x14ac:dyDescent="0.2">
      <c r="B491" t="s">
        <v>534</v>
      </c>
      <c r="E491" s="2">
        <v>5748054111.2400017</v>
      </c>
    </row>
    <row r="493" spans="2:13" x14ac:dyDescent="0.2">
      <c r="B493" t="s">
        <v>493</v>
      </c>
      <c r="E493" s="4">
        <f>E489-E481</f>
        <v>1009093.6599999666</v>
      </c>
    </row>
    <row r="494" spans="2:13" x14ac:dyDescent="0.2">
      <c r="B494" t="s">
        <v>495</v>
      </c>
    </row>
    <row r="495" spans="2:13" x14ac:dyDescent="0.2">
      <c r="B495">
        <v>4101</v>
      </c>
      <c r="C495">
        <v>7</v>
      </c>
      <c r="D495" t="s">
        <v>486</v>
      </c>
      <c r="E495" s="10">
        <v>63286.27</v>
      </c>
      <c r="F495" s="9">
        <v>-5505.02</v>
      </c>
    </row>
    <row r="496" spans="2:13" x14ac:dyDescent="0.2">
      <c r="B496">
        <v>4148</v>
      </c>
      <c r="C496">
        <v>7</v>
      </c>
      <c r="D496" t="s">
        <v>487</v>
      </c>
      <c r="E496" s="2">
        <v>945807.39</v>
      </c>
      <c r="F496" s="2">
        <v>-82271.960000000006</v>
      </c>
    </row>
    <row r="497" spans="2:6" x14ac:dyDescent="0.2">
      <c r="E497" s="4"/>
    </row>
    <row r="498" spans="2:6" x14ac:dyDescent="0.2">
      <c r="B498" t="s">
        <v>535</v>
      </c>
      <c r="E498" s="4">
        <f>E488-E480</f>
        <v>394337.84000110626</v>
      </c>
    </row>
    <row r="499" spans="2:6" x14ac:dyDescent="0.2">
      <c r="B499" t="s">
        <v>495</v>
      </c>
      <c r="E499" s="4"/>
    </row>
    <row r="500" spans="2:6" x14ac:dyDescent="0.2">
      <c r="B500">
        <v>160</v>
      </c>
      <c r="C500">
        <v>70</v>
      </c>
      <c r="D500" s="7" t="s">
        <v>494</v>
      </c>
      <c r="E500" s="9">
        <v>394337.76</v>
      </c>
      <c r="F500" s="9">
        <v>-34301.85</v>
      </c>
    </row>
  </sheetData>
  <phoneticPr fontId="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"/>
  <sheetViews>
    <sheetView workbookViewId="0">
      <pane xSplit="4" ySplit="1" topLeftCell="E314" activePane="bottomRight" state="frozen"/>
      <selection activeCell="D45" sqref="D45"/>
      <selection pane="topRight" activeCell="D45" sqref="D45"/>
      <selection pane="bottomLeft" activeCell="D45" sqref="D45"/>
      <selection pane="bottomRight" activeCell="D45" sqref="D45"/>
    </sheetView>
  </sheetViews>
  <sheetFormatPr defaultRowHeight="12.75" x14ac:dyDescent="0.2"/>
  <cols>
    <col min="1" max="1" width="7.7109375" bestFit="1" customWidth="1"/>
    <col min="2" max="2" width="8.5703125" bestFit="1" customWidth="1"/>
    <col min="3" max="3" width="7.28515625" bestFit="1" customWidth="1"/>
    <col min="4" max="4" width="43" bestFit="1" customWidth="1"/>
    <col min="5" max="5" width="16.140625" bestFit="1" customWidth="1"/>
    <col min="6" max="6" width="16.71093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343</v>
      </c>
    </row>
    <row r="2" spans="1:6" x14ac:dyDescent="0.2">
      <c r="A2" t="s">
        <v>6</v>
      </c>
      <c r="B2">
        <v>1</v>
      </c>
      <c r="C2">
        <v>1</v>
      </c>
      <c r="D2" t="s">
        <v>7</v>
      </c>
      <c r="E2" s="2">
        <v>9328153.3599999994</v>
      </c>
      <c r="F2" s="2">
        <v>811418.37</v>
      </c>
    </row>
    <row r="3" spans="1:6" x14ac:dyDescent="0.2">
      <c r="A3" t="s">
        <v>6</v>
      </c>
      <c r="B3">
        <v>1</v>
      </c>
      <c r="C3">
        <v>3</v>
      </c>
      <c r="D3" t="s">
        <v>8</v>
      </c>
      <c r="E3" s="2">
        <v>294798519.26999998</v>
      </c>
      <c r="F3" s="2">
        <v>25643331.940000001</v>
      </c>
    </row>
    <row r="4" spans="1:6" x14ac:dyDescent="0.2">
      <c r="A4" t="s">
        <v>6</v>
      </c>
      <c r="B4">
        <v>2</v>
      </c>
      <c r="C4">
        <v>1</v>
      </c>
      <c r="D4" t="s">
        <v>9</v>
      </c>
      <c r="E4" s="2">
        <v>2766922.62</v>
      </c>
      <c r="F4" s="2">
        <v>240683.42</v>
      </c>
    </row>
    <row r="5" spans="1:6" x14ac:dyDescent="0.2">
      <c r="A5" t="s">
        <v>6</v>
      </c>
      <c r="B5">
        <v>4</v>
      </c>
      <c r="C5">
        <v>1</v>
      </c>
      <c r="D5" t="s">
        <v>10</v>
      </c>
      <c r="E5" s="2">
        <v>3657448.83</v>
      </c>
      <c r="F5" s="2">
        <v>318146.69</v>
      </c>
    </row>
    <row r="6" spans="1:6" x14ac:dyDescent="0.2">
      <c r="A6" t="s">
        <v>6</v>
      </c>
      <c r="B6">
        <v>6</v>
      </c>
      <c r="C6">
        <v>3</v>
      </c>
      <c r="D6" t="s">
        <v>11</v>
      </c>
      <c r="E6" s="2">
        <v>23262965.870000001</v>
      </c>
      <c r="F6" s="2">
        <v>2023551.4</v>
      </c>
    </row>
    <row r="7" spans="1:6" x14ac:dyDescent="0.2">
      <c r="A7" t="s">
        <v>6</v>
      </c>
      <c r="B7">
        <v>11</v>
      </c>
      <c r="C7">
        <v>1</v>
      </c>
      <c r="D7" t="s">
        <v>12</v>
      </c>
      <c r="E7" s="2">
        <v>264601342.59</v>
      </c>
      <c r="F7" s="2">
        <v>23016601.559999999</v>
      </c>
    </row>
    <row r="8" spans="1:6" x14ac:dyDescent="0.2">
      <c r="A8" t="s">
        <v>6</v>
      </c>
      <c r="B8">
        <v>12</v>
      </c>
      <c r="C8">
        <v>1</v>
      </c>
      <c r="D8" t="s">
        <v>13</v>
      </c>
      <c r="E8" s="2">
        <v>45771927.670000002</v>
      </c>
      <c r="F8" s="2">
        <v>3981515.03</v>
      </c>
    </row>
    <row r="9" spans="1:6" x14ac:dyDescent="0.2">
      <c r="A9" t="s">
        <v>6</v>
      </c>
      <c r="B9">
        <v>13</v>
      </c>
      <c r="C9">
        <v>1</v>
      </c>
      <c r="D9" t="s">
        <v>14</v>
      </c>
      <c r="E9" s="2">
        <v>22123909.879999999</v>
      </c>
      <c r="F9" s="2">
        <v>1924469.52</v>
      </c>
    </row>
    <row r="10" spans="1:6" x14ac:dyDescent="0.2">
      <c r="A10" t="s">
        <v>6</v>
      </c>
      <c r="B10">
        <v>14</v>
      </c>
      <c r="C10">
        <v>1</v>
      </c>
      <c r="D10" t="s">
        <v>15</v>
      </c>
      <c r="E10" s="2">
        <v>19584387.93</v>
      </c>
      <c r="F10" s="2">
        <v>1703566.77</v>
      </c>
    </row>
    <row r="11" spans="1:6" x14ac:dyDescent="0.2">
      <c r="A11" t="s">
        <v>6</v>
      </c>
      <c r="B11">
        <v>15</v>
      </c>
      <c r="C11">
        <v>1</v>
      </c>
      <c r="D11" t="s">
        <v>16</v>
      </c>
      <c r="E11" s="2">
        <v>38514928.890000001</v>
      </c>
      <c r="F11" s="2">
        <v>3350258.03</v>
      </c>
    </row>
    <row r="12" spans="1:6" x14ac:dyDescent="0.2">
      <c r="A12" t="s">
        <v>6</v>
      </c>
      <c r="B12">
        <v>16</v>
      </c>
      <c r="C12">
        <v>1</v>
      </c>
      <c r="D12" t="s">
        <v>17</v>
      </c>
      <c r="E12" s="2">
        <v>31292831.18</v>
      </c>
      <c r="F12" s="2">
        <v>2722036.93</v>
      </c>
    </row>
    <row r="13" spans="1:6" x14ac:dyDescent="0.2">
      <c r="A13" t="s">
        <v>6</v>
      </c>
      <c r="B13">
        <v>22</v>
      </c>
      <c r="C13">
        <v>1</v>
      </c>
      <c r="D13" t="s">
        <v>18</v>
      </c>
      <c r="E13" s="2">
        <v>18319097.809999999</v>
      </c>
      <c r="F13" s="2">
        <v>1593504.29</v>
      </c>
    </row>
    <row r="14" spans="1:6" x14ac:dyDescent="0.2">
      <c r="A14" t="s">
        <v>6</v>
      </c>
      <c r="B14">
        <v>23</v>
      </c>
      <c r="C14">
        <v>1</v>
      </c>
      <c r="D14" t="s">
        <v>19</v>
      </c>
      <c r="E14" s="2">
        <v>6750946.0700000003</v>
      </c>
      <c r="F14" s="2">
        <v>587237.52</v>
      </c>
    </row>
    <row r="15" spans="1:6" x14ac:dyDescent="0.2">
      <c r="A15" t="s">
        <v>6</v>
      </c>
      <c r="B15">
        <v>25</v>
      </c>
      <c r="C15">
        <v>1</v>
      </c>
      <c r="D15" t="s">
        <v>20</v>
      </c>
      <c r="E15" s="2">
        <v>703111.69</v>
      </c>
      <c r="F15" s="2">
        <v>61160.84</v>
      </c>
    </row>
    <row r="16" spans="1:6" x14ac:dyDescent="0.2">
      <c r="A16" t="s">
        <v>6</v>
      </c>
      <c r="B16">
        <v>31</v>
      </c>
      <c r="C16">
        <v>1</v>
      </c>
      <c r="D16" t="s">
        <v>21</v>
      </c>
      <c r="E16" s="2">
        <v>33285009.010000002</v>
      </c>
      <c r="F16" s="2">
        <v>2895328.43</v>
      </c>
    </row>
    <row r="17" spans="1:6" x14ac:dyDescent="0.2">
      <c r="A17" t="s">
        <v>6</v>
      </c>
      <c r="B17">
        <v>32</v>
      </c>
      <c r="C17">
        <v>1</v>
      </c>
      <c r="D17" t="s">
        <v>22</v>
      </c>
      <c r="E17" s="2">
        <v>5224015.0199999996</v>
      </c>
      <c r="F17" s="2">
        <v>454415.96</v>
      </c>
    </row>
    <row r="18" spans="1:6" x14ac:dyDescent="0.2">
      <c r="A18" t="s">
        <v>6</v>
      </c>
      <c r="B18">
        <v>36</v>
      </c>
      <c r="C18">
        <v>1</v>
      </c>
      <c r="D18" t="s">
        <v>23</v>
      </c>
      <c r="E18" s="2">
        <v>2831595.59</v>
      </c>
      <c r="F18" s="2">
        <v>246309.06</v>
      </c>
    </row>
    <row r="19" spans="1:6" x14ac:dyDescent="0.2">
      <c r="A19" t="s">
        <v>6</v>
      </c>
      <c r="B19">
        <v>38</v>
      </c>
      <c r="C19">
        <v>1</v>
      </c>
      <c r="D19" t="s">
        <v>24</v>
      </c>
      <c r="E19" s="2">
        <v>11701654.779999999</v>
      </c>
      <c r="F19" s="2">
        <v>1017879.66</v>
      </c>
    </row>
    <row r="20" spans="1:6" x14ac:dyDescent="0.2">
      <c r="A20" t="s">
        <v>6</v>
      </c>
      <c r="B20">
        <v>47</v>
      </c>
      <c r="C20">
        <v>1</v>
      </c>
      <c r="D20" t="s">
        <v>25</v>
      </c>
      <c r="E20" s="2">
        <v>23919347.190000001</v>
      </c>
      <c r="F20" s="2">
        <v>2080647.36</v>
      </c>
    </row>
    <row r="21" spans="1:6" x14ac:dyDescent="0.2">
      <c r="A21" t="s">
        <v>6</v>
      </c>
      <c r="B21">
        <v>51</v>
      </c>
      <c r="C21">
        <v>1</v>
      </c>
      <c r="D21" t="s">
        <v>26</v>
      </c>
      <c r="E21" s="2">
        <v>10962757.48</v>
      </c>
      <c r="F21" s="2">
        <v>953605.97</v>
      </c>
    </row>
    <row r="22" spans="1:6" x14ac:dyDescent="0.2">
      <c r="A22" t="s">
        <v>6</v>
      </c>
      <c r="B22">
        <v>75</v>
      </c>
      <c r="C22">
        <v>1</v>
      </c>
      <c r="D22" t="s">
        <v>27</v>
      </c>
      <c r="E22" s="2">
        <v>4013758.68</v>
      </c>
      <c r="F22" s="2">
        <v>349140.65</v>
      </c>
    </row>
    <row r="23" spans="1:6" x14ac:dyDescent="0.2">
      <c r="A23" t="s">
        <v>6</v>
      </c>
      <c r="B23">
        <v>77</v>
      </c>
      <c r="C23">
        <v>1</v>
      </c>
      <c r="D23" t="s">
        <v>28</v>
      </c>
      <c r="E23" s="2">
        <v>47753478.630000003</v>
      </c>
      <c r="F23" s="2">
        <v>4153882.14</v>
      </c>
    </row>
    <row r="24" spans="1:6" x14ac:dyDescent="0.2">
      <c r="A24" t="s">
        <v>6</v>
      </c>
      <c r="B24">
        <v>81</v>
      </c>
      <c r="C24">
        <v>1</v>
      </c>
      <c r="D24" t="s">
        <v>29</v>
      </c>
      <c r="E24" s="2">
        <v>1107975.04</v>
      </c>
      <c r="F24" s="2">
        <v>96378.27</v>
      </c>
    </row>
    <row r="25" spans="1:6" x14ac:dyDescent="0.2">
      <c r="A25" t="s">
        <v>6</v>
      </c>
      <c r="B25">
        <v>84</v>
      </c>
      <c r="C25">
        <v>1</v>
      </c>
      <c r="D25" t="s">
        <v>30</v>
      </c>
      <c r="E25" s="2">
        <v>4791215.55</v>
      </c>
      <c r="F25" s="2">
        <v>416768.48</v>
      </c>
    </row>
    <row r="26" spans="1:6" x14ac:dyDescent="0.2">
      <c r="A26" t="s">
        <v>6</v>
      </c>
      <c r="B26">
        <v>85</v>
      </c>
      <c r="C26">
        <v>1</v>
      </c>
      <c r="D26" t="s">
        <v>31</v>
      </c>
      <c r="E26" s="2">
        <v>4048622.9</v>
      </c>
      <c r="F26" s="2">
        <v>352173.35</v>
      </c>
    </row>
    <row r="27" spans="1:6" x14ac:dyDescent="0.2">
      <c r="A27" t="s">
        <v>6</v>
      </c>
      <c r="B27">
        <v>88</v>
      </c>
      <c r="C27">
        <v>1</v>
      </c>
      <c r="D27" t="s">
        <v>32</v>
      </c>
      <c r="E27" s="2">
        <v>13827462.58</v>
      </c>
      <c r="F27" s="2">
        <v>1202795.0900000001</v>
      </c>
    </row>
    <row r="28" spans="1:6" x14ac:dyDescent="0.2">
      <c r="A28" t="s">
        <v>6</v>
      </c>
      <c r="B28">
        <v>91</v>
      </c>
      <c r="C28">
        <v>1</v>
      </c>
      <c r="D28" t="s">
        <v>33</v>
      </c>
      <c r="E28" s="2">
        <v>4777300.3600000003</v>
      </c>
      <c r="F28" s="2">
        <v>415558.05</v>
      </c>
    </row>
    <row r="29" spans="1:6" x14ac:dyDescent="0.2">
      <c r="A29" t="s">
        <v>6</v>
      </c>
      <c r="B29">
        <v>93</v>
      </c>
      <c r="C29">
        <v>1</v>
      </c>
      <c r="D29" t="s">
        <v>34</v>
      </c>
      <c r="E29" s="2">
        <v>4149454.88</v>
      </c>
      <c r="F29" s="2">
        <v>360944.31</v>
      </c>
    </row>
    <row r="30" spans="1:6" x14ac:dyDescent="0.2">
      <c r="A30" t="s">
        <v>6</v>
      </c>
      <c r="B30">
        <v>94</v>
      </c>
      <c r="C30">
        <v>1</v>
      </c>
      <c r="D30" t="s">
        <v>35</v>
      </c>
      <c r="E30" s="2">
        <v>17938946.800000001</v>
      </c>
      <c r="F30" s="2">
        <v>1560436.49</v>
      </c>
    </row>
    <row r="31" spans="1:6" x14ac:dyDescent="0.2">
      <c r="A31" t="s">
        <v>6</v>
      </c>
      <c r="B31">
        <v>95</v>
      </c>
      <c r="C31">
        <v>1</v>
      </c>
      <c r="D31" t="s">
        <v>36</v>
      </c>
      <c r="E31" s="2">
        <v>2589685.4900000002</v>
      </c>
      <c r="F31" s="2">
        <v>225266.28</v>
      </c>
    </row>
    <row r="32" spans="1:6" x14ac:dyDescent="0.2">
      <c r="A32" t="s">
        <v>6</v>
      </c>
      <c r="B32">
        <v>97</v>
      </c>
      <c r="C32">
        <v>1</v>
      </c>
      <c r="D32" t="s">
        <v>37</v>
      </c>
      <c r="E32" s="2">
        <v>4964273.46</v>
      </c>
      <c r="F32" s="2">
        <v>431822.09</v>
      </c>
    </row>
    <row r="33" spans="1:6" x14ac:dyDescent="0.2">
      <c r="A33" t="s">
        <v>6</v>
      </c>
      <c r="B33">
        <v>99</v>
      </c>
      <c r="C33">
        <v>1</v>
      </c>
      <c r="D33" t="s">
        <v>38</v>
      </c>
      <c r="E33" s="2">
        <v>7290763.1200000001</v>
      </c>
      <c r="F33" s="2">
        <v>634194.02</v>
      </c>
    </row>
    <row r="34" spans="1:6" x14ac:dyDescent="0.2">
      <c r="A34" t="s">
        <v>6</v>
      </c>
      <c r="B34">
        <v>100</v>
      </c>
      <c r="C34">
        <v>1</v>
      </c>
      <c r="D34" t="s">
        <v>39</v>
      </c>
      <c r="E34" s="2">
        <v>2276453.91</v>
      </c>
      <c r="F34" s="2">
        <v>198019.53</v>
      </c>
    </row>
    <row r="35" spans="1:6" x14ac:dyDescent="0.2">
      <c r="A35" t="s">
        <v>6</v>
      </c>
      <c r="B35">
        <v>108</v>
      </c>
      <c r="C35">
        <v>1</v>
      </c>
      <c r="D35" t="s">
        <v>40</v>
      </c>
      <c r="E35" s="2">
        <v>6986442.8399999999</v>
      </c>
      <c r="F35" s="2">
        <v>607722.43000000005</v>
      </c>
    </row>
    <row r="36" spans="1:6" x14ac:dyDescent="0.2">
      <c r="A36" t="s">
        <v>6</v>
      </c>
      <c r="B36">
        <v>110</v>
      </c>
      <c r="C36">
        <v>1</v>
      </c>
      <c r="D36" t="s">
        <v>41</v>
      </c>
      <c r="E36" s="2">
        <v>18710844.699999999</v>
      </c>
      <c r="F36" s="2">
        <v>1627580.77</v>
      </c>
    </row>
    <row r="37" spans="1:6" x14ac:dyDescent="0.2">
      <c r="A37" t="s">
        <v>6</v>
      </c>
      <c r="B37">
        <v>111</v>
      </c>
      <c r="C37">
        <v>1</v>
      </c>
      <c r="D37" t="s">
        <v>42</v>
      </c>
      <c r="E37" s="2">
        <v>10478602.869999999</v>
      </c>
      <c r="F37" s="2">
        <v>911491.32</v>
      </c>
    </row>
    <row r="38" spans="1:6" x14ac:dyDescent="0.2">
      <c r="A38" t="s">
        <v>6</v>
      </c>
      <c r="B38">
        <v>112</v>
      </c>
      <c r="C38">
        <v>1</v>
      </c>
      <c r="D38" t="s">
        <v>43</v>
      </c>
      <c r="E38" s="2">
        <v>56770389.479999997</v>
      </c>
      <c r="F38" s="2">
        <v>4938226.78</v>
      </c>
    </row>
    <row r="39" spans="1:6" x14ac:dyDescent="0.2">
      <c r="A39" t="s">
        <v>6</v>
      </c>
      <c r="B39">
        <v>113</v>
      </c>
      <c r="C39">
        <v>1</v>
      </c>
      <c r="D39" t="s">
        <v>44</v>
      </c>
      <c r="E39" s="2">
        <v>6365281.71</v>
      </c>
      <c r="F39" s="2">
        <v>553690.13</v>
      </c>
    </row>
    <row r="40" spans="1:6" x14ac:dyDescent="0.2">
      <c r="A40" t="s">
        <v>6</v>
      </c>
      <c r="B40">
        <v>115</v>
      </c>
      <c r="C40">
        <v>1</v>
      </c>
      <c r="D40" t="s">
        <v>45</v>
      </c>
      <c r="E40" s="2">
        <v>9403896.3100000005</v>
      </c>
      <c r="F40" s="2">
        <v>818006.94</v>
      </c>
    </row>
    <row r="41" spans="1:6" x14ac:dyDescent="0.2">
      <c r="A41" t="s">
        <v>6</v>
      </c>
      <c r="B41">
        <v>116</v>
      </c>
      <c r="C41">
        <v>1</v>
      </c>
      <c r="D41" t="s">
        <v>46</v>
      </c>
      <c r="E41" s="2">
        <v>5556607.75</v>
      </c>
      <c r="F41" s="2">
        <v>483346.85</v>
      </c>
    </row>
    <row r="42" spans="1:6" x14ac:dyDescent="0.2">
      <c r="A42" t="s">
        <v>6</v>
      </c>
      <c r="B42">
        <v>118</v>
      </c>
      <c r="C42">
        <v>1</v>
      </c>
      <c r="D42" t="s">
        <v>47</v>
      </c>
      <c r="E42" s="2">
        <v>4122306.45</v>
      </c>
      <c r="F42" s="2">
        <v>358582.78</v>
      </c>
    </row>
    <row r="43" spans="1:6" x14ac:dyDescent="0.2">
      <c r="A43" t="s">
        <v>6</v>
      </c>
      <c r="B43">
        <v>129</v>
      </c>
      <c r="C43">
        <v>1</v>
      </c>
      <c r="D43" t="s">
        <v>48</v>
      </c>
      <c r="E43" s="2">
        <v>10622835.41</v>
      </c>
      <c r="F43" s="2">
        <v>924037.53</v>
      </c>
    </row>
    <row r="44" spans="1:6" x14ac:dyDescent="0.2">
      <c r="A44" t="s">
        <v>6</v>
      </c>
      <c r="B44">
        <v>138</v>
      </c>
      <c r="C44">
        <v>1</v>
      </c>
      <c r="D44" t="s">
        <v>49</v>
      </c>
      <c r="E44" s="2">
        <v>24894662.449999999</v>
      </c>
      <c r="F44" s="2">
        <v>2165486.09</v>
      </c>
    </row>
    <row r="45" spans="1:6" x14ac:dyDescent="0.2">
      <c r="A45" t="s">
        <v>6</v>
      </c>
      <c r="B45">
        <v>139</v>
      </c>
      <c r="C45">
        <v>1</v>
      </c>
      <c r="D45" t="s">
        <v>50</v>
      </c>
      <c r="E45" s="2">
        <v>6178459.2400000002</v>
      </c>
      <c r="F45" s="2">
        <v>537439.19999999995</v>
      </c>
    </row>
    <row r="46" spans="1:6" x14ac:dyDescent="0.2">
      <c r="A46" t="s">
        <v>6</v>
      </c>
      <c r="B46">
        <v>146</v>
      </c>
      <c r="C46">
        <v>1</v>
      </c>
      <c r="D46" t="s">
        <v>51</v>
      </c>
      <c r="E46" s="2">
        <v>5381438.3399999999</v>
      </c>
      <c r="F46" s="2">
        <v>468109.58</v>
      </c>
    </row>
    <row r="47" spans="1:6" x14ac:dyDescent="0.2">
      <c r="A47" t="s">
        <v>6</v>
      </c>
      <c r="B47">
        <v>150</v>
      </c>
      <c r="C47">
        <v>1</v>
      </c>
      <c r="D47" t="s">
        <v>52</v>
      </c>
      <c r="E47" s="2">
        <v>5921082.2800000003</v>
      </c>
      <c r="F47" s="2">
        <v>515051.02</v>
      </c>
    </row>
    <row r="48" spans="1:6" x14ac:dyDescent="0.2">
      <c r="A48" t="s">
        <v>6</v>
      </c>
      <c r="B48">
        <v>152</v>
      </c>
      <c r="C48">
        <v>1</v>
      </c>
      <c r="D48" t="s">
        <v>53</v>
      </c>
      <c r="E48" s="2">
        <v>36330345.409999996</v>
      </c>
      <c r="F48" s="2">
        <v>3160229.94</v>
      </c>
    </row>
    <row r="49" spans="1:6" x14ac:dyDescent="0.2">
      <c r="A49" t="s">
        <v>6</v>
      </c>
      <c r="B49">
        <v>162</v>
      </c>
      <c r="C49">
        <v>1</v>
      </c>
      <c r="D49" t="s">
        <v>54</v>
      </c>
      <c r="E49" s="2">
        <v>7520934.0700000003</v>
      </c>
      <c r="F49" s="2">
        <v>654215.66</v>
      </c>
    </row>
    <row r="50" spans="1:6" x14ac:dyDescent="0.2">
      <c r="A50" t="s">
        <v>6</v>
      </c>
      <c r="B50">
        <v>166</v>
      </c>
      <c r="C50">
        <v>1</v>
      </c>
      <c r="D50" t="s">
        <v>55</v>
      </c>
      <c r="E50" s="2">
        <v>4582830.83</v>
      </c>
      <c r="F50" s="2">
        <v>398641.94</v>
      </c>
    </row>
    <row r="51" spans="1:6" x14ac:dyDescent="0.2">
      <c r="A51" t="s">
        <v>6</v>
      </c>
      <c r="B51">
        <v>173</v>
      </c>
      <c r="C51">
        <v>1</v>
      </c>
      <c r="D51" t="s">
        <v>56</v>
      </c>
      <c r="E51" s="2">
        <v>3563392.7</v>
      </c>
      <c r="F51" s="2">
        <v>309965.13</v>
      </c>
    </row>
    <row r="52" spans="1:6" x14ac:dyDescent="0.2">
      <c r="A52" t="s">
        <v>6</v>
      </c>
      <c r="B52">
        <v>177</v>
      </c>
      <c r="C52">
        <v>1</v>
      </c>
      <c r="D52" t="s">
        <v>57</v>
      </c>
      <c r="E52" s="2">
        <v>6613691.2800000003</v>
      </c>
      <c r="F52" s="2">
        <v>575298.28</v>
      </c>
    </row>
    <row r="53" spans="1:6" x14ac:dyDescent="0.2">
      <c r="A53" t="s">
        <v>6</v>
      </c>
      <c r="B53">
        <v>181</v>
      </c>
      <c r="C53">
        <v>1</v>
      </c>
      <c r="D53" t="s">
        <v>58</v>
      </c>
      <c r="E53" s="2">
        <v>49764601.039999999</v>
      </c>
      <c r="F53" s="2">
        <v>4328821.55</v>
      </c>
    </row>
    <row r="54" spans="1:6" x14ac:dyDescent="0.2">
      <c r="A54" t="s">
        <v>6</v>
      </c>
      <c r="B54">
        <v>182</v>
      </c>
      <c r="C54">
        <v>1</v>
      </c>
      <c r="D54" t="s">
        <v>59</v>
      </c>
      <c r="E54" s="2">
        <v>8572276.0299999993</v>
      </c>
      <c r="F54" s="2">
        <v>745667.65</v>
      </c>
    </row>
    <row r="55" spans="1:6" x14ac:dyDescent="0.2">
      <c r="A55" t="s">
        <v>6</v>
      </c>
      <c r="B55">
        <v>186</v>
      </c>
      <c r="C55">
        <v>1</v>
      </c>
      <c r="D55" t="s">
        <v>60</v>
      </c>
      <c r="E55" s="2">
        <v>10435381.09</v>
      </c>
      <c r="F55" s="2">
        <v>907731.63</v>
      </c>
    </row>
    <row r="56" spans="1:6" x14ac:dyDescent="0.2">
      <c r="A56" t="s">
        <v>6</v>
      </c>
      <c r="B56">
        <v>191</v>
      </c>
      <c r="C56">
        <v>1</v>
      </c>
      <c r="D56" t="s">
        <v>61</v>
      </c>
      <c r="E56" s="2">
        <v>70865310.709999993</v>
      </c>
      <c r="F56" s="2">
        <v>6164287.0199999996</v>
      </c>
    </row>
    <row r="57" spans="1:6" x14ac:dyDescent="0.2">
      <c r="A57" t="s">
        <v>6</v>
      </c>
      <c r="B57">
        <v>192</v>
      </c>
      <c r="C57">
        <v>1</v>
      </c>
      <c r="D57" t="s">
        <v>62</v>
      </c>
      <c r="E57" s="2">
        <v>40949415.670000002</v>
      </c>
      <c r="F57" s="2">
        <v>3562024.2</v>
      </c>
    </row>
    <row r="58" spans="1:6" x14ac:dyDescent="0.2">
      <c r="A58" t="s">
        <v>6</v>
      </c>
      <c r="B58">
        <v>194</v>
      </c>
      <c r="C58">
        <v>1</v>
      </c>
      <c r="D58" t="s">
        <v>63</v>
      </c>
      <c r="E58" s="2">
        <v>70774219.709999993</v>
      </c>
      <c r="F58" s="2">
        <v>6156363.3799999999</v>
      </c>
    </row>
    <row r="59" spans="1:6" x14ac:dyDescent="0.2">
      <c r="A59" t="s">
        <v>6</v>
      </c>
      <c r="B59">
        <v>195</v>
      </c>
      <c r="C59">
        <v>1</v>
      </c>
      <c r="D59" t="s">
        <v>64</v>
      </c>
      <c r="E59" s="2">
        <v>3422634.02</v>
      </c>
      <c r="F59" s="2">
        <v>297721.09999999998</v>
      </c>
    </row>
    <row r="60" spans="1:6" x14ac:dyDescent="0.2">
      <c r="A60" t="s">
        <v>6</v>
      </c>
      <c r="B60">
        <v>196</v>
      </c>
      <c r="C60">
        <v>1</v>
      </c>
      <c r="D60" t="s">
        <v>65</v>
      </c>
      <c r="E60" s="2">
        <v>184307886.22</v>
      </c>
      <c r="F60" s="2">
        <v>16032198.25</v>
      </c>
    </row>
    <row r="61" spans="1:6" x14ac:dyDescent="0.2">
      <c r="A61" t="s">
        <v>6</v>
      </c>
      <c r="B61">
        <v>197</v>
      </c>
      <c r="C61">
        <v>1</v>
      </c>
      <c r="D61" t="s">
        <v>66</v>
      </c>
      <c r="E61" s="2">
        <v>29971805.370000001</v>
      </c>
      <c r="F61" s="2">
        <v>2607126.2400000002</v>
      </c>
    </row>
    <row r="62" spans="1:6" x14ac:dyDescent="0.2">
      <c r="A62" t="s">
        <v>6</v>
      </c>
      <c r="B62">
        <v>199</v>
      </c>
      <c r="C62">
        <v>1</v>
      </c>
      <c r="D62" t="s">
        <v>67</v>
      </c>
      <c r="E62" s="2">
        <v>24793751.300000001</v>
      </c>
      <c r="F62" s="2">
        <v>2156708.2400000002</v>
      </c>
    </row>
    <row r="63" spans="1:6" x14ac:dyDescent="0.2">
      <c r="A63" t="s">
        <v>6</v>
      </c>
      <c r="B63">
        <v>200</v>
      </c>
      <c r="C63">
        <v>1</v>
      </c>
      <c r="D63" t="s">
        <v>68</v>
      </c>
      <c r="E63" s="2">
        <v>32493650.649999999</v>
      </c>
      <c r="F63" s="2">
        <v>2826491.37</v>
      </c>
    </row>
    <row r="64" spans="1:6" x14ac:dyDescent="0.2">
      <c r="A64" t="s">
        <v>6</v>
      </c>
      <c r="B64">
        <v>203</v>
      </c>
      <c r="C64">
        <v>1</v>
      </c>
      <c r="D64" t="s">
        <v>69</v>
      </c>
      <c r="E64" s="2">
        <v>5671496.8300000001</v>
      </c>
      <c r="F64" s="2">
        <v>493340.59</v>
      </c>
    </row>
    <row r="65" spans="1:6" x14ac:dyDescent="0.2">
      <c r="A65" t="s">
        <v>6</v>
      </c>
      <c r="B65">
        <v>204</v>
      </c>
      <c r="C65">
        <v>1</v>
      </c>
      <c r="D65" t="s">
        <v>70</v>
      </c>
      <c r="E65" s="2">
        <v>12942676.560000001</v>
      </c>
      <c r="F65" s="2">
        <v>1125831.1299999999</v>
      </c>
    </row>
    <row r="66" spans="1:6" x14ac:dyDescent="0.2">
      <c r="A66" t="s">
        <v>6</v>
      </c>
      <c r="B66">
        <v>206</v>
      </c>
      <c r="C66">
        <v>1</v>
      </c>
      <c r="D66" t="s">
        <v>71</v>
      </c>
      <c r="E66" s="2">
        <v>26882855.940000001</v>
      </c>
      <c r="F66" s="2">
        <v>2338431.0099999998</v>
      </c>
    </row>
    <row r="67" spans="1:6" x14ac:dyDescent="0.2">
      <c r="A67" t="s">
        <v>6</v>
      </c>
      <c r="B67">
        <v>207</v>
      </c>
      <c r="C67">
        <v>1</v>
      </c>
      <c r="D67" t="s">
        <v>72</v>
      </c>
      <c r="E67" s="2">
        <v>2083722</v>
      </c>
      <c r="F67" s="2">
        <v>181254.56</v>
      </c>
    </row>
    <row r="68" spans="1:6" x14ac:dyDescent="0.2">
      <c r="A68" t="s">
        <v>6</v>
      </c>
      <c r="B68">
        <v>208</v>
      </c>
      <c r="C68">
        <v>1</v>
      </c>
      <c r="D68" t="s">
        <v>73</v>
      </c>
      <c r="E68" s="2">
        <v>1207264.82</v>
      </c>
      <c r="F68" s="2">
        <v>105015.09</v>
      </c>
    </row>
    <row r="69" spans="1:6" x14ac:dyDescent="0.2">
      <c r="A69" t="s">
        <v>6</v>
      </c>
      <c r="B69">
        <v>213</v>
      </c>
      <c r="C69">
        <v>1</v>
      </c>
      <c r="D69" t="s">
        <v>74</v>
      </c>
      <c r="E69" s="2">
        <v>5003964.83</v>
      </c>
      <c r="F69" s="2">
        <v>435274.68</v>
      </c>
    </row>
    <row r="70" spans="1:6" x14ac:dyDescent="0.2">
      <c r="A70" t="s">
        <v>6</v>
      </c>
      <c r="B70">
        <v>227</v>
      </c>
      <c r="C70">
        <v>1</v>
      </c>
      <c r="D70" t="s">
        <v>75</v>
      </c>
      <c r="E70" s="2">
        <v>5789751.71</v>
      </c>
      <c r="F70" s="2">
        <v>503627.11</v>
      </c>
    </row>
    <row r="71" spans="1:6" x14ac:dyDescent="0.2">
      <c r="A71" t="s">
        <v>6</v>
      </c>
      <c r="B71">
        <v>229</v>
      </c>
      <c r="C71">
        <v>1</v>
      </c>
      <c r="D71" t="s">
        <v>76</v>
      </c>
      <c r="E71" s="2">
        <v>2472913</v>
      </c>
      <c r="F71" s="2">
        <v>215108.71</v>
      </c>
    </row>
    <row r="72" spans="1:6" x14ac:dyDescent="0.2">
      <c r="A72" t="s">
        <v>6</v>
      </c>
      <c r="B72">
        <v>238</v>
      </c>
      <c r="C72">
        <v>1</v>
      </c>
      <c r="D72" t="s">
        <v>77</v>
      </c>
      <c r="E72" s="2">
        <v>2155235.85</v>
      </c>
      <c r="F72" s="2">
        <v>187475.26</v>
      </c>
    </row>
    <row r="73" spans="1:6" x14ac:dyDescent="0.2">
      <c r="A73" t="s">
        <v>6</v>
      </c>
      <c r="B73">
        <v>239</v>
      </c>
      <c r="C73">
        <v>1</v>
      </c>
      <c r="D73" t="s">
        <v>78</v>
      </c>
      <c r="E73" s="2">
        <v>4550467.13</v>
      </c>
      <c r="F73" s="2">
        <v>395826.75</v>
      </c>
    </row>
    <row r="74" spans="1:6" x14ac:dyDescent="0.2">
      <c r="A74" t="s">
        <v>6</v>
      </c>
      <c r="B74">
        <v>241</v>
      </c>
      <c r="C74">
        <v>1</v>
      </c>
      <c r="D74" t="s">
        <v>79</v>
      </c>
      <c r="E74" s="2">
        <v>24421009.620000001</v>
      </c>
      <c r="F74" s="2">
        <v>2124284.94</v>
      </c>
    </row>
    <row r="75" spans="1:6" x14ac:dyDescent="0.2">
      <c r="A75" t="s">
        <v>6</v>
      </c>
      <c r="B75">
        <v>242</v>
      </c>
      <c r="C75">
        <v>1</v>
      </c>
      <c r="D75" t="s">
        <v>80</v>
      </c>
      <c r="E75" s="2">
        <v>2983552.86</v>
      </c>
      <c r="F75" s="2">
        <v>259527.21</v>
      </c>
    </row>
    <row r="76" spans="1:6" x14ac:dyDescent="0.2">
      <c r="A76" t="s">
        <v>6</v>
      </c>
      <c r="B76">
        <v>252</v>
      </c>
      <c r="C76">
        <v>1</v>
      </c>
      <c r="D76" t="s">
        <v>81</v>
      </c>
      <c r="E76" s="2">
        <v>8388430.1200000001</v>
      </c>
      <c r="F76" s="2">
        <v>729675.64</v>
      </c>
    </row>
    <row r="77" spans="1:6" x14ac:dyDescent="0.2">
      <c r="A77" t="s">
        <v>6</v>
      </c>
      <c r="B77">
        <v>253</v>
      </c>
      <c r="C77">
        <v>1</v>
      </c>
      <c r="D77" t="s">
        <v>82</v>
      </c>
      <c r="E77" s="2">
        <v>4233434.8499999996</v>
      </c>
      <c r="F77" s="2">
        <v>368249.39</v>
      </c>
    </row>
    <row r="78" spans="1:6" x14ac:dyDescent="0.2">
      <c r="A78" t="s">
        <v>6</v>
      </c>
      <c r="B78">
        <v>255</v>
      </c>
      <c r="C78">
        <v>1</v>
      </c>
      <c r="D78" t="s">
        <v>83</v>
      </c>
      <c r="E78" s="2">
        <v>8002177.9900000002</v>
      </c>
      <c r="F78" s="2">
        <v>696077.13</v>
      </c>
    </row>
    <row r="79" spans="1:6" x14ac:dyDescent="0.2">
      <c r="A79" t="s">
        <v>6</v>
      </c>
      <c r="B79">
        <v>256</v>
      </c>
      <c r="C79">
        <v>1</v>
      </c>
      <c r="D79" t="s">
        <v>84</v>
      </c>
      <c r="E79" s="2">
        <v>18870545.98</v>
      </c>
      <c r="F79" s="2">
        <v>1641472.54</v>
      </c>
    </row>
    <row r="80" spans="1:6" x14ac:dyDescent="0.2">
      <c r="A80" t="s">
        <v>6</v>
      </c>
      <c r="B80">
        <v>261</v>
      </c>
      <c r="C80">
        <v>1</v>
      </c>
      <c r="D80" t="s">
        <v>85</v>
      </c>
      <c r="E80" s="2">
        <v>1803283.23</v>
      </c>
      <c r="F80" s="2">
        <v>156860.32</v>
      </c>
    </row>
    <row r="81" spans="1:6" x14ac:dyDescent="0.2">
      <c r="A81" t="s">
        <v>6</v>
      </c>
      <c r="B81">
        <v>264</v>
      </c>
      <c r="C81">
        <v>1</v>
      </c>
      <c r="D81" t="s">
        <v>86</v>
      </c>
      <c r="E81" s="2">
        <v>1095049.8400000001</v>
      </c>
      <c r="F81" s="2">
        <v>95253.96</v>
      </c>
    </row>
    <row r="82" spans="1:6" x14ac:dyDescent="0.2">
      <c r="A82" t="s">
        <v>6</v>
      </c>
      <c r="B82">
        <v>270</v>
      </c>
      <c r="C82">
        <v>1</v>
      </c>
      <c r="D82" t="s">
        <v>87</v>
      </c>
      <c r="E82" s="2">
        <v>52450634.030000001</v>
      </c>
      <c r="F82" s="2">
        <v>4562468.71</v>
      </c>
    </row>
    <row r="83" spans="1:6" x14ac:dyDescent="0.2">
      <c r="A83" t="s">
        <v>6</v>
      </c>
      <c r="B83">
        <v>271</v>
      </c>
      <c r="C83">
        <v>1</v>
      </c>
      <c r="D83" t="s">
        <v>88</v>
      </c>
      <c r="E83" s="2">
        <v>70213016.079999998</v>
      </c>
      <c r="F83" s="2">
        <v>6107546.5499999998</v>
      </c>
    </row>
    <row r="84" spans="1:6" x14ac:dyDescent="0.2">
      <c r="A84" t="s">
        <v>6</v>
      </c>
      <c r="B84">
        <v>272</v>
      </c>
      <c r="C84">
        <v>1</v>
      </c>
      <c r="D84" t="s">
        <v>89</v>
      </c>
      <c r="E84" s="2">
        <v>65503747.100000001</v>
      </c>
      <c r="F84" s="2">
        <v>5697906.2699999996</v>
      </c>
    </row>
    <row r="85" spans="1:6" x14ac:dyDescent="0.2">
      <c r="A85" t="s">
        <v>6</v>
      </c>
      <c r="B85">
        <v>273</v>
      </c>
      <c r="C85">
        <v>1</v>
      </c>
      <c r="D85" t="s">
        <v>90</v>
      </c>
      <c r="E85" s="2">
        <v>48456113.549999997</v>
      </c>
      <c r="F85" s="2">
        <v>4215001.51</v>
      </c>
    </row>
    <row r="86" spans="1:6" x14ac:dyDescent="0.2">
      <c r="A86" t="s">
        <v>6</v>
      </c>
      <c r="B86">
        <v>276</v>
      </c>
      <c r="C86">
        <v>1</v>
      </c>
      <c r="D86" t="s">
        <v>91</v>
      </c>
      <c r="E86" s="2">
        <v>51815271.880000003</v>
      </c>
      <c r="F86" s="2">
        <v>4507201.12</v>
      </c>
    </row>
    <row r="87" spans="1:6" x14ac:dyDescent="0.2">
      <c r="A87" t="s">
        <v>6</v>
      </c>
      <c r="B87">
        <v>277</v>
      </c>
      <c r="C87">
        <v>1</v>
      </c>
      <c r="D87" t="s">
        <v>92</v>
      </c>
      <c r="E87" s="2">
        <v>14407446.43</v>
      </c>
      <c r="F87" s="2">
        <v>1253245.55</v>
      </c>
    </row>
    <row r="88" spans="1:6" x14ac:dyDescent="0.2">
      <c r="A88" t="s">
        <v>6</v>
      </c>
      <c r="B88">
        <v>278</v>
      </c>
      <c r="C88">
        <v>1</v>
      </c>
      <c r="D88" t="s">
        <v>93</v>
      </c>
      <c r="E88" s="2">
        <v>17443482.800000001</v>
      </c>
      <c r="F88" s="2">
        <v>1517338.08</v>
      </c>
    </row>
    <row r="89" spans="1:6" x14ac:dyDescent="0.2">
      <c r="A89" t="s">
        <v>6</v>
      </c>
      <c r="B89">
        <v>279</v>
      </c>
      <c r="C89">
        <v>1</v>
      </c>
      <c r="D89" t="s">
        <v>94</v>
      </c>
      <c r="E89" s="2">
        <v>154194390.36000001</v>
      </c>
      <c r="F89" s="2">
        <v>13412746.93</v>
      </c>
    </row>
    <row r="90" spans="1:6" x14ac:dyDescent="0.2">
      <c r="A90" t="s">
        <v>6</v>
      </c>
      <c r="B90">
        <v>280</v>
      </c>
      <c r="C90">
        <v>1</v>
      </c>
      <c r="D90" t="s">
        <v>95</v>
      </c>
      <c r="E90" s="2">
        <v>30774775.25</v>
      </c>
      <c r="F90" s="2">
        <v>2676973.34</v>
      </c>
    </row>
    <row r="91" spans="1:6" x14ac:dyDescent="0.2">
      <c r="A91" t="s">
        <v>6</v>
      </c>
      <c r="B91">
        <v>281</v>
      </c>
      <c r="C91">
        <v>1</v>
      </c>
      <c r="D91" t="s">
        <v>96</v>
      </c>
      <c r="E91" s="2">
        <v>91148060.409999996</v>
      </c>
      <c r="F91" s="2">
        <v>7928601.4500000002</v>
      </c>
    </row>
    <row r="92" spans="1:6" x14ac:dyDescent="0.2">
      <c r="A92" t="s">
        <v>6</v>
      </c>
      <c r="B92">
        <v>282</v>
      </c>
      <c r="C92">
        <v>1</v>
      </c>
      <c r="D92" t="s">
        <v>97</v>
      </c>
      <c r="E92" s="2">
        <v>11470890.85</v>
      </c>
      <c r="F92" s="2">
        <v>997806.44</v>
      </c>
    </row>
    <row r="93" spans="1:6" x14ac:dyDescent="0.2">
      <c r="A93" t="s">
        <v>6</v>
      </c>
      <c r="B93">
        <v>283</v>
      </c>
      <c r="C93">
        <v>1</v>
      </c>
      <c r="D93" t="s">
        <v>98</v>
      </c>
      <c r="E93" s="2">
        <v>29326079.850000001</v>
      </c>
      <c r="F93" s="2">
        <v>2550957.1800000002</v>
      </c>
    </row>
    <row r="94" spans="1:6" x14ac:dyDescent="0.2">
      <c r="A94" t="s">
        <v>6</v>
      </c>
      <c r="B94">
        <v>284</v>
      </c>
      <c r="C94">
        <v>1</v>
      </c>
      <c r="D94" t="s">
        <v>99</v>
      </c>
      <c r="E94" s="2">
        <v>66040372.5</v>
      </c>
      <c r="F94" s="2">
        <v>5744585.1399999997</v>
      </c>
    </row>
    <row r="95" spans="1:6" x14ac:dyDescent="0.2">
      <c r="A95" t="s">
        <v>6</v>
      </c>
      <c r="B95">
        <v>286</v>
      </c>
      <c r="C95">
        <v>1</v>
      </c>
      <c r="D95" t="s">
        <v>100</v>
      </c>
      <c r="E95" s="2">
        <v>14228786.34</v>
      </c>
      <c r="F95" s="2">
        <v>1237704.6299999999</v>
      </c>
    </row>
    <row r="96" spans="1:6" x14ac:dyDescent="0.2">
      <c r="A96" t="s">
        <v>6</v>
      </c>
      <c r="B96">
        <v>294</v>
      </c>
      <c r="C96">
        <v>1</v>
      </c>
      <c r="D96" t="s">
        <v>101</v>
      </c>
      <c r="E96" s="2">
        <v>8802665.2300000004</v>
      </c>
      <c r="F96" s="2">
        <v>765708.28</v>
      </c>
    </row>
    <row r="97" spans="1:6" x14ac:dyDescent="0.2">
      <c r="A97" t="s">
        <v>6</v>
      </c>
      <c r="B97">
        <v>297</v>
      </c>
      <c r="C97">
        <v>1</v>
      </c>
      <c r="D97" t="s">
        <v>102</v>
      </c>
      <c r="E97" s="2">
        <v>2231786.66</v>
      </c>
      <c r="F97" s="2">
        <v>194134.1</v>
      </c>
    </row>
    <row r="98" spans="1:6" x14ac:dyDescent="0.2">
      <c r="A98" t="s">
        <v>6</v>
      </c>
      <c r="B98">
        <v>299</v>
      </c>
      <c r="C98">
        <v>1</v>
      </c>
      <c r="D98" t="s">
        <v>103</v>
      </c>
      <c r="E98" s="2">
        <v>5488022.8099999996</v>
      </c>
      <c r="F98" s="2">
        <v>477380.93</v>
      </c>
    </row>
    <row r="99" spans="1:6" x14ac:dyDescent="0.2">
      <c r="A99" t="s">
        <v>6</v>
      </c>
      <c r="B99">
        <v>300</v>
      </c>
      <c r="C99">
        <v>1</v>
      </c>
      <c r="D99" t="s">
        <v>104</v>
      </c>
      <c r="E99" s="2">
        <v>9699093.4600000009</v>
      </c>
      <c r="F99" s="2">
        <v>843684.95</v>
      </c>
    </row>
    <row r="100" spans="1:6" x14ac:dyDescent="0.2">
      <c r="A100" t="s">
        <v>6</v>
      </c>
      <c r="B100">
        <v>306</v>
      </c>
      <c r="C100">
        <v>1</v>
      </c>
      <c r="D100" t="s">
        <v>105</v>
      </c>
      <c r="E100" s="2">
        <v>2119739.52</v>
      </c>
      <c r="F100" s="2">
        <v>184387.58</v>
      </c>
    </row>
    <row r="101" spans="1:6" x14ac:dyDescent="0.2">
      <c r="A101" t="s">
        <v>6</v>
      </c>
      <c r="B101">
        <v>308</v>
      </c>
      <c r="C101">
        <v>1</v>
      </c>
      <c r="D101" t="s">
        <v>106</v>
      </c>
      <c r="E101" s="2">
        <v>3884423.44</v>
      </c>
      <c r="F101" s="2">
        <v>337890.3</v>
      </c>
    </row>
    <row r="102" spans="1:6" x14ac:dyDescent="0.2">
      <c r="A102" t="s">
        <v>6</v>
      </c>
      <c r="B102">
        <v>309</v>
      </c>
      <c r="C102">
        <v>1</v>
      </c>
      <c r="D102" t="s">
        <v>107</v>
      </c>
      <c r="E102" s="2">
        <v>11177399.99</v>
      </c>
      <c r="F102" s="2">
        <v>972276.86</v>
      </c>
    </row>
    <row r="103" spans="1:6" x14ac:dyDescent="0.2">
      <c r="A103" t="s">
        <v>6</v>
      </c>
      <c r="B103">
        <v>314</v>
      </c>
      <c r="C103">
        <v>1</v>
      </c>
      <c r="D103" t="s">
        <v>108</v>
      </c>
      <c r="E103" s="2">
        <v>6399664.2999999998</v>
      </c>
      <c r="F103" s="2">
        <v>556680.93999999994</v>
      </c>
    </row>
    <row r="104" spans="1:6" x14ac:dyDescent="0.2">
      <c r="A104" t="s">
        <v>6</v>
      </c>
      <c r="B104">
        <v>316</v>
      </c>
      <c r="C104">
        <v>1</v>
      </c>
      <c r="D104" t="s">
        <v>109</v>
      </c>
      <c r="E104" s="2">
        <v>8233106.9100000001</v>
      </c>
      <c r="F104" s="2">
        <v>716164.7</v>
      </c>
    </row>
    <row r="105" spans="1:6" x14ac:dyDescent="0.2">
      <c r="A105" t="s">
        <v>6</v>
      </c>
      <c r="B105">
        <v>317</v>
      </c>
      <c r="C105">
        <v>1</v>
      </c>
      <c r="D105" t="s">
        <v>110</v>
      </c>
      <c r="E105" s="2">
        <v>7217422.3099999996</v>
      </c>
      <c r="F105" s="2">
        <v>627814.40000000002</v>
      </c>
    </row>
    <row r="106" spans="1:6" x14ac:dyDescent="0.2">
      <c r="A106" t="s">
        <v>6</v>
      </c>
      <c r="B106">
        <v>318</v>
      </c>
      <c r="C106">
        <v>1</v>
      </c>
      <c r="D106" t="s">
        <v>111</v>
      </c>
      <c r="E106" s="2">
        <v>26819494.870000001</v>
      </c>
      <c r="F106" s="2">
        <v>2332919.48</v>
      </c>
    </row>
    <row r="107" spans="1:6" x14ac:dyDescent="0.2">
      <c r="A107" t="s">
        <v>6</v>
      </c>
      <c r="B107">
        <v>319</v>
      </c>
      <c r="C107">
        <v>1</v>
      </c>
      <c r="D107" t="s">
        <v>112</v>
      </c>
      <c r="E107" s="2">
        <v>4504709.0599999996</v>
      </c>
      <c r="F107" s="2">
        <v>391846.44</v>
      </c>
    </row>
    <row r="108" spans="1:6" x14ac:dyDescent="0.2">
      <c r="A108" t="s">
        <v>6</v>
      </c>
      <c r="B108">
        <v>323</v>
      </c>
      <c r="C108">
        <v>2</v>
      </c>
      <c r="D108" t="s">
        <v>113</v>
      </c>
      <c r="E108" s="2">
        <v>217007.94</v>
      </c>
      <c r="F108" s="2">
        <v>18876.64</v>
      </c>
    </row>
    <row r="109" spans="1:6" x14ac:dyDescent="0.2">
      <c r="A109" t="s">
        <v>6</v>
      </c>
      <c r="B109">
        <v>330</v>
      </c>
      <c r="C109">
        <v>1</v>
      </c>
      <c r="D109" t="s">
        <v>114</v>
      </c>
      <c r="E109" s="2">
        <v>2560127.5</v>
      </c>
      <c r="F109" s="2">
        <v>222695.15</v>
      </c>
    </row>
    <row r="110" spans="1:6" x14ac:dyDescent="0.2">
      <c r="A110" t="s">
        <v>6</v>
      </c>
      <c r="B110">
        <v>332</v>
      </c>
      <c r="C110">
        <v>1</v>
      </c>
      <c r="D110" t="s">
        <v>115</v>
      </c>
      <c r="E110" s="2">
        <v>12738160.710000001</v>
      </c>
      <c r="F110" s="2">
        <v>1108041.1299999999</v>
      </c>
    </row>
    <row r="111" spans="1:6" x14ac:dyDescent="0.2">
      <c r="A111" t="s">
        <v>6</v>
      </c>
      <c r="B111">
        <v>333</v>
      </c>
      <c r="C111">
        <v>1</v>
      </c>
      <c r="D111" t="s">
        <v>116</v>
      </c>
      <c r="E111" s="2">
        <v>4420792.7</v>
      </c>
      <c r="F111" s="2">
        <v>384546.89</v>
      </c>
    </row>
    <row r="112" spans="1:6" x14ac:dyDescent="0.2">
      <c r="A112" t="s">
        <v>6</v>
      </c>
      <c r="B112">
        <v>345</v>
      </c>
      <c r="C112">
        <v>1</v>
      </c>
      <c r="D112" t="s">
        <v>117</v>
      </c>
      <c r="E112" s="2">
        <v>10401678.189999999</v>
      </c>
      <c r="F112" s="2">
        <v>904799.95</v>
      </c>
    </row>
    <row r="113" spans="1:6" x14ac:dyDescent="0.2">
      <c r="A113" t="s">
        <v>6</v>
      </c>
      <c r="B113">
        <v>347</v>
      </c>
      <c r="C113">
        <v>1</v>
      </c>
      <c r="D113" t="s">
        <v>118</v>
      </c>
      <c r="E113" s="2">
        <v>29359812.899999999</v>
      </c>
      <c r="F113" s="2">
        <v>2553891.48</v>
      </c>
    </row>
    <row r="114" spans="1:6" x14ac:dyDescent="0.2">
      <c r="A114" t="s">
        <v>6</v>
      </c>
      <c r="B114">
        <v>356</v>
      </c>
      <c r="C114">
        <v>1</v>
      </c>
      <c r="D114" t="s">
        <v>119</v>
      </c>
      <c r="E114" s="2">
        <v>1626425.79</v>
      </c>
      <c r="F114" s="2">
        <v>141476.21</v>
      </c>
    </row>
    <row r="115" spans="1:6" x14ac:dyDescent="0.2">
      <c r="A115" t="s">
        <v>6</v>
      </c>
      <c r="B115">
        <v>361</v>
      </c>
      <c r="C115">
        <v>1</v>
      </c>
      <c r="D115" t="s">
        <v>120</v>
      </c>
      <c r="E115" s="2">
        <v>9422960.7200000007</v>
      </c>
      <c r="F115" s="2">
        <v>819665.28</v>
      </c>
    </row>
    <row r="116" spans="1:6" x14ac:dyDescent="0.2">
      <c r="A116" t="s">
        <v>6</v>
      </c>
      <c r="B116">
        <v>362</v>
      </c>
      <c r="C116">
        <v>1</v>
      </c>
      <c r="D116" t="s">
        <v>121</v>
      </c>
      <c r="E116" s="2">
        <v>3087047.56</v>
      </c>
      <c r="F116" s="2">
        <v>268529.78999999998</v>
      </c>
    </row>
    <row r="117" spans="1:6" x14ac:dyDescent="0.2">
      <c r="A117" t="s">
        <v>6</v>
      </c>
      <c r="B117">
        <v>363</v>
      </c>
      <c r="C117">
        <v>1</v>
      </c>
      <c r="D117" t="s">
        <v>122</v>
      </c>
      <c r="E117" s="2">
        <v>4076213.88</v>
      </c>
      <c r="F117" s="2">
        <v>354573.37</v>
      </c>
    </row>
    <row r="118" spans="1:6" x14ac:dyDescent="0.2">
      <c r="A118" t="s">
        <v>6</v>
      </c>
      <c r="B118">
        <v>378</v>
      </c>
      <c r="C118">
        <v>1</v>
      </c>
      <c r="D118" t="s">
        <v>123</v>
      </c>
      <c r="E118" s="2">
        <v>3531957.89</v>
      </c>
      <c r="F118" s="2">
        <v>307230.74</v>
      </c>
    </row>
    <row r="119" spans="1:6" x14ac:dyDescent="0.2">
      <c r="A119" t="s">
        <v>6</v>
      </c>
      <c r="B119">
        <v>381</v>
      </c>
      <c r="C119">
        <v>1</v>
      </c>
      <c r="D119" t="s">
        <v>124</v>
      </c>
      <c r="E119" s="2">
        <v>11052067.960000001</v>
      </c>
      <c r="F119" s="2">
        <v>961374.73</v>
      </c>
    </row>
    <row r="120" spans="1:6" x14ac:dyDescent="0.2">
      <c r="A120" t="s">
        <v>6</v>
      </c>
      <c r="B120">
        <v>390</v>
      </c>
      <c r="C120">
        <v>1</v>
      </c>
      <c r="D120" t="s">
        <v>125</v>
      </c>
      <c r="E120" s="2">
        <v>4422877.1500000004</v>
      </c>
      <c r="F120" s="2">
        <v>384728.21</v>
      </c>
    </row>
    <row r="121" spans="1:6" x14ac:dyDescent="0.2">
      <c r="A121" t="s">
        <v>6</v>
      </c>
      <c r="B121">
        <v>391</v>
      </c>
      <c r="C121">
        <v>1</v>
      </c>
      <c r="D121" t="s">
        <v>126</v>
      </c>
      <c r="E121" s="2">
        <v>2798971.7</v>
      </c>
      <c r="F121" s="2">
        <v>243471.24</v>
      </c>
    </row>
    <row r="122" spans="1:6" x14ac:dyDescent="0.2">
      <c r="A122" t="s">
        <v>6</v>
      </c>
      <c r="B122">
        <v>392</v>
      </c>
      <c r="C122">
        <v>1</v>
      </c>
      <c r="D122" t="s">
        <v>127</v>
      </c>
      <c r="E122" s="2">
        <v>4551734.74</v>
      </c>
      <c r="F122" s="2">
        <v>395937.01</v>
      </c>
    </row>
    <row r="123" spans="1:6" x14ac:dyDescent="0.2">
      <c r="A123" t="s">
        <v>6</v>
      </c>
      <c r="B123">
        <v>394</v>
      </c>
      <c r="C123">
        <v>1</v>
      </c>
      <c r="D123" t="s">
        <v>128</v>
      </c>
      <c r="E123" s="2">
        <v>7140942.3399999999</v>
      </c>
      <c r="F123" s="2">
        <v>621161.72</v>
      </c>
    </row>
    <row r="124" spans="1:6" x14ac:dyDescent="0.2">
      <c r="A124" t="s">
        <v>6</v>
      </c>
      <c r="B124">
        <v>402</v>
      </c>
      <c r="C124">
        <v>1</v>
      </c>
      <c r="D124" t="s">
        <v>129</v>
      </c>
      <c r="E124" s="2">
        <v>1196663.1299999999</v>
      </c>
      <c r="F124" s="2">
        <v>104092.89</v>
      </c>
    </row>
    <row r="125" spans="1:6" x14ac:dyDescent="0.2">
      <c r="A125" t="s">
        <v>6</v>
      </c>
      <c r="B125">
        <v>403</v>
      </c>
      <c r="C125">
        <v>1</v>
      </c>
      <c r="D125" t="s">
        <v>130</v>
      </c>
      <c r="E125" s="2">
        <v>1318825.54</v>
      </c>
      <c r="F125" s="2">
        <v>114719.3</v>
      </c>
    </row>
    <row r="126" spans="1:6" x14ac:dyDescent="0.2">
      <c r="A126" t="s">
        <v>6</v>
      </c>
      <c r="B126">
        <v>404</v>
      </c>
      <c r="C126">
        <v>1</v>
      </c>
      <c r="D126" t="s">
        <v>131</v>
      </c>
      <c r="E126" s="2">
        <v>1399461.63</v>
      </c>
      <c r="F126" s="2">
        <v>121733.51</v>
      </c>
    </row>
    <row r="127" spans="1:6" x14ac:dyDescent="0.2">
      <c r="A127" t="s">
        <v>6</v>
      </c>
      <c r="B127">
        <v>413</v>
      </c>
      <c r="C127">
        <v>1</v>
      </c>
      <c r="D127" t="s">
        <v>132</v>
      </c>
      <c r="E127" s="2">
        <v>15409387.460000001</v>
      </c>
      <c r="F127" s="2">
        <v>1340400.3500000001</v>
      </c>
    </row>
    <row r="128" spans="1:6" x14ac:dyDescent="0.2">
      <c r="A128" t="s">
        <v>6</v>
      </c>
      <c r="B128">
        <v>414</v>
      </c>
      <c r="C128">
        <v>1</v>
      </c>
      <c r="D128" t="s">
        <v>133</v>
      </c>
      <c r="E128" s="2">
        <v>3266306.58</v>
      </c>
      <c r="F128" s="2">
        <v>284122.81</v>
      </c>
    </row>
    <row r="129" spans="1:6" x14ac:dyDescent="0.2">
      <c r="A129" t="s">
        <v>6</v>
      </c>
      <c r="B129">
        <v>415</v>
      </c>
      <c r="C129">
        <v>1</v>
      </c>
      <c r="D129" t="s">
        <v>134</v>
      </c>
      <c r="E129" s="2">
        <v>1275318.8600000001</v>
      </c>
      <c r="F129" s="2">
        <v>110934.83</v>
      </c>
    </row>
    <row r="130" spans="1:6" x14ac:dyDescent="0.2">
      <c r="A130" t="s">
        <v>6</v>
      </c>
      <c r="B130">
        <v>423</v>
      </c>
      <c r="C130">
        <v>1</v>
      </c>
      <c r="D130" t="s">
        <v>135</v>
      </c>
      <c r="E130" s="2">
        <v>19405960.469999999</v>
      </c>
      <c r="F130" s="2">
        <v>1688046.08</v>
      </c>
    </row>
    <row r="131" spans="1:6" x14ac:dyDescent="0.2">
      <c r="A131" t="s">
        <v>6</v>
      </c>
      <c r="B131">
        <v>424</v>
      </c>
      <c r="C131">
        <v>1</v>
      </c>
      <c r="D131" t="s">
        <v>136</v>
      </c>
      <c r="E131" s="2">
        <v>2963244.29</v>
      </c>
      <c r="F131" s="2">
        <v>257760.65</v>
      </c>
    </row>
    <row r="132" spans="1:6" x14ac:dyDescent="0.2">
      <c r="A132" t="s">
        <v>6</v>
      </c>
      <c r="B132">
        <v>432</v>
      </c>
      <c r="C132">
        <v>1</v>
      </c>
      <c r="D132" t="s">
        <v>137</v>
      </c>
      <c r="E132" s="2">
        <v>5400865.3300000001</v>
      </c>
      <c r="F132" s="2">
        <v>469799.45</v>
      </c>
    </row>
    <row r="133" spans="1:6" x14ac:dyDescent="0.2">
      <c r="A133" t="s">
        <v>6</v>
      </c>
      <c r="B133">
        <v>435</v>
      </c>
      <c r="C133">
        <v>1</v>
      </c>
      <c r="D133" t="s">
        <v>138</v>
      </c>
      <c r="E133" s="2">
        <v>5138450.3099999996</v>
      </c>
      <c r="F133" s="2">
        <v>446973.03</v>
      </c>
    </row>
    <row r="134" spans="1:6" x14ac:dyDescent="0.2">
      <c r="A134" t="s">
        <v>6</v>
      </c>
      <c r="B134">
        <v>441</v>
      </c>
      <c r="C134">
        <v>1</v>
      </c>
      <c r="D134" t="s">
        <v>139</v>
      </c>
      <c r="E134" s="2">
        <v>3070229.57</v>
      </c>
      <c r="F134" s="2">
        <v>267066.86</v>
      </c>
    </row>
    <row r="135" spans="1:6" x14ac:dyDescent="0.2">
      <c r="A135" t="s">
        <v>6</v>
      </c>
      <c r="B135">
        <v>447</v>
      </c>
      <c r="C135">
        <v>1</v>
      </c>
      <c r="D135" t="s">
        <v>140</v>
      </c>
      <c r="E135" s="2">
        <v>2165896.7999999998</v>
      </c>
      <c r="F135" s="2">
        <v>188402.61</v>
      </c>
    </row>
    <row r="136" spans="1:6" x14ac:dyDescent="0.2">
      <c r="A136" t="s">
        <v>6</v>
      </c>
      <c r="B136">
        <v>458</v>
      </c>
      <c r="C136">
        <v>1</v>
      </c>
      <c r="D136" t="s">
        <v>141</v>
      </c>
      <c r="E136" s="2">
        <v>2373910.94</v>
      </c>
      <c r="F136" s="2">
        <v>206496.92</v>
      </c>
    </row>
    <row r="137" spans="1:6" x14ac:dyDescent="0.2">
      <c r="A137" t="s">
        <v>6</v>
      </c>
      <c r="B137">
        <v>463</v>
      </c>
      <c r="C137">
        <v>1</v>
      </c>
      <c r="D137" t="s">
        <v>142</v>
      </c>
      <c r="E137" s="2">
        <v>5901165.3200000003</v>
      </c>
      <c r="F137" s="2">
        <v>513318.53</v>
      </c>
    </row>
    <row r="138" spans="1:6" x14ac:dyDescent="0.2">
      <c r="A138" t="s">
        <v>6</v>
      </c>
      <c r="B138">
        <v>465</v>
      </c>
      <c r="C138">
        <v>1</v>
      </c>
      <c r="D138" t="s">
        <v>143</v>
      </c>
      <c r="E138" s="2">
        <v>11953938.619999999</v>
      </c>
      <c r="F138" s="2">
        <v>1039824.82</v>
      </c>
    </row>
    <row r="139" spans="1:6" x14ac:dyDescent="0.2">
      <c r="A139" t="s">
        <v>6</v>
      </c>
      <c r="B139">
        <v>466</v>
      </c>
      <c r="C139">
        <v>1</v>
      </c>
      <c r="D139" t="s">
        <v>144</v>
      </c>
      <c r="E139" s="2">
        <v>15363156.119999999</v>
      </c>
      <c r="F139" s="2">
        <v>1336378.8700000001</v>
      </c>
    </row>
    <row r="140" spans="1:6" x14ac:dyDescent="0.2">
      <c r="A140" t="s">
        <v>6</v>
      </c>
      <c r="B140">
        <v>473</v>
      </c>
      <c r="C140">
        <v>1</v>
      </c>
      <c r="D140" t="s">
        <v>145</v>
      </c>
      <c r="E140" s="2">
        <v>4122487.57</v>
      </c>
      <c r="F140" s="2">
        <v>358598.54</v>
      </c>
    </row>
    <row r="141" spans="1:6" x14ac:dyDescent="0.2">
      <c r="A141" t="s">
        <v>6</v>
      </c>
      <c r="B141">
        <v>477</v>
      </c>
      <c r="C141">
        <v>1</v>
      </c>
      <c r="D141" t="s">
        <v>146</v>
      </c>
      <c r="E141" s="2">
        <v>23360544.699999999</v>
      </c>
      <c r="F141" s="2">
        <v>2032039.39</v>
      </c>
    </row>
    <row r="142" spans="1:6" x14ac:dyDescent="0.2">
      <c r="A142" t="s">
        <v>6</v>
      </c>
      <c r="B142">
        <v>480</v>
      </c>
      <c r="C142">
        <v>1</v>
      </c>
      <c r="D142" t="s">
        <v>147</v>
      </c>
      <c r="E142" s="2">
        <v>5628118.6200000001</v>
      </c>
      <c r="F142" s="2">
        <v>489567.3</v>
      </c>
    </row>
    <row r="143" spans="1:6" x14ac:dyDescent="0.2">
      <c r="A143" t="s">
        <v>6</v>
      </c>
      <c r="B143">
        <v>482</v>
      </c>
      <c r="C143">
        <v>1</v>
      </c>
      <c r="D143" t="s">
        <v>148</v>
      </c>
      <c r="E143" s="2">
        <v>17487219.68</v>
      </c>
      <c r="F143" s="2">
        <v>1521142.58</v>
      </c>
    </row>
    <row r="144" spans="1:6" x14ac:dyDescent="0.2">
      <c r="A144" t="s">
        <v>6</v>
      </c>
      <c r="B144">
        <v>484</v>
      </c>
      <c r="C144">
        <v>1</v>
      </c>
      <c r="D144" t="s">
        <v>149</v>
      </c>
      <c r="E144" s="2">
        <v>7297465.5899999999</v>
      </c>
      <c r="F144" s="2">
        <v>634777.04</v>
      </c>
    </row>
    <row r="145" spans="1:6" x14ac:dyDescent="0.2">
      <c r="A145" t="s">
        <v>6</v>
      </c>
      <c r="B145">
        <v>485</v>
      </c>
      <c r="C145">
        <v>1</v>
      </c>
      <c r="D145" t="s">
        <v>150</v>
      </c>
      <c r="E145" s="2">
        <v>4748334.8</v>
      </c>
      <c r="F145" s="2">
        <v>413038.46</v>
      </c>
    </row>
    <row r="146" spans="1:6" x14ac:dyDescent="0.2">
      <c r="A146" t="s">
        <v>6</v>
      </c>
      <c r="B146">
        <v>486</v>
      </c>
      <c r="C146">
        <v>1</v>
      </c>
      <c r="D146" t="s">
        <v>151</v>
      </c>
      <c r="E146" s="2">
        <v>2477007.79</v>
      </c>
      <c r="F146" s="2">
        <v>215464.9</v>
      </c>
    </row>
    <row r="147" spans="1:6" x14ac:dyDescent="0.2">
      <c r="A147" t="s">
        <v>6</v>
      </c>
      <c r="B147">
        <v>487</v>
      </c>
      <c r="C147">
        <v>1</v>
      </c>
      <c r="D147" t="s">
        <v>152</v>
      </c>
      <c r="E147" s="2">
        <v>2689076.88</v>
      </c>
      <c r="F147" s="2">
        <v>233911.93</v>
      </c>
    </row>
    <row r="148" spans="1:6" x14ac:dyDescent="0.2">
      <c r="A148" t="s">
        <v>6</v>
      </c>
      <c r="B148">
        <v>492</v>
      </c>
      <c r="C148">
        <v>1</v>
      </c>
      <c r="D148" t="s">
        <v>153</v>
      </c>
      <c r="E148" s="2">
        <v>30305241.670000002</v>
      </c>
      <c r="F148" s="2">
        <v>2636130.5099999998</v>
      </c>
    </row>
    <row r="149" spans="1:6" x14ac:dyDescent="0.2">
      <c r="A149" t="s">
        <v>6</v>
      </c>
      <c r="B149">
        <v>495</v>
      </c>
      <c r="C149">
        <v>1</v>
      </c>
      <c r="D149" t="s">
        <v>154</v>
      </c>
      <c r="E149" s="2">
        <v>2502616.13</v>
      </c>
      <c r="F149" s="2">
        <v>217692.46</v>
      </c>
    </row>
    <row r="150" spans="1:6" x14ac:dyDescent="0.2">
      <c r="A150" t="s">
        <v>6</v>
      </c>
      <c r="B150">
        <v>497</v>
      </c>
      <c r="C150">
        <v>1</v>
      </c>
      <c r="D150" t="s">
        <v>155</v>
      </c>
      <c r="E150" s="2">
        <v>1768282.49</v>
      </c>
      <c r="F150" s="2">
        <v>153815.75</v>
      </c>
    </row>
    <row r="151" spans="1:6" x14ac:dyDescent="0.2">
      <c r="A151" t="s">
        <v>6</v>
      </c>
      <c r="B151">
        <v>499</v>
      </c>
      <c r="C151">
        <v>1</v>
      </c>
      <c r="D151" t="s">
        <v>156</v>
      </c>
      <c r="E151" s="2">
        <v>2111320.92</v>
      </c>
      <c r="F151" s="2">
        <v>183655.28</v>
      </c>
    </row>
    <row r="152" spans="1:6" x14ac:dyDescent="0.2">
      <c r="A152" t="s">
        <v>6</v>
      </c>
      <c r="B152">
        <v>500</v>
      </c>
      <c r="C152">
        <v>1</v>
      </c>
      <c r="D152" t="s">
        <v>157</v>
      </c>
      <c r="E152" s="2">
        <v>3943722.78</v>
      </c>
      <c r="F152" s="2">
        <v>343048.51</v>
      </c>
    </row>
    <row r="153" spans="1:6" x14ac:dyDescent="0.2">
      <c r="A153" t="s">
        <v>6</v>
      </c>
      <c r="B153">
        <v>505</v>
      </c>
      <c r="C153">
        <v>1</v>
      </c>
      <c r="D153" t="s">
        <v>158</v>
      </c>
      <c r="E153" s="2">
        <v>2979908.39</v>
      </c>
      <c r="F153" s="2">
        <v>259210.19</v>
      </c>
    </row>
    <row r="154" spans="1:6" x14ac:dyDescent="0.2">
      <c r="A154" t="s">
        <v>6</v>
      </c>
      <c r="B154">
        <v>507</v>
      </c>
      <c r="C154">
        <v>1</v>
      </c>
      <c r="D154" t="s">
        <v>159</v>
      </c>
      <c r="E154" s="2">
        <v>2057885.38</v>
      </c>
      <c r="F154" s="2">
        <v>179007.13</v>
      </c>
    </row>
    <row r="155" spans="1:6" x14ac:dyDescent="0.2">
      <c r="A155" t="s">
        <v>6</v>
      </c>
      <c r="B155">
        <v>508</v>
      </c>
      <c r="C155">
        <v>1</v>
      </c>
      <c r="D155" t="s">
        <v>160</v>
      </c>
      <c r="E155" s="2">
        <v>12443672</v>
      </c>
      <c r="F155" s="2">
        <v>1082424.74</v>
      </c>
    </row>
    <row r="156" spans="1:6" x14ac:dyDescent="0.2">
      <c r="A156" t="s">
        <v>6</v>
      </c>
      <c r="B156">
        <v>511</v>
      </c>
      <c r="C156">
        <v>1</v>
      </c>
      <c r="D156" t="s">
        <v>161</v>
      </c>
      <c r="E156" s="2">
        <v>4406521.5999999996</v>
      </c>
      <c r="F156" s="2">
        <v>383305.51</v>
      </c>
    </row>
    <row r="157" spans="1:6" x14ac:dyDescent="0.2">
      <c r="A157" t="s">
        <v>6</v>
      </c>
      <c r="B157">
        <v>513</v>
      </c>
      <c r="C157">
        <v>1</v>
      </c>
      <c r="D157" t="s">
        <v>162</v>
      </c>
      <c r="E157" s="2">
        <v>1158921.19</v>
      </c>
      <c r="F157" s="2">
        <v>100809.87</v>
      </c>
    </row>
    <row r="158" spans="1:6" x14ac:dyDescent="0.2">
      <c r="A158" t="s">
        <v>6</v>
      </c>
      <c r="B158">
        <v>514</v>
      </c>
      <c r="C158">
        <v>1</v>
      </c>
      <c r="D158" t="s">
        <v>163</v>
      </c>
      <c r="E158" s="2">
        <v>1347154.19</v>
      </c>
      <c r="F158" s="2">
        <v>117183.5</v>
      </c>
    </row>
    <row r="159" spans="1:6" x14ac:dyDescent="0.2">
      <c r="A159" t="s">
        <v>6</v>
      </c>
      <c r="B159">
        <v>516</v>
      </c>
      <c r="C159">
        <v>1</v>
      </c>
      <c r="D159" t="s">
        <v>164</v>
      </c>
      <c r="E159" s="2">
        <v>801193.04</v>
      </c>
      <c r="F159" s="2">
        <v>69692.55</v>
      </c>
    </row>
    <row r="160" spans="1:6" x14ac:dyDescent="0.2">
      <c r="A160" t="s">
        <v>6</v>
      </c>
      <c r="B160">
        <v>518</v>
      </c>
      <c r="C160">
        <v>1</v>
      </c>
      <c r="D160" t="s">
        <v>165</v>
      </c>
      <c r="E160" s="2">
        <v>15952797.25</v>
      </c>
      <c r="F160" s="2">
        <v>1387669.37</v>
      </c>
    </row>
    <row r="161" spans="1:6" x14ac:dyDescent="0.2">
      <c r="A161" t="s">
        <v>6</v>
      </c>
      <c r="B161">
        <v>531</v>
      </c>
      <c r="C161">
        <v>1</v>
      </c>
      <c r="D161" t="s">
        <v>166</v>
      </c>
      <c r="E161" s="2">
        <v>10666621.609999999</v>
      </c>
      <c r="F161" s="2">
        <v>927846.31</v>
      </c>
    </row>
    <row r="162" spans="1:6" x14ac:dyDescent="0.2">
      <c r="A162" t="s">
        <v>6</v>
      </c>
      <c r="B162">
        <v>533</v>
      </c>
      <c r="C162">
        <v>1</v>
      </c>
      <c r="D162" t="s">
        <v>167</v>
      </c>
      <c r="E162" s="2">
        <v>8048290.75</v>
      </c>
      <c r="F162" s="2">
        <v>700088.29</v>
      </c>
    </row>
    <row r="163" spans="1:6" x14ac:dyDescent="0.2">
      <c r="A163" t="s">
        <v>6</v>
      </c>
      <c r="B163">
        <v>534</v>
      </c>
      <c r="C163">
        <v>1</v>
      </c>
      <c r="D163" t="s">
        <v>168</v>
      </c>
      <c r="E163" s="2">
        <v>11402959.33</v>
      </c>
      <c r="F163" s="2">
        <v>991897.35</v>
      </c>
    </row>
    <row r="164" spans="1:6" x14ac:dyDescent="0.2">
      <c r="A164" t="s">
        <v>6</v>
      </c>
      <c r="B164">
        <v>535</v>
      </c>
      <c r="C164">
        <v>1</v>
      </c>
      <c r="D164" t="s">
        <v>169</v>
      </c>
      <c r="E164" s="2">
        <v>107240858.17</v>
      </c>
      <c r="F164" s="2">
        <v>9328448.9000000004</v>
      </c>
    </row>
    <row r="165" spans="1:6" x14ac:dyDescent="0.2">
      <c r="A165" t="s">
        <v>6</v>
      </c>
      <c r="B165">
        <v>542</v>
      </c>
      <c r="C165">
        <v>1</v>
      </c>
      <c r="D165" t="s">
        <v>170</v>
      </c>
      <c r="E165" s="2">
        <v>3599553.94</v>
      </c>
      <c r="F165" s="2">
        <v>313110.65000000002</v>
      </c>
    </row>
    <row r="166" spans="1:6" x14ac:dyDescent="0.2">
      <c r="A166" t="s">
        <v>6</v>
      </c>
      <c r="B166">
        <v>544</v>
      </c>
      <c r="C166">
        <v>1</v>
      </c>
      <c r="D166" t="s">
        <v>171</v>
      </c>
      <c r="E166" s="2">
        <v>17036698.059999999</v>
      </c>
      <c r="F166" s="2">
        <v>1481953.52</v>
      </c>
    </row>
    <row r="167" spans="1:6" x14ac:dyDescent="0.2">
      <c r="A167" t="s">
        <v>6</v>
      </c>
      <c r="B167">
        <v>545</v>
      </c>
      <c r="C167">
        <v>1</v>
      </c>
      <c r="D167" t="s">
        <v>172</v>
      </c>
      <c r="E167" s="2">
        <v>2721970.11</v>
      </c>
      <c r="F167" s="2">
        <v>236773.18</v>
      </c>
    </row>
    <row r="168" spans="1:6" x14ac:dyDescent="0.2">
      <c r="A168" t="s">
        <v>6</v>
      </c>
      <c r="B168">
        <v>547</v>
      </c>
      <c r="C168">
        <v>1</v>
      </c>
      <c r="D168" t="s">
        <v>173</v>
      </c>
      <c r="E168" s="2">
        <v>3992717.85</v>
      </c>
      <c r="F168" s="2">
        <v>347310.39</v>
      </c>
    </row>
    <row r="169" spans="1:6" x14ac:dyDescent="0.2">
      <c r="A169" t="s">
        <v>6</v>
      </c>
      <c r="B169">
        <v>548</v>
      </c>
      <c r="C169">
        <v>1</v>
      </c>
      <c r="D169" t="s">
        <v>174</v>
      </c>
      <c r="E169" s="2">
        <v>7321552.0499999998</v>
      </c>
      <c r="F169" s="2">
        <v>636872.23</v>
      </c>
    </row>
    <row r="170" spans="1:6" x14ac:dyDescent="0.2">
      <c r="A170" t="s">
        <v>6</v>
      </c>
      <c r="B170">
        <v>549</v>
      </c>
      <c r="C170">
        <v>1</v>
      </c>
      <c r="D170" t="s">
        <v>175</v>
      </c>
      <c r="E170" s="2">
        <v>10765084.970000001</v>
      </c>
      <c r="F170" s="2">
        <v>936411.24</v>
      </c>
    </row>
    <row r="171" spans="1:6" x14ac:dyDescent="0.2">
      <c r="A171" t="s">
        <v>6</v>
      </c>
      <c r="B171">
        <v>550</v>
      </c>
      <c r="C171">
        <v>1</v>
      </c>
      <c r="D171" t="s">
        <v>176</v>
      </c>
      <c r="E171" s="2">
        <v>3629971.34</v>
      </c>
      <c r="F171" s="2">
        <v>315756.53999999998</v>
      </c>
    </row>
    <row r="172" spans="1:6" x14ac:dyDescent="0.2">
      <c r="A172" t="s">
        <v>6</v>
      </c>
      <c r="B172">
        <v>553</v>
      </c>
      <c r="C172">
        <v>1</v>
      </c>
      <c r="D172" t="s">
        <v>177</v>
      </c>
      <c r="E172" s="2">
        <v>5102378</v>
      </c>
      <c r="F172" s="2">
        <v>443835.24</v>
      </c>
    </row>
    <row r="173" spans="1:6" x14ac:dyDescent="0.2">
      <c r="A173" t="s">
        <v>6</v>
      </c>
      <c r="B173">
        <v>561</v>
      </c>
      <c r="C173">
        <v>1</v>
      </c>
      <c r="D173" t="s">
        <v>178</v>
      </c>
      <c r="E173" s="2">
        <v>1794875.46</v>
      </c>
      <c r="F173" s="2">
        <v>156128.95999999999</v>
      </c>
    </row>
    <row r="174" spans="1:6" x14ac:dyDescent="0.2">
      <c r="A174" t="s">
        <v>6</v>
      </c>
      <c r="B174">
        <v>564</v>
      </c>
      <c r="C174">
        <v>1</v>
      </c>
      <c r="D174" t="s">
        <v>179</v>
      </c>
      <c r="E174" s="2">
        <v>13477363.220000001</v>
      </c>
      <c r="F174" s="2">
        <v>1172341.3700000001</v>
      </c>
    </row>
    <row r="175" spans="1:6" x14ac:dyDescent="0.2">
      <c r="A175" t="s">
        <v>6</v>
      </c>
      <c r="B175">
        <v>577</v>
      </c>
      <c r="C175">
        <v>1</v>
      </c>
      <c r="D175" t="s">
        <v>180</v>
      </c>
      <c r="E175" s="2">
        <v>3409973.21</v>
      </c>
      <c r="F175" s="2">
        <v>296619.78999999998</v>
      </c>
    </row>
    <row r="176" spans="1:6" x14ac:dyDescent="0.2">
      <c r="A176" t="s">
        <v>6</v>
      </c>
      <c r="B176">
        <v>578</v>
      </c>
      <c r="C176">
        <v>1</v>
      </c>
      <c r="D176" t="s">
        <v>181</v>
      </c>
      <c r="E176" s="2">
        <v>10969128.789999999</v>
      </c>
      <c r="F176" s="2">
        <v>954160.19</v>
      </c>
    </row>
    <row r="177" spans="1:6" x14ac:dyDescent="0.2">
      <c r="A177" t="s">
        <v>6</v>
      </c>
      <c r="B177">
        <v>581</v>
      </c>
      <c r="C177">
        <v>1</v>
      </c>
      <c r="D177" t="s">
        <v>182</v>
      </c>
      <c r="E177" s="2">
        <v>2196336.7599999998</v>
      </c>
      <c r="F177" s="2">
        <v>191050.46</v>
      </c>
    </row>
    <row r="178" spans="1:6" x14ac:dyDescent="0.2">
      <c r="A178" t="s">
        <v>6</v>
      </c>
      <c r="B178">
        <v>592</v>
      </c>
      <c r="C178">
        <v>1</v>
      </c>
      <c r="D178" t="s">
        <v>183</v>
      </c>
      <c r="E178" s="2">
        <v>1120008.46</v>
      </c>
      <c r="F178" s="2">
        <v>97425.01</v>
      </c>
    </row>
    <row r="179" spans="1:6" x14ac:dyDescent="0.2">
      <c r="A179" t="s">
        <v>6</v>
      </c>
      <c r="B179">
        <v>593</v>
      </c>
      <c r="C179">
        <v>1</v>
      </c>
      <c r="D179" t="s">
        <v>184</v>
      </c>
      <c r="E179" s="2">
        <v>9476436.7300000004</v>
      </c>
      <c r="F179" s="2">
        <v>824316.94</v>
      </c>
    </row>
    <row r="180" spans="1:6" x14ac:dyDescent="0.2">
      <c r="A180" t="s">
        <v>6</v>
      </c>
      <c r="B180">
        <v>595</v>
      </c>
      <c r="C180">
        <v>1</v>
      </c>
      <c r="D180" t="s">
        <v>185</v>
      </c>
      <c r="E180" s="2">
        <v>11531837.199999999</v>
      </c>
      <c r="F180" s="2">
        <v>1003107.92</v>
      </c>
    </row>
    <row r="181" spans="1:6" x14ac:dyDescent="0.2">
      <c r="A181" t="s">
        <v>6</v>
      </c>
      <c r="B181">
        <v>599</v>
      </c>
      <c r="C181">
        <v>1</v>
      </c>
      <c r="D181" t="s">
        <v>186</v>
      </c>
      <c r="E181" s="2">
        <v>3685944.51</v>
      </c>
      <c r="F181" s="2">
        <v>320625.42</v>
      </c>
    </row>
    <row r="182" spans="1:6" x14ac:dyDescent="0.2">
      <c r="A182" t="s">
        <v>6</v>
      </c>
      <c r="B182">
        <v>600</v>
      </c>
      <c r="C182">
        <v>1</v>
      </c>
      <c r="D182" t="s">
        <v>187</v>
      </c>
      <c r="E182" s="2">
        <v>1923168.11</v>
      </c>
      <c r="F182" s="2">
        <v>167288.62</v>
      </c>
    </row>
    <row r="183" spans="1:6" x14ac:dyDescent="0.2">
      <c r="A183" t="s">
        <v>6</v>
      </c>
      <c r="B183">
        <v>601</v>
      </c>
      <c r="C183">
        <v>1</v>
      </c>
      <c r="D183" t="s">
        <v>188</v>
      </c>
      <c r="E183" s="2">
        <v>4824920.16</v>
      </c>
      <c r="F183" s="2">
        <v>419700.31</v>
      </c>
    </row>
    <row r="184" spans="1:6" x14ac:dyDescent="0.2">
      <c r="A184" t="s">
        <v>6</v>
      </c>
      <c r="B184">
        <v>611</v>
      </c>
      <c r="C184">
        <v>1</v>
      </c>
      <c r="D184" t="s">
        <v>189</v>
      </c>
      <c r="E184" s="2">
        <v>690839.14</v>
      </c>
      <c r="F184" s="2">
        <v>60093.31</v>
      </c>
    </row>
    <row r="185" spans="1:6" x14ac:dyDescent="0.2">
      <c r="A185" t="s">
        <v>6</v>
      </c>
      <c r="B185">
        <v>621</v>
      </c>
      <c r="C185">
        <v>1</v>
      </c>
      <c r="D185" t="s">
        <v>190</v>
      </c>
      <c r="E185" s="2">
        <v>68201223.810000002</v>
      </c>
      <c r="F185" s="2">
        <v>5932548.8600000003</v>
      </c>
    </row>
    <row r="186" spans="1:6" x14ac:dyDescent="0.2">
      <c r="A186" t="s">
        <v>6</v>
      </c>
      <c r="B186">
        <v>622</v>
      </c>
      <c r="C186">
        <v>1</v>
      </c>
      <c r="D186" t="s">
        <v>191</v>
      </c>
      <c r="E186" s="2">
        <v>81981289.430000007</v>
      </c>
      <c r="F186" s="2">
        <v>7131221.0899999999</v>
      </c>
    </row>
    <row r="187" spans="1:6" x14ac:dyDescent="0.2">
      <c r="A187" t="s">
        <v>6</v>
      </c>
      <c r="B187">
        <v>623</v>
      </c>
      <c r="C187">
        <v>1</v>
      </c>
      <c r="D187" t="s">
        <v>192</v>
      </c>
      <c r="E187" s="2">
        <v>44335145.140000001</v>
      </c>
      <c r="F187" s="2">
        <v>3856535.12</v>
      </c>
    </row>
    <row r="188" spans="1:6" x14ac:dyDescent="0.2">
      <c r="A188" t="s">
        <v>6</v>
      </c>
      <c r="B188">
        <v>624</v>
      </c>
      <c r="C188">
        <v>1</v>
      </c>
      <c r="D188" t="s">
        <v>193</v>
      </c>
      <c r="E188" s="2">
        <v>55095000.630000003</v>
      </c>
      <c r="F188" s="2">
        <v>4792491.47</v>
      </c>
    </row>
    <row r="189" spans="1:6" x14ac:dyDescent="0.2">
      <c r="A189" t="s">
        <v>6</v>
      </c>
      <c r="B189">
        <v>625</v>
      </c>
      <c r="C189">
        <v>1</v>
      </c>
      <c r="D189" t="s">
        <v>194</v>
      </c>
      <c r="E189" s="2">
        <v>334836995.85000002</v>
      </c>
      <c r="F189" s="2">
        <v>29126117.23</v>
      </c>
    </row>
    <row r="190" spans="1:6" x14ac:dyDescent="0.2">
      <c r="A190" t="s">
        <v>6</v>
      </c>
      <c r="B190">
        <v>627</v>
      </c>
      <c r="C190">
        <v>1</v>
      </c>
      <c r="D190" t="s">
        <v>195</v>
      </c>
      <c r="E190" s="2">
        <v>1769241.78</v>
      </c>
      <c r="F190" s="2">
        <v>153899.19</v>
      </c>
    </row>
    <row r="191" spans="1:6" x14ac:dyDescent="0.2">
      <c r="A191" t="s">
        <v>6</v>
      </c>
      <c r="B191">
        <v>628</v>
      </c>
      <c r="C191">
        <v>1</v>
      </c>
      <c r="D191" t="s">
        <v>196</v>
      </c>
      <c r="E191" s="2">
        <v>1117493.81</v>
      </c>
      <c r="F191" s="2">
        <v>97206.27</v>
      </c>
    </row>
    <row r="192" spans="1:6" x14ac:dyDescent="0.2">
      <c r="A192" t="s">
        <v>6</v>
      </c>
      <c r="B192">
        <v>630</v>
      </c>
      <c r="C192">
        <v>1</v>
      </c>
      <c r="D192" t="s">
        <v>197</v>
      </c>
      <c r="E192" s="2">
        <v>2816764.31</v>
      </c>
      <c r="F192" s="2">
        <v>245018.95</v>
      </c>
    </row>
    <row r="193" spans="1:6" x14ac:dyDescent="0.2">
      <c r="A193" t="s">
        <v>6</v>
      </c>
      <c r="B193">
        <v>635</v>
      </c>
      <c r="C193">
        <v>1</v>
      </c>
      <c r="D193" t="s">
        <v>198</v>
      </c>
      <c r="E193" s="2">
        <v>576068.79</v>
      </c>
      <c r="F193" s="2">
        <v>50109.9</v>
      </c>
    </row>
    <row r="194" spans="1:6" x14ac:dyDescent="0.2">
      <c r="A194" t="s">
        <v>6</v>
      </c>
      <c r="B194">
        <v>640</v>
      </c>
      <c r="C194">
        <v>1</v>
      </c>
      <c r="D194" t="s">
        <v>199</v>
      </c>
      <c r="E194" s="2">
        <v>2819744.72</v>
      </c>
      <c r="F194" s="2">
        <v>245278.2</v>
      </c>
    </row>
    <row r="195" spans="1:6" x14ac:dyDescent="0.2">
      <c r="A195" t="s">
        <v>6</v>
      </c>
      <c r="B195">
        <v>656</v>
      </c>
      <c r="C195">
        <v>1</v>
      </c>
      <c r="D195" t="s">
        <v>200</v>
      </c>
      <c r="E195" s="2">
        <v>28096250.100000001</v>
      </c>
      <c r="F195" s="2">
        <v>2443979.2599999998</v>
      </c>
    </row>
    <row r="196" spans="1:6" x14ac:dyDescent="0.2">
      <c r="A196" t="s">
        <v>6</v>
      </c>
      <c r="B196">
        <v>659</v>
      </c>
      <c r="C196">
        <v>1</v>
      </c>
      <c r="D196" t="s">
        <v>201</v>
      </c>
      <c r="E196" s="2">
        <v>25393784.75</v>
      </c>
      <c r="F196" s="2">
        <v>2208902.7200000002</v>
      </c>
    </row>
    <row r="197" spans="1:6" x14ac:dyDescent="0.2">
      <c r="A197" t="s">
        <v>6</v>
      </c>
      <c r="B197">
        <v>671</v>
      </c>
      <c r="C197">
        <v>1</v>
      </c>
      <c r="D197" t="s">
        <v>202</v>
      </c>
      <c r="E197" s="2">
        <v>2267884.0299999998</v>
      </c>
      <c r="F197" s="2">
        <v>197274.07</v>
      </c>
    </row>
    <row r="198" spans="1:6" x14ac:dyDescent="0.2">
      <c r="A198" t="s">
        <v>6</v>
      </c>
      <c r="B198">
        <v>676</v>
      </c>
      <c r="C198">
        <v>1</v>
      </c>
      <c r="D198" t="s">
        <v>203</v>
      </c>
      <c r="E198" s="2">
        <v>1614074.47</v>
      </c>
      <c r="F198" s="2">
        <v>140401.82</v>
      </c>
    </row>
    <row r="199" spans="1:6" x14ac:dyDescent="0.2">
      <c r="A199" t="s">
        <v>6</v>
      </c>
      <c r="B199">
        <v>682</v>
      </c>
      <c r="C199">
        <v>1</v>
      </c>
      <c r="D199" t="s">
        <v>204</v>
      </c>
      <c r="E199" s="2">
        <v>8808220.8399999999</v>
      </c>
      <c r="F199" s="2">
        <v>766191.54</v>
      </c>
    </row>
    <row r="200" spans="1:6" x14ac:dyDescent="0.2">
      <c r="A200" t="s">
        <v>6</v>
      </c>
      <c r="B200">
        <v>690</v>
      </c>
      <c r="C200">
        <v>1</v>
      </c>
      <c r="D200" t="s">
        <v>205</v>
      </c>
      <c r="E200" s="2">
        <v>8340059.3700000001</v>
      </c>
      <c r="F200" s="2">
        <v>725468.06</v>
      </c>
    </row>
    <row r="201" spans="1:6" x14ac:dyDescent="0.2">
      <c r="A201" t="s">
        <v>6</v>
      </c>
      <c r="B201">
        <v>695</v>
      </c>
      <c r="C201">
        <v>1</v>
      </c>
      <c r="D201" t="s">
        <v>206</v>
      </c>
      <c r="E201" s="2">
        <v>5205674.91</v>
      </c>
      <c r="F201" s="2">
        <v>452820.62</v>
      </c>
    </row>
    <row r="202" spans="1:6" x14ac:dyDescent="0.2">
      <c r="A202" t="s">
        <v>6</v>
      </c>
      <c r="B202">
        <v>696</v>
      </c>
      <c r="C202">
        <v>1</v>
      </c>
      <c r="D202" t="s">
        <v>207</v>
      </c>
      <c r="E202" s="2">
        <v>3922032.03</v>
      </c>
      <c r="F202" s="2">
        <v>341161.72</v>
      </c>
    </row>
    <row r="203" spans="1:6" x14ac:dyDescent="0.2">
      <c r="A203" t="s">
        <v>6</v>
      </c>
      <c r="B203">
        <v>698</v>
      </c>
      <c r="C203">
        <v>1</v>
      </c>
      <c r="D203" t="s">
        <v>208</v>
      </c>
      <c r="E203" s="2">
        <v>3001981.8</v>
      </c>
      <c r="F203" s="2">
        <v>261130.27</v>
      </c>
    </row>
    <row r="204" spans="1:6" x14ac:dyDescent="0.2">
      <c r="A204" t="s">
        <v>6</v>
      </c>
      <c r="B204">
        <v>700</v>
      </c>
      <c r="C204">
        <v>1</v>
      </c>
      <c r="D204" t="s">
        <v>209</v>
      </c>
      <c r="E204" s="2">
        <v>13085981.439999999</v>
      </c>
      <c r="F204" s="2">
        <v>1138296.6499999999</v>
      </c>
    </row>
    <row r="205" spans="1:6" x14ac:dyDescent="0.2">
      <c r="A205" t="s">
        <v>6</v>
      </c>
      <c r="B205">
        <v>701</v>
      </c>
      <c r="C205">
        <v>1</v>
      </c>
      <c r="D205" t="s">
        <v>210</v>
      </c>
      <c r="E205" s="2">
        <v>16398914.789999999</v>
      </c>
      <c r="F205" s="2">
        <v>1426475.33</v>
      </c>
    </row>
    <row r="206" spans="1:6" x14ac:dyDescent="0.2">
      <c r="A206" t="s">
        <v>6</v>
      </c>
      <c r="B206">
        <v>704</v>
      </c>
      <c r="C206">
        <v>1</v>
      </c>
      <c r="D206" t="s">
        <v>211</v>
      </c>
      <c r="E206" s="2">
        <v>11844276.359999999</v>
      </c>
      <c r="F206" s="2">
        <v>1030285.74</v>
      </c>
    </row>
    <row r="207" spans="1:6" x14ac:dyDescent="0.2">
      <c r="A207" t="s">
        <v>6</v>
      </c>
      <c r="B207">
        <v>706</v>
      </c>
      <c r="C207">
        <v>1</v>
      </c>
      <c r="D207" t="s">
        <v>212</v>
      </c>
      <c r="E207" s="2">
        <v>10870090.42</v>
      </c>
      <c r="F207" s="2">
        <v>945545.24</v>
      </c>
    </row>
    <row r="208" spans="1:6" x14ac:dyDescent="0.2">
      <c r="A208" t="s">
        <v>6</v>
      </c>
      <c r="B208">
        <v>707</v>
      </c>
      <c r="C208">
        <v>1</v>
      </c>
      <c r="D208" t="s">
        <v>213</v>
      </c>
      <c r="E208" s="2">
        <v>1034372.84</v>
      </c>
      <c r="F208" s="2">
        <v>89975.91</v>
      </c>
    </row>
    <row r="209" spans="1:6" x14ac:dyDescent="0.2">
      <c r="A209" t="s">
        <v>6</v>
      </c>
      <c r="B209">
        <v>709</v>
      </c>
      <c r="C209">
        <v>1</v>
      </c>
      <c r="D209" t="s">
        <v>214</v>
      </c>
      <c r="E209" s="2">
        <v>68804266.359999999</v>
      </c>
      <c r="F209" s="2">
        <v>5985005.0999999996</v>
      </c>
    </row>
    <row r="210" spans="1:6" x14ac:dyDescent="0.2">
      <c r="A210" t="s">
        <v>6</v>
      </c>
      <c r="B210">
        <v>712</v>
      </c>
      <c r="C210">
        <v>1</v>
      </c>
      <c r="D210" t="s">
        <v>215</v>
      </c>
      <c r="E210" s="2">
        <v>3999359.88</v>
      </c>
      <c r="F210" s="2">
        <v>347888.15</v>
      </c>
    </row>
    <row r="211" spans="1:6" x14ac:dyDescent="0.2">
      <c r="A211" t="s">
        <v>6</v>
      </c>
      <c r="B211">
        <v>716</v>
      </c>
      <c r="C211">
        <v>1</v>
      </c>
      <c r="D211" t="s">
        <v>216</v>
      </c>
      <c r="E211" s="2">
        <v>9769626.8699999992</v>
      </c>
      <c r="F211" s="2">
        <v>849820.36</v>
      </c>
    </row>
    <row r="212" spans="1:6" x14ac:dyDescent="0.2">
      <c r="A212" t="s">
        <v>6</v>
      </c>
      <c r="B212">
        <v>717</v>
      </c>
      <c r="C212">
        <v>1</v>
      </c>
      <c r="D212" t="s">
        <v>217</v>
      </c>
      <c r="E212" s="2">
        <v>10499082.720000001</v>
      </c>
      <c r="F212" s="2">
        <v>913272.78</v>
      </c>
    </row>
    <row r="213" spans="1:6" x14ac:dyDescent="0.2">
      <c r="A213" t="s">
        <v>6</v>
      </c>
      <c r="B213">
        <v>719</v>
      </c>
      <c r="C213">
        <v>1</v>
      </c>
      <c r="D213" t="s">
        <v>218</v>
      </c>
      <c r="E213" s="2">
        <v>42629873.770000003</v>
      </c>
      <c r="F213" s="2">
        <v>3708200.46</v>
      </c>
    </row>
    <row r="214" spans="1:6" x14ac:dyDescent="0.2">
      <c r="A214" t="s">
        <v>6</v>
      </c>
      <c r="B214">
        <v>720</v>
      </c>
      <c r="C214">
        <v>1</v>
      </c>
      <c r="D214" t="s">
        <v>219</v>
      </c>
      <c r="E214" s="2">
        <v>41839780.93</v>
      </c>
      <c r="F214" s="2">
        <v>3639473.47</v>
      </c>
    </row>
    <row r="215" spans="1:6" x14ac:dyDescent="0.2">
      <c r="A215" t="s">
        <v>6</v>
      </c>
      <c r="B215">
        <v>721</v>
      </c>
      <c r="C215">
        <v>1</v>
      </c>
      <c r="D215" t="s">
        <v>220</v>
      </c>
      <c r="E215" s="2">
        <v>22435660.510000002</v>
      </c>
      <c r="F215" s="2">
        <v>1951587.45</v>
      </c>
    </row>
    <row r="216" spans="1:6" x14ac:dyDescent="0.2">
      <c r="A216" t="s">
        <v>6</v>
      </c>
      <c r="B216">
        <v>726</v>
      </c>
      <c r="C216">
        <v>1</v>
      </c>
      <c r="D216" t="s">
        <v>221</v>
      </c>
      <c r="E216" s="2">
        <v>16876169.77</v>
      </c>
      <c r="F216" s="2">
        <v>1467989.81</v>
      </c>
    </row>
    <row r="217" spans="1:6" x14ac:dyDescent="0.2">
      <c r="A217" t="s">
        <v>6</v>
      </c>
      <c r="B217">
        <v>727</v>
      </c>
      <c r="C217">
        <v>1</v>
      </c>
      <c r="D217" t="s">
        <v>222</v>
      </c>
      <c r="E217" s="2">
        <v>23104429.27</v>
      </c>
      <c r="F217" s="2">
        <v>2009760.94</v>
      </c>
    </row>
    <row r="218" spans="1:6" x14ac:dyDescent="0.2">
      <c r="A218" t="s">
        <v>6</v>
      </c>
      <c r="B218">
        <v>728</v>
      </c>
      <c r="C218">
        <v>1</v>
      </c>
      <c r="D218" t="s">
        <v>223</v>
      </c>
      <c r="E218" s="2">
        <v>77348652.060000002</v>
      </c>
      <c r="F218" s="2">
        <v>6728246.6799999997</v>
      </c>
    </row>
    <row r="219" spans="1:6" x14ac:dyDescent="0.2">
      <c r="A219" t="s">
        <v>6</v>
      </c>
      <c r="B219">
        <v>738</v>
      </c>
      <c r="C219">
        <v>1</v>
      </c>
      <c r="D219" t="s">
        <v>224</v>
      </c>
      <c r="E219" s="2">
        <v>6572306.6699999999</v>
      </c>
      <c r="F219" s="2">
        <v>571698.4</v>
      </c>
    </row>
    <row r="220" spans="1:6" x14ac:dyDescent="0.2">
      <c r="A220" t="s">
        <v>6</v>
      </c>
      <c r="B220">
        <v>739</v>
      </c>
      <c r="C220">
        <v>1</v>
      </c>
      <c r="D220" t="s">
        <v>225</v>
      </c>
      <c r="E220" s="2">
        <v>4968801.95</v>
      </c>
      <c r="F220" s="2">
        <v>432216</v>
      </c>
    </row>
    <row r="221" spans="1:6" x14ac:dyDescent="0.2">
      <c r="A221" t="s">
        <v>6</v>
      </c>
      <c r="B221">
        <v>740</v>
      </c>
      <c r="C221">
        <v>1</v>
      </c>
      <c r="D221" t="s">
        <v>226</v>
      </c>
      <c r="E221" s="2">
        <v>9655482.6699999999</v>
      </c>
      <c r="F221" s="2">
        <v>839891.42</v>
      </c>
    </row>
    <row r="222" spans="1:6" x14ac:dyDescent="0.2">
      <c r="A222" t="s">
        <v>6</v>
      </c>
      <c r="B222">
        <v>741</v>
      </c>
      <c r="C222">
        <v>1</v>
      </c>
      <c r="D222" t="s">
        <v>227</v>
      </c>
      <c r="E222" s="2">
        <v>7086515.2199999997</v>
      </c>
      <c r="F222" s="2">
        <v>616427.31999999995</v>
      </c>
    </row>
    <row r="223" spans="1:6" x14ac:dyDescent="0.2">
      <c r="A223" t="s">
        <v>6</v>
      </c>
      <c r="B223">
        <v>742</v>
      </c>
      <c r="C223">
        <v>1</v>
      </c>
      <c r="D223" t="s">
        <v>228</v>
      </c>
      <c r="E223" s="2">
        <v>68183562.379999995</v>
      </c>
      <c r="F223" s="2">
        <v>5931012.5700000003</v>
      </c>
    </row>
    <row r="224" spans="1:6" x14ac:dyDescent="0.2">
      <c r="A224" t="s">
        <v>6</v>
      </c>
      <c r="B224">
        <v>743</v>
      </c>
      <c r="C224">
        <v>1</v>
      </c>
      <c r="D224" t="s">
        <v>229</v>
      </c>
      <c r="E224" s="2">
        <v>7422659.4800000004</v>
      </c>
      <c r="F224" s="2">
        <v>645667.15</v>
      </c>
    </row>
    <row r="225" spans="1:6" x14ac:dyDescent="0.2">
      <c r="A225" t="s">
        <v>6</v>
      </c>
      <c r="B225">
        <v>745</v>
      </c>
      <c r="C225">
        <v>1</v>
      </c>
      <c r="D225" t="s">
        <v>230</v>
      </c>
      <c r="E225" s="2">
        <v>10462020.810000001</v>
      </c>
      <c r="F225" s="2">
        <v>910048.91</v>
      </c>
    </row>
    <row r="226" spans="1:6" x14ac:dyDescent="0.2">
      <c r="A226" t="s">
        <v>6</v>
      </c>
      <c r="B226">
        <v>748</v>
      </c>
      <c r="C226">
        <v>1</v>
      </c>
      <c r="D226" t="s">
        <v>231</v>
      </c>
      <c r="E226" s="2">
        <v>20129056.91</v>
      </c>
      <c r="F226" s="2">
        <v>1750945.32</v>
      </c>
    </row>
    <row r="227" spans="1:6" x14ac:dyDescent="0.2">
      <c r="A227" t="s">
        <v>6</v>
      </c>
      <c r="B227">
        <v>750</v>
      </c>
      <c r="C227">
        <v>1</v>
      </c>
      <c r="D227" t="s">
        <v>232</v>
      </c>
      <c r="E227" s="2">
        <v>14814767.279999999</v>
      </c>
      <c r="F227" s="2">
        <v>1288676.74</v>
      </c>
    </row>
    <row r="228" spans="1:6" x14ac:dyDescent="0.2">
      <c r="A228" t="s">
        <v>6</v>
      </c>
      <c r="B228">
        <v>756</v>
      </c>
      <c r="C228">
        <v>1</v>
      </c>
      <c r="D228" t="s">
        <v>233</v>
      </c>
      <c r="E228" s="2">
        <v>4714952.51</v>
      </c>
      <c r="F228" s="2">
        <v>410134.67</v>
      </c>
    </row>
    <row r="229" spans="1:6" x14ac:dyDescent="0.2">
      <c r="A229" t="s">
        <v>6</v>
      </c>
      <c r="B229">
        <v>761</v>
      </c>
      <c r="C229">
        <v>1</v>
      </c>
      <c r="D229" t="s">
        <v>234</v>
      </c>
      <c r="E229" s="2">
        <v>33429498.449999999</v>
      </c>
      <c r="F229" s="2">
        <v>2907896.98</v>
      </c>
    </row>
    <row r="230" spans="1:6" x14ac:dyDescent="0.2">
      <c r="A230" t="s">
        <v>6</v>
      </c>
      <c r="B230">
        <v>763</v>
      </c>
      <c r="C230">
        <v>1</v>
      </c>
      <c r="D230" t="s">
        <v>235</v>
      </c>
      <c r="E230" s="2">
        <v>4859035.88</v>
      </c>
      <c r="F230" s="2">
        <v>422667.9</v>
      </c>
    </row>
    <row r="231" spans="1:6" x14ac:dyDescent="0.2">
      <c r="A231" t="s">
        <v>6</v>
      </c>
      <c r="B231">
        <v>768</v>
      </c>
      <c r="C231">
        <v>1</v>
      </c>
      <c r="D231" t="s">
        <v>236</v>
      </c>
      <c r="E231" s="2">
        <v>1734731.61</v>
      </c>
      <c r="F231" s="2">
        <v>150897.29</v>
      </c>
    </row>
    <row r="232" spans="1:6" x14ac:dyDescent="0.2">
      <c r="A232" t="s">
        <v>6</v>
      </c>
      <c r="B232">
        <v>769</v>
      </c>
      <c r="C232">
        <v>1</v>
      </c>
      <c r="D232" t="s">
        <v>237</v>
      </c>
      <c r="E232" s="2">
        <v>5877890.3399999999</v>
      </c>
      <c r="F232" s="2">
        <v>511293.93</v>
      </c>
    </row>
    <row r="233" spans="1:6" x14ac:dyDescent="0.2">
      <c r="A233" t="s">
        <v>6</v>
      </c>
      <c r="B233">
        <v>771</v>
      </c>
      <c r="C233">
        <v>1</v>
      </c>
      <c r="D233" t="s">
        <v>238</v>
      </c>
      <c r="E233" s="2">
        <v>1236179.24</v>
      </c>
      <c r="F233" s="2">
        <v>107530.24000000001</v>
      </c>
    </row>
    <row r="234" spans="1:6" x14ac:dyDescent="0.2">
      <c r="A234" t="s">
        <v>6</v>
      </c>
      <c r="B234">
        <v>775</v>
      </c>
      <c r="C234">
        <v>1</v>
      </c>
      <c r="D234" t="s">
        <v>239</v>
      </c>
      <c r="E234" s="2">
        <v>3916906</v>
      </c>
      <c r="F234" s="2">
        <v>340715.83</v>
      </c>
    </row>
    <row r="235" spans="1:6" x14ac:dyDescent="0.2">
      <c r="A235" t="s">
        <v>6</v>
      </c>
      <c r="B235">
        <v>777</v>
      </c>
      <c r="C235">
        <v>1</v>
      </c>
      <c r="D235" t="s">
        <v>240</v>
      </c>
      <c r="E235" s="2">
        <v>6752405.5</v>
      </c>
      <c r="F235" s="2">
        <v>587364.47</v>
      </c>
    </row>
    <row r="236" spans="1:6" x14ac:dyDescent="0.2">
      <c r="A236" t="s">
        <v>6</v>
      </c>
      <c r="B236">
        <v>786</v>
      </c>
      <c r="C236">
        <v>1</v>
      </c>
      <c r="D236" t="s">
        <v>241</v>
      </c>
      <c r="E236" s="2">
        <v>3609064.76</v>
      </c>
      <c r="F236" s="2">
        <v>313937.96000000002</v>
      </c>
    </row>
    <row r="237" spans="1:6" x14ac:dyDescent="0.2">
      <c r="A237" t="s">
        <v>6</v>
      </c>
      <c r="B237">
        <v>787</v>
      </c>
      <c r="C237">
        <v>1</v>
      </c>
      <c r="D237" t="s">
        <v>242</v>
      </c>
      <c r="E237" s="2">
        <v>3715947.52</v>
      </c>
      <c r="F237" s="2">
        <v>323235.26</v>
      </c>
    </row>
    <row r="238" spans="1:6" x14ac:dyDescent="0.2">
      <c r="A238" t="s">
        <v>6</v>
      </c>
      <c r="B238">
        <v>801</v>
      </c>
      <c r="C238">
        <v>1</v>
      </c>
      <c r="D238" t="s">
        <v>243</v>
      </c>
      <c r="E238" s="2">
        <v>931871.55</v>
      </c>
      <c r="F238" s="2">
        <v>81059.740000000005</v>
      </c>
    </row>
    <row r="239" spans="1:6" x14ac:dyDescent="0.2">
      <c r="A239" t="s">
        <v>6</v>
      </c>
      <c r="B239">
        <v>803</v>
      </c>
      <c r="C239">
        <v>1</v>
      </c>
      <c r="D239" t="s">
        <v>244</v>
      </c>
      <c r="E239" s="2">
        <v>3165087.18</v>
      </c>
      <c r="F239" s="2">
        <v>275318.14</v>
      </c>
    </row>
    <row r="240" spans="1:6" x14ac:dyDescent="0.2">
      <c r="A240" t="s">
        <v>6</v>
      </c>
      <c r="B240">
        <v>811</v>
      </c>
      <c r="C240">
        <v>1</v>
      </c>
      <c r="D240" t="s">
        <v>245</v>
      </c>
      <c r="E240" s="2">
        <v>4266788.67</v>
      </c>
      <c r="F240" s="2">
        <v>371150.7</v>
      </c>
    </row>
    <row r="241" spans="1:6" x14ac:dyDescent="0.2">
      <c r="A241" t="s">
        <v>6</v>
      </c>
      <c r="B241">
        <v>813</v>
      </c>
      <c r="C241">
        <v>1</v>
      </c>
      <c r="D241" t="s">
        <v>246</v>
      </c>
      <c r="E241" s="2">
        <v>8536766.8399999999</v>
      </c>
      <c r="F241" s="2">
        <v>742578.85</v>
      </c>
    </row>
    <row r="242" spans="1:6" x14ac:dyDescent="0.2">
      <c r="A242" t="s">
        <v>6</v>
      </c>
      <c r="B242">
        <v>818</v>
      </c>
      <c r="C242">
        <v>1</v>
      </c>
      <c r="D242" t="s">
        <v>247</v>
      </c>
      <c r="E242" s="2">
        <v>3196582.14</v>
      </c>
      <c r="F242" s="2">
        <v>278057.76</v>
      </c>
    </row>
    <row r="243" spans="1:6" x14ac:dyDescent="0.2">
      <c r="A243" t="s">
        <v>6</v>
      </c>
      <c r="B243">
        <v>820</v>
      </c>
      <c r="C243">
        <v>1</v>
      </c>
      <c r="D243" t="s">
        <v>248</v>
      </c>
      <c r="E243" s="2">
        <v>4067506.42</v>
      </c>
      <c r="F243" s="2">
        <v>353815.95</v>
      </c>
    </row>
    <row r="244" spans="1:6" x14ac:dyDescent="0.2">
      <c r="A244" t="s">
        <v>6</v>
      </c>
      <c r="B244">
        <v>821</v>
      </c>
      <c r="C244">
        <v>1</v>
      </c>
      <c r="D244" t="s">
        <v>249</v>
      </c>
      <c r="E244" s="2">
        <v>5534817.1200000001</v>
      </c>
      <c r="F244" s="2">
        <v>481451.38</v>
      </c>
    </row>
    <row r="245" spans="1:6" x14ac:dyDescent="0.2">
      <c r="A245" t="s">
        <v>6</v>
      </c>
      <c r="B245">
        <v>829</v>
      </c>
      <c r="C245">
        <v>1</v>
      </c>
      <c r="D245" t="s">
        <v>250</v>
      </c>
      <c r="E245" s="2">
        <v>12816951.23</v>
      </c>
      <c r="F245" s="2">
        <v>1114894.8</v>
      </c>
    </row>
    <row r="246" spans="1:6" x14ac:dyDescent="0.2">
      <c r="A246" t="s">
        <v>6</v>
      </c>
      <c r="B246">
        <v>831</v>
      </c>
      <c r="C246">
        <v>1</v>
      </c>
      <c r="D246" t="s">
        <v>251</v>
      </c>
      <c r="E246" s="2">
        <v>48882098.619999997</v>
      </c>
      <c r="F246" s="2">
        <v>4252056.2300000004</v>
      </c>
    </row>
    <row r="247" spans="1:6" x14ac:dyDescent="0.2">
      <c r="A247" t="s">
        <v>6</v>
      </c>
      <c r="B247">
        <v>832</v>
      </c>
      <c r="C247">
        <v>1</v>
      </c>
      <c r="D247" t="s">
        <v>252</v>
      </c>
      <c r="E247" s="2">
        <v>20028722.690000001</v>
      </c>
      <c r="F247" s="2">
        <v>1742217.65</v>
      </c>
    </row>
    <row r="248" spans="1:6" x14ac:dyDescent="0.2">
      <c r="A248" t="s">
        <v>6</v>
      </c>
      <c r="B248">
        <v>833</v>
      </c>
      <c r="C248">
        <v>1</v>
      </c>
      <c r="D248" t="s">
        <v>253</v>
      </c>
      <c r="E248" s="2">
        <v>110294545.02</v>
      </c>
      <c r="F248" s="2">
        <v>9594076.7799999993</v>
      </c>
    </row>
    <row r="249" spans="1:6" x14ac:dyDescent="0.2">
      <c r="A249" t="s">
        <v>6</v>
      </c>
      <c r="B249">
        <v>834</v>
      </c>
      <c r="C249">
        <v>1</v>
      </c>
      <c r="D249" t="s">
        <v>254</v>
      </c>
      <c r="E249" s="2">
        <v>57262946.649999999</v>
      </c>
      <c r="F249" s="2">
        <v>4981072.34</v>
      </c>
    </row>
    <row r="250" spans="1:6" x14ac:dyDescent="0.2">
      <c r="A250" t="s">
        <v>6</v>
      </c>
      <c r="B250">
        <v>836</v>
      </c>
      <c r="C250">
        <v>1</v>
      </c>
      <c r="D250" t="s">
        <v>255</v>
      </c>
      <c r="E250" s="2">
        <v>1575224.73</v>
      </c>
      <c r="F250" s="2">
        <v>137022.43</v>
      </c>
    </row>
    <row r="251" spans="1:6" x14ac:dyDescent="0.2">
      <c r="A251" t="s">
        <v>6</v>
      </c>
      <c r="B251">
        <v>837</v>
      </c>
      <c r="C251">
        <v>1</v>
      </c>
      <c r="D251" t="s">
        <v>256</v>
      </c>
      <c r="E251" s="2">
        <v>3927281.73</v>
      </c>
      <c r="F251" s="2">
        <v>341618.37</v>
      </c>
    </row>
    <row r="252" spans="1:6" x14ac:dyDescent="0.2">
      <c r="A252" t="s">
        <v>6</v>
      </c>
      <c r="B252">
        <v>840</v>
      </c>
      <c r="C252">
        <v>1</v>
      </c>
      <c r="D252" t="s">
        <v>257</v>
      </c>
      <c r="E252" s="2">
        <v>8409479.9800000004</v>
      </c>
      <c r="F252" s="2">
        <v>731506.68</v>
      </c>
    </row>
    <row r="253" spans="1:6" x14ac:dyDescent="0.2">
      <c r="A253" t="s">
        <v>6</v>
      </c>
      <c r="B253">
        <v>846</v>
      </c>
      <c r="C253">
        <v>1</v>
      </c>
      <c r="D253" t="s">
        <v>258</v>
      </c>
      <c r="E253" s="2">
        <v>5800579.21</v>
      </c>
      <c r="F253" s="2">
        <v>504568.95</v>
      </c>
    </row>
    <row r="254" spans="1:6" x14ac:dyDescent="0.2">
      <c r="A254" t="s">
        <v>6</v>
      </c>
      <c r="B254">
        <v>850</v>
      </c>
      <c r="C254">
        <v>1</v>
      </c>
      <c r="D254" t="s">
        <v>259</v>
      </c>
      <c r="E254" s="2">
        <v>1484488.61</v>
      </c>
      <c r="F254" s="2">
        <v>129129.67</v>
      </c>
    </row>
    <row r="255" spans="1:6" x14ac:dyDescent="0.2">
      <c r="A255" t="s">
        <v>6</v>
      </c>
      <c r="B255">
        <v>852</v>
      </c>
      <c r="C255">
        <v>1</v>
      </c>
      <c r="D255" t="s">
        <v>260</v>
      </c>
      <c r="E255" s="2">
        <v>971008.11</v>
      </c>
      <c r="F255" s="2">
        <v>84464.07</v>
      </c>
    </row>
    <row r="256" spans="1:6" x14ac:dyDescent="0.2">
      <c r="A256" t="s">
        <v>6</v>
      </c>
      <c r="B256">
        <v>857</v>
      </c>
      <c r="C256">
        <v>1</v>
      </c>
      <c r="D256" t="s">
        <v>261</v>
      </c>
      <c r="E256" s="2">
        <v>4991132.0199999996</v>
      </c>
      <c r="F256" s="2">
        <v>434158.41</v>
      </c>
    </row>
    <row r="257" spans="1:6" x14ac:dyDescent="0.2">
      <c r="A257" t="s">
        <v>6</v>
      </c>
      <c r="B257">
        <v>858</v>
      </c>
      <c r="C257">
        <v>1</v>
      </c>
      <c r="D257" t="s">
        <v>262</v>
      </c>
      <c r="E257" s="2">
        <v>6736317.2300000004</v>
      </c>
      <c r="F257" s="2">
        <v>585965.02</v>
      </c>
    </row>
    <row r="258" spans="1:6" x14ac:dyDescent="0.2">
      <c r="A258" t="s">
        <v>6</v>
      </c>
      <c r="B258">
        <v>861</v>
      </c>
      <c r="C258">
        <v>1</v>
      </c>
      <c r="D258" t="s">
        <v>263</v>
      </c>
      <c r="E258" s="2">
        <v>24441445.09</v>
      </c>
      <c r="F258" s="2">
        <v>2126062.54</v>
      </c>
    </row>
    <row r="259" spans="1:6" x14ac:dyDescent="0.2">
      <c r="A259" t="s">
        <v>6</v>
      </c>
      <c r="B259">
        <v>876</v>
      </c>
      <c r="C259">
        <v>1</v>
      </c>
      <c r="D259" t="s">
        <v>264</v>
      </c>
      <c r="E259" s="2">
        <v>11749875.77</v>
      </c>
      <c r="F259" s="2">
        <v>1022074.21</v>
      </c>
    </row>
    <row r="260" spans="1:6" x14ac:dyDescent="0.2">
      <c r="A260" t="s">
        <v>6</v>
      </c>
      <c r="B260">
        <v>877</v>
      </c>
      <c r="C260">
        <v>1</v>
      </c>
      <c r="D260" t="s">
        <v>265</v>
      </c>
      <c r="E260" s="2">
        <v>36707230.229999997</v>
      </c>
      <c r="F260" s="2">
        <v>3193013.63</v>
      </c>
    </row>
    <row r="261" spans="1:6" x14ac:dyDescent="0.2">
      <c r="A261" t="s">
        <v>6</v>
      </c>
      <c r="B261">
        <v>879</v>
      </c>
      <c r="C261">
        <v>1</v>
      </c>
      <c r="D261" t="s">
        <v>266</v>
      </c>
      <c r="E261" s="2">
        <v>15095080.99</v>
      </c>
      <c r="F261" s="2">
        <v>1313060.1000000001</v>
      </c>
    </row>
    <row r="262" spans="1:6" x14ac:dyDescent="0.2">
      <c r="A262" t="s">
        <v>6</v>
      </c>
      <c r="B262">
        <v>881</v>
      </c>
      <c r="C262">
        <v>1</v>
      </c>
      <c r="D262" t="s">
        <v>267</v>
      </c>
      <c r="E262" s="2">
        <v>6516329.9100000001</v>
      </c>
      <c r="F262" s="2">
        <v>566829.21</v>
      </c>
    </row>
    <row r="263" spans="1:6" x14ac:dyDescent="0.2">
      <c r="A263" t="s">
        <v>6</v>
      </c>
      <c r="B263">
        <v>882</v>
      </c>
      <c r="C263">
        <v>1</v>
      </c>
      <c r="D263" t="s">
        <v>268</v>
      </c>
      <c r="E263" s="2">
        <v>25314776.699999999</v>
      </c>
      <c r="F263" s="2">
        <v>2202030.13</v>
      </c>
    </row>
    <row r="264" spans="1:6" x14ac:dyDescent="0.2">
      <c r="A264" t="s">
        <v>6</v>
      </c>
      <c r="B264">
        <v>883</v>
      </c>
      <c r="C264">
        <v>1</v>
      </c>
      <c r="D264" t="s">
        <v>269</v>
      </c>
      <c r="E264" s="2">
        <v>10358693.98</v>
      </c>
      <c r="F264" s="2">
        <v>901060.93</v>
      </c>
    </row>
    <row r="265" spans="1:6" x14ac:dyDescent="0.2">
      <c r="A265" t="s">
        <v>6</v>
      </c>
      <c r="B265">
        <v>885</v>
      </c>
      <c r="C265">
        <v>1</v>
      </c>
      <c r="D265" t="s">
        <v>270</v>
      </c>
      <c r="E265" s="2">
        <v>28847955.09</v>
      </c>
      <c r="F265" s="2">
        <v>2509367.04</v>
      </c>
    </row>
    <row r="266" spans="1:6" x14ac:dyDescent="0.2">
      <c r="A266" t="s">
        <v>6</v>
      </c>
      <c r="B266">
        <v>891</v>
      </c>
      <c r="C266">
        <v>1</v>
      </c>
      <c r="D266" t="s">
        <v>271</v>
      </c>
      <c r="E266" s="2">
        <v>3968677.62</v>
      </c>
      <c r="F266" s="2">
        <v>345219.23</v>
      </c>
    </row>
    <row r="267" spans="1:6" x14ac:dyDescent="0.2">
      <c r="A267" t="s">
        <v>6</v>
      </c>
      <c r="B267">
        <v>911</v>
      </c>
      <c r="C267">
        <v>1</v>
      </c>
      <c r="D267" t="s">
        <v>272</v>
      </c>
      <c r="E267" s="2">
        <v>34662211.229999997</v>
      </c>
      <c r="F267" s="2">
        <v>3015125.69</v>
      </c>
    </row>
    <row r="268" spans="1:6" x14ac:dyDescent="0.2">
      <c r="A268" t="s">
        <v>6</v>
      </c>
      <c r="B268">
        <v>912</v>
      </c>
      <c r="C268">
        <v>1</v>
      </c>
      <c r="D268" t="s">
        <v>273</v>
      </c>
      <c r="E268" s="2">
        <v>12853126.390000001</v>
      </c>
      <c r="F268" s="2">
        <v>1118041.53</v>
      </c>
    </row>
    <row r="269" spans="1:6" x14ac:dyDescent="0.2">
      <c r="A269" t="s">
        <v>6</v>
      </c>
      <c r="B269">
        <v>914</v>
      </c>
      <c r="C269">
        <v>1</v>
      </c>
      <c r="D269" t="s">
        <v>274</v>
      </c>
      <c r="E269" s="2">
        <v>1980035.01</v>
      </c>
      <c r="F269" s="2">
        <v>172235.24</v>
      </c>
    </row>
    <row r="270" spans="1:6" x14ac:dyDescent="0.2">
      <c r="A270" t="s">
        <v>6</v>
      </c>
      <c r="B270">
        <v>2071</v>
      </c>
      <c r="C270">
        <v>1</v>
      </c>
      <c r="D270" t="s">
        <v>275</v>
      </c>
      <c r="E270" s="2">
        <v>5260973.6399999997</v>
      </c>
      <c r="F270" s="2">
        <v>457630.84</v>
      </c>
    </row>
    <row r="271" spans="1:6" x14ac:dyDescent="0.2">
      <c r="A271" t="s">
        <v>6</v>
      </c>
      <c r="B271">
        <v>2125</v>
      </c>
      <c r="C271">
        <v>1</v>
      </c>
      <c r="D271" t="s">
        <v>276</v>
      </c>
      <c r="E271" s="2">
        <v>7591873.0999999996</v>
      </c>
      <c r="F271" s="2">
        <v>660386.36</v>
      </c>
    </row>
    <row r="272" spans="1:6" x14ac:dyDescent="0.2">
      <c r="A272" t="s">
        <v>6</v>
      </c>
      <c r="B272">
        <v>2134</v>
      </c>
      <c r="C272">
        <v>1</v>
      </c>
      <c r="D272" t="s">
        <v>277</v>
      </c>
      <c r="E272" s="2">
        <v>5750030.5800000001</v>
      </c>
      <c r="F272" s="2">
        <v>500171.92</v>
      </c>
    </row>
    <row r="273" spans="1:6" x14ac:dyDescent="0.2">
      <c r="A273" t="s">
        <v>6</v>
      </c>
      <c r="B273">
        <v>2135</v>
      </c>
      <c r="C273">
        <v>1</v>
      </c>
      <c r="D273" t="s">
        <v>278</v>
      </c>
      <c r="E273" s="2">
        <v>7884543.04</v>
      </c>
      <c r="F273" s="2">
        <v>685844.54</v>
      </c>
    </row>
    <row r="274" spans="1:6" x14ac:dyDescent="0.2">
      <c r="A274" t="s">
        <v>6</v>
      </c>
      <c r="B274">
        <v>2137</v>
      </c>
      <c r="C274">
        <v>1</v>
      </c>
      <c r="D274" t="s">
        <v>279</v>
      </c>
      <c r="E274" s="2">
        <v>5040158.92</v>
      </c>
      <c r="F274" s="2">
        <v>438423.06</v>
      </c>
    </row>
    <row r="275" spans="1:6" x14ac:dyDescent="0.2">
      <c r="A275" t="s">
        <v>6</v>
      </c>
      <c r="B275">
        <v>2142</v>
      </c>
      <c r="C275">
        <v>1</v>
      </c>
      <c r="D275" t="s">
        <v>280</v>
      </c>
      <c r="E275" s="2">
        <v>18523820.280000001</v>
      </c>
      <c r="F275" s="2">
        <v>1611312.27</v>
      </c>
    </row>
    <row r="276" spans="1:6" x14ac:dyDescent="0.2">
      <c r="A276" t="s">
        <v>6</v>
      </c>
      <c r="B276">
        <v>2143</v>
      </c>
      <c r="C276">
        <v>1</v>
      </c>
      <c r="D276" t="s">
        <v>281</v>
      </c>
      <c r="E276" s="2">
        <v>6454619.3600000003</v>
      </c>
      <c r="F276" s="2">
        <v>561461.26</v>
      </c>
    </row>
    <row r="277" spans="1:6" x14ac:dyDescent="0.2">
      <c r="A277" t="s">
        <v>6</v>
      </c>
      <c r="B277">
        <v>2144</v>
      </c>
      <c r="C277">
        <v>1</v>
      </c>
      <c r="D277" t="s">
        <v>282</v>
      </c>
      <c r="E277" s="2">
        <v>22708874.280000001</v>
      </c>
      <c r="F277" s="2">
        <v>1975353.21</v>
      </c>
    </row>
    <row r="278" spans="1:6" x14ac:dyDescent="0.2">
      <c r="A278" t="s">
        <v>6</v>
      </c>
      <c r="B278">
        <v>2149</v>
      </c>
      <c r="C278">
        <v>1</v>
      </c>
      <c r="D278" t="s">
        <v>283</v>
      </c>
      <c r="E278" s="2">
        <v>8201971.3099999996</v>
      </c>
      <c r="F278" s="2">
        <v>713456.34</v>
      </c>
    </row>
    <row r="279" spans="1:6" x14ac:dyDescent="0.2">
      <c r="A279" t="s">
        <v>6</v>
      </c>
      <c r="B279">
        <v>2154</v>
      </c>
      <c r="C279">
        <v>1</v>
      </c>
      <c r="D279" t="s">
        <v>284</v>
      </c>
      <c r="E279" s="2">
        <v>8548524.8900000006</v>
      </c>
      <c r="F279" s="2">
        <v>743601.64</v>
      </c>
    </row>
    <row r="280" spans="1:6" x14ac:dyDescent="0.2">
      <c r="A280" t="s">
        <v>6</v>
      </c>
      <c r="B280">
        <v>2155</v>
      </c>
      <c r="C280">
        <v>1</v>
      </c>
      <c r="D280" t="s">
        <v>285</v>
      </c>
      <c r="E280" s="2">
        <v>8362204.1699999999</v>
      </c>
      <c r="F280" s="2">
        <v>727394.35</v>
      </c>
    </row>
    <row r="281" spans="1:6" x14ac:dyDescent="0.2">
      <c r="A281" t="s">
        <v>6</v>
      </c>
      <c r="B281">
        <v>2159</v>
      </c>
      <c r="C281">
        <v>1</v>
      </c>
      <c r="D281" t="s">
        <v>286</v>
      </c>
      <c r="E281" s="2">
        <v>4408474.4000000004</v>
      </c>
      <c r="F281" s="2">
        <v>383475.37</v>
      </c>
    </row>
    <row r="282" spans="1:6" x14ac:dyDescent="0.2">
      <c r="A282" t="s">
        <v>6</v>
      </c>
      <c r="B282">
        <v>2164</v>
      </c>
      <c r="C282">
        <v>1</v>
      </c>
      <c r="D282" t="s">
        <v>287</v>
      </c>
      <c r="E282" s="2">
        <v>8646834.8100000005</v>
      </c>
      <c r="F282" s="2">
        <v>752153.22</v>
      </c>
    </row>
    <row r="283" spans="1:6" x14ac:dyDescent="0.2">
      <c r="A283" t="s">
        <v>6</v>
      </c>
      <c r="B283">
        <v>2165</v>
      </c>
      <c r="C283">
        <v>1</v>
      </c>
      <c r="D283" t="s">
        <v>288</v>
      </c>
      <c r="E283" s="2">
        <v>7312800.4199999999</v>
      </c>
      <c r="F283" s="2">
        <v>636110.96</v>
      </c>
    </row>
    <row r="284" spans="1:6" x14ac:dyDescent="0.2">
      <c r="A284" t="s">
        <v>6</v>
      </c>
      <c r="B284">
        <v>2167</v>
      </c>
      <c r="C284">
        <v>1</v>
      </c>
      <c r="D284" t="s">
        <v>289</v>
      </c>
      <c r="E284" s="2">
        <v>3894076.29</v>
      </c>
      <c r="F284" s="2">
        <v>338729.96</v>
      </c>
    </row>
    <row r="285" spans="1:6" x14ac:dyDescent="0.2">
      <c r="A285" t="s">
        <v>6</v>
      </c>
      <c r="B285">
        <v>2168</v>
      </c>
      <c r="C285">
        <v>1</v>
      </c>
      <c r="D285" t="s">
        <v>290</v>
      </c>
      <c r="E285" s="2">
        <v>6548859.7699999996</v>
      </c>
      <c r="F285" s="2">
        <v>569658.85</v>
      </c>
    </row>
    <row r="286" spans="1:6" x14ac:dyDescent="0.2">
      <c r="A286" t="s">
        <v>6</v>
      </c>
      <c r="B286">
        <v>2169</v>
      </c>
      <c r="C286">
        <v>1</v>
      </c>
      <c r="D286" t="s">
        <v>291</v>
      </c>
      <c r="E286" s="2">
        <v>5073420.33</v>
      </c>
      <c r="F286" s="2">
        <v>441316.33</v>
      </c>
    </row>
    <row r="287" spans="1:6" x14ac:dyDescent="0.2">
      <c r="A287" t="s">
        <v>6</v>
      </c>
      <c r="B287">
        <v>2170</v>
      </c>
      <c r="C287">
        <v>1</v>
      </c>
      <c r="D287" t="s">
        <v>292</v>
      </c>
      <c r="E287" s="2">
        <v>10744759.27</v>
      </c>
      <c r="F287" s="2">
        <v>934643.19</v>
      </c>
    </row>
    <row r="288" spans="1:6" x14ac:dyDescent="0.2">
      <c r="A288" t="s">
        <v>6</v>
      </c>
      <c r="B288">
        <v>2171</v>
      </c>
      <c r="C288">
        <v>1</v>
      </c>
      <c r="D288" t="s">
        <v>293</v>
      </c>
      <c r="E288" s="2">
        <v>2428562.75</v>
      </c>
      <c r="F288" s="2">
        <v>211250.86</v>
      </c>
    </row>
    <row r="289" spans="1:6" x14ac:dyDescent="0.2">
      <c r="A289" t="s">
        <v>6</v>
      </c>
      <c r="B289">
        <v>2172</v>
      </c>
      <c r="C289">
        <v>1</v>
      </c>
      <c r="D289" t="s">
        <v>294</v>
      </c>
      <c r="E289" s="2">
        <v>5812764.8399999999</v>
      </c>
      <c r="F289" s="2">
        <v>505628.92</v>
      </c>
    </row>
    <row r="290" spans="1:6" x14ac:dyDescent="0.2">
      <c r="A290" t="s">
        <v>6</v>
      </c>
      <c r="B290">
        <v>2174</v>
      </c>
      <c r="C290">
        <v>1</v>
      </c>
      <c r="D290" t="s">
        <v>295</v>
      </c>
      <c r="E290" s="2">
        <v>7625110.4199999999</v>
      </c>
      <c r="F290" s="2">
        <v>663277.54</v>
      </c>
    </row>
    <row r="291" spans="1:6" x14ac:dyDescent="0.2">
      <c r="A291" t="s">
        <v>6</v>
      </c>
      <c r="B291">
        <v>2176</v>
      </c>
      <c r="C291">
        <v>1</v>
      </c>
      <c r="D291" t="s">
        <v>296</v>
      </c>
      <c r="E291" s="2">
        <v>3777308.02</v>
      </c>
      <c r="F291" s="2">
        <v>328572.76</v>
      </c>
    </row>
    <row r="292" spans="1:6" x14ac:dyDescent="0.2">
      <c r="A292" t="s">
        <v>6</v>
      </c>
      <c r="B292">
        <v>2180</v>
      </c>
      <c r="C292">
        <v>1</v>
      </c>
      <c r="D292" t="s">
        <v>297</v>
      </c>
      <c r="E292" s="2">
        <v>5091767.42</v>
      </c>
      <c r="F292" s="2">
        <v>442912.27</v>
      </c>
    </row>
    <row r="293" spans="1:6" x14ac:dyDescent="0.2">
      <c r="A293" t="s">
        <v>6</v>
      </c>
      <c r="B293">
        <v>2184</v>
      </c>
      <c r="C293">
        <v>1</v>
      </c>
      <c r="D293" t="s">
        <v>298</v>
      </c>
      <c r="E293" s="2">
        <v>8091635.5599999996</v>
      </c>
      <c r="F293" s="2">
        <v>703858.68</v>
      </c>
    </row>
    <row r="294" spans="1:6" x14ac:dyDescent="0.2">
      <c r="A294" t="s">
        <v>6</v>
      </c>
      <c r="B294">
        <v>2190</v>
      </c>
      <c r="C294">
        <v>1</v>
      </c>
      <c r="D294" t="s">
        <v>299</v>
      </c>
      <c r="E294" s="2">
        <v>6841023.8099999996</v>
      </c>
      <c r="F294" s="2">
        <v>595073.02</v>
      </c>
    </row>
    <row r="295" spans="1:6" x14ac:dyDescent="0.2">
      <c r="A295" t="s">
        <v>6</v>
      </c>
      <c r="B295">
        <v>2198</v>
      </c>
      <c r="C295">
        <v>1</v>
      </c>
      <c r="D295" t="s">
        <v>300</v>
      </c>
      <c r="E295" s="2">
        <v>4020918.06</v>
      </c>
      <c r="F295" s="2">
        <v>349763.41</v>
      </c>
    </row>
    <row r="296" spans="1:6" x14ac:dyDescent="0.2">
      <c r="A296" t="s">
        <v>6</v>
      </c>
      <c r="B296">
        <v>2215</v>
      </c>
      <c r="C296">
        <v>1</v>
      </c>
      <c r="D296" t="s">
        <v>301</v>
      </c>
      <c r="E296" s="2">
        <v>2712653.03</v>
      </c>
      <c r="F296" s="2">
        <v>235962.73</v>
      </c>
    </row>
    <row r="297" spans="1:6" x14ac:dyDescent="0.2">
      <c r="A297" t="s">
        <v>6</v>
      </c>
      <c r="B297">
        <v>2310</v>
      </c>
      <c r="C297">
        <v>1</v>
      </c>
      <c r="D297" t="s">
        <v>302</v>
      </c>
      <c r="E297" s="2">
        <v>8445557.0299999993</v>
      </c>
      <c r="F297" s="2">
        <v>734644.88</v>
      </c>
    </row>
    <row r="298" spans="1:6" x14ac:dyDescent="0.2">
      <c r="A298" t="s">
        <v>6</v>
      </c>
      <c r="B298">
        <v>2311</v>
      </c>
      <c r="C298">
        <v>1</v>
      </c>
      <c r="D298" t="s">
        <v>303</v>
      </c>
      <c r="E298" s="2">
        <v>3666422.76</v>
      </c>
      <c r="F298" s="2">
        <v>318927.3</v>
      </c>
    </row>
    <row r="299" spans="1:6" x14ac:dyDescent="0.2">
      <c r="A299" t="s">
        <v>6</v>
      </c>
      <c r="B299">
        <v>2342</v>
      </c>
      <c r="C299">
        <v>1</v>
      </c>
      <c r="D299" t="s">
        <v>304</v>
      </c>
      <c r="E299" s="2">
        <v>5465587.2000000002</v>
      </c>
      <c r="F299" s="2">
        <v>475429.34</v>
      </c>
    </row>
    <row r="300" spans="1:6" x14ac:dyDescent="0.2">
      <c r="A300" t="s">
        <v>6</v>
      </c>
      <c r="B300">
        <v>2358</v>
      </c>
      <c r="C300">
        <v>1</v>
      </c>
      <c r="D300" t="s">
        <v>305</v>
      </c>
      <c r="E300" s="2">
        <v>2228563.91</v>
      </c>
      <c r="F300" s="2">
        <v>193853.77</v>
      </c>
    </row>
    <row r="301" spans="1:6" x14ac:dyDescent="0.2">
      <c r="A301" t="s">
        <v>6</v>
      </c>
      <c r="B301">
        <v>2364</v>
      </c>
      <c r="C301">
        <v>1</v>
      </c>
      <c r="D301" t="s">
        <v>306</v>
      </c>
      <c r="E301" s="2">
        <v>5025553.3499999996</v>
      </c>
      <c r="F301" s="2">
        <v>437152.58</v>
      </c>
    </row>
    <row r="302" spans="1:6" x14ac:dyDescent="0.2">
      <c r="A302" t="s">
        <v>6</v>
      </c>
      <c r="B302">
        <v>2365</v>
      </c>
      <c r="C302">
        <v>1</v>
      </c>
      <c r="D302" t="s">
        <v>307</v>
      </c>
      <c r="E302" s="2">
        <v>6203333.79</v>
      </c>
      <c r="F302" s="2">
        <v>539602.93999999994</v>
      </c>
    </row>
    <row r="303" spans="1:6" x14ac:dyDescent="0.2">
      <c r="A303" t="s">
        <v>6</v>
      </c>
      <c r="B303">
        <v>2396</v>
      </c>
      <c r="C303">
        <v>1</v>
      </c>
      <c r="D303" t="s">
        <v>308</v>
      </c>
      <c r="E303" s="2">
        <v>5667473.79</v>
      </c>
      <c r="F303" s="2">
        <v>492990.64</v>
      </c>
    </row>
    <row r="304" spans="1:6" x14ac:dyDescent="0.2">
      <c r="A304" t="s">
        <v>6</v>
      </c>
      <c r="B304">
        <v>2397</v>
      </c>
      <c r="C304">
        <v>1</v>
      </c>
      <c r="D304" t="s">
        <v>309</v>
      </c>
      <c r="E304" s="2">
        <v>8433392.4900000002</v>
      </c>
      <c r="F304" s="2">
        <v>733586.73</v>
      </c>
    </row>
    <row r="305" spans="1:6" x14ac:dyDescent="0.2">
      <c r="A305" t="s">
        <v>6</v>
      </c>
      <c r="B305">
        <v>2448</v>
      </c>
      <c r="C305">
        <v>1</v>
      </c>
      <c r="D305" t="s">
        <v>310</v>
      </c>
      <c r="E305" s="2">
        <v>5618824.7800000003</v>
      </c>
      <c r="F305" s="2">
        <v>488758.86</v>
      </c>
    </row>
    <row r="306" spans="1:6" x14ac:dyDescent="0.2">
      <c r="A306" t="s">
        <v>6</v>
      </c>
      <c r="B306">
        <v>2527</v>
      </c>
      <c r="C306">
        <v>1</v>
      </c>
      <c r="D306" t="s">
        <v>311</v>
      </c>
      <c r="E306" s="2">
        <v>2193765.9300000002</v>
      </c>
      <c r="F306" s="2">
        <v>190826.83</v>
      </c>
    </row>
    <row r="307" spans="1:6" x14ac:dyDescent="0.2">
      <c r="A307" t="s">
        <v>6</v>
      </c>
      <c r="B307">
        <v>2534</v>
      </c>
      <c r="C307">
        <v>1</v>
      </c>
      <c r="D307" t="s">
        <v>312</v>
      </c>
      <c r="E307" s="2">
        <v>5654362.5199999996</v>
      </c>
      <c r="F307" s="2">
        <v>491850.15</v>
      </c>
    </row>
    <row r="308" spans="1:6" x14ac:dyDescent="0.2">
      <c r="A308" t="s">
        <v>6</v>
      </c>
      <c r="B308">
        <v>2536</v>
      </c>
      <c r="C308">
        <v>1</v>
      </c>
      <c r="D308" t="s">
        <v>313</v>
      </c>
      <c r="E308" s="2">
        <v>2156090.09</v>
      </c>
      <c r="F308" s="2">
        <v>187549.56</v>
      </c>
    </row>
    <row r="309" spans="1:6" x14ac:dyDescent="0.2">
      <c r="A309" t="s">
        <v>6</v>
      </c>
      <c r="B309">
        <v>2580</v>
      </c>
      <c r="C309">
        <v>1</v>
      </c>
      <c r="D309" t="s">
        <v>314</v>
      </c>
      <c r="E309" s="2">
        <v>5962259.9100000001</v>
      </c>
      <c r="F309" s="2">
        <v>518632.9</v>
      </c>
    </row>
    <row r="310" spans="1:6" x14ac:dyDescent="0.2">
      <c r="A310" t="s">
        <v>6</v>
      </c>
      <c r="B310">
        <v>2609</v>
      </c>
      <c r="C310">
        <v>1</v>
      </c>
      <c r="D310" t="s">
        <v>315</v>
      </c>
      <c r="E310" s="2">
        <v>3497042.94</v>
      </c>
      <c r="F310" s="2">
        <v>304193.63</v>
      </c>
    </row>
    <row r="311" spans="1:6" x14ac:dyDescent="0.2">
      <c r="A311" t="s">
        <v>6</v>
      </c>
      <c r="B311">
        <v>2683</v>
      </c>
      <c r="C311">
        <v>1</v>
      </c>
      <c r="D311" t="s">
        <v>316</v>
      </c>
      <c r="E311" s="2">
        <v>4022595.05</v>
      </c>
      <c r="F311" s="2">
        <v>349909.29</v>
      </c>
    </row>
    <row r="312" spans="1:6" x14ac:dyDescent="0.2">
      <c r="A312" t="s">
        <v>6</v>
      </c>
      <c r="B312">
        <v>2687</v>
      </c>
      <c r="C312">
        <v>1</v>
      </c>
      <c r="D312" t="s">
        <v>317</v>
      </c>
      <c r="E312" s="2">
        <v>6691338.3099999996</v>
      </c>
      <c r="F312" s="2">
        <v>582052.48</v>
      </c>
    </row>
    <row r="313" spans="1:6" x14ac:dyDescent="0.2">
      <c r="A313" t="s">
        <v>6</v>
      </c>
      <c r="B313">
        <v>2689</v>
      </c>
      <c r="C313">
        <v>1</v>
      </c>
      <c r="D313" t="s">
        <v>318</v>
      </c>
      <c r="E313" s="2">
        <v>8255161.1100000003</v>
      </c>
      <c r="F313" s="2">
        <v>718083.11</v>
      </c>
    </row>
    <row r="314" spans="1:6" x14ac:dyDescent="0.2">
      <c r="A314" t="s">
        <v>6</v>
      </c>
      <c r="B314">
        <v>2711</v>
      </c>
      <c r="C314">
        <v>1</v>
      </c>
      <c r="D314" t="s">
        <v>319</v>
      </c>
      <c r="E314" s="2">
        <v>6135992.7699999996</v>
      </c>
      <c r="F314" s="2">
        <v>533745.22</v>
      </c>
    </row>
    <row r="315" spans="1:6" x14ac:dyDescent="0.2">
      <c r="A315" t="s">
        <v>6</v>
      </c>
      <c r="B315">
        <v>2752</v>
      </c>
      <c r="C315">
        <v>1</v>
      </c>
      <c r="D315" t="s">
        <v>320</v>
      </c>
      <c r="E315" s="2">
        <v>12537253.24</v>
      </c>
      <c r="F315" s="2">
        <v>1090565</v>
      </c>
    </row>
    <row r="316" spans="1:6" x14ac:dyDescent="0.2">
      <c r="A316" t="s">
        <v>6</v>
      </c>
      <c r="B316">
        <v>2753</v>
      </c>
      <c r="C316">
        <v>1</v>
      </c>
      <c r="D316" t="s">
        <v>321</v>
      </c>
      <c r="E316" s="2">
        <v>9149970.7200000007</v>
      </c>
      <c r="F316" s="2">
        <v>795918.98</v>
      </c>
    </row>
    <row r="317" spans="1:6" x14ac:dyDescent="0.2">
      <c r="A317" t="s">
        <v>6</v>
      </c>
      <c r="B317">
        <v>2754</v>
      </c>
      <c r="C317">
        <v>1</v>
      </c>
      <c r="D317" t="s">
        <v>322</v>
      </c>
      <c r="E317" s="2">
        <v>2961675.72</v>
      </c>
      <c r="F317" s="2">
        <v>257624.2</v>
      </c>
    </row>
    <row r="318" spans="1:6" x14ac:dyDescent="0.2">
      <c r="A318" t="s">
        <v>6</v>
      </c>
      <c r="B318">
        <v>2759</v>
      </c>
      <c r="C318">
        <v>1</v>
      </c>
      <c r="D318" t="s">
        <v>323</v>
      </c>
      <c r="E318" s="2">
        <v>2478229.29</v>
      </c>
      <c r="F318" s="2">
        <v>215571.15</v>
      </c>
    </row>
    <row r="319" spans="1:6" x14ac:dyDescent="0.2">
      <c r="A319" t="s">
        <v>6</v>
      </c>
      <c r="B319">
        <v>2805</v>
      </c>
      <c r="C319">
        <v>1</v>
      </c>
      <c r="D319" t="s">
        <v>324</v>
      </c>
      <c r="E319" s="2">
        <v>7242903.3600000003</v>
      </c>
      <c r="F319" s="2">
        <v>630030.9</v>
      </c>
    </row>
    <row r="320" spans="1:6" x14ac:dyDescent="0.2">
      <c r="A320" t="s">
        <v>6</v>
      </c>
      <c r="B320">
        <v>2835</v>
      </c>
      <c r="C320">
        <v>1</v>
      </c>
      <c r="D320" t="s">
        <v>325</v>
      </c>
      <c r="E320" s="2">
        <v>3525890.31</v>
      </c>
      <c r="F320" s="2">
        <v>306702.95</v>
      </c>
    </row>
    <row r="321" spans="1:6" x14ac:dyDescent="0.2">
      <c r="A321" t="s">
        <v>6</v>
      </c>
      <c r="B321">
        <v>2853</v>
      </c>
      <c r="C321">
        <v>1</v>
      </c>
      <c r="D321" t="s">
        <v>326</v>
      </c>
      <c r="E321" s="2">
        <v>6917745.3899999997</v>
      </c>
      <c r="F321" s="2">
        <v>601746.72</v>
      </c>
    </row>
    <row r="322" spans="1:6" x14ac:dyDescent="0.2">
      <c r="A322" t="s">
        <v>6</v>
      </c>
      <c r="B322">
        <v>2854</v>
      </c>
      <c r="C322">
        <v>1</v>
      </c>
      <c r="D322" t="s">
        <v>327</v>
      </c>
      <c r="E322" s="2">
        <v>4131307.02</v>
      </c>
      <c r="F322" s="2">
        <v>359365.7</v>
      </c>
    </row>
    <row r="323" spans="1:6" x14ac:dyDescent="0.2">
      <c r="A323" t="s">
        <v>6</v>
      </c>
      <c r="B323">
        <v>2856</v>
      </c>
      <c r="C323">
        <v>1</v>
      </c>
      <c r="D323" t="s">
        <v>328</v>
      </c>
      <c r="E323" s="2">
        <v>2950180.72</v>
      </c>
      <c r="F323" s="2">
        <v>256624.3</v>
      </c>
    </row>
    <row r="324" spans="1:6" x14ac:dyDescent="0.2">
      <c r="A324" t="s">
        <v>6</v>
      </c>
      <c r="B324">
        <v>2859</v>
      </c>
      <c r="C324">
        <v>1</v>
      </c>
      <c r="D324" t="s">
        <v>329</v>
      </c>
      <c r="E324" s="2">
        <v>12305536.029999999</v>
      </c>
      <c r="F324" s="2">
        <v>1070408.8500000001</v>
      </c>
    </row>
    <row r="325" spans="1:6" x14ac:dyDescent="0.2">
      <c r="A325" t="s">
        <v>6</v>
      </c>
      <c r="B325">
        <v>2860</v>
      </c>
      <c r="C325">
        <v>1</v>
      </c>
      <c r="D325" t="s">
        <v>330</v>
      </c>
      <c r="E325" s="2">
        <v>8708198.9700000007</v>
      </c>
      <c r="F325" s="2">
        <v>757491.04</v>
      </c>
    </row>
    <row r="326" spans="1:6" x14ac:dyDescent="0.2">
      <c r="A326" t="s">
        <v>6</v>
      </c>
      <c r="B326">
        <v>2884</v>
      </c>
      <c r="C326">
        <v>1</v>
      </c>
      <c r="D326" t="s">
        <v>331</v>
      </c>
      <c r="E326" s="2">
        <v>3766772.9</v>
      </c>
      <c r="F326" s="2">
        <v>327656.34999999998</v>
      </c>
    </row>
    <row r="327" spans="1:6" x14ac:dyDescent="0.2">
      <c r="A327" t="s">
        <v>6</v>
      </c>
      <c r="B327">
        <v>2886</v>
      </c>
      <c r="C327">
        <v>1</v>
      </c>
      <c r="D327" t="s">
        <v>332</v>
      </c>
      <c r="E327" s="2">
        <v>2877592.69</v>
      </c>
      <c r="F327" s="2">
        <v>250310.16</v>
      </c>
    </row>
    <row r="328" spans="1:6" x14ac:dyDescent="0.2">
      <c r="A328" t="s">
        <v>6</v>
      </c>
      <c r="B328">
        <v>2888</v>
      </c>
      <c r="C328">
        <v>1</v>
      </c>
      <c r="D328" t="s">
        <v>333</v>
      </c>
      <c r="E328" s="2">
        <v>3175545.66</v>
      </c>
      <c r="F328" s="2">
        <v>276227.88</v>
      </c>
    </row>
    <row r="329" spans="1:6" x14ac:dyDescent="0.2">
      <c r="A329" t="s">
        <v>6</v>
      </c>
      <c r="B329">
        <v>2889</v>
      </c>
      <c r="C329">
        <v>1</v>
      </c>
      <c r="D329" t="s">
        <v>334</v>
      </c>
      <c r="E329" s="2">
        <v>4282064.18</v>
      </c>
      <c r="F329" s="2">
        <v>372479.46</v>
      </c>
    </row>
    <row r="330" spans="1:6" x14ac:dyDescent="0.2">
      <c r="A330" t="s">
        <v>6</v>
      </c>
      <c r="B330">
        <v>2890</v>
      </c>
      <c r="C330">
        <v>1</v>
      </c>
      <c r="D330" t="s">
        <v>335</v>
      </c>
      <c r="E330" s="2">
        <v>4264010.62</v>
      </c>
      <c r="F330" s="2">
        <v>370909.05</v>
      </c>
    </row>
    <row r="331" spans="1:6" x14ac:dyDescent="0.2">
      <c r="A331" t="s">
        <v>6</v>
      </c>
      <c r="B331">
        <v>2895</v>
      </c>
      <c r="C331">
        <v>1</v>
      </c>
      <c r="D331" t="s">
        <v>336</v>
      </c>
      <c r="E331" s="2">
        <v>8122771.0700000003</v>
      </c>
      <c r="F331" s="2">
        <v>706567.03</v>
      </c>
    </row>
    <row r="332" spans="1:6" x14ac:dyDescent="0.2">
      <c r="A332" t="s">
        <v>6</v>
      </c>
      <c r="B332">
        <v>2897</v>
      </c>
      <c r="C332">
        <v>1</v>
      </c>
      <c r="D332" t="s">
        <v>337</v>
      </c>
      <c r="E332" s="2">
        <v>8576580.2400000002</v>
      </c>
      <c r="F332" s="2">
        <v>746042.06</v>
      </c>
    </row>
    <row r="333" spans="1:6" x14ac:dyDescent="0.2">
      <c r="A333" t="s">
        <v>6</v>
      </c>
      <c r="B333">
        <v>2898</v>
      </c>
      <c r="C333">
        <v>1</v>
      </c>
      <c r="D333" t="s">
        <v>338</v>
      </c>
      <c r="E333" s="2">
        <v>4528594.37</v>
      </c>
      <c r="F333" s="2">
        <v>393924.12</v>
      </c>
    </row>
    <row r="334" spans="1:6" x14ac:dyDescent="0.2">
      <c r="A334" t="s">
        <v>6</v>
      </c>
      <c r="B334">
        <v>2899</v>
      </c>
      <c r="C334">
        <v>1</v>
      </c>
      <c r="D334" t="s">
        <v>339</v>
      </c>
      <c r="E334" s="2">
        <v>10201955.619999999</v>
      </c>
      <c r="F334" s="2">
        <v>887426.89</v>
      </c>
    </row>
    <row r="335" spans="1:6" x14ac:dyDescent="0.2">
      <c r="A335" t="s">
        <v>6</v>
      </c>
      <c r="B335">
        <v>2902</v>
      </c>
      <c r="C335">
        <v>1</v>
      </c>
      <c r="D335" t="s">
        <v>340</v>
      </c>
      <c r="E335" s="2">
        <v>3760780.62</v>
      </c>
      <c r="F335" s="2">
        <v>327135.11</v>
      </c>
    </row>
    <row r="336" spans="1:6" x14ac:dyDescent="0.2">
      <c r="A336" t="s">
        <v>6</v>
      </c>
      <c r="B336">
        <v>2903</v>
      </c>
      <c r="C336">
        <v>1</v>
      </c>
      <c r="D336" t="s">
        <v>341</v>
      </c>
      <c r="E336" s="2">
        <v>4153839.63</v>
      </c>
      <c r="F336" s="2">
        <v>361325.72</v>
      </c>
    </row>
    <row r="337" spans="1:6" x14ac:dyDescent="0.2">
      <c r="A337" t="s">
        <v>6</v>
      </c>
      <c r="B337">
        <v>2904</v>
      </c>
      <c r="C337">
        <v>1</v>
      </c>
      <c r="D337" t="s">
        <v>342</v>
      </c>
      <c r="E337" s="2">
        <v>5680176.2800000003</v>
      </c>
      <c r="F337" s="2">
        <v>494095.58</v>
      </c>
    </row>
  </sheetData>
  <phoneticPr fontId="4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opLeftCell="A141" workbookViewId="0">
      <selection activeCell="D45" sqref="D45"/>
    </sheetView>
  </sheetViews>
  <sheetFormatPr defaultRowHeight="12.75" x14ac:dyDescent="0.2"/>
  <cols>
    <col min="1" max="1" width="7.7109375" bestFit="1" customWidth="1"/>
    <col min="2" max="2" width="8.5703125" bestFit="1" customWidth="1"/>
    <col min="3" max="3" width="7.28515625" bestFit="1" customWidth="1"/>
    <col min="4" max="4" width="43.42578125" bestFit="1" customWidth="1"/>
    <col min="5" max="5" width="19.28515625" customWidth="1"/>
    <col min="6" max="6" width="18.57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344</v>
      </c>
      <c r="F1" s="3" t="s">
        <v>343</v>
      </c>
    </row>
    <row r="2" spans="1:6" x14ac:dyDescent="0.2">
      <c r="A2" t="s">
        <v>6</v>
      </c>
      <c r="B2">
        <v>4000</v>
      </c>
      <c r="C2">
        <v>7</v>
      </c>
      <c r="D2" t="s">
        <v>345</v>
      </c>
      <c r="E2" s="5">
        <v>1235522.1000000001</v>
      </c>
      <c r="F2" s="5">
        <v>107490.42</v>
      </c>
    </row>
    <row r="3" spans="1:6" x14ac:dyDescent="0.2">
      <c r="A3" t="s">
        <v>6</v>
      </c>
      <c r="B3">
        <v>4001</v>
      </c>
      <c r="C3">
        <v>7</v>
      </c>
      <c r="D3" t="s">
        <v>346</v>
      </c>
      <c r="E3" s="5">
        <v>1154761.8400000001</v>
      </c>
      <c r="F3" s="5">
        <v>100464.28</v>
      </c>
    </row>
    <row r="4" spans="1:6" x14ac:dyDescent="0.2">
      <c r="A4" t="s">
        <v>6</v>
      </c>
      <c r="B4">
        <v>4003</v>
      </c>
      <c r="C4">
        <v>7</v>
      </c>
      <c r="D4" t="s">
        <v>347</v>
      </c>
      <c r="E4" s="5">
        <v>851306.25</v>
      </c>
      <c r="F4" s="5">
        <v>74063.64</v>
      </c>
    </row>
    <row r="5" spans="1:6" x14ac:dyDescent="0.2">
      <c r="A5" t="s">
        <v>6</v>
      </c>
      <c r="B5">
        <v>4004</v>
      </c>
      <c r="C5">
        <v>7</v>
      </c>
      <c r="D5" t="s">
        <v>348</v>
      </c>
      <c r="E5" s="5">
        <v>991209.81</v>
      </c>
      <c r="F5" s="5">
        <v>86235.25</v>
      </c>
    </row>
    <row r="6" spans="1:6" x14ac:dyDescent="0.2">
      <c r="A6" t="s">
        <v>6</v>
      </c>
      <c r="B6">
        <v>4005</v>
      </c>
      <c r="C6">
        <v>7</v>
      </c>
      <c r="D6" t="s">
        <v>349</v>
      </c>
      <c r="E6" s="5">
        <v>62476.43</v>
      </c>
      <c r="F6" s="5">
        <v>5435.45</v>
      </c>
    </row>
    <row r="7" spans="1:6" x14ac:dyDescent="0.2">
      <c r="A7" t="s">
        <v>6</v>
      </c>
      <c r="B7">
        <v>4006</v>
      </c>
      <c r="C7">
        <v>7</v>
      </c>
      <c r="D7" t="s">
        <v>350</v>
      </c>
      <c r="E7" s="5">
        <v>657273.76</v>
      </c>
      <c r="F7" s="5">
        <v>57182.82</v>
      </c>
    </row>
    <row r="8" spans="1:6" x14ac:dyDescent="0.2">
      <c r="A8" t="s">
        <v>6</v>
      </c>
      <c r="B8">
        <v>4007</v>
      </c>
      <c r="C8">
        <v>7</v>
      </c>
      <c r="D8" t="s">
        <v>351</v>
      </c>
      <c r="E8" s="5">
        <v>853443.87</v>
      </c>
      <c r="F8" s="5">
        <v>74249.62</v>
      </c>
    </row>
    <row r="9" spans="1:6" x14ac:dyDescent="0.2">
      <c r="A9" t="s">
        <v>6</v>
      </c>
      <c r="B9">
        <v>4008</v>
      </c>
      <c r="C9">
        <v>7</v>
      </c>
      <c r="D9" t="s">
        <v>352</v>
      </c>
      <c r="E9" s="5">
        <v>3524311.36</v>
      </c>
      <c r="F9" s="5">
        <v>306615.09000000003</v>
      </c>
    </row>
    <row r="10" spans="1:6" x14ac:dyDescent="0.2">
      <c r="A10" t="s">
        <v>6</v>
      </c>
      <c r="B10">
        <v>4011</v>
      </c>
      <c r="C10">
        <v>7</v>
      </c>
      <c r="D10" t="s">
        <v>353</v>
      </c>
      <c r="E10" s="5">
        <v>2127545.48</v>
      </c>
      <c r="F10" s="5">
        <v>185096.46</v>
      </c>
    </row>
    <row r="11" spans="1:6" x14ac:dyDescent="0.2">
      <c r="A11" t="s">
        <v>6</v>
      </c>
      <c r="B11">
        <v>4012</v>
      </c>
      <c r="C11">
        <v>7</v>
      </c>
      <c r="D11" t="s">
        <v>354</v>
      </c>
      <c r="E11" s="5">
        <v>304644.03999999998</v>
      </c>
      <c r="F11" s="5">
        <v>26504.03</v>
      </c>
    </row>
    <row r="12" spans="1:6" x14ac:dyDescent="0.2">
      <c r="A12" t="s">
        <v>6</v>
      </c>
      <c r="B12">
        <v>4015</v>
      </c>
      <c r="C12">
        <v>7</v>
      </c>
      <c r="D12" t="s">
        <v>355</v>
      </c>
      <c r="E12" s="5">
        <v>5315638.79</v>
      </c>
      <c r="F12" s="5">
        <v>462460.57</v>
      </c>
    </row>
    <row r="13" spans="1:6" x14ac:dyDescent="0.2">
      <c r="A13" t="s">
        <v>6</v>
      </c>
      <c r="B13">
        <v>4016</v>
      </c>
      <c r="C13">
        <v>7</v>
      </c>
      <c r="D13" t="s">
        <v>356</v>
      </c>
      <c r="E13" s="5">
        <v>971428.64</v>
      </c>
      <c r="F13" s="5">
        <v>84514.29</v>
      </c>
    </row>
    <row r="14" spans="1:6" x14ac:dyDescent="0.2">
      <c r="A14" t="s">
        <v>6</v>
      </c>
      <c r="B14">
        <v>4017</v>
      </c>
      <c r="C14">
        <v>7</v>
      </c>
      <c r="D14" t="s">
        <v>357</v>
      </c>
      <c r="E14" s="5">
        <v>14845661.17</v>
      </c>
      <c r="F14" s="5">
        <v>1291572.52</v>
      </c>
    </row>
    <row r="15" spans="1:6" x14ac:dyDescent="0.2">
      <c r="A15" t="s">
        <v>6</v>
      </c>
      <c r="B15">
        <v>4018</v>
      </c>
      <c r="C15">
        <v>7</v>
      </c>
      <c r="D15" t="s">
        <v>358</v>
      </c>
      <c r="E15" s="5">
        <v>3458936.31</v>
      </c>
      <c r="F15" s="5">
        <v>300927.46000000002</v>
      </c>
    </row>
    <row r="16" spans="1:6" x14ac:dyDescent="0.2">
      <c r="A16" t="s">
        <v>6</v>
      </c>
      <c r="B16">
        <v>4020</v>
      </c>
      <c r="C16">
        <v>7</v>
      </c>
      <c r="D16" t="s">
        <v>359</v>
      </c>
      <c r="E16" s="5">
        <v>5591735.0800000001</v>
      </c>
      <c r="F16" s="5">
        <v>486480.95</v>
      </c>
    </row>
    <row r="17" spans="1:6" x14ac:dyDescent="0.2">
      <c r="A17" t="s">
        <v>6</v>
      </c>
      <c r="B17">
        <v>4025</v>
      </c>
      <c r="C17">
        <v>7</v>
      </c>
      <c r="D17" t="s">
        <v>360</v>
      </c>
      <c r="E17" s="5">
        <v>777176.38</v>
      </c>
      <c r="F17" s="5">
        <v>67614.350000000006</v>
      </c>
    </row>
    <row r="18" spans="1:6" x14ac:dyDescent="0.2">
      <c r="A18" t="s">
        <v>6</v>
      </c>
      <c r="B18">
        <v>4026</v>
      </c>
      <c r="C18">
        <v>7</v>
      </c>
      <c r="D18" t="s">
        <v>361</v>
      </c>
      <c r="E18" s="5">
        <v>1323641.05</v>
      </c>
      <c r="F18" s="5">
        <v>115156.77</v>
      </c>
    </row>
    <row r="19" spans="1:6" x14ac:dyDescent="0.2">
      <c r="A19" t="s">
        <v>6</v>
      </c>
      <c r="B19">
        <v>4027</v>
      </c>
      <c r="C19">
        <v>7</v>
      </c>
      <c r="D19" t="s">
        <v>362</v>
      </c>
      <c r="E19" s="5">
        <v>4886388.59</v>
      </c>
      <c r="F19" s="5">
        <v>425115.81</v>
      </c>
    </row>
    <row r="20" spans="1:6" x14ac:dyDescent="0.2">
      <c r="A20" t="s">
        <v>6</v>
      </c>
      <c r="B20">
        <v>4028</v>
      </c>
      <c r="C20">
        <v>7</v>
      </c>
      <c r="D20" t="s">
        <v>363</v>
      </c>
      <c r="E20" s="5">
        <v>203272.58</v>
      </c>
      <c r="F20" s="5">
        <v>17684.71</v>
      </c>
    </row>
    <row r="21" spans="1:6" x14ac:dyDescent="0.2">
      <c r="A21" t="s">
        <v>6</v>
      </c>
      <c r="B21">
        <v>4029</v>
      </c>
      <c r="C21">
        <v>7</v>
      </c>
      <c r="D21" t="s">
        <v>364</v>
      </c>
      <c r="E21" s="5">
        <v>2810262.65</v>
      </c>
      <c r="F21" s="5">
        <v>244492.85</v>
      </c>
    </row>
    <row r="22" spans="1:6" x14ac:dyDescent="0.2">
      <c r="A22" t="s">
        <v>6</v>
      </c>
      <c r="B22">
        <v>4030</v>
      </c>
      <c r="C22">
        <v>7</v>
      </c>
      <c r="D22" t="s">
        <v>365</v>
      </c>
      <c r="E22" s="5">
        <v>1248582.1599999999</v>
      </c>
      <c r="F22" s="5">
        <v>108626.65</v>
      </c>
    </row>
    <row r="23" spans="1:6" x14ac:dyDescent="0.2">
      <c r="A23" t="s">
        <v>6</v>
      </c>
      <c r="B23">
        <v>4031</v>
      </c>
      <c r="C23">
        <v>7</v>
      </c>
      <c r="D23" t="s">
        <v>366</v>
      </c>
      <c r="E23" s="5">
        <v>444958.8</v>
      </c>
      <c r="F23" s="5">
        <v>38711.42</v>
      </c>
    </row>
    <row r="24" spans="1:6" x14ac:dyDescent="0.2">
      <c r="A24" t="s">
        <v>6</v>
      </c>
      <c r="B24">
        <v>4032</v>
      </c>
      <c r="C24">
        <v>7</v>
      </c>
      <c r="D24" t="s">
        <v>367</v>
      </c>
      <c r="E24" s="5">
        <v>3194215.62</v>
      </c>
      <c r="F24" s="5">
        <v>277896.76</v>
      </c>
    </row>
    <row r="25" spans="1:6" x14ac:dyDescent="0.2">
      <c r="A25" t="s">
        <v>6</v>
      </c>
      <c r="B25">
        <v>4035</v>
      </c>
      <c r="C25">
        <v>7</v>
      </c>
      <c r="D25" t="s">
        <v>368</v>
      </c>
      <c r="E25" s="5">
        <v>1845742.86</v>
      </c>
      <c r="F25" s="5">
        <v>160579.63</v>
      </c>
    </row>
    <row r="26" spans="1:6" x14ac:dyDescent="0.2">
      <c r="A26" t="s">
        <v>6</v>
      </c>
      <c r="B26">
        <v>4036</v>
      </c>
      <c r="C26">
        <v>7</v>
      </c>
      <c r="D26" t="s">
        <v>369</v>
      </c>
      <c r="E26" s="5">
        <v>573663.39</v>
      </c>
      <c r="F26" s="5">
        <v>49908.71</v>
      </c>
    </row>
    <row r="27" spans="1:6" x14ac:dyDescent="0.2">
      <c r="A27" t="s">
        <v>6</v>
      </c>
      <c r="B27">
        <v>4038</v>
      </c>
      <c r="C27">
        <v>7</v>
      </c>
      <c r="D27" t="s">
        <v>370</v>
      </c>
      <c r="E27" s="5">
        <v>2253332.2400000002</v>
      </c>
      <c r="F27" s="5">
        <v>196039.9</v>
      </c>
    </row>
    <row r="28" spans="1:6" x14ac:dyDescent="0.2">
      <c r="A28" t="s">
        <v>6</v>
      </c>
      <c r="B28">
        <v>4039</v>
      </c>
      <c r="C28">
        <v>7</v>
      </c>
      <c r="D28" t="s">
        <v>371</v>
      </c>
      <c r="E28" s="5">
        <v>1998896.27</v>
      </c>
      <c r="F28" s="5">
        <v>173903.98</v>
      </c>
    </row>
    <row r="29" spans="1:6" x14ac:dyDescent="0.2">
      <c r="A29" t="s">
        <v>6</v>
      </c>
      <c r="B29">
        <v>4042</v>
      </c>
      <c r="C29">
        <v>7</v>
      </c>
      <c r="D29" t="s">
        <v>372</v>
      </c>
      <c r="E29" s="5">
        <v>1301084.53</v>
      </c>
      <c r="F29" s="5">
        <v>113194.35</v>
      </c>
    </row>
    <row r="30" spans="1:6" x14ac:dyDescent="0.2">
      <c r="A30" t="s">
        <v>6</v>
      </c>
      <c r="B30">
        <v>4043</v>
      </c>
      <c r="C30">
        <v>7</v>
      </c>
      <c r="D30" t="s">
        <v>373</v>
      </c>
      <c r="E30" s="5">
        <v>1850749.87</v>
      </c>
      <c r="F30" s="5">
        <v>161015.24</v>
      </c>
    </row>
    <row r="31" spans="1:6" x14ac:dyDescent="0.2">
      <c r="A31" t="s">
        <v>6</v>
      </c>
      <c r="B31">
        <v>4045</v>
      </c>
      <c r="C31">
        <v>7</v>
      </c>
      <c r="D31" t="s">
        <v>374</v>
      </c>
      <c r="E31" s="5">
        <v>485695.69</v>
      </c>
      <c r="F31" s="5">
        <v>42255.53</v>
      </c>
    </row>
    <row r="32" spans="1:6" x14ac:dyDescent="0.2">
      <c r="A32" t="s">
        <v>6</v>
      </c>
      <c r="B32">
        <v>4046</v>
      </c>
      <c r="C32">
        <v>7</v>
      </c>
      <c r="D32" t="s">
        <v>375</v>
      </c>
      <c r="E32" s="5">
        <v>641262.72</v>
      </c>
      <c r="F32" s="5">
        <v>55789.86</v>
      </c>
    </row>
    <row r="33" spans="1:6" x14ac:dyDescent="0.2">
      <c r="A33" t="s">
        <v>6</v>
      </c>
      <c r="B33">
        <v>4048</v>
      </c>
      <c r="C33">
        <v>7</v>
      </c>
      <c r="D33" t="s">
        <v>376</v>
      </c>
      <c r="E33" s="5">
        <v>301833.64</v>
      </c>
      <c r="F33" s="5">
        <v>26259.53</v>
      </c>
    </row>
    <row r="34" spans="1:6" x14ac:dyDescent="0.2">
      <c r="A34" t="s">
        <v>6</v>
      </c>
      <c r="B34">
        <v>4049</v>
      </c>
      <c r="C34">
        <v>7</v>
      </c>
      <c r="D34" t="s">
        <v>377</v>
      </c>
      <c r="E34" s="5">
        <v>1123032.04</v>
      </c>
      <c r="F34" s="5">
        <v>97703.79</v>
      </c>
    </row>
    <row r="35" spans="1:6" x14ac:dyDescent="0.2">
      <c r="A35" t="s">
        <v>6</v>
      </c>
      <c r="B35">
        <v>4050</v>
      </c>
      <c r="C35">
        <v>7</v>
      </c>
      <c r="D35" t="s">
        <v>378</v>
      </c>
      <c r="E35" s="5">
        <v>542033.80000000005</v>
      </c>
      <c r="F35" s="5">
        <v>47156.94</v>
      </c>
    </row>
    <row r="36" spans="1:6" x14ac:dyDescent="0.2">
      <c r="A36" t="s">
        <v>6</v>
      </c>
      <c r="B36">
        <v>4052</v>
      </c>
      <c r="C36">
        <v>7</v>
      </c>
      <c r="D36" t="s">
        <v>379</v>
      </c>
      <c r="E36" s="5">
        <v>984488.11</v>
      </c>
      <c r="F36" s="5">
        <v>85650.47</v>
      </c>
    </row>
    <row r="37" spans="1:6" x14ac:dyDescent="0.2">
      <c r="A37" t="s">
        <v>6</v>
      </c>
      <c r="B37">
        <v>4053</v>
      </c>
      <c r="C37">
        <v>7</v>
      </c>
      <c r="D37" t="s">
        <v>380</v>
      </c>
      <c r="E37" s="5">
        <v>1179920.97</v>
      </c>
      <c r="F37" s="5">
        <v>102653.12</v>
      </c>
    </row>
    <row r="38" spans="1:6" x14ac:dyDescent="0.2">
      <c r="A38" t="s">
        <v>6</v>
      </c>
      <c r="B38">
        <v>4054</v>
      </c>
      <c r="C38">
        <v>7</v>
      </c>
      <c r="D38" t="s">
        <v>381</v>
      </c>
      <c r="E38" s="5">
        <v>293368.52</v>
      </c>
      <c r="F38" s="5">
        <v>25523.06</v>
      </c>
    </row>
    <row r="39" spans="1:6" x14ac:dyDescent="0.2">
      <c r="A39" t="s">
        <v>6</v>
      </c>
      <c r="B39">
        <v>4055</v>
      </c>
      <c r="C39">
        <v>7</v>
      </c>
      <c r="D39" t="s">
        <v>382</v>
      </c>
      <c r="E39" s="5">
        <v>851317.02</v>
      </c>
      <c r="F39" s="5">
        <v>74064.58</v>
      </c>
    </row>
    <row r="40" spans="1:6" x14ac:dyDescent="0.2">
      <c r="A40" t="s">
        <v>6</v>
      </c>
      <c r="B40">
        <v>4056</v>
      </c>
      <c r="C40">
        <v>7</v>
      </c>
      <c r="D40" t="s">
        <v>383</v>
      </c>
      <c r="E40" s="5">
        <v>825622.75</v>
      </c>
      <c r="F40" s="5">
        <v>71829.179999999993</v>
      </c>
    </row>
    <row r="41" spans="1:6" x14ac:dyDescent="0.2">
      <c r="A41" t="s">
        <v>6</v>
      </c>
      <c r="B41">
        <v>4057</v>
      </c>
      <c r="C41">
        <v>7</v>
      </c>
      <c r="D41" t="s">
        <v>384</v>
      </c>
      <c r="E41" s="5">
        <v>947473.25</v>
      </c>
      <c r="F41" s="5">
        <v>82430.17</v>
      </c>
    </row>
    <row r="42" spans="1:6" x14ac:dyDescent="0.2">
      <c r="A42" t="s">
        <v>6</v>
      </c>
      <c r="B42">
        <v>4058</v>
      </c>
      <c r="C42">
        <v>7</v>
      </c>
      <c r="D42" t="s">
        <v>385</v>
      </c>
      <c r="E42" s="5">
        <v>1020027.38</v>
      </c>
      <c r="F42" s="5">
        <v>88742.38</v>
      </c>
    </row>
    <row r="43" spans="1:6" x14ac:dyDescent="0.2">
      <c r="A43" t="s">
        <v>6</v>
      </c>
      <c r="B43">
        <v>4059</v>
      </c>
      <c r="C43">
        <v>7</v>
      </c>
      <c r="D43" t="s">
        <v>386</v>
      </c>
      <c r="E43" s="5">
        <v>674541.83</v>
      </c>
      <c r="F43" s="5">
        <v>58685.14</v>
      </c>
    </row>
    <row r="44" spans="1:6" x14ac:dyDescent="0.2">
      <c r="A44" t="s">
        <v>6</v>
      </c>
      <c r="B44">
        <v>4061</v>
      </c>
      <c r="C44">
        <v>7</v>
      </c>
      <c r="D44" t="s">
        <v>387</v>
      </c>
      <c r="E44" s="5">
        <v>842208.65</v>
      </c>
      <c r="F44" s="5">
        <v>73272.149999999994</v>
      </c>
    </row>
    <row r="45" spans="1:6" x14ac:dyDescent="0.2">
      <c r="A45" t="s">
        <v>6</v>
      </c>
      <c r="B45">
        <v>4064</v>
      </c>
      <c r="C45">
        <v>7</v>
      </c>
      <c r="D45" t="s">
        <v>388</v>
      </c>
      <c r="E45" s="5">
        <v>689530.15</v>
      </c>
      <c r="F45" s="5">
        <v>59989.120000000003</v>
      </c>
    </row>
    <row r="46" spans="1:6" x14ac:dyDescent="0.2">
      <c r="A46" t="s">
        <v>6</v>
      </c>
      <c r="B46">
        <v>4066</v>
      </c>
      <c r="C46">
        <v>7</v>
      </c>
      <c r="D46" t="s">
        <v>389</v>
      </c>
      <c r="E46" s="5">
        <v>627826.12</v>
      </c>
      <c r="F46" s="5">
        <v>54620.87</v>
      </c>
    </row>
    <row r="47" spans="1:6" x14ac:dyDescent="0.2">
      <c r="A47" t="s">
        <v>6</v>
      </c>
      <c r="B47">
        <v>4067</v>
      </c>
      <c r="C47">
        <v>7</v>
      </c>
      <c r="D47" t="s">
        <v>390</v>
      </c>
      <c r="E47" s="5">
        <v>2394296.2599999998</v>
      </c>
      <c r="F47" s="5">
        <v>208303.77</v>
      </c>
    </row>
    <row r="48" spans="1:6" x14ac:dyDescent="0.2">
      <c r="A48" t="s">
        <v>6</v>
      </c>
      <c r="B48">
        <v>4068</v>
      </c>
      <c r="C48">
        <v>7</v>
      </c>
      <c r="D48" t="s">
        <v>391</v>
      </c>
      <c r="E48" s="5">
        <v>2411697.84</v>
      </c>
      <c r="F48" s="5">
        <v>209817.71</v>
      </c>
    </row>
    <row r="49" spans="1:6" x14ac:dyDescent="0.2">
      <c r="A49" t="s">
        <v>6</v>
      </c>
      <c r="B49">
        <v>4070</v>
      </c>
      <c r="C49">
        <v>7</v>
      </c>
      <c r="D49" t="s">
        <v>392</v>
      </c>
      <c r="E49" s="5">
        <v>4364606.84</v>
      </c>
      <c r="F49" s="5">
        <v>379720.8</v>
      </c>
    </row>
    <row r="50" spans="1:6" x14ac:dyDescent="0.2">
      <c r="A50" t="s">
        <v>6</v>
      </c>
      <c r="B50">
        <v>4073</v>
      </c>
      <c r="C50">
        <v>7</v>
      </c>
      <c r="D50" t="s">
        <v>393</v>
      </c>
      <c r="E50" s="5">
        <v>2200314.9</v>
      </c>
      <c r="F50" s="5">
        <v>191427.4</v>
      </c>
    </row>
    <row r="51" spans="1:6" x14ac:dyDescent="0.2">
      <c r="A51" t="s">
        <v>6</v>
      </c>
      <c r="B51">
        <v>4074</v>
      </c>
      <c r="C51">
        <v>7</v>
      </c>
      <c r="D51" t="s">
        <v>394</v>
      </c>
      <c r="E51" s="5">
        <v>1513743.39</v>
      </c>
      <c r="F51" s="5">
        <v>131695.67000000001</v>
      </c>
    </row>
    <row r="52" spans="1:6" x14ac:dyDescent="0.2">
      <c r="A52" t="s">
        <v>6</v>
      </c>
      <c r="B52">
        <v>4075</v>
      </c>
      <c r="C52">
        <v>7</v>
      </c>
      <c r="D52" t="s">
        <v>395</v>
      </c>
      <c r="E52" s="5">
        <v>1285425.33</v>
      </c>
      <c r="F52" s="5">
        <v>111832</v>
      </c>
    </row>
    <row r="53" spans="1:6" x14ac:dyDescent="0.2">
      <c r="A53" t="s">
        <v>6</v>
      </c>
      <c r="B53">
        <v>4077</v>
      </c>
      <c r="C53">
        <v>7</v>
      </c>
      <c r="D53" t="s">
        <v>396</v>
      </c>
      <c r="E53" s="5">
        <v>5206503.96</v>
      </c>
      <c r="F53" s="5">
        <v>452965.84</v>
      </c>
    </row>
    <row r="54" spans="1:6" x14ac:dyDescent="0.2">
      <c r="A54" t="s">
        <v>6</v>
      </c>
      <c r="B54">
        <v>4078</v>
      </c>
      <c r="C54">
        <v>7</v>
      </c>
      <c r="D54" t="s">
        <v>397</v>
      </c>
      <c r="E54" s="5">
        <v>3302331.86</v>
      </c>
      <c r="F54" s="5">
        <v>287302.87</v>
      </c>
    </row>
    <row r="55" spans="1:6" x14ac:dyDescent="0.2">
      <c r="A55" t="s">
        <v>6</v>
      </c>
      <c r="B55">
        <v>4079</v>
      </c>
      <c r="C55">
        <v>7</v>
      </c>
      <c r="D55" t="s">
        <v>398</v>
      </c>
      <c r="E55" s="5">
        <v>765874.68</v>
      </c>
      <c r="F55" s="5">
        <v>66631.100000000006</v>
      </c>
    </row>
    <row r="56" spans="1:6" x14ac:dyDescent="0.2">
      <c r="A56" t="s">
        <v>6</v>
      </c>
      <c r="B56">
        <v>4080</v>
      </c>
      <c r="C56">
        <v>7</v>
      </c>
      <c r="D56" t="s">
        <v>399</v>
      </c>
      <c r="E56" s="5">
        <v>422512.45</v>
      </c>
      <c r="F56" s="5">
        <v>36758.58</v>
      </c>
    </row>
    <row r="57" spans="1:6" x14ac:dyDescent="0.2">
      <c r="A57" t="s">
        <v>6</v>
      </c>
      <c r="B57">
        <v>4081</v>
      </c>
      <c r="C57">
        <v>7</v>
      </c>
      <c r="D57" t="s">
        <v>400</v>
      </c>
      <c r="E57" s="5">
        <v>443603.92</v>
      </c>
      <c r="F57" s="5">
        <v>38593.54</v>
      </c>
    </row>
    <row r="58" spans="1:6" x14ac:dyDescent="0.2">
      <c r="A58" t="s">
        <v>6</v>
      </c>
      <c r="B58">
        <v>4082</v>
      </c>
      <c r="C58">
        <v>7</v>
      </c>
      <c r="D58" t="s">
        <v>401</v>
      </c>
      <c r="E58" s="5">
        <v>5565809.7300000004</v>
      </c>
      <c r="F58" s="5">
        <v>484225.45</v>
      </c>
    </row>
    <row r="59" spans="1:6" x14ac:dyDescent="0.2">
      <c r="A59" t="s">
        <v>6</v>
      </c>
      <c r="B59">
        <v>4083</v>
      </c>
      <c r="C59">
        <v>7</v>
      </c>
      <c r="D59" t="s">
        <v>402</v>
      </c>
      <c r="E59" s="5">
        <v>418500.44</v>
      </c>
      <c r="F59" s="5">
        <v>36409.54</v>
      </c>
    </row>
    <row r="60" spans="1:6" x14ac:dyDescent="0.2">
      <c r="A60" t="s">
        <v>6</v>
      </c>
      <c r="B60">
        <v>4084</v>
      </c>
      <c r="C60">
        <v>7</v>
      </c>
      <c r="D60" t="s">
        <v>403</v>
      </c>
      <c r="E60" s="5">
        <v>1548627.13</v>
      </c>
      <c r="F60" s="5">
        <v>134730.56</v>
      </c>
    </row>
    <row r="61" spans="1:6" x14ac:dyDescent="0.2">
      <c r="A61" t="s">
        <v>6</v>
      </c>
      <c r="B61">
        <v>4085</v>
      </c>
      <c r="C61">
        <v>7</v>
      </c>
      <c r="D61" t="s">
        <v>404</v>
      </c>
      <c r="E61" s="5">
        <v>1521745.71</v>
      </c>
      <c r="F61" s="5">
        <v>132391.88</v>
      </c>
    </row>
    <row r="62" spans="1:6" x14ac:dyDescent="0.2">
      <c r="A62" t="s">
        <v>6</v>
      </c>
      <c r="B62">
        <v>4086</v>
      </c>
      <c r="C62">
        <v>7</v>
      </c>
      <c r="D62" t="s">
        <v>405</v>
      </c>
      <c r="E62" s="5">
        <v>1985909.42</v>
      </c>
      <c r="F62" s="5">
        <v>172774.12</v>
      </c>
    </row>
    <row r="63" spans="1:6" x14ac:dyDescent="0.2">
      <c r="A63" t="s">
        <v>6</v>
      </c>
      <c r="B63">
        <v>4087</v>
      </c>
      <c r="C63">
        <v>7</v>
      </c>
      <c r="D63" t="s">
        <v>406</v>
      </c>
      <c r="E63" s="5">
        <v>634060.98</v>
      </c>
      <c r="F63" s="5">
        <v>55163.31</v>
      </c>
    </row>
    <row r="64" spans="1:6" x14ac:dyDescent="0.2">
      <c r="A64" t="s">
        <v>6</v>
      </c>
      <c r="B64">
        <v>4088</v>
      </c>
      <c r="C64">
        <v>7</v>
      </c>
      <c r="D64" t="s">
        <v>407</v>
      </c>
      <c r="E64" s="5">
        <v>2064664.62</v>
      </c>
      <c r="F64" s="5">
        <v>179625.82</v>
      </c>
    </row>
    <row r="65" spans="1:6" x14ac:dyDescent="0.2">
      <c r="A65" t="s">
        <v>6</v>
      </c>
      <c r="B65">
        <v>4089</v>
      </c>
      <c r="C65">
        <v>7</v>
      </c>
      <c r="D65" t="s">
        <v>408</v>
      </c>
      <c r="E65" s="5">
        <v>767964.8</v>
      </c>
      <c r="F65" s="5">
        <v>66812.94</v>
      </c>
    </row>
    <row r="66" spans="1:6" x14ac:dyDescent="0.2">
      <c r="A66" t="s">
        <v>6</v>
      </c>
      <c r="B66">
        <v>4090</v>
      </c>
      <c r="C66">
        <v>7</v>
      </c>
      <c r="D66" t="s">
        <v>409</v>
      </c>
      <c r="E66" s="5">
        <v>653056.06999999995</v>
      </c>
      <c r="F66" s="5">
        <v>56815.88</v>
      </c>
    </row>
    <row r="67" spans="1:6" x14ac:dyDescent="0.2">
      <c r="A67" t="s">
        <v>6</v>
      </c>
      <c r="B67">
        <v>4091</v>
      </c>
      <c r="C67">
        <v>7</v>
      </c>
      <c r="D67" t="s">
        <v>410</v>
      </c>
      <c r="E67" s="5">
        <v>840153.76</v>
      </c>
      <c r="F67" s="5">
        <v>73093.38</v>
      </c>
    </row>
    <row r="68" spans="1:6" x14ac:dyDescent="0.2">
      <c r="A68" t="s">
        <v>6</v>
      </c>
      <c r="B68">
        <v>4092</v>
      </c>
      <c r="C68">
        <v>7</v>
      </c>
      <c r="D68" t="s">
        <v>411</v>
      </c>
      <c r="E68" s="5">
        <v>648834.24</v>
      </c>
      <c r="F68" s="5">
        <v>56448.58</v>
      </c>
    </row>
    <row r="69" spans="1:6" x14ac:dyDescent="0.2">
      <c r="A69" t="s">
        <v>6</v>
      </c>
      <c r="B69">
        <v>4093</v>
      </c>
      <c r="C69">
        <v>7</v>
      </c>
      <c r="D69" t="s">
        <v>412</v>
      </c>
      <c r="E69" s="5">
        <v>1051726.28</v>
      </c>
      <c r="F69" s="5">
        <v>91500.19</v>
      </c>
    </row>
    <row r="70" spans="1:6" x14ac:dyDescent="0.2">
      <c r="A70" t="s">
        <v>6</v>
      </c>
      <c r="B70">
        <v>4095</v>
      </c>
      <c r="C70">
        <v>7</v>
      </c>
      <c r="D70" t="s">
        <v>413</v>
      </c>
      <c r="E70" s="5">
        <v>1022615.6</v>
      </c>
      <c r="F70" s="5">
        <v>88967.56</v>
      </c>
    </row>
    <row r="71" spans="1:6" x14ac:dyDescent="0.2">
      <c r="A71" t="s">
        <v>6</v>
      </c>
      <c r="B71">
        <v>4097</v>
      </c>
      <c r="C71">
        <v>7</v>
      </c>
      <c r="D71" t="s">
        <v>414</v>
      </c>
      <c r="E71" s="5">
        <v>2079309.84</v>
      </c>
      <c r="F71" s="5">
        <v>180899.96</v>
      </c>
    </row>
    <row r="72" spans="1:6" x14ac:dyDescent="0.2">
      <c r="A72" t="s">
        <v>6</v>
      </c>
      <c r="B72">
        <v>4098</v>
      </c>
      <c r="C72">
        <v>7</v>
      </c>
      <c r="D72" t="s">
        <v>415</v>
      </c>
      <c r="E72" s="5">
        <v>2126114.89</v>
      </c>
      <c r="F72" s="5">
        <v>184972</v>
      </c>
    </row>
    <row r="73" spans="1:6" x14ac:dyDescent="0.2">
      <c r="A73" t="s">
        <v>6</v>
      </c>
      <c r="B73">
        <v>4099</v>
      </c>
      <c r="C73">
        <v>7</v>
      </c>
      <c r="D73" t="s">
        <v>416</v>
      </c>
      <c r="E73" s="5">
        <v>3360556.83</v>
      </c>
      <c r="F73" s="5">
        <v>292368.44</v>
      </c>
    </row>
    <row r="74" spans="1:6" x14ac:dyDescent="0.2">
      <c r="A74" t="s">
        <v>6</v>
      </c>
      <c r="B74">
        <v>4100</v>
      </c>
      <c r="C74">
        <v>7</v>
      </c>
      <c r="D74" t="s">
        <v>417</v>
      </c>
      <c r="E74" s="5">
        <v>256766.05</v>
      </c>
      <c r="F74" s="5">
        <v>22338.65</v>
      </c>
    </row>
    <row r="75" spans="1:6" x14ac:dyDescent="0.2">
      <c r="A75" t="s">
        <v>6</v>
      </c>
      <c r="B75">
        <v>4102</v>
      </c>
      <c r="C75">
        <v>7</v>
      </c>
      <c r="D75" t="s">
        <v>418</v>
      </c>
      <c r="E75" s="5">
        <v>4400163.82</v>
      </c>
      <c r="F75" s="5">
        <v>382814.25</v>
      </c>
    </row>
    <row r="76" spans="1:6" x14ac:dyDescent="0.2">
      <c r="A76" t="s">
        <v>6</v>
      </c>
      <c r="B76">
        <v>4103</v>
      </c>
      <c r="C76">
        <v>7</v>
      </c>
      <c r="D76" t="s">
        <v>419</v>
      </c>
      <c r="E76" s="5">
        <v>4266706.0599999996</v>
      </c>
      <c r="F76" s="5">
        <v>371203.43</v>
      </c>
    </row>
    <row r="77" spans="1:6" x14ac:dyDescent="0.2">
      <c r="A77" t="s">
        <v>6</v>
      </c>
      <c r="B77">
        <v>4104</v>
      </c>
      <c r="C77">
        <v>7</v>
      </c>
      <c r="D77" t="s">
        <v>420</v>
      </c>
      <c r="E77" s="5">
        <v>1388448.5</v>
      </c>
      <c r="F77" s="5">
        <v>120795.02</v>
      </c>
    </row>
    <row r="78" spans="1:6" x14ac:dyDescent="0.2">
      <c r="A78" t="s">
        <v>6</v>
      </c>
      <c r="B78">
        <v>4105</v>
      </c>
      <c r="C78">
        <v>7</v>
      </c>
      <c r="D78" t="s">
        <v>421</v>
      </c>
      <c r="E78" s="5">
        <v>1464388.58</v>
      </c>
      <c r="F78" s="5">
        <v>127401.81</v>
      </c>
    </row>
    <row r="79" spans="1:6" x14ac:dyDescent="0.2">
      <c r="A79" t="s">
        <v>6</v>
      </c>
      <c r="B79">
        <v>4106</v>
      </c>
      <c r="C79">
        <v>7</v>
      </c>
      <c r="D79" t="s">
        <v>422</v>
      </c>
      <c r="E79" s="5">
        <v>1223443.8600000001</v>
      </c>
      <c r="F79" s="5">
        <v>106439.62</v>
      </c>
    </row>
    <row r="80" spans="1:6" x14ac:dyDescent="0.2">
      <c r="A80" t="s">
        <v>6</v>
      </c>
      <c r="B80">
        <v>4107</v>
      </c>
      <c r="C80">
        <v>7</v>
      </c>
      <c r="D80" t="s">
        <v>423</v>
      </c>
      <c r="E80" s="5">
        <v>592432.5</v>
      </c>
      <c r="F80" s="5">
        <v>51541.63</v>
      </c>
    </row>
    <row r="81" spans="1:6" x14ac:dyDescent="0.2">
      <c r="A81" t="s">
        <v>6</v>
      </c>
      <c r="B81">
        <v>4108</v>
      </c>
      <c r="C81">
        <v>7</v>
      </c>
      <c r="D81" t="s">
        <v>424</v>
      </c>
      <c r="E81" s="5">
        <v>906736.24</v>
      </c>
      <c r="F81" s="5">
        <v>78886.05</v>
      </c>
    </row>
    <row r="82" spans="1:6" x14ac:dyDescent="0.2">
      <c r="A82" t="s">
        <v>6</v>
      </c>
      <c r="B82">
        <v>4109</v>
      </c>
      <c r="C82">
        <v>7</v>
      </c>
      <c r="D82" t="s">
        <v>425</v>
      </c>
      <c r="E82" s="5">
        <v>1508232.05</v>
      </c>
      <c r="F82" s="5">
        <v>131216.19</v>
      </c>
    </row>
    <row r="83" spans="1:6" x14ac:dyDescent="0.2">
      <c r="A83" t="s">
        <v>6</v>
      </c>
      <c r="B83">
        <v>4110</v>
      </c>
      <c r="C83">
        <v>7</v>
      </c>
      <c r="D83" t="s">
        <v>426</v>
      </c>
      <c r="E83" s="5">
        <v>1448231.71</v>
      </c>
      <c r="F83" s="5">
        <v>125996.16</v>
      </c>
    </row>
    <row r="84" spans="1:6" x14ac:dyDescent="0.2">
      <c r="A84" t="s">
        <v>6</v>
      </c>
      <c r="B84">
        <v>4111</v>
      </c>
      <c r="C84">
        <v>7</v>
      </c>
      <c r="D84" t="s">
        <v>427</v>
      </c>
      <c r="E84" s="5">
        <v>692670.48</v>
      </c>
      <c r="F84" s="5">
        <v>60262.33</v>
      </c>
    </row>
    <row r="85" spans="1:6" x14ac:dyDescent="0.2">
      <c r="A85" t="s">
        <v>6</v>
      </c>
      <c r="B85">
        <v>4112</v>
      </c>
      <c r="C85">
        <v>7</v>
      </c>
      <c r="D85" t="s">
        <v>428</v>
      </c>
      <c r="E85" s="5">
        <v>2476506.36</v>
      </c>
      <c r="F85" s="5">
        <v>215456.05</v>
      </c>
    </row>
    <row r="86" spans="1:6" x14ac:dyDescent="0.2">
      <c r="A86" t="s">
        <v>6</v>
      </c>
      <c r="B86">
        <v>4113</v>
      </c>
      <c r="C86">
        <v>7</v>
      </c>
      <c r="D86" t="s">
        <v>429</v>
      </c>
      <c r="E86" s="5">
        <v>409900.4</v>
      </c>
      <c r="F86" s="5">
        <v>35661.33</v>
      </c>
    </row>
    <row r="87" spans="1:6" x14ac:dyDescent="0.2">
      <c r="A87" t="s">
        <v>6</v>
      </c>
      <c r="B87">
        <v>4114</v>
      </c>
      <c r="C87">
        <v>7</v>
      </c>
      <c r="D87" t="s">
        <v>430</v>
      </c>
      <c r="E87" s="5">
        <v>799085.36</v>
      </c>
      <c r="F87" s="5">
        <v>69520.429999999993</v>
      </c>
    </row>
    <row r="88" spans="1:6" x14ac:dyDescent="0.2">
      <c r="A88" t="s">
        <v>6</v>
      </c>
      <c r="B88">
        <v>4115</v>
      </c>
      <c r="C88">
        <v>7</v>
      </c>
      <c r="D88" t="s">
        <v>431</v>
      </c>
      <c r="E88" s="5">
        <v>1074485.0900000001</v>
      </c>
      <c r="F88" s="5">
        <v>93480.2</v>
      </c>
    </row>
    <row r="89" spans="1:6" x14ac:dyDescent="0.2">
      <c r="A89" t="s">
        <v>6</v>
      </c>
      <c r="B89">
        <v>4116</v>
      </c>
      <c r="C89">
        <v>7</v>
      </c>
      <c r="D89" t="s">
        <v>432</v>
      </c>
      <c r="E89" s="5">
        <v>2347179.75</v>
      </c>
      <c r="F89" s="5">
        <v>204204.64</v>
      </c>
    </row>
    <row r="90" spans="1:6" x14ac:dyDescent="0.2">
      <c r="A90" t="s">
        <v>6</v>
      </c>
      <c r="B90">
        <v>4118</v>
      </c>
      <c r="C90">
        <v>7</v>
      </c>
      <c r="D90" t="s">
        <v>433</v>
      </c>
      <c r="E90" s="5">
        <v>1412617.25</v>
      </c>
      <c r="F90" s="5">
        <v>122897.7</v>
      </c>
    </row>
    <row r="91" spans="1:6" x14ac:dyDescent="0.2">
      <c r="A91" t="s">
        <v>6</v>
      </c>
      <c r="B91">
        <v>4119</v>
      </c>
      <c r="C91">
        <v>7</v>
      </c>
      <c r="D91" t="s">
        <v>434</v>
      </c>
      <c r="E91" s="5">
        <v>568320.36</v>
      </c>
      <c r="F91" s="5">
        <v>49443.87</v>
      </c>
    </row>
    <row r="92" spans="1:6" x14ac:dyDescent="0.2">
      <c r="A92" t="s">
        <v>6</v>
      </c>
      <c r="B92">
        <v>4120</v>
      </c>
      <c r="C92">
        <v>7</v>
      </c>
      <c r="D92" t="s">
        <v>435</v>
      </c>
      <c r="E92" s="5">
        <v>2515714.9500000002</v>
      </c>
      <c r="F92" s="5">
        <v>218867.20000000001</v>
      </c>
    </row>
    <row r="93" spans="1:6" x14ac:dyDescent="0.2">
      <c r="A93" t="s">
        <v>6</v>
      </c>
      <c r="B93">
        <v>4121</v>
      </c>
      <c r="C93">
        <v>7</v>
      </c>
      <c r="D93" t="s">
        <v>436</v>
      </c>
      <c r="E93" s="5">
        <v>2685526.3</v>
      </c>
      <c r="F93" s="5">
        <v>233640.79</v>
      </c>
    </row>
    <row r="94" spans="1:6" x14ac:dyDescent="0.2">
      <c r="A94" t="s">
        <v>6</v>
      </c>
      <c r="B94">
        <v>4122</v>
      </c>
      <c r="C94">
        <v>7</v>
      </c>
      <c r="D94" t="s">
        <v>437</v>
      </c>
      <c r="E94" s="5">
        <v>1952089.63</v>
      </c>
      <c r="F94" s="5">
        <v>169831.8</v>
      </c>
    </row>
    <row r="95" spans="1:6" x14ac:dyDescent="0.2">
      <c r="A95" t="s">
        <v>6</v>
      </c>
      <c r="B95">
        <v>4123</v>
      </c>
      <c r="C95">
        <v>7</v>
      </c>
      <c r="D95" t="s">
        <v>438</v>
      </c>
      <c r="E95" s="5">
        <v>265857.40000000002</v>
      </c>
      <c r="F95" s="5">
        <v>23129.59</v>
      </c>
    </row>
    <row r="96" spans="1:6" x14ac:dyDescent="0.2">
      <c r="A96" t="s">
        <v>6</v>
      </c>
      <c r="B96">
        <v>4124</v>
      </c>
      <c r="C96">
        <v>7</v>
      </c>
      <c r="D96" t="s">
        <v>439</v>
      </c>
      <c r="E96" s="5">
        <v>1508996.71</v>
      </c>
      <c r="F96" s="5">
        <v>131282.71</v>
      </c>
    </row>
    <row r="97" spans="1:6" x14ac:dyDescent="0.2">
      <c r="A97" t="s">
        <v>6</v>
      </c>
      <c r="B97">
        <v>4125</v>
      </c>
      <c r="C97">
        <v>7</v>
      </c>
      <c r="D97" t="s">
        <v>440</v>
      </c>
      <c r="E97" s="5">
        <v>848263.52</v>
      </c>
      <c r="F97" s="5">
        <v>73798.929999999993</v>
      </c>
    </row>
    <row r="98" spans="1:6" x14ac:dyDescent="0.2">
      <c r="A98" t="s">
        <v>6</v>
      </c>
      <c r="B98">
        <v>4126</v>
      </c>
      <c r="C98">
        <v>7</v>
      </c>
      <c r="D98" t="s">
        <v>441</v>
      </c>
      <c r="E98" s="5">
        <v>3108063.18</v>
      </c>
      <c r="F98" s="5">
        <v>270401.5</v>
      </c>
    </row>
    <row r="99" spans="1:6" x14ac:dyDescent="0.2">
      <c r="A99" t="s">
        <v>6</v>
      </c>
      <c r="B99">
        <v>4127</v>
      </c>
      <c r="C99">
        <v>7</v>
      </c>
      <c r="D99" t="s">
        <v>442</v>
      </c>
      <c r="E99" s="5">
        <v>800295.51</v>
      </c>
      <c r="F99" s="5">
        <v>69625.710000000006</v>
      </c>
    </row>
    <row r="100" spans="1:6" x14ac:dyDescent="0.2">
      <c r="A100" t="s">
        <v>6</v>
      </c>
      <c r="B100">
        <v>4131</v>
      </c>
      <c r="C100">
        <v>7</v>
      </c>
      <c r="D100" t="s">
        <v>443</v>
      </c>
      <c r="E100" s="5">
        <v>1738036.11</v>
      </c>
      <c r="F100" s="5">
        <v>151209.14000000001</v>
      </c>
    </row>
    <row r="101" spans="1:6" x14ac:dyDescent="0.2">
      <c r="A101" t="s">
        <v>6</v>
      </c>
      <c r="B101">
        <v>4132</v>
      </c>
      <c r="C101">
        <v>7</v>
      </c>
      <c r="D101" t="s">
        <v>444</v>
      </c>
      <c r="E101" s="5">
        <v>566893.84</v>
      </c>
      <c r="F101" s="5">
        <v>49319.76</v>
      </c>
    </row>
    <row r="102" spans="1:6" x14ac:dyDescent="0.2">
      <c r="A102" t="s">
        <v>6</v>
      </c>
      <c r="B102">
        <v>4133</v>
      </c>
      <c r="C102">
        <v>7</v>
      </c>
      <c r="D102" t="s">
        <v>445</v>
      </c>
      <c r="E102" s="5">
        <v>435771.27</v>
      </c>
      <c r="F102" s="5">
        <v>37912.1</v>
      </c>
    </row>
    <row r="103" spans="1:6" x14ac:dyDescent="0.2">
      <c r="A103" t="s">
        <v>6</v>
      </c>
      <c r="B103">
        <v>4135</v>
      </c>
      <c r="C103">
        <v>7</v>
      </c>
      <c r="D103" t="s">
        <v>446</v>
      </c>
      <c r="E103" s="5">
        <v>1079597.75</v>
      </c>
      <c r="F103" s="5">
        <v>93925</v>
      </c>
    </row>
    <row r="104" spans="1:6" x14ac:dyDescent="0.2">
      <c r="A104" t="s">
        <v>6</v>
      </c>
      <c r="B104">
        <v>4137</v>
      </c>
      <c r="C104">
        <v>7</v>
      </c>
      <c r="D104" t="s">
        <v>447</v>
      </c>
      <c r="E104" s="5">
        <v>739697.58</v>
      </c>
      <c r="F104" s="5">
        <v>64353.69</v>
      </c>
    </row>
    <row r="105" spans="1:6" x14ac:dyDescent="0.2">
      <c r="A105" t="s">
        <v>6</v>
      </c>
      <c r="B105">
        <v>4138</v>
      </c>
      <c r="C105">
        <v>7</v>
      </c>
      <c r="D105" t="s">
        <v>448</v>
      </c>
      <c r="E105" s="5">
        <v>327710.12</v>
      </c>
      <c r="F105" s="5">
        <v>28510.78</v>
      </c>
    </row>
    <row r="106" spans="1:6" x14ac:dyDescent="0.2">
      <c r="A106" t="s">
        <v>6</v>
      </c>
      <c r="B106">
        <v>4139</v>
      </c>
      <c r="C106">
        <v>7</v>
      </c>
      <c r="D106" t="s">
        <v>449</v>
      </c>
      <c r="E106" s="5">
        <v>2231380.36</v>
      </c>
      <c r="F106" s="5">
        <v>194130.09</v>
      </c>
    </row>
    <row r="107" spans="1:6" x14ac:dyDescent="0.2">
      <c r="A107" t="s">
        <v>6</v>
      </c>
      <c r="B107">
        <v>4140</v>
      </c>
      <c r="C107">
        <v>7</v>
      </c>
      <c r="D107" t="s">
        <v>450</v>
      </c>
      <c r="E107" s="5">
        <v>805787.71</v>
      </c>
      <c r="F107" s="5">
        <v>70103.53</v>
      </c>
    </row>
    <row r="108" spans="1:6" x14ac:dyDescent="0.2">
      <c r="A108" t="s">
        <v>6</v>
      </c>
      <c r="B108">
        <v>4141</v>
      </c>
      <c r="C108">
        <v>7</v>
      </c>
      <c r="D108" t="s">
        <v>451</v>
      </c>
      <c r="E108" s="5">
        <v>1950999.02</v>
      </c>
      <c r="F108" s="5">
        <v>169736.91</v>
      </c>
    </row>
    <row r="109" spans="1:6" x14ac:dyDescent="0.2">
      <c r="A109" t="s">
        <v>6</v>
      </c>
      <c r="B109">
        <v>4142</v>
      </c>
      <c r="C109">
        <v>7</v>
      </c>
      <c r="D109" t="s">
        <v>452</v>
      </c>
      <c r="E109" s="5">
        <v>1672263.91</v>
      </c>
      <c r="F109" s="5">
        <v>145486.96</v>
      </c>
    </row>
    <row r="110" spans="1:6" x14ac:dyDescent="0.2">
      <c r="A110" t="s">
        <v>6</v>
      </c>
      <c r="B110">
        <v>4143</v>
      </c>
      <c r="C110">
        <v>7</v>
      </c>
      <c r="D110" t="s">
        <v>453</v>
      </c>
      <c r="E110" s="5">
        <v>3227263.51</v>
      </c>
      <c r="F110" s="5">
        <v>280771.93</v>
      </c>
    </row>
    <row r="111" spans="1:6" x14ac:dyDescent="0.2">
      <c r="A111" t="s">
        <v>6</v>
      </c>
      <c r="B111">
        <v>4144</v>
      </c>
      <c r="C111">
        <v>7</v>
      </c>
      <c r="D111" t="s">
        <v>454</v>
      </c>
      <c r="E111" s="5">
        <v>489582.59</v>
      </c>
      <c r="F111" s="5">
        <v>42593.69</v>
      </c>
    </row>
    <row r="112" spans="1:6" x14ac:dyDescent="0.2">
      <c r="A112" t="s">
        <v>6</v>
      </c>
      <c r="B112">
        <v>4145</v>
      </c>
      <c r="C112">
        <v>7</v>
      </c>
      <c r="D112" t="s">
        <v>455</v>
      </c>
      <c r="E112" s="5">
        <v>324110.2</v>
      </c>
      <c r="F112" s="5">
        <v>28197.59</v>
      </c>
    </row>
    <row r="113" spans="1:6" x14ac:dyDescent="0.2">
      <c r="A113" t="s">
        <v>6</v>
      </c>
      <c r="B113">
        <v>4146</v>
      </c>
      <c r="C113">
        <v>7</v>
      </c>
      <c r="D113" t="s">
        <v>456</v>
      </c>
      <c r="E113" s="5">
        <v>722498.86</v>
      </c>
      <c r="F113" s="5">
        <v>62857.4</v>
      </c>
    </row>
    <row r="114" spans="1:6" x14ac:dyDescent="0.2">
      <c r="A114" t="s">
        <v>6</v>
      </c>
      <c r="B114">
        <v>4149</v>
      </c>
      <c r="C114">
        <v>7</v>
      </c>
      <c r="D114" t="s">
        <v>457</v>
      </c>
      <c r="E114" s="5">
        <v>632914.72</v>
      </c>
      <c r="F114" s="5">
        <v>55063.58</v>
      </c>
    </row>
    <row r="115" spans="1:6" x14ac:dyDescent="0.2">
      <c r="A115" t="s">
        <v>6</v>
      </c>
      <c r="B115">
        <v>4150</v>
      </c>
      <c r="C115">
        <v>7</v>
      </c>
      <c r="D115" t="s">
        <v>458</v>
      </c>
      <c r="E115" s="5">
        <v>690299.95</v>
      </c>
      <c r="F115" s="5">
        <v>60056.1</v>
      </c>
    </row>
    <row r="116" spans="1:6" x14ac:dyDescent="0.2">
      <c r="A116" t="s">
        <v>6</v>
      </c>
      <c r="B116">
        <v>4151</v>
      </c>
      <c r="C116">
        <v>7</v>
      </c>
      <c r="D116" t="s">
        <v>459</v>
      </c>
      <c r="E116" s="5">
        <v>558154.28</v>
      </c>
      <c r="F116" s="5">
        <v>48559.42</v>
      </c>
    </row>
    <row r="117" spans="1:6" x14ac:dyDescent="0.2">
      <c r="A117" t="s">
        <v>6</v>
      </c>
      <c r="B117">
        <v>4152</v>
      </c>
      <c r="C117">
        <v>7</v>
      </c>
      <c r="D117" t="s">
        <v>460</v>
      </c>
      <c r="E117" s="5">
        <v>664226.96</v>
      </c>
      <c r="F117" s="5">
        <v>57787.75</v>
      </c>
    </row>
    <row r="118" spans="1:6" x14ac:dyDescent="0.2">
      <c r="A118" t="s">
        <v>6</v>
      </c>
      <c r="B118">
        <v>4153</v>
      </c>
      <c r="C118">
        <v>7</v>
      </c>
      <c r="D118" t="s">
        <v>461</v>
      </c>
      <c r="E118" s="5">
        <v>1771954.17</v>
      </c>
      <c r="F118" s="5">
        <v>154160.01</v>
      </c>
    </row>
    <row r="119" spans="1:6" x14ac:dyDescent="0.2">
      <c r="A119" t="s">
        <v>6</v>
      </c>
      <c r="B119">
        <v>4154</v>
      </c>
      <c r="C119">
        <v>7</v>
      </c>
      <c r="D119" t="s">
        <v>462</v>
      </c>
      <c r="E119" s="5">
        <v>288582.03000000003</v>
      </c>
      <c r="F119" s="5">
        <v>25106.639999999999</v>
      </c>
    </row>
    <row r="120" spans="1:6" x14ac:dyDescent="0.2">
      <c r="A120" t="s">
        <v>6</v>
      </c>
      <c r="B120">
        <v>4155</v>
      </c>
      <c r="C120">
        <v>7</v>
      </c>
      <c r="D120" t="s">
        <v>463</v>
      </c>
      <c r="E120" s="5">
        <v>667194.92000000004</v>
      </c>
      <c r="F120" s="5">
        <v>58045.96</v>
      </c>
    </row>
    <row r="121" spans="1:6" x14ac:dyDescent="0.2">
      <c r="A121" t="s">
        <v>6</v>
      </c>
      <c r="B121">
        <v>4159</v>
      </c>
      <c r="C121">
        <v>7</v>
      </c>
      <c r="D121" t="s">
        <v>464</v>
      </c>
      <c r="E121" s="5">
        <v>1592678.17</v>
      </c>
      <c r="F121" s="5">
        <v>138563</v>
      </c>
    </row>
    <row r="122" spans="1:6" x14ac:dyDescent="0.2">
      <c r="A122" t="s">
        <v>6</v>
      </c>
      <c r="B122">
        <v>4160</v>
      </c>
      <c r="C122">
        <v>7</v>
      </c>
      <c r="D122" t="s">
        <v>465</v>
      </c>
      <c r="E122" s="5">
        <v>806001.44</v>
      </c>
      <c r="F122" s="5">
        <v>70122.13</v>
      </c>
    </row>
    <row r="123" spans="1:6" x14ac:dyDescent="0.2">
      <c r="A123" t="s">
        <v>6</v>
      </c>
      <c r="B123">
        <v>4161</v>
      </c>
      <c r="C123">
        <v>7</v>
      </c>
      <c r="D123" t="s">
        <v>466</v>
      </c>
      <c r="E123" s="5">
        <v>594048.61</v>
      </c>
      <c r="F123" s="5">
        <v>51682.23</v>
      </c>
    </row>
    <row r="124" spans="1:6" x14ac:dyDescent="0.2">
      <c r="A124" t="s">
        <v>6</v>
      </c>
      <c r="B124">
        <v>4162</v>
      </c>
      <c r="C124">
        <v>7</v>
      </c>
      <c r="D124" t="s">
        <v>467</v>
      </c>
      <c r="E124" s="5">
        <v>620407.49</v>
      </c>
      <c r="F124" s="5">
        <v>53975.45</v>
      </c>
    </row>
    <row r="125" spans="1:6" x14ac:dyDescent="0.2">
      <c r="A125" t="s">
        <v>6</v>
      </c>
      <c r="B125">
        <v>4163</v>
      </c>
      <c r="C125">
        <v>7</v>
      </c>
      <c r="D125" t="s">
        <v>468</v>
      </c>
      <c r="E125" s="5">
        <v>1382419.03</v>
      </c>
      <c r="F125" s="5">
        <v>120270.46</v>
      </c>
    </row>
    <row r="126" spans="1:6" x14ac:dyDescent="0.2">
      <c r="A126" t="s">
        <v>6</v>
      </c>
      <c r="B126">
        <v>4166</v>
      </c>
      <c r="C126">
        <v>7</v>
      </c>
      <c r="D126" t="s">
        <v>469</v>
      </c>
      <c r="E126" s="5">
        <v>599295.96</v>
      </c>
      <c r="F126" s="5">
        <v>52138.75</v>
      </c>
    </row>
    <row r="127" spans="1:6" x14ac:dyDescent="0.2">
      <c r="A127" t="s">
        <v>6</v>
      </c>
      <c r="B127">
        <v>4167</v>
      </c>
      <c r="C127">
        <v>7</v>
      </c>
      <c r="D127" t="s">
        <v>470</v>
      </c>
      <c r="E127" s="5">
        <v>340460.17</v>
      </c>
      <c r="F127" s="5">
        <v>29620.03</v>
      </c>
    </row>
    <row r="128" spans="1:6" x14ac:dyDescent="0.2">
      <c r="A128" t="s">
        <v>6</v>
      </c>
      <c r="B128">
        <v>4168</v>
      </c>
      <c r="C128">
        <v>7</v>
      </c>
      <c r="D128" t="s">
        <v>471</v>
      </c>
      <c r="E128" s="5">
        <v>491243.51</v>
      </c>
      <c r="F128" s="5">
        <v>42738.19</v>
      </c>
    </row>
    <row r="129" spans="1:6" x14ac:dyDescent="0.2">
      <c r="A129" t="s">
        <v>6</v>
      </c>
      <c r="B129">
        <v>4169</v>
      </c>
      <c r="C129">
        <v>7</v>
      </c>
      <c r="D129" t="s">
        <v>472</v>
      </c>
      <c r="E129" s="5">
        <v>967038.84</v>
      </c>
      <c r="F129" s="5">
        <v>84132.38</v>
      </c>
    </row>
    <row r="130" spans="1:6" x14ac:dyDescent="0.2">
      <c r="A130" t="s">
        <v>6</v>
      </c>
      <c r="B130">
        <v>4170</v>
      </c>
      <c r="C130">
        <v>7</v>
      </c>
      <c r="D130" t="s">
        <v>473</v>
      </c>
      <c r="E130" s="5">
        <v>949834.57</v>
      </c>
      <c r="F130" s="5">
        <v>82635.61</v>
      </c>
    </row>
    <row r="131" spans="1:6" x14ac:dyDescent="0.2">
      <c r="A131" t="s">
        <v>6</v>
      </c>
      <c r="B131">
        <v>4171</v>
      </c>
      <c r="C131">
        <v>7</v>
      </c>
      <c r="D131" t="s">
        <v>474</v>
      </c>
      <c r="E131" s="5">
        <v>1788907.2</v>
      </c>
      <c r="F131" s="5">
        <v>155634.93</v>
      </c>
    </row>
    <row r="132" spans="1:6" x14ac:dyDescent="0.2">
      <c r="A132" t="s">
        <v>6</v>
      </c>
      <c r="B132">
        <v>4172</v>
      </c>
      <c r="C132">
        <v>7</v>
      </c>
      <c r="D132" t="s">
        <v>475</v>
      </c>
      <c r="E132" s="5">
        <v>395264.7</v>
      </c>
      <c r="F132" s="5">
        <v>34388.03</v>
      </c>
    </row>
    <row r="133" spans="1:6" x14ac:dyDescent="0.2">
      <c r="A133" t="s">
        <v>6</v>
      </c>
      <c r="B133">
        <v>4173</v>
      </c>
      <c r="C133">
        <v>7</v>
      </c>
      <c r="D133" t="s">
        <v>476</v>
      </c>
      <c r="E133" s="5">
        <v>1310561.17</v>
      </c>
      <c r="F133" s="5">
        <v>114018.82</v>
      </c>
    </row>
    <row r="134" spans="1:6" x14ac:dyDescent="0.2">
      <c r="A134" t="s">
        <v>6</v>
      </c>
      <c r="B134">
        <v>4174</v>
      </c>
      <c r="C134">
        <v>7</v>
      </c>
      <c r="D134" t="s">
        <v>477</v>
      </c>
      <c r="E134" s="5">
        <v>304596.61</v>
      </c>
      <c r="F134" s="5">
        <v>26499.91</v>
      </c>
    </row>
    <row r="135" spans="1:6" x14ac:dyDescent="0.2">
      <c r="A135" t="s">
        <v>6</v>
      </c>
      <c r="B135">
        <v>4175</v>
      </c>
      <c r="C135">
        <v>7</v>
      </c>
      <c r="D135" t="s">
        <v>478</v>
      </c>
      <c r="E135" s="5">
        <v>384607.68</v>
      </c>
      <c r="F135" s="5">
        <v>33460.870000000003</v>
      </c>
    </row>
    <row r="136" spans="1:6" x14ac:dyDescent="0.2">
      <c r="A136" t="s">
        <v>6</v>
      </c>
      <c r="B136">
        <v>4177</v>
      </c>
      <c r="C136">
        <v>7</v>
      </c>
      <c r="D136" t="s">
        <v>479</v>
      </c>
      <c r="E136" s="5">
        <v>460543.39</v>
      </c>
      <c r="F136" s="5">
        <v>40067.269999999997</v>
      </c>
    </row>
    <row r="137" spans="1:6" x14ac:dyDescent="0.2">
      <c r="A137" t="s">
        <v>6</v>
      </c>
      <c r="B137">
        <v>4178</v>
      </c>
      <c r="C137">
        <v>7</v>
      </c>
      <c r="D137" t="s">
        <v>480</v>
      </c>
      <c r="E137" s="5">
        <v>1920288.68</v>
      </c>
      <c r="F137" s="5">
        <v>167065.12</v>
      </c>
    </row>
    <row r="138" spans="1:6" x14ac:dyDescent="0.2">
      <c r="A138" t="s">
        <v>6</v>
      </c>
      <c r="B138">
        <v>4180</v>
      </c>
      <c r="C138">
        <v>7</v>
      </c>
      <c r="D138" t="s">
        <v>481</v>
      </c>
      <c r="E138" s="5">
        <v>1119018.27</v>
      </c>
      <c r="F138" s="5">
        <v>97354.59</v>
      </c>
    </row>
    <row r="139" spans="1:6" x14ac:dyDescent="0.2">
      <c r="A139" t="s">
        <v>6</v>
      </c>
      <c r="B139">
        <v>4181</v>
      </c>
      <c r="C139">
        <v>7</v>
      </c>
      <c r="D139" t="s">
        <v>482</v>
      </c>
      <c r="E139" s="5">
        <v>1466263.35</v>
      </c>
      <c r="F139" s="5">
        <v>127564.91</v>
      </c>
    </row>
    <row r="147" spans="2:5" x14ac:dyDescent="0.2">
      <c r="B147" t="s">
        <v>483</v>
      </c>
    </row>
    <row r="149" spans="2:5" x14ac:dyDescent="0.2">
      <c r="B149">
        <v>4044</v>
      </c>
      <c r="C149">
        <v>7</v>
      </c>
      <c r="D149" t="s">
        <v>484</v>
      </c>
      <c r="E149" s="5">
        <v>1987084.23</v>
      </c>
    </row>
    <row r="150" spans="2:5" x14ac:dyDescent="0.2">
      <c r="B150">
        <v>4072</v>
      </c>
      <c r="C150">
        <v>7</v>
      </c>
      <c r="D150" t="s">
        <v>485</v>
      </c>
      <c r="E150" s="5">
        <v>182618.83</v>
      </c>
    </row>
    <row r="151" spans="2:5" x14ac:dyDescent="0.2">
      <c r="B151">
        <v>4101</v>
      </c>
      <c r="C151">
        <v>7</v>
      </c>
      <c r="D151" t="s">
        <v>486</v>
      </c>
      <c r="E151" s="5">
        <v>63286.27</v>
      </c>
    </row>
    <row r="152" spans="2:5" x14ac:dyDescent="0.2">
      <c r="B152">
        <v>4148</v>
      </c>
      <c r="C152">
        <v>7</v>
      </c>
      <c r="D152" t="s">
        <v>487</v>
      </c>
      <c r="E152" s="5">
        <v>945807.39</v>
      </c>
    </row>
    <row r="153" spans="2:5" x14ac:dyDescent="0.2">
      <c r="B153">
        <v>4165</v>
      </c>
      <c r="C153">
        <v>7</v>
      </c>
      <c r="D153" t="s">
        <v>488</v>
      </c>
      <c r="E153" s="5">
        <v>731806.75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ARRA Allocation-midyear load</vt:lpstr>
      <vt:lpstr>ARRA Allocation-webload-063009</vt:lpstr>
      <vt:lpstr>Changes since 6-11-2009</vt:lpstr>
      <vt:lpstr>ARRA Allocation-063009-verified</vt:lpstr>
      <vt:lpstr>FY10 School Districts Qualifyin</vt:lpstr>
      <vt:lpstr>FY10 Charter Schools Qualifying</vt:lpstr>
      <vt:lpstr>'FY10 Charter Schools Qualifying'!FY10_Charter_Schools_Qualifying_for_Stabilization_Funds</vt:lpstr>
      <vt:lpstr>'ARRA Allocation-063009-verified'!FY10_School_Districts_Qualifying_for_Stabilization_Funds</vt:lpstr>
      <vt:lpstr>'FY10 School Districts Qualifyin'!FY10_School_Districts_Qualifying_for_Stabilization_Funds</vt:lpstr>
      <vt:lpstr>'ARRA Allocation-midyear load'!Print_Area</vt:lpstr>
      <vt:lpstr>'ARRA Allocation-webload-063009'!Print_Area</vt:lpstr>
      <vt:lpstr>'Changes since 6-11-2009'!Print_Area</vt:lpstr>
      <vt:lpstr>'ARRA Allocation-midyear load'!Print_Titles</vt:lpstr>
      <vt:lpstr>'ARRA Allocation-webload-063009'!Print_Titles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Kostelecky, Teri</cp:lastModifiedBy>
  <cp:lastPrinted>2010-04-09T19:23:39Z</cp:lastPrinted>
  <dcterms:created xsi:type="dcterms:W3CDTF">2009-06-30T01:25:59Z</dcterms:created>
  <dcterms:modified xsi:type="dcterms:W3CDTF">2011-10-28T16:08:58Z</dcterms:modified>
</cp:coreProperties>
</file>