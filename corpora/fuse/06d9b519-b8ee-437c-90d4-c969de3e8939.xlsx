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worksheets/sheet9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pivotTables/pivotTable1.xml" ContentType="application/vnd.openxmlformats-officedocument.spreadsheetml.pivotTable+xml"/>
  <Override PartName="/xl/comments6.xml" ContentType="application/vnd.openxmlformats-officedocument.spreadsheetml.comments+xml"/>
  <Override PartName="/xl/comments7.xml" ContentType="application/vnd.openxmlformats-officedocument.spreadsheetml.comment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Default Extension="vml" ContentType="application/vnd.openxmlformats-officedocument.vmlDrawing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pivotCache/pivotCacheRecords1.xml" ContentType="application/vnd.openxmlformats-officedocument.spreadsheetml.pivotCacheRecords+xml"/>
  <Override PartName="/xl/comments10.xml" ContentType="application/vnd.openxmlformats-officedocument.spreadsheetml.comment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108" windowWidth="13212" windowHeight="7008" activeTab="1"/>
  </bookViews>
  <sheets>
    <sheet name="Cost Pool" sheetId="8" r:id="rId1"/>
    <sheet name="Charges" sheetId="16" r:id="rId2"/>
    <sheet name="Model" sheetId="12" r:id="rId3"/>
    <sheet name="Lookup Values" sheetId="5" r:id="rId4"/>
    <sheet name="$ FY 2008-09" sheetId="13" r:id="rId5"/>
    <sheet name="Pos FY 2008-09" sheetId="15" r:id="rId6"/>
    <sheet name="$ FY 2009-10" sheetId="3" r:id="rId7"/>
    <sheet name="Pos FY 2009-10" sheetId="11" r:id="rId8"/>
    <sheet name="$ FY 2010-11" sheetId="2" r:id="rId9"/>
    <sheet name="Pos FY 2010-11" sheetId="10" r:id="rId10"/>
    <sheet name="$ FY 2011-12" sheetId="1" r:id="rId11"/>
    <sheet name="Pos FY 2011-12" sheetId="6" r:id="rId12"/>
    <sheet name="$ FY 2012-13" sheetId="18" r:id="rId13"/>
    <sheet name="Pos FY 2012-13" sheetId="17" r:id="rId14"/>
  </sheets>
  <definedNames>
    <definedName name="_xlnm._FilterDatabase" localSheetId="11" hidden="1">'Pos FY 2011-12'!#REF!</definedName>
    <definedName name="Bureaus">'Lookup Values'!$H$3:$I$32</definedName>
    <definedName name="Crosswalk">'Lookup Values'!$A$3:$C$97</definedName>
    <definedName name="Funds">'Lookup Values'!$E$3:$F$91</definedName>
    <definedName name="FY2008_09">'$ FY 2008-09'!$A$2:$J$78</definedName>
    <definedName name="FY2008_09P">'Pos FY 2008-09'!$A$2:$F$40</definedName>
    <definedName name="FY2009_10">'$ FY 2009-10'!$A$2:$J$80</definedName>
    <definedName name="FY2009_10P">'Pos FY 2009-10'!$A$2:$F$42</definedName>
    <definedName name="FY2010_11">'$ FY 2010-11'!$A$2:$J$83</definedName>
    <definedName name="FY2010_11P">'Pos FY 2010-11'!$A$2:$F$42</definedName>
    <definedName name="FY2011_12">'$ FY 2011-12'!$A$2:$J$81</definedName>
    <definedName name="FY2011_12P">'Pos FY 2011-12'!$A$2:$F$41</definedName>
    <definedName name="FY2012_13">'$ FY 2012-13'!$A$2:$J$80</definedName>
    <definedName name="FY2012_13P">'Pos FY 2012-13'!$A$2:$F$42</definedName>
    <definedName name="Model">Model!$A$2:$B$92</definedName>
  </definedNames>
  <calcPr calcId="125725"/>
  <pivotCaches>
    <pivotCache cacheId="0" r:id="rId15"/>
  </pivotCaches>
</workbook>
</file>

<file path=xl/calcChain.xml><?xml version="1.0" encoding="utf-8"?>
<calcChain xmlns="http://schemas.openxmlformats.org/spreadsheetml/2006/main">
  <c r="D10" i="8"/>
  <c r="D18"/>
  <c r="D17"/>
  <c r="D16"/>
  <c r="D15"/>
  <c r="D13"/>
  <c r="D9"/>
  <c r="D8"/>
  <c r="D6"/>
  <c r="D5"/>
  <c r="D4"/>
  <c r="D3"/>
  <c r="D11"/>
  <c r="D12"/>
  <c r="G56" i="1"/>
  <c r="B57" i="2"/>
  <c r="B56" i="1"/>
  <c r="D56" s="1"/>
  <c r="G54" i="18"/>
  <c r="D54"/>
  <c r="L57" i="2"/>
  <c r="D57"/>
  <c r="G57" s="1"/>
  <c r="E57"/>
  <c r="L56" i="1"/>
  <c r="E56"/>
  <c r="K54" i="18"/>
  <c r="L54"/>
  <c r="E54"/>
  <c r="E62" i="12"/>
  <c r="F62"/>
  <c r="L62"/>
  <c r="M62"/>
  <c r="B62"/>
  <c r="K62" s="1"/>
  <c r="C62"/>
  <c r="D62"/>
  <c r="D11" i="15"/>
  <c r="D10"/>
  <c r="E3"/>
  <c r="E4"/>
  <c r="E5"/>
  <c r="E6"/>
  <c r="E7"/>
  <c r="E8"/>
  <c r="E9"/>
  <c r="E10"/>
  <c r="E11"/>
  <c r="E12"/>
  <c r="E13"/>
  <c r="E14"/>
  <c r="E15"/>
  <c r="E16"/>
  <c r="E17"/>
  <c r="E18"/>
  <c r="E19"/>
  <c r="E20"/>
  <c r="E21"/>
  <c r="E22"/>
  <c r="E23"/>
  <c r="E24"/>
  <c r="E25"/>
  <c r="E26"/>
  <c r="E27"/>
  <c r="E28"/>
  <c r="E29"/>
  <c r="E30"/>
  <c r="E31"/>
  <c r="E32"/>
  <c r="E33"/>
  <c r="E34"/>
  <c r="E35"/>
  <c r="E36"/>
  <c r="E37"/>
  <c r="E38"/>
  <c r="E39"/>
  <c r="E40"/>
  <c r="E2"/>
  <c r="D11" i="11"/>
  <c r="D10"/>
  <c r="E3"/>
  <c r="E4"/>
  <c r="E5"/>
  <c r="E6"/>
  <c r="E7"/>
  <c r="E8"/>
  <c r="E9"/>
  <c r="E10"/>
  <c r="E11"/>
  <c r="E12"/>
  <c r="E13"/>
  <c r="E14"/>
  <c r="E15"/>
  <c r="E16"/>
  <c r="E17"/>
  <c r="E18"/>
  <c r="E19"/>
  <c r="E20"/>
  <c r="E21"/>
  <c r="E22"/>
  <c r="E23"/>
  <c r="E24"/>
  <c r="E25"/>
  <c r="E26"/>
  <c r="E27"/>
  <c r="E28"/>
  <c r="E29"/>
  <c r="E30"/>
  <c r="E31"/>
  <c r="E32"/>
  <c r="E33"/>
  <c r="E34"/>
  <c r="E35"/>
  <c r="E36"/>
  <c r="E37"/>
  <c r="E38"/>
  <c r="E39"/>
  <c r="E40"/>
  <c r="E41"/>
  <c r="E42"/>
  <c r="E2"/>
  <c r="D16" i="6"/>
  <c r="D17" i="10"/>
  <c r="D15" i="17"/>
  <c r="D12"/>
  <c r="D9"/>
  <c r="D8"/>
  <c r="D9" i="6"/>
  <c r="D10"/>
  <c r="D14" i="10"/>
  <c r="D11"/>
  <c r="D10"/>
  <c r="E3"/>
  <c r="E4"/>
  <c r="E5"/>
  <c r="E6"/>
  <c r="E7"/>
  <c r="E8"/>
  <c r="E9"/>
  <c r="E10"/>
  <c r="E11"/>
  <c r="E12"/>
  <c r="E13"/>
  <c r="E14"/>
  <c r="E15"/>
  <c r="E16"/>
  <c r="E17"/>
  <c r="E18"/>
  <c r="E19"/>
  <c r="E20"/>
  <c r="E21"/>
  <c r="E22"/>
  <c r="E23"/>
  <c r="E24"/>
  <c r="E25"/>
  <c r="E26"/>
  <c r="E27"/>
  <c r="E28"/>
  <c r="E29"/>
  <c r="E30"/>
  <c r="E31"/>
  <c r="E32"/>
  <c r="E33"/>
  <c r="E34"/>
  <c r="E35"/>
  <c r="E36"/>
  <c r="E37"/>
  <c r="E38"/>
  <c r="E39"/>
  <c r="E40"/>
  <c r="E41"/>
  <c r="E42"/>
  <c r="E2"/>
  <c r="E3" i="6"/>
  <c r="E4"/>
  <c r="E5"/>
  <c r="E6"/>
  <c r="E7"/>
  <c r="E8"/>
  <c r="E9"/>
  <c r="E10"/>
  <c r="E11"/>
  <c r="E12"/>
  <c r="E13"/>
  <c r="E14"/>
  <c r="E15"/>
  <c r="E16"/>
  <c r="E17"/>
  <c r="E18"/>
  <c r="E19"/>
  <c r="E20"/>
  <c r="E21"/>
  <c r="E22"/>
  <c r="E23"/>
  <c r="E24"/>
  <c r="E25"/>
  <c r="E26"/>
  <c r="E27"/>
  <c r="E28"/>
  <c r="E29"/>
  <c r="E30"/>
  <c r="E31"/>
  <c r="E32"/>
  <c r="E33"/>
  <c r="E34"/>
  <c r="E35"/>
  <c r="E36"/>
  <c r="E37"/>
  <c r="E38"/>
  <c r="E39"/>
  <c r="E40"/>
  <c r="E41"/>
  <c r="E2"/>
  <c r="E3" i="17"/>
  <c r="E4"/>
  <c r="E5"/>
  <c r="E6"/>
  <c r="E7"/>
  <c r="E8"/>
  <c r="E9"/>
  <c r="E10"/>
  <c r="E11"/>
  <c r="E12"/>
  <c r="E13"/>
  <c r="E14"/>
  <c r="E15"/>
  <c r="E16"/>
  <c r="E17"/>
  <c r="E18"/>
  <c r="E19"/>
  <c r="E20"/>
  <c r="E21"/>
  <c r="E22"/>
  <c r="E23"/>
  <c r="E24"/>
  <c r="E25"/>
  <c r="E26"/>
  <c r="E27"/>
  <c r="E28"/>
  <c r="E29"/>
  <c r="E30"/>
  <c r="E31"/>
  <c r="E32"/>
  <c r="E33"/>
  <c r="E34"/>
  <c r="E35"/>
  <c r="E36"/>
  <c r="E37"/>
  <c r="E38"/>
  <c r="E39"/>
  <c r="E40"/>
  <c r="E41"/>
  <c r="E42"/>
  <c r="E2"/>
  <c r="I30" i="3"/>
  <c r="B25" i="8"/>
  <c r="D44" i="16"/>
  <c r="I57" i="2" l="1"/>
  <c r="I54" i="18"/>
  <c r="N62" i="12"/>
  <c r="J62"/>
  <c r="K56" i="1"/>
  <c r="K57" i="2"/>
  <c r="I56" i="1"/>
  <c r="U38" i="12"/>
  <c r="T12"/>
  <c r="D14" i="8"/>
  <c r="D7"/>
  <c r="I3" i="18"/>
  <c r="I4"/>
  <c r="I5"/>
  <c r="I6"/>
  <c r="I7"/>
  <c r="I8"/>
  <c r="I9"/>
  <c r="I10"/>
  <c r="I11"/>
  <c r="I12"/>
  <c r="I13"/>
  <c r="I14"/>
  <c r="I15"/>
  <c r="I16"/>
  <c r="I17"/>
  <c r="I18"/>
  <c r="I19"/>
  <c r="I20"/>
  <c r="I21"/>
  <c r="I22"/>
  <c r="I23"/>
  <c r="I24"/>
  <c r="I25"/>
  <c r="I26"/>
  <c r="I27"/>
  <c r="I28"/>
  <c r="I29"/>
  <c r="I30"/>
  <c r="I31"/>
  <c r="I32"/>
  <c r="I33"/>
  <c r="I34"/>
  <c r="I35"/>
  <c r="I36"/>
  <c r="I37"/>
  <c r="I38"/>
  <c r="I39"/>
  <c r="I40"/>
  <c r="I41"/>
  <c r="I42"/>
  <c r="I43"/>
  <c r="I44"/>
  <c r="I45"/>
  <c r="I46"/>
  <c r="I47"/>
  <c r="I48"/>
  <c r="I49"/>
  <c r="I50"/>
  <c r="I51"/>
  <c r="I52"/>
  <c r="I53"/>
  <c r="I55"/>
  <c r="I56"/>
  <c r="I57"/>
  <c r="I58"/>
  <c r="I59"/>
  <c r="I60"/>
  <c r="I61"/>
  <c r="I62"/>
  <c r="I63"/>
  <c r="I64"/>
  <c r="I65"/>
  <c r="I66"/>
  <c r="I67"/>
  <c r="I68"/>
  <c r="I69"/>
  <c r="I70"/>
  <c r="I71"/>
  <c r="I72"/>
  <c r="I73"/>
  <c r="I74"/>
  <c r="I75"/>
  <c r="I76"/>
  <c r="I77"/>
  <c r="I78"/>
  <c r="I79"/>
  <c r="I80"/>
  <c r="B27" i="12"/>
  <c r="J27" l="1"/>
  <c r="K27"/>
  <c r="E27"/>
  <c r="L27"/>
  <c r="N27"/>
  <c r="M27"/>
  <c r="D27"/>
  <c r="G27"/>
  <c r="F27"/>
  <c r="C27"/>
  <c r="H27"/>
  <c r="I27"/>
  <c r="D19" i="8"/>
  <c r="D25" s="1"/>
  <c r="P27" i="12" l="1"/>
  <c r="O27"/>
  <c r="V27" s="1"/>
  <c r="U27" s="1"/>
  <c r="C14" i="8"/>
  <c r="C11"/>
  <c r="C12"/>
  <c r="C9"/>
  <c r="H11" i="18"/>
  <c r="F79"/>
  <c r="G52"/>
  <c r="G32"/>
  <c r="H18"/>
  <c r="H13" i="1"/>
  <c r="H13" i="18"/>
  <c r="B7" i="12"/>
  <c r="B4"/>
  <c r="B63" i="18"/>
  <c r="L73"/>
  <c r="L74"/>
  <c r="L75"/>
  <c r="L76"/>
  <c r="L77"/>
  <c r="L78"/>
  <c r="L79"/>
  <c r="L80"/>
  <c r="E77"/>
  <c r="E78"/>
  <c r="E79"/>
  <c r="E80"/>
  <c r="D77"/>
  <c r="D78"/>
  <c r="D79"/>
  <c r="D80"/>
  <c r="J7" i="12" l="1"/>
  <c r="K7"/>
  <c r="J4"/>
  <c r="K4"/>
  <c r="L7"/>
  <c r="N7"/>
  <c r="M7"/>
  <c r="L4"/>
  <c r="M4"/>
  <c r="N4"/>
  <c r="G4"/>
  <c r="C4"/>
  <c r="D4"/>
  <c r="E7"/>
  <c r="C7"/>
  <c r="D7"/>
  <c r="C19" i="8"/>
  <c r="C25" s="1"/>
  <c r="S27" i="12" s="1"/>
  <c r="R27" s="1"/>
  <c r="E4"/>
  <c r="F7"/>
  <c r="H4"/>
  <c r="F4"/>
  <c r="H7"/>
  <c r="G7"/>
  <c r="I7"/>
  <c r="D74" i="18"/>
  <c r="E74"/>
  <c r="D75"/>
  <c r="E75"/>
  <c r="D76"/>
  <c r="E76"/>
  <c r="D2"/>
  <c r="E2"/>
  <c r="D3"/>
  <c r="E3"/>
  <c r="D4"/>
  <c r="H4" s="1"/>
  <c r="E4"/>
  <c r="D5"/>
  <c r="H5" s="1"/>
  <c r="E5"/>
  <c r="D6"/>
  <c r="E6"/>
  <c r="D7"/>
  <c r="E7"/>
  <c r="D8"/>
  <c r="H8" s="1"/>
  <c r="E8"/>
  <c r="D9"/>
  <c r="E9"/>
  <c r="D10"/>
  <c r="E10"/>
  <c r="D11"/>
  <c r="E11"/>
  <c r="D12"/>
  <c r="E12"/>
  <c r="D13"/>
  <c r="E13"/>
  <c r="D14"/>
  <c r="H14" s="1"/>
  <c r="E14"/>
  <c r="D15"/>
  <c r="E15"/>
  <c r="D16"/>
  <c r="E16"/>
  <c r="D17"/>
  <c r="E17"/>
  <c r="D18"/>
  <c r="E18"/>
  <c r="D19"/>
  <c r="H19" s="1"/>
  <c r="E19"/>
  <c r="D20"/>
  <c r="H20" s="1"/>
  <c r="E20"/>
  <c r="D21"/>
  <c r="H21" s="1"/>
  <c r="E21"/>
  <c r="D22"/>
  <c r="E22"/>
  <c r="D23"/>
  <c r="E23"/>
  <c r="D24"/>
  <c r="E24"/>
  <c r="D25"/>
  <c r="E25"/>
  <c r="D26"/>
  <c r="E26"/>
  <c r="D27"/>
  <c r="E27"/>
  <c r="D28"/>
  <c r="E28"/>
  <c r="D29"/>
  <c r="E29"/>
  <c r="D30"/>
  <c r="E30"/>
  <c r="D31"/>
  <c r="E31"/>
  <c r="D32"/>
  <c r="E32"/>
  <c r="D33"/>
  <c r="E33"/>
  <c r="D34"/>
  <c r="E34"/>
  <c r="D35"/>
  <c r="E35"/>
  <c r="D36"/>
  <c r="E36"/>
  <c r="D37"/>
  <c r="E37"/>
  <c r="D38"/>
  <c r="E38"/>
  <c r="D39"/>
  <c r="E39"/>
  <c r="D40"/>
  <c r="E40"/>
  <c r="D41"/>
  <c r="E41"/>
  <c r="D42"/>
  <c r="E42"/>
  <c r="D43"/>
  <c r="E43"/>
  <c r="D44"/>
  <c r="E44"/>
  <c r="D45"/>
  <c r="E45"/>
  <c r="D46"/>
  <c r="E46"/>
  <c r="D47"/>
  <c r="E47"/>
  <c r="D48"/>
  <c r="E48"/>
  <c r="D49"/>
  <c r="E49"/>
  <c r="D50"/>
  <c r="E50"/>
  <c r="D51"/>
  <c r="E51"/>
  <c r="D52"/>
  <c r="E52"/>
  <c r="D53"/>
  <c r="E53"/>
  <c r="D55"/>
  <c r="E55"/>
  <c r="D56"/>
  <c r="E56"/>
  <c r="D57"/>
  <c r="E57"/>
  <c r="D58"/>
  <c r="E58"/>
  <c r="D59"/>
  <c r="E59"/>
  <c r="D60"/>
  <c r="E60"/>
  <c r="D61"/>
  <c r="E61"/>
  <c r="D62"/>
  <c r="E62"/>
  <c r="D63"/>
  <c r="E63"/>
  <c r="D64"/>
  <c r="E64"/>
  <c r="D65"/>
  <c r="E65"/>
  <c r="D66"/>
  <c r="E66"/>
  <c r="D67"/>
  <c r="E67"/>
  <c r="D68"/>
  <c r="E68"/>
  <c r="D69"/>
  <c r="E69"/>
  <c r="D70"/>
  <c r="E70"/>
  <c r="D71"/>
  <c r="E71"/>
  <c r="D72"/>
  <c r="E72"/>
  <c r="D73"/>
  <c r="E73"/>
  <c r="L18"/>
  <c r="L9"/>
  <c r="L3"/>
  <c r="L71"/>
  <c r="L70"/>
  <c r="L69"/>
  <c r="L67"/>
  <c r="L66"/>
  <c r="L65"/>
  <c r="L63"/>
  <c r="L62"/>
  <c r="L60"/>
  <c r="L59"/>
  <c r="L57"/>
  <c r="L56"/>
  <c r="L53"/>
  <c r="L52"/>
  <c r="L51"/>
  <c r="L49"/>
  <c r="L48"/>
  <c r="L47"/>
  <c r="L45"/>
  <c r="L44"/>
  <c r="L43"/>
  <c r="L41"/>
  <c r="L40"/>
  <c r="L39"/>
  <c r="L37"/>
  <c r="L36"/>
  <c r="L35"/>
  <c r="L33"/>
  <c r="L32"/>
  <c r="L31"/>
  <c r="L29"/>
  <c r="L27"/>
  <c r="L26"/>
  <c r="L25"/>
  <c r="L23"/>
  <c r="L21"/>
  <c r="L20"/>
  <c r="L19"/>
  <c r="L17"/>
  <c r="L16"/>
  <c r="L15"/>
  <c r="L13"/>
  <c r="L12"/>
  <c r="L11"/>
  <c r="L8"/>
  <c r="L7"/>
  <c r="L6"/>
  <c r="L5"/>
  <c r="L4"/>
  <c r="L2"/>
  <c r="H13" i="11"/>
  <c r="H13" i="10"/>
  <c r="O7" i="12" l="1"/>
  <c r="V7" s="1"/>
  <c r="U7" s="1"/>
  <c r="P7"/>
  <c r="P4"/>
  <c r="H2" i="18"/>
  <c r="I2" s="1"/>
  <c r="J54" s="1"/>
  <c r="I62" i="12" s="1"/>
  <c r="L14" i="18"/>
  <c r="L28"/>
  <c r="L38"/>
  <c r="L64"/>
  <c r="L68"/>
  <c r="L72"/>
  <c r="L10"/>
  <c r="L22"/>
  <c r="L24"/>
  <c r="L30"/>
  <c r="L34"/>
  <c r="L42"/>
  <c r="L46"/>
  <c r="L50"/>
  <c r="L55"/>
  <c r="L58"/>
  <c r="L61"/>
  <c r="H3"/>
  <c r="F77" i="13"/>
  <c r="H16"/>
  <c r="H17" i="3"/>
  <c r="H10" i="1"/>
  <c r="H10" i="2"/>
  <c r="H10" i="3"/>
  <c r="H10" i="13"/>
  <c r="H40" i="17"/>
  <c r="H39"/>
  <c r="H38"/>
  <c r="H37"/>
  <c r="H36"/>
  <c r="H35"/>
  <c r="H34"/>
  <c r="H33"/>
  <c r="H32"/>
  <c r="H31"/>
  <c r="H30"/>
  <c r="H29"/>
  <c r="H28"/>
  <c r="H27"/>
  <c r="H26"/>
  <c r="H25"/>
  <c r="H24"/>
  <c r="H23"/>
  <c r="H22"/>
  <c r="H21"/>
  <c r="H20"/>
  <c r="H19"/>
  <c r="H18"/>
  <c r="H17"/>
  <c r="H16"/>
  <c r="H15"/>
  <c r="H14"/>
  <c r="H13"/>
  <c r="H12"/>
  <c r="H11"/>
  <c r="H10"/>
  <c r="H9"/>
  <c r="H8"/>
  <c r="H7"/>
  <c r="H6"/>
  <c r="H5"/>
  <c r="H4"/>
  <c r="H3"/>
  <c r="H2"/>
  <c r="B3" i="12"/>
  <c r="B5"/>
  <c r="B6"/>
  <c r="B8"/>
  <c r="B9"/>
  <c r="B10"/>
  <c r="B11"/>
  <c r="B12"/>
  <c r="B13"/>
  <c r="B14"/>
  <c r="B15"/>
  <c r="B16"/>
  <c r="B17"/>
  <c r="B18"/>
  <c r="B19"/>
  <c r="B20"/>
  <c r="B21"/>
  <c r="B22"/>
  <c r="B23"/>
  <c r="B24"/>
  <c r="K24" s="1"/>
  <c r="B25"/>
  <c r="B26"/>
  <c r="B28"/>
  <c r="B29"/>
  <c r="B30"/>
  <c r="B31"/>
  <c r="B32"/>
  <c r="B33"/>
  <c r="B34"/>
  <c r="B35"/>
  <c r="B36"/>
  <c r="B37"/>
  <c r="B38"/>
  <c r="B39"/>
  <c r="B40"/>
  <c r="B41"/>
  <c r="B42"/>
  <c r="B43"/>
  <c r="B44"/>
  <c r="B45"/>
  <c r="B46"/>
  <c r="B47"/>
  <c r="B48"/>
  <c r="B49"/>
  <c r="B50"/>
  <c r="B51"/>
  <c r="B52"/>
  <c r="B53"/>
  <c r="B54"/>
  <c r="B55"/>
  <c r="B56"/>
  <c r="B57"/>
  <c r="B58"/>
  <c r="B59"/>
  <c r="B60"/>
  <c r="B61"/>
  <c r="B63"/>
  <c r="B64"/>
  <c r="B65"/>
  <c r="B66"/>
  <c r="B67"/>
  <c r="B68"/>
  <c r="B69"/>
  <c r="B70"/>
  <c r="B71"/>
  <c r="B72"/>
  <c r="B73"/>
  <c r="B74"/>
  <c r="B75"/>
  <c r="B76"/>
  <c r="B77"/>
  <c r="B78"/>
  <c r="B79"/>
  <c r="B80"/>
  <c r="B81"/>
  <c r="B82"/>
  <c r="B83"/>
  <c r="B84"/>
  <c r="B85"/>
  <c r="B86"/>
  <c r="B87"/>
  <c r="B88"/>
  <c r="B89"/>
  <c r="B90"/>
  <c r="B91"/>
  <c r="B92"/>
  <c r="B2"/>
  <c r="J79" l="1"/>
  <c r="K79"/>
  <c r="K71"/>
  <c r="J71"/>
  <c r="J63"/>
  <c r="K63"/>
  <c r="J54"/>
  <c r="K54"/>
  <c r="J46"/>
  <c r="K46"/>
  <c r="J42"/>
  <c r="K42"/>
  <c r="K64"/>
  <c r="J64"/>
  <c r="K55"/>
  <c r="J55"/>
  <c r="K47"/>
  <c r="J47"/>
  <c r="K39"/>
  <c r="J39"/>
  <c r="K31"/>
  <c r="J31"/>
  <c r="J81"/>
  <c r="K81"/>
  <c r="K69"/>
  <c r="J69"/>
  <c r="J65"/>
  <c r="K65"/>
  <c r="J60"/>
  <c r="K60"/>
  <c r="J56"/>
  <c r="K56"/>
  <c r="J52"/>
  <c r="K52"/>
  <c r="J48"/>
  <c r="K48"/>
  <c r="J44"/>
  <c r="K44"/>
  <c r="J40"/>
  <c r="K40"/>
  <c r="J36"/>
  <c r="K36"/>
  <c r="J32"/>
  <c r="K32"/>
  <c r="K23"/>
  <c r="J23"/>
  <c r="J15"/>
  <c r="J11"/>
  <c r="K11"/>
  <c r="J67"/>
  <c r="K67"/>
  <c r="J58"/>
  <c r="K58"/>
  <c r="J50"/>
  <c r="K50"/>
  <c r="J34"/>
  <c r="K34"/>
  <c r="K25"/>
  <c r="J25"/>
  <c r="K92"/>
  <c r="J92"/>
  <c r="K59"/>
  <c r="J59"/>
  <c r="K51"/>
  <c r="J51"/>
  <c r="K43"/>
  <c r="J43"/>
  <c r="K35"/>
  <c r="J35"/>
  <c r="J90"/>
  <c r="K82"/>
  <c r="J82"/>
  <c r="K78"/>
  <c r="J78"/>
  <c r="J70"/>
  <c r="K70"/>
  <c r="K66"/>
  <c r="J66"/>
  <c r="K61"/>
  <c r="J61"/>
  <c r="K57"/>
  <c r="J57"/>
  <c r="K53"/>
  <c r="J53"/>
  <c r="K49"/>
  <c r="J49"/>
  <c r="K45"/>
  <c r="J45"/>
  <c r="K41"/>
  <c r="J41"/>
  <c r="K37"/>
  <c r="J37"/>
  <c r="K33"/>
  <c r="J33"/>
  <c r="J29"/>
  <c r="K29"/>
  <c r="M78"/>
  <c r="L78"/>
  <c r="M70"/>
  <c r="N70"/>
  <c r="L70"/>
  <c r="M61"/>
  <c r="N61"/>
  <c r="L61"/>
  <c r="M53"/>
  <c r="L53"/>
  <c r="N53"/>
  <c r="M45"/>
  <c r="L45"/>
  <c r="N45"/>
  <c r="M37"/>
  <c r="L37"/>
  <c r="N37"/>
  <c r="L24"/>
  <c r="M24"/>
  <c r="N24"/>
  <c r="N67"/>
  <c r="M67"/>
  <c r="L67"/>
  <c r="N58"/>
  <c r="M58"/>
  <c r="L58"/>
  <c r="N50"/>
  <c r="M50"/>
  <c r="L50"/>
  <c r="N42"/>
  <c r="M42"/>
  <c r="L42"/>
  <c r="N34"/>
  <c r="M34"/>
  <c r="L34"/>
  <c r="M25"/>
  <c r="N25"/>
  <c r="L25"/>
  <c r="L92"/>
  <c r="N92"/>
  <c r="M92"/>
  <c r="N64"/>
  <c r="M64"/>
  <c r="L64"/>
  <c r="L59"/>
  <c r="N59"/>
  <c r="M59"/>
  <c r="L55"/>
  <c r="N55"/>
  <c r="M55"/>
  <c r="N51"/>
  <c r="M51"/>
  <c r="L51"/>
  <c r="L47"/>
  <c r="N47"/>
  <c r="M47"/>
  <c r="N43"/>
  <c r="M43"/>
  <c r="L43"/>
  <c r="L39"/>
  <c r="N39"/>
  <c r="M39"/>
  <c r="N35"/>
  <c r="M35"/>
  <c r="L35"/>
  <c r="N31"/>
  <c r="M31"/>
  <c r="L31"/>
  <c r="N5"/>
  <c r="M82"/>
  <c r="L82"/>
  <c r="N82"/>
  <c r="M66"/>
  <c r="L66"/>
  <c r="N66"/>
  <c r="M57"/>
  <c r="L57"/>
  <c r="N57"/>
  <c r="M49"/>
  <c r="N49"/>
  <c r="L49"/>
  <c r="M41"/>
  <c r="N41"/>
  <c r="L41"/>
  <c r="M33"/>
  <c r="N33"/>
  <c r="L33"/>
  <c r="M29"/>
  <c r="N29"/>
  <c r="L29"/>
  <c r="M79"/>
  <c r="L79"/>
  <c r="N71"/>
  <c r="M71"/>
  <c r="L71"/>
  <c r="N63"/>
  <c r="M63"/>
  <c r="L63"/>
  <c r="N54"/>
  <c r="M54"/>
  <c r="L54"/>
  <c r="N46"/>
  <c r="M46"/>
  <c r="L46"/>
  <c r="L81"/>
  <c r="M81"/>
  <c r="N81"/>
  <c r="L69"/>
  <c r="N69"/>
  <c r="M69"/>
  <c r="L65"/>
  <c r="M65"/>
  <c r="N65"/>
  <c r="L60"/>
  <c r="N60"/>
  <c r="M60"/>
  <c r="L56"/>
  <c r="N56"/>
  <c r="M56"/>
  <c r="L52"/>
  <c r="M52"/>
  <c r="N52"/>
  <c r="L48"/>
  <c r="N48"/>
  <c r="M48"/>
  <c r="L44"/>
  <c r="M44"/>
  <c r="N44"/>
  <c r="L40"/>
  <c r="N40"/>
  <c r="M40"/>
  <c r="L36"/>
  <c r="M36"/>
  <c r="N36"/>
  <c r="L32"/>
  <c r="M32"/>
  <c r="N32"/>
  <c r="L23"/>
  <c r="N23"/>
  <c r="M23"/>
  <c r="L11"/>
  <c r="N11"/>
  <c r="M11"/>
  <c r="C2"/>
  <c r="D2"/>
  <c r="D85"/>
  <c r="C85"/>
  <c r="F81"/>
  <c r="C81"/>
  <c r="D81"/>
  <c r="D77"/>
  <c r="C77"/>
  <c r="C73"/>
  <c r="D73"/>
  <c r="D69"/>
  <c r="C69"/>
  <c r="D65"/>
  <c r="C65"/>
  <c r="D60"/>
  <c r="C60"/>
  <c r="D56"/>
  <c r="C56"/>
  <c r="D52"/>
  <c r="C52"/>
  <c r="D48"/>
  <c r="C48"/>
  <c r="D44"/>
  <c r="C44"/>
  <c r="D40"/>
  <c r="C40"/>
  <c r="D36"/>
  <c r="C36"/>
  <c r="D32"/>
  <c r="C32"/>
  <c r="C28"/>
  <c r="D28"/>
  <c r="K22" i="18"/>
  <c r="C23" i="12"/>
  <c r="D23"/>
  <c r="C19"/>
  <c r="D19"/>
  <c r="D15"/>
  <c r="C15"/>
  <c r="C11"/>
  <c r="D11"/>
  <c r="C6"/>
  <c r="D6"/>
  <c r="K78" i="18"/>
  <c r="D90" i="12"/>
  <c r="C90"/>
  <c r="D86"/>
  <c r="C86"/>
  <c r="D82"/>
  <c r="C82"/>
  <c r="D78"/>
  <c r="C78"/>
  <c r="D74"/>
  <c r="C74"/>
  <c r="D70"/>
  <c r="C70"/>
  <c r="D66"/>
  <c r="C66"/>
  <c r="D61"/>
  <c r="C61"/>
  <c r="D57"/>
  <c r="C57"/>
  <c r="D53"/>
  <c r="C53"/>
  <c r="D49"/>
  <c r="C49"/>
  <c r="D45"/>
  <c r="C45"/>
  <c r="D41"/>
  <c r="C41"/>
  <c r="D37"/>
  <c r="C37"/>
  <c r="D33"/>
  <c r="C33"/>
  <c r="D29"/>
  <c r="C29"/>
  <c r="C24"/>
  <c r="D24"/>
  <c r="C20"/>
  <c r="D20"/>
  <c r="C16"/>
  <c r="D16"/>
  <c r="C12"/>
  <c r="D12"/>
  <c r="C8"/>
  <c r="D8"/>
  <c r="K77" i="18"/>
  <c r="C89" i="12"/>
  <c r="D89"/>
  <c r="K79" i="18"/>
  <c r="D91" i="12"/>
  <c r="C91"/>
  <c r="D87"/>
  <c r="C87"/>
  <c r="D83"/>
  <c r="C83"/>
  <c r="C79"/>
  <c r="D79"/>
  <c r="K64" i="18"/>
  <c r="D75" i="12"/>
  <c r="C75"/>
  <c r="D71"/>
  <c r="C71"/>
  <c r="D67"/>
  <c r="C67"/>
  <c r="C63"/>
  <c r="D63"/>
  <c r="D58"/>
  <c r="C58"/>
  <c r="C54"/>
  <c r="D54"/>
  <c r="D50"/>
  <c r="C50"/>
  <c r="C46"/>
  <c r="D46"/>
  <c r="D42"/>
  <c r="C42"/>
  <c r="K34" i="18"/>
  <c r="C38" i="12"/>
  <c r="D38"/>
  <c r="D34"/>
  <c r="C34"/>
  <c r="G21" i="17"/>
  <c r="C30" i="12"/>
  <c r="D30"/>
  <c r="D25"/>
  <c r="C25"/>
  <c r="G17" i="17"/>
  <c r="D21" i="12"/>
  <c r="C21"/>
  <c r="G13" i="17"/>
  <c r="D17" i="12"/>
  <c r="C17"/>
  <c r="D13"/>
  <c r="C13"/>
  <c r="G6" i="17"/>
  <c r="D9" i="12"/>
  <c r="C9"/>
  <c r="G3" i="17"/>
  <c r="C3" i="12"/>
  <c r="D3"/>
  <c r="K80" i="18"/>
  <c r="D92" i="12"/>
  <c r="C92"/>
  <c r="G39" i="17"/>
  <c r="D88" i="12"/>
  <c r="C88"/>
  <c r="G35" i="17"/>
  <c r="D84" i="12"/>
  <c r="C84"/>
  <c r="D80"/>
  <c r="C80"/>
  <c r="G29" i="17"/>
  <c r="D76" i="12"/>
  <c r="C76"/>
  <c r="G25" i="17"/>
  <c r="D72" i="12"/>
  <c r="C72"/>
  <c r="G24" i="17"/>
  <c r="D68" i="12"/>
  <c r="C68"/>
  <c r="D64"/>
  <c r="C64"/>
  <c r="D59"/>
  <c r="C59"/>
  <c r="D55"/>
  <c r="C55"/>
  <c r="D51"/>
  <c r="C51"/>
  <c r="D47"/>
  <c r="C47"/>
  <c r="D43"/>
  <c r="C43"/>
  <c r="D39"/>
  <c r="C39"/>
  <c r="D35"/>
  <c r="C35"/>
  <c r="D31"/>
  <c r="C31"/>
  <c r="C26"/>
  <c r="D26"/>
  <c r="C22"/>
  <c r="D22"/>
  <c r="C18"/>
  <c r="D18"/>
  <c r="C14"/>
  <c r="D14"/>
  <c r="C10"/>
  <c r="D10"/>
  <c r="D5"/>
  <c r="C5"/>
  <c r="J13" i="18"/>
  <c r="I14" i="12" s="1"/>
  <c r="J17" i="18"/>
  <c r="I18" i="12" s="1"/>
  <c r="J21" i="18"/>
  <c r="I22" i="12" s="1"/>
  <c r="J25" i="18"/>
  <c r="I28" i="12" s="1"/>
  <c r="J29" i="18"/>
  <c r="I32" i="12" s="1"/>
  <c r="J33" i="18"/>
  <c r="I37" i="12" s="1"/>
  <c r="J37" i="18"/>
  <c r="I41" i="12" s="1"/>
  <c r="J41" i="18"/>
  <c r="I45" i="12" s="1"/>
  <c r="J45" i="18"/>
  <c r="I51" i="12" s="1"/>
  <c r="J49" i="18"/>
  <c r="I57" i="12" s="1"/>
  <c r="J53" i="18"/>
  <c r="I61" i="12" s="1"/>
  <c r="J58" i="18"/>
  <c r="I69" i="12" s="1"/>
  <c r="J62" i="18"/>
  <c r="I73" i="12" s="1"/>
  <c r="J66" i="18"/>
  <c r="I77" i="12" s="1"/>
  <c r="J70" i="18"/>
  <c r="J78"/>
  <c r="I90" i="12" s="1"/>
  <c r="J16" i="18"/>
  <c r="I17" i="12" s="1"/>
  <c r="J24" i="18"/>
  <c r="I26" i="12" s="1"/>
  <c r="J32" i="18"/>
  <c r="I35" i="12" s="1"/>
  <c r="J40" i="18"/>
  <c r="I44" i="12" s="1"/>
  <c r="J48" i="18"/>
  <c r="I56" i="12" s="1"/>
  <c r="J57" i="18"/>
  <c r="I68" i="12" s="1"/>
  <c r="J65" i="18"/>
  <c r="I76" i="12" s="1"/>
  <c r="J73" i="18"/>
  <c r="I85" i="12" s="1"/>
  <c r="J3" i="18"/>
  <c r="I3" i="12" s="1"/>
  <c r="J2" i="18"/>
  <c r="J15"/>
  <c r="I16" i="12" s="1"/>
  <c r="J23" i="18"/>
  <c r="I25" i="12" s="1"/>
  <c r="J31" i="18"/>
  <c r="J39"/>
  <c r="I43" i="12" s="1"/>
  <c r="J47" i="18"/>
  <c r="I55" i="12" s="1"/>
  <c r="J56" i="18"/>
  <c r="I67" i="12" s="1"/>
  <c r="J64" i="18"/>
  <c r="I75" i="12" s="1"/>
  <c r="J72" i="18"/>
  <c r="I84" i="12" s="1"/>
  <c r="J80" i="18"/>
  <c r="I92" i="12" s="1"/>
  <c r="J10" i="18"/>
  <c r="J14"/>
  <c r="I15" i="12" s="1"/>
  <c r="J18" i="18"/>
  <c r="I19" i="12" s="1"/>
  <c r="J22" i="18"/>
  <c r="I23" i="12" s="1"/>
  <c r="J26" i="18"/>
  <c r="I29" i="12" s="1"/>
  <c r="J30" i="18"/>
  <c r="I33" i="12" s="1"/>
  <c r="J34" i="18"/>
  <c r="I38" i="12" s="1"/>
  <c r="J38" i="18"/>
  <c r="I42" i="12" s="1"/>
  <c r="J42" i="18"/>
  <c r="I48" i="12" s="1"/>
  <c r="J46" i="18"/>
  <c r="I54" i="12" s="1"/>
  <c r="J50" i="18"/>
  <c r="I58" i="12" s="1"/>
  <c r="J55" i="18"/>
  <c r="I66" i="12" s="1"/>
  <c r="J59" i="18"/>
  <c r="J63"/>
  <c r="I74" i="12" s="1"/>
  <c r="J67" i="18"/>
  <c r="I78" i="12" s="1"/>
  <c r="J71" i="18"/>
  <c r="I83" i="12" s="1"/>
  <c r="J75" i="18"/>
  <c r="I87" i="12" s="1"/>
  <c r="J79" i="18"/>
  <c r="I91" i="12" s="1"/>
  <c r="J5" i="18"/>
  <c r="I6" i="12" s="1"/>
  <c r="J9" i="18"/>
  <c r="I10" i="12" s="1"/>
  <c r="J74" i="18"/>
  <c r="I86" i="12" s="1"/>
  <c r="J4" i="18"/>
  <c r="I4" i="12" s="1"/>
  <c r="O4" s="1"/>
  <c r="V4" s="1"/>
  <c r="U4" s="1"/>
  <c r="J8" i="18"/>
  <c r="I9" i="12" s="1"/>
  <c r="J12" i="18"/>
  <c r="I13" i="12" s="1"/>
  <c r="J20" i="18"/>
  <c r="I21" i="12" s="1"/>
  <c r="J28" i="18"/>
  <c r="I31" i="12" s="1"/>
  <c r="J36" i="18"/>
  <c r="I40" i="12" s="1"/>
  <c r="J44" i="18"/>
  <c r="I50" i="12" s="1"/>
  <c r="J52" i="18"/>
  <c r="I60" i="12" s="1"/>
  <c r="J61" i="18"/>
  <c r="I72" i="12" s="1"/>
  <c r="J69" i="18"/>
  <c r="I80" i="12" s="1"/>
  <c r="J77" i="18"/>
  <c r="I89" i="12" s="1"/>
  <c r="J7" i="18"/>
  <c r="I8" i="12" s="1"/>
  <c r="J11" i="18"/>
  <c r="I12" i="12" s="1"/>
  <c r="J19" i="18"/>
  <c r="I20" i="12" s="1"/>
  <c r="J27" i="18"/>
  <c r="I30" i="12" s="1"/>
  <c r="J35" i="18"/>
  <c r="I39" i="12" s="1"/>
  <c r="J43" i="18"/>
  <c r="I49" i="12" s="1"/>
  <c r="J51" i="18"/>
  <c r="J60"/>
  <c r="J68"/>
  <c r="I79" i="12" s="1"/>
  <c r="J76" i="18"/>
  <c r="I88" i="12" s="1"/>
  <c r="J6" i="18"/>
  <c r="K12"/>
  <c r="K3"/>
  <c r="G33" i="17"/>
  <c r="K65" i="18"/>
  <c r="K49"/>
  <c r="K45"/>
  <c r="K25"/>
  <c r="G19" i="17"/>
  <c r="G18"/>
  <c r="K19" i="18"/>
  <c r="G14" i="17"/>
  <c r="K15" i="18"/>
  <c r="G10" i="17"/>
  <c r="K11" i="18"/>
  <c r="G7" i="17"/>
  <c r="K7" i="18"/>
  <c r="K4"/>
  <c r="K6"/>
  <c r="K61"/>
  <c r="K46"/>
  <c r="K30"/>
  <c r="K18"/>
  <c r="K76"/>
  <c r="K56"/>
  <c r="K35"/>
  <c r="K26"/>
  <c r="K8"/>
  <c r="G4" i="17"/>
  <c r="G37"/>
  <c r="K70" i="18"/>
  <c r="G27" i="17"/>
  <c r="K60" i="18"/>
  <c r="K51"/>
  <c r="K43"/>
  <c r="K32"/>
  <c r="K23"/>
  <c r="G12" i="17"/>
  <c r="K13" i="18"/>
  <c r="G8" i="17"/>
  <c r="K9" i="18"/>
  <c r="G5" i="17"/>
  <c r="K5" i="18"/>
  <c r="K68"/>
  <c r="K55"/>
  <c r="K38"/>
  <c r="K24"/>
  <c r="G2" i="17"/>
  <c r="K2" i="18"/>
  <c r="G40" i="17"/>
  <c r="K73" i="18"/>
  <c r="G36" i="17"/>
  <c r="K69" i="18"/>
  <c r="G30" i="17"/>
  <c r="K62" i="18"/>
  <c r="G26" i="17"/>
  <c r="K59" i="18"/>
  <c r="K39"/>
  <c r="K31"/>
  <c r="G20" i="17"/>
  <c r="K20" i="18"/>
  <c r="G15" i="17"/>
  <c r="K16" i="18"/>
  <c r="G41" i="17"/>
  <c r="K74" i="18"/>
  <c r="K66"/>
  <c r="G31" i="17"/>
  <c r="K63" i="18"/>
  <c r="K57"/>
  <c r="K52"/>
  <c r="K47"/>
  <c r="K40"/>
  <c r="K36"/>
  <c r="K29"/>
  <c r="K27"/>
  <c r="K21"/>
  <c r="G16" i="17"/>
  <c r="K17" i="18"/>
  <c r="G42" i="17"/>
  <c r="K75" i="18"/>
  <c r="G38" i="17"/>
  <c r="K71" i="18"/>
  <c r="G34" i="17"/>
  <c r="K67" i="18"/>
  <c r="G28" i="17"/>
  <c r="K53" i="18"/>
  <c r="K48"/>
  <c r="K44"/>
  <c r="K41"/>
  <c r="K37"/>
  <c r="K33"/>
  <c r="G22" i="17"/>
  <c r="G9"/>
  <c r="K10" i="18"/>
  <c r="K50"/>
  <c r="K72"/>
  <c r="K58"/>
  <c r="K42"/>
  <c r="K28"/>
  <c r="K14"/>
  <c r="I24" i="12"/>
  <c r="I70"/>
  <c r="I5"/>
  <c r="G11" i="17"/>
  <c r="G13" i="11"/>
  <c r="G13" i="10"/>
  <c r="G42" i="11"/>
  <c r="G41" i="6"/>
  <c r="G23" i="17"/>
  <c r="G42" i="10"/>
  <c r="G32" i="17"/>
  <c r="F23"/>
  <c r="F2"/>
  <c r="N2" i="12" s="1"/>
  <c r="F27" i="17"/>
  <c r="N74" i="12" s="1"/>
  <c r="F11" i="17"/>
  <c r="N15" i="12" s="1"/>
  <c r="F39" i="17"/>
  <c r="N88" i="12" s="1"/>
  <c r="F7" i="17"/>
  <c r="N10" i="12" s="1"/>
  <c r="F15" i="17"/>
  <c r="N19" i="12" s="1"/>
  <c r="F35" i="17"/>
  <c r="N84" i="12" s="1"/>
  <c r="F19" i="17"/>
  <c r="N26" i="12" s="1"/>
  <c r="F3" i="17"/>
  <c r="N3" i="12" s="1"/>
  <c r="F5" i="17"/>
  <c r="N8" i="12" s="1"/>
  <c r="F31" i="17"/>
  <c r="N78" i="12" s="1"/>
  <c r="F8" i="17"/>
  <c r="N12" i="12" s="1"/>
  <c r="F42" i="17"/>
  <c r="N91" i="12" s="1"/>
  <c r="F38" i="17"/>
  <c r="N87" i="12" s="1"/>
  <c r="F34" i="17"/>
  <c r="N83" i="12" s="1"/>
  <c r="F30" i="17"/>
  <c r="N77" i="12" s="1"/>
  <c r="F26" i="17"/>
  <c r="N73" i="12" s="1"/>
  <c r="F22" i="17"/>
  <c r="N38" i="12" s="1"/>
  <c r="F18" i="17"/>
  <c r="N22" i="12" s="1"/>
  <c r="F14" i="17"/>
  <c r="N18" i="12" s="1"/>
  <c r="F10" i="17"/>
  <c r="N14" i="12" s="1"/>
  <c r="F6" i="17"/>
  <c r="N9" i="12" s="1"/>
  <c r="F40" i="17"/>
  <c r="N89" i="12" s="1"/>
  <c r="F36" i="17"/>
  <c r="N85" i="12" s="1"/>
  <c r="F32" i="17"/>
  <c r="N79" i="12" s="1"/>
  <c r="F28" i="17"/>
  <c r="N75" i="12" s="1"/>
  <c r="F24" i="17"/>
  <c r="N68" i="12" s="1"/>
  <c r="F20" i="17"/>
  <c r="N28" i="12" s="1"/>
  <c r="F16" i="17"/>
  <c r="N20" i="12" s="1"/>
  <c r="F12" i="17"/>
  <c r="N16" i="12" s="1"/>
  <c r="F4" i="17"/>
  <c r="N6" i="12" s="1"/>
  <c r="F41" i="17"/>
  <c r="N90" i="12" s="1"/>
  <c r="F37" i="17"/>
  <c r="N86" i="12" s="1"/>
  <c r="F33" i="17"/>
  <c r="N80" i="12" s="1"/>
  <c r="F29" i="17"/>
  <c r="N76" i="12" s="1"/>
  <c r="F25" i="17"/>
  <c r="N72" i="12" s="1"/>
  <c r="F21" i="17"/>
  <c r="N30" i="12" s="1"/>
  <c r="F17" i="17"/>
  <c r="N21" i="12" s="1"/>
  <c r="F13" i="17"/>
  <c r="N17" i="12" s="1"/>
  <c r="F9" i="17"/>
  <c r="N13" i="12" s="1"/>
  <c r="H81"/>
  <c r="G81"/>
  <c r="I81"/>
  <c r="H11"/>
  <c r="I11"/>
  <c r="H24"/>
  <c r="H34"/>
  <c r="I34"/>
  <c r="H36"/>
  <c r="I36"/>
  <c r="I46"/>
  <c r="I47"/>
  <c r="H52"/>
  <c r="I52"/>
  <c r="I53"/>
  <c r="H59"/>
  <c r="I59"/>
  <c r="H63"/>
  <c r="I63"/>
  <c r="H64"/>
  <c r="I64"/>
  <c r="H65"/>
  <c r="I65"/>
  <c r="H71"/>
  <c r="I71"/>
  <c r="H82"/>
  <c r="I82"/>
  <c r="H40" i="6"/>
  <c r="H39"/>
  <c r="H38"/>
  <c r="H37"/>
  <c r="H36"/>
  <c r="H35"/>
  <c r="H34"/>
  <c r="H33"/>
  <c r="H32"/>
  <c r="H31"/>
  <c r="H30"/>
  <c r="H29"/>
  <c r="H28"/>
  <c r="H27"/>
  <c r="H26"/>
  <c r="H25"/>
  <c r="H24"/>
  <c r="H23"/>
  <c r="H22"/>
  <c r="H21"/>
  <c r="H20"/>
  <c r="H19"/>
  <c r="H18"/>
  <c r="H17"/>
  <c r="H16"/>
  <c r="H15"/>
  <c r="H14"/>
  <c r="H13"/>
  <c r="H12"/>
  <c r="H11"/>
  <c r="H10"/>
  <c r="H9"/>
  <c r="H8"/>
  <c r="H7"/>
  <c r="H6"/>
  <c r="H5"/>
  <c r="H4"/>
  <c r="H3"/>
  <c r="H2"/>
  <c r="H41" i="10"/>
  <c r="H40"/>
  <c r="H39"/>
  <c r="H38"/>
  <c r="H37"/>
  <c r="H36"/>
  <c r="H35"/>
  <c r="H34"/>
  <c r="H33"/>
  <c r="H32"/>
  <c r="H31"/>
  <c r="H30"/>
  <c r="H29"/>
  <c r="H28"/>
  <c r="H27"/>
  <c r="H26"/>
  <c r="H25"/>
  <c r="H24"/>
  <c r="H23"/>
  <c r="H22"/>
  <c r="H21"/>
  <c r="H20"/>
  <c r="H19"/>
  <c r="H18"/>
  <c r="H17"/>
  <c r="H16"/>
  <c r="H15"/>
  <c r="H14"/>
  <c r="H12"/>
  <c r="H11"/>
  <c r="H10"/>
  <c r="H9"/>
  <c r="H8"/>
  <c r="H7"/>
  <c r="H6"/>
  <c r="H5"/>
  <c r="H4"/>
  <c r="H3"/>
  <c r="H2"/>
  <c r="H3" i="11"/>
  <c r="H4"/>
  <c r="H5"/>
  <c r="H6"/>
  <c r="H7"/>
  <c r="H8"/>
  <c r="H9"/>
  <c r="H10"/>
  <c r="H11"/>
  <c r="H12"/>
  <c r="H14"/>
  <c r="H15"/>
  <c r="H16"/>
  <c r="H17"/>
  <c r="H18"/>
  <c r="H19"/>
  <c r="H20"/>
  <c r="H21"/>
  <c r="H22"/>
  <c r="H23"/>
  <c r="H24"/>
  <c r="H25"/>
  <c r="H26"/>
  <c r="H27"/>
  <c r="H28"/>
  <c r="H29"/>
  <c r="H30"/>
  <c r="H31"/>
  <c r="H32"/>
  <c r="H33"/>
  <c r="H34"/>
  <c r="H35"/>
  <c r="H36"/>
  <c r="H37"/>
  <c r="H38"/>
  <c r="H39"/>
  <c r="H40"/>
  <c r="H41"/>
  <c r="H2"/>
  <c r="L3" i="1"/>
  <c r="L4"/>
  <c r="L5"/>
  <c r="L6"/>
  <c r="L7"/>
  <c r="L8"/>
  <c r="L9"/>
  <c r="L10"/>
  <c r="L11"/>
  <c r="L12"/>
  <c r="L13"/>
  <c r="L14"/>
  <c r="L15"/>
  <c r="L16"/>
  <c r="L17"/>
  <c r="L18"/>
  <c r="L19"/>
  <c r="L20"/>
  <c r="L21"/>
  <c r="L22"/>
  <c r="L23"/>
  <c r="L24"/>
  <c r="L25"/>
  <c r="L26"/>
  <c r="L27"/>
  <c r="L28"/>
  <c r="L29"/>
  <c r="L30"/>
  <c r="L31"/>
  <c r="L32"/>
  <c r="L33"/>
  <c r="L34"/>
  <c r="L35"/>
  <c r="L36"/>
  <c r="L37"/>
  <c r="L38"/>
  <c r="L39"/>
  <c r="L40"/>
  <c r="L41"/>
  <c r="L42"/>
  <c r="L43"/>
  <c r="L44"/>
  <c r="L45"/>
  <c r="L46"/>
  <c r="L47"/>
  <c r="L48"/>
  <c r="L49"/>
  <c r="L50"/>
  <c r="L51"/>
  <c r="L52"/>
  <c r="L53"/>
  <c r="L54"/>
  <c r="L55"/>
  <c r="L57"/>
  <c r="L58"/>
  <c r="L59"/>
  <c r="L60"/>
  <c r="L61"/>
  <c r="L62"/>
  <c r="L63"/>
  <c r="L64"/>
  <c r="L65"/>
  <c r="L66"/>
  <c r="L67"/>
  <c r="L68"/>
  <c r="L69"/>
  <c r="L70"/>
  <c r="L71"/>
  <c r="L72"/>
  <c r="L73"/>
  <c r="L74"/>
  <c r="L75"/>
  <c r="L76"/>
  <c r="L77"/>
  <c r="L78"/>
  <c r="L79"/>
  <c r="L80"/>
  <c r="L81"/>
  <c r="L2"/>
  <c r="L3" i="2"/>
  <c r="L4"/>
  <c r="L5"/>
  <c r="L6"/>
  <c r="L7"/>
  <c r="L8"/>
  <c r="L9"/>
  <c r="L10"/>
  <c r="L11"/>
  <c r="L12"/>
  <c r="L13"/>
  <c r="L14"/>
  <c r="L15"/>
  <c r="L16"/>
  <c r="L17"/>
  <c r="L18"/>
  <c r="L19"/>
  <c r="L20"/>
  <c r="L21"/>
  <c r="L22"/>
  <c r="L23"/>
  <c r="L24"/>
  <c r="L25"/>
  <c r="L26"/>
  <c r="L27"/>
  <c r="L28"/>
  <c r="L29"/>
  <c r="L30"/>
  <c r="L31"/>
  <c r="L32"/>
  <c r="L33"/>
  <c r="L34"/>
  <c r="L35"/>
  <c r="L36"/>
  <c r="L37"/>
  <c r="L38"/>
  <c r="L39"/>
  <c r="L40"/>
  <c r="L41"/>
  <c r="L42"/>
  <c r="L43"/>
  <c r="L44"/>
  <c r="L45"/>
  <c r="L46"/>
  <c r="L47"/>
  <c r="L48"/>
  <c r="L49"/>
  <c r="L50"/>
  <c r="L51"/>
  <c r="L52"/>
  <c r="L53"/>
  <c r="L54"/>
  <c r="L55"/>
  <c r="L56"/>
  <c r="L58"/>
  <c r="L59"/>
  <c r="L60"/>
  <c r="L61"/>
  <c r="L62"/>
  <c r="L63"/>
  <c r="L64"/>
  <c r="L65"/>
  <c r="L66"/>
  <c r="L67"/>
  <c r="L68"/>
  <c r="L69"/>
  <c r="L70"/>
  <c r="L71"/>
  <c r="L72"/>
  <c r="L73"/>
  <c r="L74"/>
  <c r="L75"/>
  <c r="L76"/>
  <c r="L77"/>
  <c r="L78"/>
  <c r="L79"/>
  <c r="L80"/>
  <c r="L81"/>
  <c r="L82"/>
  <c r="L83"/>
  <c r="L2"/>
  <c r="L80" i="3"/>
  <c r="L79"/>
  <c r="L78"/>
  <c r="L77"/>
  <c r="L76"/>
  <c r="L75"/>
  <c r="L74"/>
  <c r="L73"/>
  <c r="L72"/>
  <c r="L71"/>
  <c r="L70"/>
  <c r="L69"/>
  <c r="L68"/>
  <c r="L67"/>
  <c r="L66"/>
  <c r="L65"/>
  <c r="L64"/>
  <c r="L63"/>
  <c r="L62"/>
  <c r="L61"/>
  <c r="L60"/>
  <c r="L59"/>
  <c r="L58"/>
  <c r="L57"/>
  <c r="L56"/>
  <c r="L55"/>
  <c r="L54"/>
  <c r="L53"/>
  <c r="L52"/>
  <c r="L51"/>
  <c r="L50"/>
  <c r="L49"/>
  <c r="L48"/>
  <c r="L47"/>
  <c r="L46"/>
  <c r="L45"/>
  <c r="L44"/>
  <c r="L43"/>
  <c r="L42"/>
  <c r="L41"/>
  <c r="L40"/>
  <c r="L39"/>
  <c r="L38"/>
  <c r="L37"/>
  <c r="L36"/>
  <c r="L35"/>
  <c r="L34"/>
  <c r="L33"/>
  <c r="L32"/>
  <c r="L31"/>
  <c r="L30"/>
  <c r="L29"/>
  <c r="L28"/>
  <c r="L27"/>
  <c r="L26"/>
  <c r="L25"/>
  <c r="L24"/>
  <c r="L23"/>
  <c r="L22"/>
  <c r="L21"/>
  <c r="L20"/>
  <c r="L19"/>
  <c r="L18"/>
  <c r="L17"/>
  <c r="L16"/>
  <c r="L15"/>
  <c r="L14"/>
  <c r="L13"/>
  <c r="L12"/>
  <c r="L11"/>
  <c r="L10"/>
  <c r="L9"/>
  <c r="L8"/>
  <c r="L7"/>
  <c r="L6"/>
  <c r="L5"/>
  <c r="L4"/>
  <c r="L3"/>
  <c r="L2"/>
  <c r="L3" i="13"/>
  <c r="L4"/>
  <c r="L5"/>
  <c r="L6"/>
  <c r="L7"/>
  <c r="L8"/>
  <c r="L9"/>
  <c r="L10"/>
  <c r="L11"/>
  <c r="L12"/>
  <c r="L13"/>
  <c r="L14"/>
  <c r="L15"/>
  <c r="L16"/>
  <c r="L17"/>
  <c r="L18"/>
  <c r="L19"/>
  <c r="L20"/>
  <c r="L21"/>
  <c r="L22"/>
  <c r="L23"/>
  <c r="L24"/>
  <c r="L25"/>
  <c r="L26"/>
  <c r="L27"/>
  <c r="L28"/>
  <c r="L29"/>
  <c r="L30"/>
  <c r="L31"/>
  <c r="L32"/>
  <c r="L33"/>
  <c r="L34"/>
  <c r="L35"/>
  <c r="L36"/>
  <c r="L37"/>
  <c r="L38"/>
  <c r="L39"/>
  <c r="L40"/>
  <c r="L41"/>
  <c r="L42"/>
  <c r="L43"/>
  <c r="L44"/>
  <c r="L45"/>
  <c r="L46"/>
  <c r="L47"/>
  <c r="L48"/>
  <c r="L49"/>
  <c r="L50"/>
  <c r="L51"/>
  <c r="L52"/>
  <c r="L53"/>
  <c r="L54"/>
  <c r="L55"/>
  <c r="L56"/>
  <c r="L57"/>
  <c r="L58"/>
  <c r="L59"/>
  <c r="L60"/>
  <c r="L61"/>
  <c r="L62"/>
  <c r="L63"/>
  <c r="L64"/>
  <c r="L65"/>
  <c r="L66"/>
  <c r="L67"/>
  <c r="L68"/>
  <c r="L69"/>
  <c r="L70"/>
  <c r="L71"/>
  <c r="L72"/>
  <c r="L73"/>
  <c r="L74"/>
  <c r="L75"/>
  <c r="L76"/>
  <c r="L77"/>
  <c r="L78"/>
  <c r="L2"/>
  <c r="H3" i="15"/>
  <c r="H4"/>
  <c r="H5"/>
  <c r="H6"/>
  <c r="H7"/>
  <c r="H8"/>
  <c r="H9"/>
  <c r="H10"/>
  <c r="H11"/>
  <c r="H12"/>
  <c r="H13"/>
  <c r="H14"/>
  <c r="H15"/>
  <c r="H16"/>
  <c r="H17"/>
  <c r="H18"/>
  <c r="H19"/>
  <c r="H20"/>
  <c r="H21"/>
  <c r="H22"/>
  <c r="H23"/>
  <c r="H24"/>
  <c r="H25"/>
  <c r="H26"/>
  <c r="H27"/>
  <c r="H28"/>
  <c r="H29"/>
  <c r="H30"/>
  <c r="H31"/>
  <c r="H32"/>
  <c r="H33"/>
  <c r="H34"/>
  <c r="H35"/>
  <c r="H36"/>
  <c r="H37"/>
  <c r="H38"/>
  <c r="H39"/>
  <c r="H40"/>
  <c r="H2"/>
  <c r="I9" i="3"/>
  <c r="I32"/>
  <c r="I50"/>
  <c r="I53"/>
  <c r="I54"/>
  <c r="I55"/>
  <c r="I60"/>
  <c r="I70"/>
  <c r="I3" i="2"/>
  <c r="I4"/>
  <c r="I5"/>
  <c r="I6"/>
  <c r="I7"/>
  <c r="I8"/>
  <c r="I9"/>
  <c r="I10"/>
  <c r="I11"/>
  <c r="I12"/>
  <c r="I14"/>
  <c r="I15"/>
  <c r="I16"/>
  <c r="I17"/>
  <c r="I18"/>
  <c r="I19"/>
  <c r="I20"/>
  <c r="I21"/>
  <c r="I22"/>
  <c r="I23"/>
  <c r="I24"/>
  <c r="I25"/>
  <c r="I26"/>
  <c r="I27"/>
  <c r="I28"/>
  <c r="I29"/>
  <c r="I30"/>
  <c r="I31"/>
  <c r="I32"/>
  <c r="I33"/>
  <c r="I34"/>
  <c r="I35"/>
  <c r="I36"/>
  <c r="I37"/>
  <c r="I38"/>
  <c r="I39"/>
  <c r="I40"/>
  <c r="I41"/>
  <c r="I42"/>
  <c r="I43"/>
  <c r="I44"/>
  <c r="I45"/>
  <c r="I46"/>
  <c r="I47"/>
  <c r="I48"/>
  <c r="I49"/>
  <c r="I50"/>
  <c r="I51"/>
  <c r="I52"/>
  <c r="I53"/>
  <c r="I54"/>
  <c r="I55"/>
  <c r="I56"/>
  <c r="I58"/>
  <c r="I59"/>
  <c r="I60"/>
  <c r="I61"/>
  <c r="I62"/>
  <c r="I63"/>
  <c r="I64"/>
  <c r="I65"/>
  <c r="I66"/>
  <c r="I67"/>
  <c r="I68"/>
  <c r="I69"/>
  <c r="I70"/>
  <c r="I71"/>
  <c r="I72"/>
  <c r="I73"/>
  <c r="I74"/>
  <c r="I75"/>
  <c r="I76"/>
  <c r="I77"/>
  <c r="I78"/>
  <c r="I79"/>
  <c r="I80"/>
  <c r="I81"/>
  <c r="I82"/>
  <c r="I83"/>
  <c r="I2"/>
  <c r="I3" i="1"/>
  <c r="I4"/>
  <c r="I5"/>
  <c r="I6"/>
  <c r="I7"/>
  <c r="I8"/>
  <c r="I9"/>
  <c r="I10"/>
  <c r="I11"/>
  <c r="I12"/>
  <c r="I13"/>
  <c r="I14"/>
  <c r="I15"/>
  <c r="I16"/>
  <c r="I17"/>
  <c r="I18"/>
  <c r="I19"/>
  <c r="I20"/>
  <c r="I21"/>
  <c r="I22"/>
  <c r="I23"/>
  <c r="I24"/>
  <c r="I25"/>
  <c r="I26"/>
  <c r="I27"/>
  <c r="I28"/>
  <c r="I29"/>
  <c r="I30"/>
  <c r="I31"/>
  <c r="I32"/>
  <c r="I33"/>
  <c r="I34"/>
  <c r="I35"/>
  <c r="I36"/>
  <c r="I37"/>
  <c r="I38"/>
  <c r="I39"/>
  <c r="I40"/>
  <c r="I41"/>
  <c r="I42"/>
  <c r="I43"/>
  <c r="I44"/>
  <c r="I45"/>
  <c r="I46"/>
  <c r="I47"/>
  <c r="I48"/>
  <c r="I49"/>
  <c r="I50"/>
  <c r="I51"/>
  <c r="I52"/>
  <c r="I53"/>
  <c r="I54"/>
  <c r="I55"/>
  <c r="I57"/>
  <c r="I58"/>
  <c r="I59"/>
  <c r="I60"/>
  <c r="I61"/>
  <c r="I62"/>
  <c r="I63"/>
  <c r="I64"/>
  <c r="I65"/>
  <c r="I66"/>
  <c r="I67"/>
  <c r="I68"/>
  <c r="I69"/>
  <c r="I70"/>
  <c r="I71"/>
  <c r="I72"/>
  <c r="I73"/>
  <c r="I74"/>
  <c r="I75"/>
  <c r="I76"/>
  <c r="I77"/>
  <c r="I78"/>
  <c r="I79"/>
  <c r="I80"/>
  <c r="I81"/>
  <c r="I2"/>
  <c r="I9" i="13"/>
  <c r="I28"/>
  <c r="I30"/>
  <c r="I32"/>
  <c r="I49"/>
  <c r="I51"/>
  <c r="I52"/>
  <c r="I56"/>
  <c r="I67"/>
  <c r="I75"/>
  <c r="J56" i="1" l="1"/>
  <c r="H62" i="12" s="1"/>
  <c r="I2"/>
  <c r="I93" s="1"/>
  <c r="F13" i="11"/>
  <c r="K15" i="12" s="1"/>
  <c r="F41" i="11"/>
  <c r="K90" i="12" s="1"/>
  <c r="F42" i="11"/>
  <c r="K91" i="12" s="1"/>
  <c r="F37" i="11"/>
  <c r="K86" i="12" s="1"/>
  <c r="F29" i="11"/>
  <c r="K74" i="12" s="1"/>
  <c r="F21" i="11"/>
  <c r="K26" i="12" s="1"/>
  <c r="F12" i="11"/>
  <c r="K14" i="12" s="1"/>
  <c r="F38" i="11"/>
  <c r="K87" i="12" s="1"/>
  <c r="F30" i="11"/>
  <c r="K75" i="12" s="1"/>
  <c r="F22" i="11"/>
  <c r="K28" i="12" s="1"/>
  <c r="F14" i="11"/>
  <c r="K16" i="12" s="1"/>
  <c r="F39" i="11"/>
  <c r="K88" i="12" s="1"/>
  <c r="F35" i="11"/>
  <c r="K84" i="12" s="1"/>
  <c r="F31" i="11"/>
  <c r="K76" i="12" s="1"/>
  <c r="F27" i="11"/>
  <c r="K72" i="12" s="1"/>
  <c r="F23" i="11"/>
  <c r="K30" i="12" s="1"/>
  <c r="F19" i="11"/>
  <c r="K21" i="12" s="1"/>
  <c r="F15" i="11"/>
  <c r="K17" i="12" s="1"/>
  <c r="F10" i="11"/>
  <c r="K12" i="12" s="1"/>
  <c r="F6" i="11"/>
  <c r="K8" i="12" s="1"/>
  <c r="F33" i="11"/>
  <c r="K80" i="12" s="1"/>
  <c r="F25" i="11"/>
  <c r="F17"/>
  <c r="K19" i="12" s="1"/>
  <c r="F8" i="11"/>
  <c r="K10" i="12" s="1"/>
  <c r="F4" i="11"/>
  <c r="K5" i="12" s="1"/>
  <c r="F2" i="11"/>
  <c r="K2" i="12" s="1"/>
  <c r="F34" i="11"/>
  <c r="K83" i="12" s="1"/>
  <c r="F26" i="11"/>
  <c r="K68" i="12" s="1"/>
  <c r="F18" i="11"/>
  <c r="K20" i="12" s="1"/>
  <c r="F9" i="11"/>
  <c r="F5"/>
  <c r="K6" i="12" s="1"/>
  <c r="F40" i="11"/>
  <c r="K89" i="12" s="1"/>
  <c r="F36" i="11"/>
  <c r="K85" i="12" s="1"/>
  <c r="F32" i="11"/>
  <c r="K77" i="12" s="1"/>
  <c r="F28" i="11"/>
  <c r="K73" i="12" s="1"/>
  <c r="F24" i="11"/>
  <c r="K38" i="12" s="1"/>
  <c r="F20" i="11"/>
  <c r="K22" i="12" s="1"/>
  <c r="F16" i="11"/>
  <c r="K18" i="12" s="1"/>
  <c r="F11" i="11"/>
  <c r="K13" i="12" s="1"/>
  <c r="F7" i="11"/>
  <c r="K9" i="12" s="1"/>
  <c r="F3" i="11"/>
  <c r="K3" i="12" s="1"/>
  <c r="F3" i="6"/>
  <c r="M3" i="12" s="1"/>
  <c r="F7" i="6"/>
  <c r="M9" i="12" s="1"/>
  <c r="F11" i="6"/>
  <c r="M14" i="12" s="1"/>
  <c r="F15" i="6"/>
  <c r="M18" i="12" s="1"/>
  <c r="F19" i="6"/>
  <c r="M22" i="12" s="1"/>
  <c r="F23" i="6"/>
  <c r="M38" i="12" s="1"/>
  <c r="F27" i="6"/>
  <c r="M73" i="12" s="1"/>
  <c r="F31" i="6"/>
  <c r="M77" i="12" s="1"/>
  <c r="F35" i="6"/>
  <c r="M85" i="12" s="1"/>
  <c r="F39" i="6"/>
  <c r="M89" i="12" s="1"/>
  <c r="F6" i="6"/>
  <c r="M8" i="12" s="1"/>
  <c r="F14" i="6"/>
  <c r="M17" i="12" s="1"/>
  <c r="F22" i="6"/>
  <c r="M30" i="12" s="1"/>
  <c r="F30" i="6"/>
  <c r="M76" i="12" s="1"/>
  <c r="F38" i="6"/>
  <c r="M88" i="12" s="1"/>
  <c r="F5" i="6"/>
  <c r="M6" i="12" s="1"/>
  <c r="F13" i="6"/>
  <c r="M16" i="12" s="1"/>
  <c r="F21" i="6"/>
  <c r="M28" i="12" s="1"/>
  <c r="F29" i="6"/>
  <c r="M75" i="12" s="1"/>
  <c r="F37" i="6"/>
  <c r="M87" i="12" s="1"/>
  <c r="F4" i="6"/>
  <c r="M5" i="12" s="1"/>
  <c r="F8" i="6"/>
  <c r="M10" i="12" s="1"/>
  <c r="F12" i="6"/>
  <c r="M15" i="12" s="1"/>
  <c r="F16" i="6"/>
  <c r="M19" i="12" s="1"/>
  <c r="F20" i="6"/>
  <c r="M26" i="12" s="1"/>
  <c r="F24" i="6"/>
  <c r="F28"/>
  <c r="M74" i="12" s="1"/>
  <c r="F32" i="6"/>
  <c r="M80" i="12" s="1"/>
  <c r="F36" i="6"/>
  <c r="M86" i="12" s="1"/>
  <c r="F40" i="6"/>
  <c r="M90" i="12" s="1"/>
  <c r="F10" i="6"/>
  <c r="M13" i="12" s="1"/>
  <c r="F18" i="6"/>
  <c r="M21" i="12" s="1"/>
  <c r="F26" i="6"/>
  <c r="M72" i="12" s="1"/>
  <c r="F34" i="6"/>
  <c r="M84" i="12" s="1"/>
  <c r="F2" i="6"/>
  <c r="M2" i="12" s="1"/>
  <c r="F9" i="6"/>
  <c r="M12" i="12" s="1"/>
  <c r="F17" i="6"/>
  <c r="M20" i="12" s="1"/>
  <c r="F25" i="6"/>
  <c r="M68" i="12" s="1"/>
  <c r="F33" i="6"/>
  <c r="M83" i="12" s="1"/>
  <c r="F41" i="6"/>
  <c r="M91" i="12" s="1"/>
  <c r="N93"/>
  <c r="F43" i="17"/>
  <c r="O81" i="12"/>
  <c r="V81" s="1"/>
  <c r="U81" s="1"/>
  <c r="F38" i="15"/>
  <c r="J88" i="12" s="1"/>
  <c r="F34" i="15"/>
  <c r="J84" i="12" s="1"/>
  <c r="F30" i="15"/>
  <c r="J76" i="12" s="1"/>
  <c r="F26" i="15"/>
  <c r="J72" i="12" s="1"/>
  <c r="F22" i="15"/>
  <c r="J28" i="12" s="1"/>
  <c r="F20" i="15"/>
  <c r="J24" i="12" s="1"/>
  <c r="F18" i="15"/>
  <c r="J21" i="12" s="1"/>
  <c r="F16" i="15"/>
  <c r="J19" i="12" s="1"/>
  <c r="D16" i="15"/>
  <c r="F15"/>
  <c r="J18" i="12" s="1"/>
  <c r="F13" i="15"/>
  <c r="J16" i="12" s="1"/>
  <c r="F11" i="15"/>
  <c r="J13" i="12" s="1"/>
  <c r="F9" i="15"/>
  <c r="F7"/>
  <c r="J9" i="12" s="1"/>
  <c r="F5" i="15"/>
  <c r="J6" i="12" s="1"/>
  <c r="F3" i="15"/>
  <c r="J3" i="12" s="1"/>
  <c r="F43" i="11" l="1"/>
  <c r="F42" i="6"/>
  <c r="F24" i="15"/>
  <c r="J38" i="12" s="1"/>
  <c r="F28" i="15"/>
  <c r="J74" i="12" s="1"/>
  <c r="F32" i="15"/>
  <c r="J80" i="12" s="1"/>
  <c r="F36" i="15"/>
  <c r="J86" i="12" s="1"/>
  <c r="F40" i="15"/>
  <c r="J91" i="12" s="1"/>
  <c r="G20" i="15"/>
  <c r="F4"/>
  <c r="J5" i="12" s="1"/>
  <c r="F8" i="15"/>
  <c r="J10" i="12" s="1"/>
  <c r="F12" i="15"/>
  <c r="J14" i="12" s="1"/>
  <c r="F17" i="15"/>
  <c r="J20" i="12" s="1"/>
  <c r="F21" i="15"/>
  <c r="J26" i="12" s="1"/>
  <c r="F25" i="15"/>
  <c r="J68" i="12" s="1"/>
  <c r="F29" i="15"/>
  <c r="J75" i="12" s="1"/>
  <c r="F33" i="15"/>
  <c r="J83" i="12" s="1"/>
  <c r="F37" i="15"/>
  <c r="J87" i="12" s="1"/>
  <c r="F2" i="15"/>
  <c r="J2" i="12" s="1"/>
  <c r="F6" i="15"/>
  <c r="J8" i="12" s="1"/>
  <c r="F10" i="15"/>
  <c r="J12" i="12" s="1"/>
  <c r="F14" i="15"/>
  <c r="J17" i="12" s="1"/>
  <c r="F19" i="15"/>
  <c r="J22" i="12" s="1"/>
  <c r="F23" i="15"/>
  <c r="J30" i="12" s="1"/>
  <c r="F27" i="15"/>
  <c r="J73" i="12" s="1"/>
  <c r="F31" i="15"/>
  <c r="J77" i="12" s="1"/>
  <c r="F35" i="15"/>
  <c r="J85" i="12" s="1"/>
  <c r="F39" i="15"/>
  <c r="J89" i="12" s="1"/>
  <c r="F41" i="15" l="1"/>
  <c r="G3" l="1"/>
  <c r="G19"/>
  <c r="G7"/>
  <c r="G10"/>
  <c r="G12"/>
  <c r="G21"/>
  <c r="G27"/>
  <c r="G33"/>
  <c r="G35"/>
  <c r="G34" l="1"/>
  <c r="G28"/>
  <c r="G24"/>
  <c r="G11"/>
  <c r="G16"/>
  <c r="G39"/>
  <c r="G17"/>
  <c r="G36"/>
  <c r="G32"/>
  <c r="G30"/>
  <c r="G26"/>
  <c r="G22"/>
  <c r="G9"/>
  <c r="G18"/>
  <c r="G6"/>
  <c r="G2"/>
  <c r="G38"/>
  <c r="G25"/>
  <c r="G23"/>
  <c r="G4"/>
  <c r="G13"/>
  <c r="G14"/>
  <c r="G29"/>
  <c r="G15"/>
  <c r="G5"/>
  <c r="G40"/>
  <c r="G37"/>
  <c r="G31"/>
  <c r="G8"/>
  <c r="E11" i="12" l="1"/>
  <c r="F11"/>
  <c r="G11"/>
  <c r="E15"/>
  <c r="F24"/>
  <c r="G24"/>
  <c r="E25"/>
  <c r="E34"/>
  <c r="F34"/>
  <c r="G34"/>
  <c r="E36"/>
  <c r="F36"/>
  <c r="G36"/>
  <c r="E39"/>
  <c r="F39"/>
  <c r="E46"/>
  <c r="F46"/>
  <c r="E47"/>
  <c r="F47"/>
  <c r="E48"/>
  <c r="F48"/>
  <c r="E52"/>
  <c r="G52"/>
  <c r="F53"/>
  <c r="E56"/>
  <c r="E59"/>
  <c r="F59"/>
  <c r="G59"/>
  <c r="E60"/>
  <c r="E63"/>
  <c r="F63"/>
  <c r="G63"/>
  <c r="E64"/>
  <c r="F64"/>
  <c r="G64"/>
  <c r="E65"/>
  <c r="F65"/>
  <c r="G65"/>
  <c r="E69"/>
  <c r="F69"/>
  <c r="E70"/>
  <c r="E71"/>
  <c r="F71"/>
  <c r="G71"/>
  <c r="E82"/>
  <c r="F82"/>
  <c r="G82"/>
  <c r="K78" i="13"/>
  <c r="E78"/>
  <c r="D78"/>
  <c r="I78" s="1"/>
  <c r="K77"/>
  <c r="E77"/>
  <c r="D77"/>
  <c r="K76"/>
  <c r="E76"/>
  <c r="D76"/>
  <c r="K75"/>
  <c r="E75"/>
  <c r="D75"/>
  <c r="K74"/>
  <c r="E74"/>
  <c r="D74"/>
  <c r="I74" s="1"/>
  <c r="K73"/>
  <c r="E73"/>
  <c r="D73"/>
  <c r="K72"/>
  <c r="E72"/>
  <c r="D72"/>
  <c r="K71"/>
  <c r="E71"/>
  <c r="D71"/>
  <c r="K70"/>
  <c r="E70"/>
  <c r="D70"/>
  <c r="I70" s="1"/>
  <c r="K69"/>
  <c r="E69"/>
  <c r="D69"/>
  <c r="K68"/>
  <c r="E68"/>
  <c r="D68"/>
  <c r="K67"/>
  <c r="E67"/>
  <c r="D67"/>
  <c r="K66"/>
  <c r="E66"/>
  <c r="D66"/>
  <c r="I66" s="1"/>
  <c r="K65"/>
  <c r="E65"/>
  <c r="D65"/>
  <c r="K64"/>
  <c r="E64"/>
  <c r="D64"/>
  <c r="K63"/>
  <c r="E63"/>
  <c r="D63"/>
  <c r="K62"/>
  <c r="E62"/>
  <c r="D62"/>
  <c r="I62" s="1"/>
  <c r="K61"/>
  <c r="E61"/>
  <c r="D61"/>
  <c r="K60"/>
  <c r="E60"/>
  <c r="D60"/>
  <c r="K59"/>
  <c r="E59"/>
  <c r="D59"/>
  <c r="K58"/>
  <c r="E58"/>
  <c r="D58"/>
  <c r="I58" s="1"/>
  <c r="K57"/>
  <c r="E57"/>
  <c r="D57"/>
  <c r="K56"/>
  <c r="E56"/>
  <c r="D56"/>
  <c r="K55"/>
  <c r="E55"/>
  <c r="D55"/>
  <c r="K54"/>
  <c r="E54"/>
  <c r="D54"/>
  <c r="I54" s="1"/>
  <c r="K53"/>
  <c r="E53"/>
  <c r="D53"/>
  <c r="K52"/>
  <c r="E52"/>
  <c r="D52"/>
  <c r="K51"/>
  <c r="E51"/>
  <c r="D51"/>
  <c r="K50"/>
  <c r="E50"/>
  <c r="D50"/>
  <c r="I50" s="1"/>
  <c r="K49"/>
  <c r="E49"/>
  <c r="D49"/>
  <c r="K48"/>
  <c r="E48"/>
  <c r="D48"/>
  <c r="K47"/>
  <c r="E47"/>
  <c r="D47"/>
  <c r="K46"/>
  <c r="E46"/>
  <c r="D46"/>
  <c r="I46" s="1"/>
  <c r="K45"/>
  <c r="E45"/>
  <c r="D45"/>
  <c r="K44"/>
  <c r="E44"/>
  <c r="D44"/>
  <c r="K43"/>
  <c r="E43"/>
  <c r="D43"/>
  <c r="K42"/>
  <c r="E42"/>
  <c r="D42"/>
  <c r="I42" s="1"/>
  <c r="K41"/>
  <c r="E41"/>
  <c r="D41"/>
  <c r="K40"/>
  <c r="E40"/>
  <c r="D40"/>
  <c r="K39"/>
  <c r="E39"/>
  <c r="D39"/>
  <c r="K38"/>
  <c r="E38"/>
  <c r="D38"/>
  <c r="I38" s="1"/>
  <c r="K37"/>
  <c r="E37"/>
  <c r="D37"/>
  <c r="K36"/>
  <c r="E36"/>
  <c r="D36"/>
  <c r="K35"/>
  <c r="E35"/>
  <c r="D35"/>
  <c r="K34"/>
  <c r="E34"/>
  <c r="D34"/>
  <c r="I34" s="1"/>
  <c r="K33"/>
  <c r="E33"/>
  <c r="D33"/>
  <c r="K32"/>
  <c r="E32"/>
  <c r="D32"/>
  <c r="K31"/>
  <c r="E31"/>
  <c r="D31"/>
  <c r="K30"/>
  <c r="E30"/>
  <c r="D30"/>
  <c r="K29"/>
  <c r="E29"/>
  <c r="D29"/>
  <c r="K28"/>
  <c r="E28"/>
  <c r="D28"/>
  <c r="K27"/>
  <c r="E27"/>
  <c r="D27"/>
  <c r="K26"/>
  <c r="E26"/>
  <c r="D26"/>
  <c r="K25"/>
  <c r="E25"/>
  <c r="D25"/>
  <c r="K24"/>
  <c r="E24"/>
  <c r="D24"/>
  <c r="K23"/>
  <c r="E23"/>
  <c r="D23"/>
  <c r="K22"/>
  <c r="E22"/>
  <c r="D22"/>
  <c r="I22" s="1"/>
  <c r="K21"/>
  <c r="E21"/>
  <c r="D21"/>
  <c r="K20"/>
  <c r="E20"/>
  <c r="D20"/>
  <c r="K19"/>
  <c r="E19"/>
  <c r="D19"/>
  <c r="K18"/>
  <c r="E18"/>
  <c r="D18"/>
  <c r="K17"/>
  <c r="E17"/>
  <c r="D17"/>
  <c r="K16"/>
  <c r="E16"/>
  <c r="D16"/>
  <c r="K15"/>
  <c r="E15"/>
  <c r="D15"/>
  <c r="K14"/>
  <c r="E14"/>
  <c r="D14"/>
  <c r="I14" s="1"/>
  <c r="K13"/>
  <c r="E13"/>
  <c r="D13"/>
  <c r="K12"/>
  <c r="E12"/>
  <c r="D12"/>
  <c r="K11"/>
  <c r="E11"/>
  <c r="D11"/>
  <c r="K10"/>
  <c r="E10"/>
  <c r="D10"/>
  <c r="I10" s="1"/>
  <c r="K9"/>
  <c r="E9"/>
  <c r="D9"/>
  <c r="K8"/>
  <c r="E8"/>
  <c r="D8"/>
  <c r="K7"/>
  <c r="E7"/>
  <c r="D7"/>
  <c r="K6"/>
  <c r="E6"/>
  <c r="D6"/>
  <c r="I6" s="1"/>
  <c r="K5"/>
  <c r="E5"/>
  <c r="D5"/>
  <c r="K4"/>
  <c r="E4"/>
  <c r="D4"/>
  <c r="K3"/>
  <c r="E3"/>
  <c r="D3"/>
  <c r="K2"/>
  <c r="E2"/>
  <c r="D2"/>
  <c r="W27" i="12"/>
  <c r="D17" i="11"/>
  <c r="F13" i="10"/>
  <c r="L15" i="12" s="1"/>
  <c r="H17" i="1"/>
  <c r="H17" i="2"/>
  <c r="I11" i="13" l="1"/>
  <c r="I23"/>
  <c r="I35"/>
  <c r="I43"/>
  <c r="I55"/>
  <c r="I63"/>
  <c r="I8"/>
  <c r="I16"/>
  <c r="I24"/>
  <c r="I36"/>
  <c r="I44"/>
  <c r="I13"/>
  <c r="I21"/>
  <c r="I25"/>
  <c r="I33"/>
  <c r="I37"/>
  <c r="I41"/>
  <c r="I45"/>
  <c r="I53"/>
  <c r="I57"/>
  <c r="I61"/>
  <c r="I65"/>
  <c r="I69"/>
  <c r="I73"/>
  <c r="I77"/>
  <c r="I15"/>
  <c r="I31"/>
  <c r="I39"/>
  <c r="I47"/>
  <c r="I59"/>
  <c r="I71"/>
  <c r="I4"/>
  <c r="I12"/>
  <c r="I20"/>
  <c r="I40"/>
  <c r="I48"/>
  <c r="I60"/>
  <c r="I64"/>
  <c r="I68"/>
  <c r="I72"/>
  <c r="I76"/>
  <c r="I26"/>
  <c r="H3"/>
  <c r="I3" s="1"/>
  <c r="H7"/>
  <c r="I7" s="1"/>
  <c r="I27"/>
  <c r="H5"/>
  <c r="I5" s="1"/>
  <c r="H17"/>
  <c r="I17" s="1"/>
  <c r="I29"/>
  <c r="H2"/>
  <c r="I2" s="1"/>
  <c r="H18"/>
  <c r="I18" s="1"/>
  <c r="H19"/>
  <c r="I19" s="1"/>
  <c r="S4" i="12"/>
  <c r="R4" s="1"/>
  <c r="S7"/>
  <c r="R7" s="1"/>
  <c r="F12" i="10"/>
  <c r="L14" i="12" s="1"/>
  <c r="F30" i="10"/>
  <c r="L75" i="12" s="1"/>
  <c r="F5" i="10"/>
  <c r="L6" i="12" s="1"/>
  <c r="F27" i="10"/>
  <c r="L72" i="12" s="1"/>
  <c r="F10" i="10"/>
  <c r="L12" i="12" s="1"/>
  <c r="F25" i="10"/>
  <c r="F34"/>
  <c r="L83" i="12" s="1"/>
  <c r="F28" i="10"/>
  <c r="L73" i="12" s="1"/>
  <c r="F11" i="10"/>
  <c r="L13" i="12" s="1"/>
  <c r="F41" i="10"/>
  <c r="L90" i="12" s="1"/>
  <c r="F21" i="10"/>
  <c r="L26" i="12" s="1"/>
  <c r="F38" i="10"/>
  <c r="L87" i="12" s="1"/>
  <c r="F9" i="10"/>
  <c r="F31"/>
  <c r="L76" i="12" s="1"/>
  <c r="F15" i="10"/>
  <c r="L17" i="12" s="1"/>
  <c r="F33" i="10"/>
  <c r="L80" i="12" s="1"/>
  <c r="F2" i="10"/>
  <c r="L2" i="12" s="1"/>
  <c r="F32" i="10"/>
  <c r="L77" i="12" s="1"/>
  <c r="F16" i="10"/>
  <c r="L18" i="12" s="1"/>
  <c r="F42" i="10"/>
  <c r="L91" i="12" s="1"/>
  <c r="F29" i="10"/>
  <c r="L74" i="12" s="1"/>
  <c r="F4" i="10"/>
  <c r="L5" i="12" s="1"/>
  <c r="F14" i="10"/>
  <c r="L16" i="12" s="1"/>
  <c r="F35" i="10"/>
  <c r="L84" i="12" s="1"/>
  <c r="F19" i="10"/>
  <c r="L21" i="12" s="1"/>
  <c r="F18" i="10"/>
  <c r="L20" i="12" s="1"/>
  <c r="F36" i="10"/>
  <c r="L85" i="12" s="1"/>
  <c r="F20" i="10"/>
  <c r="L22" i="12" s="1"/>
  <c r="F3" i="10"/>
  <c r="L3" i="12" s="1"/>
  <c r="F37" i="10"/>
  <c r="L86" i="12" s="1"/>
  <c r="F8" i="10"/>
  <c r="L10" i="12" s="1"/>
  <c r="F22" i="10"/>
  <c r="L28" i="12" s="1"/>
  <c r="F39" i="10"/>
  <c r="L88" i="12" s="1"/>
  <c r="F23" i="10"/>
  <c r="L30" i="12" s="1"/>
  <c r="F6" i="10"/>
  <c r="L8" i="12" s="1"/>
  <c r="F17" i="10"/>
  <c r="L19" i="12" s="1"/>
  <c r="F26" i="10"/>
  <c r="L68" i="12" s="1"/>
  <c r="F40" i="10"/>
  <c r="L89" i="12" s="1"/>
  <c r="F24" i="10"/>
  <c r="L38" i="12" s="1"/>
  <c r="F7" i="10"/>
  <c r="L9" i="12" s="1"/>
  <c r="O52"/>
  <c r="V52" s="1"/>
  <c r="U52" s="1"/>
  <c r="O11"/>
  <c r="V11" s="1"/>
  <c r="U11" s="1"/>
  <c r="O71"/>
  <c r="V71" s="1"/>
  <c r="U71" s="1"/>
  <c r="O64"/>
  <c r="V64" s="1"/>
  <c r="U64" s="1"/>
  <c r="O59"/>
  <c r="V59" s="1"/>
  <c r="U59" s="1"/>
  <c r="O82"/>
  <c r="V82" s="1"/>
  <c r="U82" s="1"/>
  <c r="O36"/>
  <c r="V36" s="1"/>
  <c r="U36" s="1"/>
  <c r="O24"/>
  <c r="V24" s="1"/>
  <c r="U24" s="1"/>
  <c r="O65"/>
  <c r="V65" s="1"/>
  <c r="U65" s="1"/>
  <c r="O63"/>
  <c r="V63" s="1"/>
  <c r="U63" s="1"/>
  <c r="O34"/>
  <c r="V34" s="1"/>
  <c r="U34" s="1"/>
  <c r="P34"/>
  <c r="S34" s="1"/>
  <c r="P36"/>
  <c r="S36" s="1"/>
  <c r="P59"/>
  <c r="S59" s="1"/>
  <c r="P65"/>
  <c r="S65" s="1"/>
  <c r="P63"/>
  <c r="S63" s="1"/>
  <c r="P82"/>
  <c r="S82" s="1"/>
  <c r="R82" s="1"/>
  <c r="P11"/>
  <c r="S11" s="1"/>
  <c r="J93"/>
  <c r="P71"/>
  <c r="S71" s="1"/>
  <c r="P64"/>
  <c r="S64" s="1"/>
  <c r="F79" i="3"/>
  <c r="F82" i="2"/>
  <c r="F80" i="1"/>
  <c r="G54"/>
  <c r="G55" i="2"/>
  <c r="G31" i="1"/>
  <c r="G31" i="2"/>
  <c r="H14" i="3"/>
  <c r="J17" i="13" l="1"/>
  <c r="E20" i="12" s="1"/>
  <c r="J27" i="13"/>
  <c r="E32" i="12" s="1"/>
  <c r="J26" i="13"/>
  <c r="E31" i="12" s="1"/>
  <c r="J19" i="13"/>
  <c r="E22" i="12" s="1"/>
  <c r="J29" i="13"/>
  <c r="E33" i="12" s="1"/>
  <c r="J3" i="13"/>
  <c r="E3" i="12" s="1"/>
  <c r="J51" i="13"/>
  <c r="J68"/>
  <c r="E83" i="12" s="1"/>
  <c r="J60" i="13"/>
  <c r="E75" i="12" s="1"/>
  <c r="J38" i="13"/>
  <c r="E43" i="12" s="1"/>
  <c r="J44" i="13"/>
  <c r="E53" i="12" s="1"/>
  <c r="J78" i="13"/>
  <c r="E92" i="12" s="1"/>
  <c r="J57" i="13"/>
  <c r="E72" i="12" s="1"/>
  <c r="J10" i="13"/>
  <c r="E12" i="12" s="1"/>
  <c r="J24" i="13"/>
  <c r="E29" i="12" s="1"/>
  <c r="J62" i="13"/>
  <c r="E77" i="12" s="1"/>
  <c r="J22" i="13"/>
  <c r="E26" i="12" s="1"/>
  <c r="J4" i="13"/>
  <c r="E5" i="12" s="1"/>
  <c r="J63" i="13"/>
  <c r="E78" i="12" s="1"/>
  <c r="J41" i="13"/>
  <c r="E49" i="12" s="1"/>
  <c r="J75" i="13"/>
  <c r="J30"/>
  <c r="J54"/>
  <c r="E67" i="12" s="1"/>
  <c r="J35" i="13"/>
  <c r="E40" i="12" s="1"/>
  <c r="J7" i="13"/>
  <c r="E9" i="12" s="1"/>
  <c r="J21" i="13"/>
  <c r="E24" i="12" s="1"/>
  <c r="P24" s="1"/>
  <c r="S24" s="1"/>
  <c r="J59" i="13"/>
  <c r="E74" i="12" s="1"/>
  <c r="J76" i="13"/>
  <c r="E90" i="12" s="1"/>
  <c r="J37" i="13"/>
  <c r="E42" i="12" s="1"/>
  <c r="J18" i="13"/>
  <c r="E21" i="12" s="1"/>
  <c r="J55" i="13"/>
  <c r="E68" i="12" s="1"/>
  <c r="J66" i="13"/>
  <c r="E81" i="12" s="1"/>
  <c r="P81" s="1"/>
  <c r="S81" s="1"/>
  <c r="R81" s="1"/>
  <c r="W81" s="1"/>
  <c r="J52" i="13"/>
  <c r="J45"/>
  <c r="E54" i="12" s="1"/>
  <c r="J20" i="13"/>
  <c r="E23" i="12" s="1"/>
  <c r="J72" i="13"/>
  <c r="E87" i="12" s="1"/>
  <c r="J23" i="13"/>
  <c r="E28" i="12" s="1"/>
  <c r="J16" i="13"/>
  <c r="E19" i="12" s="1"/>
  <c r="J39" i="13"/>
  <c r="E44" i="12" s="1"/>
  <c r="J53" i="13"/>
  <c r="E66" i="12" s="1"/>
  <c r="J73" i="13"/>
  <c r="E88" i="12" s="1"/>
  <c r="J11" i="13"/>
  <c r="E13" i="12" s="1"/>
  <c r="J31" i="13"/>
  <c r="E35" i="12" s="1"/>
  <c r="J65" i="13"/>
  <c r="E80" i="12" s="1"/>
  <c r="J12" i="13"/>
  <c r="E14" i="12" s="1"/>
  <c r="J43" i="13"/>
  <c r="E51" i="12" s="1"/>
  <c r="J77" i="13"/>
  <c r="E91" i="12" s="1"/>
  <c r="J33" i="13"/>
  <c r="E37" i="12" s="1"/>
  <c r="J49" i="13"/>
  <c r="J67"/>
  <c r="J14"/>
  <c r="E17" i="12" s="1"/>
  <c r="J56" i="13"/>
  <c r="J40"/>
  <c r="E45" i="12" s="1"/>
  <c r="J74" i="13"/>
  <c r="E89" i="12" s="1"/>
  <c r="J15" i="13"/>
  <c r="E18" i="12" s="1"/>
  <c r="J13" i="13"/>
  <c r="E16" i="12" s="1"/>
  <c r="J34" i="13"/>
  <c r="E38" i="12" s="1"/>
  <c r="J50" i="13"/>
  <c r="E61" i="12" s="1"/>
  <c r="J6" i="13"/>
  <c r="E8" i="12" s="1"/>
  <c r="J9" i="13"/>
  <c r="J69"/>
  <c r="E84" i="12" s="1"/>
  <c r="J64" i="13"/>
  <c r="E79" i="12" s="1"/>
  <c r="J2" i="13"/>
  <c r="E2" i="12" s="1"/>
  <c r="J28" i="13"/>
  <c r="J46"/>
  <c r="E55" i="12" s="1"/>
  <c r="J8" i="13"/>
  <c r="E10" i="12" s="1"/>
  <c r="J47" i="13"/>
  <c r="E57" i="12" s="1"/>
  <c r="J48" i="13"/>
  <c r="E58" i="12" s="1"/>
  <c r="J25" i="13"/>
  <c r="E30" i="12" s="1"/>
  <c r="J61" i="13"/>
  <c r="E76" i="12" s="1"/>
  <c r="J32" i="13"/>
  <c r="J5"/>
  <c r="E6" i="12" s="1"/>
  <c r="J42" i="13"/>
  <c r="E50" i="12" s="1"/>
  <c r="J71" i="13"/>
  <c r="E86" i="12" s="1"/>
  <c r="J58" i="13"/>
  <c r="E73" i="12" s="1"/>
  <c r="J36" i="13"/>
  <c r="E41" i="12" s="1"/>
  <c r="J70" i="13"/>
  <c r="E85" i="12" s="1"/>
  <c r="W7"/>
  <c r="W4"/>
  <c r="F43" i="10"/>
  <c r="W82" i="12"/>
  <c r="H14" i="1"/>
  <c r="B13" i="2"/>
  <c r="H11" i="3"/>
  <c r="H11" i="1"/>
  <c r="H11" i="2"/>
  <c r="H6" i="3"/>
  <c r="H20" i="2"/>
  <c r="H19"/>
  <c r="H18"/>
  <c r="H7"/>
  <c r="H5"/>
  <c r="H3"/>
  <c r="H2"/>
  <c r="J79" i="13" l="1"/>
  <c r="M93" i="12"/>
  <c r="L93"/>
  <c r="K93"/>
  <c r="E93"/>
  <c r="R63"/>
  <c r="W63" s="1"/>
  <c r="R34"/>
  <c r="W34" s="1"/>
  <c r="R71"/>
  <c r="W71" s="1"/>
  <c r="R36"/>
  <c r="W36" s="1"/>
  <c r="E70" i="3"/>
  <c r="D70"/>
  <c r="E59"/>
  <c r="D59"/>
  <c r="E61" i="2"/>
  <c r="D61"/>
  <c r="E42"/>
  <c r="D42"/>
  <c r="D22" i="3"/>
  <c r="I22" s="1"/>
  <c r="E22"/>
  <c r="E13"/>
  <c r="D13"/>
  <c r="E13" i="2"/>
  <c r="D13"/>
  <c r="D32" i="3"/>
  <c r="E32"/>
  <c r="D32" i="2"/>
  <c r="E32"/>
  <c r="D44" i="3"/>
  <c r="E44"/>
  <c r="D78" i="1"/>
  <c r="D79"/>
  <c r="D80"/>
  <c r="D81"/>
  <c r="D81" i="2"/>
  <c r="D82"/>
  <c r="D83"/>
  <c r="D14"/>
  <c r="D18"/>
  <c r="D19"/>
  <c r="D20"/>
  <c r="D4"/>
  <c r="D7"/>
  <c r="D9"/>
  <c r="D10"/>
  <c r="D12"/>
  <c r="D2"/>
  <c r="D3"/>
  <c r="D11"/>
  <c r="D5"/>
  <c r="D22"/>
  <c r="D6"/>
  <c r="D8"/>
  <c r="D15"/>
  <c r="D16"/>
  <c r="D21"/>
  <c r="D23"/>
  <c r="D24"/>
  <c r="D25"/>
  <c r="D26"/>
  <c r="D27"/>
  <c r="D28"/>
  <c r="D29"/>
  <c r="D30"/>
  <c r="D31"/>
  <c r="D33"/>
  <c r="D34"/>
  <c r="D35"/>
  <c r="D36"/>
  <c r="D38"/>
  <c r="D47"/>
  <c r="D44"/>
  <c r="D41"/>
  <c r="D43"/>
  <c r="D48"/>
  <c r="D37"/>
  <c r="D49"/>
  <c r="D51"/>
  <c r="D39"/>
  <c r="D40"/>
  <c r="D45"/>
  <c r="D46"/>
  <c r="D50"/>
  <c r="D52"/>
  <c r="D53"/>
  <c r="D54"/>
  <c r="D55"/>
  <c r="D56"/>
  <c r="D58"/>
  <c r="D59"/>
  <c r="D60"/>
  <c r="D62"/>
  <c r="D63"/>
  <c r="D64"/>
  <c r="D65"/>
  <c r="D66"/>
  <c r="D67"/>
  <c r="D68"/>
  <c r="D69"/>
  <c r="D70"/>
  <c r="D71"/>
  <c r="D72"/>
  <c r="D73"/>
  <c r="D74"/>
  <c r="D75"/>
  <c r="D76"/>
  <c r="D77"/>
  <c r="D78"/>
  <c r="D79"/>
  <c r="D80"/>
  <c r="D14" i="1"/>
  <c r="D18"/>
  <c r="D19"/>
  <c r="D20"/>
  <c r="D4"/>
  <c r="D13"/>
  <c r="D7"/>
  <c r="D9"/>
  <c r="D10"/>
  <c r="D12"/>
  <c r="D2"/>
  <c r="D3"/>
  <c r="D11"/>
  <c r="D5"/>
  <c r="D22"/>
  <c r="D6"/>
  <c r="D8"/>
  <c r="D15"/>
  <c r="D16"/>
  <c r="D21"/>
  <c r="D23"/>
  <c r="D24"/>
  <c r="D25"/>
  <c r="D26"/>
  <c r="D27"/>
  <c r="D28"/>
  <c r="D29"/>
  <c r="D30"/>
  <c r="D31"/>
  <c r="D32"/>
  <c r="D33"/>
  <c r="D34"/>
  <c r="D35"/>
  <c r="D37"/>
  <c r="D46"/>
  <c r="D43"/>
  <c r="D40"/>
  <c r="D42"/>
  <c r="D47"/>
  <c r="D41"/>
  <c r="D36"/>
  <c r="D48"/>
  <c r="D50"/>
  <c r="D38"/>
  <c r="D39"/>
  <c r="D44"/>
  <c r="D45"/>
  <c r="D49"/>
  <c r="D51"/>
  <c r="D52"/>
  <c r="D53"/>
  <c r="D54"/>
  <c r="D55"/>
  <c r="D57"/>
  <c r="D58"/>
  <c r="D59"/>
  <c r="D61"/>
  <c r="D60"/>
  <c r="D62"/>
  <c r="D63"/>
  <c r="D64"/>
  <c r="D65"/>
  <c r="D66"/>
  <c r="D67"/>
  <c r="D68"/>
  <c r="D69"/>
  <c r="D70"/>
  <c r="D71"/>
  <c r="D72"/>
  <c r="D73"/>
  <c r="D74"/>
  <c r="D75"/>
  <c r="D76"/>
  <c r="D77"/>
  <c r="D14" i="3"/>
  <c r="D18"/>
  <c r="D19"/>
  <c r="D20"/>
  <c r="D4"/>
  <c r="D7"/>
  <c r="D9"/>
  <c r="D10"/>
  <c r="D12"/>
  <c r="D2"/>
  <c r="D3"/>
  <c r="D11"/>
  <c r="D5"/>
  <c r="D6"/>
  <c r="D8"/>
  <c r="D15"/>
  <c r="D16"/>
  <c r="D23"/>
  <c r="D24"/>
  <c r="I24" s="1"/>
  <c r="D25"/>
  <c r="I25" s="1"/>
  <c r="D26"/>
  <c r="D27"/>
  <c r="D28"/>
  <c r="I28" s="1"/>
  <c r="D29"/>
  <c r="I29" s="1"/>
  <c r="D30"/>
  <c r="D31"/>
  <c r="D33"/>
  <c r="I33" s="1"/>
  <c r="D34"/>
  <c r="I34" s="1"/>
  <c r="D35"/>
  <c r="D37"/>
  <c r="D43"/>
  <c r="I43" s="1"/>
  <c r="D40"/>
  <c r="I40" s="1"/>
  <c r="D36"/>
  <c r="D45"/>
  <c r="D47"/>
  <c r="I47" s="1"/>
  <c r="D38"/>
  <c r="I38" s="1"/>
  <c r="D39"/>
  <c r="D41"/>
  <c r="D42"/>
  <c r="I42" s="1"/>
  <c r="D46"/>
  <c r="I46" s="1"/>
  <c r="D48"/>
  <c r="D49"/>
  <c r="D50"/>
  <c r="D51"/>
  <c r="I51" s="1"/>
  <c r="D52"/>
  <c r="D53"/>
  <c r="D54"/>
  <c r="D55"/>
  <c r="D56"/>
  <c r="D57"/>
  <c r="D58"/>
  <c r="I58" s="1"/>
  <c r="D60"/>
  <c r="D61"/>
  <c r="D62"/>
  <c r="D63"/>
  <c r="I63" s="1"/>
  <c r="D64"/>
  <c r="I64" s="1"/>
  <c r="D65"/>
  <c r="D66"/>
  <c r="D67"/>
  <c r="I67" s="1"/>
  <c r="D68"/>
  <c r="I68" s="1"/>
  <c r="D69"/>
  <c r="D71"/>
  <c r="D72"/>
  <c r="I72" s="1"/>
  <c r="D73"/>
  <c r="I73" s="1"/>
  <c r="D74"/>
  <c r="D75"/>
  <c r="D76"/>
  <c r="I76" s="1"/>
  <c r="D77"/>
  <c r="I77" s="1"/>
  <c r="D78"/>
  <c r="D79"/>
  <c r="D80"/>
  <c r="I80" s="1"/>
  <c r="D17" i="2"/>
  <c r="D17" i="1"/>
  <c r="D17" i="3"/>
  <c r="E78" i="1"/>
  <c r="E79"/>
  <c r="E80"/>
  <c r="E81"/>
  <c r="E81" i="2"/>
  <c r="E82"/>
  <c r="E83"/>
  <c r="E14"/>
  <c r="E18"/>
  <c r="E19"/>
  <c r="E20"/>
  <c r="E4"/>
  <c r="E7"/>
  <c r="E9"/>
  <c r="E10"/>
  <c r="E12"/>
  <c r="E2"/>
  <c r="E3"/>
  <c r="E11"/>
  <c r="E5"/>
  <c r="E22"/>
  <c r="E6"/>
  <c r="E8"/>
  <c r="E15"/>
  <c r="E16"/>
  <c r="E21"/>
  <c r="E23"/>
  <c r="E24"/>
  <c r="E25"/>
  <c r="E26"/>
  <c r="E27"/>
  <c r="E28"/>
  <c r="E29"/>
  <c r="E30"/>
  <c r="E31"/>
  <c r="E33"/>
  <c r="E34"/>
  <c r="E35"/>
  <c r="E36"/>
  <c r="E38"/>
  <c r="E47"/>
  <c r="E44"/>
  <c r="E41"/>
  <c r="E43"/>
  <c r="E48"/>
  <c r="E37"/>
  <c r="E49"/>
  <c r="E51"/>
  <c r="E39"/>
  <c r="E40"/>
  <c r="E45"/>
  <c r="E46"/>
  <c r="E50"/>
  <c r="E52"/>
  <c r="E53"/>
  <c r="E54"/>
  <c r="E55"/>
  <c r="E56"/>
  <c r="E58"/>
  <c r="E59"/>
  <c r="E60"/>
  <c r="E62"/>
  <c r="E63"/>
  <c r="E64"/>
  <c r="E65"/>
  <c r="E66"/>
  <c r="E67"/>
  <c r="E68"/>
  <c r="E69"/>
  <c r="E70"/>
  <c r="E71"/>
  <c r="E72"/>
  <c r="E73"/>
  <c r="E74"/>
  <c r="E75"/>
  <c r="E76"/>
  <c r="E77"/>
  <c r="E78"/>
  <c r="E79"/>
  <c r="E80"/>
  <c r="E14" i="1"/>
  <c r="E18"/>
  <c r="E19"/>
  <c r="E20"/>
  <c r="E4"/>
  <c r="E13"/>
  <c r="E7"/>
  <c r="E9"/>
  <c r="E10"/>
  <c r="E12"/>
  <c r="E2"/>
  <c r="E3"/>
  <c r="E11"/>
  <c r="E5"/>
  <c r="E22"/>
  <c r="E6"/>
  <c r="E8"/>
  <c r="E15"/>
  <c r="E16"/>
  <c r="E21"/>
  <c r="E23"/>
  <c r="E24"/>
  <c r="E25"/>
  <c r="E26"/>
  <c r="E27"/>
  <c r="E28"/>
  <c r="E29"/>
  <c r="E30"/>
  <c r="E31"/>
  <c r="E32"/>
  <c r="E33"/>
  <c r="E34"/>
  <c r="E35"/>
  <c r="E37"/>
  <c r="E46"/>
  <c r="E43"/>
  <c r="E40"/>
  <c r="E42"/>
  <c r="E47"/>
  <c r="E41"/>
  <c r="E36"/>
  <c r="E48"/>
  <c r="E50"/>
  <c r="E38"/>
  <c r="E39"/>
  <c r="E44"/>
  <c r="E45"/>
  <c r="E49"/>
  <c r="E51"/>
  <c r="E52"/>
  <c r="E53"/>
  <c r="E54"/>
  <c r="E55"/>
  <c r="E57"/>
  <c r="E58"/>
  <c r="E59"/>
  <c r="E61"/>
  <c r="E60"/>
  <c r="E62"/>
  <c r="E63"/>
  <c r="E64"/>
  <c r="E65"/>
  <c r="E66"/>
  <c r="E67"/>
  <c r="E68"/>
  <c r="E69"/>
  <c r="E70"/>
  <c r="E71"/>
  <c r="E72"/>
  <c r="E73"/>
  <c r="E74"/>
  <c r="E75"/>
  <c r="E76"/>
  <c r="E77"/>
  <c r="E14" i="3"/>
  <c r="E18"/>
  <c r="E19"/>
  <c r="E20"/>
  <c r="E4"/>
  <c r="E7"/>
  <c r="E9"/>
  <c r="E10"/>
  <c r="E12"/>
  <c r="E2"/>
  <c r="E3"/>
  <c r="E11"/>
  <c r="E5"/>
  <c r="E6"/>
  <c r="E8"/>
  <c r="E15"/>
  <c r="E16"/>
  <c r="E21"/>
  <c r="E23"/>
  <c r="E24"/>
  <c r="E25"/>
  <c r="E26"/>
  <c r="E27"/>
  <c r="E28"/>
  <c r="E29"/>
  <c r="E30"/>
  <c r="E31"/>
  <c r="E33"/>
  <c r="E34"/>
  <c r="E35"/>
  <c r="E37"/>
  <c r="E43"/>
  <c r="E40"/>
  <c r="E36"/>
  <c r="E45"/>
  <c r="E47"/>
  <c r="E38"/>
  <c r="E39"/>
  <c r="E41"/>
  <c r="E42"/>
  <c r="E46"/>
  <c r="E48"/>
  <c r="E49"/>
  <c r="E50"/>
  <c r="E51"/>
  <c r="E52"/>
  <c r="E53"/>
  <c r="E54"/>
  <c r="E55"/>
  <c r="E56"/>
  <c r="E57"/>
  <c r="E58"/>
  <c r="E60"/>
  <c r="E61"/>
  <c r="E62"/>
  <c r="E63"/>
  <c r="E64"/>
  <c r="E65"/>
  <c r="E66"/>
  <c r="E67"/>
  <c r="E68"/>
  <c r="E69"/>
  <c r="E71"/>
  <c r="E72"/>
  <c r="E73"/>
  <c r="E74"/>
  <c r="E75"/>
  <c r="E76"/>
  <c r="E77"/>
  <c r="E78"/>
  <c r="E79"/>
  <c r="E80"/>
  <c r="E17" i="2"/>
  <c r="E17" i="1"/>
  <c r="E17" i="3"/>
  <c r="I15" l="1"/>
  <c r="I11"/>
  <c r="I10"/>
  <c r="I78"/>
  <c r="I74"/>
  <c r="I69"/>
  <c r="I65"/>
  <c r="I61"/>
  <c r="I56"/>
  <c r="I52"/>
  <c r="I48"/>
  <c r="I39"/>
  <c r="I36"/>
  <c r="I35"/>
  <c r="I26"/>
  <c r="I16"/>
  <c r="I12"/>
  <c r="I4"/>
  <c r="I14"/>
  <c r="I44"/>
  <c r="I8"/>
  <c r="I17"/>
  <c r="I79"/>
  <c r="I75"/>
  <c r="I71"/>
  <c r="I66"/>
  <c r="I62"/>
  <c r="I57"/>
  <c r="I49"/>
  <c r="I41"/>
  <c r="I45"/>
  <c r="I37"/>
  <c r="I31"/>
  <c r="I27"/>
  <c r="I23"/>
  <c r="I6"/>
  <c r="I59"/>
  <c r="I13" i="2"/>
  <c r="J57" s="1"/>
  <c r="G62" i="12" s="1"/>
  <c r="H13" i="2"/>
  <c r="H13" i="3"/>
  <c r="I13" s="1"/>
  <c r="R24" i="12"/>
  <c r="W24" s="1"/>
  <c r="R64"/>
  <c r="W64" s="1"/>
  <c r="R65"/>
  <c r="W65" s="1"/>
  <c r="R59"/>
  <c r="W59" s="1"/>
  <c r="R11"/>
  <c r="W11" s="1"/>
  <c r="G38" i="6"/>
  <c r="G39" i="10"/>
  <c r="G39" i="11"/>
  <c r="G21"/>
  <c r="G20" i="6"/>
  <c r="G21" i="10"/>
  <c r="G7"/>
  <c r="G7" i="11"/>
  <c r="G7" i="6"/>
  <c r="G17"/>
  <c r="G18" i="10"/>
  <c r="G18" i="11"/>
  <c r="G16" i="10"/>
  <c r="G16" i="11"/>
  <c r="G15" i="6"/>
  <c r="G5"/>
  <c r="G5" i="10"/>
  <c r="G5" i="11"/>
  <c r="G12" i="6"/>
  <c r="G36" i="10"/>
  <c r="G36" i="11"/>
  <c r="G35" i="6"/>
  <c r="G29"/>
  <c r="G30" i="10"/>
  <c r="G30" i="11"/>
  <c r="G9" i="10"/>
  <c r="G9" i="11"/>
  <c r="G18" i="6"/>
  <c r="G19" i="10"/>
  <c r="G19" i="11"/>
  <c r="G2" i="6"/>
  <c r="G2" i="10"/>
  <c r="G2" i="11"/>
  <c r="G37" i="6"/>
  <c r="G38" i="10"/>
  <c r="G38" i="11"/>
  <c r="G33" i="6"/>
  <c r="G34" i="10"/>
  <c r="G34" i="11"/>
  <c r="G28" i="10"/>
  <c r="G28" i="11"/>
  <c r="G27" i="6"/>
  <c r="G25" i="11"/>
  <c r="G24" i="6"/>
  <c r="G25" i="10"/>
  <c r="G24"/>
  <c r="G24" i="11"/>
  <c r="G23" i="6"/>
  <c r="G22"/>
  <c r="G23" i="10"/>
  <c r="G23" i="11"/>
  <c r="G12"/>
  <c r="G11" i="6"/>
  <c r="G12" i="10"/>
  <c r="G4" i="11"/>
  <c r="G4" i="6"/>
  <c r="G4" i="10"/>
  <c r="G13" i="6"/>
  <c r="G14" i="10"/>
  <c r="G14" i="11"/>
  <c r="G14" i="6"/>
  <c r="G15" i="10"/>
  <c r="G15" i="11"/>
  <c r="G10" i="6"/>
  <c r="G11" i="10"/>
  <c r="G11" i="11"/>
  <c r="G17"/>
  <c r="G16" i="6"/>
  <c r="G17" i="10"/>
  <c r="G34" i="6"/>
  <c r="G35" i="10"/>
  <c r="G35" i="11"/>
  <c r="G29"/>
  <c r="G28" i="6"/>
  <c r="G29" i="10"/>
  <c r="G40"/>
  <c r="G40" i="11"/>
  <c r="G39" i="6"/>
  <c r="G32" i="10"/>
  <c r="G32" i="11"/>
  <c r="G31" i="6"/>
  <c r="G25"/>
  <c r="G26" i="10"/>
  <c r="G26" i="11"/>
  <c r="G21" i="6"/>
  <c r="G22" i="10"/>
  <c r="G22" i="11"/>
  <c r="G6" i="6"/>
  <c r="G6" i="10"/>
  <c r="G6" i="11"/>
  <c r="G41"/>
  <c r="G40" i="6"/>
  <c r="G41" i="10"/>
  <c r="G37" i="11"/>
  <c r="G36" i="6"/>
  <c r="G37" i="10"/>
  <c r="G33" i="11"/>
  <c r="G32" i="6"/>
  <c r="G33" i="10"/>
  <c r="G30" i="6"/>
  <c r="G31" i="10"/>
  <c r="G31" i="11"/>
  <c r="G26" i="6"/>
  <c r="G27" i="10"/>
  <c r="G27" i="11"/>
  <c r="G9" i="6"/>
  <c r="G10" i="10"/>
  <c r="G10" i="11"/>
  <c r="G20" i="10"/>
  <c r="G20" i="11"/>
  <c r="G19" i="6"/>
  <c r="G8" i="11"/>
  <c r="G8" i="6"/>
  <c r="G8" i="10"/>
  <c r="G3"/>
  <c r="G3" i="11"/>
  <c r="G3" i="6"/>
  <c r="H7" i="1"/>
  <c r="H19"/>
  <c r="H3"/>
  <c r="H20"/>
  <c r="H2"/>
  <c r="H5"/>
  <c r="H18"/>
  <c r="K77" i="3"/>
  <c r="K71" i="2"/>
  <c r="K54" i="1"/>
  <c r="K39" i="2"/>
  <c r="K31" i="3"/>
  <c r="K23"/>
  <c r="K7" i="2"/>
  <c r="K18"/>
  <c r="K49"/>
  <c r="K16" i="1"/>
  <c r="K13"/>
  <c r="K37"/>
  <c r="K47" i="2"/>
  <c r="K83"/>
  <c r="K79"/>
  <c r="K72" i="3"/>
  <c r="K60" i="2"/>
  <c r="K36" i="1"/>
  <c r="K34" i="2"/>
  <c r="K26" i="1"/>
  <c r="K4" i="2"/>
  <c r="K14" i="1"/>
  <c r="K50"/>
  <c r="K17"/>
  <c r="K73" i="3"/>
  <c r="K67" i="2"/>
  <c r="K49" i="1"/>
  <c r="K35"/>
  <c r="K27" i="3"/>
  <c r="K60" i="1"/>
  <c r="K40"/>
  <c r="K5" i="3"/>
  <c r="K81" i="2"/>
  <c r="K24"/>
  <c r="K61" i="1"/>
  <c r="K41"/>
  <c r="K69" i="2"/>
  <c r="K65"/>
  <c r="K52" i="1"/>
  <c r="K20"/>
  <c r="K73" i="2"/>
  <c r="K43"/>
  <c r="K22" i="1"/>
  <c r="K8"/>
  <c r="H3" i="3"/>
  <c r="I3" s="1"/>
  <c r="H19"/>
  <c r="I19" s="1"/>
  <c r="H20"/>
  <c r="I20" s="1"/>
  <c r="H5"/>
  <c r="I5" s="1"/>
  <c r="H2"/>
  <c r="I2" s="1"/>
  <c r="H7"/>
  <c r="I7" s="1"/>
  <c r="H18"/>
  <c r="I18" s="1"/>
  <c r="K80"/>
  <c r="K47"/>
  <c r="K14" i="2"/>
  <c r="K75"/>
  <c r="K81" i="1"/>
  <c r="K36" i="2"/>
  <c r="K78" i="1"/>
  <c r="K13" i="2"/>
  <c r="K27"/>
  <c r="K16"/>
  <c r="K69" i="1"/>
  <c r="K13" i="3"/>
  <c r="K26"/>
  <c r="K55" i="2"/>
  <c r="K22"/>
  <c r="K74" i="1"/>
  <c r="K38"/>
  <c r="K4"/>
  <c r="K63" i="2"/>
  <c r="K23"/>
  <c r="K65" i="1"/>
  <c r="K18"/>
  <c r="K5"/>
  <c r="K48"/>
  <c r="K31" i="2"/>
  <c r="K5"/>
  <c r="K73" i="1"/>
  <c r="K61" i="2"/>
  <c r="K75" i="1"/>
  <c r="K66"/>
  <c r="K68" i="2"/>
  <c r="K62" i="1"/>
  <c r="K64" i="2"/>
  <c r="K56"/>
  <c r="K55" i="1"/>
  <c r="K9"/>
  <c r="K19" i="2"/>
  <c r="K19" i="1"/>
  <c r="K21"/>
  <c r="K21" i="2"/>
  <c r="K6"/>
  <c r="K6" i="1"/>
  <c r="K2"/>
  <c r="K2" i="2"/>
  <c r="K82"/>
  <c r="K80" i="1"/>
  <c r="K74" i="2"/>
  <c r="K72" i="1"/>
  <c r="K63"/>
  <c r="K33" i="2"/>
  <c r="K25" i="1"/>
  <c r="K25" i="2"/>
  <c r="K10"/>
  <c r="K10" i="1"/>
  <c r="K71"/>
  <c r="K3"/>
  <c r="K3" i="2"/>
  <c r="K66"/>
  <c r="K64" i="1"/>
  <c r="K45"/>
  <c r="K46" i="2"/>
  <c r="K33" i="1"/>
  <c r="K34" i="3"/>
  <c r="K30" i="1"/>
  <c r="K44" i="2"/>
  <c r="K43" i="1"/>
  <c r="K35" i="2"/>
  <c r="K34" i="1"/>
  <c r="K15" i="2"/>
  <c r="K15" i="1"/>
  <c r="K11" i="3"/>
  <c r="K11" i="1"/>
  <c r="K11" i="2"/>
  <c r="K54" i="3"/>
  <c r="K4"/>
  <c r="K77" i="2"/>
  <c r="K51"/>
  <c r="K30"/>
  <c r="K77" i="1"/>
  <c r="K28"/>
  <c r="K70" i="3"/>
  <c r="K79" i="1"/>
  <c r="K70"/>
  <c r="K72" i="2"/>
  <c r="K52"/>
  <c r="K51" i="1"/>
  <c r="K39"/>
  <c r="K59" i="3"/>
  <c r="K62" i="2"/>
  <c r="K46" i="1"/>
  <c r="K78" i="2"/>
  <c r="K76" i="1"/>
  <c r="K67"/>
  <c r="K58"/>
  <c r="K59" i="2"/>
  <c r="K29" i="1"/>
  <c r="K29" i="2"/>
  <c r="K48"/>
  <c r="K47" i="1"/>
  <c r="K42"/>
  <c r="K8" i="3"/>
  <c r="K8" i="2"/>
  <c r="K70"/>
  <c r="K68" i="1"/>
  <c r="K59"/>
  <c r="K53"/>
  <c r="K54" i="2"/>
  <c r="K37"/>
  <c r="K12"/>
  <c r="K32"/>
  <c r="K57" i="1"/>
  <c r="K42" i="2"/>
  <c r="K58"/>
  <c r="K40"/>
  <c r="K28"/>
  <c r="K24" i="1"/>
  <c r="K22" i="3"/>
  <c r="K63"/>
  <c r="K14"/>
  <c r="K53" i="2"/>
  <c r="K45"/>
  <c r="K38"/>
  <c r="K26"/>
  <c r="K20"/>
  <c r="K9"/>
  <c r="K44" i="1"/>
  <c r="K32"/>
  <c r="K12"/>
  <c r="K80" i="2"/>
  <c r="K76"/>
  <c r="K50"/>
  <c r="K41"/>
  <c r="K17"/>
  <c r="K31" i="1"/>
  <c r="K27"/>
  <c r="K23"/>
  <c r="K7"/>
  <c r="D21" i="3"/>
  <c r="I21" s="1"/>
  <c r="K55"/>
  <c r="K35"/>
  <c r="K17"/>
  <c r="K76"/>
  <c r="K67"/>
  <c r="K58"/>
  <c r="K50"/>
  <c r="K38"/>
  <c r="K30"/>
  <c r="K18"/>
  <c r="K46"/>
  <c r="K64"/>
  <c r="K68"/>
  <c r="K60"/>
  <c r="K51"/>
  <c r="K42"/>
  <c r="K12"/>
  <c r="K21"/>
  <c r="K43"/>
  <c r="K9"/>
  <c r="K79"/>
  <c r="K75"/>
  <c r="K71"/>
  <c r="K66"/>
  <c r="K62"/>
  <c r="K57"/>
  <c r="K53"/>
  <c r="K49"/>
  <c r="K45"/>
  <c r="K41"/>
  <c r="K37"/>
  <c r="K33"/>
  <c r="K29"/>
  <c r="K25"/>
  <c r="K20"/>
  <c r="K16"/>
  <c r="K7"/>
  <c r="K3"/>
  <c r="K2"/>
  <c r="K39"/>
  <c r="K78"/>
  <c r="K74"/>
  <c r="K69"/>
  <c r="K65"/>
  <c r="K61"/>
  <c r="K56"/>
  <c r="K52"/>
  <c r="K48"/>
  <c r="K44"/>
  <c r="K40"/>
  <c r="K36"/>
  <c r="K32"/>
  <c r="K28"/>
  <c r="K24"/>
  <c r="K19"/>
  <c r="K15"/>
  <c r="K10"/>
  <c r="K6"/>
  <c r="P62" i="12" l="1"/>
  <c r="S62" s="1"/>
  <c r="R62" s="1"/>
  <c r="W62" s="1"/>
  <c r="O62"/>
  <c r="J36" i="1"/>
  <c r="H41" i="12" s="1"/>
  <c r="J24" i="3"/>
  <c r="J54" i="1"/>
  <c r="H60" i="12" s="1"/>
  <c r="J38" i="1"/>
  <c r="H43" i="12" s="1"/>
  <c r="J74" i="1"/>
  <c r="H85" i="12" s="1"/>
  <c r="J22" i="1"/>
  <c r="H25" i="12" s="1"/>
  <c r="J42" i="1"/>
  <c r="H47" i="12" s="1"/>
  <c r="J3" i="1"/>
  <c r="H3" i="12" s="1"/>
  <c r="J67" i="1"/>
  <c r="H77" i="12" s="1"/>
  <c r="J9" i="1"/>
  <c r="J41"/>
  <c r="H46" i="12" s="1"/>
  <c r="J19" i="1"/>
  <c r="H21" i="12" s="1"/>
  <c r="J5" i="3"/>
  <c r="J21"/>
  <c r="J77"/>
  <c r="J21" i="1"/>
  <c r="H23" i="12" s="1"/>
  <c r="J45" i="1"/>
  <c r="H50" i="12" s="1"/>
  <c r="J49" i="1"/>
  <c r="H55" i="12" s="1"/>
  <c r="J46" i="1"/>
  <c r="H51" i="12" s="1"/>
  <c r="J11" i="3"/>
  <c r="J67"/>
  <c r="J3"/>
  <c r="J61"/>
  <c r="J36"/>
  <c r="J20" i="1"/>
  <c r="H22" i="12" s="1"/>
  <c r="J15" i="3"/>
  <c r="J73"/>
  <c r="J7" i="1"/>
  <c r="H9" i="12" s="1"/>
  <c r="J18" i="1"/>
  <c r="H20" i="12" s="1"/>
  <c r="J29" i="1"/>
  <c r="H33" i="12" s="1"/>
  <c r="J44" i="3"/>
  <c r="F52" i="12" s="1"/>
  <c r="J54" i="3"/>
  <c r="J27"/>
  <c r="J17"/>
  <c r="J52"/>
  <c r="J53"/>
  <c r="J80"/>
  <c r="J60"/>
  <c r="J23"/>
  <c r="J79"/>
  <c r="J66"/>
  <c r="J16"/>
  <c r="J4" i="1"/>
  <c r="H5" i="12" s="1"/>
  <c r="J69" i="1"/>
  <c r="H79" i="12" s="1"/>
  <c r="J60" i="1"/>
  <c r="H69" i="12" s="1"/>
  <c r="J10" i="3"/>
  <c r="J43"/>
  <c r="J68"/>
  <c r="J9"/>
  <c r="J58"/>
  <c r="J6"/>
  <c r="J75"/>
  <c r="J29"/>
  <c r="J63"/>
  <c r="J7"/>
  <c r="J71"/>
  <c r="J4"/>
  <c r="J45"/>
  <c r="J56"/>
  <c r="J34"/>
  <c r="J39"/>
  <c r="J12"/>
  <c r="J51"/>
  <c r="J79" i="1"/>
  <c r="H90" i="12" s="1"/>
  <c r="J50" i="3"/>
  <c r="J41"/>
  <c r="J31"/>
  <c r="J55"/>
  <c r="J78"/>
  <c r="J58" i="1"/>
  <c r="H67" i="12" s="1"/>
  <c r="J47" i="3"/>
  <c r="J40"/>
  <c r="J63" i="1"/>
  <c r="H73" i="12" s="1"/>
  <c r="J47" i="1"/>
  <c r="H53" i="12" s="1"/>
  <c r="J75" i="1"/>
  <c r="H86" i="12" s="1"/>
  <c r="J66" i="1"/>
  <c r="H76" i="12" s="1"/>
  <c r="J37" i="3"/>
  <c r="J19"/>
  <c r="J72"/>
  <c r="J8"/>
  <c r="J38"/>
  <c r="J59"/>
  <c r="J26"/>
  <c r="J65"/>
  <c r="J46"/>
  <c r="J74"/>
  <c r="J25" i="1"/>
  <c r="H29" i="12" s="1"/>
  <c r="J51" i="1"/>
  <c r="H57" i="12" s="1"/>
  <c r="J52" i="1"/>
  <c r="H58" i="12" s="1"/>
  <c r="J35" i="1"/>
  <c r="H40" i="12" s="1"/>
  <c r="J22" i="3"/>
  <c r="J28"/>
  <c r="J14"/>
  <c r="J64"/>
  <c r="J33"/>
  <c r="J18"/>
  <c r="J57"/>
  <c r="J62"/>
  <c r="J69"/>
  <c r="J76"/>
  <c r="J13"/>
  <c r="J70"/>
  <c r="J42"/>
  <c r="J49"/>
  <c r="J30"/>
  <c r="J48"/>
  <c r="J25"/>
  <c r="J32"/>
  <c r="J35"/>
  <c r="J20"/>
  <c r="J37" i="1"/>
  <c r="H42" i="12" s="1"/>
  <c r="J70" i="1"/>
  <c r="H80" i="12" s="1"/>
  <c r="J39" i="1"/>
  <c r="H44" i="12" s="1"/>
  <c r="J80" i="1"/>
  <c r="H91" i="12" s="1"/>
  <c r="J32" i="1"/>
  <c r="H37" i="12" s="1"/>
  <c r="J48" i="1"/>
  <c r="H54" i="12" s="1"/>
  <c r="J65" i="1"/>
  <c r="H75" i="12" s="1"/>
  <c r="J81" i="1"/>
  <c r="H92" i="12" s="1"/>
  <c r="J15" i="1"/>
  <c r="H17" i="12" s="1"/>
  <c r="J31" i="1"/>
  <c r="H35" i="12" s="1"/>
  <c r="J55" i="1"/>
  <c r="H61" i="12" s="1"/>
  <c r="J26" i="1"/>
  <c r="H30" i="12" s="1"/>
  <c r="J6" i="1"/>
  <c r="H8" i="12" s="1"/>
  <c r="J5" i="1"/>
  <c r="H6" i="12" s="1"/>
  <c r="J50" i="1"/>
  <c r="H56" i="12" s="1"/>
  <c r="J10" i="1"/>
  <c r="H12" i="12" s="1"/>
  <c r="J33" i="1"/>
  <c r="H38" i="12" s="1"/>
  <c r="J2" i="1"/>
  <c r="H2" i="12" s="1"/>
  <c r="J12" i="1"/>
  <c r="H14" i="12" s="1"/>
  <c r="J44" i="1"/>
  <c r="H49" i="12" s="1"/>
  <c r="J61" i="1"/>
  <c r="H70" i="12" s="1"/>
  <c r="J11" i="1"/>
  <c r="H13" i="12" s="1"/>
  <c r="J27" i="1"/>
  <c r="H31" i="12" s="1"/>
  <c r="J76" i="1"/>
  <c r="H87" i="12" s="1"/>
  <c r="J71" i="1"/>
  <c r="J34"/>
  <c r="H39" i="12" s="1"/>
  <c r="J30" i="1"/>
  <c r="J13"/>
  <c r="H15" i="12" s="1"/>
  <c r="J62" i="1"/>
  <c r="H72" i="12" s="1"/>
  <c r="J78" i="1"/>
  <c r="H89" i="12" s="1"/>
  <c r="J64" i="1"/>
  <c r="H74" i="12" s="1"/>
  <c r="J8" i="1"/>
  <c r="H10" i="12" s="1"/>
  <c r="J24" i="1"/>
  <c r="H28" i="12" s="1"/>
  <c r="J40" i="1"/>
  <c r="H45" i="12" s="1"/>
  <c r="J57" i="1"/>
  <c r="H66" i="12" s="1"/>
  <c r="J73" i="1"/>
  <c r="H84" i="12" s="1"/>
  <c r="J23" i="1"/>
  <c r="H26" i="12" s="1"/>
  <c r="J43" i="1"/>
  <c r="H48" i="12" s="1"/>
  <c r="J68" i="1"/>
  <c r="H78" i="12" s="1"/>
  <c r="J59" i="1"/>
  <c r="H68" i="12" s="1"/>
  <c r="J14" i="1"/>
  <c r="H16" i="12" s="1"/>
  <c r="J53" i="1"/>
  <c r="J16"/>
  <c r="H18" i="12" s="1"/>
  <c r="J17" i="1"/>
  <c r="H19" i="12" s="1"/>
  <c r="J72" i="1"/>
  <c r="H83" i="12" s="1"/>
  <c r="J28" i="1"/>
  <c r="H32" i="12" s="1"/>
  <c r="J77" i="1"/>
  <c r="H88" i="12" s="1"/>
  <c r="J2" i="3"/>
  <c r="U62" i="12" l="1"/>
  <c r="P52"/>
  <c r="S52" s="1"/>
  <c r="H93"/>
  <c r="F40"/>
  <c r="F15"/>
  <c r="F67"/>
  <c r="F16"/>
  <c r="F90"/>
  <c r="F44"/>
  <c r="F5"/>
  <c r="F33"/>
  <c r="F77"/>
  <c r="F92"/>
  <c r="F31"/>
  <c r="F22"/>
  <c r="F57"/>
  <c r="F73"/>
  <c r="F75"/>
  <c r="F86"/>
  <c r="F21"/>
  <c r="F49"/>
  <c r="F54"/>
  <c r="F68"/>
  <c r="F18"/>
  <c r="F19"/>
  <c r="F23"/>
  <c r="F29"/>
  <c r="F50"/>
  <c r="F80"/>
  <c r="F37"/>
  <c r="F25"/>
  <c r="F30"/>
  <c r="F84"/>
  <c r="F56"/>
  <c r="F35"/>
  <c r="F60"/>
  <c r="F66"/>
  <c r="F9"/>
  <c r="F8"/>
  <c r="F51"/>
  <c r="F26"/>
  <c r="F61"/>
  <c r="F85"/>
  <c r="F72"/>
  <c r="F89"/>
  <c r="F55"/>
  <c r="F43"/>
  <c r="F42"/>
  <c r="F78"/>
  <c r="F6"/>
  <c r="F28"/>
  <c r="F70"/>
  <c r="F14"/>
  <c r="F74"/>
  <c r="F12"/>
  <c r="F17"/>
  <c r="F3"/>
  <c r="F58"/>
  <c r="F88"/>
  <c r="F20"/>
  <c r="F32"/>
  <c r="F76"/>
  <c r="F10"/>
  <c r="F45"/>
  <c r="F38"/>
  <c r="F83"/>
  <c r="F87"/>
  <c r="F79"/>
  <c r="F91"/>
  <c r="F41"/>
  <c r="F13"/>
  <c r="F2"/>
  <c r="J82" i="1"/>
  <c r="J81" i="3"/>
  <c r="F93" i="12" l="1"/>
  <c r="R52"/>
  <c r="W52" s="1"/>
  <c r="J33" i="2" l="1"/>
  <c r="G37" i="12" s="1"/>
  <c r="O37" s="1"/>
  <c r="V37" s="1"/>
  <c r="U37" s="1"/>
  <c r="P37" l="1"/>
  <c r="S37" s="1"/>
  <c r="R37" s="1"/>
  <c r="W37" s="1"/>
  <c r="J82" i="2"/>
  <c r="J38"/>
  <c r="G42" i="12" s="1"/>
  <c r="O42" s="1"/>
  <c r="V42" s="1"/>
  <c r="U42" s="1"/>
  <c r="J40" i="2"/>
  <c r="G44" i="12" s="1"/>
  <c r="O44" s="1"/>
  <c r="V44" s="1"/>
  <c r="U44" s="1"/>
  <c r="J39" i="2"/>
  <c r="G43" i="12" s="1"/>
  <c r="O43" s="1"/>
  <c r="V43" s="1"/>
  <c r="U43" s="1"/>
  <c r="J14" i="2"/>
  <c r="G16" i="12" s="1"/>
  <c r="O16" s="1"/>
  <c r="V16" s="1"/>
  <c r="U16" s="1"/>
  <c r="J48" i="2"/>
  <c r="G53" i="12" s="1"/>
  <c r="O53" s="1"/>
  <c r="V53" s="1"/>
  <c r="U53" s="1"/>
  <c r="J31" i="2"/>
  <c r="G35" i="12" s="1"/>
  <c r="O35" s="1"/>
  <c r="V35" s="1"/>
  <c r="U35" s="1"/>
  <c r="J18" i="2"/>
  <c r="G20" i="12" s="1"/>
  <c r="O20" s="1"/>
  <c r="V20" s="1"/>
  <c r="U20" s="1"/>
  <c r="J28" i="2"/>
  <c r="G32" i="12" s="1"/>
  <c r="O32" s="1"/>
  <c r="U32" s="1"/>
  <c r="J11" i="2"/>
  <c r="G13" i="12" s="1"/>
  <c r="O13" s="1"/>
  <c r="V13" s="1"/>
  <c r="U13" s="1"/>
  <c r="J30" i="2"/>
  <c r="J80"/>
  <c r="G89" i="12" s="1"/>
  <c r="O89" s="1"/>
  <c r="V89" s="1"/>
  <c r="U89" s="1"/>
  <c r="J46" i="2"/>
  <c r="G50" i="12" s="1"/>
  <c r="O50" s="1"/>
  <c r="V50" s="1"/>
  <c r="U50" s="1"/>
  <c r="J50" i="2"/>
  <c r="G55" i="12" s="1"/>
  <c r="O55" s="1"/>
  <c r="V55" s="1"/>
  <c r="U55" s="1"/>
  <c r="J76" i="2"/>
  <c r="G85" i="12" s="1"/>
  <c r="O85" s="1"/>
  <c r="V85" s="1"/>
  <c r="U85" s="1"/>
  <c r="J35" i="2"/>
  <c r="G39" i="12" s="1"/>
  <c r="O39" s="1"/>
  <c r="V39" s="1"/>
  <c r="U39" s="1"/>
  <c r="J32" i="2"/>
  <c r="J73"/>
  <c r="J25"/>
  <c r="G29" i="12" s="1"/>
  <c r="O29" s="1"/>
  <c r="V29" s="1"/>
  <c r="U29" s="1"/>
  <c r="J51" i="2"/>
  <c r="G56" i="12" s="1"/>
  <c r="O56" s="1"/>
  <c r="V56" s="1"/>
  <c r="U56" s="1"/>
  <c r="J62" i="2"/>
  <c r="G70" i="12" s="1"/>
  <c r="O70" s="1"/>
  <c r="V70" s="1"/>
  <c r="U70" s="1"/>
  <c r="J75" i="2"/>
  <c r="G84" i="12" s="1"/>
  <c r="O84" s="1"/>
  <c r="V84" s="1"/>
  <c r="U84" s="1"/>
  <c r="J16" i="2"/>
  <c r="G18" i="12" s="1"/>
  <c r="O18" s="1"/>
  <c r="V18" s="1"/>
  <c r="U18" s="1"/>
  <c r="J20" i="2"/>
  <c r="G22" i="12" s="1"/>
  <c r="O22" s="1"/>
  <c r="V22" s="1"/>
  <c r="U22" s="1"/>
  <c r="J12" i="2"/>
  <c r="G14" i="12" s="1"/>
  <c r="O14" s="1"/>
  <c r="V14" s="1"/>
  <c r="U14" s="1"/>
  <c r="J21" i="2"/>
  <c r="G23" i="12" s="1"/>
  <c r="O23" s="1"/>
  <c r="V23" s="1"/>
  <c r="U23" s="1"/>
  <c r="J29" i="2"/>
  <c r="G33" i="12" s="1"/>
  <c r="O33" s="1"/>
  <c r="U33" s="1"/>
  <c r="J13" i="2"/>
  <c r="G15" i="12" s="1"/>
  <c r="O15" s="1"/>
  <c r="V15" s="1"/>
  <c r="U15" s="1"/>
  <c r="J6" i="2"/>
  <c r="G8" i="12" s="1"/>
  <c r="O8" s="1"/>
  <c r="V8" s="1"/>
  <c r="U8" s="1"/>
  <c r="J8" i="2"/>
  <c r="G10" i="12" s="1"/>
  <c r="O10" s="1"/>
  <c r="V10" s="1"/>
  <c r="U10" s="1"/>
  <c r="J2" i="2"/>
  <c r="J34"/>
  <c r="G38" i="12" s="1"/>
  <c r="O38" s="1"/>
  <c r="J44" i="2"/>
  <c r="G48" i="12" s="1"/>
  <c r="O48" s="1"/>
  <c r="V48" s="1"/>
  <c r="U48" s="1"/>
  <c r="J42" i="2"/>
  <c r="G46" i="12" s="1"/>
  <c r="O46" s="1"/>
  <c r="V46" s="1"/>
  <c r="U46" s="1"/>
  <c r="J64" i="2"/>
  <c r="G72" i="12" s="1"/>
  <c r="O72" s="1"/>
  <c r="V72" s="1"/>
  <c r="U72" s="1"/>
  <c r="J59" i="2"/>
  <c r="G67" i="12" s="1"/>
  <c r="O67" s="1"/>
  <c r="V67" s="1"/>
  <c r="U67" s="1"/>
  <c r="J36" i="2"/>
  <c r="G40" i="12" s="1"/>
  <c r="O40" s="1"/>
  <c r="V40" s="1"/>
  <c r="U40" s="1"/>
  <c r="J53" i="2"/>
  <c r="G58" i="12" s="1"/>
  <c r="O58" s="1"/>
  <c r="V58" s="1"/>
  <c r="U58" s="1"/>
  <c r="J74" i="2"/>
  <c r="G83" i="12" s="1"/>
  <c r="O83" s="1"/>
  <c r="V83" s="1"/>
  <c r="U83" s="1"/>
  <c r="J10" i="2"/>
  <c r="G12" i="12" s="1"/>
  <c r="O12" s="1"/>
  <c r="V12" s="1"/>
  <c r="U12" s="1"/>
  <c r="J3" i="2"/>
  <c r="G3" i="12" s="1"/>
  <c r="O3" s="1"/>
  <c r="V3" s="1"/>
  <c r="U3" s="1"/>
  <c r="J24" i="2"/>
  <c r="G28" i="12" s="1"/>
  <c r="O28" s="1"/>
  <c r="V28" s="1"/>
  <c r="U28" s="1"/>
  <c r="J5" i="2"/>
  <c r="G6" i="12" s="1"/>
  <c r="O6" s="1"/>
  <c r="V6" s="1"/>
  <c r="U6" s="1"/>
  <c r="J9" i="2"/>
  <c r="J54"/>
  <c r="J43"/>
  <c r="G47" i="12" s="1"/>
  <c r="O47" s="1"/>
  <c r="V47" s="1"/>
  <c r="U47" s="1"/>
  <c r="J52" i="2"/>
  <c r="G57" i="12" s="1"/>
  <c r="O57" s="1"/>
  <c r="V57" s="1"/>
  <c r="U57" s="1"/>
  <c r="J60" i="2"/>
  <c r="G68" i="12" s="1"/>
  <c r="O68" s="1"/>
  <c r="V68" s="1"/>
  <c r="U68" s="1"/>
  <c r="J78" i="2"/>
  <c r="G87" i="12" s="1"/>
  <c r="O87" s="1"/>
  <c r="V87" s="1"/>
  <c r="U87" s="1"/>
  <c r="J47" i="2"/>
  <c r="G51" i="12" s="1"/>
  <c r="O51" s="1"/>
  <c r="V51" s="1"/>
  <c r="U51" s="1"/>
  <c r="J71" i="2"/>
  <c r="G79" i="12" s="1"/>
  <c r="O79" s="1"/>
  <c r="V79" s="1"/>
  <c r="U79" s="1"/>
  <c r="J61" i="2"/>
  <c r="G69" i="12" s="1"/>
  <c r="O69" s="1"/>
  <c r="V69" s="1"/>
  <c r="U69" s="1"/>
  <c r="J79" i="2"/>
  <c r="G88" i="12" s="1"/>
  <c r="O88" s="1"/>
  <c r="V88" s="1"/>
  <c r="U88" s="1"/>
  <c r="J41" i="2"/>
  <c r="G45" i="12" s="1"/>
  <c r="O45" s="1"/>
  <c r="V45" s="1"/>
  <c r="U45" s="1"/>
  <c r="J66" i="2"/>
  <c r="G74" i="12" s="1"/>
  <c r="O74" s="1"/>
  <c r="V74" s="1"/>
  <c r="U74" s="1"/>
  <c r="J7" i="2"/>
  <c r="G9" i="12" s="1"/>
  <c r="O9" s="1"/>
  <c r="V9" s="1"/>
  <c r="U9" s="1"/>
  <c r="J45" i="2"/>
  <c r="G49" i="12" s="1"/>
  <c r="O49" s="1"/>
  <c r="V49" s="1"/>
  <c r="U49" s="1"/>
  <c r="J81" i="2"/>
  <c r="G90" i="12" s="1"/>
  <c r="O90" s="1"/>
  <c r="V90" s="1"/>
  <c r="U90" s="1"/>
  <c r="J22" i="2"/>
  <c r="G25" i="12" s="1"/>
  <c r="O25" s="1"/>
  <c r="V25" s="1"/>
  <c r="U25" s="1"/>
  <c r="J67" i="2"/>
  <c r="G75" i="12" s="1"/>
  <c r="O75" s="1"/>
  <c r="V75" s="1"/>
  <c r="U75" s="1"/>
  <c r="J83" i="2"/>
  <c r="G92" i="12" s="1"/>
  <c r="O92" s="1"/>
  <c r="V92" s="1"/>
  <c r="U92" s="1"/>
  <c r="J58" i="2"/>
  <c r="G66" i="12" s="1"/>
  <c r="O66" s="1"/>
  <c r="V66" s="1"/>
  <c r="U66" s="1"/>
  <c r="J69" i="2"/>
  <c r="G77" i="12" s="1"/>
  <c r="O77" s="1"/>
  <c r="V77" s="1"/>
  <c r="U77" s="1"/>
  <c r="J19" i="2"/>
  <c r="G21" i="12" s="1"/>
  <c r="O21" s="1"/>
  <c r="V21" s="1"/>
  <c r="U21" s="1"/>
  <c r="J63" i="2"/>
  <c r="J23"/>
  <c r="G26" i="12" s="1"/>
  <c r="O26" s="1"/>
  <c r="V26" s="1"/>
  <c r="U26" s="1"/>
  <c r="J26" i="2"/>
  <c r="G30" i="12" s="1"/>
  <c r="O30" s="1"/>
  <c r="V30" s="1"/>
  <c r="U30" s="1"/>
  <c r="J77" i="2"/>
  <c r="G86" i="12" s="1"/>
  <c r="O86" s="1"/>
  <c r="V86" s="1"/>
  <c r="U86" s="1"/>
  <c r="J15" i="2"/>
  <c r="G17" i="12" s="1"/>
  <c r="O17" s="1"/>
  <c r="V17" s="1"/>
  <c r="U17" s="1"/>
  <c r="J49" i="2"/>
  <c r="G54" i="12" s="1"/>
  <c r="O54" s="1"/>
  <c r="V54" s="1"/>
  <c r="U54" s="1"/>
  <c r="J55" i="2"/>
  <c r="G60" i="12" s="1"/>
  <c r="O60" s="1"/>
  <c r="V60" s="1"/>
  <c r="U60" s="1"/>
  <c r="J68" i="2"/>
  <c r="G76" i="12" s="1"/>
  <c r="O76" s="1"/>
  <c r="V76" s="1"/>
  <c r="U76" s="1"/>
  <c r="J17" i="2"/>
  <c r="G19" i="12" s="1"/>
  <c r="O19" s="1"/>
  <c r="V19" s="1"/>
  <c r="U19" s="1"/>
  <c r="J4" i="2"/>
  <c r="G5" i="12" s="1"/>
  <c r="O5" s="1"/>
  <c r="V5" s="1"/>
  <c r="U5" s="1"/>
  <c r="J56" i="2"/>
  <c r="G61" i="12" s="1"/>
  <c r="O61" s="1"/>
  <c r="V61" s="1"/>
  <c r="U61" s="1"/>
  <c r="J72" i="2"/>
  <c r="G80" i="12" s="1"/>
  <c r="O80" s="1"/>
  <c r="V80" s="1"/>
  <c r="U80" s="1"/>
  <c r="J27" i="2"/>
  <c r="G31" i="12" s="1"/>
  <c r="O31" s="1"/>
  <c r="U31" s="1"/>
  <c r="J70" i="2"/>
  <c r="G78" i="12" s="1"/>
  <c r="O78" s="1"/>
  <c r="V78" s="1"/>
  <c r="U78" s="1"/>
  <c r="J65" i="2"/>
  <c r="G73" i="12" s="1"/>
  <c r="O73" s="1"/>
  <c r="V73" s="1"/>
  <c r="U73" s="1"/>
  <c r="J37" i="2"/>
  <c r="G41" i="12" s="1"/>
  <c r="O41" s="1"/>
  <c r="V41" s="1"/>
  <c r="U41" s="1"/>
  <c r="P61" l="1"/>
  <c r="S61" s="1"/>
  <c r="P77"/>
  <c r="S77" s="1"/>
  <c r="P25"/>
  <c r="S25" s="1"/>
  <c r="P79"/>
  <c r="S79" s="1"/>
  <c r="P83"/>
  <c r="S83" s="1"/>
  <c r="P33"/>
  <c r="S33" s="1"/>
  <c r="P18"/>
  <c r="S18" s="1"/>
  <c r="P29"/>
  <c r="S29" s="1"/>
  <c r="P44"/>
  <c r="S44" s="1"/>
  <c r="P41"/>
  <c r="S41" s="1"/>
  <c r="P76"/>
  <c r="S76" s="1"/>
  <c r="P75"/>
  <c r="S75" s="1"/>
  <c r="P69"/>
  <c r="S69" s="1"/>
  <c r="P67"/>
  <c r="S67" s="1"/>
  <c r="P15"/>
  <c r="S15" s="1"/>
  <c r="P22"/>
  <c r="S22" s="1"/>
  <c r="P89"/>
  <c r="S89" s="1"/>
  <c r="P78"/>
  <c r="S78" s="1"/>
  <c r="P5"/>
  <c r="S5" s="1"/>
  <c r="P54"/>
  <c r="S54" s="1"/>
  <c r="P26"/>
  <c r="S26" s="1"/>
  <c r="P66"/>
  <c r="S66" s="1"/>
  <c r="P90"/>
  <c r="S90" s="1"/>
  <c r="P45"/>
  <c r="S45" s="1"/>
  <c r="P51"/>
  <c r="S51" s="1"/>
  <c r="P47"/>
  <c r="S47" s="1"/>
  <c r="P28"/>
  <c r="S28" s="1"/>
  <c r="P58"/>
  <c r="S58" s="1"/>
  <c r="P46"/>
  <c r="S46" s="1"/>
  <c r="P10"/>
  <c r="S10" s="1"/>
  <c r="P23"/>
  <c r="S23" s="1"/>
  <c r="P84"/>
  <c r="S84" s="1"/>
  <c r="P55"/>
  <c r="S55" s="1"/>
  <c r="P13"/>
  <c r="S13" s="1"/>
  <c r="P53"/>
  <c r="S53" s="1"/>
  <c r="P42"/>
  <c r="S42" s="1"/>
  <c r="P73"/>
  <c r="S73" s="1"/>
  <c r="P60"/>
  <c r="S60" s="1"/>
  <c r="P30"/>
  <c r="S30" s="1"/>
  <c r="P74"/>
  <c r="S74" s="1"/>
  <c r="P57"/>
  <c r="S57" s="1"/>
  <c r="P6"/>
  <c r="S6" s="1"/>
  <c r="P72"/>
  <c r="S72" s="1"/>
  <c r="P85"/>
  <c r="S85" s="1"/>
  <c r="P35"/>
  <c r="S35" s="1"/>
  <c r="P80"/>
  <c r="S80" s="1"/>
  <c r="P86"/>
  <c r="S86" s="1"/>
  <c r="P21"/>
  <c r="S21" s="1"/>
  <c r="P9"/>
  <c r="S9" s="1"/>
  <c r="P68"/>
  <c r="S68" s="1"/>
  <c r="P12"/>
  <c r="S12" s="1"/>
  <c r="P38"/>
  <c r="P56"/>
  <c r="S56" s="1"/>
  <c r="P39"/>
  <c r="S39" s="1"/>
  <c r="P20"/>
  <c r="S20" s="1"/>
  <c r="P43"/>
  <c r="S43" s="1"/>
  <c r="P31"/>
  <c r="S31" s="1"/>
  <c r="P19"/>
  <c r="S19" s="1"/>
  <c r="P17"/>
  <c r="S17" s="1"/>
  <c r="P92"/>
  <c r="S92" s="1"/>
  <c r="R92" s="1"/>
  <c r="W92" s="1"/>
  <c r="P49"/>
  <c r="S49" s="1"/>
  <c r="P88"/>
  <c r="S88" s="1"/>
  <c r="P87"/>
  <c r="S87" s="1"/>
  <c r="P3"/>
  <c r="S3" s="1"/>
  <c r="P40"/>
  <c r="S40" s="1"/>
  <c r="P48"/>
  <c r="S48" s="1"/>
  <c r="P8"/>
  <c r="S8" s="1"/>
  <c r="P14"/>
  <c r="S14" s="1"/>
  <c r="P70"/>
  <c r="S70" s="1"/>
  <c r="P50"/>
  <c r="S50" s="1"/>
  <c r="P32"/>
  <c r="S32" s="1"/>
  <c r="P16"/>
  <c r="S16" s="1"/>
  <c r="G91"/>
  <c r="O91" s="1"/>
  <c r="V91" s="1"/>
  <c r="U91" s="1"/>
  <c r="G2"/>
  <c r="O2" s="1"/>
  <c r="J84" i="2"/>
  <c r="O93" i="12" l="1"/>
  <c r="V2"/>
  <c r="U2" s="1"/>
  <c r="P91"/>
  <c r="S91" s="1"/>
  <c r="G93"/>
  <c r="P2"/>
  <c r="S2" s="1"/>
  <c r="R56"/>
  <c r="W56" s="1"/>
  <c r="R9"/>
  <c r="W9" s="1"/>
  <c r="R55"/>
  <c r="W55" s="1"/>
  <c r="R51"/>
  <c r="W51" s="1"/>
  <c r="R40"/>
  <c r="W40" s="1"/>
  <c r="R29"/>
  <c r="W29" s="1"/>
  <c r="R83"/>
  <c r="W83" s="1"/>
  <c r="R74"/>
  <c r="W74" s="1"/>
  <c r="R60"/>
  <c r="W60" s="1"/>
  <c r="R13"/>
  <c r="W13" s="1"/>
  <c r="R47"/>
  <c r="W47" s="1"/>
  <c r="R3"/>
  <c r="W3" s="1"/>
  <c r="R31"/>
  <c r="R39"/>
  <c r="W39" s="1"/>
  <c r="R38"/>
  <c r="W38" s="1"/>
  <c r="R69"/>
  <c r="W69" s="1"/>
  <c r="R86"/>
  <c r="W86" s="1"/>
  <c r="R53"/>
  <c r="W53" s="1"/>
  <c r="R28"/>
  <c r="W28" s="1"/>
  <c r="R5"/>
  <c r="W5" s="1"/>
  <c r="R8"/>
  <c r="W8" s="1"/>
  <c r="R17"/>
  <c r="W17" s="1"/>
  <c r="R85"/>
  <c r="W85" s="1"/>
  <c r="R72"/>
  <c r="W72" s="1"/>
  <c r="R79"/>
  <c r="W79" s="1"/>
  <c r="R30"/>
  <c r="W30" s="1"/>
  <c r="R42"/>
  <c r="W42" s="1"/>
  <c r="R58"/>
  <c r="W58" s="1"/>
  <c r="R54"/>
  <c r="W54" s="1"/>
  <c r="R48"/>
  <c r="W48" s="1"/>
  <c r="R89"/>
  <c r="W89" s="1"/>
  <c r="R15"/>
  <c r="W15" s="1"/>
  <c r="R68"/>
  <c r="W68" s="1"/>
  <c r="R21"/>
  <c r="W21" s="1"/>
  <c r="R41"/>
  <c r="W41" s="1"/>
  <c r="R46"/>
  <c r="W46" s="1"/>
  <c r="R26"/>
  <c r="W26" s="1"/>
  <c r="R70"/>
  <c r="W70" s="1"/>
  <c r="R49"/>
  <c r="W49" s="1"/>
  <c r="R35"/>
  <c r="W35" s="1"/>
  <c r="R33"/>
  <c r="R57"/>
  <c r="W57" s="1"/>
  <c r="R77"/>
  <c r="W77" s="1"/>
  <c r="R73"/>
  <c r="W73" s="1"/>
  <c r="R10"/>
  <c r="W10" s="1"/>
  <c r="R66"/>
  <c r="W66" s="1"/>
  <c r="R14"/>
  <c r="W14" s="1"/>
  <c r="R43"/>
  <c r="W43" s="1"/>
  <c r="R67"/>
  <c r="W67" s="1"/>
  <c r="R76"/>
  <c r="W76" s="1"/>
  <c r="R78"/>
  <c r="W78" s="1"/>
  <c r="R19"/>
  <c r="W19" s="1"/>
  <c r="R16"/>
  <c r="W16" s="1"/>
  <c r="R20"/>
  <c r="W20" s="1"/>
  <c r="R22"/>
  <c r="W22" s="1"/>
  <c r="R12"/>
  <c r="W12" s="1"/>
  <c r="R75"/>
  <c r="W75" s="1"/>
  <c r="R80"/>
  <c r="W80" s="1"/>
  <c r="R23"/>
  <c r="W23" s="1"/>
  <c r="R90"/>
  <c r="W90" s="1"/>
  <c r="R32"/>
  <c r="R87"/>
  <c r="W87" s="1"/>
  <c r="R44"/>
  <c r="W44" s="1"/>
  <c r="R18"/>
  <c r="W18" s="1"/>
  <c r="R6"/>
  <c r="W6" s="1"/>
  <c r="R25"/>
  <c r="W25" s="1"/>
  <c r="R61"/>
  <c r="W61" s="1"/>
  <c r="R84"/>
  <c r="W84" s="1"/>
  <c r="R45"/>
  <c r="W45" s="1"/>
  <c r="R50"/>
  <c r="W50" s="1"/>
  <c r="R88"/>
  <c r="W88" s="1"/>
  <c r="P93" l="1"/>
  <c r="R91"/>
  <c r="W91" s="1"/>
  <c r="R2"/>
  <c r="W2" s="1"/>
</calcChain>
</file>

<file path=xl/comments1.xml><?xml version="1.0" encoding="utf-8"?>
<comments xmlns="http://schemas.openxmlformats.org/spreadsheetml/2006/main">
  <authors>
    <author>fajeramy</author>
  </authors>
  <commentList>
    <comment ref="D7" authorId="0">
      <text>
        <r>
          <rPr>
            <b/>
            <sz val="9"/>
            <color indexed="81"/>
            <rFont val="Tahoma"/>
            <charset val="1"/>
          </rPr>
          <t>fajeramy:</t>
        </r>
        <r>
          <rPr>
            <sz val="9"/>
            <color indexed="81"/>
            <rFont val="Tahoma"/>
            <charset val="1"/>
          </rPr>
          <t xml:space="preserve">
FY 13-14 Adopted numbers plus 2.5% inflation</t>
        </r>
      </text>
    </comment>
    <comment ref="D11" authorId="0">
      <text>
        <r>
          <rPr>
            <b/>
            <sz val="9"/>
            <color indexed="81"/>
            <rFont val="Tahoma"/>
            <charset val="1"/>
          </rPr>
          <t>fajeramy:</t>
        </r>
        <r>
          <rPr>
            <sz val="9"/>
            <color indexed="81"/>
            <rFont val="Tahoma"/>
            <charset val="1"/>
          </rPr>
          <t xml:space="preserve">
FY 13-14 Adopted numbers plus 2.5% inflation</t>
        </r>
      </text>
    </comment>
    <comment ref="D12" authorId="0">
      <text>
        <r>
          <rPr>
            <b/>
            <sz val="9"/>
            <color indexed="81"/>
            <rFont val="Tahoma"/>
            <charset val="1"/>
          </rPr>
          <t>fajeramy:</t>
        </r>
        <r>
          <rPr>
            <sz val="9"/>
            <color indexed="81"/>
            <rFont val="Tahoma"/>
            <charset val="1"/>
          </rPr>
          <t xml:space="preserve">
FY 13-14 Adopted numbers plus 2.5% inflation</t>
        </r>
      </text>
    </comment>
    <comment ref="D14" authorId="0">
      <text>
        <r>
          <rPr>
            <b/>
            <sz val="9"/>
            <color indexed="81"/>
            <rFont val="Tahoma"/>
            <charset val="1"/>
          </rPr>
          <t>fajeramy:</t>
        </r>
        <r>
          <rPr>
            <sz val="9"/>
            <color indexed="81"/>
            <rFont val="Tahoma"/>
            <charset val="1"/>
          </rPr>
          <t xml:space="preserve">
FY 13-14 Adopted numbers plus 2.5% inflation</t>
        </r>
      </text>
    </comment>
  </commentList>
</comments>
</file>

<file path=xl/comments2.xml><?xml version="1.0" encoding="utf-8"?>
<comments xmlns="http://schemas.openxmlformats.org/spreadsheetml/2006/main">
  <authors>
    <author>fajeramy</author>
  </authors>
  <commentList>
    <comment ref="V38" authorId="0">
      <text>
        <r>
          <rPr>
            <b/>
            <sz val="9"/>
            <color indexed="81"/>
            <rFont val="Tahoma"/>
            <family val="2"/>
          </rPr>
          <t>fajeramy:</t>
        </r>
        <r>
          <rPr>
            <sz val="9"/>
            <color indexed="81"/>
            <rFont val="Tahoma"/>
            <family val="2"/>
          </rPr>
          <t xml:space="preserve">
Hardcoded to $25K
</t>
        </r>
      </text>
    </comment>
    <comment ref="V62" authorId="0">
      <text>
        <r>
          <rPr>
            <b/>
            <sz val="9"/>
            <color indexed="81"/>
            <rFont val="Tahoma"/>
            <family val="2"/>
          </rPr>
          <t>fajeramy:</t>
        </r>
        <r>
          <rPr>
            <sz val="9"/>
            <color indexed="81"/>
            <rFont val="Tahoma"/>
            <family val="2"/>
          </rPr>
          <t xml:space="preserve">
Hardcoded to $25K
</t>
        </r>
      </text>
    </comment>
  </commentList>
</comments>
</file>

<file path=xl/comments3.xml><?xml version="1.0" encoding="utf-8"?>
<comments xmlns="http://schemas.openxmlformats.org/spreadsheetml/2006/main">
  <authors>
    <author>fajeramy</author>
  </authors>
  <commentList>
    <comment ref="H16" authorId="0">
      <text>
        <r>
          <rPr>
            <b/>
            <sz val="9"/>
            <color indexed="81"/>
            <rFont val="Tahoma"/>
            <family val="2"/>
          </rPr>
          <t>fajeramy:</t>
        </r>
        <r>
          <rPr>
            <sz val="9"/>
            <color indexed="81"/>
            <rFont val="Tahoma"/>
            <family val="2"/>
          </rPr>
          <t xml:space="preserve">
Actuals for 08-09 are $1.8 million for district planning, which appears to include comp planning as well. Took 75% of total as the metric (assumed 50% was comp planning and half of 50% for district liaisons)</t>
        </r>
      </text>
    </comment>
    <comment ref="G31" authorId="0">
      <text>
        <r>
          <rPr>
            <b/>
            <sz val="9"/>
            <color indexed="81"/>
            <rFont val="Tahoma"/>
            <charset val="1"/>
          </rPr>
          <t>fajeramy:</t>
        </r>
        <r>
          <rPr>
            <sz val="9"/>
            <color indexed="81"/>
            <rFont val="Tahoma"/>
            <charset val="1"/>
          </rPr>
          <t xml:space="preserve">
No projects in 08-09</t>
        </r>
      </text>
    </comment>
  </commentList>
</comments>
</file>

<file path=xl/comments4.xml><?xml version="1.0" encoding="utf-8"?>
<comments xmlns="http://schemas.openxmlformats.org/spreadsheetml/2006/main">
  <authors>
    <author>fajeramy</author>
  </authors>
  <commentList>
    <comment ref="C1" authorId="0">
      <text>
        <r>
          <rPr>
            <b/>
            <sz val="9"/>
            <color indexed="81"/>
            <rFont val="Tahoma"/>
            <charset val="1"/>
          </rPr>
          <t>fajeramy:</t>
        </r>
        <r>
          <rPr>
            <sz val="9"/>
            <color indexed="81"/>
            <rFont val="Tahoma"/>
            <charset val="1"/>
          </rPr>
          <t xml:space="preserve">
Rolled back from 09-10 because no data was available in SAP (SAP shows all positions vacant).</t>
        </r>
      </text>
    </comment>
  </commentList>
</comments>
</file>

<file path=xl/comments5.xml><?xml version="1.0" encoding="utf-8"?>
<comments xmlns="http://schemas.openxmlformats.org/spreadsheetml/2006/main">
  <authors>
    <author>fajeramy</author>
  </authors>
  <commentList>
    <comment ref="H14" authorId="0">
      <text>
        <r>
          <rPr>
            <b/>
            <sz val="9"/>
            <color indexed="81"/>
            <rFont val="Tahoma"/>
            <family val="2"/>
          </rPr>
          <t>fajeramy:</t>
        </r>
        <r>
          <rPr>
            <sz val="9"/>
            <color indexed="81"/>
            <rFont val="Tahoma"/>
            <family val="2"/>
          </rPr>
          <t xml:space="preserve">
Had to assume costs for DV since it wasn't precisely tracked in this year. Took out 10-11 actuals with 2.5% inflation factor</t>
        </r>
      </text>
    </comment>
    <comment ref="H17" authorId="0">
      <text>
        <r>
          <rPr>
            <b/>
            <sz val="9"/>
            <color indexed="81"/>
            <rFont val="Tahoma"/>
            <family val="2"/>
          </rPr>
          <t>fajeramy:</t>
        </r>
        <r>
          <rPr>
            <sz val="9"/>
            <color indexed="81"/>
            <rFont val="Tahoma"/>
            <family val="2"/>
          </rPr>
          <t xml:space="preserve">
Actuals for 09-10 are $1.8 million for district planning, which appears to include comp planning as well. Took 75% of total as the metric (assumed 50% was comp planning and half of 50% for district liaisons)</t>
        </r>
      </text>
    </comment>
  </commentList>
</comments>
</file>

<file path=xl/comments6.xml><?xml version="1.0" encoding="utf-8"?>
<comments xmlns="http://schemas.openxmlformats.org/spreadsheetml/2006/main">
  <authors>
    <author>fajeramy</author>
  </authors>
  <commentList>
    <comment ref="D1" authorId="0">
      <text>
        <r>
          <rPr>
            <b/>
            <sz val="9"/>
            <color indexed="81"/>
            <rFont val="Tahoma"/>
            <charset val="1"/>
          </rPr>
          <t>fajeramy:</t>
        </r>
        <r>
          <rPr>
            <sz val="9"/>
            <color indexed="81"/>
            <rFont val="Tahoma"/>
            <charset val="1"/>
          </rPr>
          <t xml:space="preserve">
Adjust so as not to double count vacant casual exclusions.</t>
        </r>
      </text>
    </comment>
  </commentList>
</comments>
</file>

<file path=xl/comments7.xml><?xml version="1.0" encoding="utf-8"?>
<comments xmlns="http://schemas.openxmlformats.org/spreadsheetml/2006/main">
  <authors>
    <author>fajeramy</author>
  </authors>
  <commentList>
    <comment ref="H6" authorId="0">
      <text>
        <r>
          <rPr>
            <b/>
            <sz val="9"/>
            <color indexed="81"/>
            <rFont val="Tahoma"/>
            <family val="2"/>
          </rPr>
          <t>fajeramy:</t>
        </r>
        <r>
          <rPr>
            <sz val="9"/>
            <color indexed="81"/>
            <rFont val="Tahoma"/>
            <family val="2"/>
          </rPr>
          <t xml:space="preserve">
Got number from Fire, they had used wrong fund center to track</t>
        </r>
      </text>
    </comment>
    <comment ref="H12" authorId="0">
      <text>
        <r>
          <rPr>
            <b/>
            <sz val="9"/>
            <color indexed="81"/>
            <rFont val="Tahoma"/>
            <family val="2"/>
          </rPr>
          <t>fajeramy:</t>
        </r>
        <r>
          <rPr>
            <sz val="9"/>
            <color indexed="81"/>
            <rFont val="Tahoma"/>
            <family val="2"/>
          </rPr>
          <t xml:space="preserve">
Didn't track public involvement best practices until 12-13</t>
        </r>
      </text>
    </comment>
  </commentList>
</comments>
</file>

<file path=xl/comments8.xml><?xml version="1.0" encoding="utf-8"?>
<comments xmlns="http://schemas.openxmlformats.org/spreadsheetml/2006/main">
  <authors>
    <author>fajeramy</author>
  </authors>
  <commentList>
    <comment ref="D1" authorId="0">
      <text>
        <r>
          <rPr>
            <b/>
            <sz val="9"/>
            <color indexed="81"/>
            <rFont val="Tahoma"/>
            <charset val="1"/>
          </rPr>
          <t>fajeramy:</t>
        </r>
        <r>
          <rPr>
            <sz val="9"/>
            <color indexed="81"/>
            <rFont val="Tahoma"/>
            <charset val="1"/>
          </rPr>
          <t xml:space="preserve">
Adjust so as not to double count vacant casual exclusions.</t>
        </r>
      </text>
    </comment>
  </commentList>
</comments>
</file>

<file path=xl/comments9.xml><?xml version="1.0" encoding="utf-8"?>
<comments xmlns="http://schemas.openxmlformats.org/spreadsheetml/2006/main">
  <authors>
    <author>fajeramy</author>
  </authors>
  <commentList>
    <comment ref="G6" authorId="0">
      <text>
        <r>
          <rPr>
            <b/>
            <sz val="9"/>
            <color indexed="81"/>
            <rFont val="Tahoma"/>
            <family val="2"/>
          </rPr>
          <t>fajeramy:</t>
        </r>
        <r>
          <rPr>
            <sz val="9"/>
            <color indexed="81"/>
            <rFont val="Tahoma"/>
            <family val="2"/>
          </rPr>
          <t xml:space="preserve">
Mcalls Bldg payment to water. Treated in model like a cash transfer but needed to be a capital expense due to accounting rules</t>
        </r>
      </text>
    </comment>
    <comment ref="H7" authorId="0">
      <text>
        <r>
          <rPr>
            <b/>
            <sz val="9"/>
            <color indexed="81"/>
            <rFont val="Tahoma"/>
            <family val="2"/>
          </rPr>
          <t>fajeramy:</t>
        </r>
        <r>
          <rPr>
            <sz val="9"/>
            <color indexed="81"/>
            <rFont val="Tahoma"/>
            <family val="2"/>
          </rPr>
          <t xml:space="preserve">
Got number from Fire, they had used wrong fund center to track</t>
        </r>
      </text>
    </comment>
  </commentList>
</comments>
</file>

<file path=xl/comments10.xml><?xml version="1.0" encoding="utf-8"?>
<comments xmlns="http://schemas.openxmlformats.org/spreadsheetml/2006/main">
  <authors>
    <author>fajeramy</author>
  </authors>
  <commentList>
    <comment ref="D1" authorId="0">
      <text>
        <r>
          <rPr>
            <b/>
            <sz val="9"/>
            <color indexed="81"/>
            <rFont val="Tahoma"/>
            <charset val="1"/>
          </rPr>
          <t>fajeramy:</t>
        </r>
        <r>
          <rPr>
            <sz val="9"/>
            <color indexed="81"/>
            <rFont val="Tahoma"/>
            <charset val="1"/>
          </rPr>
          <t xml:space="preserve">
Adjust so as not to double count vacant casual exclusions.</t>
        </r>
      </text>
    </comment>
  </commentList>
</comments>
</file>

<file path=xl/sharedStrings.xml><?xml version="1.0" encoding="utf-8"?>
<sst xmlns="http://schemas.openxmlformats.org/spreadsheetml/2006/main" count="1315" uniqueCount="456">
  <si>
    <t>Operating</t>
  </si>
  <si>
    <t>Capital</t>
  </si>
  <si>
    <t>100</t>
  </si>
  <si>
    <t>General Fund</t>
  </si>
  <si>
    <t>PN</t>
  </si>
  <si>
    <t>Bureau of Planning &amp; Sustainability</t>
  </si>
  <si>
    <t>PA</t>
  </si>
  <si>
    <t>Commissioner of Public Affairs</t>
  </si>
  <si>
    <t>PS</t>
  </si>
  <si>
    <t>Commissioner of Public Safety</t>
  </si>
  <si>
    <t>PU</t>
  </si>
  <si>
    <t>Commissioner of Public Utilities</t>
  </si>
  <si>
    <t>PW</t>
  </si>
  <si>
    <t>Commissioner of Public Works</t>
  </si>
  <si>
    <t>CB</t>
  </si>
  <si>
    <t>Office for Community Technology</t>
  </si>
  <si>
    <t>OE</t>
  </si>
  <si>
    <t>Office of Equity &amp; Human Rights</t>
  </si>
  <si>
    <t>GR</t>
  </si>
  <si>
    <t>Office of Government Relations</t>
  </si>
  <si>
    <t>HN</t>
  </si>
  <si>
    <t>Office of Human Relations</t>
  </si>
  <si>
    <t>MF</t>
  </si>
  <si>
    <t>Office of Management &amp; Finance</t>
  </si>
  <si>
    <t>NI</t>
  </si>
  <si>
    <t>Office of Neighborhood Involvement</t>
  </si>
  <si>
    <t>SD</t>
  </si>
  <si>
    <t>Office of Sustainable Development</t>
  </si>
  <si>
    <t>AT</t>
  </si>
  <si>
    <t>Office of the City Attorney</t>
  </si>
  <si>
    <t>AU</t>
  </si>
  <si>
    <t>Office of the City Auditor</t>
  </si>
  <si>
    <t>MY</t>
  </si>
  <si>
    <t>Office of the Mayor</t>
  </si>
  <si>
    <t>EM</t>
  </si>
  <si>
    <t>Portland Bureau of Emergency Management</t>
  </si>
  <si>
    <t>ZD</t>
  </si>
  <si>
    <t>Portland Development Commission</t>
  </si>
  <si>
    <t>FR</t>
  </si>
  <si>
    <t>Portland Fire &amp; Rescue</t>
  </si>
  <si>
    <t>HC</t>
  </si>
  <si>
    <t>Portland Housing Bureau</t>
  </si>
  <si>
    <t>PK</t>
  </si>
  <si>
    <t>Portland Parks &amp; Recreation</t>
  </si>
  <si>
    <t>PL</t>
  </si>
  <si>
    <t>Portland Police Bureau</t>
  </si>
  <si>
    <t>SA</t>
  </si>
  <si>
    <t>Special Appropriations</t>
  </si>
  <si>
    <t>200</t>
  </si>
  <si>
    <t>Transportation Operating Fund</t>
  </si>
  <si>
    <t>TR</t>
  </si>
  <si>
    <t>Portland Bureau of Transportation</t>
  </si>
  <si>
    <t>202</t>
  </si>
  <si>
    <t>Emergency Communication Fund</t>
  </si>
  <si>
    <t>EC</t>
  </si>
  <si>
    <t>Bureau of Emergency Communications</t>
  </si>
  <si>
    <t>203</t>
  </si>
  <si>
    <t>Development Services Fund</t>
  </si>
  <si>
    <t>DS</t>
  </si>
  <si>
    <t>Bureau of Development Services</t>
  </si>
  <si>
    <t>204</t>
  </si>
  <si>
    <t>Property Management License Fund</t>
  </si>
  <si>
    <t>206</t>
  </si>
  <si>
    <t>209</t>
  </si>
  <si>
    <t>Convention and Tourism Fund</t>
  </si>
  <si>
    <t>211</t>
  </si>
  <si>
    <t>Special Finance and Resource Fund</t>
  </si>
  <si>
    <t>FM</t>
  </si>
  <si>
    <t>213</t>
  </si>
  <si>
    <t>Housing Investment Fund</t>
  </si>
  <si>
    <t>215</t>
  </si>
  <si>
    <t>Parks Local Option Levy Fund</t>
  </si>
  <si>
    <t>216</t>
  </si>
  <si>
    <t>Children's Investment Fund</t>
  </si>
  <si>
    <t>217</t>
  </si>
  <si>
    <t>Grants Fund</t>
  </si>
  <si>
    <t>ES</t>
  </si>
  <si>
    <t>Bureau of Environmental Services</t>
  </si>
  <si>
    <t>WA</t>
  </si>
  <si>
    <t>Portland Water Bureau</t>
  </si>
  <si>
    <t>218</t>
  </si>
  <si>
    <t>Community Development Block Grant Fund</t>
  </si>
  <si>
    <t>219</t>
  </si>
  <si>
    <t>HOME Grant Fund</t>
  </si>
  <si>
    <t>220</t>
  </si>
  <si>
    <t>Portland Parks Memorial Fund</t>
  </si>
  <si>
    <t>221</t>
  </si>
  <si>
    <t>Tax Increment Financing Reimbursement Fund</t>
  </si>
  <si>
    <t>222</t>
  </si>
  <si>
    <t>Police Special Revenue Fund</t>
  </si>
  <si>
    <t>400</t>
  </si>
  <si>
    <t>BFRES Facilities GO Bond Construction Fund</t>
  </si>
  <si>
    <t>401</t>
  </si>
  <si>
    <t>Local Improvement District Fund</t>
  </si>
  <si>
    <t>402</t>
  </si>
  <si>
    <t>Parks Capital Improvement Program Fund</t>
  </si>
  <si>
    <t>403</t>
  </si>
  <si>
    <t>Public Safety GO Bond Fund</t>
  </si>
  <si>
    <t>600</t>
  </si>
  <si>
    <t>Sewer System Operating Fund</t>
  </si>
  <si>
    <t>601</t>
  </si>
  <si>
    <t>Hydroelectric Power Operating Fund</t>
  </si>
  <si>
    <t>602</t>
  </si>
  <si>
    <t>Water Fund</t>
  </si>
  <si>
    <t>603</t>
  </si>
  <si>
    <t>Golf Fund</t>
  </si>
  <si>
    <t>604</t>
  </si>
  <si>
    <t>Portland International Raceway Fund</t>
  </si>
  <si>
    <t>605</t>
  </si>
  <si>
    <t>Solid Waste Management Fund</t>
  </si>
  <si>
    <t>606</t>
  </si>
  <si>
    <t>Parking Facilities Fund</t>
  </si>
  <si>
    <t>607</t>
  </si>
  <si>
    <t>Spectator Facilities Operating Fund</t>
  </si>
  <si>
    <t>608</t>
  </si>
  <si>
    <t>Environmental Remediation Fund</t>
  </si>
  <si>
    <t>621</t>
  </si>
  <si>
    <t>Headwaters Apartment Complex Fund</t>
  </si>
  <si>
    <t>700</t>
  </si>
  <si>
    <t>Health Insurance Operating Fund</t>
  </si>
  <si>
    <t>701</t>
  </si>
  <si>
    <t>Facilities Services Operating Fund</t>
  </si>
  <si>
    <t>702</t>
  </si>
  <si>
    <t>CityFleet Operating Fund</t>
  </si>
  <si>
    <t>703</t>
  </si>
  <si>
    <t>Printing &amp; Distribution Services Operating Fund</t>
  </si>
  <si>
    <t>704</t>
  </si>
  <si>
    <t>Insurance and Claims Operating Fund</t>
  </si>
  <si>
    <t>705</t>
  </si>
  <si>
    <t>706</t>
  </si>
  <si>
    <t>Technology Services Fund</t>
  </si>
  <si>
    <t>708</t>
  </si>
  <si>
    <t>EBS Services Fund</t>
  </si>
  <si>
    <t>800</t>
  </si>
  <si>
    <t>Fire &amp; Police Disability &amp; Retirement Fund</t>
  </si>
  <si>
    <t>DR</t>
  </si>
  <si>
    <t>Bureau of Fire &amp; Police Disability &amp; Retirement</t>
  </si>
  <si>
    <t>802</t>
  </si>
  <si>
    <t>Fire &amp; Police Supplemental Retirement Res Fund</t>
  </si>
  <si>
    <t>Parks Endowment Fund</t>
  </si>
  <si>
    <t>500</t>
  </si>
  <si>
    <t>Closed - Campaign Finance Fund</t>
  </si>
  <si>
    <t>214</t>
  </si>
  <si>
    <t>Governmental Bond Redemption Fund</t>
  </si>
  <si>
    <t>317</t>
  </si>
  <si>
    <t>South Park Blocks Redemption Fund</t>
  </si>
  <si>
    <t>306</t>
  </si>
  <si>
    <t>Waterfront Renewal Bond Sinking Fund</t>
  </si>
  <si>
    <t>303</t>
  </si>
  <si>
    <t>Fund</t>
  </si>
  <si>
    <t>Fund Name</t>
  </si>
  <si>
    <t>Bureau Name</t>
  </si>
  <si>
    <t>Bureau</t>
  </si>
  <si>
    <t>100-PN</t>
  </si>
  <si>
    <t>100-PA</t>
  </si>
  <si>
    <t>100-PS</t>
  </si>
  <si>
    <t>100-PU</t>
  </si>
  <si>
    <t>100-PW</t>
  </si>
  <si>
    <t>100-CB</t>
  </si>
  <si>
    <t>100-GR</t>
  </si>
  <si>
    <t>100-HN</t>
  </si>
  <si>
    <t>100-MF</t>
  </si>
  <si>
    <t>100-NI</t>
  </si>
  <si>
    <t>100-AT</t>
  </si>
  <si>
    <t>100-AU</t>
  </si>
  <si>
    <t>100-MY</t>
  </si>
  <si>
    <t>100-EM</t>
  </si>
  <si>
    <t>100-FR</t>
  </si>
  <si>
    <t>100-HC</t>
  </si>
  <si>
    <t>100-PK</t>
  </si>
  <si>
    <t>100-PL</t>
  </si>
  <si>
    <t>100-SA</t>
  </si>
  <si>
    <t>200-TR</t>
  </si>
  <si>
    <t>202-EC</t>
  </si>
  <si>
    <t>202-MF</t>
  </si>
  <si>
    <t>203-DS</t>
  </si>
  <si>
    <t>204-MF</t>
  </si>
  <si>
    <t>206-CB</t>
  </si>
  <si>
    <t>209-MF</t>
  </si>
  <si>
    <t>211-FM</t>
  </si>
  <si>
    <t>213-HC</t>
  </si>
  <si>
    <t>214-AU</t>
  </si>
  <si>
    <t>215-PK</t>
  </si>
  <si>
    <t>216-PA</t>
  </si>
  <si>
    <t>217-EC</t>
  </si>
  <si>
    <t>217-ES</t>
  </si>
  <si>
    <t>217-PN</t>
  </si>
  <si>
    <t>217-PU</t>
  </si>
  <si>
    <t>217-MF</t>
  </si>
  <si>
    <t>217-EM</t>
  </si>
  <si>
    <t>217-TR</t>
  </si>
  <si>
    <t>217-ZD</t>
  </si>
  <si>
    <t>217-FR</t>
  </si>
  <si>
    <t>217-HC</t>
  </si>
  <si>
    <t>217-PK</t>
  </si>
  <si>
    <t>217-PL</t>
  </si>
  <si>
    <t>217-WA</t>
  </si>
  <si>
    <t>218-HC</t>
  </si>
  <si>
    <t>219-HC</t>
  </si>
  <si>
    <t>220-PK</t>
  </si>
  <si>
    <t>221-HC</t>
  </si>
  <si>
    <t>222-PL</t>
  </si>
  <si>
    <t>303-FM</t>
  </si>
  <si>
    <t>306-FM</t>
  </si>
  <si>
    <t>317-FM</t>
  </si>
  <si>
    <t>400-MF</t>
  </si>
  <si>
    <t>401-AU</t>
  </si>
  <si>
    <t>402-PK</t>
  </si>
  <si>
    <t>500-PK</t>
  </si>
  <si>
    <t>600-ES</t>
  </si>
  <si>
    <t>601-WA</t>
  </si>
  <si>
    <t>602-WA</t>
  </si>
  <si>
    <t>603-PK</t>
  </si>
  <si>
    <t>604-PK</t>
  </si>
  <si>
    <t>605-PN</t>
  </si>
  <si>
    <t>606-TR</t>
  </si>
  <si>
    <t>607-MF</t>
  </si>
  <si>
    <t>608-ES</t>
  </si>
  <si>
    <t>700-MF</t>
  </si>
  <si>
    <t>701-MF</t>
  </si>
  <si>
    <t>702-MF</t>
  </si>
  <si>
    <t>703-MF</t>
  </si>
  <si>
    <t>704-MF</t>
  </si>
  <si>
    <t>705-MF</t>
  </si>
  <si>
    <t>706-MF</t>
  </si>
  <si>
    <t>708-MF</t>
  </si>
  <si>
    <t>800-DR</t>
  </si>
  <si>
    <t>802-FM</t>
  </si>
  <si>
    <t>Fund/Bureau</t>
  </si>
  <si>
    <t>201</t>
  </si>
  <si>
    <t>Assessment Collection Fund</t>
  </si>
  <si>
    <t>205</t>
  </si>
  <si>
    <t>Closed - Public Safety Fund</t>
  </si>
  <si>
    <t>207</t>
  </si>
  <si>
    <t>Closed - Private for Hire Trans. Safety Fund</t>
  </si>
  <si>
    <t>208</t>
  </si>
  <si>
    <t>Closed - Business License Surcharge Fund</t>
  </si>
  <si>
    <t>210</t>
  </si>
  <si>
    <t>General Reserve Fund</t>
  </si>
  <si>
    <t>212</t>
  </si>
  <si>
    <t>Transportation Reserve Fund</t>
  </si>
  <si>
    <t>223</t>
  </si>
  <si>
    <t>Arts Education &amp; Access Fund</t>
  </si>
  <si>
    <t>301</t>
  </si>
  <si>
    <t>River District URA Debt Redemption Fund</t>
  </si>
  <si>
    <t>302</t>
  </si>
  <si>
    <t>Bonded Debt Interest and Sinking Fund</t>
  </si>
  <si>
    <t>304</t>
  </si>
  <si>
    <t>Interstate Corridor Debt Service Fund</t>
  </si>
  <si>
    <t>305</t>
  </si>
  <si>
    <t>Pension Debt Redemption Fund</t>
  </si>
  <si>
    <t>307</t>
  </si>
  <si>
    <t>Airport Way Debt Service Fund</t>
  </si>
  <si>
    <t>308</t>
  </si>
  <si>
    <t>Gas Tax Bond Redemption Fund</t>
  </si>
  <si>
    <t>309</t>
  </si>
  <si>
    <t>Lents Town Center URA Debt Redemption Fund</t>
  </si>
  <si>
    <t>310</t>
  </si>
  <si>
    <t>Central Eastside Ind. District Debt Service Fund</t>
  </si>
  <si>
    <t>311</t>
  </si>
  <si>
    <t>Bancroft Bond Interest and Sinking Fund</t>
  </si>
  <si>
    <t>312</t>
  </si>
  <si>
    <t>Convention Center Area Debt Service Fund</t>
  </si>
  <si>
    <t>313</t>
  </si>
  <si>
    <t>North Macadam URA Debt Redemption Fund</t>
  </si>
  <si>
    <t>314</t>
  </si>
  <si>
    <t>Special Projects Debt Service Fund</t>
  </si>
  <si>
    <t>315</t>
  </si>
  <si>
    <t>Gateway URA Debt Redemption Fund</t>
  </si>
  <si>
    <t>316</t>
  </si>
  <si>
    <t>Willamette Industrial URA Debt Service Fund</t>
  </si>
  <si>
    <t>318</t>
  </si>
  <si>
    <t>Education URA Debt Service Fund</t>
  </si>
  <si>
    <t>319</t>
  </si>
  <si>
    <t>42nd Avenue NPI Debt Service Fund</t>
  </si>
  <si>
    <t>320</t>
  </si>
  <si>
    <t>Cully Blvd. NPI Debt Service Fund</t>
  </si>
  <si>
    <t>321</t>
  </si>
  <si>
    <t>Parkrose NPI Debt Service Fund</t>
  </si>
  <si>
    <t>322</t>
  </si>
  <si>
    <t>Rosewood NPI Debt Service Fund</t>
  </si>
  <si>
    <t>323</t>
  </si>
  <si>
    <t>Division-Midway NPI Debt Service Fund</t>
  </si>
  <si>
    <t>324</t>
  </si>
  <si>
    <t>82nd Ave/Division NPI Debt Service Fund</t>
  </si>
  <si>
    <t>609</t>
  </si>
  <si>
    <t>Sewer System Debt Redemption Fund</t>
  </si>
  <si>
    <t>610</t>
  </si>
  <si>
    <t>Golf Revenue Bond Redemption Fund</t>
  </si>
  <si>
    <t>611</t>
  </si>
  <si>
    <t>Hydroelectric Power Bond Redemption Fund</t>
  </si>
  <si>
    <t>612</t>
  </si>
  <si>
    <t>Water Bond Sinking Fund</t>
  </si>
  <si>
    <t>613</t>
  </si>
  <si>
    <t>Closed - Parking Facilities Debt Redemption Fund</t>
  </si>
  <si>
    <t>614</t>
  </si>
  <si>
    <t>Sewer System Construction Fund</t>
  </si>
  <si>
    <t>615</t>
  </si>
  <si>
    <t>Water Construction Fund</t>
  </si>
  <si>
    <t>616</t>
  </si>
  <si>
    <t>Closed - Water Growth Impact Charge Trust Fund</t>
  </si>
  <si>
    <t>617</t>
  </si>
  <si>
    <t>Sewer System Rate Stabilization Fund</t>
  </si>
  <si>
    <t>618</t>
  </si>
  <si>
    <t>Hydroelectric Power Renewal Replacement Fund</t>
  </si>
  <si>
    <t>619</t>
  </si>
  <si>
    <t>Sewer System Safety Net Fund</t>
  </si>
  <si>
    <t>620</t>
  </si>
  <si>
    <t>Sewer Revolving Loan Fund</t>
  </si>
  <si>
    <t>Workers' Comp. Self Insurance Operating Fund</t>
  </si>
  <si>
    <t>707</t>
  </si>
  <si>
    <t>Closed - Portland Police Assoc Health Insurnc Fd</t>
  </si>
  <si>
    <t>801</t>
  </si>
  <si>
    <t>Fire &amp; Police Disability &amp; Retirement Res Fund</t>
  </si>
  <si>
    <t>BO</t>
  </si>
  <si>
    <t>City Budget Office</t>
  </si>
  <si>
    <t>Fund &amp; Debt Management</t>
  </si>
  <si>
    <t>Cost Billed To</t>
  </si>
  <si>
    <t>100-OE</t>
  </si>
  <si>
    <t>100-SD</t>
  </si>
  <si>
    <t>100-ZD</t>
  </si>
  <si>
    <t>217-DS</t>
  </si>
  <si>
    <t>217-PA</t>
  </si>
  <si>
    <t>217-NI</t>
  </si>
  <si>
    <t>217-SD</t>
  </si>
  <si>
    <t>217-MY</t>
  </si>
  <si>
    <t>403-MF</t>
  </si>
  <si>
    <t>403-FR</t>
  </si>
  <si>
    <t>621-HC</t>
  </si>
  <si>
    <t>Excluded</t>
  </si>
  <si>
    <t>Cost Incurred By</t>
  </si>
  <si>
    <t>PDC</t>
  </si>
  <si>
    <t>50% Capital Discount</t>
  </si>
  <si>
    <t>Total</t>
  </si>
  <si>
    <t>Passthrough Discount</t>
  </si>
  <si>
    <t>Other Discounts</t>
  </si>
  <si>
    <t>Revised Total</t>
  </si>
  <si>
    <t>Array - Funds</t>
  </si>
  <si>
    <t>Array - Bureaus</t>
  </si>
  <si>
    <t>Array - Paying_Fund</t>
  </si>
  <si>
    <t>Billed Fund</t>
  </si>
  <si>
    <t>In Model?</t>
  </si>
  <si>
    <t>Total Cost Pool</t>
  </si>
  <si>
    <t>Allocation Percent</t>
  </si>
  <si>
    <t>Overhead Bureau Discount</t>
  </si>
  <si>
    <t>100-BO</t>
  </si>
  <si>
    <t>Notes</t>
  </si>
  <si>
    <t>Exclude expenditures for Admin &amp; Support (LAMYAS Functional Area)</t>
  </si>
  <si>
    <t>Exclude expenditures for emergency mgmt (FREO000004 Fund Center)</t>
  </si>
  <si>
    <t>100 - General Fund</t>
  </si>
  <si>
    <t>200 - Transportation Operating Fund</t>
  </si>
  <si>
    <t>202 - Emergency Communication Fund</t>
  </si>
  <si>
    <t>203 - Development Services Fund</t>
  </si>
  <si>
    <t>204 - Property Management License Fund</t>
  </si>
  <si>
    <t>209 - Convention and Tourism Fund</t>
  </si>
  <si>
    <t>213 - Housing Investment Fund</t>
  </si>
  <si>
    <t>215 - Parks Local Option Levy Fund</t>
  </si>
  <si>
    <t>216 - Children's Investment Fund</t>
  </si>
  <si>
    <t>221 - Tax Increment Financing Reimbursement Fund</t>
  </si>
  <si>
    <t>222 - Police Special Revenue Fund</t>
  </si>
  <si>
    <t>400 - BFRES Facilities GO Bond Construction Fund</t>
  </si>
  <si>
    <t>401 - Local Improvement District Fund</t>
  </si>
  <si>
    <t>402 - Parks Capital Improvement Program Fund</t>
  </si>
  <si>
    <t>403 - Public Safety GO Bond Fund</t>
  </si>
  <si>
    <t>600 - Sewer System Operating Fund</t>
  </si>
  <si>
    <t>601 - Hydroelectric Power Operating Fund</t>
  </si>
  <si>
    <t>602 - Water Fund</t>
  </si>
  <si>
    <t>603 - Golf Fund</t>
  </si>
  <si>
    <t>604 - Portland International Raceway Fund</t>
  </si>
  <si>
    <t>605 - Solid Waste Management Fund</t>
  </si>
  <si>
    <t>606 - Parking Facilities Fund</t>
  </si>
  <si>
    <t>607 - Spectator Facilities Operating Fund</t>
  </si>
  <si>
    <t>608 - Environmental Remediation Fund</t>
  </si>
  <si>
    <t>700 - Health Insurance Operating Fund</t>
  </si>
  <si>
    <t>701 - Facilities Services Operating Fund</t>
  </si>
  <si>
    <t>702 - CityFleet Operating Fund</t>
  </si>
  <si>
    <t>703 - Printing &amp; Distribution Services Operating Fund</t>
  </si>
  <si>
    <t>704 - Insurance and Claims Operating Fund</t>
  </si>
  <si>
    <t>705 - Workers' Comp. Self Insurance Operating Fund</t>
  </si>
  <si>
    <t>706 - Technology Services Fund</t>
  </si>
  <si>
    <t>708 - EBS Services Fund</t>
  </si>
  <si>
    <t>800 - Fire &amp; Police Disability &amp; Retirement Fund</t>
  </si>
  <si>
    <t>PDC - Portland Development Commission</t>
  </si>
  <si>
    <t>Grand Total</t>
  </si>
  <si>
    <t>Excludes insurance claim payouts (529721)</t>
  </si>
  <si>
    <t>Excludes retirement payouts, PERS contributions, and disability/death benefits (547000, 547100)</t>
  </si>
  <si>
    <t>Exclude expenditures for Information &amp; Referral and Public Involvement best practices (CDIR, CDNRNOPI)</t>
  </si>
  <si>
    <t>Portland Children's Levy Allocation</t>
  </si>
  <si>
    <t>Cost Pool to Allocate</t>
  </si>
  <si>
    <t>Fixed at $25,000 (hardcoded in Model)</t>
  </si>
  <si>
    <t>Position Count from SAP</t>
  </si>
  <si>
    <t>Revised Position Count</t>
  </si>
  <si>
    <r>
      <t>Exclude expenditures for Comp Planning</t>
    </r>
    <r>
      <rPr>
        <sz val="10"/>
        <color rgb="FFFF0000"/>
        <rFont val="Arial"/>
        <family val="2"/>
      </rPr>
      <t xml:space="preserve"> </t>
    </r>
    <r>
      <rPr>
        <sz val="10"/>
        <rFont val="Arial"/>
        <family val="2"/>
      </rPr>
      <t>&amp; 1/2 of district liaisons (CDAPDI, CDCP00)</t>
    </r>
  </si>
  <si>
    <t>CAL Target</t>
  </si>
  <si>
    <t>True-Up</t>
  </si>
  <si>
    <t>Emergency mgmt (FREO000004 Fund Center)</t>
  </si>
  <si>
    <t>Information &amp; Referral and Public Involvement best practices (CDIR, CDNRNOPI)</t>
  </si>
  <si>
    <t>Commissioner's Office (PACO000001)</t>
  </si>
  <si>
    <r>
      <t>Comp Planning</t>
    </r>
    <r>
      <rPr>
        <sz val="10"/>
        <color rgb="FFFF0000"/>
        <rFont val="Arial"/>
        <family val="2"/>
      </rPr>
      <t xml:space="preserve"> </t>
    </r>
    <r>
      <rPr>
        <sz val="10"/>
        <rFont val="Arial"/>
        <family val="2"/>
      </rPr>
      <t>&amp; 1/2 of district liaisons (CDAPDI, CDCP00)</t>
    </r>
  </si>
  <si>
    <t>City memberships and dues (MFSA000002)</t>
  </si>
  <si>
    <t>FY 2012-13</t>
  </si>
  <si>
    <t>FY 2014-15</t>
  </si>
  <si>
    <t>207-MF</t>
  </si>
  <si>
    <t>301-FM</t>
  </si>
  <si>
    <t>614-ES</t>
  </si>
  <si>
    <t>707-MF</t>
  </si>
  <si>
    <t>Exclude expenditures for City memberships and dues (MFSA000002)</t>
  </si>
  <si>
    <t>50% discount for operating projects</t>
  </si>
  <si>
    <t>Allocated Fund</t>
  </si>
  <si>
    <t>FY 2008-09 Actuals</t>
  </si>
  <si>
    <t>FY 2009-10 Actuals</t>
  </si>
  <si>
    <t>FY 2010-11 Actuals</t>
  </si>
  <si>
    <t>FY 2011-12 Actuals</t>
  </si>
  <si>
    <t>FY 2012-13 Actuals</t>
  </si>
  <si>
    <t>FY 2008-09 Positions</t>
  </si>
  <si>
    <t>FY 2009-10 Positions</t>
  </si>
  <si>
    <t>FY 2010-11 Positions</t>
  </si>
  <si>
    <t>FY 2011-12 Positions</t>
  </si>
  <si>
    <t>FY 2012-13 Positions</t>
  </si>
  <si>
    <t>True-Up Weighted %</t>
  </si>
  <si>
    <t>CAL Weighted %</t>
  </si>
  <si>
    <t>FY 2012-13 True-Up</t>
  </si>
  <si>
    <t>FY 2012-13 CAL Charge</t>
  </si>
  <si>
    <t>FY 2012-13 True-Up Charge</t>
  </si>
  <si>
    <t>FY 2014-15 CAL Charge</t>
  </si>
  <si>
    <t>FY 2014-15 with True-Up</t>
  </si>
  <si>
    <t xml:space="preserve"> </t>
  </si>
  <si>
    <t xml:space="preserve"> FY 2012-13 True-Up</t>
  </si>
  <si>
    <t xml:space="preserve"> FY 2014-15 CAL Charge</t>
  </si>
  <si>
    <t>Exclude Commissioner's Office (PACO000001)</t>
  </si>
  <si>
    <t>100-FM</t>
  </si>
  <si>
    <t>206-MF</t>
  </si>
  <si>
    <t>100% Overhead</t>
  </si>
  <si>
    <t>Exclude MFHR, MFDR, MFIB</t>
  </si>
  <si>
    <t>Rollback in 09-10 &amp; 10-11. Exclude expenditures for Citywide Comm, Training, Tech Support and % admin (CDCEEC, TE, TS &amp; portion CDAS (68%))</t>
  </si>
  <si>
    <t>MFDR, MFIB, MFHR</t>
  </si>
  <si>
    <t>201-AU</t>
  </si>
  <si>
    <t>201 - Assessment Collection Fund</t>
  </si>
  <si>
    <t xml:space="preserve"> FY 2014-15 Total Charge</t>
  </si>
  <si>
    <t>FY 2013-14 CAL Charge</t>
  </si>
  <si>
    <t>FY 2013-14  CAL Charge</t>
  </si>
  <si>
    <t>Difference</t>
  </si>
  <si>
    <t xml:space="preserve"> Difference</t>
  </si>
  <si>
    <t>Property Management License</t>
  </si>
  <si>
    <t>Cable Fund</t>
  </si>
  <si>
    <t>Convention &amp; Tourism</t>
  </si>
  <si>
    <t>Other Adjustments</t>
  </si>
  <si>
    <t>Vacanct Casuals</t>
  </si>
  <si>
    <t>Vacant Casuals</t>
  </si>
  <si>
    <t>Recovery Rate</t>
  </si>
  <si>
    <t>MHCRC Agency Fund</t>
  </si>
  <si>
    <t>223-MF</t>
  </si>
  <si>
    <t>206 - MHCRC Agency Fund</t>
  </si>
  <si>
    <t>223 - Arts Education &amp; Access Fund</t>
  </si>
  <si>
    <t>Citywide Comm, Training, Tech Support and % admin (CDCEEC, TE, TS &amp; 68% of CDAS)</t>
  </si>
  <si>
    <t>FY 2014-15 General Fund Overhead</t>
  </si>
</sst>
</file>

<file path=xl/styles.xml><?xml version="1.0" encoding="utf-8"?>
<styleSheet xmlns="http://schemas.openxmlformats.org/spreadsheetml/2006/main">
  <numFmts count="6">
    <numFmt numFmtId="43" formatCode="_(* #,##0.00_);_(* \(#,##0.00\);_(* &quot;-&quot;??_);_(@_)"/>
    <numFmt numFmtId="164" formatCode="_(* #,##0_);_(* \(#,##0\);_(* &quot;-&quot;??_);_(@_)"/>
    <numFmt numFmtId="165" formatCode="0.000%"/>
    <numFmt numFmtId="166" formatCode="_(* #,##0.000_);_(* \(#,##0.000\);_(* &quot;-&quot;???_);_(@_)"/>
    <numFmt numFmtId="167" formatCode="_(* #,##0.0000_);_(* \(#,##0.0000\);_(* &quot;-&quot;??_);_(@_)"/>
    <numFmt numFmtId="168" formatCode="0.0000%"/>
  </numFmts>
  <fonts count="32">
    <font>
      <sz val="10"/>
      <name val="Arial"/>
    </font>
    <font>
      <sz val="11"/>
      <color theme="1"/>
      <name val="Calibri"/>
      <family val="2"/>
    </font>
    <font>
      <sz val="11"/>
      <color theme="1"/>
      <name val="Calibri"/>
      <family val="2"/>
    </font>
    <font>
      <sz val="11"/>
      <color theme="1"/>
      <name val="Calibri"/>
      <family val="2"/>
    </font>
    <font>
      <sz val="10"/>
      <name val="Arial"/>
      <family val="2"/>
    </font>
    <font>
      <b/>
      <sz val="10"/>
      <name val="Arial"/>
      <family val="2"/>
    </font>
    <font>
      <sz val="10"/>
      <color rgb="FFFF0000"/>
      <name val="Arial"/>
      <family val="2"/>
    </font>
    <font>
      <sz val="11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</font>
    <font>
      <b/>
      <sz val="13"/>
      <color theme="3"/>
      <name val="Calibri"/>
      <family val="2"/>
    </font>
    <font>
      <b/>
      <sz val="11"/>
      <color theme="3"/>
      <name val="Calibri"/>
      <family val="2"/>
    </font>
    <font>
      <sz val="11"/>
      <color rgb="FF006100"/>
      <name val="Calibri"/>
      <family val="2"/>
    </font>
    <font>
      <sz val="11"/>
      <color rgb="FF9C0006"/>
      <name val="Calibri"/>
      <family val="2"/>
    </font>
    <font>
      <sz val="11"/>
      <color rgb="FF9C6500"/>
      <name val="Calibri"/>
      <family val="2"/>
    </font>
    <font>
      <sz val="11"/>
      <color rgb="FF3F3F76"/>
      <name val="Calibri"/>
      <family val="2"/>
    </font>
    <font>
      <b/>
      <sz val="11"/>
      <color rgb="FF3F3F3F"/>
      <name val="Calibri"/>
      <family val="2"/>
    </font>
    <font>
      <b/>
      <sz val="11"/>
      <color rgb="FFFA7D00"/>
      <name val="Calibri"/>
      <family val="2"/>
    </font>
    <font>
      <sz val="11"/>
      <color rgb="FFFA7D00"/>
      <name val="Calibri"/>
      <family val="2"/>
    </font>
    <font>
      <b/>
      <sz val="11"/>
      <color theme="0"/>
      <name val="Calibri"/>
      <family val="2"/>
    </font>
    <font>
      <sz val="11"/>
      <color rgb="FFFF0000"/>
      <name val="Calibri"/>
      <family val="2"/>
    </font>
    <font>
      <i/>
      <sz val="11"/>
      <color rgb="FF7F7F7F"/>
      <name val="Calibri"/>
      <family val="2"/>
    </font>
    <font>
      <b/>
      <sz val="11"/>
      <color theme="1"/>
      <name val="Calibri"/>
      <family val="2"/>
    </font>
    <font>
      <sz val="11"/>
      <color theme="0"/>
      <name val="Calibri"/>
      <family val="2"/>
    </font>
    <font>
      <sz val="11"/>
      <name val="Calibri"/>
      <family val="2"/>
      <scheme val="minor"/>
    </font>
    <font>
      <b/>
      <u val="singleAccounting"/>
      <sz val="10"/>
      <name val="Arial"/>
      <family val="2"/>
    </font>
    <font>
      <sz val="10"/>
      <color theme="1"/>
      <name val="Arial"/>
      <family val="2"/>
    </font>
    <font>
      <sz val="9"/>
      <color indexed="81"/>
      <name val="Tahoma"/>
      <charset val="1"/>
    </font>
    <font>
      <b/>
      <sz val="9"/>
      <color indexed="81"/>
      <name val="Tahoma"/>
      <charset val="1"/>
    </font>
    <font>
      <sz val="20"/>
      <name val="Arial"/>
      <family val="2"/>
    </font>
  </fonts>
  <fills count="4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theme="4" tint="0.39997558519241921"/>
      </bottom>
      <diagonal/>
    </border>
  </borders>
  <cellStyleXfs count="135">
    <xf numFmtId="0" fontId="0" fillId="0" borderId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7" fillId="0" borderId="0"/>
    <xf numFmtId="0" fontId="10" fillId="0" borderId="0" applyNumberFormat="0" applyFill="0" applyBorder="0" applyAlignment="0" applyProtection="0"/>
    <xf numFmtId="0" fontId="11" fillId="0" borderId="2" applyNumberFormat="0" applyFill="0" applyAlignment="0" applyProtection="0"/>
    <xf numFmtId="0" fontId="12" fillId="0" borderId="3" applyNumberFormat="0" applyFill="0" applyAlignment="0" applyProtection="0"/>
    <xf numFmtId="0" fontId="13" fillId="0" borderId="4" applyNumberFormat="0" applyFill="0" applyAlignment="0" applyProtection="0"/>
    <xf numFmtId="0" fontId="13" fillId="0" borderId="0" applyNumberFormat="0" applyFill="0" applyBorder="0" applyAlignment="0" applyProtection="0"/>
    <xf numFmtId="0" fontId="14" fillId="9" borderId="0" applyNumberFormat="0" applyBorder="0" applyAlignment="0" applyProtection="0"/>
    <xf numFmtId="0" fontId="15" fillId="10" borderId="0" applyNumberFormat="0" applyBorder="0" applyAlignment="0" applyProtection="0"/>
    <xf numFmtId="0" fontId="16" fillId="11" borderId="0" applyNumberFormat="0" applyBorder="0" applyAlignment="0" applyProtection="0"/>
    <xf numFmtId="0" fontId="17" fillId="12" borderId="5" applyNumberFormat="0" applyAlignment="0" applyProtection="0"/>
    <xf numFmtId="0" fontId="18" fillId="13" borderId="6" applyNumberFormat="0" applyAlignment="0" applyProtection="0"/>
    <xf numFmtId="0" fontId="19" fillId="13" borderId="5" applyNumberFormat="0" applyAlignment="0" applyProtection="0"/>
    <xf numFmtId="0" fontId="20" fillId="0" borderId="7" applyNumberFormat="0" applyFill="0" applyAlignment="0" applyProtection="0"/>
    <xf numFmtId="0" fontId="21" fillId="14" borderId="8" applyNumberFormat="0" applyAlignment="0" applyProtection="0"/>
    <xf numFmtId="0" fontId="22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10" applyNumberFormat="0" applyFill="0" applyAlignment="0" applyProtection="0"/>
    <xf numFmtId="0" fontId="25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25" fillId="19" borderId="0" applyNumberFormat="0" applyBorder="0" applyAlignment="0" applyProtection="0"/>
    <xf numFmtId="0" fontId="25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25" fillId="23" borderId="0" applyNumberFormat="0" applyBorder="0" applyAlignment="0" applyProtection="0"/>
    <xf numFmtId="0" fontId="25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25" fillId="27" borderId="0" applyNumberFormat="0" applyBorder="0" applyAlignment="0" applyProtection="0"/>
    <xf numFmtId="0" fontId="25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25" fillId="31" borderId="0" applyNumberFormat="0" applyBorder="0" applyAlignment="0" applyProtection="0"/>
    <xf numFmtId="0" fontId="25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0" fontId="25" fillId="35" borderId="0" applyNumberFormat="0" applyBorder="0" applyAlignment="0" applyProtection="0"/>
    <xf numFmtId="0" fontId="25" fillId="36" borderId="0" applyNumberFormat="0" applyBorder="0" applyAlignment="0" applyProtection="0"/>
    <xf numFmtId="0" fontId="3" fillId="37" borderId="0" applyNumberFormat="0" applyBorder="0" applyAlignment="0" applyProtection="0"/>
    <xf numFmtId="0" fontId="3" fillId="38" borderId="0" applyNumberFormat="0" applyBorder="0" applyAlignment="0" applyProtection="0"/>
    <xf numFmtId="0" fontId="25" fillId="39" borderId="0" applyNumberFormat="0" applyBorder="0" applyAlignment="0" applyProtection="0"/>
    <xf numFmtId="0" fontId="4" fillId="0" borderId="0"/>
    <xf numFmtId="0" fontId="3" fillId="15" borderId="9" applyNumberFormat="0" applyFont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0" fontId="3" fillId="37" borderId="0" applyNumberFormat="0" applyBorder="0" applyAlignment="0" applyProtection="0"/>
    <xf numFmtId="0" fontId="3" fillId="38" borderId="0" applyNumberFormat="0" applyBorder="0" applyAlignment="0" applyProtection="0"/>
    <xf numFmtId="0" fontId="2" fillId="15" borderId="9" applyNumberFormat="0" applyFont="0" applyAlignment="0" applyProtection="0"/>
    <xf numFmtId="0" fontId="2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21" borderId="0" applyNumberFormat="0" applyBorder="0" applyAlignment="0" applyProtection="0"/>
    <xf numFmtId="0" fontId="2" fillId="22" borderId="0" applyNumberFormat="0" applyBorder="0" applyAlignment="0" applyProtection="0"/>
    <xf numFmtId="0" fontId="2" fillId="25" borderId="0" applyNumberFormat="0" applyBorder="0" applyAlignment="0" applyProtection="0"/>
    <xf numFmtId="0" fontId="2" fillId="26" borderId="0" applyNumberFormat="0" applyBorder="0" applyAlignment="0" applyProtection="0"/>
    <xf numFmtId="0" fontId="2" fillId="29" borderId="0" applyNumberFormat="0" applyBorder="0" applyAlignment="0" applyProtection="0"/>
    <xf numFmtId="0" fontId="2" fillId="30" borderId="0" applyNumberFormat="0" applyBorder="0" applyAlignment="0" applyProtection="0"/>
    <xf numFmtId="0" fontId="2" fillId="33" borderId="0" applyNumberFormat="0" applyBorder="0" applyAlignment="0" applyProtection="0"/>
    <xf numFmtId="0" fontId="2" fillId="34" borderId="0" applyNumberFormat="0" applyBorder="0" applyAlignment="0" applyProtection="0"/>
    <xf numFmtId="0" fontId="2" fillId="37" borderId="0" applyNumberFormat="0" applyBorder="0" applyAlignment="0" applyProtection="0"/>
    <xf numFmtId="0" fontId="2" fillId="38" borderId="0" applyNumberFormat="0" applyBorder="0" applyAlignment="0" applyProtection="0"/>
    <xf numFmtId="0" fontId="2" fillId="15" borderId="9" applyNumberFormat="0" applyFont="0" applyAlignment="0" applyProtection="0"/>
    <xf numFmtId="0" fontId="2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21" borderId="0" applyNumberFormat="0" applyBorder="0" applyAlignment="0" applyProtection="0"/>
    <xf numFmtId="0" fontId="2" fillId="22" borderId="0" applyNumberFormat="0" applyBorder="0" applyAlignment="0" applyProtection="0"/>
    <xf numFmtId="0" fontId="2" fillId="25" borderId="0" applyNumberFormat="0" applyBorder="0" applyAlignment="0" applyProtection="0"/>
    <xf numFmtId="0" fontId="2" fillId="26" borderId="0" applyNumberFormat="0" applyBorder="0" applyAlignment="0" applyProtection="0"/>
    <xf numFmtId="0" fontId="2" fillId="29" borderId="0" applyNumberFormat="0" applyBorder="0" applyAlignment="0" applyProtection="0"/>
    <xf numFmtId="0" fontId="2" fillId="30" borderId="0" applyNumberFormat="0" applyBorder="0" applyAlignment="0" applyProtection="0"/>
    <xf numFmtId="0" fontId="2" fillId="33" borderId="0" applyNumberFormat="0" applyBorder="0" applyAlignment="0" applyProtection="0"/>
    <xf numFmtId="0" fontId="2" fillId="34" borderId="0" applyNumberFormat="0" applyBorder="0" applyAlignment="0" applyProtection="0"/>
    <xf numFmtId="0" fontId="2" fillId="37" borderId="0" applyNumberFormat="0" applyBorder="0" applyAlignment="0" applyProtection="0"/>
    <xf numFmtId="0" fontId="2" fillId="38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37" borderId="0" applyNumberFormat="0" applyBorder="0" applyAlignment="0" applyProtection="0"/>
    <xf numFmtId="0" fontId="1" fillId="38" borderId="0" applyNumberFormat="0" applyBorder="0" applyAlignment="0" applyProtection="0"/>
    <xf numFmtId="0" fontId="1" fillId="15" borderId="9" applyNumberFormat="0" applyFont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37" borderId="0" applyNumberFormat="0" applyBorder="0" applyAlignment="0" applyProtection="0"/>
    <xf numFmtId="0" fontId="1" fillId="38" borderId="0" applyNumberFormat="0" applyBorder="0" applyAlignment="0" applyProtection="0"/>
    <xf numFmtId="0" fontId="1" fillId="15" borderId="9" applyNumberFormat="0" applyFont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37" borderId="0" applyNumberFormat="0" applyBorder="0" applyAlignment="0" applyProtection="0"/>
    <xf numFmtId="0" fontId="1" fillId="38" borderId="0" applyNumberFormat="0" applyBorder="0" applyAlignment="0" applyProtection="0"/>
    <xf numFmtId="0" fontId="1" fillId="15" borderId="9" applyNumberFormat="0" applyFont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37" borderId="0" applyNumberFormat="0" applyBorder="0" applyAlignment="0" applyProtection="0"/>
    <xf numFmtId="0" fontId="1" fillId="38" borderId="0" applyNumberFormat="0" applyBorder="0" applyAlignment="0" applyProtection="0"/>
  </cellStyleXfs>
  <cellXfs count="95">
    <xf numFmtId="0" fontId="0" fillId="0" borderId="0" xfId="0"/>
    <xf numFmtId="0" fontId="4" fillId="0" borderId="0" xfId="0" applyFont="1"/>
    <xf numFmtId="0" fontId="5" fillId="3" borderId="0" xfId="0" applyFont="1" applyFill="1"/>
    <xf numFmtId="0" fontId="0" fillId="3" borderId="0" xfId="0" applyFill="1"/>
    <xf numFmtId="0" fontId="5" fillId="4" borderId="0" xfId="0" applyFont="1" applyFill="1"/>
    <xf numFmtId="0" fontId="0" fillId="4" borderId="0" xfId="0" applyFill="1"/>
    <xf numFmtId="0" fontId="4" fillId="0" borderId="0" xfId="0" applyFont="1" applyAlignment="1">
      <alignment horizontal="center" wrapText="1"/>
    </xf>
    <xf numFmtId="164" fontId="0" fillId="0" borderId="0" xfId="1" applyNumberFormat="1" applyFont="1"/>
    <xf numFmtId="164" fontId="4" fillId="0" borderId="0" xfId="1" applyNumberFormat="1" applyFont="1" applyAlignment="1">
      <alignment horizontal="center" wrapText="1"/>
    </xf>
    <xf numFmtId="164" fontId="0" fillId="0" borderId="0" xfId="1" applyNumberFormat="1" applyFont="1" applyAlignment="1">
      <alignment horizontal="center"/>
    </xf>
    <xf numFmtId="164" fontId="4" fillId="0" borderId="0" xfId="1" applyNumberFormat="1" applyFont="1" applyAlignment="1">
      <alignment horizontal="center"/>
    </xf>
    <xf numFmtId="164" fontId="0" fillId="0" borderId="0" xfId="0" applyNumberFormat="1"/>
    <xf numFmtId="165" fontId="0" fillId="0" borderId="0" xfId="0" applyNumberFormat="1"/>
    <xf numFmtId="0" fontId="0" fillId="0" borderId="0" xfId="0" applyAlignment="1">
      <alignment horizontal="left"/>
    </xf>
    <xf numFmtId="0" fontId="4" fillId="5" borderId="0" xfId="0" applyFont="1" applyFill="1"/>
    <xf numFmtId="166" fontId="0" fillId="0" borderId="0" xfId="0" applyNumberFormat="1"/>
    <xf numFmtId="0" fontId="0" fillId="0" borderId="0" xfId="0" applyFill="1"/>
    <xf numFmtId="164" fontId="0" fillId="0" borderId="0" xfId="1" applyNumberFormat="1" applyFont="1" applyFill="1"/>
    <xf numFmtId="165" fontId="0" fillId="0" borderId="0" xfId="2" applyNumberFormat="1" applyFont="1"/>
    <xf numFmtId="165" fontId="4" fillId="0" borderId="0" xfId="0" applyNumberFormat="1" applyFont="1" applyAlignment="1">
      <alignment horizontal="center" wrapText="1"/>
    </xf>
    <xf numFmtId="0" fontId="0" fillId="0" borderId="0" xfId="0" pivotButton="1"/>
    <xf numFmtId="0" fontId="7" fillId="0" borderId="0" xfId="3" applyFont="1"/>
    <xf numFmtId="165" fontId="7" fillId="0" borderId="0" xfId="3" applyNumberFormat="1" applyFont="1"/>
    <xf numFmtId="0" fontId="26" fillId="0" borderId="0" xfId="0" applyFont="1"/>
    <xf numFmtId="165" fontId="26" fillId="0" borderId="0" xfId="0" applyNumberFormat="1" applyFont="1" applyAlignment="1">
      <alignment horizontal="center" wrapText="1"/>
    </xf>
    <xf numFmtId="165" fontId="26" fillId="0" borderId="0" xfId="2" applyNumberFormat="1" applyFont="1"/>
    <xf numFmtId="164" fontId="0" fillId="0" borderId="0" xfId="0" pivotButton="1" applyNumberFormat="1"/>
    <xf numFmtId="165" fontId="26" fillId="0" borderId="0" xfId="0" applyNumberFormat="1" applyFont="1"/>
    <xf numFmtId="164" fontId="0" fillId="0" borderId="0" xfId="1" applyNumberFormat="1" applyFont="1" applyAlignment="1">
      <alignment horizontal="left"/>
    </xf>
    <xf numFmtId="164" fontId="0" fillId="5" borderId="0" xfId="1" applyNumberFormat="1" applyFont="1" applyFill="1" applyAlignment="1">
      <alignment horizontal="left"/>
    </xf>
    <xf numFmtId="0" fontId="26" fillId="0" borderId="0" xfId="0" applyFont="1" applyAlignment="1">
      <alignment horizontal="center" wrapText="1"/>
    </xf>
    <xf numFmtId="0" fontId="4" fillId="0" borderId="0" xfId="44" applyNumberFormat="1" applyFont="1"/>
    <xf numFmtId="0" fontId="4" fillId="0" borderId="0" xfId="44" applyNumberFormat="1" applyFont="1" applyFill="1"/>
    <xf numFmtId="164" fontId="0" fillId="40" borderId="0" xfId="1" applyNumberFormat="1" applyFont="1" applyFill="1"/>
    <xf numFmtId="164" fontId="0" fillId="0" borderId="0" xfId="1" applyNumberFormat="1" applyFont="1" applyAlignment="1">
      <alignment horizontal="center"/>
    </xf>
    <xf numFmtId="0" fontId="0" fillId="0" borderId="0" xfId="0"/>
    <xf numFmtId="0" fontId="4" fillId="0" borderId="0" xfId="0" applyFont="1"/>
    <xf numFmtId="164" fontId="0" fillId="0" borderId="0" xfId="1" applyNumberFormat="1" applyFont="1"/>
    <xf numFmtId="0" fontId="0" fillId="0" borderId="0" xfId="0" applyAlignment="1">
      <alignment horizontal="left"/>
    </xf>
    <xf numFmtId="164" fontId="0" fillId="0" borderId="0" xfId="1" applyNumberFormat="1" applyFont="1" applyFill="1"/>
    <xf numFmtId="0" fontId="4" fillId="0" borderId="0" xfId="0" applyFont="1" applyFill="1"/>
    <xf numFmtId="164" fontId="5" fillId="0" borderId="0" xfId="1" applyNumberFormat="1" applyFont="1" applyAlignment="1">
      <alignment horizontal="center"/>
    </xf>
    <xf numFmtId="0" fontId="5" fillId="0" borderId="0" xfId="0" applyFont="1" applyAlignment="1">
      <alignment horizontal="center"/>
    </xf>
    <xf numFmtId="0" fontId="0" fillId="0" borderId="11" xfId="0" applyBorder="1"/>
    <xf numFmtId="164" fontId="0" fillId="0" borderId="11" xfId="1" applyNumberFormat="1" applyFont="1" applyBorder="1"/>
    <xf numFmtId="0" fontId="0" fillId="0" borderId="0" xfId="0"/>
    <xf numFmtId="0" fontId="4" fillId="0" borderId="0" xfId="0" applyFont="1"/>
    <xf numFmtId="164" fontId="0" fillId="0" borderId="0" xfId="1" applyNumberFormat="1" applyFont="1"/>
    <xf numFmtId="165" fontId="0" fillId="0" borderId="0" xfId="0" applyNumberFormat="1"/>
    <xf numFmtId="0" fontId="0" fillId="0" borderId="0" xfId="0" applyAlignment="1">
      <alignment horizontal="left"/>
    </xf>
    <xf numFmtId="165" fontId="0" fillId="6" borderId="0" xfId="2" applyNumberFormat="1" applyFont="1" applyFill="1"/>
    <xf numFmtId="165" fontId="0" fillId="7" borderId="0" xfId="2" applyNumberFormat="1" applyFont="1" applyFill="1"/>
    <xf numFmtId="165" fontId="0" fillId="8" borderId="0" xfId="0" applyNumberFormat="1" applyFill="1"/>
    <xf numFmtId="165" fontId="0" fillId="0" borderId="0" xfId="2" applyNumberFormat="1" applyFont="1"/>
    <xf numFmtId="0" fontId="5" fillId="0" borderId="1" xfId="0" applyFont="1" applyBorder="1" applyAlignment="1">
      <alignment wrapText="1"/>
    </xf>
    <xf numFmtId="0" fontId="5" fillId="0" borderId="1" xfId="0" applyFont="1" applyBorder="1" applyAlignment="1">
      <alignment horizontal="left" wrapText="1"/>
    </xf>
    <xf numFmtId="0" fontId="5" fillId="7" borderId="1" xfId="0" applyFont="1" applyFill="1" applyBorder="1" applyAlignment="1">
      <alignment horizontal="center" wrapText="1"/>
    </xf>
    <xf numFmtId="0" fontId="5" fillId="6" borderId="1" xfId="0" applyFont="1" applyFill="1" applyBorder="1" applyAlignment="1">
      <alignment horizontal="center" wrapText="1"/>
    </xf>
    <xf numFmtId="0" fontId="5" fillId="8" borderId="1" xfId="0" applyFont="1" applyFill="1" applyBorder="1" applyAlignment="1">
      <alignment horizontal="center" wrapText="1"/>
    </xf>
    <xf numFmtId="0" fontId="0" fillId="0" borderId="0" xfId="0" applyFill="1" applyAlignment="1">
      <alignment vertical="top" wrapText="1"/>
    </xf>
    <xf numFmtId="0" fontId="5" fillId="2" borderId="0" xfId="0" applyFont="1" applyFill="1" applyAlignment="1">
      <alignment vertical="top"/>
    </xf>
    <xf numFmtId="0" fontId="5" fillId="0" borderId="0" xfId="0" applyFont="1" applyFill="1" applyAlignment="1">
      <alignment vertical="top" wrapText="1"/>
    </xf>
    <xf numFmtId="0" fontId="0" fillId="2" borderId="0" xfId="0" applyFill="1" applyAlignment="1">
      <alignment vertical="top"/>
    </xf>
    <xf numFmtId="0" fontId="6" fillId="0" borderId="0" xfId="0" applyFont="1" applyFill="1" applyAlignment="1">
      <alignment vertical="top" wrapText="1"/>
    </xf>
    <xf numFmtId="0" fontId="6" fillId="2" borderId="0" xfId="0" applyFont="1" applyFill="1" applyAlignment="1">
      <alignment vertical="top"/>
    </xf>
    <xf numFmtId="0" fontId="4" fillId="0" borderId="0" xfId="0" applyFont="1" applyAlignment="1">
      <alignment vertical="top" wrapText="1"/>
    </xf>
    <xf numFmtId="0" fontId="4" fillId="2" borderId="0" xfId="0" applyFont="1" applyFill="1" applyAlignment="1">
      <alignment vertical="top"/>
    </xf>
    <xf numFmtId="0" fontId="4" fillId="0" borderId="0" xfId="0" applyFont="1" applyFill="1" applyAlignment="1">
      <alignment vertical="top" wrapText="1"/>
    </xf>
    <xf numFmtId="0" fontId="0" fillId="0" borderId="0" xfId="0" applyAlignment="1">
      <alignment vertical="top" wrapText="1"/>
    </xf>
    <xf numFmtId="0" fontId="0" fillId="5" borderId="0" xfId="0" applyFill="1" applyAlignment="1">
      <alignment vertical="top"/>
    </xf>
    <xf numFmtId="0" fontId="0" fillId="0" borderId="0" xfId="0" applyAlignment="1">
      <alignment vertical="top"/>
    </xf>
    <xf numFmtId="0" fontId="0" fillId="0" borderId="0" xfId="0" applyFont="1"/>
    <xf numFmtId="164" fontId="5" fillId="41" borderId="1" xfId="1" applyNumberFormat="1" applyFont="1" applyFill="1" applyBorder="1" applyAlignment="1">
      <alignment horizontal="center" wrapText="1"/>
    </xf>
    <xf numFmtId="164" fontId="0" fillId="41" borderId="0" xfId="1" applyNumberFormat="1" applyFont="1" applyFill="1"/>
    <xf numFmtId="164" fontId="0" fillId="0" borderId="0" xfId="0" applyNumberFormat="1" applyAlignment="1">
      <alignment horizontal="center" wrapText="1"/>
    </xf>
    <xf numFmtId="164" fontId="27" fillId="0" borderId="0" xfId="1" applyNumberFormat="1" applyFont="1" applyBorder="1" applyAlignment="1">
      <alignment horizontal="center"/>
    </xf>
    <xf numFmtId="0" fontId="27" fillId="0" borderId="0" xfId="0" applyFont="1" applyBorder="1" applyAlignment="1">
      <alignment horizontal="center"/>
    </xf>
    <xf numFmtId="0" fontId="28" fillId="0" borderId="12" xfId="0" applyFont="1" applyBorder="1" applyAlignment="1">
      <alignment horizontal="left"/>
    </xf>
    <xf numFmtId="0" fontId="28" fillId="0" borderId="12" xfId="0" applyNumberFormat="1" applyFont="1" applyBorder="1"/>
    <xf numFmtId="0" fontId="0" fillId="0" borderId="0" xfId="0" applyAlignment="1">
      <alignment horizontal="center" wrapText="1"/>
    </xf>
    <xf numFmtId="164" fontId="0" fillId="42" borderId="0" xfId="1" applyNumberFormat="1" applyFont="1" applyFill="1"/>
    <xf numFmtId="0" fontId="28" fillId="0" borderId="0" xfId="0" applyNumberFormat="1" applyFont="1" applyBorder="1"/>
    <xf numFmtId="43" fontId="0" fillId="0" borderId="0" xfId="0" applyNumberFormat="1"/>
    <xf numFmtId="167" fontId="0" fillId="0" borderId="0" xfId="0" applyNumberFormat="1"/>
    <xf numFmtId="43" fontId="0" fillId="0" borderId="0" xfId="1" applyFont="1"/>
    <xf numFmtId="168" fontId="0" fillId="0" borderId="0" xfId="2" applyNumberFormat="1" applyFont="1"/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164" fontId="4" fillId="0" borderId="0" xfId="1" applyNumberFormat="1" applyFont="1"/>
    <xf numFmtId="164" fontId="5" fillId="0" borderId="0" xfId="1" applyNumberFormat="1" applyFont="1" applyAlignment="1">
      <alignment horizontal="center"/>
    </xf>
    <xf numFmtId="0" fontId="31" fillId="0" borderId="11" xfId="0" applyFont="1" applyBorder="1" applyAlignment="1">
      <alignment horizontal="center"/>
    </xf>
    <xf numFmtId="0" fontId="4" fillId="0" borderId="0" xfId="0" applyFont="1" applyAlignment="1">
      <alignment vertical="top"/>
    </xf>
    <xf numFmtId="0" fontId="0" fillId="0" borderId="0" xfId="0" applyAlignment="1">
      <alignment vertical="top"/>
    </xf>
    <xf numFmtId="0" fontId="4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135">
    <cellStyle name="20% - Accent1" xfId="21" builtinId="30" customBuiltin="1"/>
    <cellStyle name="20% - Accent1 2" xfId="46"/>
    <cellStyle name="20% - Accent1 2 2" xfId="72"/>
    <cellStyle name="20% - Accent1 2 2 2" xfId="123"/>
    <cellStyle name="20% - Accent1 2 3" xfId="97"/>
    <cellStyle name="20% - Accent1 3" xfId="59"/>
    <cellStyle name="20% - Accent1 3 2" xfId="110"/>
    <cellStyle name="20% - Accent1 4" xfId="84"/>
    <cellStyle name="20% - Accent2" xfId="25" builtinId="34" customBuiltin="1"/>
    <cellStyle name="20% - Accent2 2" xfId="48"/>
    <cellStyle name="20% - Accent2 2 2" xfId="74"/>
    <cellStyle name="20% - Accent2 2 2 2" xfId="125"/>
    <cellStyle name="20% - Accent2 2 3" xfId="99"/>
    <cellStyle name="20% - Accent2 3" xfId="61"/>
    <cellStyle name="20% - Accent2 3 2" xfId="112"/>
    <cellStyle name="20% - Accent2 4" xfId="86"/>
    <cellStyle name="20% - Accent3" xfId="29" builtinId="38" customBuiltin="1"/>
    <cellStyle name="20% - Accent3 2" xfId="50"/>
    <cellStyle name="20% - Accent3 2 2" xfId="76"/>
    <cellStyle name="20% - Accent3 2 2 2" xfId="127"/>
    <cellStyle name="20% - Accent3 2 3" xfId="101"/>
    <cellStyle name="20% - Accent3 3" xfId="63"/>
    <cellStyle name="20% - Accent3 3 2" xfId="114"/>
    <cellStyle name="20% - Accent3 4" xfId="88"/>
    <cellStyle name="20% - Accent4" xfId="33" builtinId="42" customBuiltin="1"/>
    <cellStyle name="20% - Accent4 2" xfId="52"/>
    <cellStyle name="20% - Accent4 2 2" xfId="78"/>
    <cellStyle name="20% - Accent4 2 2 2" xfId="129"/>
    <cellStyle name="20% - Accent4 2 3" xfId="103"/>
    <cellStyle name="20% - Accent4 3" xfId="65"/>
    <cellStyle name="20% - Accent4 3 2" xfId="116"/>
    <cellStyle name="20% - Accent4 4" xfId="90"/>
    <cellStyle name="20% - Accent5" xfId="37" builtinId="46" customBuiltin="1"/>
    <cellStyle name="20% - Accent5 2" xfId="54"/>
    <cellStyle name="20% - Accent5 2 2" xfId="80"/>
    <cellStyle name="20% - Accent5 2 2 2" xfId="131"/>
    <cellStyle name="20% - Accent5 2 3" xfId="105"/>
    <cellStyle name="20% - Accent5 3" xfId="67"/>
    <cellStyle name="20% - Accent5 3 2" xfId="118"/>
    <cellStyle name="20% - Accent5 4" xfId="92"/>
    <cellStyle name="20% - Accent6" xfId="41" builtinId="50" customBuiltin="1"/>
    <cellStyle name="20% - Accent6 2" xfId="56"/>
    <cellStyle name="20% - Accent6 2 2" xfId="82"/>
    <cellStyle name="20% - Accent6 2 2 2" xfId="133"/>
    <cellStyle name="20% - Accent6 2 3" xfId="107"/>
    <cellStyle name="20% - Accent6 3" xfId="69"/>
    <cellStyle name="20% - Accent6 3 2" xfId="120"/>
    <cellStyle name="20% - Accent6 4" xfId="94"/>
    <cellStyle name="40% - Accent1" xfId="22" builtinId="31" customBuiltin="1"/>
    <cellStyle name="40% - Accent1 2" xfId="47"/>
    <cellStyle name="40% - Accent1 2 2" xfId="73"/>
    <cellStyle name="40% - Accent1 2 2 2" xfId="124"/>
    <cellStyle name="40% - Accent1 2 3" xfId="98"/>
    <cellStyle name="40% - Accent1 3" xfId="60"/>
    <cellStyle name="40% - Accent1 3 2" xfId="111"/>
    <cellStyle name="40% - Accent1 4" xfId="85"/>
    <cellStyle name="40% - Accent2" xfId="26" builtinId="35" customBuiltin="1"/>
    <cellStyle name="40% - Accent2 2" xfId="49"/>
    <cellStyle name="40% - Accent2 2 2" xfId="75"/>
    <cellStyle name="40% - Accent2 2 2 2" xfId="126"/>
    <cellStyle name="40% - Accent2 2 3" xfId="100"/>
    <cellStyle name="40% - Accent2 3" xfId="62"/>
    <cellStyle name="40% - Accent2 3 2" xfId="113"/>
    <cellStyle name="40% - Accent2 4" xfId="87"/>
    <cellStyle name="40% - Accent3" xfId="30" builtinId="39" customBuiltin="1"/>
    <cellStyle name="40% - Accent3 2" xfId="51"/>
    <cellStyle name="40% - Accent3 2 2" xfId="77"/>
    <cellStyle name="40% - Accent3 2 2 2" xfId="128"/>
    <cellStyle name="40% - Accent3 2 3" xfId="102"/>
    <cellStyle name="40% - Accent3 3" xfId="64"/>
    <cellStyle name="40% - Accent3 3 2" xfId="115"/>
    <cellStyle name="40% - Accent3 4" xfId="89"/>
    <cellStyle name="40% - Accent4" xfId="34" builtinId="43" customBuiltin="1"/>
    <cellStyle name="40% - Accent4 2" xfId="53"/>
    <cellStyle name="40% - Accent4 2 2" xfId="79"/>
    <cellStyle name="40% - Accent4 2 2 2" xfId="130"/>
    <cellStyle name="40% - Accent4 2 3" xfId="104"/>
    <cellStyle name="40% - Accent4 3" xfId="66"/>
    <cellStyle name="40% - Accent4 3 2" xfId="117"/>
    <cellStyle name="40% - Accent4 4" xfId="91"/>
    <cellStyle name="40% - Accent5" xfId="38" builtinId="47" customBuiltin="1"/>
    <cellStyle name="40% - Accent5 2" xfId="55"/>
    <cellStyle name="40% - Accent5 2 2" xfId="81"/>
    <cellStyle name="40% - Accent5 2 2 2" xfId="132"/>
    <cellStyle name="40% - Accent5 2 3" xfId="106"/>
    <cellStyle name="40% - Accent5 3" xfId="68"/>
    <cellStyle name="40% - Accent5 3 2" xfId="119"/>
    <cellStyle name="40% - Accent5 4" xfId="93"/>
    <cellStyle name="40% - Accent6" xfId="42" builtinId="51" customBuiltin="1"/>
    <cellStyle name="40% - Accent6 2" xfId="57"/>
    <cellStyle name="40% - Accent6 2 2" xfId="83"/>
    <cellStyle name="40% - Accent6 2 2 2" xfId="134"/>
    <cellStyle name="40% - Accent6 2 3" xfId="108"/>
    <cellStyle name="40% - Accent6 3" xfId="70"/>
    <cellStyle name="40% - Accent6 3 2" xfId="121"/>
    <cellStyle name="40% - Accent6 4" xfId="95"/>
    <cellStyle name="60% - Accent1" xfId="23" builtinId="32" customBuiltin="1"/>
    <cellStyle name="60% - Accent2" xfId="27" builtinId="36" customBuiltin="1"/>
    <cellStyle name="60% - Accent3" xfId="31" builtinId="40" customBuiltin="1"/>
    <cellStyle name="60% - Accent4" xfId="35" builtinId="44" customBuiltin="1"/>
    <cellStyle name="60% - Accent5" xfId="39" builtinId="48" customBuiltin="1"/>
    <cellStyle name="60% - Accent6" xfId="43" builtinId="52" customBuiltin="1"/>
    <cellStyle name="Accent1" xfId="20" builtinId="29" customBuiltin="1"/>
    <cellStyle name="Accent2" xfId="24" builtinId="33" customBuiltin="1"/>
    <cellStyle name="Accent3" xfId="28" builtinId="37" customBuiltin="1"/>
    <cellStyle name="Accent4" xfId="32" builtinId="41" customBuiltin="1"/>
    <cellStyle name="Accent5" xfId="36" builtinId="45" customBuiltin="1"/>
    <cellStyle name="Accent6" xfId="40" builtinId="49" customBuiltin="1"/>
    <cellStyle name="Bad" xfId="10" builtinId="27" customBuiltin="1"/>
    <cellStyle name="Calculation" xfId="14" builtinId="22" customBuiltin="1"/>
    <cellStyle name="Check Cell" xfId="16" builtinId="23" customBuiltin="1"/>
    <cellStyle name="Comma" xfId="1" builtinId="3"/>
    <cellStyle name="Explanatory Text" xfId="18" builtinId="53" customBuiltin="1"/>
    <cellStyle name="Good" xfId="9" builtinId="26" customBuiltin="1"/>
    <cellStyle name="Heading 1" xfId="5" builtinId="16" customBuiltin="1"/>
    <cellStyle name="Heading 2" xfId="6" builtinId="17" customBuiltin="1"/>
    <cellStyle name="Heading 3" xfId="7" builtinId="18" customBuiltin="1"/>
    <cellStyle name="Heading 4" xfId="8" builtinId="19" customBuiltin="1"/>
    <cellStyle name="Input" xfId="12" builtinId="20" customBuiltin="1"/>
    <cellStyle name="Linked Cell" xfId="15" builtinId="24" customBuiltin="1"/>
    <cellStyle name="Neutral" xfId="11" builtinId="28" customBuiltin="1"/>
    <cellStyle name="Normal" xfId="0" builtinId="0"/>
    <cellStyle name="Normal 2" xfId="3"/>
    <cellStyle name="Normal 3" xfId="44"/>
    <cellStyle name="Note 2" xfId="45"/>
    <cellStyle name="Note 2 2" xfId="71"/>
    <cellStyle name="Note 2 2 2" xfId="122"/>
    <cellStyle name="Note 2 3" xfId="96"/>
    <cellStyle name="Note 3" xfId="58"/>
    <cellStyle name="Note 3 2" xfId="109"/>
    <cellStyle name="Output" xfId="13" builtinId="21" customBuiltin="1"/>
    <cellStyle name="Percent" xfId="2" builtinId="5"/>
    <cellStyle name="Title" xfId="4" builtinId="15" customBuiltin="1"/>
    <cellStyle name="Total" xfId="19" builtinId="25" customBuiltin="1"/>
    <cellStyle name="Warning Text" xfId="17" builtinId="11" customBuiltin="1"/>
  </cellStyles>
  <dxfs count="10">
    <dxf>
      <alignment horizontal="center" readingOrder="0"/>
    </dxf>
    <dxf>
      <alignment horizontal="center" readingOrder="0"/>
    </dxf>
    <dxf>
      <alignment wrapText="1" readingOrder="0"/>
    </dxf>
    <dxf>
      <numFmt numFmtId="164" formatCode="_(* #,##0_);_(* \(#,##0\);_(* &quot;-&quot;??_);_(@_)"/>
    </dxf>
    <dxf>
      <numFmt numFmtId="164" formatCode="_(* #,##0_);_(* \(#,##0\);_(* &quot;-&quot;??_);_(@_)"/>
    </dxf>
    <dxf>
      <alignment horizontal="center" wrapText="1" readingOrder="0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pivotCacheDefinition" Target="pivotCache/pivotCacheDefinition1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fajeramy" refreshedDate="41612.559276041669" createdVersion="3" refreshedVersion="3" minRefreshableVersion="3" recordCount="103">
  <cacheSource type="worksheet">
    <worksheetSource ref="A1:W1048576" sheet="Model"/>
  </cacheSource>
  <cacheFields count="23">
    <cacheField name="Allocated Fund" numFmtId="0">
      <sharedItems containsBlank="1"/>
    </cacheField>
    <cacheField name="Billed Fund" numFmtId="0">
      <sharedItems containsBlank="1" containsMixedTypes="1" containsNumber="1" containsInteger="1" minValue="200" maxValue="800"/>
    </cacheField>
    <cacheField name="Fund" numFmtId="0">
      <sharedItems containsBlank="1" count="41">
        <s v="100 - General Fund"/>
        <e v="#N/A"/>
        <s v="PDC - Portland Development Commission"/>
        <s v="200 - Transportation Operating Fund"/>
        <s v="201 - Assessment Collection Fund"/>
        <s v="202 - Emergency Communication Fund"/>
        <s v="203 - Development Services Fund"/>
        <s v="204 - Property Management License Fund"/>
        <s v="206 - MHCRC Agency Fund"/>
        <s v="209 - Convention and Tourism Fund"/>
        <s v="213 - Housing Investment Fund"/>
        <s v="215 - Parks Local Option Levy Fund"/>
        <s v="216 - Children's Investment Fund"/>
        <s v="600 - Sewer System Operating Fund"/>
        <s v="602 - Water Fund"/>
        <s v="221 - Tax Increment Financing Reimbursement Fund"/>
        <s v="222 - Police Special Revenue Fund"/>
        <s v="223 - Arts Education &amp; Access Fund"/>
        <s v="400 - BFRES Facilities GO Bond Construction Fund"/>
        <s v="401 - Local Improvement District Fund"/>
        <s v="402 - Parks Capital Improvement Program Fund"/>
        <s v="403 - Public Safety GO Bond Fund"/>
        <s v="601 - Hydroelectric Power Operating Fund"/>
        <s v="603 - Golf Fund"/>
        <s v="604 - Portland International Raceway Fund"/>
        <s v="605 - Solid Waste Management Fund"/>
        <s v="606 - Parking Facilities Fund"/>
        <s v="607 - Spectator Facilities Operating Fund"/>
        <s v="608 - Environmental Remediation Fund"/>
        <s v="700 - Health Insurance Operating Fund"/>
        <s v="701 - Facilities Services Operating Fund"/>
        <s v="702 - CityFleet Operating Fund"/>
        <s v="703 - Printing &amp; Distribution Services Operating Fund"/>
        <s v="704 - Insurance and Claims Operating Fund"/>
        <s v="705 - Workers' Comp. Self Insurance Operating Fund"/>
        <s v="706 - Technology Services Fund"/>
        <s v="708 - EBS Services Fund"/>
        <s v="800 - Fire &amp; Police Disability &amp; Retirement Fund"/>
        <m/>
        <s v="206 - Closed - Cable Fund" u="1"/>
        <s v="802 - Fire &amp; Police Supplemental Retirement Res Fund" u="1"/>
      </sharedItems>
    </cacheField>
    <cacheField name="Bureau" numFmtId="0">
      <sharedItems containsBlank="1"/>
    </cacheField>
    <cacheField name="FY 2008-09 Actuals" numFmtId="0">
      <sharedItems containsString="0" containsBlank="1" containsNumber="1" minValue="0" maxValue="0.99999999999999967"/>
    </cacheField>
    <cacheField name="FY 2009-10 Actuals" numFmtId="0">
      <sharedItems containsString="0" containsBlank="1" containsNumber="1" minValue="-1.3487016861643048E-5" maxValue="1.0000000000000002"/>
    </cacheField>
    <cacheField name="FY 2010-11 Actuals" numFmtId="0">
      <sharedItems containsString="0" containsBlank="1" containsNumber="1" minValue="0" maxValue="1"/>
    </cacheField>
    <cacheField name="FY 2011-12 Actuals" numFmtId="0">
      <sharedItems containsString="0" containsBlank="1" containsNumber="1" minValue="0" maxValue="1.0000000000000002"/>
    </cacheField>
    <cacheField name="FY 2012-13 Actuals" numFmtId="0">
      <sharedItems containsString="0" containsBlank="1" containsNumber="1" minValue="0" maxValue="0.99999999999999989"/>
    </cacheField>
    <cacheField name="FY 2008-09 Positions" numFmtId="0">
      <sharedItems containsString="0" containsBlank="1" containsNumber="1" minValue="0" maxValue="1.0000000000000002"/>
    </cacheField>
    <cacheField name="FY 2009-10 Positions" numFmtId="0">
      <sharedItems containsString="0" containsBlank="1" containsNumber="1" minValue="0" maxValue="1"/>
    </cacheField>
    <cacheField name="FY 2010-11 Positions" numFmtId="0">
      <sharedItems containsString="0" containsBlank="1" containsNumber="1" minValue="0" maxValue="0.99999999999999989"/>
    </cacheField>
    <cacheField name="FY 2011-12 Positions" numFmtId="0">
      <sharedItems containsString="0" containsBlank="1" containsNumber="1" minValue="0" maxValue="0.99999999999999978"/>
    </cacheField>
    <cacheField name="FY 2012-13 Positions" numFmtId="0">
      <sharedItems containsString="0" containsBlank="1" containsNumber="1" minValue="0" maxValue="0.99999999999999989"/>
    </cacheField>
    <cacheField name="CAL Weighted %" numFmtId="0">
      <sharedItems containsString="0" containsBlank="1" containsNumber="1" minValue="0" maxValue="1"/>
    </cacheField>
    <cacheField name="True-Up Weighted %" numFmtId="0">
      <sharedItems containsString="0" containsBlank="1" containsNumber="1" minValue="0" maxValue="1.0000000000000002"/>
    </cacheField>
    <cacheField name="FY 2012-13 CAL Charge" numFmtId="0">
      <sharedItems containsString="0" containsBlank="1" containsNumber="1" containsInteger="1" minValue="0" maxValue="7796139"/>
    </cacheField>
    <cacheField name="FY 2012-13 True-Up" numFmtId="0">
      <sharedItems containsString="0" containsBlank="1" containsNumber="1" containsInteger="1" minValue="-1810680" maxValue="1538912"/>
    </cacheField>
    <cacheField name="FY 2012-13 True-Up Charge" numFmtId="0">
      <sharedItems containsString="0" containsBlank="1" containsNumber="1" containsInteger="1" minValue="0" maxValue="6038971"/>
    </cacheField>
    <cacheField name="FY 2013-14 CAL Charge" numFmtId="0">
      <sharedItems containsString="0" containsBlank="1" containsNumber="1" containsInteger="1" minValue="0" maxValue="7405955"/>
    </cacheField>
    <cacheField name="Difference" numFmtId="0">
      <sharedItems containsString="0" containsBlank="1" containsNumber="1" containsInteger="1" minValue="-1638846" maxValue="2257061"/>
    </cacheField>
    <cacheField name="FY 2014-15 CAL Charge" numFmtId="0">
      <sharedItems containsString="0" containsBlank="1" containsNumber="1" containsInteger="1" minValue="0" maxValue="6779780"/>
    </cacheField>
    <cacheField name="FY 2014-15 with True-Up" numFmtId="0">
      <sharedItems containsString="0" containsBlank="1" containsNumber="1" containsInteger="1" minValue="-64223" maxValue="7805781"/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03">
  <r>
    <s v="100-AT"/>
    <s v="100-AT"/>
    <x v="0"/>
    <s v="Office of the City Attorney"/>
    <n v="0"/>
    <n v="0"/>
    <n v="0"/>
    <n v="0"/>
    <n v="0"/>
    <n v="0"/>
    <n v="0"/>
    <n v="0"/>
    <n v="0"/>
    <n v="0"/>
    <n v="0"/>
    <n v="0"/>
    <n v="0"/>
    <n v="0"/>
    <n v="0"/>
    <m/>
    <n v="0"/>
    <n v="0"/>
    <n v="0"/>
  </r>
  <r>
    <s v="100-AU"/>
    <s v="100-AU"/>
    <x v="0"/>
    <s v="Office of the City Auditor"/>
    <n v="0"/>
    <n v="0"/>
    <n v="0"/>
    <n v="0"/>
    <n v="0"/>
    <n v="0"/>
    <n v="0"/>
    <n v="0"/>
    <n v="0"/>
    <n v="0"/>
    <n v="0"/>
    <n v="0"/>
    <m/>
    <n v="0"/>
    <n v="0"/>
    <m/>
    <n v="0"/>
    <n v="0"/>
    <n v="0"/>
  </r>
  <r>
    <s v="100-BO"/>
    <s v="100-BO"/>
    <x v="0"/>
    <s v="City Budget Office"/>
    <n v="0"/>
    <n v="0"/>
    <n v="0"/>
    <n v="0"/>
    <n v="0"/>
    <n v="0"/>
    <n v="0"/>
    <n v="0"/>
    <n v="0"/>
    <n v="0"/>
    <n v="0"/>
    <n v="0"/>
    <m/>
    <n v="0"/>
    <n v="0"/>
    <m/>
    <n v="0"/>
    <n v="0"/>
    <n v="0"/>
  </r>
  <r>
    <s v="100-CB"/>
    <s v="100-MF"/>
    <x v="0"/>
    <s v="Office of Management &amp; Finance"/>
    <n v="2.2176201930562294E-3"/>
    <n v="1.8047776336604327E-3"/>
    <n v="1.427286579142018E-3"/>
    <n v="1.9567489593657235E-3"/>
    <n v="0"/>
    <n v="1.1472275334608031E-3"/>
    <n v="1.1013215859030838E-3"/>
    <n v="1.1307242917268673E-3"/>
    <n v="1.0948239158202057E-3"/>
    <n v="0"/>
    <n v="1.0314712352558581E-3"/>
    <n v="1.6440272190555664E-3"/>
    <n v="55477"/>
    <n v="11185"/>
    <n v="66662"/>
    <n v="74159"/>
    <n v="-26835"/>
    <n v="47324"/>
    <n v="58509"/>
  </r>
  <r>
    <s v="100-EM"/>
    <s v="100-EM"/>
    <x v="0"/>
    <s v="Portland Bureau of Emergency Management"/>
    <n v="0"/>
    <n v="0"/>
    <n v="0"/>
    <n v="0"/>
    <n v="0"/>
    <n v="0"/>
    <n v="0"/>
    <n v="0"/>
    <n v="0"/>
    <n v="0"/>
    <n v="0"/>
    <n v="0"/>
    <m/>
    <n v="0"/>
    <n v="0"/>
    <m/>
    <n v="0"/>
    <n v="0"/>
    <n v="0"/>
  </r>
  <r>
    <s v="100-FM"/>
    <s v="Excluded"/>
    <x v="1"/>
    <e v="#N/A"/>
    <n v="0"/>
    <n v="0"/>
    <n v="0"/>
    <n v="0"/>
    <n v="0"/>
    <n v="0"/>
    <n v="0"/>
    <n v="0"/>
    <n v="0"/>
    <n v="0"/>
    <n v="0"/>
    <n v="0"/>
    <m/>
    <n v="0"/>
    <n v="0"/>
    <m/>
    <n v="0"/>
    <n v="0"/>
    <n v="0"/>
  </r>
  <r>
    <s v="100-FR"/>
    <s v="100-FR"/>
    <x v="0"/>
    <s v="Portland Fire &amp; Rescue"/>
    <n v="9.5037556077623958E-2"/>
    <n v="9.370244513676626E-2"/>
    <n v="9.2479394703071843E-2"/>
    <n v="0.10048504407290114"/>
    <n v="9.503945617790803E-2"/>
    <n v="9.82791586998088E-2"/>
    <n v="9.275575134605972E-2"/>
    <n v="9.7744833218166974E-2"/>
    <n v="9.524968067635789E-2"/>
    <n v="8.3984709305642724E-2"/>
    <n v="9.5082575671817549E-2"/>
    <n v="9.4369827584701804E-2"/>
    <n v="3790346"/>
    <n v="36169"/>
    <n v="3826515"/>
    <n v="4615922"/>
    <n v="-253525"/>
    <n v="4362397"/>
    <n v="4398566"/>
  </r>
  <r>
    <s v="100-GR"/>
    <s v="100-GR"/>
    <x v="0"/>
    <s v="Office of Government Relations"/>
    <n v="0"/>
    <n v="0"/>
    <n v="0"/>
    <n v="0"/>
    <n v="0"/>
    <n v="0"/>
    <n v="0"/>
    <n v="0"/>
    <n v="0"/>
    <n v="0"/>
    <n v="0"/>
    <n v="0"/>
    <m/>
    <n v="0"/>
    <n v="0"/>
    <m/>
    <n v="0"/>
    <n v="0"/>
    <n v="0"/>
  </r>
  <r>
    <s v="100-HC"/>
    <s v="100-HC"/>
    <x v="0"/>
    <s v="Portland Housing Bureau"/>
    <n v="1.6583043610238882E-2"/>
    <n v="1.3071423949837705E-2"/>
    <n v="1.1072420302701072E-2"/>
    <n v="1.3028296180905737E-2"/>
    <n v="1.1762371123814043E-2"/>
    <n v="5.2262587635436581E-3"/>
    <n v="4.5276554087126776E-3"/>
    <n v="8.7945222689867451E-3"/>
    <n v="7.4204732072258375E-3"/>
    <n v="6.6183602441946708E-3"/>
    <n v="1.0868551545222484E-2"/>
    <n v="1.172742500246467E-2"/>
    <n v="619527"/>
    <n v="-144002"/>
    <n v="475525"/>
    <n v="756944"/>
    <n v="-258294"/>
    <n v="498650"/>
    <n v="354648"/>
  </r>
  <r>
    <s v="100-HN"/>
    <s v="Excluded"/>
    <x v="1"/>
    <e v="#N/A"/>
    <n v="0"/>
    <n v="0"/>
    <n v="0"/>
    <n v="0"/>
    <n v="0"/>
    <n v="0"/>
    <n v="0"/>
    <n v="0"/>
    <n v="0"/>
    <n v="0"/>
    <n v="0"/>
    <n v="0"/>
    <m/>
    <n v="0"/>
    <n v="0"/>
    <m/>
    <n v="0"/>
    <n v="0"/>
    <n v="0"/>
  </r>
  <r>
    <s v="100-MF"/>
    <s v="100-MF"/>
    <x v="0"/>
    <s v="Office of Management &amp; Finance"/>
    <n v="1.4556770202650065E-2"/>
    <n v="8.9164785243411662E-3"/>
    <n v="8.6234507071408315E-3"/>
    <n v="9.232310581780331E-3"/>
    <n v="1.1412876976403207E-2"/>
    <n v="8.5404716379859792E-3"/>
    <n v="8.5658345570239838E-3"/>
    <n v="8.5432502041585534E-3"/>
    <n v="8.8802384283194445E-3"/>
    <n v="1.0041650025674673E-2"/>
    <n v="9.6059211211771498E-3"/>
    <n v="1.0161637891797059E-2"/>
    <n v="771800"/>
    <n v="-359765"/>
    <n v="412035"/>
    <n v="1615349"/>
    <n v="-1174629"/>
    <n v="440720"/>
    <n v="80955"/>
  </r>
  <r>
    <s v="100-MY"/>
    <s v="100-MY"/>
    <x v="0"/>
    <s v="Office of the Mayor"/>
    <n v="6.5888668527877862E-5"/>
    <n v="1.3793117181637705E-5"/>
    <n v="7.1522187924380888E-4"/>
    <n v="1.3350129920899133E-3"/>
    <n v="1.6048761481880247E-3"/>
    <n v="2.5493945188017844E-4"/>
    <n v="2.4473813020068529E-4"/>
    <n v="2.512720648281927E-4"/>
    <n v="2.4329420351560123E-4"/>
    <n v="1.1410965938266674E-4"/>
    <n v="9.6450074885764167E-4"/>
    <n v="2.6130505348075247E-4"/>
    <m/>
    <n v="10595"/>
    <n v="10595"/>
    <m/>
    <n v="44251"/>
    <n v="44251"/>
    <n v="54846"/>
  </r>
  <r>
    <s v="100-NI"/>
    <s v="100-NI"/>
    <x v="0"/>
    <s v="Office of Neighborhood Involvement"/>
    <n v="6.0258960186789111E-3"/>
    <n v="7.3010783376414052E-3"/>
    <n v="6.695663775501912E-3"/>
    <n v="6.4167030431731449E-3"/>
    <n v="6.2092427730576494E-3"/>
    <n v="5.9910771191841938E-3"/>
    <n v="5.2618697993147331E-3"/>
    <n v="5.6536214586343364E-3"/>
    <n v="5.1091782738276262E-3"/>
    <n v="5.1349346722200035E-3"/>
    <n v="6.155213598323341E-3"/>
    <n v="6.4145402310499958E-3"/>
    <n v="255373"/>
    <n v="4724"/>
    <n v="260097"/>
    <n v="307900"/>
    <n v="-25498"/>
    <n v="282402"/>
    <n v="287126"/>
  </r>
  <r>
    <s v="100-OE"/>
    <s v="100-OE"/>
    <x v="0"/>
    <s v="Office of Equity &amp; Human Rights"/>
    <n v="0"/>
    <n v="1.2879132067049456E-4"/>
    <n v="1.2795820872743468E-4"/>
    <n v="1.3486393644543098E-4"/>
    <n v="3.4857035899376644E-4"/>
    <n v="0"/>
    <n v="7.3421439060205576E-4"/>
    <n v="7.5381619448457822E-4"/>
    <n v="7.2988261054680371E-4"/>
    <n v="1.0269869344440006E-3"/>
    <n v="3.620719376646066E-4"/>
    <n v="1.8818993110670181E-4"/>
    <m/>
    <n v="7631"/>
    <n v="7631"/>
    <n v="5027"/>
    <n v="11585"/>
    <n v="16612"/>
    <n v="24243"/>
  </r>
  <r>
    <s v="100-PA"/>
    <s v="100-PA"/>
    <x v="0"/>
    <s v="Commissioner of Public Affairs"/>
    <n v="1.4060117635754564E-4"/>
    <n v="5.4905952596524495E-4"/>
    <n v="5.4550791662250054E-4"/>
    <n v="5.6784380054393231E-4"/>
    <n v="5.1316152489767214E-4"/>
    <n v="2.5493945188017844E-4"/>
    <n v="1.2236906510034264E-4"/>
    <n v="2.512720648281927E-4"/>
    <n v="2.4329420351560123E-4"/>
    <n v="2.2821931876533348E-4"/>
    <n v="4.6686044277512016E-4"/>
    <n v="3.611738698870489E-4"/>
    <m/>
    <n v="14645"/>
    <n v="14645"/>
    <m/>
    <n v="21420"/>
    <n v="21420"/>
    <n v="36065"/>
  </r>
  <r>
    <s v="100-PK"/>
    <s v="100-PK"/>
    <x v="0"/>
    <s v="Portland Parks &amp; Recreation"/>
    <n v="5.6437483323203391E-2"/>
    <n v="5.5888742347896994E-2"/>
    <n v="5.5903951735676589E-2"/>
    <n v="6.1110812836894707E-2"/>
    <n v="5.7201606966130567E-2"/>
    <n v="0.29713193116634801"/>
    <n v="0.33810572687224671"/>
    <n v="0.34059928387461524"/>
    <n v="0.36141353932242565"/>
    <n v="0.41444628287784563"/>
    <n v="0.13659235172424933"/>
    <n v="0.12337728951112842"/>
    <n v="3463800"/>
    <n v="1538912"/>
    <n v="5002712"/>
    <n v="4009808"/>
    <n v="2257061"/>
    <n v="6266869"/>
    <n v="7805781"/>
  </r>
  <r>
    <s v="100-PL"/>
    <s v="100-PL"/>
    <x v="0"/>
    <s v="Portland Police Bureau"/>
    <n v="0.14605161728661692"/>
    <n v="0.14926776459241609"/>
    <n v="0.1372681703434834"/>
    <n v="0.1574625977497697"/>
    <n v="0.14672146981824849"/>
    <n v="0.17195666029318038"/>
    <n v="0.15993636808614783"/>
    <n v="0.15754758464727683"/>
    <n v="0.15157228879021958"/>
    <n v="0.13978433274376675"/>
    <n v="0.14777174332631399"/>
    <n v="0.1489336058078462"/>
    <n v="7796139"/>
    <n v="-1757168"/>
    <n v="6038971"/>
    <n v="7405955"/>
    <n v="-626175"/>
    <n v="6779780"/>
    <n v="5022612"/>
  </r>
  <r>
    <s v="100-PN"/>
    <s v="100-PN"/>
    <x v="0"/>
    <s v="Bureau of Planning &amp; Sustainability"/>
    <n v="8.9831277267207865E-3"/>
    <n v="1.0856299388861563E-2"/>
    <n v="7.5519462203950819E-3"/>
    <n v="8.095809974111209E-3"/>
    <n v="7.2462535029902513E-3"/>
    <n v="1.0452517527087316E-2"/>
    <n v="1.2236906510034264E-2"/>
    <n v="1.0993152836233432E-2"/>
    <n v="1.1252356912596557E-2"/>
    <n v="8.7293889427740058E-3"/>
    <n v="8.3047439820078013E-3"/>
    <n v="9.6547247401072758E-3"/>
    <n v="722401"/>
    <n v="-330920"/>
    <n v="391481"/>
    <n v="794342"/>
    <n v="-413320"/>
    <n v="381022"/>
    <n v="50102"/>
  </r>
  <r>
    <s v="100-PS"/>
    <s v="100-PS"/>
    <x v="0"/>
    <s v="Commissioner of Public Safety"/>
    <n v="0"/>
    <n v="0"/>
    <n v="0"/>
    <n v="0"/>
    <n v="0"/>
    <n v="0"/>
    <n v="0"/>
    <n v="0"/>
    <n v="0"/>
    <n v="0"/>
    <n v="0"/>
    <n v="0"/>
    <m/>
    <n v="0"/>
    <n v="0"/>
    <m/>
    <n v="0"/>
    <n v="0"/>
    <n v="0"/>
  </r>
  <r>
    <s v="100-PU"/>
    <s v="100-PU"/>
    <x v="0"/>
    <s v="Commissioner of Public Utilities"/>
    <n v="0"/>
    <n v="0"/>
    <n v="0"/>
    <n v="0"/>
    <n v="0"/>
    <n v="0"/>
    <n v="0"/>
    <n v="0"/>
    <n v="0"/>
    <n v="0"/>
    <n v="0"/>
    <n v="0"/>
    <m/>
    <n v="0"/>
    <n v="0"/>
    <m/>
    <n v="0"/>
    <n v="0"/>
    <n v="0"/>
  </r>
  <r>
    <s v="100-PW"/>
    <s v="100-PW"/>
    <x v="0"/>
    <s v="Commissioner of Public Works"/>
    <n v="0"/>
    <n v="0"/>
    <n v="0"/>
    <n v="0"/>
    <n v="0"/>
    <n v="0"/>
    <n v="0"/>
    <n v="0"/>
    <n v="0"/>
    <n v="0"/>
    <n v="0"/>
    <n v="0"/>
    <m/>
    <n v="0"/>
    <n v="0"/>
    <m/>
    <n v="0"/>
    <n v="0"/>
    <n v="0"/>
  </r>
  <r>
    <s v="100-SA"/>
    <s v="100-SA"/>
    <x v="0"/>
    <s v="Special Appropriations"/>
    <n v="1.3632242052932701E-2"/>
    <n v="7.9987576329193944E-3"/>
    <n v="6.8913072619491275E-3"/>
    <n v="9.1564560002213875E-3"/>
    <n v="1.4089505981140671E-2"/>
    <n v="0"/>
    <n v="0"/>
    <n v="0"/>
    <n v="0"/>
    <n v="0"/>
    <n v="7.5343173108277962E-3"/>
    <n v="7.1305767369503059E-3"/>
    <m/>
    <n v="289131"/>
    <n v="289131"/>
    <n v="269857"/>
    <n v="75818"/>
    <n v="345675"/>
    <n v="634806"/>
  </r>
  <r>
    <s v="100-SD"/>
    <s v="100-PN"/>
    <x v="0"/>
    <s v="Bureau of Planning &amp; Sustainability"/>
    <n v="3.0128132448203073E-3"/>
    <n v="0"/>
    <n v="0"/>
    <n v="0"/>
    <n v="0"/>
    <n v="3.5691523263224985E-3"/>
    <n v="0"/>
    <n v="0"/>
    <n v="0"/>
    <n v="0"/>
    <n v="0"/>
    <n v="1.0506326717319517E-3"/>
    <m/>
    <n v="42601"/>
    <n v="42601"/>
    <m/>
    <n v="0"/>
    <n v="0"/>
    <n v="42601"/>
  </r>
  <r>
    <s v="100-ZD"/>
    <s v="PDC"/>
    <x v="2"/>
    <e v="#N/A"/>
    <n v="0"/>
    <n v="6.9937688368246695E-3"/>
    <n v="4.1964137219626559E-3"/>
    <n v="5.3166191746637911E-3"/>
    <n v="6.4587168174336934E-3"/>
    <n v="0"/>
    <n v="0"/>
    <n v="0"/>
    <n v="0"/>
    <n v="0"/>
    <n v="3.9929374285150353E-3"/>
    <n v="2.7975456396968313E-3"/>
    <n v="126913"/>
    <n v="-13478"/>
    <n v="113435"/>
    <n v="146823"/>
    <n v="36373"/>
    <n v="183196"/>
    <n v="169718"/>
  </r>
  <r>
    <s v="200-TR"/>
    <n v="200"/>
    <x v="3"/>
    <e v="#N/A"/>
    <n v="0.10596635361144478"/>
    <n v="0.11291080957430061"/>
    <n v="0.11137920572637917"/>
    <n v="0.10835875997688185"/>
    <n v="0.12633394919495342"/>
    <n v="0.10184831102613129"/>
    <n v="9.3734703866862459E-2"/>
    <n v="9.7116653056096486E-2"/>
    <n v="9.4884739371084478E-2"/>
    <n v="8.6038683174530728E-2"/>
    <n v="0.10968798502469625"/>
    <n v="0.10695573122378865"/>
    <n v="5760647"/>
    <n v="-1423798"/>
    <n v="4336849"/>
    <n v="6564665"/>
    <n v="-1532171"/>
    <n v="5032494"/>
    <n v="3608696"/>
  </r>
  <r>
    <s v="201-AU"/>
    <n v="201"/>
    <x v="4"/>
    <e v="#N/A"/>
    <n v="0"/>
    <n v="0"/>
    <n v="0"/>
    <n v="0"/>
    <n v="0"/>
    <n v="0"/>
    <n v="0"/>
    <n v="0"/>
    <n v="0"/>
    <n v="0"/>
    <n v="0"/>
    <n v="0"/>
    <n v="14"/>
    <n v="-14"/>
    <n v="0"/>
    <n v="12"/>
    <n v="-12"/>
    <n v="0"/>
    <n v="-14"/>
  </r>
  <r>
    <s v="202-EC"/>
    <n v="202"/>
    <x v="5"/>
    <e v="#N/A"/>
    <n v="1.5096047198025537E-2"/>
    <n v="1.5061402987787503E-2"/>
    <n v="1.4385445626880773E-2"/>
    <n v="1.5384301041894088E-2"/>
    <n v="1.498720529006492E-2"/>
    <n v="1.9120458891013385E-2"/>
    <n v="1.8844836025452765E-2"/>
    <n v="1.897104089452855E-2"/>
    <n v="1.7760476856638889E-2"/>
    <n v="1.6317681291721346E-2"/>
    <n v="1.5610004576617344E-2"/>
    <n v="1.5880418604089678E-2"/>
    <n v="785607"/>
    <n v="-141687"/>
    <n v="643920"/>
    <n v="877412"/>
    <n v="-161224"/>
    <n v="716188"/>
    <n v="574501"/>
  </r>
  <r>
    <s v="202-MF"/>
    <n v="202"/>
    <x v="5"/>
    <e v="#N/A"/>
    <n v="1.3500756607586541E-4"/>
    <n v="2.0342998839141062E-3"/>
    <n v="2.5591922015821161E-3"/>
    <n v="1.7401543421843239E-4"/>
    <n v="1.0510383764661855E-5"/>
    <n v="0"/>
    <n v="0"/>
    <n v="0"/>
    <n v="0"/>
    <n v="0"/>
    <n v="6.8592950489130265E-4"/>
    <n v="1.1821249128930219E-3"/>
    <m/>
    <n v="47933"/>
    <n v="47933"/>
    <m/>
    <n v="31471"/>
    <n v="31471"/>
    <n v="79404"/>
  </r>
  <r>
    <s v="203-DS"/>
    <n v="203"/>
    <x v="6"/>
    <e v="#N/A"/>
    <n v="3.6798226408064946E-2"/>
    <n v="2.2244935983947643E-2"/>
    <n v="1.7730270599100605E-2"/>
    <n v="2.140796906034003E-2"/>
    <n v="2.3347979356632451E-2"/>
    <n v="4.7418738049713194E-2"/>
    <n v="3.8056779246206561E-2"/>
    <n v="2.135812551039638E-2"/>
    <n v="2.2748008028708716E-2"/>
    <n v="2.4419467107890683E-2"/>
    <n v="2.1332021474601254E-2"/>
    <n v="2.8096161814971311E-2"/>
    <n v="1092926"/>
    <n v="46319"/>
    <n v="1139245"/>
    <n v="1044982"/>
    <n v="-66267"/>
    <n v="978715"/>
    <n v="1025034"/>
  </r>
  <r>
    <s v="204-MF"/>
    <n v="204"/>
    <x v="7"/>
    <e v="#N/A"/>
    <n v="0"/>
    <n v="0"/>
    <n v="0"/>
    <n v="0"/>
    <n v="0"/>
    <n v="0"/>
    <n v="0"/>
    <n v="0"/>
    <n v="0"/>
    <n v="0"/>
    <n v="0"/>
    <n v="0"/>
    <m/>
    <n v="0"/>
    <n v="0"/>
    <n v="0"/>
    <n v="25000"/>
    <n v="25000"/>
    <n v="25000"/>
  </r>
  <r>
    <s v="206-CB"/>
    <s v="206-MF"/>
    <x v="8"/>
    <s v="Office of Management &amp; Finance"/>
    <n v="0"/>
    <n v="0"/>
    <n v="0"/>
    <n v="0"/>
    <n v="0"/>
    <n v="0"/>
    <n v="0"/>
    <n v="0"/>
    <n v="0"/>
    <n v="0"/>
    <n v="0"/>
    <n v="0"/>
    <n v="0"/>
    <n v="0"/>
    <n v="0"/>
    <n v="0"/>
    <n v="25000"/>
    <n v="25000"/>
    <n v="25000"/>
  </r>
  <r>
    <s v="209-MF"/>
    <n v="209"/>
    <x v="9"/>
    <e v="#N/A"/>
    <n v="0"/>
    <n v="0"/>
    <n v="0"/>
    <n v="0"/>
    <n v="0"/>
    <n v="0"/>
    <n v="0"/>
    <n v="0"/>
    <n v="0"/>
    <n v="0"/>
    <n v="0"/>
    <n v="0"/>
    <n v="0"/>
    <n v="0"/>
    <n v="0"/>
    <n v="56826"/>
    <n v="-31826"/>
    <n v="25000"/>
    <n v="25000"/>
  </r>
  <r>
    <s v="211-FM"/>
    <s v="Excluded"/>
    <x v="1"/>
    <e v="#N/A"/>
    <n v="0"/>
    <n v="0"/>
    <n v="0"/>
    <n v="0"/>
    <n v="0"/>
    <n v="0"/>
    <n v="0"/>
    <n v="0"/>
    <n v="0"/>
    <n v="0"/>
    <n v="0"/>
    <n v="0"/>
    <m/>
    <n v="0"/>
    <n v="0"/>
    <m/>
    <n v="0"/>
    <n v="0"/>
    <n v="0"/>
  </r>
  <r>
    <s v="213-HC"/>
    <n v="213"/>
    <x v="10"/>
    <e v="#N/A"/>
    <n v="1.3587145960782764E-2"/>
    <n v="8.7797136905764812E-3"/>
    <n v="4.2028308064615697E-3"/>
    <n v="1.9175397926255488E-3"/>
    <n v="1.5735122075448405E-3"/>
    <n v="0"/>
    <n v="0"/>
    <n v="0"/>
    <n v="0"/>
    <n v="0"/>
    <n v="1.92347070165799E-3"/>
    <n v="6.642422614455204E-3"/>
    <n v="233377"/>
    <n v="35960"/>
    <n v="269337"/>
    <n v="218979"/>
    <n v="-130730"/>
    <n v="88249"/>
    <n v="124209"/>
  </r>
  <r>
    <s v="214-AU"/>
    <s v="Excluded"/>
    <x v="1"/>
    <e v="#N/A"/>
    <n v="0"/>
    <n v="0"/>
    <n v="0"/>
    <n v="0"/>
    <n v="0"/>
    <n v="0"/>
    <n v="0"/>
    <n v="0"/>
    <n v="0"/>
    <n v="0"/>
    <n v="0"/>
    <n v="0"/>
    <m/>
    <n v="0"/>
    <n v="0"/>
    <m/>
    <n v="0"/>
    <n v="0"/>
    <n v="0"/>
  </r>
  <r>
    <s v="215-PK"/>
    <n v="215"/>
    <x v="11"/>
    <e v="#N/A"/>
    <n v="3.3601125920011735E-3"/>
    <n v="9.450934756537804E-4"/>
    <n v="4.5981273643400805E-4"/>
    <n v="4.4308465378857829E-4"/>
    <n v="3.3805109979392558E-4"/>
    <n v="0"/>
    <n v="0"/>
    <n v="0"/>
    <n v="0"/>
    <n v="0"/>
    <n v="3.1023712250412798E-4"/>
    <n v="1.1912547010222404E-3"/>
    <n v="14303"/>
    <n v="34000"/>
    <n v="48303"/>
    <n v="9633"/>
    <n v="4601"/>
    <n v="14234"/>
    <n v="48234"/>
  </r>
  <r>
    <s v="216-PA"/>
    <n v="216"/>
    <x v="12"/>
    <e v="#N/A"/>
    <n v="0"/>
    <n v="0"/>
    <n v="0"/>
    <n v="0"/>
    <n v="0"/>
    <n v="0"/>
    <n v="0"/>
    <n v="0"/>
    <n v="0"/>
    <n v="0"/>
    <n v="0"/>
    <n v="0"/>
    <n v="25000"/>
    <n v="0"/>
    <n v="25000"/>
    <n v="25000"/>
    <n v="0"/>
    <n v="25000"/>
    <n v="25000"/>
  </r>
  <r>
    <s v="217-DS"/>
    <n v="203"/>
    <x v="6"/>
    <e v="#N/A"/>
    <n v="0"/>
    <n v="0"/>
    <n v="1.5299588382968978E-5"/>
    <n v="8.0768018015814843E-5"/>
    <n v="8.7214952148178917E-6"/>
    <n v="0"/>
    <n v="0"/>
    <n v="0"/>
    <n v="0"/>
    <n v="0"/>
    <n v="2.6197275403400429E-5"/>
    <n v="3.8248970957422445E-6"/>
    <m/>
    <n v="155"/>
    <n v="155"/>
    <m/>
    <n v="1202"/>
    <n v="1202"/>
    <n v="1357"/>
  </r>
  <r>
    <s v="217-EC"/>
    <n v="202"/>
    <x v="5"/>
    <e v="#N/A"/>
    <n v="1.6842622436789844E-6"/>
    <n v="3.6964291312503986E-5"/>
    <n v="2.0397629797722571E-5"/>
    <n v="1.8319785754772493E-4"/>
    <n v="5.9983503303373212E-7"/>
    <n v="0"/>
    <n v="0"/>
    <n v="0"/>
    <n v="0"/>
    <n v="0"/>
    <n v="5.1048830594620307E-5"/>
    <n v="1.4761545838476384E-5"/>
    <m/>
    <n v="599"/>
    <n v="599"/>
    <m/>
    <n v="2342"/>
    <n v="2342"/>
    <n v="2941"/>
  </r>
  <r>
    <s v="217-EM"/>
    <s v="100-EM"/>
    <x v="0"/>
    <s v="Portland Bureau of Emergency Management"/>
    <n v="7.2282591736067079E-3"/>
    <n v="4.7365230679111397E-3"/>
    <n v="5.3859446976333358E-3"/>
    <n v="7.6579545202201844E-3"/>
    <n v="6.4891608340837377E-3"/>
    <n v="0"/>
    <n v="0"/>
    <n v="0"/>
    <n v="0"/>
    <n v="0"/>
    <n v="4.8832650129843145E-3"/>
    <n v="4.3376817347877961E-3"/>
    <m/>
    <n v="175885"/>
    <n v="175885"/>
    <m/>
    <n v="224045"/>
    <n v="224045"/>
    <n v="399930"/>
  </r>
  <r>
    <s v="217-ES"/>
    <n v="600"/>
    <x v="13"/>
    <e v="#N/A"/>
    <n v="1.087388422897032E-3"/>
    <n v="-1.3487016861643048E-5"/>
    <n v="1.5153176786282675E-3"/>
    <n v="1.1853989924423172E-3"/>
    <n v="1.1261844354187405E-3"/>
    <n v="0"/>
    <n v="0"/>
    <n v="0"/>
    <n v="0"/>
    <n v="0"/>
    <n v="9.5672527662233123E-4"/>
    <n v="6.4730477116591413E-4"/>
    <m/>
    <n v="26247"/>
    <n v="26247"/>
    <m/>
    <n v="43895"/>
    <n v="43895"/>
    <n v="70142"/>
  </r>
  <r>
    <s v="217-FR"/>
    <s v="100-FR"/>
    <x v="0"/>
    <s v="Portland Fire &amp; Rescue"/>
    <n v="4.1576678480441219E-4"/>
    <n v="1.4352677586118546E-3"/>
    <n v="8.0119135919545325E-4"/>
    <n v="1.9415996183495263E-3"/>
    <n v="1.6022973883734425E-3"/>
    <n v="0"/>
    <n v="0"/>
    <n v="0"/>
    <n v="0"/>
    <n v="0"/>
    <n v="1.0862720914796055E-3"/>
    <n v="6.6305647565293E-4"/>
    <m/>
    <n v="26886"/>
    <n v="26886"/>
    <m/>
    <n v="49838"/>
    <n v="49838"/>
    <n v="76724"/>
  </r>
  <r>
    <s v="217-HC"/>
    <s v="100-HC"/>
    <x v="0"/>
    <s v="Portland Housing Bureau"/>
    <n v="3.9283115832633841E-3"/>
    <n v="7.2740327113939218E-3"/>
    <n v="9.8056274985241412E-3"/>
    <n v="4.3501976334810438E-3"/>
    <n v="6.1267213973360936E-3"/>
    <n v="0"/>
    <n v="0"/>
    <n v="0"/>
    <n v="0"/>
    <n v="0"/>
    <n v="5.0706366323353194E-3"/>
    <n v="5.2519929482953611E-3"/>
    <m/>
    <n v="212958"/>
    <n v="212958"/>
    <m/>
    <n v="232641"/>
    <n v="232641"/>
    <n v="445599"/>
  </r>
  <r>
    <s v="217-MF"/>
    <s v="100-MF"/>
    <x v="0"/>
    <s v="Office of Management &amp; Finance"/>
    <n v="1.5295360979389149E-4"/>
    <n v="6.4871677337475456E-4"/>
    <n v="4.2575180923087501E-3"/>
    <n v="4.2634666307749163E-3"/>
    <n v="2.1732888495576579E-3"/>
    <n v="0"/>
    <n v="0"/>
    <n v="0"/>
    <n v="0"/>
    <n v="0"/>
    <n v="2.673568393160331E-3"/>
    <n v="1.2647971188693491E-3"/>
    <m/>
    <n v="51285"/>
    <n v="51285"/>
    <m/>
    <n v="122664"/>
    <n v="122664"/>
    <n v="173949"/>
  </r>
  <r>
    <s v="217-MY"/>
    <s v="100-MY"/>
    <x v="0"/>
    <s v="Office of the Mayor"/>
    <n v="0"/>
    <n v="0"/>
    <n v="0"/>
    <n v="2.7115202219400246E-6"/>
    <n v="0"/>
    <n v="0"/>
    <n v="0"/>
    <n v="0"/>
    <n v="0"/>
    <n v="0"/>
    <n v="6.7788005548500616E-7"/>
    <n v="0"/>
    <m/>
    <n v="0"/>
    <n v="0"/>
    <m/>
    <n v="31"/>
    <n v="31"/>
    <n v="31"/>
  </r>
  <r>
    <s v="217-NI"/>
    <s v="100-NI"/>
    <x v="0"/>
    <s v="Office of Neighborhood Involvement"/>
    <n v="0"/>
    <n v="0"/>
    <n v="4.9177248373828862E-5"/>
    <n v="5.6185665601741082E-6"/>
    <n v="0"/>
    <n v="0"/>
    <n v="0"/>
    <n v="0"/>
    <n v="0"/>
    <n v="0"/>
    <n v="1.3698953733500741E-5"/>
    <n v="1.2294312093457216E-5"/>
    <m/>
    <n v="499"/>
    <n v="499"/>
    <m/>
    <n v="629"/>
    <n v="629"/>
    <n v="1128"/>
  </r>
  <r>
    <s v="217-PA"/>
    <s v="100-PA"/>
    <x v="0"/>
    <s v="Commissioner of Public Affairs"/>
    <n v="0"/>
    <n v="0"/>
    <n v="5.3221803845640873E-5"/>
    <n v="6.0454652474161364E-5"/>
    <n v="1.8157059532677357E-4"/>
    <n v="0"/>
    <n v="0"/>
    <n v="0"/>
    <n v="0"/>
    <n v="0"/>
    <n v="7.3811762911643949E-5"/>
    <n v="1.3305450961410218E-5"/>
    <m/>
    <n v="540"/>
    <n v="540"/>
    <m/>
    <n v="3386"/>
    <n v="3386"/>
    <n v="3926"/>
  </r>
  <r>
    <s v="217-PK"/>
    <s v="100-PK"/>
    <x v="0"/>
    <s v="Portland Parks &amp; Recreation"/>
    <n v="4.1348873478859065E-4"/>
    <n v="8.6730847997337009E-4"/>
    <n v="9.4827285928738387E-4"/>
    <n v="1.0336145405325256E-3"/>
    <n v="1.0944966900232108E-3"/>
    <n v="0"/>
    <n v="0"/>
    <n v="0"/>
    <n v="0"/>
    <n v="0"/>
    <n v="7.6909602246078013E-4"/>
    <n v="5.5726751851233611E-4"/>
    <m/>
    <n v="22596"/>
    <n v="22596"/>
    <m/>
    <n v="35286"/>
    <n v="35286"/>
    <n v="57882"/>
  </r>
  <r>
    <s v="217-PL"/>
    <s v="100-PL"/>
    <x v="0"/>
    <s v="Portland Police Bureau"/>
    <n v="1.901071872877879E-3"/>
    <n v="3.487597684210508E-3"/>
    <n v="4.4458112193656914E-3"/>
    <n v="4.5249462906355791E-3"/>
    <n v="2.9546143229712712E-3"/>
    <n v="0"/>
    <n v="0"/>
    <n v="0"/>
    <n v="0"/>
    <n v="0"/>
    <n v="2.9813429582431351E-3"/>
    <n v="2.4586201941135194E-3"/>
    <m/>
    <n v="99692"/>
    <n v="99692"/>
    <m/>
    <n v="136784"/>
    <n v="136784"/>
    <n v="236476"/>
  </r>
  <r>
    <s v="217-PN"/>
    <s v="100-PN"/>
    <x v="0"/>
    <s v="Bureau of Planning &amp; Sustainability"/>
    <n v="1.056765687008814E-4"/>
    <n v="3.8094900748577073E-3"/>
    <n v="6.1514519525809972E-3"/>
    <n v="1.7430171142180637E-2"/>
    <n v="9.896889479353764E-3"/>
    <n v="0"/>
    <n v="0"/>
    <n v="0"/>
    <n v="0"/>
    <n v="0"/>
    <n v="8.369628143528849E-3"/>
    <n v="2.5166546490348963E-3"/>
    <m/>
    <n v="102046"/>
    <n v="102046"/>
    <m/>
    <n v="383999"/>
    <n v="383999"/>
    <n v="486045"/>
  </r>
  <r>
    <s v="217-PU"/>
    <s v="100-PU"/>
    <x v="0"/>
    <s v="Commissioner of Public Utilities"/>
    <n v="0"/>
    <n v="2.552527161944398E-6"/>
    <n v="0"/>
    <n v="0"/>
    <n v="0"/>
    <n v="0"/>
    <n v="0"/>
    <n v="0"/>
    <n v="0"/>
    <n v="0"/>
    <n v="0"/>
    <n v="6.381317904860995E-7"/>
    <m/>
    <n v="26"/>
    <n v="26"/>
    <m/>
    <n v="0"/>
    <n v="0"/>
    <n v="26"/>
  </r>
  <r>
    <s v="217-SD"/>
    <s v="100-PN"/>
    <x v="0"/>
    <s v="Bureau of Planning &amp; Sustainability"/>
    <n v="1.6357423088547898E-3"/>
    <n v="0"/>
    <n v="2.1856554832812826E-9"/>
    <n v="0"/>
    <n v="0"/>
    <n v="0"/>
    <n v="0"/>
    <n v="0"/>
    <n v="0"/>
    <n v="0"/>
    <n v="5.4641387082032065E-10"/>
    <n v="4.0893612362756824E-4"/>
    <m/>
    <n v="16582"/>
    <n v="16582"/>
    <m/>
    <n v="0"/>
    <n v="0"/>
    <n v="16582"/>
  </r>
  <r>
    <s v="217-TR"/>
    <n v="200"/>
    <x v="3"/>
    <e v="#N/A"/>
    <n v="7.8652027819183113E-3"/>
    <n v="3.602565525704457E-2"/>
    <n v="5.210628681442829E-2"/>
    <n v="2.9266471571645757E-2"/>
    <n v="7.8773946164737152E-3"/>
    <n v="0"/>
    <n v="0"/>
    <n v="0"/>
    <n v="0"/>
    <n v="0"/>
    <n v="2.2312538250636942E-2"/>
    <n v="2.3999286213347792E-2"/>
    <m/>
    <n v="973125"/>
    <n v="973125"/>
    <m/>
    <n v="1023701"/>
    <n v="1023701"/>
    <n v="1996826"/>
  </r>
  <r>
    <s v="217-WA"/>
    <n v="602"/>
    <x v="14"/>
    <e v="#N/A"/>
    <n v="4.2868299295405101E-4"/>
    <n v="2.9276550771201707E-4"/>
    <n v="5.7366680904135498E-4"/>
    <n v="7.7159774570871023E-4"/>
    <n v="1.1050113204075756E-3"/>
    <n v="0"/>
    <n v="0"/>
    <n v="0"/>
    <n v="0"/>
    <n v="0"/>
    <n v="6.1256896878941021E-4"/>
    <n v="3.2377882742685575E-4"/>
    <m/>
    <n v="13129"/>
    <n v="13129"/>
    <m/>
    <n v="28105"/>
    <n v="28105"/>
    <n v="41234"/>
  </r>
  <r>
    <s v="217-ZD"/>
    <s v="PDC"/>
    <x v="2"/>
    <e v="#N/A"/>
    <n v="0"/>
    <n v="2.2741618985680411E-5"/>
    <n v="2.1856554832812828E-4"/>
    <n v="1.9269435874773122E-5"/>
    <n v="1.0345827251174724E-4"/>
    <n v="0"/>
    <n v="0"/>
    <n v="0"/>
    <n v="0"/>
    <n v="0"/>
    <n v="8.5323314178662168E-5"/>
    <n v="6.0326791828452177E-5"/>
    <m/>
    <n v="2446"/>
    <n v="2446"/>
    <m/>
    <n v="3915"/>
    <n v="3915"/>
    <n v="6361"/>
  </r>
  <r>
    <s v="218-HC"/>
    <s v="100-HC"/>
    <x v="0"/>
    <s v="Portland Housing Bureau"/>
    <n v="1.1471919731677157E-2"/>
    <n v="1.1459995738929257E-2"/>
    <n v="1.1688495385084534E-2"/>
    <n v="9.8752959677867198E-3"/>
    <n v="1.2643673172410493E-2"/>
    <n v="0"/>
    <n v="0"/>
    <n v="0"/>
    <n v="0"/>
    <n v="0"/>
    <n v="8.5518661313204354E-3"/>
    <n v="8.6551027139227365E-3"/>
    <m/>
    <n v="350948"/>
    <n v="350948"/>
    <m/>
    <n v="392360"/>
    <n v="392360"/>
    <n v="743308"/>
  </r>
  <r>
    <s v="219-HC"/>
    <s v="100-HC"/>
    <x v="0"/>
    <s v="Portland Housing Bureau"/>
    <n v="4.7230726823765667E-3"/>
    <n v="7.1591351658666456E-3"/>
    <n v="5.6080641217772795E-3"/>
    <n v="4.4335805323739638E-3"/>
    <n v="4.9174061962684321E-3"/>
    <n v="0"/>
    <n v="0"/>
    <n v="0"/>
    <n v="0"/>
    <n v="0"/>
    <n v="3.7397627126049184E-3"/>
    <n v="4.3725679925051232E-3"/>
    <m/>
    <n v="177299"/>
    <n v="177299"/>
    <m/>
    <n v="171581"/>
    <n v="171581"/>
    <n v="348880"/>
  </r>
  <r>
    <s v="220-PK"/>
    <s v="Excluded"/>
    <x v="1"/>
    <e v="#N/A"/>
    <n v="0"/>
    <n v="0"/>
    <n v="0"/>
    <n v="0"/>
    <n v="0"/>
    <n v="0"/>
    <n v="0"/>
    <n v="0"/>
    <n v="0"/>
    <n v="0"/>
    <n v="0"/>
    <n v="0"/>
    <m/>
    <n v="0"/>
    <n v="0"/>
    <m/>
    <n v="0"/>
    <n v="0"/>
    <n v="0"/>
  </r>
  <r>
    <s v="221-HC"/>
    <n v="221"/>
    <x v="15"/>
    <e v="#N/A"/>
    <n v="0"/>
    <n v="4.364167530955871E-4"/>
    <n v="2.0617163591429791E-2"/>
    <n v="2.698568751790836E-2"/>
    <n v="1.7186125674494318E-2"/>
    <n v="0"/>
    <n v="0"/>
    <n v="0"/>
    <n v="0"/>
    <n v="0"/>
    <n v="1.6197244195958117E-2"/>
    <n v="5.2633950861313448E-3"/>
    <n v="493139"/>
    <n v="-279718"/>
    <n v="213421"/>
    <n v="835994"/>
    <n v="-92863"/>
    <n v="743131"/>
    <n v="463413"/>
  </r>
  <r>
    <s v="222-PL"/>
    <n v="222"/>
    <x v="16"/>
    <e v="#N/A"/>
    <n v="1.7713589634778975E-6"/>
    <n v="5.0244422690835734E-4"/>
    <n v="5.7752230531386319E-4"/>
    <n v="6.1007631795013701E-4"/>
    <n v="8.8661881646447376E-4"/>
    <n v="0"/>
    <n v="0"/>
    <n v="0"/>
    <n v="0"/>
    <n v="0"/>
    <n v="5.1855435993211846E-4"/>
    <n v="2.7043447279642458E-4"/>
    <n v="10601"/>
    <n v="365"/>
    <n v="10966"/>
    <n v="11137"/>
    <n v="12654"/>
    <n v="23791"/>
    <n v="24156"/>
  </r>
  <r>
    <s v="223-MF"/>
    <n v="223"/>
    <x v="17"/>
    <e v="#N/A"/>
    <n v="0"/>
    <n v="0"/>
    <n v="0"/>
    <n v="0"/>
    <n v="0"/>
    <n v="0"/>
    <n v="0"/>
    <n v="0"/>
    <n v="0"/>
    <n v="0"/>
    <n v="0"/>
    <n v="0"/>
    <m/>
    <n v="0"/>
    <n v="0"/>
    <n v="0"/>
    <n v="25000"/>
    <n v="25000"/>
    <n v="25000"/>
  </r>
  <r>
    <s v="303-FM"/>
    <s v="Excluded"/>
    <x v="1"/>
    <e v="#N/A"/>
    <n v="0"/>
    <n v="0"/>
    <n v="0"/>
    <n v="0"/>
    <n v="0"/>
    <n v="0"/>
    <n v="0"/>
    <n v="0"/>
    <n v="0"/>
    <n v="0"/>
    <n v="0"/>
    <n v="0"/>
    <m/>
    <n v="0"/>
    <n v="0"/>
    <m/>
    <n v="0"/>
    <n v="0"/>
    <n v="0"/>
  </r>
  <r>
    <s v="306-FM"/>
    <s v="Excluded"/>
    <x v="1"/>
    <e v="#N/A"/>
    <n v="0"/>
    <n v="0"/>
    <n v="0"/>
    <n v="0"/>
    <n v="0"/>
    <n v="0"/>
    <n v="0"/>
    <n v="0"/>
    <n v="0"/>
    <n v="0"/>
    <n v="0"/>
    <n v="0"/>
    <m/>
    <n v="0"/>
    <n v="0"/>
    <m/>
    <n v="0"/>
    <n v="0"/>
    <n v="0"/>
  </r>
  <r>
    <s v="317-FM"/>
    <s v="Excluded"/>
    <x v="1"/>
    <e v="#N/A"/>
    <n v="0"/>
    <n v="0"/>
    <n v="0"/>
    <n v="0"/>
    <n v="0"/>
    <n v="0"/>
    <n v="0"/>
    <n v="0"/>
    <n v="0"/>
    <n v="0"/>
    <n v="0"/>
    <n v="0"/>
    <m/>
    <n v="0"/>
    <n v="0"/>
    <m/>
    <n v="0"/>
    <n v="0"/>
    <n v="0"/>
  </r>
  <r>
    <s v="400-MF"/>
    <n v="400"/>
    <x v="18"/>
    <e v="#N/A"/>
    <n v="4.4390179120880613E-3"/>
    <n v="2.4850616367203824E-3"/>
    <n v="1.4376258224056801E-3"/>
    <n v="9.2333106866280417E-4"/>
    <n v="1.8897457677876871E-6"/>
    <n v="0"/>
    <n v="0"/>
    <n v="0"/>
    <n v="0"/>
    <n v="0"/>
    <n v="5.9071165920906792E-4"/>
    <n v="2.0904263428035311E-3"/>
    <n v="44921"/>
    <n v="39842"/>
    <n v="84763"/>
    <n v="46490"/>
    <n v="-19388"/>
    <n v="27102"/>
    <n v="66944"/>
  </r>
  <r>
    <s v="401-AU"/>
    <n v="401"/>
    <x v="19"/>
    <e v="#N/A"/>
    <n v="5.3482093887332667E-6"/>
    <n v="5.2155435738316185E-6"/>
    <n v="4.7604341405285488E-4"/>
    <n v="3.3149542705027237E-6"/>
    <n v="1.4863168960127874E-6"/>
    <n v="0"/>
    <n v="0"/>
    <n v="0"/>
    <n v="0"/>
    <n v="0"/>
    <n v="1.2021117130484259E-4"/>
    <n v="1.2165179175385493E-4"/>
    <n v="74671"/>
    <n v="-69738"/>
    <n v="4933"/>
    <n v="48200"/>
    <n v="-42685"/>
    <n v="5515"/>
    <n v="-64223"/>
  </r>
  <r>
    <s v="402-PK"/>
    <n v="402"/>
    <x v="20"/>
    <e v="#N/A"/>
    <n v="1.3219753753439098E-2"/>
    <n v="9.5530082207030947E-3"/>
    <n v="2.8015103608748037E-3"/>
    <n v="4.5358963150047022E-3"/>
    <n v="8.0130268723369747E-3"/>
    <n v="1.9120458891013384E-3"/>
    <n v="1.8355359765051395E-3"/>
    <n v="1.6332684213832527E-3"/>
    <n v="1.8247065263670094E-3"/>
    <n v="1.1410965938266674E-3"/>
    <n v="4.2208643488521984E-3"/>
    <n v="6.8419722743367261E-3"/>
    <n v="245651"/>
    <n v="31778"/>
    <n v="277429"/>
    <n v="190847"/>
    <n v="2807"/>
    <n v="193654"/>
    <n v="225432"/>
  </r>
  <r>
    <s v="403-FR"/>
    <n v="403"/>
    <x v="21"/>
    <e v="#N/A"/>
    <n v="0"/>
    <n v="0"/>
    <n v="0"/>
    <n v="2.4254115755628386E-4"/>
    <n v="2.1118227451505118E-3"/>
    <n v="0"/>
    <n v="0"/>
    <n v="0"/>
    <n v="0"/>
    <n v="0"/>
    <n v="5.8859097567669889E-4"/>
    <n v="0"/>
    <m/>
    <n v="0"/>
    <n v="0"/>
    <n v="40107"/>
    <n v="-13102"/>
    <n v="27005"/>
    <n v="27005"/>
  </r>
  <r>
    <s v="403-MF"/>
    <n v="403"/>
    <x v="21"/>
    <e v="#N/A"/>
    <n v="0"/>
    <n v="2.3599060662889753E-3"/>
    <n v="2.3446411559629047E-3"/>
    <n v="1.033463962948713E-3"/>
    <n v="2.7263436507717759E-3"/>
    <n v="0"/>
    <n v="0"/>
    <n v="0"/>
    <n v="0"/>
    <n v="0"/>
    <n v="1.5261121924208484E-3"/>
    <n v="1.17613680556297E-3"/>
    <n v="26306"/>
    <n v="21384"/>
    <n v="47690"/>
    <m/>
    <n v="70018"/>
    <n v="70018"/>
    <n v="91402"/>
  </r>
  <r>
    <s v="500-PK"/>
    <s v="Excluded"/>
    <x v="1"/>
    <e v="#N/A"/>
    <n v="0"/>
    <n v="0"/>
    <n v="0"/>
    <n v="0"/>
    <n v="0"/>
    <n v="0"/>
    <n v="0"/>
    <n v="0"/>
    <n v="0"/>
    <n v="0"/>
    <n v="0"/>
    <n v="0"/>
    <m/>
    <n v="0"/>
    <n v="0"/>
    <m/>
    <n v="0"/>
    <n v="0"/>
    <n v="0"/>
  </r>
  <r>
    <s v="600-ES"/>
    <n v="600"/>
    <x v="13"/>
    <e v="#N/A"/>
    <n v="0.1569968566802652"/>
    <n v="0.16002829009552108"/>
    <n v="0.16154127712972846"/>
    <n v="0.11581596142833704"/>
    <n v="0.12779373161858013"/>
    <n v="6.7686424474187379E-2"/>
    <n v="7.0117474302496333E-2"/>
    <n v="7.2240718638105411E-2"/>
    <n v="6.9460495103704153E-2"/>
    <n v="6.390140925429337E-2"/>
    <n v="0.11842129446050331"/>
    <n v="0.13714532409427777"/>
    <n v="7371659"/>
    <n v="-1810680"/>
    <n v="5560979"/>
    <n v="7072025"/>
    <n v="-1638846"/>
    <n v="5433179"/>
    <n v="3622499"/>
  </r>
  <r>
    <s v="601-WA"/>
    <n v="601"/>
    <x v="22"/>
    <e v="#N/A"/>
    <n v="6.950153462375278E-4"/>
    <n v="3.7674071999254033E-4"/>
    <n v="4.1727769507387099E-4"/>
    <n v="3.8467515954232029E-4"/>
    <n v="4.2401807657691659E-4"/>
    <n v="3.8240917782026768E-4"/>
    <n v="3.6710719530102788E-4"/>
    <n v="3.7690809724228911E-4"/>
    <n v="3.6494130527340185E-4"/>
    <n v="3.4232897814800024E-4"/>
    <n v="3.9684093118691791E-4"/>
    <n v="4.6612714618961694E-4"/>
    <n v="42063"/>
    <n v="-23162"/>
    <n v="18901"/>
    <n v="29624"/>
    <n v="-11417"/>
    <n v="18207"/>
    <n v="-4955"/>
  </r>
  <r>
    <s v="602-WA"/>
    <n v="602"/>
    <x v="14"/>
    <e v="#N/A"/>
    <n v="9.1970498642618068E-2"/>
    <n v="8.8735427964178493E-2"/>
    <n v="8.6632971190495969E-2"/>
    <n v="9.6805220651837359E-2"/>
    <n v="0.12364508143223221"/>
    <n v="8.7699171446781396E-2"/>
    <n v="8.0641213901125802E-2"/>
    <n v="8.2668509328475401E-2"/>
    <n v="7.85840277355392E-2"/>
    <n v="7.1660866092314715E-2"/>
    <n v="9.6180268581668824E-2"/>
    <n v="8.7752132339021682E-2"/>
    <n v="4029348"/>
    <n v="-471168"/>
    <n v="3558180"/>
    <n v="4533246"/>
    <n v="-120487"/>
    <n v="4412759"/>
    <n v="3941591"/>
  </r>
  <r>
    <s v="603-PK"/>
    <n v="603"/>
    <x v="23"/>
    <e v="#N/A"/>
    <n v="7.3643895811783596E-3"/>
    <n v="7.2196066088251474E-3"/>
    <n v="6.6473077871759259E-3"/>
    <n v="6.9989809412101646E-3"/>
    <n v="7.1553121420527832E-3"/>
    <n v="5.2262587635436581E-3"/>
    <n v="6.3631913852178167E-3"/>
    <n v="7.0356178151893961E-3"/>
    <n v="5.3524724773432271E-3"/>
    <n v="5.4772636503680038E-3"/>
    <n v="6.6891797128514376E-3"/>
    <n v="6.8599149912907647E-3"/>
    <n v="258742"/>
    <n v="19414"/>
    <n v="278156"/>
    <n v="302239"/>
    <n v="4661"/>
    <n v="306900"/>
    <n v="326314"/>
  </r>
  <r>
    <s v="604-PK"/>
    <n v="604"/>
    <x v="24"/>
    <e v="#N/A"/>
    <n v="1.5100923437351575E-3"/>
    <n v="1.5514099993629766E-3"/>
    <n v="1.4160075040205449E-3"/>
    <n v="1.4106113670137119E-3"/>
    <n v="1.3745463962600887E-3"/>
    <n v="6.2460165710643721E-3"/>
    <n v="6.1184532550171318E-3"/>
    <n v="5.4023493938061438E-3"/>
    <n v="7.907061614257041E-3"/>
    <n v="8.4441147943173384E-3"/>
    <n v="2.8630851336886301E-3"/>
    <n v="2.5999457301036401E-3"/>
    <n v="55684"/>
    <n v="49739"/>
    <n v="105423"/>
    <n v="63031"/>
    <n v="68328"/>
    <n v="131359"/>
    <n v="181098"/>
  </r>
  <r>
    <s v="605-PN"/>
    <n v="605"/>
    <x v="25"/>
    <e v="#N/A"/>
    <n v="2.6965568163515533E-3"/>
    <n v="2.9226875706380474E-3"/>
    <n v="3.394568851777701E-3"/>
    <n v="3.9272094685648962E-3"/>
    <n v="3.634372862123314E-3"/>
    <n v="3.8240917782026767E-3"/>
    <n v="4.0381791483113071E-3"/>
    <n v="3.7690809724228911E-3"/>
    <n v="3.8927072562496196E-3"/>
    <n v="3.3091801220973354E-3"/>
    <n v="3.6532851581806318E-3"/>
    <n v="3.2227326346032318E-3"/>
    <n v="151418"/>
    <n v="-20742"/>
    <n v="130676"/>
    <n v="188043"/>
    <n v="-20430"/>
    <n v="167613"/>
    <n v="146871"/>
  </r>
  <r>
    <s v="606-TR"/>
    <n v="606"/>
    <x v="26"/>
    <e v="#N/A"/>
    <n v="4.5315928978640566E-3"/>
    <n v="3.6505997687919724E-3"/>
    <n v="3.6924879009095813E-3"/>
    <n v="4.9173076492322176E-3"/>
    <n v="3.3352993612723982E-3"/>
    <n v="0"/>
    <n v="0"/>
    <n v="0"/>
    <n v="0"/>
    <n v="1.1410965938266674E-4"/>
    <n v="2.9957828661354383E-3"/>
    <n v="2.9686701418914023E-3"/>
    <n v="195603"/>
    <n v="-75229"/>
    <n v="120374"/>
    <n v="169525"/>
    <n v="-32078"/>
    <n v="137447"/>
    <n v="62218"/>
  </r>
  <r>
    <s v="607-MF"/>
    <n v="607"/>
    <x v="27"/>
    <e v="#N/A"/>
    <n v="2.5998100153954602E-3"/>
    <n v="3.0888634025520532E-3"/>
    <n v="8.0034124849523106E-3"/>
    <n v="1.6023387704564372E-3"/>
    <n v="3.1211842650250357E-3"/>
    <n v="0"/>
    <n v="0"/>
    <n v="0"/>
    <n v="0"/>
    <n v="1.1410965938266674E-4"/>
    <n v="3.1912430183903343E-3"/>
    <n v="3.423021475724956E-3"/>
    <n v="180109"/>
    <n v="-41312"/>
    <n v="138797"/>
    <n v="197855"/>
    <n v="-51441"/>
    <n v="146414"/>
    <n v="105102"/>
  </r>
  <r>
    <s v="608-ES"/>
    <n v="608"/>
    <x v="28"/>
    <e v="#N/A"/>
    <n v="4.9115205594539154E-3"/>
    <n v="5.7749698127946723E-3"/>
    <n v="5.2480582501595692E-3"/>
    <n v="3.7814071044717222E-3"/>
    <n v="2.4017644211578176E-3"/>
    <n v="6.3734862970044612E-4"/>
    <n v="6.1184532550171312E-4"/>
    <n v="7.5381619448457822E-4"/>
    <n v="6.0823550878900305E-4"/>
    <n v="4.5643863753066697E-4"/>
    <n v="3.0093483056809647E-3"/>
    <n v="4.1505546680759339E-3"/>
    <n v="160973"/>
    <n v="7324"/>
    <n v="168297"/>
    <n v="170185"/>
    <n v="-32116"/>
    <n v="138069"/>
    <n v="145393"/>
  </r>
  <r>
    <s v="614-ES"/>
    <n v="600"/>
    <x v="13"/>
    <e v="#N/A"/>
    <n v="8.6802474123916909E-6"/>
    <n v="0"/>
    <n v="0"/>
    <n v="0"/>
    <n v="0"/>
    <n v="0"/>
    <n v="0"/>
    <n v="0"/>
    <n v="0"/>
    <n v="0"/>
    <n v="0"/>
    <n v="2.1700618530979227E-6"/>
    <m/>
    <n v="88"/>
    <n v="88"/>
    <m/>
    <n v="0"/>
    <n v="0"/>
    <n v="88"/>
  </r>
  <r>
    <s v="621-HC"/>
    <s v="Excluded"/>
    <x v="1"/>
    <e v="#N/A"/>
    <n v="0"/>
    <n v="0"/>
    <n v="0"/>
    <n v="0"/>
    <n v="0"/>
    <n v="0"/>
    <n v="0"/>
    <n v="0"/>
    <n v="0"/>
    <n v="0"/>
    <n v="0"/>
    <n v="0"/>
    <n v="0"/>
    <n v="0"/>
    <n v="0"/>
    <m/>
    <n v="0"/>
    <n v="0"/>
    <n v="0"/>
  </r>
  <r>
    <s v="700-MF"/>
    <n v="700"/>
    <x v="29"/>
    <e v="#N/A"/>
    <n v="4.6306289301716206E-3"/>
    <n v="4.290468946361356E-3"/>
    <n v="5.2232292038694936E-3"/>
    <n v="4.954923952352583E-3"/>
    <n v="4.9312629163589744E-3"/>
    <n v="1.2746972594008922E-3"/>
    <n v="1.3460597161037689E-3"/>
    <n v="1.5076323889691564E-3"/>
    <n v="1.3381181193358068E-3"/>
    <n v="1.2552062532093342E-3"/>
    <n v="4.1191004149381209E-3"/>
    <n v="3.8801142171401024E-3"/>
    <n v="77033"/>
    <n v="80298"/>
    <n v="157331"/>
    <n v="88889"/>
    <n v="100096"/>
    <n v="188985"/>
    <n v="269283"/>
  </r>
  <r>
    <s v="701-MF"/>
    <n v="701"/>
    <x v="30"/>
    <e v="#N/A"/>
    <n v="2.1681391930083616E-2"/>
    <n v="2.1793354017576743E-2"/>
    <n v="1.8602502864883023E-2"/>
    <n v="2.4454636777594439E-2"/>
    <n v="2.175161608846634E-2"/>
    <n v="4.5889101338432124E-3"/>
    <n v="4.5276554087126776E-3"/>
    <n v="4.5228971669074693E-3"/>
    <n v="4.5009427650386227E-3"/>
    <n v="3.9938380783933356E-3"/>
    <n v="1.728699543359757E-2"/>
    <n v="1.6655934095591126E-2"/>
    <n v="813820"/>
    <n v="-138454"/>
    <n v="675366"/>
    <n v="870715"/>
    <n v="-77586"/>
    <n v="793129"/>
    <n v="654675"/>
  </r>
  <r>
    <s v="702-MF"/>
    <n v="702"/>
    <x v="31"/>
    <e v="#N/A"/>
    <n v="2.7904138893826421E-2"/>
    <n v="2.178524207723655E-2"/>
    <n v="2.3580400983376125E-2"/>
    <n v="2.3384180734270198E-2"/>
    <n v="2.2542773017319617E-2"/>
    <n v="9.8151688973868705E-3"/>
    <n v="9.7895252080274098E-3"/>
    <n v="9.7996105282995155E-3"/>
    <n v="9.366826835350648E-3"/>
    <n v="8.7864437724653396E-3"/>
    <n v="1.9706245445084446E-2"/>
    <n v="2.0767804208085921E-2"/>
    <n v="781119"/>
    <n v="60976"/>
    <n v="842095"/>
    <n v="966077"/>
    <n v="-61953"/>
    <n v="904124"/>
    <n v="965100"/>
  </r>
  <r>
    <s v="703-MF"/>
    <n v="703"/>
    <x v="32"/>
    <e v="#N/A"/>
    <n v="6.9855535710427368E-3"/>
    <n v="6.6605851212981097E-3"/>
    <n v="6.1196637792321536E-3"/>
    <n v="6.196452986587696E-3"/>
    <n v="5.4654186674128269E-3"/>
    <n v="3.6966220522625876E-3"/>
    <n v="3.6710719530102789E-3"/>
    <n v="3.6434449400087944E-3"/>
    <n v="3.1628246457028161E-3"/>
    <n v="2.7386318251840019E-3"/>
    <n v="5.2407923092161364E-3"/>
    <n v="5.8590455300000554E-3"/>
    <n v="226844"/>
    <n v="10729"/>
    <n v="237573"/>
    <n v="255395"/>
    <n v="-14947"/>
    <n v="240448"/>
    <n v="251177"/>
  </r>
  <r>
    <s v="704-MF"/>
    <n v="704"/>
    <x v="33"/>
    <e v="#N/A"/>
    <n v="5.2626451004097342E-3"/>
    <n v="7.2819439671780927E-3"/>
    <n v="5.8995125378509053E-3"/>
    <n v="7.2372980604265089E-3"/>
    <n v="5.0496475262989306E-3"/>
    <n v="1.9120458891013384E-3"/>
    <n v="1.8355359765051395E-3"/>
    <n v="1.758904453797349E-3"/>
    <n v="1.8247065263670094E-3"/>
    <n v="1.5975352313573343E-3"/>
    <n v="4.9783767154375604E-3"/>
    <n v="5.0698992613100015E-3"/>
    <n v="251835"/>
    <n v="-46260"/>
    <n v="205575"/>
    <n v="269709"/>
    <n v="-41301"/>
    <n v="228408"/>
    <n v="182148"/>
  </r>
  <r>
    <s v="705-MF"/>
    <n v="705"/>
    <x v="34"/>
    <e v="#N/A"/>
    <n v="3.7818949353852107E-3"/>
    <n v="4.1454191100129493E-3"/>
    <n v="3.9956459662348872E-3"/>
    <n v="3.9275735516779951E-3"/>
    <n v="3.7107159370046222E-3"/>
    <n v="1.0197578075207138E-3"/>
    <n v="7.3421439060205576E-4"/>
    <n v="8.7945222689867451E-4"/>
    <n v="8.5152971230460436E-4"/>
    <n v="7.9876761567866715E-4"/>
    <n v="3.1192963266362048E-3"/>
    <n v="3.2001920383267156E-3"/>
    <n v="128504"/>
    <n v="1258"/>
    <n v="129762"/>
    <n v="146759"/>
    <n v="-3645"/>
    <n v="143114"/>
    <n v="144372"/>
  </r>
  <r>
    <s v="706-MF"/>
    <n v="706"/>
    <x v="35"/>
    <e v="#N/A"/>
    <n v="5.6439074015322423E-2"/>
    <n v="4.1097706554719581E-2"/>
    <n v="3.7828661211779392E-2"/>
    <n v="4.37912060949118E-2"/>
    <n v="4.2350596609039538E-2"/>
    <n v="3.0720203951561505E-2"/>
    <n v="2.9246206558981889E-2"/>
    <n v="2.9147559520070355E-2"/>
    <n v="2.7735539200778543E-2"/>
    <n v="2.4419467107890683E-2"/>
    <n v="3.7767829797994312E-2"/>
    <n v="4.1267524614673159E-2"/>
    <n v="1590788"/>
    <n v="82531"/>
    <n v="1673319"/>
    <n v="1788183"/>
    <n v="-55392"/>
    <n v="1732791"/>
    <n v="1815322"/>
  </r>
  <r>
    <s v="708-MF"/>
    <n v="708"/>
    <x v="36"/>
    <e v="#N/A"/>
    <n v="5.9264962987170514E-4"/>
    <n v="6.0978047443903637E-3"/>
    <n v="3.0234396329917022E-3"/>
    <n v="4.1835239801867909E-3"/>
    <n v="4.2864572423265239E-3"/>
    <n v="0"/>
    <n v="2.4473813020068525E-3"/>
    <n v="2.8896287455242161E-3"/>
    <n v="2.4329420351560122E-3"/>
    <n v="2.3963028470360016E-3"/>
    <n v="3.5165946828526065E-3"/>
    <n v="2.8732243391076987E-3"/>
    <n v="246475"/>
    <n v="-129971"/>
    <n v="116504"/>
    <n v="210491"/>
    <n v="-49149"/>
    <n v="161342"/>
    <n v="31371"/>
  </r>
  <r>
    <s v="800-DR"/>
    <n v="800"/>
    <x v="37"/>
    <e v="#N/A"/>
    <n v="2.7243442009155065E-3"/>
    <n v="2.4421314896316288E-3"/>
    <n v="2.6193048307526722E-3"/>
    <n v="2.8210755275835473E-3"/>
    <n v="2.5980829958852781E-3"/>
    <n v="2.1669853409815171E-3"/>
    <n v="2.0802741067058247E-3"/>
    <n v="2.2614485834537346E-3"/>
    <n v="2.1896478316404113E-3"/>
    <n v="2.168083528270668E-3"/>
    <n v="2.5612141671691093E-3"/>
    <n v="2.4888374662533751E-3"/>
    <n v="85706"/>
    <n v="15212"/>
    <n v="100918"/>
    <n v="96883"/>
    <n v="20626"/>
    <n v="117509"/>
    <n v="132721"/>
  </r>
  <r>
    <s v="802-FM"/>
    <s v="Excluded"/>
    <x v="1"/>
    <e v="#N/A"/>
    <n v="0"/>
    <n v="0"/>
    <n v="0"/>
    <n v="0"/>
    <n v="0"/>
    <n v="0"/>
    <n v="0"/>
    <n v="0"/>
    <n v="0"/>
    <n v="0"/>
    <n v="0"/>
    <n v="0"/>
    <m/>
    <n v="0"/>
    <n v="0"/>
    <n v="0"/>
    <n v="0"/>
    <n v="0"/>
    <n v="0"/>
  </r>
  <r>
    <m/>
    <m/>
    <x v="38"/>
    <m/>
    <n v="0.99999999999999967"/>
    <n v="1.0000000000000002"/>
    <n v="1"/>
    <n v="1.0000000000000002"/>
    <n v="0.99999999999999989"/>
    <n v="1.0000000000000002"/>
    <n v="1"/>
    <n v="0.99999999999999989"/>
    <n v="0.99999999999999978"/>
    <n v="0.99999999999999989"/>
    <n v="1"/>
    <n v="1.0000000000000002"/>
    <m/>
    <m/>
    <m/>
    <m/>
    <m/>
    <m/>
    <m/>
  </r>
  <r>
    <m/>
    <m/>
    <x v="38"/>
    <m/>
    <m/>
    <m/>
    <m/>
    <m/>
    <m/>
    <m/>
    <m/>
    <m/>
    <m/>
    <m/>
    <m/>
    <m/>
    <m/>
    <m/>
    <m/>
    <m/>
    <m/>
    <m/>
    <m/>
  </r>
  <r>
    <m/>
    <m/>
    <x v="38"/>
    <m/>
    <m/>
    <m/>
    <m/>
    <m/>
    <m/>
    <m/>
    <m/>
    <m/>
    <m/>
    <m/>
    <m/>
    <m/>
    <m/>
    <m/>
    <m/>
    <m/>
    <m/>
    <m/>
    <m/>
  </r>
  <r>
    <m/>
    <m/>
    <x v="38"/>
    <m/>
    <m/>
    <m/>
    <m/>
    <m/>
    <m/>
    <m/>
    <m/>
    <m/>
    <m/>
    <m/>
    <m/>
    <m/>
    <m/>
    <m/>
    <m/>
    <m/>
    <m/>
    <m/>
    <m/>
  </r>
  <r>
    <m/>
    <m/>
    <x v="38"/>
    <m/>
    <m/>
    <m/>
    <m/>
    <m/>
    <m/>
    <m/>
    <m/>
    <m/>
    <m/>
    <m/>
    <m/>
    <m/>
    <m/>
    <m/>
    <m/>
    <m/>
    <m/>
    <m/>
    <m/>
  </r>
  <r>
    <m/>
    <m/>
    <x v="38"/>
    <m/>
    <m/>
    <m/>
    <m/>
    <m/>
    <m/>
    <m/>
    <m/>
    <m/>
    <m/>
    <m/>
    <m/>
    <m/>
    <m/>
    <m/>
    <m/>
    <m/>
    <m/>
    <m/>
    <m/>
  </r>
  <r>
    <m/>
    <m/>
    <x v="38"/>
    <m/>
    <m/>
    <m/>
    <m/>
    <m/>
    <m/>
    <m/>
    <m/>
    <m/>
    <m/>
    <m/>
    <m/>
    <m/>
    <m/>
    <m/>
    <m/>
    <m/>
    <m/>
    <m/>
    <m/>
  </r>
  <r>
    <m/>
    <m/>
    <x v="38"/>
    <m/>
    <m/>
    <m/>
    <m/>
    <m/>
    <m/>
    <m/>
    <m/>
    <m/>
    <m/>
    <m/>
    <m/>
    <m/>
    <m/>
    <m/>
    <m/>
    <m/>
    <m/>
    <m/>
    <m/>
  </r>
  <r>
    <m/>
    <m/>
    <x v="38"/>
    <m/>
    <m/>
    <m/>
    <m/>
    <m/>
    <m/>
    <m/>
    <m/>
    <m/>
    <m/>
    <m/>
    <m/>
    <m/>
    <m/>
    <m/>
    <m/>
    <m/>
    <m/>
    <m/>
    <m/>
  </r>
  <r>
    <m/>
    <m/>
    <x v="38"/>
    <m/>
    <m/>
    <m/>
    <m/>
    <m/>
    <m/>
    <m/>
    <m/>
    <m/>
    <m/>
    <m/>
    <m/>
    <m/>
    <m/>
    <m/>
    <m/>
    <m/>
    <m/>
    <m/>
    <m/>
  </r>
  <r>
    <m/>
    <m/>
    <x v="38"/>
    <m/>
    <m/>
    <m/>
    <m/>
    <m/>
    <m/>
    <m/>
    <m/>
    <m/>
    <m/>
    <m/>
    <m/>
    <m/>
    <m/>
    <m/>
    <m/>
    <m/>
    <m/>
    <m/>
    <m/>
  </r>
  <r>
    <m/>
    <m/>
    <x v="38"/>
    <m/>
    <m/>
    <m/>
    <m/>
    <m/>
    <m/>
    <m/>
    <m/>
    <m/>
    <m/>
    <m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0" applyNumberFormats="0" applyBorderFormats="0" applyFontFormats="0" applyPatternFormats="0" applyAlignmentFormats="0" applyWidthHeightFormats="1" dataCaption=" " updatedVersion="3" minRefreshableVersion="3" showCalcMbrs="0" useAutoFormatting="1" itemPrintTitles="1" createdVersion="3" indent="0" outline="1" outlineData="1" multipleFieldFilters="0" rowHeaderCaption="Fund">
  <location ref="A3:F42" firstHeaderRow="1" firstDataRow="2" firstDataCol="1"/>
  <pivotFields count="23">
    <pivotField showAll="0"/>
    <pivotField showAll="0"/>
    <pivotField axis="axisRow" showAll="0" sortType="ascending">
      <items count="42">
        <item x="0"/>
        <item x="3"/>
        <item x="4"/>
        <item x="5"/>
        <item x="6"/>
        <item x="7"/>
        <item m="1" x="39"/>
        <item x="8"/>
        <item x="9"/>
        <item x="10"/>
        <item x="11"/>
        <item x="12"/>
        <item x="15"/>
        <item x="16"/>
        <item x="17"/>
        <item x="18"/>
        <item x="19"/>
        <item x="20"/>
        <item x="21"/>
        <item x="13"/>
        <item x="22"/>
        <item x="14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m="1" x="40"/>
        <item x="2"/>
        <item h="1" x="1"/>
        <item h="1" x="38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dataField="1" showAll="0" defaultSubtotal="0"/>
    <pivotField dataField="1" showAll="0" defaultSubtotal="0"/>
    <pivotField dataField="1" showAll="0"/>
    <pivotField dataField="1" showAll="0"/>
  </pivotFields>
  <rowFields count="1">
    <field x="2"/>
  </rowFields>
  <rowItems count="38">
    <i>
      <x/>
    </i>
    <i>
      <x v="1"/>
    </i>
    <i>
      <x v="2"/>
    </i>
    <i>
      <x v="3"/>
    </i>
    <i>
      <x v="4"/>
    </i>
    <i>
      <x v="5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8"/>
    </i>
    <i t="grand">
      <x/>
    </i>
  </rowItems>
  <colFields count="1">
    <field x="-2"/>
  </colFields>
  <colItems count="5">
    <i>
      <x/>
    </i>
    <i i="1">
      <x v="1"/>
    </i>
    <i i="2">
      <x v="2"/>
    </i>
    <i i="3">
      <x v="3"/>
    </i>
    <i i="4">
      <x v="4"/>
    </i>
  </colItems>
  <dataFields count="5">
    <dataField name="FY 2013-14  CAL Charge" fld="19" baseField="0" baseItem="0"/>
    <dataField name=" Difference" fld="20" baseField="0" baseItem="0"/>
    <dataField name=" FY 2014-15 CAL Charge" fld="21" baseField="0" baseItem="0"/>
    <dataField name=" FY 2012-13 True-Up" fld="17" baseField="0" baseItem="0"/>
    <dataField name=" FY 2014-15 Total Charge" fld="22" baseField="0" baseItem="0"/>
  </dataFields>
  <formats count="10">
    <format dxfId="9">
      <pivotArea outline="0" collapsedLevelsAreSubtotals="1" fieldPosition="0"/>
    </format>
    <format dxfId="8">
      <pivotArea field="-2" type="button" dataOnly="0" labelOnly="1" outline="0" axis="axisCol" fieldPosition="0"/>
    </format>
    <format dxfId="7">
      <pivotArea type="topRight" dataOnly="0" labelOnly="1" outline="0" fieldPosition="0"/>
    </format>
    <format dxfId="6">
      <pivotArea dataOnly="0" labelOnly="1" outline="0" fieldPosition="0">
        <references count="1">
          <reference field="4294967294" count="3">
            <x v="2"/>
            <x v="3"/>
            <x v="4"/>
          </reference>
        </references>
      </pivotArea>
    </format>
    <format dxfId="5">
      <pivotArea dataOnly="0" labelOnly="1" outline="0" fieldPosition="0">
        <references count="1">
          <reference field="4294967294" count="3">
            <x v="2"/>
            <x v="3"/>
            <x v="4"/>
          </reference>
        </references>
      </pivotArea>
    </format>
    <format dxfId="4">
      <pivotArea collapsedLevelsAreSubtotals="1" fieldPosition="0">
        <references count="2">
          <reference field="4294967294" count="1" selected="0">
            <x v="2"/>
          </reference>
          <reference field="2" count="0"/>
        </references>
      </pivotArea>
    </format>
    <format dxfId="3">
      <pivotArea field="2" grandRow="1" outline="0" collapsedLevelsAreSubtotals="1" axis="axisRow" fieldPosition="0">
        <references count="1">
          <reference field="4294967294" count="1" selected="0">
            <x v="2"/>
          </reference>
        </references>
      </pivotArea>
    </format>
    <format dxfId="2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1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0">
      <pivotArea dataOnly="0" labelOnly="1" outline="0" fieldPosition="0">
        <references count="1">
          <reference field="4294967294" count="1">
            <x v="1"/>
          </reference>
        </references>
      </pivotArea>
    </format>
  </formats>
  <pivotTableStyleInfo name="PivotStyleLight16" showRowHeaders="1" showColHeaders="1" showRowStripes="0" showColStripes="0" showLastColumn="1"/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comments" Target="../comments8.xml"/><Relationship Id="rId1" Type="http://schemas.openxmlformats.org/officeDocument/2006/relationships/vmlDrawing" Target="../drawings/vmlDrawing8.v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comments" Target="../comments9.xml"/><Relationship Id="rId1" Type="http://schemas.openxmlformats.org/officeDocument/2006/relationships/vmlDrawing" Target="../drawings/vmlDrawing9.vml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0.xml"/><Relationship Id="rId2" Type="http://schemas.openxmlformats.org/officeDocument/2006/relationships/vmlDrawing" Target="../drawings/vmlDrawing10.vml"/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35"/>
  <sheetViews>
    <sheetView zoomScaleNormal="100" workbookViewId="0">
      <selection activeCell="D9" sqref="D9"/>
    </sheetView>
  </sheetViews>
  <sheetFormatPr defaultRowHeight="13.2"/>
  <cols>
    <col min="1" max="1" width="29.33203125" bestFit="1" customWidth="1"/>
    <col min="2" max="2" width="12.33203125" style="7" customWidth="1"/>
    <col min="3" max="3" width="12.33203125" customWidth="1"/>
    <col min="4" max="4" width="14.109375" style="35" bestFit="1" customWidth="1"/>
    <col min="5" max="5" width="76.21875" bestFit="1" customWidth="1"/>
  </cols>
  <sheetData>
    <row r="1" spans="1:5" s="35" customFormat="1">
      <c r="B1" s="89" t="s">
        <v>400</v>
      </c>
      <c r="C1" s="89"/>
      <c r="D1" s="41" t="s">
        <v>401</v>
      </c>
    </row>
    <row r="2" spans="1:5" ht="16.8">
      <c r="A2" s="35"/>
      <c r="B2" s="75" t="s">
        <v>393</v>
      </c>
      <c r="C2" s="76" t="s">
        <v>394</v>
      </c>
      <c r="D2" s="75" t="s">
        <v>393</v>
      </c>
      <c r="E2" s="42" t="s">
        <v>346</v>
      </c>
    </row>
    <row r="3" spans="1:5">
      <c r="A3" s="35" t="s">
        <v>163</v>
      </c>
      <c r="B3" s="35"/>
      <c r="C3" s="37">
        <v>3896819</v>
      </c>
      <c r="D3" s="37">
        <f>2407924+2807419</f>
        <v>5215343</v>
      </c>
      <c r="E3" s="35"/>
    </row>
    <row r="4" spans="1:5">
      <c r="A4" s="35" t="s">
        <v>164</v>
      </c>
      <c r="B4" s="35"/>
      <c r="C4" s="37">
        <v>7331204</v>
      </c>
      <c r="D4" s="37">
        <f>3857204+4497147</f>
        <v>8354351</v>
      </c>
      <c r="E4" s="35"/>
    </row>
    <row r="5" spans="1:5" s="45" customFormat="1">
      <c r="A5" s="46" t="s">
        <v>345</v>
      </c>
      <c r="C5" s="47">
        <v>547957</v>
      </c>
      <c r="D5" s="47">
        <f>906446+1056834</f>
        <v>1963280</v>
      </c>
    </row>
    <row r="6" spans="1:5">
      <c r="A6" s="35" t="s">
        <v>166</v>
      </c>
      <c r="B6" s="35"/>
      <c r="C6" s="37">
        <v>1547205</v>
      </c>
      <c r="D6" s="37">
        <f>934412+1089439</f>
        <v>2023851</v>
      </c>
      <c r="E6" s="35"/>
    </row>
    <row r="7" spans="1:5">
      <c r="A7" s="35" t="s">
        <v>167</v>
      </c>
      <c r="B7" s="35"/>
      <c r="C7" s="37">
        <v>118183</v>
      </c>
      <c r="D7" s="39">
        <f>ROUND((126895*1.025),0)</f>
        <v>130067</v>
      </c>
      <c r="E7" s="36" t="s">
        <v>395</v>
      </c>
    </row>
    <row r="8" spans="1:5">
      <c r="A8" s="35" t="s">
        <v>159</v>
      </c>
      <c r="B8" s="35"/>
      <c r="C8" s="37">
        <v>1153236</v>
      </c>
      <c r="D8" s="37">
        <f>489067+570207</f>
        <v>1059274</v>
      </c>
      <c r="E8" s="35"/>
    </row>
    <row r="9" spans="1:5">
      <c r="A9" s="35" t="s">
        <v>161</v>
      </c>
      <c r="B9" s="35"/>
      <c r="C9" s="37">
        <f>6331726+3948799+7738854</f>
        <v>18019379</v>
      </c>
      <c r="D9" s="37">
        <f>3877845+2472450+2282739+4521212+2882650+2661465</f>
        <v>18698361</v>
      </c>
      <c r="E9" s="46" t="s">
        <v>435</v>
      </c>
    </row>
    <row r="10" spans="1:5">
      <c r="A10" s="35" t="s">
        <v>165</v>
      </c>
      <c r="B10" s="35"/>
      <c r="C10" s="39">
        <v>1426760</v>
      </c>
      <c r="D10" s="47">
        <f>880777+1026906</f>
        <v>1907683</v>
      </c>
      <c r="E10" s="36"/>
    </row>
    <row r="11" spans="1:5">
      <c r="A11" s="35" t="s">
        <v>162</v>
      </c>
      <c r="B11" s="35"/>
      <c r="C11" s="39">
        <f>276487+99995</f>
        <v>376482</v>
      </c>
      <c r="D11" s="39">
        <f>ROUND(((540500+114494)*1.025),0)</f>
        <v>671369</v>
      </c>
      <c r="E11" s="36" t="s">
        <v>396</v>
      </c>
    </row>
    <row r="12" spans="1:5">
      <c r="A12" s="35" t="s">
        <v>318</v>
      </c>
      <c r="B12" s="35"/>
      <c r="C12" s="37">
        <f>1147492*0.68</f>
        <v>780294.56</v>
      </c>
      <c r="D12" s="37">
        <f>ROUND(((180733+131362+235337+325007)*1.025),0)</f>
        <v>894250</v>
      </c>
      <c r="E12" s="40" t="s">
        <v>454</v>
      </c>
    </row>
    <row r="13" spans="1:5">
      <c r="A13" s="35" t="s">
        <v>154</v>
      </c>
      <c r="B13" s="35"/>
      <c r="C13" s="37">
        <v>1216601</v>
      </c>
      <c r="D13" s="88">
        <f>427690+498647</f>
        <v>926337</v>
      </c>
      <c r="E13" s="46" t="s">
        <v>397</v>
      </c>
    </row>
    <row r="14" spans="1:5">
      <c r="A14" s="35" t="s">
        <v>153</v>
      </c>
      <c r="B14" s="35"/>
      <c r="C14" s="39">
        <f>982037+889207</f>
        <v>1871244</v>
      </c>
      <c r="D14" s="39">
        <f>ROUND(((0.5*(68428+544977)+758163)*1.025),0)</f>
        <v>1091487</v>
      </c>
      <c r="E14" s="36" t="s">
        <v>398</v>
      </c>
    </row>
    <row r="15" spans="1:5">
      <c r="A15" s="35" t="s">
        <v>155</v>
      </c>
      <c r="B15" s="35"/>
      <c r="C15" s="37">
        <v>650735</v>
      </c>
      <c r="D15" s="88">
        <f t="shared" ref="D15:D17" si="0">427690+498647</f>
        <v>926337</v>
      </c>
      <c r="E15" s="35"/>
    </row>
    <row r="16" spans="1:5">
      <c r="A16" s="35" t="s">
        <v>156</v>
      </c>
      <c r="B16" s="35"/>
      <c r="C16" s="37">
        <v>692124</v>
      </c>
      <c r="D16" s="88">
        <f t="shared" si="0"/>
        <v>926337</v>
      </c>
      <c r="E16" s="35"/>
    </row>
    <row r="17" spans="1:5">
      <c r="A17" s="35" t="s">
        <v>157</v>
      </c>
      <c r="B17" s="35"/>
      <c r="C17" s="37">
        <v>770804</v>
      </c>
      <c r="D17" s="88">
        <f t="shared" si="0"/>
        <v>926337</v>
      </c>
      <c r="E17" s="35"/>
    </row>
    <row r="18" spans="1:5">
      <c r="A18" s="43" t="s">
        <v>171</v>
      </c>
      <c r="B18" s="44"/>
      <c r="C18" s="44">
        <v>274049</v>
      </c>
      <c r="D18" s="44">
        <f>134087+156333</f>
        <v>290420</v>
      </c>
      <c r="E18" s="36" t="s">
        <v>399</v>
      </c>
    </row>
    <row r="19" spans="1:5">
      <c r="A19" t="s">
        <v>342</v>
      </c>
      <c r="B19" s="7">
        <v>44611991</v>
      </c>
      <c r="C19" s="11">
        <f>SUM(C3:C18)</f>
        <v>40673076.560000002</v>
      </c>
      <c r="D19" s="11">
        <f>SUM(D3:D18)</f>
        <v>46005084</v>
      </c>
    </row>
    <row r="20" spans="1:5">
      <c r="A20" t="s">
        <v>387</v>
      </c>
      <c r="B20" s="37">
        <v>-25000</v>
      </c>
      <c r="C20" s="47">
        <v>-25000</v>
      </c>
      <c r="D20" s="47">
        <v>-25000</v>
      </c>
    </row>
    <row r="21" spans="1:5" s="45" customFormat="1">
      <c r="A21" s="45" t="s">
        <v>443</v>
      </c>
      <c r="B21" s="47">
        <v>-25000</v>
      </c>
      <c r="C21" s="47">
        <v>-25000</v>
      </c>
      <c r="D21" s="47">
        <v>-25000</v>
      </c>
    </row>
    <row r="22" spans="1:5" s="45" customFormat="1">
      <c r="A22" s="45" t="s">
        <v>444</v>
      </c>
      <c r="B22" s="47">
        <v>-25000</v>
      </c>
      <c r="C22" s="47">
        <v>-25000</v>
      </c>
      <c r="D22" s="47">
        <v>-25000</v>
      </c>
    </row>
    <row r="23" spans="1:5" s="45" customFormat="1">
      <c r="A23" s="45" t="s">
        <v>242</v>
      </c>
      <c r="B23" s="47">
        <v>-25000</v>
      </c>
      <c r="C23" s="47">
        <v>-25000</v>
      </c>
      <c r="D23" s="47">
        <v>-25000</v>
      </c>
    </row>
    <row r="24" spans="1:5" s="45" customFormat="1">
      <c r="A24" s="45" t="s">
        <v>445</v>
      </c>
      <c r="B24" s="47">
        <v>-25000</v>
      </c>
      <c r="C24" s="47">
        <v>-25000</v>
      </c>
      <c r="D24" s="47">
        <v>-25000</v>
      </c>
    </row>
    <row r="25" spans="1:5">
      <c r="A25" s="14" t="s">
        <v>388</v>
      </c>
      <c r="B25" s="29">
        <f>SUM(B19:B24)</f>
        <v>44486991</v>
      </c>
      <c r="C25" s="29">
        <f t="shared" ref="C25:D25" si="1">SUM(C19:C24)</f>
        <v>40548076.560000002</v>
      </c>
      <c r="D25" s="29">
        <f t="shared" si="1"/>
        <v>45880084</v>
      </c>
    </row>
    <row r="31" spans="1:5">
      <c r="D31" s="84"/>
    </row>
    <row r="35" spans="2:7">
      <c r="B35" s="28"/>
      <c r="C35" s="13"/>
      <c r="D35" s="38"/>
      <c r="E35" s="13"/>
      <c r="F35" s="13"/>
      <c r="G35" s="13"/>
    </row>
  </sheetData>
  <mergeCells count="1">
    <mergeCell ref="B1:C1"/>
  </mergeCells>
  <pageMargins left="0.7" right="0.7" top="0.75" bottom="0.75" header="0.3" footer="0.3"/>
  <pageSetup scale="86" orientation="landscape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:K102"/>
  <sheetViews>
    <sheetView tabSelected="1" topLeftCell="A19" workbookViewId="0">
      <selection activeCell="B16" sqref="B16"/>
    </sheetView>
  </sheetViews>
  <sheetFormatPr defaultRowHeight="13.2"/>
  <cols>
    <col min="1" max="1" width="45.33203125" customWidth="1"/>
    <col min="2" max="2" width="11.5546875" style="47" customWidth="1"/>
    <col min="3" max="3" width="11.109375" style="47" customWidth="1"/>
    <col min="4" max="4" width="11.5546875" style="47" customWidth="1"/>
    <col min="5" max="5" width="11.5546875" customWidth="1"/>
    <col min="6" max="6" width="12.21875" customWidth="1"/>
    <col min="7" max="7" width="10.44140625" bestFit="1" customWidth="1"/>
  </cols>
  <sheetData>
    <row r="1" spans="1:11" s="45" customFormat="1" ht="24.6">
      <c r="A1" s="90" t="s">
        <v>455</v>
      </c>
      <c r="B1" s="90"/>
      <c r="C1" s="90"/>
      <c r="D1" s="90"/>
      <c r="E1" s="90"/>
      <c r="F1" s="90"/>
    </row>
    <row r="2" spans="1:11">
      <c r="A2" s="45"/>
    </row>
    <row r="3" spans="1:11">
      <c r="B3" s="26" t="s">
        <v>426</v>
      </c>
      <c r="C3" s="11"/>
      <c r="D3" s="11"/>
      <c r="E3" s="11"/>
      <c r="F3" s="11"/>
    </row>
    <row r="4" spans="1:11" ht="39.6">
      <c r="A4" s="20" t="s">
        <v>149</v>
      </c>
      <c r="B4" s="79" t="s">
        <v>440</v>
      </c>
      <c r="C4" s="87" t="s">
        <v>442</v>
      </c>
      <c r="D4" s="74" t="s">
        <v>428</v>
      </c>
      <c r="E4" s="74" t="s">
        <v>427</v>
      </c>
      <c r="F4" s="74" t="s">
        <v>438</v>
      </c>
    </row>
    <row r="5" spans="1:11">
      <c r="A5" s="49" t="s">
        <v>349</v>
      </c>
      <c r="B5" s="11">
        <v>19855263</v>
      </c>
      <c r="C5" s="11">
        <v>1385103</v>
      </c>
      <c r="D5" s="11">
        <v>21240366</v>
      </c>
      <c r="E5" s="11">
        <v>600980</v>
      </c>
      <c r="F5" s="11">
        <v>21841346</v>
      </c>
    </row>
    <row r="6" spans="1:11">
      <c r="A6" s="49" t="s">
        <v>350</v>
      </c>
      <c r="B6" s="11">
        <v>6564665</v>
      </c>
      <c r="C6" s="11">
        <v>-508470</v>
      </c>
      <c r="D6" s="11">
        <v>6056195</v>
      </c>
      <c r="E6" s="11">
        <v>-450673</v>
      </c>
      <c r="F6" s="11">
        <v>5605522</v>
      </c>
      <c r="G6" s="45"/>
      <c r="K6" s="45"/>
    </row>
    <row r="7" spans="1:11">
      <c r="A7" s="49" t="s">
        <v>437</v>
      </c>
      <c r="B7" s="11">
        <v>12</v>
      </c>
      <c r="C7" s="11">
        <v>-12</v>
      </c>
      <c r="D7" s="11">
        <v>0</v>
      </c>
      <c r="E7" s="11">
        <v>-14</v>
      </c>
      <c r="F7" s="11">
        <v>-14</v>
      </c>
      <c r="G7" s="45"/>
      <c r="K7" s="45"/>
    </row>
    <row r="8" spans="1:11">
      <c r="A8" s="49" t="s">
        <v>351</v>
      </c>
      <c r="B8" s="11">
        <v>877412</v>
      </c>
      <c r="C8" s="11">
        <v>-127411</v>
      </c>
      <c r="D8" s="11">
        <v>750001</v>
      </c>
      <c r="E8" s="11">
        <v>-93155</v>
      </c>
      <c r="F8" s="11">
        <v>656846</v>
      </c>
      <c r="G8" s="45"/>
      <c r="K8" s="45"/>
    </row>
    <row r="9" spans="1:11">
      <c r="A9" s="49" t="s">
        <v>352</v>
      </c>
      <c r="B9" s="11">
        <v>1044982</v>
      </c>
      <c r="C9" s="11">
        <v>-65065</v>
      </c>
      <c r="D9" s="11">
        <v>979917</v>
      </c>
      <c r="E9" s="11">
        <v>46474</v>
      </c>
      <c r="F9" s="11">
        <v>1026391</v>
      </c>
      <c r="G9" s="45"/>
      <c r="K9" s="45"/>
    </row>
    <row r="10" spans="1:11">
      <c r="A10" s="49" t="s">
        <v>353</v>
      </c>
      <c r="B10" s="11">
        <v>0</v>
      </c>
      <c r="C10" s="11">
        <v>25000</v>
      </c>
      <c r="D10" s="11">
        <v>25000</v>
      </c>
      <c r="E10" s="11">
        <v>0</v>
      </c>
      <c r="F10" s="11">
        <v>25000</v>
      </c>
      <c r="G10" s="45"/>
      <c r="K10" s="45"/>
    </row>
    <row r="11" spans="1:11">
      <c r="A11" s="49" t="s">
        <v>452</v>
      </c>
      <c r="B11" s="11">
        <v>0</v>
      </c>
      <c r="C11" s="11">
        <v>25000</v>
      </c>
      <c r="D11" s="11">
        <v>25000</v>
      </c>
      <c r="E11" s="11">
        <v>0</v>
      </c>
      <c r="F11" s="11">
        <v>25000</v>
      </c>
      <c r="G11" s="45"/>
      <c r="K11" s="45"/>
    </row>
    <row r="12" spans="1:11">
      <c r="A12" s="49" t="s">
        <v>354</v>
      </c>
      <c r="B12" s="11">
        <v>56826</v>
      </c>
      <c r="C12" s="11">
        <v>-31826</v>
      </c>
      <c r="D12" s="11">
        <v>25000</v>
      </c>
      <c r="E12" s="11">
        <v>0</v>
      </c>
      <c r="F12" s="11">
        <v>25000</v>
      </c>
      <c r="G12" s="45"/>
      <c r="K12" s="45"/>
    </row>
    <row r="13" spans="1:11">
      <c r="A13" s="49" t="s">
        <v>355</v>
      </c>
      <c r="B13" s="11">
        <v>218979</v>
      </c>
      <c r="C13" s="11">
        <v>-130730</v>
      </c>
      <c r="D13" s="11">
        <v>88249</v>
      </c>
      <c r="E13" s="11">
        <v>35960</v>
      </c>
      <c r="F13" s="11">
        <v>124209</v>
      </c>
      <c r="G13" s="45"/>
      <c r="K13" s="45"/>
    </row>
    <row r="14" spans="1:11">
      <c r="A14" s="49" t="s">
        <v>356</v>
      </c>
      <c r="B14" s="11">
        <v>9633</v>
      </c>
      <c r="C14" s="11">
        <v>4601</v>
      </c>
      <c r="D14" s="11">
        <v>14234</v>
      </c>
      <c r="E14" s="11">
        <v>34000</v>
      </c>
      <c r="F14" s="11">
        <v>48234</v>
      </c>
      <c r="G14" s="45"/>
      <c r="K14" s="45"/>
    </row>
    <row r="15" spans="1:11">
      <c r="A15" s="49" t="s">
        <v>357</v>
      </c>
      <c r="B15" s="11">
        <v>25000</v>
      </c>
      <c r="C15" s="11">
        <v>0</v>
      </c>
      <c r="D15" s="11">
        <v>25000</v>
      </c>
      <c r="E15" s="11">
        <v>0</v>
      </c>
      <c r="F15" s="11">
        <v>25000</v>
      </c>
      <c r="G15" s="45"/>
      <c r="K15" s="45"/>
    </row>
    <row r="16" spans="1:11">
      <c r="A16" s="49" t="s">
        <v>358</v>
      </c>
      <c r="B16" s="11">
        <v>835994</v>
      </c>
      <c r="C16" s="11">
        <v>-92863</v>
      </c>
      <c r="D16" s="11">
        <v>743131</v>
      </c>
      <c r="E16" s="11">
        <v>-279718</v>
      </c>
      <c r="F16" s="11">
        <v>463413</v>
      </c>
      <c r="G16" s="45"/>
      <c r="K16" s="45"/>
    </row>
    <row r="17" spans="1:11">
      <c r="A17" s="49" t="s">
        <v>359</v>
      </c>
      <c r="B17" s="11">
        <v>11137</v>
      </c>
      <c r="C17" s="11">
        <v>12654</v>
      </c>
      <c r="D17" s="11">
        <v>23791</v>
      </c>
      <c r="E17" s="11">
        <v>365</v>
      </c>
      <c r="F17" s="11">
        <v>24156</v>
      </c>
      <c r="G17" s="45"/>
      <c r="K17" s="45"/>
    </row>
    <row r="18" spans="1:11">
      <c r="A18" s="49" t="s">
        <v>453</v>
      </c>
      <c r="B18" s="11">
        <v>0</v>
      </c>
      <c r="C18" s="11">
        <v>25000</v>
      </c>
      <c r="D18" s="11">
        <v>25000</v>
      </c>
      <c r="E18" s="11">
        <v>0</v>
      </c>
      <c r="F18" s="11">
        <v>25000</v>
      </c>
      <c r="G18" s="45"/>
      <c r="K18" s="45"/>
    </row>
    <row r="19" spans="1:11">
      <c r="A19" s="49" t="s">
        <v>360</v>
      </c>
      <c r="B19" s="11">
        <v>46490</v>
      </c>
      <c r="C19" s="11">
        <v>-19388</v>
      </c>
      <c r="D19" s="11">
        <v>27102</v>
      </c>
      <c r="E19" s="11">
        <v>39842</v>
      </c>
      <c r="F19" s="11">
        <v>66944</v>
      </c>
      <c r="G19" s="45"/>
      <c r="K19" s="45"/>
    </row>
    <row r="20" spans="1:11">
      <c r="A20" s="49" t="s">
        <v>361</v>
      </c>
      <c r="B20" s="11">
        <v>48200</v>
      </c>
      <c r="C20" s="11">
        <v>-42685</v>
      </c>
      <c r="D20" s="11">
        <v>5515</v>
      </c>
      <c r="E20" s="11">
        <v>-69738</v>
      </c>
      <c r="F20" s="11">
        <v>-64223</v>
      </c>
      <c r="G20" s="45"/>
      <c r="K20" s="45"/>
    </row>
    <row r="21" spans="1:11">
      <c r="A21" s="49" t="s">
        <v>362</v>
      </c>
      <c r="B21" s="11">
        <v>190847</v>
      </c>
      <c r="C21" s="11">
        <v>2807</v>
      </c>
      <c r="D21" s="11">
        <v>193654</v>
      </c>
      <c r="E21" s="11">
        <v>31778</v>
      </c>
      <c r="F21" s="11">
        <v>225432</v>
      </c>
      <c r="G21" s="45"/>
      <c r="K21" s="45"/>
    </row>
    <row r="22" spans="1:11">
      <c r="A22" s="49" t="s">
        <v>363</v>
      </c>
      <c r="B22" s="11">
        <v>40107</v>
      </c>
      <c r="C22" s="11">
        <v>56916</v>
      </c>
      <c r="D22" s="11">
        <v>97023</v>
      </c>
      <c r="E22" s="11">
        <v>21384</v>
      </c>
      <c r="F22" s="11">
        <v>118407</v>
      </c>
      <c r="G22" s="45"/>
      <c r="K22" s="45"/>
    </row>
    <row r="23" spans="1:11">
      <c r="A23" s="49" t="s">
        <v>364</v>
      </c>
      <c r="B23" s="11">
        <v>7072025</v>
      </c>
      <c r="C23" s="11">
        <v>-1594951</v>
      </c>
      <c r="D23" s="11">
        <v>5477074</v>
      </c>
      <c r="E23" s="11">
        <v>-1784345</v>
      </c>
      <c r="F23" s="11">
        <v>3692729</v>
      </c>
      <c r="G23" s="45"/>
      <c r="K23" s="45"/>
    </row>
    <row r="24" spans="1:11">
      <c r="A24" s="49" t="s">
        <v>365</v>
      </c>
      <c r="B24" s="11">
        <v>29624</v>
      </c>
      <c r="C24" s="11">
        <v>-11417</v>
      </c>
      <c r="D24" s="11">
        <v>18207</v>
      </c>
      <c r="E24" s="11">
        <v>-23162</v>
      </c>
      <c r="F24" s="11">
        <v>-4955</v>
      </c>
      <c r="G24" s="45"/>
      <c r="K24" s="45"/>
    </row>
    <row r="25" spans="1:11">
      <c r="A25" s="49" t="s">
        <v>366</v>
      </c>
      <c r="B25" s="11">
        <v>4533246</v>
      </c>
      <c r="C25" s="11">
        <v>-92382</v>
      </c>
      <c r="D25" s="11">
        <v>4440864</v>
      </c>
      <c r="E25" s="11">
        <v>-458039</v>
      </c>
      <c r="F25" s="11">
        <v>3982825</v>
      </c>
      <c r="G25" s="45"/>
      <c r="K25" s="45"/>
    </row>
    <row r="26" spans="1:11">
      <c r="A26" s="49" t="s">
        <v>367</v>
      </c>
      <c r="B26" s="11">
        <v>302239</v>
      </c>
      <c r="C26" s="11">
        <v>4661</v>
      </c>
      <c r="D26" s="11">
        <v>306900</v>
      </c>
      <c r="E26" s="11">
        <v>19414</v>
      </c>
      <c r="F26" s="11">
        <v>326314</v>
      </c>
      <c r="G26" s="45"/>
      <c r="K26" s="45"/>
    </row>
    <row r="27" spans="1:11">
      <c r="A27" s="49" t="s">
        <v>368</v>
      </c>
      <c r="B27" s="11">
        <v>63031</v>
      </c>
      <c r="C27" s="11">
        <v>68328</v>
      </c>
      <c r="D27" s="11">
        <v>131359</v>
      </c>
      <c r="E27" s="11">
        <v>49739</v>
      </c>
      <c r="F27" s="11">
        <v>181098</v>
      </c>
      <c r="G27" s="45"/>
      <c r="K27" s="45"/>
    </row>
    <row r="28" spans="1:11">
      <c r="A28" s="49" t="s">
        <v>369</v>
      </c>
      <c r="B28" s="11">
        <v>188043</v>
      </c>
      <c r="C28" s="11">
        <v>-20430</v>
      </c>
      <c r="D28" s="11">
        <v>167613</v>
      </c>
      <c r="E28" s="11">
        <v>-20742</v>
      </c>
      <c r="F28" s="11">
        <v>146871</v>
      </c>
      <c r="G28" s="45"/>
      <c r="K28" s="45"/>
    </row>
    <row r="29" spans="1:11">
      <c r="A29" s="49" t="s">
        <v>370</v>
      </c>
      <c r="B29" s="11">
        <v>169525</v>
      </c>
      <c r="C29" s="11">
        <v>-32078</v>
      </c>
      <c r="D29" s="11">
        <v>137447</v>
      </c>
      <c r="E29" s="11">
        <v>-75229</v>
      </c>
      <c r="F29" s="11">
        <v>62218</v>
      </c>
      <c r="G29" s="45"/>
      <c r="K29" s="45"/>
    </row>
    <row r="30" spans="1:11">
      <c r="A30" s="49" t="s">
        <v>371</v>
      </c>
      <c r="B30" s="11">
        <v>197855</v>
      </c>
      <c r="C30" s="11">
        <v>-51441</v>
      </c>
      <c r="D30" s="11">
        <v>146414</v>
      </c>
      <c r="E30" s="11">
        <v>-41312</v>
      </c>
      <c r="F30" s="11">
        <v>105102</v>
      </c>
      <c r="G30" s="45"/>
      <c r="K30" s="45"/>
    </row>
    <row r="31" spans="1:11">
      <c r="A31" s="49" t="s">
        <v>372</v>
      </c>
      <c r="B31" s="11">
        <v>170185</v>
      </c>
      <c r="C31" s="11">
        <v>-32116</v>
      </c>
      <c r="D31" s="11">
        <v>138069</v>
      </c>
      <c r="E31" s="11">
        <v>7324</v>
      </c>
      <c r="F31" s="11">
        <v>145393</v>
      </c>
      <c r="G31" s="45"/>
      <c r="K31" s="45"/>
    </row>
    <row r="32" spans="1:11">
      <c r="A32" s="49" t="s">
        <v>373</v>
      </c>
      <c r="B32" s="11">
        <v>88889</v>
      </c>
      <c r="C32" s="11">
        <v>100096</v>
      </c>
      <c r="D32" s="11">
        <v>188985</v>
      </c>
      <c r="E32" s="11">
        <v>80298</v>
      </c>
      <c r="F32" s="11">
        <v>269283</v>
      </c>
      <c r="G32" s="45"/>
      <c r="K32" s="45"/>
    </row>
    <row r="33" spans="1:11">
      <c r="A33" s="49" t="s">
        <v>374</v>
      </c>
      <c r="B33" s="11">
        <v>870715</v>
      </c>
      <c r="C33" s="11">
        <v>-77586</v>
      </c>
      <c r="D33" s="11">
        <v>793129</v>
      </c>
      <c r="E33" s="11">
        <v>-138454</v>
      </c>
      <c r="F33" s="11">
        <v>654675</v>
      </c>
      <c r="G33" s="45"/>
      <c r="K33" s="45"/>
    </row>
    <row r="34" spans="1:11">
      <c r="A34" s="49" t="s">
        <v>375</v>
      </c>
      <c r="B34" s="11">
        <v>966077</v>
      </c>
      <c r="C34" s="11">
        <v>-61953</v>
      </c>
      <c r="D34" s="11">
        <v>904124</v>
      </c>
      <c r="E34" s="11">
        <v>60976</v>
      </c>
      <c r="F34" s="11">
        <v>965100</v>
      </c>
      <c r="G34" s="45"/>
      <c r="K34" s="45"/>
    </row>
    <row r="35" spans="1:11">
      <c r="A35" s="49" t="s">
        <v>376</v>
      </c>
      <c r="B35" s="11">
        <v>255395</v>
      </c>
      <c r="C35" s="11">
        <v>-14947</v>
      </c>
      <c r="D35" s="11">
        <v>240448</v>
      </c>
      <c r="E35" s="11">
        <v>10729</v>
      </c>
      <c r="F35" s="11">
        <v>251177</v>
      </c>
      <c r="G35" s="45"/>
      <c r="K35" s="45"/>
    </row>
    <row r="36" spans="1:11">
      <c r="A36" s="49" t="s">
        <v>377</v>
      </c>
      <c r="B36" s="11">
        <v>269709</v>
      </c>
      <c r="C36" s="11">
        <v>-41301</v>
      </c>
      <c r="D36" s="11">
        <v>228408</v>
      </c>
      <c r="E36" s="11">
        <v>-46260</v>
      </c>
      <c r="F36" s="11">
        <v>182148</v>
      </c>
      <c r="G36" s="45"/>
      <c r="K36" s="45"/>
    </row>
    <row r="37" spans="1:11">
      <c r="A37" s="49" t="s">
        <v>378</v>
      </c>
      <c r="B37" s="11">
        <v>146759</v>
      </c>
      <c r="C37" s="11">
        <v>-3645</v>
      </c>
      <c r="D37" s="11">
        <v>143114</v>
      </c>
      <c r="E37" s="11">
        <v>1258</v>
      </c>
      <c r="F37" s="11">
        <v>144372</v>
      </c>
      <c r="G37" s="45"/>
      <c r="K37" s="45"/>
    </row>
    <row r="38" spans="1:11">
      <c r="A38" s="49" t="s">
        <v>379</v>
      </c>
      <c r="B38" s="11">
        <v>1788183</v>
      </c>
      <c r="C38" s="11">
        <v>-55392</v>
      </c>
      <c r="D38" s="11">
        <v>1732791</v>
      </c>
      <c r="E38" s="11">
        <v>82531</v>
      </c>
      <c r="F38" s="11">
        <v>1815322</v>
      </c>
      <c r="G38" s="45"/>
      <c r="K38" s="45"/>
    </row>
    <row r="39" spans="1:11">
      <c r="A39" s="49" t="s">
        <v>380</v>
      </c>
      <c r="B39" s="11">
        <v>210491</v>
      </c>
      <c r="C39" s="11">
        <v>-49149</v>
      </c>
      <c r="D39" s="11">
        <v>161342</v>
      </c>
      <c r="E39" s="11">
        <v>-129971</v>
      </c>
      <c r="F39" s="11">
        <v>31371</v>
      </c>
      <c r="G39" s="45"/>
      <c r="K39" s="45"/>
    </row>
    <row r="40" spans="1:11">
      <c r="A40" s="49" t="s">
        <v>381</v>
      </c>
      <c r="B40" s="11">
        <v>96883</v>
      </c>
      <c r="C40" s="11">
        <v>20626</v>
      </c>
      <c r="D40" s="11">
        <v>117509</v>
      </c>
      <c r="E40" s="11">
        <v>15212</v>
      </c>
      <c r="F40" s="11">
        <v>132721</v>
      </c>
      <c r="G40" s="45"/>
      <c r="K40" s="45"/>
    </row>
    <row r="41" spans="1:11">
      <c r="A41" s="49" t="s">
        <v>382</v>
      </c>
      <c r="B41" s="11">
        <v>146823</v>
      </c>
      <c r="C41" s="11">
        <v>40288</v>
      </c>
      <c r="D41" s="11">
        <v>187111</v>
      </c>
      <c r="E41" s="11">
        <v>-11032</v>
      </c>
      <c r="F41" s="11">
        <v>176079</v>
      </c>
    </row>
    <row r="42" spans="1:11">
      <c r="A42" s="49" t="s">
        <v>383</v>
      </c>
      <c r="B42" s="11">
        <v>47391244</v>
      </c>
      <c r="C42" s="11">
        <v>-1386158</v>
      </c>
      <c r="D42" s="11">
        <v>46005086</v>
      </c>
      <c r="E42" s="11">
        <v>-2483580</v>
      </c>
      <c r="F42" s="11">
        <v>43521506</v>
      </c>
    </row>
    <row r="43" spans="1:11">
      <c r="B43"/>
      <c r="C43"/>
      <c r="D43"/>
    </row>
    <row r="44" spans="1:11">
      <c r="C44" s="86" t="s">
        <v>449</v>
      </c>
      <c r="D44" s="85">
        <f>1-(GETPIVOTDATA(" FY 2014-15 CAL Charge",$A$3,"Fund","100 - General Fund")/GETPIVOTDATA(" FY 2014-15 CAL Charge",$A$3))</f>
        <v>0.53830396056644692</v>
      </c>
      <c r="E44" s="11"/>
      <c r="F44" s="11"/>
      <c r="G44" s="11"/>
    </row>
    <row r="45" spans="1:11">
      <c r="B45"/>
      <c r="C45"/>
      <c r="D45" s="83"/>
      <c r="F45" s="82"/>
    </row>
    <row r="46" spans="1:11">
      <c r="B46"/>
      <c r="C46"/>
      <c r="D46"/>
    </row>
    <row r="47" spans="1:11">
      <c r="B47"/>
      <c r="C47"/>
      <c r="D47"/>
    </row>
    <row r="48" spans="1:11">
      <c r="B48"/>
      <c r="C48"/>
      <c r="D48"/>
    </row>
    <row r="49" spans="2:4">
      <c r="B49"/>
      <c r="C49"/>
      <c r="D49"/>
    </row>
    <row r="50" spans="2:4">
      <c r="B50"/>
      <c r="C50"/>
      <c r="D50"/>
    </row>
    <row r="51" spans="2:4">
      <c r="B51"/>
      <c r="C51"/>
      <c r="D51"/>
    </row>
    <row r="52" spans="2:4">
      <c r="B52"/>
      <c r="C52"/>
      <c r="D52"/>
    </row>
    <row r="53" spans="2:4">
      <c r="B53"/>
      <c r="C53"/>
      <c r="D53"/>
    </row>
    <row r="54" spans="2:4">
      <c r="B54"/>
      <c r="C54"/>
      <c r="D54"/>
    </row>
    <row r="55" spans="2:4">
      <c r="B55"/>
      <c r="C55"/>
      <c r="D55"/>
    </row>
    <row r="56" spans="2:4">
      <c r="B56"/>
      <c r="C56"/>
      <c r="D56"/>
    </row>
    <row r="57" spans="2:4">
      <c r="B57"/>
      <c r="C57"/>
      <c r="D57"/>
    </row>
    <row r="58" spans="2:4">
      <c r="B58"/>
      <c r="C58"/>
      <c r="D58"/>
    </row>
    <row r="59" spans="2:4">
      <c r="B59"/>
      <c r="C59"/>
      <c r="D59"/>
    </row>
    <row r="60" spans="2:4">
      <c r="B60"/>
      <c r="C60"/>
      <c r="D60"/>
    </row>
    <row r="61" spans="2:4">
      <c r="B61"/>
      <c r="C61"/>
      <c r="D61"/>
    </row>
    <row r="62" spans="2:4">
      <c r="B62"/>
      <c r="C62"/>
      <c r="D62"/>
    </row>
    <row r="63" spans="2:4">
      <c r="B63"/>
      <c r="C63"/>
      <c r="D63"/>
    </row>
    <row r="64" spans="2:4">
      <c r="B64"/>
      <c r="C64"/>
      <c r="D64"/>
    </row>
    <row r="65" spans="2:4">
      <c r="B65"/>
      <c r="C65"/>
      <c r="D65"/>
    </row>
    <row r="66" spans="2:4">
      <c r="B66"/>
      <c r="C66"/>
      <c r="D66"/>
    </row>
    <row r="67" spans="2:4">
      <c r="B67"/>
      <c r="C67"/>
      <c r="D67"/>
    </row>
    <row r="68" spans="2:4">
      <c r="B68"/>
      <c r="C68"/>
      <c r="D68"/>
    </row>
    <row r="69" spans="2:4">
      <c r="B69"/>
      <c r="C69"/>
      <c r="D69"/>
    </row>
    <row r="70" spans="2:4">
      <c r="B70"/>
      <c r="C70"/>
      <c r="D70"/>
    </row>
    <row r="71" spans="2:4">
      <c r="B71"/>
      <c r="C71"/>
      <c r="D71"/>
    </row>
    <row r="72" spans="2:4">
      <c r="B72"/>
      <c r="C72"/>
      <c r="D72"/>
    </row>
    <row r="73" spans="2:4">
      <c r="B73"/>
      <c r="C73"/>
      <c r="D73"/>
    </row>
    <row r="74" spans="2:4">
      <c r="B74"/>
      <c r="C74"/>
      <c r="D74"/>
    </row>
    <row r="75" spans="2:4">
      <c r="B75"/>
      <c r="C75"/>
      <c r="D75"/>
    </row>
    <row r="76" spans="2:4">
      <c r="B76"/>
      <c r="C76"/>
      <c r="D76"/>
    </row>
    <row r="77" spans="2:4">
      <c r="B77"/>
      <c r="C77"/>
      <c r="D77"/>
    </row>
    <row r="78" spans="2:4">
      <c r="B78"/>
      <c r="C78"/>
      <c r="D78"/>
    </row>
    <row r="79" spans="2:4">
      <c r="B79"/>
      <c r="C79"/>
      <c r="D79"/>
    </row>
    <row r="80" spans="2:4">
      <c r="B80"/>
      <c r="C80"/>
      <c r="D80"/>
    </row>
    <row r="81" spans="2:4">
      <c r="B81"/>
      <c r="C81"/>
      <c r="D81"/>
    </row>
    <row r="82" spans="2:4">
      <c r="B82"/>
      <c r="C82"/>
      <c r="D82"/>
    </row>
    <row r="83" spans="2:4">
      <c r="B83"/>
      <c r="C83"/>
      <c r="D83"/>
    </row>
    <row r="84" spans="2:4">
      <c r="B84"/>
      <c r="C84"/>
      <c r="D84"/>
    </row>
    <row r="85" spans="2:4">
      <c r="B85"/>
      <c r="C85"/>
      <c r="D85"/>
    </row>
    <row r="86" spans="2:4">
      <c r="B86"/>
      <c r="C86"/>
      <c r="D86"/>
    </row>
    <row r="87" spans="2:4">
      <c r="B87"/>
      <c r="C87"/>
      <c r="D87"/>
    </row>
    <row r="88" spans="2:4">
      <c r="B88"/>
      <c r="C88"/>
      <c r="D88"/>
    </row>
    <row r="89" spans="2:4">
      <c r="B89"/>
      <c r="C89"/>
      <c r="D89"/>
    </row>
    <row r="90" spans="2:4">
      <c r="B90"/>
      <c r="C90"/>
      <c r="D90"/>
    </row>
    <row r="91" spans="2:4">
      <c r="B91"/>
      <c r="C91"/>
      <c r="D91"/>
    </row>
    <row r="92" spans="2:4">
      <c r="B92"/>
      <c r="C92"/>
      <c r="D92"/>
    </row>
    <row r="93" spans="2:4">
      <c r="B93"/>
      <c r="C93"/>
      <c r="D93"/>
    </row>
    <row r="94" spans="2:4">
      <c r="B94"/>
      <c r="C94"/>
      <c r="D94"/>
    </row>
    <row r="95" spans="2:4">
      <c r="B95"/>
      <c r="C95"/>
      <c r="D95"/>
    </row>
    <row r="96" spans="2:4">
      <c r="B96"/>
      <c r="C96"/>
      <c r="D96"/>
    </row>
    <row r="97" spans="2:4">
      <c r="B97"/>
      <c r="C97"/>
      <c r="D97"/>
    </row>
    <row r="98" spans="2:4">
      <c r="B98"/>
      <c r="C98"/>
      <c r="D98"/>
    </row>
    <row r="99" spans="2:4">
      <c r="B99"/>
      <c r="C99"/>
      <c r="D99"/>
    </row>
    <row r="100" spans="2:4">
      <c r="B100"/>
      <c r="C100"/>
      <c r="D100"/>
    </row>
    <row r="101" spans="2:4">
      <c r="B101"/>
      <c r="C101"/>
      <c r="D101"/>
    </row>
    <row r="102" spans="2:4">
      <c r="B102"/>
      <c r="C102"/>
      <c r="D102"/>
    </row>
  </sheetData>
  <mergeCells count="1">
    <mergeCell ref="A1:F1"/>
  </mergeCells>
  <pageMargins left="0.2" right="0.2" top="0.5" bottom="0.5" header="0.3" footer="0.3"/>
  <pageSetup orientation="portrait" r:id="rId2"/>
  <headerFooter>
    <oddFooter>&amp;R&amp;D &amp;T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>
  <dimension ref="A1:W103"/>
  <sheetViews>
    <sheetView workbookViewId="0">
      <selection activeCell="P5" sqref="P5"/>
    </sheetView>
  </sheetViews>
  <sheetFormatPr defaultRowHeight="13.2"/>
  <cols>
    <col min="1" max="1" width="9.33203125" customWidth="1"/>
    <col min="3" max="3" width="46.21875" hidden="1" customWidth="1"/>
    <col min="4" max="4" width="37.77734375" hidden="1" customWidth="1"/>
    <col min="5" max="7" width="10.77734375" customWidth="1"/>
    <col min="8" max="9" width="10.77734375" style="45" customWidth="1"/>
    <col min="10" max="11" width="10.77734375" customWidth="1"/>
    <col min="12" max="12" width="12.21875" bestFit="1" customWidth="1"/>
    <col min="13" max="14" width="12.21875" style="45" bestFit="1" customWidth="1"/>
    <col min="15" max="15" width="11.6640625" customWidth="1"/>
    <col min="16" max="16" width="11.6640625" style="45" customWidth="1"/>
    <col min="17" max="17" width="13.88671875" customWidth="1"/>
    <col min="18" max="18" width="14.109375" bestFit="1" customWidth="1"/>
    <col min="19" max="19" width="15.21875" customWidth="1"/>
    <col min="20" max="21" width="15.21875" style="45" customWidth="1"/>
    <col min="22" max="23" width="14.77734375" style="45" customWidth="1"/>
  </cols>
  <sheetData>
    <row r="1" spans="1:23" ht="27" thickBot="1">
      <c r="A1" s="54" t="s">
        <v>408</v>
      </c>
      <c r="B1" s="55" t="s">
        <v>340</v>
      </c>
      <c r="C1" s="55" t="s">
        <v>149</v>
      </c>
      <c r="D1" s="55" t="s">
        <v>152</v>
      </c>
      <c r="E1" s="56" t="s">
        <v>409</v>
      </c>
      <c r="F1" s="56" t="s">
        <v>410</v>
      </c>
      <c r="G1" s="56" t="s">
        <v>411</v>
      </c>
      <c r="H1" s="56" t="s">
        <v>412</v>
      </c>
      <c r="I1" s="56" t="s">
        <v>413</v>
      </c>
      <c r="J1" s="57" t="s">
        <v>414</v>
      </c>
      <c r="K1" s="57" t="s">
        <v>415</v>
      </c>
      <c r="L1" s="57" t="s">
        <v>416</v>
      </c>
      <c r="M1" s="57" t="s">
        <v>417</v>
      </c>
      <c r="N1" s="57" t="s">
        <v>418</v>
      </c>
      <c r="O1" s="58" t="s">
        <v>420</v>
      </c>
      <c r="P1" s="58" t="s">
        <v>419</v>
      </c>
      <c r="Q1" s="72" t="s">
        <v>422</v>
      </c>
      <c r="R1" s="72" t="s">
        <v>421</v>
      </c>
      <c r="S1" s="72" t="s">
        <v>423</v>
      </c>
      <c r="T1" s="72" t="s">
        <v>439</v>
      </c>
      <c r="U1" s="72" t="s">
        <v>441</v>
      </c>
      <c r="V1" s="72" t="s">
        <v>424</v>
      </c>
      <c r="W1" s="72" t="s">
        <v>425</v>
      </c>
    </row>
    <row r="2" spans="1:23">
      <c r="A2" s="45" t="s">
        <v>163</v>
      </c>
      <c r="B2" s="49" t="str">
        <f t="shared" ref="B2:B36" si="0">VLOOKUP(A2,Crosswalk,2,FALSE)</f>
        <v>100-AT</v>
      </c>
      <c r="C2" s="49" t="str">
        <f t="shared" ref="C2:C33" si="1">CONCATENATE((LEFT(B2,3))," - ",(VLOOKUP((LEFT(B2,3)),Funds,2,FALSE)))</f>
        <v>100 - General Fund</v>
      </c>
      <c r="D2" s="49" t="str">
        <f t="shared" ref="D2:D33" si="2">VLOOKUP((RIGHT(B2,2)),Bureaus,2,FALSE)</f>
        <v>Office of the City Attorney</v>
      </c>
      <c r="E2" s="51">
        <f t="shared" ref="E2:E36" si="3">IF(B2="Excluded",0,(IF(ISNA(VLOOKUP(A2,FY2008_09,10,FALSE)),0,(VLOOKUP(A2,FY2008_09,10,FALSE)))))</f>
        <v>0</v>
      </c>
      <c r="F2" s="51">
        <f t="shared" ref="F2:F36" si="4">IF(B2="Excluded",0,(IF(ISNA(VLOOKUP(A2,FY2009_10,10,FALSE)),0,(VLOOKUP(A2,FY2009_10,10,FALSE)))))</f>
        <v>0</v>
      </c>
      <c r="G2" s="51">
        <f t="shared" ref="G2:G36" si="5">IF(B2="Excluded",0,(IF(ISNA(VLOOKUP(A2,FY2010_11,10,FALSE)),0,(VLOOKUP(A2,FY2010_11,10,FALSE)))))</f>
        <v>0</v>
      </c>
      <c r="H2" s="51">
        <f t="shared" ref="H2:H36" si="6">IF(B2="Excluded",0,(IF(ISNA(VLOOKUP(A2,FY2011_12,10,FALSE)),0,(VLOOKUP(A2,FY2011_12,10,FALSE)))))</f>
        <v>0</v>
      </c>
      <c r="I2" s="51">
        <f t="shared" ref="I2:I36" si="7">IF(B2="Excluded",0,(IF(ISNA(VLOOKUP(A2,FY2012_13,10,FALSE)),0,(VLOOKUP(A2,FY2012_13,10,FALSE)))))</f>
        <v>0</v>
      </c>
      <c r="J2" s="50">
        <f t="shared" ref="J2:J33" si="8">IF(B2="Excluded",0,(IF(ISNA(VLOOKUP(A2,FY2008_09P,6,FALSE)),0,(VLOOKUP(A2,FY2008_09P,6,FALSE)))))</f>
        <v>0</v>
      </c>
      <c r="K2" s="50">
        <f t="shared" ref="K2:K33" si="9">IF(B2="Excluded",0,(IF(ISNA(VLOOKUP(A2,FY2009_10P,6,FALSE)),0,(VLOOKUP(A2,FY2009_10P,6,FALSE)))))</f>
        <v>0</v>
      </c>
      <c r="L2" s="50">
        <f t="shared" ref="L2:L33" si="10">IF(B2="Excluded",0,(IF(ISNA(VLOOKUP(A2,FY2010_11P,6,FALSE)),0,(VLOOKUP(A2,FY2010_11P,6,FALSE)))))</f>
        <v>0</v>
      </c>
      <c r="M2" s="50">
        <f t="shared" ref="M2:M33" si="11">IF(B2="Excluded",0,(IF(ISNA(VLOOKUP(A2,FY2011_12P,6,FALSE)),0,(VLOOKUP(A2,FY2011_12P,6,FALSE)))))</f>
        <v>0</v>
      </c>
      <c r="N2" s="50">
        <f t="shared" ref="N2:N33" si="12">IF(B2="Excluded",0,(IF(ISNA(VLOOKUP(A2,FY2012_13P,6,FALSE)),0,(VLOOKUP(A2,FY2012_13P,6,FALSE)))))</f>
        <v>0</v>
      </c>
      <c r="O2" s="52">
        <f t="shared" ref="O2:O36" si="13">(AVERAGE(G2:I2)*0.75)+(AVERAGE(L2:N2)*0.25)</f>
        <v>0</v>
      </c>
      <c r="P2" s="52">
        <f>(AVERAGE(E2:G2)*0.75)+(AVERAGE(J2:L2)*0.25)</f>
        <v>0</v>
      </c>
      <c r="Q2" s="73">
        <v>0</v>
      </c>
      <c r="R2" s="73">
        <f>S2-Q2</f>
        <v>0</v>
      </c>
      <c r="S2" s="73">
        <f>ROUND((P2*'Cost Pool'!$C$25),0)</f>
        <v>0</v>
      </c>
      <c r="T2" s="73"/>
      <c r="U2" s="73">
        <f>V2-T2</f>
        <v>0</v>
      </c>
      <c r="V2" s="73">
        <f>ROUND((O2*'Cost Pool'!$D$25),0)</f>
        <v>0</v>
      </c>
      <c r="W2" s="73">
        <f>V2+R2</f>
        <v>0</v>
      </c>
    </row>
    <row r="3" spans="1:23">
      <c r="A3" s="45" t="s">
        <v>164</v>
      </c>
      <c r="B3" s="49" t="str">
        <f t="shared" si="0"/>
        <v>100-AU</v>
      </c>
      <c r="C3" s="49" t="str">
        <f t="shared" si="1"/>
        <v>100 - General Fund</v>
      </c>
      <c r="D3" s="49" t="str">
        <f t="shared" si="2"/>
        <v>Office of the City Auditor</v>
      </c>
      <c r="E3" s="51">
        <f t="shared" si="3"/>
        <v>0</v>
      </c>
      <c r="F3" s="51">
        <f t="shared" si="4"/>
        <v>0</v>
      </c>
      <c r="G3" s="51">
        <f t="shared" si="5"/>
        <v>0</v>
      </c>
      <c r="H3" s="51">
        <f t="shared" si="6"/>
        <v>0</v>
      </c>
      <c r="I3" s="51">
        <f t="shared" si="7"/>
        <v>0</v>
      </c>
      <c r="J3" s="50">
        <f t="shared" si="8"/>
        <v>0</v>
      </c>
      <c r="K3" s="50">
        <f t="shared" si="9"/>
        <v>0</v>
      </c>
      <c r="L3" s="50">
        <f t="shared" si="10"/>
        <v>0</v>
      </c>
      <c r="M3" s="50">
        <f t="shared" si="11"/>
        <v>0</v>
      </c>
      <c r="N3" s="50">
        <f t="shared" si="12"/>
        <v>0</v>
      </c>
      <c r="O3" s="52">
        <f t="shared" si="13"/>
        <v>0</v>
      </c>
      <c r="P3" s="52">
        <f t="shared" ref="P3:P70" si="14">(AVERAGE(E3:G3)*0.75)+(AVERAGE(J3:L3)*0.25)</f>
        <v>0</v>
      </c>
      <c r="Q3" s="73"/>
      <c r="R3" s="73">
        <f t="shared" ref="R3:R70" si="15">S3-Q3</f>
        <v>0</v>
      </c>
      <c r="S3" s="73">
        <f>ROUND((P3*'Cost Pool'!$C$25),0)</f>
        <v>0</v>
      </c>
      <c r="T3" s="73"/>
      <c r="U3" s="73">
        <f t="shared" ref="U3:U67" si="16">V3-T3</f>
        <v>0</v>
      </c>
      <c r="V3" s="73">
        <f>ROUND((O3*'Cost Pool'!$D$25),0)</f>
        <v>0</v>
      </c>
      <c r="W3" s="73">
        <f t="shared" ref="W3:W70" si="17">V3+R3</f>
        <v>0</v>
      </c>
    </row>
    <row r="4" spans="1:23" s="45" customFormat="1">
      <c r="A4" s="45" t="s">
        <v>345</v>
      </c>
      <c r="B4" s="49" t="str">
        <f t="shared" si="0"/>
        <v>100-BO</v>
      </c>
      <c r="C4" s="49" t="str">
        <f t="shared" si="1"/>
        <v>100 - General Fund</v>
      </c>
      <c r="D4" s="49" t="str">
        <f t="shared" si="2"/>
        <v>City Budget Office</v>
      </c>
      <c r="E4" s="51">
        <f t="shared" ref="E4" si="18">IF(B4="Excluded",0,(IF(ISNA(VLOOKUP(A4,FY2008_09,10,FALSE)),0,(VLOOKUP(A4,FY2008_09,10,FALSE)))))</f>
        <v>0</v>
      </c>
      <c r="F4" s="51">
        <f t="shared" ref="F4" si="19">IF(B4="Excluded",0,(IF(ISNA(VLOOKUP(A4,FY2009_10,10,FALSE)),0,(VLOOKUP(A4,FY2009_10,10,FALSE)))))</f>
        <v>0</v>
      </c>
      <c r="G4" s="51">
        <f t="shared" ref="G4" si="20">IF(B4="Excluded",0,(IF(ISNA(VLOOKUP(A4,FY2010_11,10,FALSE)),0,(VLOOKUP(A4,FY2010_11,10,FALSE)))))</f>
        <v>0</v>
      </c>
      <c r="H4" s="51">
        <f t="shared" ref="H4" si="21">IF(B4="Excluded",0,(IF(ISNA(VLOOKUP(A4,FY2011_12,10,FALSE)),0,(VLOOKUP(A4,FY2011_12,10,FALSE)))))</f>
        <v>0</v>
      </c>
      <c r="I4" s="51">
        <f t="shared" ref="I4" si="22">IF(B4="Excluded",0,(IF(ISNA(VLOOKUP(A4,FY2012_13,10,FALSE)),0,(VLOOKUP(A4,FY2012_13,10,FALSE)))))</f>
        <v>0</v>
      </c>
      <c r="J4" s="50">
        <f t="shared" si="8"/>
        <v>0</v>
      </c>
      <c r="K4" s="50">
        <f t="shared" si="9"/>
        <v>0</v>
      </c>
      <c r="L4" s="50">
        <f t="shared" si="10"/>
        <v>0</v>
      </c>
      <c r="M4" s="50">
        <f t="shared" si="11"/>
        <v>0</v>
      </c>
      <c r="N4" s="50">
        <f t="shared" si="12"/>
        <v>0</v>
      </c>
      <c r="O4" s="52">
        <f t="shared" si="13"/>
        <v>0</v>
      </c>
      <c r="P4" s="52">
        <f t="shared" si="14"/>
        <v>0</v>
      </c>
      <c r="Q4" s="73"/>
      <c r="R4" s="73">
        <f t="shared" si="15"/>
        <v>0</v>
      </c>
      <c r="S4" s="73">
        <f>ROUND((P4*'Cost Pool'!$C$25),0)</f>
        <v>0</v>
      </c>
      <c r="T4" s="73"/>
      <c r="U4" s="73">
        <f t="shared" si="16"/>
        <v>0</v>
      </c>
      <c r="V4" s="73">
        <f>ROUND((O4*'Cost Pool'!$D$25),0)</f>
        <v>0</v>
      </c>
      <c r="W4" s="73">
        <f t="shared" si="17"/>
        <v>0</v>
      </c>
    </row>
    <row r="5" spans="1:23">
      <c r="A5" s="45" t="s">
        <v>158</v>
      </c>
      <c r="B5" s="49" t="str">
        <f t="shared" si="0"/>
        <v>100-MF</v>
      </c>
      <c r="C5" s="49" t="str">
        <f t="shared" si="1"/>
        <v>100 - General Fund</v>
      </c>
      <c r="D5" s="49" t="str">
        <f t="shared" si="2"/>
        <v>Office of Management &amp; Finance</v>
      </c>
      <c r="E5" s="51">
        <f t="shared" si="3"/>
        <v>2.2176201930562294E-3</v>
      </c>
      <c r="F5" s="51">
        <f t="shared" si="4"/>
        <v>1.8047776336604327E-3</v>
      </c>
      <c r="G5" s="51">
        <f t="shared" si="5"/>
        <v>1.427286579142018E-3</v>
      </c>
      <c r="H5" s="51">
        <f t="shared" si="6"/>
        <v>1.9567489593657235E-3</v>
      </c>
      <c r="I5" s="51">
        <f t="shared" si="7"/>
        <v>0</v>
      </c>
      <c r="J5" s="50">
        <f t="shared" si="8"/>
        <v>1.1472275334608031E-3</v>
      </c>
      <c r="K5" s="50">
        <f t="shared" si="9"/>
        <v>1.1013215859030838E-3</v>
      </c>
      <c r="L5" s="50">
        <f t="shared" si="10"/>
        <v>1.1307242917268673E-3</v>
      </c>
      <c r="M5" s="50">
        <f t="shared" si="11"/>
        <v>1.0948239158202057E-3</v>
      </c>
      <c r="N5" s="50">
        <f t="shared" si="12"/>
        <v>0</v>
      </c>
      <c r="O5" s="52">
        <f t="shared" si="13"/>
        <v>1.0314712352558581E-3</v>
      </c>
      <c r="P5" s="52">
        <f t="shared" si="14"/>
        <v>1.6440272190555664E-3</v>
      </c>
      <c r="Q5" s="73">
        <v>55477</v>
      </c>
      <c r="R5" s="73">
        <f t="shared" si="15"/>
        <v>11185</v>
      </c>
      <c r="S5" s="73">
        <f>ROUND((P5*'Cost Pool'!$C$25),0)</f>
        <v>66662</v>
      </c>
      <c r="T5" s="73">
        <v>74159</v>
      </c>
      <c r="U5" s="73">
        <f t="shared" si="16"/>
        <v>-26835</v>
      </c>
      <c r="V5" s="73">
        <f>ROUND((O5*'Cost Pool'!$D$25),0)</f>
        <v>47324</v>
      </c>
      <c r="W5" s="73">
        <f t="shared" si="17"/>
        <v>58509</v>
      </c>
    </row>
    <row r="6" spans="1:23">
      <c r="A6" s="45" t="s">
        <v>166</v>
      </c>
      <c r="B6" s="49" t="str">
        <f t="shared" si="0"/>
        <v>100-EM</v>
      </c>
      <c r="C6" s="49" t="str">
        <f t="shared" si="1"/>
        <v>100 - General Fund</v>
      </c>
      <c r="D6" s="49" t="str">
        <f t="shared" si="2"/>
        <v>Portland Bureau of Emergency Management</v>
      </c>
      <c r="E6" s="51">
        <f t="shared" si="3"/>
        <v>0</v>
      </c>
      <c r="F6" s="51">
        <f t="shared" si="4"/>
        <v>0</v>
      </c>
      <c r="G6" s="51">
        <f t="shared" si="5"/>
        <v>0</v>
      </c>
      <c r="H6" s="51">
        <f t="shared" si="6"/>
        <v>0</v>
      </c>
      <c r="I6" s="51">
        <f t="shared" si="7"/>
        <v>0</v>
      </c>
      <c r="J6" s="50">
        <f t="shared" si="8"/>
        <v>0</v>
      </c>
      <c r="K6" s="50">
        <f t="shared" si="9"/>
        <v>0</v>
      </c>
      <c r="L6" s="50">
        <f t="shared" si="10"/>
        <v>0</v>
      </c>
      <c r="M6" s="50">
        <f t="shared" si="11"/>
        <v>0</v>
      </c>
      <c r="N6" s="50">
        <f t="shared" si="12"/>
        <v>0</v>
      </c>
      <c r="O6" s="52">
        <f t="shared" si="13"/>
        <v>0</v>
      </c>
      <c r="P6" s="52">
        <f t="shared" si="14"/>
        <v>0</v>
      </c>
      <c r="Q6" s="73"/>
      <c r="R6" s="73">
        <f t="shared" si="15"/>
        <v>0</v>
      </c>
      <c r="S6" s="73">
        <f>ROUND((P6*'Cost Pool'!$C$25),0)</f>
        <v>0</v>
      </c>
      <c r="T6" s="73"/>
      <c r="U6" s="73">
        <f t="shared" si="16"/>
        <v>0</v>
      </c>
      <c r="V6" s="73">
        <f>ROUND((O6*'Cost Pool'!$D$25),0)</f>
        <v>0</v>
      </c>
      <c r="W6" s="73">
        <f t="shared" si="17"/>
        <v>0</v>
      </c>
    </row>
    <row r="7" spans="1:23" s="45" customFormat="1">
      <c r="A7" s="45" t="s">
        <v>430</v>
      </c>
      <c r="B7" s="49" t="str">
        <f t="shared" si="0"/>
        <v>Excluded</v>
      </c>
      <c r="C7" s="49" t="e">
        <f t="shared" si="1"/>
        <v>#N/A</v>
      </c>
      <c r="D7" s="49" t="e">
        <f t="shared" si="2"/>
        <v>#N/A</v>
      </c>
      <c r="E7" s="51">
        <f t="shared" ref="E7" si="23">IF(B7="Excluded",0,(IF(ISNA(VLOOKUP(A7,FY2008_09,10,FALSE)),0,(VLOOKUP(A7,FY2008_09,10,FALSE)))))</f>
        <v>0</v>
      </c>
      <c r="F7" s="51">
        <f t="shared" ref="F7" si="24">IF(B7="Excluded",0,(IF(ISNA(VLOOKUP(A7,FY2009_10,10,FALSE)),0,(VLOOKUP(A7,FY2009_10,10,FALSE)))))</f>
        <v>0</v>
      </c>
      <c r="G7" s="51">
        <f t="shared" ref="G7" si="25">IF(B7="Excluded",0,(IF(ISNA(VLOOKUP(A7,FY2010_11,10,FALSE)),0,(VLOOKUP(A7,FY2010_11,10,FALSE)))))</f>
        <v>0</v>
      </c>
      <c r="H7" s="51">
        <f t="shared" ref="H7" si="26">IF(B7="Excluded",0,(IF(ISNA(VLOOKUP(A7,FY2011_12,10,FALSE)),0,(VLOOKUP(A7,FY2011_12,10,FALSE)))))</f>
        <v>0</v>
      </c>
      <c r="I7" s="51">
        <f t="shared" ref="I7" si="27">IF(B7="Excluded",0,(IF(ISNA(VLOOKUP(A7,FY2012_13,10,FALSE)),0,(VLOOKUP(A7,FY2012_13,10,FALSE)))))</f>
        <v>0</v>
      </c>
      <c r="J7" s="50">
        <f t="shared" si="8"/>
        <v>0</v>
      </c>
      <c r="K7" s="50">
        <f t="shared" si="9"/>
        <v>0</v>
      </c>
      <c r="L7" s="50">
        <f t="shared" si="10"/>
        <v>0</v>
      </c>
      <c r="M7" s="50">
        <f t="shared" si="11"/>
        <v>0</v>
      </c>
      <c r="N7" s="50">
        <f t="shared" si="12"/>
        <v>0</v>
      </c>
      <c r="O7" s="52">
        <f t="shared" ref="O7" si="28">(AVERAGE(G7:I7)*0.75)+(AVERAGE(L7:N7)*0.25)</f>
        <v>0</v>
      </c>
      <c r="P7" s="52">
        <f t="shared" ref="P7" si="29">(AVERAGE(E7:G7)*0.75)+(AVERAGE(J7:L7)*0.25)</f>
        <v>0</v>
      </c>
      <c r="Q7" s="73"/>
      <c r="R7" s="73">
        <f t="shared" ref="R7" si="30">S7-Q7</f>
        <v>0</v>
      </c>
      <c r="S7" s="73">
        <f>ROUND((P7*'Cost Pool'!$C$25),0)</f>
        <v>0</v>
      </c>
      <c r="T7" s="73"/>
      <c r="U7" s="73">
        <f t="shared" si="16"/>
        <v>0</v>
      </c>
      <c r="V7" s="73">
        <f>ROUND((O7*'Cost Pool'!$D$25),0)</f>
        <v>0</v>
      </c>
      <c r="W7" s="73">
        <f t="shared" ref="W7" si="31">V7+R7</f>
        <v>0</v>
      </c>
    </row>
    <row r="8" spans="1:23">
      <c r="A8" s="45" t="s">
        <v>167</v>
      </c>
      <c r="B8" s="49" t="str">
        <f t="shared" si="0"/>
        <v>100-FR</v>
      </c>
      <c r="C8" s="49" t="str">
        <f t="shared" si="1"/>
        <v>100 - General Fund</v>
      </c>
      <c r="D8" s="49" t="str">
        <f t="shared" si="2"/>
        <v>Portland Fire &amp; Rescue</v>
      </c>
      <c r="E8" s="51">
        <f t="shared" si="3"/>
        <v>9.5037556077623958E-2</v>
      </c>
      <c r="F8" s="51">
        <f t="shared" si="4"/>
        <v>9.370244513676626E-2</v>
      </c>
      <c r="G8" s="51">
        <f t="shared" si="5"/>
        <v>9.2479394703071843E-2</v>
      </c>
      <c r="H8" s="51">
        <f t="shared" si="6"/>
        <v>0.10048504407290114</v>
      </c>
      <c r="I8" s="51">
        <f t="shared" si="7"/>
        <v>9.503945617790803E-2</v>
      </c>
      <c r="J8" s="50">
        <f t="shared" si="8"/>
        <v>9.82791586998088E-2</v>
      </c>
      <c r="K8" s="50">
        <f t="shared" si="9"/>
        <v>9.275575134605972E-2</v>
      </c>
      <c r="L8" s="50">
        <f t="shared" si="10"/>
        <v>9.7744833218166974E-2</v>
      </c>
      <c r="M8" s="50">
        <f t="shared" si="11"/>
        <v>9.524968067635789E-2</v>
      </c>
      <c r="N8" s="50">
        <f t="shared" si="12"/>
        <v>8.3984709305642724E-2</v>
      </c>
      <c r="O8" s="52">
        <f t="shared" si="13"/>
        <v>9.5082575671817549E-2</v>
      </c>
      <c r="P8" s="52">
        <f t="shared" si="14"/>
        <v>9.4369827584701804E-2</v>
      </c>
      <c r="Q8" s="73">
        <v>3790346</v>
      </c>
      <c r="R8" s="73">
        <f t="shared" si="15"/>
        <v>36169</v>
      </c>
      <c r="S8" s="73">
        <f>ROUND((P8*'Cost Pool'!$C$25),0)</f>
        <v>3826515</v>
      </c>
      <c r="T8" s="73">
        <v>4615922</v>
      </c>
      <c r="U8" s="73">
        <f t="shared" si="16"/>
        <v>-253525</v>
      </c>
      <c r="V8" s="73">
        <f>ROUND((O8*'Cost Pool'!$D$25),0)</f>
        <v>4362397</v>
      </c>
      <c r="W8" s="73">
        <f t="shared" si="17"/>
        <v>4398566</v>
      </c>
    </row>
    <row r="9" spans="1:23">
      <c r="A9" s="45" t="s">
        <v>159</v>
      </c>
      <c r="B9" s="49" t="str">
        <f t="shared" si="0"/>
        <v>100-GR</v>
      </c>
      <c r="C9" s="49" t="str">
        <f t="shared" si="1"/>
        <v>100 - General Fund</v>
      </c>
      <c r="D9" s="49" t="str">
        <f t="shared" si="2"/>
        <v>Office of Government Relations</v>
      </c>
      <c r="E9" s="51">
        <f t="shared" si="3"/>
        <v>0</v>
      </c>
      <c r="F9" s="51">
        <f t="shared" si="4"/>
        <v>0</v>
      </c>
      <c r="G9" s="51">
        <f t="shared" si="5"/>
        <v>0</v>
      </c>
      <c r="H9" s="51">
        <f t="shared" si="6"/>
        <v>0</v>
      </c>
      <c r="I9" s="51">
        <f t="shared" si="7"/>
        <v>0</v>
      </c>
      <c r="J9" s="50">
        <f t="shared" si="8"/>
        <v>0</v>
      </c>
      <c r="K9" s="50">
        <f t="shared" si="9"/>
        <v>0</v>
      </c>
      <c r="L9" s="50">
        <f t="shared" si="10"/>
        <v>0</v>
      </c>
      <c r="M9" s="50">
        <f t="shared" si="11"/>
        <v>0</v>
      </c>
      <c r="N9" s="50">
        <f t="shared" si="12"/>
        <v>0</v>
      </c>
      <c r="O9" s="52">
        <f t="shared" si="13"/>
        <v>0</v>
      </c>
      <c r="P9" s="52">
        <f t="shared" si="14"/>
        <v>0</v>
      </c>
      <c r="Q9" s="73"/>
      <c r="R9" s="73">
        <f t="shared" si="15"/>
        <v>0</v>
      </c>
      <c r="S9" s="73">
        <f>ROUND((P9*'Cost Pool'!$C$25),0)</f>
        <v>0</v>
      </c>
      <c r="T9" s="73"/>
      <c r="U9" s="73">
        <f t="shared" si="16"/>
        <v>0</v>
      </c>
      <c r="V9" s="73">
        <f>ROUND((O9*'Cost Pool'!$D$25),0)</f>
        <v>0</v>
      </c>
      <c r="W9" s="73">
        <f t="shared" si="17"/>
        <v>0</v>
      </c>
    </row>
    <row r="10" spans="1:23">
      <c r="A10" s="45" t="s">
        <v>168</v>
      </c>
      <c r="B10" s="49" t="str">
        <f t="shared" si="0"/>
        <v>100-HC</v>
      </c>
      <c r="C10" s="49" t="str">
        <f t="shared" si="1"/>
        <v>100 - General Fund</v>
      </c>
      <c r="D10" s="49" t="str">
        <f t="shared" si="2"/>
        <v>Portland Housing Bureau</v>
      </c>
      <c r="E10" s="51">
        <f t="shared" si="3"/>
        <v>1.6583043610238882E-2</v>
      </c>
      <c r="F10" s="51">
        <f t="shared" si="4"/>
        <v>1.3071423949837705E-2</v>
      </c>
      <c r="G10" s="51">
        <f t="shared" si="5"/>
        <v>1.1072420302701072E-2</v>
      </c>
      <c r="H10" s="51">
        <f t="shared" si="6"/>
        <v>1.3028296180905737E-2</v>
      </c>
      <c r="I10" s="51">
        <f t="shared" si="7"/>
        <v>1.1762371123814043E-2</v>
      </c>
      <c r="J10" s="50">
        <f t="shared" si="8"/>
        <v>5.2262587635436581E-3</v>
      </c>
      <c r="K10" s="50">
        <f t="shared" si="9"/>
        <v>4.5276554087126776E-3</v>
      </c>
      <c r="L10" s="50">
        <f t="shared" si="10"/>
        <v>8.7945222689867451E-3</v>
      </c>
      <c r="M10" s="50">
        <f t="shared" si="11"/>
        <v>7.4204732072258375E-3</v>
      </c>
      <c r="N10" s="50">
        <f t="shared" si="12"/>
        <v>6.6183602441946708E-3</v>
      </c>
      <c r="O10" s="52">
        <f t="shared" si="13"/>
        <v>1.0868551545222484E-2</v>
      </c>
      <c r="P10" s="52">
        <f t="shared" si="14"/>
        <v>1.172742500246467E-2</v>
      </c>
      <c r="Q10" s="73">
        <v>619527</v>
      </c>
      <c r="R10" s="73">
        <f t="shared" si="15"/>
        <v>-144002</v>
      </c>
      <c r="S10" s="73">
        <f>ROUND((P10*'Cost Pool'!$C$25),0)</f>
        <v>475525</v>
      </c>
      <c r="T10" s="73">
        <v>756944</v>
      </c>
      <c r="U10" s="73">
        <f t="shared" si="16"/>
        <v>-258294</v>
      </c>
      <c r="V10" s="73">
        <f>ROUND((O10*'Cost Pool'!$D$25),0)</f>
        <v>498650</v>
      </c>
      <c r="W10" s="73">
        <f t="shared" si="17"/>
        <v>354648</v>
      </c>
    </row>
    <row r="11" spans="1:23">
      <c r="A11" s="45" t="s">
        <v>160</v>
      </c>
      <c r="B11" s="49" t="str">
        <f t="shared" si="0"/>
        <v>Excluded</v>
      </c>
      <c r="C11" s="49" t="e">
        <f t="shared" si="1"/>
        <v>#N/A</v>
      </c>
      <c r="D11" s="49" t="e">
        <f t="shared" si="2"/>
        <v>#N/A</v>
      </c>
      <c r="E11" s="51">
        <f t="shared" si="3"/>
        <v>0</v>
      </c>
      <c r="F11" s="51">
        <f t="shared" si="4"/>
        <v>0</v>
      </c>
      <c r="G11" s="51">
        <f t="shared" si="5"/>
        <v>0</v>
      </c>
      <c r="H11" s="51">
        <f t="shared" si="6"/>
        <v>0</v>
      </c>
      <c r="I11" s="51">
        <f t="shared" si="7"/>
        <v>0</v>
      </c>
      <c r="J11" s="50">
        <f t="shared" si="8"/>
        <v>0</v>
      </c>
      <c r="K11" s="50">
        <f t="shared" si="9"/>
        <v>0</v>
      </c>
      <c r="L11" s="50">
        <f t="shared" si="10"/>
        <v>0</v>
      </c>
      <c r="M11" s="50">
        <f t="shared" si="11"/>
        <v>0</v>
      </c>
      <c r="N11" s="50">
        <f t="shared" si="12"/>
        <v>0</v>
      </c>
      <c r="O11" s="52">
        <f t="shared" si="13"/>
        <v>0</v>
      </c>
      <c r="P11" s="52">
        <f t="shared" si="14"/>
        <v>0</v>
      </c>
      <c r="Q11" s="73"/>
      <c r="R11" s="73">
        <f t="shared" si="15"/>
        <v>0</v>
      </c>
      <c r="S11" s="73">
        <f>ROUND((P11*'Cost Pool'!$C$25),0)</f>
        <v>0</v>
      </c>
      <c r="T11" s="73"/>
      <c r="U11" s="73">
        <f t="shared" si="16"/>
        <v>0</v>
      </c>
      <c r="V11" s="73">
        <f>ROUND((O11*'Cost Pool'!$D$25),0)</f>
        <v>0</v>
      </c>
      <c r="W11" s="73">
        <f t="shared" si="17"/>
        <v>0</v>
      </c>
    </row>
    <row r="12" spans="1:23">
      <c r="A12" s="45" t="s">
        <v>161</v>
      </c>
      <c r="B12" s="49" t="str">
        <f t="shared" si="0"/>
        <v>100-MF</v>
      </c>
      <c r="C12" s="49" t="str">
        <f t="shared" si="1"/>
        <v>100 - General Fund</v>
      </c>
      <c r="D12" s="49" t="str">
        <f t="shared" si="2"/>
        <v>Office of Management &amp; Finance</v>
      </c>
      <c r="E12" s="51">
        <f t="shared" si="3"/>
        <v>1.4556770202650065E-2</v>
      </c>
      <c r="F12" s="51">
        <f t="shared" si="4"/>
        <v>8.9164785243411662E-3</v>
      </c>
      <c r="G12" s="51">
        <f t="shared" si="5"/>
        <v>8.6234507071408315E-3</v>
      </c>
      <c r="H12" s="51">
        <f t="shared" si="6"/>
        <v>9.232310581780331E-3</v>
      </c>
      <c r="I12" s="51">
        <f t="shared" si="7"/>
        <v>1.1412876976403207E-2</v>
      </c>
      <c r="J12" s="50">
        <f t="shared" si="8"/>
        <v>8.5404716379859792E-3</v>
      </c>
      <c r="K12" s="50">
        <f t="shared" si="9"/>
        <v>8.5658345570239838E-3</v>
      </c>
      <c r="L12" s="50">
        <f t="shared" si="10"/>
        <v>8.5432502041585534E-3</v>
      </c>
      <c r="M12" s="50">
        <f t="shared" si="11"/>
        <v>8.8802384283194445E-3</v>
      </c>
      <c r="N12" s="50">
        <f t="shared" si="12"/>
        <v>1.0041650025674673E-2</v>
      </c>
      <c r="O12" s="52">
        <f t="shared" si="13"/>
        <v>9.6059211211771498E-3</v>
      </c>
      <c r="P12" s="52">
        <f t="shared" si="14"/>
        <v>1.0161637891797059E-2</v>
      </c>
      <c r="Q12" s="73">
        <v>771800</v>
      </c>
      <c r="R12" s="73">
        <f t="shared" si="15"/>
        <v>-359765</v>
      </c>
      <c r="S12" s="73">
        <f>ROUND((P12*'Cost Pool'!$C$25),0)</f>
        <v>412035</v>
      </c>
      <c r="T12" s="73">
        <f>40689+408676+24350+21778+869452+164251+86020+133</f>
        <v>1615349</v>
      </c>
      <c r="U12" s="73">
        <f t="shared" si="16"/>
        <v>-1174629</v>
      </c>
      <c r="V12" s="73">
        <f>ROUND((O12*'Cost Pool'!$D$25),0)</f>
        <v>440720</v>
      </c>
      <c r="W12" s="73">
        <f t="shared" si="17"/>
        <v>80955</v>
      </c>
    </row>
    <row r="13" spans="1:23">
      <c r="A13" s="45" t="s">
        <v>165</v>
      </c>
      <c r="B13" s="49" t="str">
        <f t="shared" si="0"/>
        <v>100-MY</v>
      </c>
      <c r="C13" s="49" t="str">
        <f t="shared" si="1"/>
        <v>100 - General Fund</v>
      </c>
      <c r="D13" s="49" t="str">
        <f t="shared" si="2"/>
        <v>Office of the Mayor</v>
      </c>
      <c r="E13" s="51">
        <f t="shared" si="3"/>
        <v>6.5888668527877862E-5</v>
      </c>
      <c r="F13" s="51">
        <f t="shared" si="4"/>
        <v>1.3793117181637705E-5</v>
      </c>
      <c r="G13" s="51">
        <f t="shared" si="5"/>
        <v>7.1522187924380888E-4</v>
      </c>
      <c r="H13" s="51">
        <f t="shared" si="6"/>
        <v>1.3350129920899133E-3</v>
      </c>
      <c r="I13" s="51">
        <f t="shared" si="7"/>
        <v>1.6048761481880247E-3</v>
      </c>
      <c r="J13" s="50">
        <f t="shared" si="8"/>
        <v>2.5493945188017844E-4</v>
      </c>
      <c r="K13" s="50">
        <f t="shared" si="9"/>
        <v>2.4473813020068529E-4</v>
      </c>
      <c r="L13" s="50">
        <f t="shared" si="10"/>
        <v>2.512720648281927E-4</v>
      </c>
      <c r="M13" s="50">
        <f t="shared" si="11"/>
        <v>2.4329420351560123E-4</v>
      </c>
      <c r="N13" s="50">
        <f t="shared" si="12"/>
        <v>1.1410965938266674E-4</v>
      </c>
      <c r="O13" s="52">
        <f t="shared" si="13"/>
        <v>9.6450074885764167E-4</v>
      </c>
      <c r="P13" s="52">
        <f t="shared" si="14"/>
        <v>2.6130505348075247E-4</v>
      </c>
      <c r="Q13" s="73"/>
      <c r="R13" s="73">
        <f t="shared" si="15"/>
        <v>10595</v>
      </c>
      <c r="S13" s="73">
        <f>ROUND((P13*'Cost Pool'!$C$25),0)</f>
        <v>10595</v>
      </c>
      <c r="T13" s="73"/>
      <c r="U13" s="73">
        <f t="shared" si="16"/>
        <v>44251</v>
      </c>
      <c r="V13" s="73">
        <f>ROUND((O13*'Cost Pool'!$D$25),0)</f>
        <v>44251</v>
      </c>
      <c r="W13" s="73">
        <f t="shared" si="17"/>
        <v>54846</v>
      </c>
    </row>
    <row r="14" spans="1:23">
      <c r="A14" s="45" t="s">
        <v>162</v>
      </c>
      <c r="B14" s="49" t="str">
        <f t="shared" si="0"/>
        <v>100-NI</v>
      </c>
      <c r="C14" s="49" t="str">
        <f t="shared" si="1"/>
        <v>100 - General Fund</v>
      </c>
      <c r="D14" s="49" t="str">
        <f t="shared" si="2"/>
        <v>Office of Neighborhood Involvement</v>
      </c>
      <c r="E14" s="51">
        <f t="shared" si="3"/>
        <v>6.0258960186789111E-3</v>
      </c>
      <c r="F14" s="51">
        <f t="shared" si="4"/>
        <v>7.3010783376414052E-3</v>
      </c>
      <c r="G14" s="51">
        <f t="shared" si="5"/>
        <v>6.695663775501912E-3</v>
      </c>
      <c r="H14" s="51">
        <f t="shared" si="6"/>
        <v>6.4167030431731449E-3</v>
      </c>
      <c r="I14" s="51">
        <f t="shared" si="7"/>
        <v>6.2092427730576494E-3</v>
      </c>
      <c r="J14" s="50">
        <f t="shared" si="8"/>
        <v>5.9910771191841938E-3</v>
      </c>
      <c r="K14" s="50">
        <f t="shared" si="9"/>
        <v>5.2618697993147331E-3</v>
      </c>
      <c r="L14" s="50">
        <f t="shared" si="10"/>
        <v>5.6536214586343364E-3</v>
      </c>
      <c r="M14" s="50">
        <f t="shared" si="11"/>
        <v>5.1091782738276262E-3</v>
      </c>
      <c r="N14" s="50">
        <f t="shared" si="12"/>
        <v>5.1349346722200035E-3</v>
      </c>
      <c r="O14" s="52">
        <f t="shared" si="13"/>
        <v>6.155213598323341E-3</v>
      </c>
      <c r="P14" s="52">
        <f t="shared" si="14"/>
        <v>6.4145402310499958E-3</v>
      </c>
      <c r="Q14" s="73">
        <v>255373</v>
      </c>
      <c r="R14" s="73">
        <f t="shared" si="15"/>
        <v>4724</v>
      </c>
      <c r="S14" s="73">
        <f>ROUND((P14*'Cost Pool'!$C$25),0)</f>
        <v>260097</v>
      </c>
      <c r="T14" s="73">
        <v>307900</v>
      </c>
      <c r="U14" s="73">
        <f t="shared" si="16"/>
        <v>-25498</v>
      </c>
      <c r="V14" s="73">
        <f>ROUND((O14*'Cost Pool'!$D$25),0)</f>
        <v>282402</v>
      </c>
      <c r="W14" s="73">
        <f t="shared" si="17"/>
        <v>287126</v>
      </c>
    </row>
    <row r="15" spans="1:23">
      <c r="A15" s="45" t="s">
        <v>318</v>
      </c>
      <c r="B15" s="49" t="str">
        <f t="shared" si="0"/>
        <v>100-OE</v>
      </c>
      <c r="C15" s="49" t="str">
        <f t="shared" si="1"/>
        <v>100 - General Fund</v>
      </c>
      <c r="D15" s="49" t="str">
        <f t="shared" si="2"/>
        <v>Office of Equity &amp; Human Rights</v>
      </c>
      <c r="E15" s="51">
        <f t="shared" si="3"/>
        <v>0</v>
      </c>
      <c r="F15" s="51">
        <f t="shared" si="4"/>
        <v>1.2879132067049456E-4</v>
      </c>
      <c r="G15" s="51">
        <f t="shared" si="5"/>
        <v>1.2795820872743468E-4</v>
      </c>
      <c r="H15" s="51">
        <f t="shared" si="6"/>
        <v>1.3486393644543098E-4</v>
      </c>
      <c r="I15" s="51">
        <f t="shared" si="7"/>
        <v>3.4857035899376644E-4</v>
      </c>
      <c r="J15" s="50">
        <f t="shared" si="8"/>
        <v>0</v>
      </c>
      <c r="K15" s="50">
        <f t="shared" si="9"/>
        <v>7.3421439060205576E-4</v>
      </c>
      <c r="L15" s="50">
        <f t="shared" si="10"/>
        <v>7.5381619448457822E-4</v>
      </c>
      <c r="M15" s="50">
        <f t="shared" si="11"/>
        <v>7.2988261054680371E-4</v>
      </c>
      <c r="N15" s="50">
        <f t="shared" si="12"/>
        <v>1.0269869344440006E-3</v>
      </c>
      <c r="O15" s="52">
        <f t="shared" si="13"/>
        <v>3.620719376646066E-4</v>
      </c>
      <c r="P15" s="52">
        <f t="shared" si="14"/>
        <v>1.8818993110670181E-4</v>
      </c>
      <c r="Q15" s="73"/>
      <c r="R15" s="73">
        <f t="shared" si="15"/>
        <v>7631</v>
      </c>
      <c r="S15" s="73">
        <f>ROUND((P15*'Cost Pool'!$C$25),0)</f>
        <v>7631</v>
      </c>
      <c r="T15" s="73">
        <v>5027</v>
      </c>
      <c r="U15" s="73">
        <f t="shared" si="16"/>
        <v>11585</v>
      </c>
      <c r="V15" s="73">
        <f>ROUND((O15*'Cost Pool'!$D$25),0)</f>
        <v>16612</v>
      </c>
      <c r="W15" s="73">
        <f t="shared" si="17"/>
        <v>24243</v>
      </c>
    </row>
    <row r="16" spans="1:23">
      <c r="A16" s="45" t="s">
        <v>154</v>
      </c>
      <c r="B16" s="49" t="str">
        <f t="shared" si="0"/>
        <v>100-PA</v>
      </c>
      <c r="C16" s="49" t="str">
        <f t="shared" si="1"/>
        <v>100 - General Fund</v>
      </c>
      <c r="D16" s="49" t="str">
        <f t="shared" si="2"/>
        <v>Commissioner of Public Affairs</v>
      </c>
      <c r="E16" s="51">
        <f t="shared" si="3"/>
        <v>1.4060117635754564E-4</v>
      </c>
      <c r="F16" s="51">
        <f t="shared" si="4"/>
        <v>5.4905952596524495E-4</v>
      </c>
      <c r="G16" s="51">
        <f t="shared" si="5"/>
        <v>5.4550791662250054E-4</v>
      </c>
      <c r="H16" s="51">
        <f t="shared" si="6"/>
        <v>5.6784380054393231E-4</v>
      </c>
      <c r="I16" s="51">
        <f t="shared" si="7"/>
        <v>5.1316152489767214E-4</v>
      </c>
      <c r="J16" s="50">
        <f t="shared" si="8"/>
        <v>2.5493945188017844E-4</v>
      </c>
      <c r="K16" s="50">
        <f t="shared" si="9"/>
        <v>1.2236906510034264E-4</v>
      </c>
      <c r="L16" s="50">
        <f t="shared" si="10"/>
        <v>2.512720648281927E-4</v>
      </c>
      <c r="M16" s="50">
        <f t="shared" si="11"/>
        <v>2.4329420351560123E-4</v>
      </c>
      <c r="N16" s="50">
        <f t="shared" si="12"/>
        <v>2.2821931876533348E-4</v>
      </c>
      <c r="O16" s="52">
        <f t="shared" si="13"/>
        <v>4.6686044277512016E-4</v>
      </c>
      <c r="P16" s="52">
        <f t="shared" si="14"/>
        <v>3.611738698870489E-4</v>
      </c>
      <c r="Q16" s="73"/>
      <c r="R16" s="73">
        <f t="shared" si="15"/>
        <v>14645</v>
      </c>
      <c r="S16" s="73">
        <f>ROUND((P16*'Cost Pool'!$C$25),0)</f>
        <v>14645</v>
      </c>
      <c r="T16" s="73"/>
      <c r="U16" s="73">
        <f t="shared" si="16"/>
        <v>21420</v>
      </c>
      <c r="V16" s="73">
        <f>ROUND((O16*'Cost Pool'!$D$25),0)</f>
        <v>21420</v>
      </c>
      <c r="W16" s="73">
        <f t="shared" si="17"/>
        <v>36065</v>
      </c>
    </row>
    <row r="17" spans="1:23">
      <c r="A17" s="45" t="s">
        <v>169</v>
      </c>
      <c r="B17" s="49" t="str">
        <f t="shared" si="0"/>
        <v>100-PK</v>
      </c>
      <c r="C17" s="49" t="str">
        <f t="shared" si="1"/>
        <v>100 - General Fund</v>
      </c>
      <c r="D17" s="49" t="str">
        <f t="shared" si="2"/>
        <v>Portland Parks &amp; Recreation</v>
      </c>
      <c r="E17" s="51">
        <f t="shared" si="3"/>
        <v>5.6437483323203391E-2</v>
      </c>
      <c r="F17" s="51">
        <f t="shared" si="4"/>
        <v>5.5888742347896994E-2</v>
      </c>
      <c r="G17" s="51">
        <f t="shared" si="5"/>
        <v>5.5903951735676589E-2</v>
      </c>
      <c r="H17" s="51">
        <f t="shared" si="6"/>
        <v>6.1110812836894707E-2</v>
      </c>
      <c r="I17" s="51">
        <f t="shared" si="7"/>
        <v>5.7201606966130567E-2</v>
      </c>
      <c r="J17" s="50">
        <f t="shared" si="8"/>
        <v>0.29713193116634801</v>
      </c>
      <c r="K17" s="50">
        <f t="shared" si="9"/>
        <v>0.33810572687224671</v>
      </c>
      <c r="L17" s="50">
        <f t="shared" si="10"/>
        <v>0.34059928387461524</v>
      </c>
      <c r="M17" s="50">
        <f t="shared" si="11"/>
        <v>0.36141353932242565</v>
      </c>
      <c r="N17" s="50">
        <f t="shared" si="12"/>
        <v>0.41444628287784563</v>
      </c>
      <c r="O17" s="52">
        <f t="shared" si="13"/>
        <v>0.13659235172424933</v>
      </c>
      <c r="P17" s="52">
        <f t="shared" si="14"/>
        <v>0.12337728951112842</v>
      </c>
      <c r="Q17" s="73">
        <v>3463800</v>
      </c>
      <c r="R17" s="73">
        <f t="shared" si="15"/>
        <v>1538912</v>
      </c>
      <c r="S17" s="73">
        <f>ROUND((P17*'Cost Pool'!$C$25),0)</f>
        <v>5002712</v>
      </c>
      <c r="T17" s="73">
        <v>4009808</v>
      </c>
      <c r="U17" s="73">
        <f t="shared" si="16"/>
        <v>2257061</v>
      </c>
      <c r="V17" s="73">
        <f>ROUND((O17*'Cost Pool'!$D$25),0)</f>
        <v>6266869</v>
      </c>
      <c r="W17" s="73">
        <f t="shared" si="17"/>
        <v>7805781</v>
      </c>
    </row>
    <row r="18" spans="1:23">
      <c r="A18" s="45" t="s">
        <v>170</v>
      </c>
      <c r="B18" s="49" t="str">
        <f t="shared" si="0"/>
        <v>100-PL</v>
      </c>
      <c r="C18" s="49" t="str">
        <f t="shared" si="1"/>
        <v>100 - General Fund</v>
      </c>
      <c r="D18" s="49" t="str">
        <f t="shared" si="2"/>
        <v>Portland Police Bureau</v>
      </c>
      <c r="E18" s="51">
        <f t="shared" si="3"/>
        <v>0.14605161728661692</v>
      </c>
      <c r="F18" s="51">
        <f t="shared" si="4"/>
        <v>0.14926776459241609</v>
      </c>
      <c r="G18" s="51">
        <f t="shared" si="5"/>
        <v>0.1372681703434834</v>
      </c>
      <c r="H18" s="51">
        <f t="shared" si="6"/>
        <v>0.1574625977497697</v>
      </c>
      <c r="I18" s="51">
        <f t="shared" si="7"/>
        <v>0.14672146981824849</v>
      </c>
      <c r="J18" s="50">
        <f t="shared" si="8"/>
        <v>0.17195666029318038</v>
      </c>
      <c r="K18" s="50">
        <f t="shared" si="9"/>
        <v>0.15993636808614783</v>
      </c>
      <c r="L18" s="50">
        <f t="shared" si="10"/>
        <v>0.15754758464727683</v>
      </c>
      <c r="M18" s="50">
        <f t="shared" si="11"/>
        <v>0.15157228879021958</v>
      </c>
      <c r="N18" s="50">
        <f t="shared" si="12"/>
        <v>0.13978433274376675</v>
      </c>
      <c r="O18" s="52">
        <f t="shared" si="13"/>
        <v>0.14777174332631399</v>
      </c>
      <c r="P18" s="52">
        <f t="shared" si="14"/>
        <v>0.1489336058078462</v>
      </c>
      <c r="Q18" s="73">
        <v>7796139</v>
      </c>
      <c r="R18" s="73">
        <f t="shared" si="15"/>
        <v>-1757168</v>
      </c>
      <c r="S18" s="73">
        <f>ROUND((P18*'Cost Pool'!$C$25),0)</f>
        <v>6038971</v>
      </c>
      <c r="T18" s="73">
        <v>7405955</v>
      </c>
      <c r="U18" s="73">
        <f t="shared" si="16"/>
        <v>-626175</v>
      </c>
      <c r="V18" s="73">
        <f>ROUND((O18*'Cost Pool'!$D$25),0)</f>
        <v>6779780</v>
      </c>
      <c r="W18" s="73">
        <f t="shared" si="17"/>
        <v>5022612</v>
      </c>
    </row>
    <row r="19" spans="1:23">
      <c r="A19" s="45" t="s">
        <v>153</v>
      </c>
      <c r="B19" s="49" t="str">
        <f t="shared" si="0"/>
        <v>100-PN</v>
      </c>
      <c r="C19" s="49" t="str">
        <f t="shared" si="1"/>
        <v>100 - General Fund</v>
      </c>
      <c r="D19" s="49" t="str">
        <f t="shared" si="2"/>
        <v>Bureau of Planning &amp; Sustainability</v>
      </c>
      <c r="E19" s="51">
        <f t="shared" si="3"/>
        <v>8.9831277267207865E-3</v>
      </c>
      <c r="F19" s="51">
        <f t="shared" si="4"/>
        <v>1.0856299388861563E-2</v>
      </c>
      <c r="G19" s="51">
        <f t="shared" si="5"/>
        <v>7.5519462203950819E-3</v>
      </c>
      <c r="H19" s="51">
        <f t="shared" si="6"/>
        <v>8.095809974111209E-3</v>
      </c>
      <c r="I19" s="51">
        <f t="shared" si="7"/>
        <v>7.2462535029902513E-3</v>
      </c>
      <c r="J19" s="50">
        <f t="shared" si="8"/>
        <v>1.0452517527087316E-2</v>
      </c>
      <c r="K19" s="50">
        <f t="shared" si="9"/>
        <v>1.2236906510034264E-2</v>
      </c>
      <c r="L19" s="50">
        <f t="shared" si="10"/>
        <v>1.0993152836233432E-2</v>
      </c>
      <c r="M19" s="50">
        <f t="shared" si="11"/>
        <v>1.1252356912596557E-2</v>
      </c>
      <c r="N19" s="50">
        <f t="shared" si="12"/>
        <v>8.7293889427740058E-3</v>
      </c>
      <c r="O19" s="52">
        <f t="shared" si="13"/>
        <v>8.3047439820078013E-3</v>
      </c>
      <c r="P19" s="52">
        <f t="shared" si="14"/>
        <v>9.6547247401072758E-3</v>
      </c>
      <c r="Q19" s="73">
        <v>722401</v>
      </c>
      <c r="R19" s="73">
        <f t="shared" si="15"/>
        <v>-330920</v>
      </c>
      <c r="S19" s="73">
        <f>ROUND((P19*'Cost Pool'!$C$25),0)</f>
        <v>391481</v>
      </c>
      <c r="T19" s="73">
        <v>794342</v>
      </c>
      <c r="U19" s="73">
        <f t="shared" si="16"/>
        <v>-413320</v>
      </c>
      <c r="V19" s="73">
        <f>ROUND((O19*'Cost Pool'!$D$25),0)</f>
        <v>381022</v>
      </c>
      <c r="W19" s="73">
        <f t="shared" si="17"/>
        <v>50102</v>
      </c>
    </row>
    <row r="20" spans="1:23">
      <c r="A20" s="45" t="s">
        <v>155</v>
      </c>
      <c r="B20" s="49" t="str">
        <f t="shared" si="0"/>
        <v>100-PS</v>
      </c>
      <c r="C20" s="49" t="str">
        <f t="shared" si="1"/>
        <v>100 - General Fund</v>
      </c>
      <c r="D20" s="49" t="str">
        <f t="shared" si="2"/>
        <v>Commissioner of Public Safety</v>
      </c>
      <c r="E20" s="51">
        <f t="shared" si="3"/>
        <v>0</v>
      </c>
      <c r="F20" s="51">
        <f t="shared" si="4"/>
        <v>0</v>
      </c>
      <c r="G20" s="51">
        <f t="shared" si="5"/>
        <v>0</v>
      </c>
      <c r="H20" s="51">
        <f t="shared" si="6"/>
        <v>0</v>
      </c>
      <c r="I20" s="51">
        <f t="shared" si="7"/>
        <v>0</v>
      </c>
      <c r="J20" s="50">
        <f t="shared" si="8"/>
        <v>0</v>
      </c>
      <c r="K20" s="50">
        <f t="shared" si="9"/>
        <v>0</v>
      </c>
      <c r="L20" s="50">
        <f t="shared" si="10"/>
        <v>0</v>
      </c>
      <c r="M20" s="50">
        <f t="shared" si="11"/>
        <v>0</v>
      </c>
      <c r="N20" s="50">
        <f t="shared" si="12"/>
        <v>0</v>
      </c>
      <c r="O20" s="52">
        <f t="shared" si="13"/>
        <v>0</v>
      </c>
      <c r="P20" s="52">
        <f t="shared" si="14"/>
        <v>0</v>
      </c>
      <c r="Q20" s="73"/>
      <c r="R20" s="73">
        <f t="shared" si="15"/>
        <v>0</v>
      </c>
      <c r="S20" s="73">
        <f>ROUND((P20*'Cost Pool'!$C$25),0)</f>
        <v>0</v>
      </c>
      <c r="T20" s="73"/>
      <c r="U20" s="73">
        <f t="shared" si="16"/>
        <v>0</v>
      </c>
      <c r="V20" s="73">
        <f>ROUND((O20*'Cost Pool'!$D$25),0)</f>
        <v>0</v>
      </c>
      <c r="W20" s="73">
        <f t="shared" si="17"/>
        <v>0</v>
      </c>
    </row>
    <row r="21" spans="1:23">
      <c r="A21" s="45" t="s">
        <v>156</v>
      </c>
      <c r="B21" s="49" t="str">
        <f t="shared" si="0"/>
        <v>100-PU</v>
      </c>
      <c r="C21" s="49" t="str">
        <f t="shared" si="1"/>
        <v>100 - General Fund</v>
      </c>
      <c r="D21" s="49" t="str">
        <f t="shared" si="2"/>
        <v>Commissioner of Public Utilities</v>
      </c>
      <c r="E21" s="51">
        <f t="shared" si="3"/>
        <v>0</v>
      </c>
      <c r="F21" s="51">
        <f t="shared" si="4"/>
        <v>0</v>
      </c>
      <c r="G21" s="51">
        <f t="shared" si="5"/>
        <v>0</v>
      </c>
      <c r="H21" s="51">
        <f t="shared" si="6"/>
        <v>0</v>
      </c>
      <c r="I21" s="51">
        <f t="shared" si="7"/>
        <v>0</v>
      </c>
      <c r="J21" s="50">
        <f t="shared" si="8"/>
        <v>0</v>
      </c>
      <c r="K21" s="50">
        <f t="shared" si="9"/>
        <v>0</v>
      </c>
      <c r="L21" s="50">
        <f t="shared" si="10"/>
        <v>0</v>
      </c>
      <c r="M21" s="50">
        <f t="shared" si="11"/>
        <v>0</v>
      </c>
      <c r="N21" s="50">
        <f t="shared" si="12"/>
        <v>0</v>
      </c>
      <c r="O21" s="52">
        <f t="shared" si="13"/>
        <v>0</v>
      </c>
      <c r="P21" s="52">
        <f t="shared" si="14"/>
        <v>0</v>
      </c>
      <c r="Q21" s="73"/>
      <c r="R21" s="73">
        <f t="shared" si="15"/>
        <v>0</v>
      </c>
      <c r="S21" s="73">
        <f>ROUND((P21*'Cost Pool'!$C$25),0)</f>
        <v>0</v>
      </c>
      <c r="T21" s="73"/>
      <c r="U21" s="73">
        <f t="shared" si="16"/>
        <v>0</v>
      </c>
      <c r="V21" s="73">
        <f>ROUND((O21*'Cost Pool'!$D$25),0)</f>
        <v>0</v>
      </c>
      <c r="W21" s="73">
        <f t="shared" si="17"/>
        <v>0</v>
      </c>
    </row>
    <row r="22" spans="1:23">
      <c r="A22" s="45" t="s">
        <v>157</v>
      </c>
      <c r="B22" s="49" t="str">
        <f t="shared" si="0"/>
        <v>100-PW</v>
      </c>
      <c r="C22" s="49" t="str">
        <f t="shared" si="1"/>
        <v>100 - General Fund</v>
      </c>
      <c r="D22" s="49" t="str">
        <f t="shared" si="2"/>
        <v>Commissioner of Public Works</v>
      </c>
      <c r="E22" s="51">
        <f t="shared" si="3"/>
        <v>0</v>
      </c>
      <c r="F22" s="51">
        <f t="shared" si="4"/>
        <v>0</v>
      </c>
      <c r="G22" s="51">
        <f t="shared" si="5"/>
        <v>0</v>
      </c>
      <c r="H22" s="51">
        <f t="shared" si="6"/>
        <v>0</v>
      </c>
      <c r="I22" s="51">
        <f t="shared" si="7"/>
        <v>0</v>
      </c>
      <c r="J22" s="50">
        <f t="shared" si="8"/>
        <v>0</v>
      </c>
      <c r="K22" s="50">
        <f t="shared" si="9"/>
        <v>0</v>
      </c>
      <c r="L22" s="50">
        <f t="shared" si="10"/>
        <v>0</v>
      </c>
      <c r="M22" s="50">
        <f t="shared" si="11"/>
        <v>0</v>
      </c>
      <c r="N22" s="50">
        <f t="shared" si="12"/>
        <v>0</v>
      </c>
      <c r="O22" s="52">
        <f t="shared" si="13"/>
        <v>0</v>
      </c>
      <c r="P22" s="52">
        <f t="shared" si="14"/>
        <v>0</v>
      </c>
      <c r="Q22" s="73"/>
      <c r="R22" s="73">
        <f t="shared" si="15"/>
        <v>0</v>
      </c>
      <c r="S22" s="73">
        <f>ROUND((P22*'Cost Pool'!$C$25),0)</f>
        <v>0</v>
      </c>
      <c r="T22" s="73"/>
      <c r="U22" s="73">
        <f t="shared" si="16"/>
        <v>0</v>
      </c>
      <c r="V22" s="73">
        <f>ROUND((O22*'Cost Pool'!$D$25),0)</f>
        <v>0</v>
      </c>
      <c r="W22" s="73">
        <f t="shared" si="17"/>
        <v>0</v>
      </c>
    </row>
    <row r="23" spans="1:23">
      <c r="A23" s="45" t="s">
        <v>171</v>
      </c>
      <c r="B23" s="49" t="str">
        <f t="shared" si="0"/>
        <v>100-SA</v>
      </c>
      <c r="C23" s="49" t="str">
        <f t="shared" si="1"/>
        <v>100 - General Fund</v>
      </c>
      <c r="D23" s="49" t="str">
        <f t="shared" si="2"/>
        <v>Special Appropriations</v>
      </c>
      <c r="E23" s="51">
        <f t="shared" si="3"/>
        <v>1.3632242052932701E-2</v>
      </c>
      <c r="F23" s="51">
        <f t="shared" si="4"/>
        <v>7.9987576329193944E-3</v>
      </c>
      <c r="G23" s="51">
        <f t="shared" si="5"/>
        <v>6.8913072619491275E-3</v>
      </c>
      <c r="H23" s="51">
        <f t="shared" si="6"/>
        <v>9.1564560002213875E-3</v>
      </c>
      <c r="I23" s="51">
        <f t="shared" si="7"/>
        <v>1.4089505981140671E-2</v>
      </c>
      <c r="J23" s="50">
        <f t="shared" si="8"/>
        <v>0</v>
      </c>
      <c r="K23" s="50">
        <f t="shared" si="9"/>
        <v>0</v>
      </c>
      <c r="L23" s="50">
        <f t="shared" si="10"/>
        <v>0</v>
      </c>
      <c r="M23" s="50">
        <f t="shared" si="11"/>
        <v>0</v>
      </c>
      <c r="N23" s="50">
        <f t="shared" si="12"/>
        <v>0</v>
      </c>
      <c r="O23" s="52">
        <f t="shared" si="13"/>
        <v>7.5343173108277962E-3</v>
      </c>
      <c r="P23" s="52">
        <f t="shared" si="14"/>
        <v>7.1305767369503059E-3</v>
      </c>
      <c r="Q23" s="73"/>
      <c r="R23" s="73">
        <f t="shared" si="15"/>
        <v>289131</v>
      </c>
      <c r="S23" s="73">
        <f>ROUND((P23*'Cost Pool'!$C$25),0)</f>
        <v>289131</v>
      </c>
      <c r="T23" s="73">
        <v>269857</v>
      </c>
      <c r="U23" s="73">
        <f t="shared" si="16"/>
        <v>75818</v>
      </c>
      <c r="V23" s="73">
        <f>ROUND((O23*'Cost Pool'!$D$25),0)</f>
        <v>345675</v>
      </c>
      <c r="W23" s="73">
        <f t="shared" si="17"/>
        <v>634806</v>
      </c>
    </row>
    <row r="24" spans="1:23">
      <c r="A24" s="46" t="s">
        <v>319</v>
      </c>
      <c r="B24" s="49" t="str">
        <f t="shared" si="0"/>
        <v>100-PN</v>
      </c>
      <c r="C24" s="49" t="str">
        <f t="shared" si="1"/>
        <v>100 - General Fund</v>
      </c>
      <c r="D24" s="49" t="str">
        <f t="shared" si="2"/>
        <v>Bureau of Planning &amp; Sustainability</v>
      </c>
      <c r="E24" s="51">
        <f t="shared" si="3"/>
        <v>3.0128132448203073E-3</v>
      </c>
      <c r="F24" s="51">
        <f t="shared" si="4"/>
        <v>0</v>
      </c>
      <c r="G24" s="51">
        <f t="shared" si="5"/>
        <v>0</v>
      </c>
      <c r="H24" s="51">
        <f t="shared" si="6"/>
        <v>0</v>
      </c>
      <c r="I24" s="51">
        <f t="shared" si="7"/>
        <v>0</v>
      </c>
      <c r="J24" s="50">
        <f t="shared" si="8"/>
        <v>3.5691523263224985E-3</v>
      </c>
      <c r="K24" s="50">
        <f t="shared" si="9"/>
        <v>0</v>
      </c>
      <c r="L24" s="50">
        <f t="shared" si="10"/>
        <v>0</v>
      </c>
      <c r="M24" s="50">
        <f t="shared" si="11"/>
        <v>0</v>
      </c>
      <c r="N24" s="50">
        <f t="shared" si="12"/>
        <v>0</v>
      </c>
      <c r="O24" s="52">
        <f t="shared" si="13"/>
        <v>0</v>
      </c>
      <c r="P24" s="52">
        <f t="shared" si="14"/>
        <v>1.0506326717319517E-3</v>
      </c>
      <c r="Q24" s="73"/>
      <c r="R24" s="73">
        <f t="shared" si="15"/>
        <v>42601</v>
      </c>
      <c r="S24" s="73">
        <f>ROUND((P24*'Cost Pool'!$C$25),0)</f>
        <v>42601</v>
      </c>
      <c r="T24" s="73"/>
      <c r="U24" s="73">
        <f t="shared" si="16"/>
        <v>0</v>
      </c>
      <c r="V24" s="73">
        <f>ROUND((O24*'Cost Pool'!$D$25),0)</f>
        <v>0</v>
      </c>
      <c r="W24" s="73">
        <f t="shared" si="17"/>
        <v>42601</v>
      </c>
    </row>
    <row r="25" spans="1:23">
      <c r="A25" s="45" t="s">
        <v>320</v>
      </c>
      <c r="B25" s="49" t="str">
        <f t="shared" si="0"/>
        <v>PDC</v>
      </c>
      <c r="C25" s="49" t="str">
        <f t="shared" si="1"/>
        <v>PDC - Portland Development Commission</v>
      </c>
      <c r="D25" s="49" t="e">
        <f t="shared" si="2"/>
        <v>#N/A</v>
      </c>
      <c r="E25" s="51">
        <f t="shared" si="3"/>
        <v>0</v>
      </c>
      <c r="F25" s="51">
        <f t="shared" si="4"/>
        <v>6.9937688368246695E-3</v>
      </c>
      <c r="G25" s="51">
        <f t="shared" si="5"/>
        <v>4.1964137219626559E-3</v>
      </c>
      <c r="H25" s="51">
        <f t="shared" si="6"/>
        <v>5.3166191746637911E-3</v>
      </c>
      <c r="I25" s="51">
        <f t="shared" si="7"/>
        <v>6.4587168174336934E-3</v>
      </c>
      <c r="J25" s="50">
        <f t="shared" si="8"/>
        <v>0</v>
      </c>
      <c r="K25" s="50">
        <f t="shared" si="9"/>
        <v>0</v>
      </c>
      <c r="L25" s="50">
        <f t="shared" si="10"/>
        <v>0</v>
      </c>
      <c r="M25" s="50">
        <f t="shared" si="11"/>
        <v>0</v>
      </c>
      <c r="N25" s="50">
        <f t="shared" si="12"/>
        <v>0</v>
      </c>
      <c r="O25" s="52">
        <f t="shared" si="13"/>
        <v>3.9929374285150353E-3</v>
      </c>
      <c r="P25" s="52">
        <f t="shared" si="14"/>
        <v>2.7975456396968313E-3</v>
      </c>
      <c r="Q25" s="73">
        <v>126913</v>
      </c>
      <c r="R25" s="73">
        <f t="shared" si="15"/>
        <v>-13478</v>
      </c>
      <c r="S25" s="73">
        <f>ROUND((P25*'Cost Pool'!$C$25),0)</f>
        <v>113435</v>
      </c>
      <c r="T25" s="73">
        <v>146823</v>
      </c>
      <c r="U25" s="73">
        <f t="shared" si="16"/>
        <v>36373</v>
      </c>
      <c r="V25" s="73">
        <f>ROUND((O25*'Cost Pool'!$D$25),0)</f>
        <v>183196</v>
      </c>
      <c r="W25" s="73">
        <f t="shared" si="17"/>
        <v>169718</v>
      </c>
    </row>
    <row r="26" spans="1:23">
      <c r="A26" s="45" t="s">
        <v>172</v>
      </c>
      <c r="B26" s="49">
        <f t="shared" si="0"/>
        <v>200</v>
      </c>
      <c r="C26" s="49" t="str">
        <f t="shared" si="1"/>
        <v>200 - Transportation Operating Fund</v>
      </c>
      <c r="D26" s="49" t="e">
        <f t="shared" si="2"/>
        <v>#N/A</v>
      </c>
      <c r="E26" s="51">
        <f t="shared" si="3"/>
        <v>0.10596635361144478</v>
      </c>
      <c r="F26" s="51">
        <f t="shared" si="4"/>
        <v>0.11291080957430061</v>
      </c>
      <c r="G26" s="51">
        <f t="shared" si="5"/>
        <v>0.11137920572637917</v>
      </c>
      <c r="H26" s="51">
        <f t="shared" si="6"/>
        <v>0.10835875997688185</v>
      </c>
      <c r="I26" s="51">
        <f t="shared" si="7"/>
        <v>0.12633394919495342</v>
      </c>
      <c r="J26" s="50">
        <f t="shared" si="8"/>
        <v>0.10184831102613129</v>
      </c>
      <c r="K26" s="50">
        <f t="shared" si="9"/>
        <v>9.3734703866862459E-2</v>
      </c>
      <c r="L26" s="50">
        <f t="shared" si="10"/>
        <v>9.7116653056096486E-2</v>
      </c>
      <c r="M26" s="50">
        <f t="shared" si="11"/>
        <v>9.4884739371084478E-2</v>
      </c>
      <c r="N26" s="50">
        <f t="shared" si="12"/>
        <v>8.6038683174530728E-2</v>
      </c>
      <c r="O26" s="52">
        <f t="shared" si="13"/>
        <v>0.10968798502469625</v>
      </c>
      <c r="P26" s="52">
        <f t="shared" si="14"/>
        <v>0.10695573122378865</v>
      </c>
      <c r="Q26" s="73">
        <v>5760647</v>
      </c>
      <c r="R26" s="73">
        <f t="shared" si="15"/>
        <v>-1423798</v>
      </c>
      <c r="S26" s="73">
        <f>ROUND((P26*'Cost Pool'!$C$25),0)</f>
        <v>4336849</v>
      </c>
      <c r="T26" s="73">
        <v>6564665</v>
      </c>
      <c r="U26" s="73">
        <f t="shared" si="16"/>
        <v>-1532171</v>
      </c>
      <c r="V26" s="73">
        <f>ROUND((O26*'Cost Pool'!$D$25),0)</f>
        <v>5032494</v>
      </c>
      <c r="W26" s="73">
        <f t="shared" si="17"/>
        <v>3608696</v>
      </c>
    </row>
    <row r="27" spans="1:23" s="45" customFormat="1">
      <c r="A27" s="71" t="s">
        <v>436</v>
      </c>
      <c r="B27" s="49">
        <f t="shared" si="0"/>
        <v>201</v>
      </c>
      <c r="C27" s="49" t="str">
        <f t="shared" si="1"/>
        <v>201 - Assessment Collection Fund</v>
      </c>
      <c r="D27" s="49" t="e">
        <f t="shared" si="2"/>
        <v>#N/A</v>
      </c>
      <c r="E27" s="51">
        <f t="shared" ref="E27" si="32">IF(B27="Excluded",0,(IF(ISNA(VLOOKUP(A27,FY2008_09,10,FALSE)),0,(VLOOKUP(A27,FY2008_09,10,FALSE)))))</f>
        <v>0</v>
      </c>
      <c r="F27" s="51">
        <f t="shared" ref="F27" si="33">IF(B27="Excluded",0,(IF(ISNA(VLOOKUP(A27,FY2009_10,10,FALSE)),0,(VLOOKUP(A27,FY2009_10,10,FALSE)))))</f>
        <v>0</v>
      </c>
      <c r="G27" s="51">
        <f t="shared" ref="G27" si="34">IF(B27="Excluded",0,(IF(ISNA(VLOOKUP(A27,FY2010_11,10,FALSE)),0,(VLOOKUP(A27,FY2010_11,10,FALSE)))))</f>
        <v>0</v>
      </c>
      <c r="H27" s="51">
        <f t="shared" ref="H27" si="35">IF(B27="Excluded",0,(IF(ISNA(VLOOKUP(A27,FY2011_12,10,FALSE)),0,(VLOOKUP(A27,FY2011_12,10,FALSE)))))</f>
        <v>0</v>
      </c>
      <c r="I27" s="51">
        <f t="shared" ref="I27" si="36">IF(B27="Excluded",0,(IF(ISNA(VLOOKUP(A27,FY2012_13,10,FALSE)),0,(VLOOKUP(A27,FY2012_13,10,FALSE)))))</f>
        <v>0</v>
      </c>
      <c r="J27" s="50">
        <f t="shared" si="8"/>
        <v>0</v>
      </c>
      <c r="K27" s="50">
        <f t="shared" si="9"/>
        <v>0</v>
      </c>
      <c r="L27" s="50">
        <f t="shared" si="10"/>
        <v>0</v>
      </c>
      <c r="M27" s="50">
        <f t="shared" si="11"/>
        <v>0</v>
      </c>
      <c r="N27" s="50">
        <f t="shared" si="12"/>
        <v>0</v>
      </c>
      <c r="O27" s="52">
        <f t="shared" ref="O27" si="37">(AVERAGE(G27:I27)*0.75)+(AVERAGE(L27:N27)*0.25)</f>
        <v>0</v>
      </c>
      <c r="P27" s="52">
        <f t="shared" ref="P27" si="38">(AVERAGE(E27:G27)*0.75)+(AVERAGE(J27:L27)*0.25)</f>
        <v>0</v>
      </c>
      <c r="Q27" s="73">
        <v>14</v>
      </c>
      <c r="R27" s="73">
        <f t="shared" ref="R27" si="39">S27-Q27</f>
        <v>-14</v>
      </c>
      <c r="S27" s="73">
        <f>ROUND((P27*'Cost Pool'!$C$25),0)</f>
        <v>0</v>
      </c>
      <c r="T27" s="73">
        <v>12</v>
      </c>
      <c r="U27" s="73">
        <f t="shared" si="16"/>
        <v>-12</v>
      </c>
      <c r="V27" s="73">
        <f>ROUND((O27*'Cost Pool'!$D$25),0)</f>
        <v>0</v>
      </c>
      <c r="W27" s="73">
        <f t="shared" ref="W27" si="40">V27+R27</f>
        <v>-14</v>
      </c>
    </row>
    <row r="28" spans="1:23">
      <c r="A28" s="45" t="s">
        <v>173</v>
      </c>
      <c r="B28" s="49">
        <f t="shared" si="0"/>
        <v>202</v>
      </c>
      <c r="C28" s="49" t="str">
        <f t="shared" si="1"/>
        <v>202 - Emergency Communication Fund</v>
      </c>
      <c r="D28" s="49" t="e">
        <f t="shared" si="2"/>
        <v>#N/A</v>
      </c>
      <c r="E28" s="51">
        <f t="shared" si="3"/>
        <v>1.5096047198025537E-2</v>
      </c>
      <c r="F28" s="51">
        <f t="shared" si="4"/>
        <v>1.5061402987787503E-2</v>
      </c>
      <c r="G28" s="51">
        <f t="shared" si="5"/>
        <v>1.4385445626880773E-2</v>
      </c>
      <c r="H28" s="51">
        <f t="shared" si="6"/>
        <v>1.5384301041894088E-2</v>
      </c>
      <c r="I28" s="51">
        <f t="shared" si="7"/>
        <v>1.498720529006492E-2</v>
      </c>
      <c r="J28" s="50">
        <f t="shared" si="8"/>
        <v>1.9120458891013385E-2</v>
      </c>
      <c r="K28" s="50">
        <f t="shared" si="9"/>
        <v>1.8844836025452765E-2</v>
      </c>
      <c r="L28" s="50">
        <f t="shared" si="10"/>
        <v>1.897104089452855E-2</v>
      </c>
      <c r="M28" s="50">
        <f t="shared" si="11"/>
        <v>1.7760476856638889E-2</v>
      </c>
      <c r="N28" s="50">
        <f t="shared" si="12"/>
        <v>1.6317681291721346E-2</v>
      </c>
      <c r="O28" s="52">
        <f t="shared" si="13"/>
        <v>1.5610004576617344E-2</v>
      </c>
      <c r="P28" s="52">
        <f t="shared" si="14"/>
        <v>1.5880418604089678E-2</v>
      </c>
      <c r="Q28" s="73">
        <v>785607</v>
      </c>
      <c r="R28" s="73">
        <f t="shared" si="15"/>
        <v>-141687</v>
      </c>
      <c r="S28" s="73">
        <f>ROUND((P28*'Cost Pool'!$C$25),0)</f>
        <v>643920</v>
      </c>
      <c r="T28" s="73">
        <v>877412</v>
      </c>
      <c r="U28" s="73">
        <f t="shared" si="16"/>
        <v>-161224</v>
      </c>
      <c r="V28" s="73">
        <f>ROUND((O28*'Cost Pool'!$D$25),0)</f>
        <v>716188</v>
      </c>
      <c r="W28" s="73">
        <f t="shared" si="17"/>
        <v>574501</v>
      </c>
    </row>
    <row r="29" spans="1:23">
      <c r="A29" s="45" t="s">
        <v>174</v>
      </c>
      <c r="B29" s="49">
        <f t="shared" si="0"/>
        <v>202</v>
      </c>
      <c r="C29" s="49" t="str">
        <f t="shared" si="1"/>
        <v>202 - Emergency Communication Fund</v>
      </c>
      <c r="D29" s="49" t="e">
        <f t="shared" si="2"/>
        <v>#N/A</v>
      </c>
      <c r="E29" s="51">
        <f t="shared" si="3"/>
        <v>1.3500756607586541E-4</v>
      </c>
      <c r="F29" s="51">
        <f t="shared" si="4"/>
        <v>2.0342998839141062E-3</v>
      </c>
      <c r="G29" s="51">
        <f t="shared" si="5"/>
        <v>2.5591922015821161E-3</v>
      </c>
      <c r="H29" s="51">
        <f t="shared" si="6"/>
        <v>1.7401543421843239E-4</v>
      </c>
      <c r="I29" s="51">
        <f t="shared" si="7"/>
        <v>1.0510383764661855E-5</v>
      </c>
      <c r="J29" s="50">
        <f t="shared" si="8"/>
        <v>0</v>
      </c>
      <c r="K29" s="50">
        <f t="shared" si="9"/>
        <v>0</v>
      </c>
      <c r="L29" s="50">
        <f t="shared" si="10"/>
        <v>0</v>
      </c>
      <c r="M29" s="50">
        <f t="shared" si="11"/>
        <v>0</v>
      </c>
      <c r="N29" s="50">
        <f t="shared" si="12"/>
        <v>0</v>
      </c>
      <c r="O29" s="52">
        <f t="shared" si="13"/>
        <v>6.8592950489130265E-4</v>
      </c>
      <c r="P29" s="52">
        <f t="shared" si="14"/>
        <v>1.1821249128930219E-3</v>
      </c>
      <c r="Q29" s="73"/>
      <c r="R29" s="73">
        <f t="shared" si="15"/>
        <v>47933</v>
      </c>
      <c r="S29" s="73">
        <f>ROUND((P29*'Cost Pool'!$C$25),0)</f>
        <v>47933</v>
      </c>
      <c r="T29" s="73"/>
      <c r="U29" s="73">
        <f t="shared" si="16"/>
        <v>31471</v>
      </c>
      <c r="V29" s="73">
        <f>ROUND((O29*'Cost Pool'!$D$25),0)</f>
        <v>31471</v>
      </c>
      <c r="W29" s="73">
        <f t="shared" si="17"/>
        <v>79404</v>
      </c>
    </row>
    <row r="30" spans="1:23">
      <c r="A30" s="45" t="s">
        <v>175</v>
      </c>
      <c r="B30" s="49">
        <f t="shared" si="0"/>
        <v>203</v>
      </c>
      <c r="C30" s="49" t="str">
        <f t="shared" si="1"/>
        <v>203 - Development Services Fund</v>
      </c>
      <c r="D30" s="49" t="e">
        <f t="shared" si="2"/>
        <v>#N/A</v>
      </c>
      <c r="E30" s="51">
        <f t="shared" si="3"/>
        <v>3.6798226408064946E-2</v>
      </c>
      <c r="F30" s="51">
        <f t="shared" si="4"/>
        <v>2.2244935983947643E-2</v>
      </c>
      <c r="G30" s="51">
        <f t="shared" si="5"/>
        <v>1.7730270599100605E-2</v>
      </c>
      <c r="H30" s="51">
        <f t="shared" si="6"/>
        <v>2.140796906034003E-2</v>
      </c>
      <c r="I30" s="51">
        <f t="shared" si="7"/>
        <v>2.3347979356632451E-2</v>
      </c>
      <c r="J30" s="50">
        <f t="shared" si="8"/>
        <v>4.7418738049713194E-2</v>
      </c>
      <c r="K30" s="50">
        <f t="shared" si="9"/>
        <v>3.8056779246206561E-2</v>
      </c>
      <c r="L30" s="50">
        <f t="shared" si="10"/>
        <v>2.135812551039638E-2</v>
      </c>
      <c r="M30" s="50">
        <f t="shared" si="11"/>
        <v>2.2748008028708716E-2</v>
      </c>
      <c r="N30" s="50">
        <f t="shared" si="12"/>
        <v>2.4419467107890683E-2</v>
      </c>
      <c r="O30" s="52">
        <f t="shared" si="13"/>
        <v>2.1332021474601254E-2</v>
      </c>
      <c r="P30" s="52">
        <f t="shared" si="14"/>
        <v>2.8096161814971311E-2</v>
      </c>
      <c r="Q30" s="73">
        <v>1092926</v>
      </c>
      <c r="R30" s="73">
        <f t="shared" si="15"/>
        <v>46319</v>
      </c>
      <c r="S30" s="73">
        <f>ROUND((P30*'Cost Pool'!$C$25),0)</f>
        <v>1139245</v>
      </c>
      <c r="T30" s="73">
        <v>1044982</v>
      </c>
      <c r="U30" s="73">
        <f t="shared" si="16"/>
        <v>-66267</v>
      </c>
      <c r="V30" s="73">
        <f>ROUND((O30*'Cost Pool'!$D$25),0)</f>
        <v>978715</v>
      </c>
      <c r="W30" s="73">
        <f t="shared" si="17"/>
        <v>1025034</v>
      </c>
    </row>
    <row r="31" spans="1:23" ht="11.4" customHeight="1">
      <c r="A31" s="45" t="s">
        <v>176</v>
      </c>
      <c r="B31" s="49">
        <f t="shared" si="0"/>
        <v>204</v>
      </c>
      <c r="C31" s="49" t="str">
        <f t="shared" si="1"/>
        <v>204 - Property Management License Fund</v>
      </c>
      <c r="D31" s="49" t="e">
        <f t="shared" si="2"/>
        <v>#N/A</v>
      </c>
      <c r="E31" s="51">
        <f t="shared" si="3"/>
        <v>0</v>
      </c>
      <c r="F31" s="51">
        <f t="shared" si="4"/>
        <v>0</v>
      </c>
      <c r="G31" s="51">
        <f t="shared" si="5"/>
        <v>0</v>
      </c>
      <c r="H31" s="51">
        <f t="shared" si="6"/>
        <v>0</v>
      </c>
      <c r="I31" s="51">
        <f t="shared" si="7"/>
        <v>0</v>
      </c>
      <c r="J31" s="50">
        <f t="shared" si="8"/>
        <v>0</v>
      </c>
      <c r="K31" s="50">
        <f t="shared" si="9"/>
        <v>0</v>
      </c>
      <c r="L31" s="50">
        <f t="shared" si="10"/>
        <v>0</v>
      </c>
      <c r="M31" s="50">
        <f t="shared" si="11"/>
        <v>0</v>
      </c>
      <c r="N31" s="50">
        <f t="shared" si="12"/>
        <v>0</v>
      </c>
      <c r="O31" s="52">
        <f t="shared" si="13"/>
        <v>0</v>
      </c>
      <c r="P31" s="52">
        <f t="shared" si="14"/>
        <v>0</v>
      </c>
      <c r="Q31" s="73"/>
      <c r="R31" s="73">
        <f t="shared" si="15"/>
        <v>0</v>
      </c>
      <c r="S31" s="73">
        <f>ROUND((P31*'Cost Pool'!$C$25),0)</f>
        <v>0</v>
      </c>
      <c r="T31" s="73">
        <v>0</v>
      </c>
      <c r="U31" s="73">
        <f t="shared" si="16"/>
        <v>25000</v>
      </c>
      <c r="V31" s="80">
        <v>25000</v>
      </c>
      <c r="W31" s="80">
        <v>25000</v>
      </c>
    </row>
    <row r="32" spans="1:23">
      <c r="A32" s="45" t="s">
        <v>177</v>
      </c>
      <c r="B32" s="49" t="str">
        <f t="shared" si="0"/>
        <v>206-MF</v>
      </c>
      <c r="C32" s="49" t="str">
        <f t="shared" si="1"/>
        <v>206 - MHCRC Agency Fund</v>
      </c>
      <c r="D32" s="49" t="str">
        <f t="shared" si="2"/>
        <v>Office of Management &amp; Finance</v>
      </c>
      <c r="E32" s="51">
        <f t="shared" si="3"/>
        <v>0</v>
      </c>
      <c r="F32" s="51">
        <f t="shared" si="4"/>
        <v>0</v>
      </c>
      <c r="G32" s="51">
        <f t="shared" si="5"/>
        <v>0</v>
      </c>
      <c r="H32" s="51">
        <f t="shared" si="6"/>
        <v>0</v>
      </c>
      <c r="I32" s="51">
        <f t="shared" si="7"/>
        <v>0</v>
      </c>
      <c r="J32" s="50">
        <f t="shared" si="8"/>
        <v>0</v>
      </c>
      <c r="K32" s="50">
        <f t="shared" si="9"/>
        <v>0</v>
      </c>
      <c r="L32" s="50">
        <f t="shared" si="10"/>
        <v>0</v>
      </c>
      <c r="M32" s="50">
        <f t="shared" si="11"/>
        <v>0</v>
      </c>
      <c r="N32" s="50">
        <f t="shared" si="12"/>
        <v>0</v>
      </c>
      <c r="O32" s="52">
        <f t="shared" si="13"/>
        <v>0</v>
      </c>
      <c r="P32" s="52">
        <f t="shared" si="14"/>
        <v>0</v>
      </c>
      <c r="Q32" s="73">
        <v>0</v>
      </c>
      <c r="R32" s="73">
        <f t="shared" si="15"/>
        <v>0</v>
      </c>
      <c r="S32" s="73">
        <f>ROUND((P32*'Cost Pool'!$C$25),0)</f>
        <v>0</v>
      </c>
      <c r="T32" s="73">
        <v>0</v>
      </c>
      <c r="U32" s="73">
        <f t="shared" si="16"/>
        <v>25000</v>
      </c>
      <c r="V32" s="80">
        <v>25000</v>
      </c>
      <c r="W32" s="80">
        <v>25000</v>
      </c>
    </row>
    <row r="33" spans="1:23">
      <c r="A33" s="45" t="s">
        <v>178</v>
      </c>
      <c r="B33" s="49">
        <f t="shared" si="0"/>
        <v>209</v>
      </c>
      <c r="C33" s="49" t="str">
        <f t="shared" si="1"/>
        <v>209 - Convention and Tourism Fund</v>
      </c>
      <c r="D33" s="49" t="e">
        <f t="shared" si="2"/>
        <v>#N/A</v>
      </c>
      <c r="E33" s="51">
        <f t="shared" si="3"/>
        <v>0</v>
      </c>
      <c r="F33" s="51">
        <f t="shared" si="4"/>
        <v>0</v>
      </c>
      <c r="G33" s="51">
        <f t="shared" si="5"/>
        <v>0</v>
      </c>
      <c r="H33" s="51">
        <f t="shared" si="6"/>
        <v>0</v>
      </c>
      <c r="I33" s="51">
        <f t="shared" si="7"/>
        <v>0</v>
      </c>
      <c r="J33" s="50">
        <f t="shared" si="8"/>
        <v>0</v>
      </c>
      <c r="K33" s="50">
        <f t="shared" si="9"/>
        <v>0</v>
      </c>
      <c r="L33" s="50">
        <f t="shared" si="10"/>
        <v>0</v>
      </c>
      <c r="M33" s="50">
        <f t="shared" si="11"/>
        <v>0</v>
      </c>
      <c r="N33" s="50">
        <f t="shared" si="12"/>
        <v>0</v>
      </c>
      <c r="O33" s="52">
        <f t="shared" si="13"/>
        <v>0</v>
      </c>
      <c r="P33" s="52">
        <f t="shared" si="14"/>
        <v>0</v>
      </c>
      <c r="Q33" s="73">
        <v>0</v>
      </c>
      <c r="R33" s="73">
        <f t="shared" si="15"/>
        <v>0</v>
      </c>
      <c r="S33" s="73">
        <f>ROUND((P33*'Cost Pool'!$C$25),0)</f>
        <v>0</v>
      </c>
      <c r="T33" s="73">
        <v>56826</v>
      </c>
      <c r="U33" s="73">
        <f t="shared" si="16"/>
        <v>-31826</v>
      </c>
      <c r="V33" s="80">
        <v>25000</v>
      </c>
      <c r="W33" s="80">
        <v>25000</v>
      </c>
    </row>
    <row r="34" spans="1:23">
      <c r="A34" s="45" t="s">
        <v>179</v>
      </c>
      <c r="B34" s="49" t="str">
        <f t="shared" si="0"/>
        <v>Excluded</v>
      </c>
      <c r="C34" s="49" t="e">
        <f t="shared" ref="C34:C66" si="41">CONCATENATE((LEFT(B34,3))," - ",(VLOOKUP((LEFT(B34,3)),Funds,2,FALSE)))</f>
        <v>#N/A</v>
      </c>
      <c r="D34" s="49" t="e">
        <f t="shared" ref="D34:D66" si="42">VLOOKUP((RIGHT(B34,2)),Bureaus,2,FALSE)</f>
        <v>#N/A</v>
      </c>
      <c r="E34" s="51">
        <f t="shared" si="3"/>
        <v>0</v>
      </c>
      <c r="F34" s="51">
        <f t="shared" si="4"/>
        <v>0</v>
      </c>
      <c r="G34" s="51">
        <f t="shared" si="5"/>
        <v>0</v>
      </c>
      <c r="H34" s="51">
        <f t="shared" si="6"/>
        <v>0</v>
      </c>
      <c r="I34" s="51">
        <f t="shared" si="7"/>
        <v>0</v>
      </c>
      <c r="J34" s="50">
        <f t="shared" ref="J34:J66" si="43">IF(B34="Excluded",0,(IF(ISNA(VLOOKUP(A34,FY2008_09P,6,FALSE)),0,(VLOOKUP(A34,FY2008_09P,6,FALSE)))))</f>
        <v>0</v>
      </c>
      <c r="K34" s="50">
        <f t="shared" ref="K34:K66" si="44">IF(B34="Excluded",0,(IF(ISNA(VLOOKUP(A34,FY2009_10P,6,FALSE)),0,(VLOOKUP(A34,FY2009_10P,6,FALSE)))))</f>
        <v>0</v>
      </c>
      <c r="L34" s="50">
        <f t="shared" ref="L34:L66" si="45">IF(B34="Excluded",0,(IF(ISNA(VLOOKUP(A34,FY2010_11P,6,FALSE)),0,(VLOOKUP(A34,FY2010_11P,6,FALSE)))))</f>
        <v>0</v>
      </c>
      <c r="M34" s="50">
        <f t="shared" ref="M34:M66" si="46">IF(B34="Excluded",0,(IF(ISNA(VLOOKUP(A34,FY2011_12P,6,FALSE)),0,(VLOOKUP(A34,FY2011_12P,6,FALSE)))))</f>
        <v>0</v>
      </c>
      <c r="N34" s="50">
        <f t="shared" ref="N34:N66" si="47">IF(B34="Excluded",0,(IF(ISNA(VLOOKUP(A34,FY2012_13P,6,FALSE)),0,(VLOOKUP(A34,FY2012_13P,6,FALSE)))))</f>
        <v>0</v>
      </c>
      <c r="O34" s="52">
        <f t="shared" si="13"/>
        <v>0</v>
      </c>
      <c r="P34" s="52">
        <f t="shared" si="14"/>
        <v>0</v>
      </c>
      <c r="Q34" s="73"/>
      <c r="R34" s="73">
        <f t="shared" si="15"/>
        <v>0</v>
      </c>
      <c r="S34" s="73">
        <f>ROUND((P34*'Cost Pool'!$C$25),0)</f>
        <v>0</v>
      </c>
      <c r="T34" s="73"/>
      <c r="U34" s="73">
        <f t="shared" si="16"/>
        <v>0</v>
      </c>
      <c r="V34" s="73">
        <f>ROUND((O34*'Cost Pool'!$D$25),0)</f>
        <v>0</v>
      </c>
      <c r="W34" s="73">
        <f t="shared" si="17"/>
        <v>0</v>
      </c>
    </row>
    <row r="35" spans="1:23">
      <c r="A35" s="45" t="s">
        <v>180</v>
      </c>
      <c r="B35" s="49">
        <f t="shared" si="0"/>
        <v>213</v>
      </c>
      <c r="C35" s="49" t="str">
        <f t="shared" si="41"/>
        <v>213 - Housing Investment Fund</v>
      </c>
      <c r="D35" s="49" t="e">
        <f t="shared" si="42"/>
        <v>#N/A</v>
      </c>
      <c r="E35" s="51">
        <f t="shared" si="3"/>
        <v>1.3587145960782764E-2</v>
      </c>
      <c r="F35" s="51">
        <f t="shared" si="4"/>
        <v>8.7797136905764812E-3</v>
      </c>
      <c r="G35" s="51">
        <f t="shared" si="5"/>
        <v>4.2028308064615697E-3</v>
      </c>
      <c r="H35" s="51">
        <f t="shared" si="6"/>
        <v>1.9175397926255488E-3</v>
      </c>
      <c r="I35" s="51">
        <f t="shared" si="7"/>
        <v>1.5735122075448405E-3</v>
      </c>
      <c r="J35" s="50">
        <f t="shared" si="43"/>
        <v>0</v>
      </c>
      <c r="K35" s="50">
        <f t="shared" si="44"/>
        <v>0</v>
      </c>
      <c r="L35" s="50">
        <f t="shared" si="45"/>
        <v>0</v>
      </c>
      <c r="M35" s="50">
        <f t="shared" si="46"/>
        <v>0</v>
      </c>
      <c r="N35" s="50">
        <f t="shared" si="47"/>
        <v>0</v>
      </c>
      <c r="O35" s="52">
        <f t="shared" si="13"/>
        <v>1.92347070165799E-3</v>
      </c>
      <c r="P35" s="52">
        <f t="shared" si="14"/>
        <v>6.642422614455204E-3</v>
      </c>
      <c r="Q35" s="73">
        <v>233377</v>
      </c>
      <c r="R35" s="73">
        <f t="shared" si="15"/>
        <v>35960</v>
      </c>
      <c r="S35" s="73">
        <f>ROUND((P35*'Cost Pool'!$C$25),0)</f>
        <v>269337</v>
      </c>
      <c r="T35" s="73">
        <v>218979</v>
      </c>
      <c r="U35" s="73">
        <f t="shared" si="16"/>
        <v>-130730</v>
      </c>
      <c r="V35" s="73">
        <f>ROUND((O35*'Cost Pool'!$D$25),0)</f>
        <v>88249</v>
      </c>
      <c r="W35" s="73">
        <f t="shared" si="17"/>
        <v>124209</v>
      </c>
    </row>
    <row r="36" spans="1:23">
      <c r="A36" s="45" t="s">
        <v>181</v>
      </c>
      <c r="B36" s="49" t="str">
        <f t="shared" si="0"/>
        <v>Excluded</v>
      </c>
      <c r="C36" s="49" t="e">
        <f t="shared" si="41"/>
        <v>#N/A</v>
      </c>
      <c r="D36" s="49" t="e">
        <f t="shared" si="42"/>
        <v>#N/A</v>
      </c>
      <c r="E36" s="51">
        <f t="shared" si="3"/>
        <v>0</v>
      </c>
      <c r="F36" s="51">
        <f t="shared" si="4"/>
        <v>0</v>
      </c>
      <c r="G36" s="51">
        <f t="shared" si="5"/>
        <v>0</v>
      </c>
      <c r="H36" s="51">
        <f t="shared" si="6"/>
        <v>0</v>
      </c>
      <c r="I36" s="51">
        <f t="shared" si="7"/>
        <v>0</v>
      </c>
      <c r="J36" s="50">
        <f t="shared" si="43"/>
        <v>0</v>
      </c>
      <c r="K36" s="50">
        <f t="shared" si="44"/>
        <v>0</v>
      </c>
      <c r="L36" s="50">
        <f t="shared" si="45"/>
        <v>0</v>
      </c>
      <c r="M36" s="50">
        <f t="shared" si="46"/>
        <v>0</v>
      </c>
      <c r="N36" s="50">
        <f t="shared" si="47"/>
        <v>0</v>
      </c>
      <c r="O36" s="52">
        <f t="shared" si="13"/>
        <v>0</v>
      </c>
      <c r="P36" s="52">
        <f t="shared" si="14"/>
        <v>0</v>
      </c>
      <c r="Q36" s="73"/>
      <c r="R36" s="73">
        <f t="shared" si="15"/>
        <v>0</v>
      </c>
      <c r="S36" s="73">
        <f>ROUND((P36*'Cost Pool'!$C$25),0)</f>
        <v>0</v>
      </c>
      <c r="T36" s="73"/>
      <c r="U36" s="73">
        <f t="shared" si="16"/>
        <v>0</v>
      </c>
      <c r="V36" s="73">
        <f>ROUND((O36*'Cost Pool'!$D$25),0)</f>
        <v>0</v>
      </c>
      <c r="W36" s="73">
        <f t="shared" si="17"/>
        <v>0</v>
      </c>
    </row>
    <row r="37" spans="1:23">
      <c r="A37" s="45" t="s">
        <v>182</v>
      </c>
      <c r="B37" s="49">
        <f t="shared" ref="B37:B69" si="48">VLOOKUP(A37,Crosswalk,2,FALSE)</f>
        <v>215</v>
      </c>
      <c r="C37" s="49" t="str">
        <f t="shared" si="41"/>
        <v>215 - Parks Local Option Levy Fund</v>
      </c>
      <c r="D37" s="49" t="e">
        <f t="shared" si="42"/>
        <v>#N/A</v>
      </c>
      <c r="E37" s="51">
        <f t="shared" ref="E37:E69" si="49">IF(B37="Excluded",0,(IF(ISNA(VLOOKUP(A37,FY2008_09,10,FALSE)),0,(VLOOKUP(A37,FY2008_09,10,FALSE)))))</f>
        <v>3.3601125920011735E-3</v>
      </c>
      <c r="F37" s="51">
        <f t="shared" ref="F37:F69" si="50">IF(B37="Excluded",0,(IF(ISNA(VLOOKUP(A37,FY2009_10,10,FALSE)),0,(VLOOKUP(A37,FY2009_10,10,FALSE)))))</f>
        <v>9.450934756537804E-4</v>
      </c>
      <c r="G37" s="51">
        <f t="shared" ref="G37:G69" si="51">IF(B37="Excluded",0,(IF(ISNA(VLOOKUP(A37,FY2010_11,10,FALSE)),0,(VLOOKUP(A37,FY2010_11,10,FALSE)))))</f>
        <v>4.5981273643400805E-4</v>
      </c>
      <c r="H37" s="51">
        <f t="shared" ref="H37:H69" si="52">IF(B37="Excluded",0,(IF(ISNA(VLOOKUP(A37,FY2011_12,10,FALSE)),0,(VLOOKUP(A37,FY2011_12,10,FALSE)))))</f>
        <v>4.4308465378857829E-4</v>
      </c>
      <c r="I37" s="51">
        <f t="shared" ref="I37:I69" si="53">IF(B37="Excluded",0,(IF(ISNA(VLOOKUP(A37,FY2012_13,10,FALSE)),0,(VLOOKUP(A37,FY2012_13,10,FALSE)))))</f>
        <v>3.3805109979392558E-4</v>
      </c>
      <c r="J37" s="50">
        <f t="shared" si="43"/>
        <v>0</v>
      </c>
      <c r="K37" s="50">
        <f t="shared" si="44"/>
        <v>0</v>
      </c>
      <c r="L37" s="50">
        <f t="shared" si="45"/>
        <v>0</v>
      </c>
      <c r="M37" s="50">
        <f t="shared" si="46"/>
        <v>0</v>
      </c>
      <c r="N37" s="50">
        <f t="shared" si="47"/>
        <v>0</v>
      </c>
      <c r="O37" s="52">
        <f t="shared" ref="O37:O69" si="54">(AVERAGE(G37:I37)*0.75)+(AVERAGE(L37:N37)*0.25)</f>
        <v>3.1023712250412798E-4</v>
      </c>
      <c r="P37" s="52">
        <f t="shared" si="14"/>
        <v>1.1912547010222404E-3</v>
      </c>
      <c r="Q37" s="73">
        <v>14303</v>
      </c>
      <c r="R37" s="73">
        <f t="shared" si="15"/>
        <v>34000</v>
      </c>
      <c r="S37" s="73">
        <f>ROUND((P37*'Cost Pool'!$C$25),0)</f>
        <v>48303</v>
      </c>
      <c r="T37" s="73">
        <v>9633</v>
      </c>
      <c r="U37" s="73">
        <f t="shared" si="16"/>
        <v>4601</v>
      </c>
      <c r="V37" s="73">
        <f>ROUND((O37*'Cost Pool'!$D$25),0)</f>
        <v>14234</v>
      </c>
      <c r="W37" s="73">
        <f t="shared" si="17"/>
        <v>48234</v>
      </c>
    </row>
    <row r="38" spans="1:23">
      <c r="A38" s="45" t="s">
        <v>183</v>
      </c>
      <c r="B38" s="49">
        <f t="shared" si="48"/>
        <v>216</v>
      </c>
      <c r="C38" s="49" t="str">
        <f t="shared" si="41"/>
        <v>216 - Children's Investment Fund</v>
      </c>
      <c r="D38" s="49" t="e">
        <f t="shared" si="42"/>
        <v>#N/A</v>
      </c>
      <c r="E38" s="51">
        <f t="shared" si="49"/>
        <v>0</v>
      </c>
      <c r="F38" s="51">
        <f t="shared" si="50"/>
        <v>0</v>
      </c>
      <c r="G38" s="51">
        <f t="shared" si="51"/>
        <v>0</v>
      </c>
      <c r="H38" s="51">
        <f t="shared" si="52"/>
        <v>0</v>
      </c>
      <c r="I38" s="51">
        <f t="shared" si="53"/>
        <v>0</v>
      </c>
      <c r="J38" s="50">
        <f t="shared" si="43"/>
        <v>0</v>
      </c>
      <c r="K38" s="50">
        <f t="shared" si="44"/>
        <v>0</v>
      </c>
      <c r="L38" s="50">
        <f t="shared" si="45"/>
        <v>0</v>
      </c>
      <c r="M38" s="50">
        <f t="shared" si="46"/>
        <v>0</v>
      </c>
      <c r="N38" s="50">
        <f t="shared" si="47"/>
        <v>0</v>
      </c>
      <c r="O38" s="52">
        <f t="shared" si="54"/>
        <v>0</v>
      </c>
      <c r="P38" s="52">
        <f t="shared" si="14"/>
        <v>0</v>
      </c>
      <c r="Q38" s="73">
        <v>25000</v>
      </c>
      <c r="R38" s="73">
        <f t="shared" si="15"/>
        <v>0</v>
      </c>
      <c r="S38" s="73">
        <v>25000</v>
      </c>
      <c r="T38" s="73">
        <v>25000</v>
      </c>
      <c r="U38" s="73">
        <f t="shared" si="16"/>
        <v>0</v>
      </c>
      <c r="V38" s="80">
        <v>25000</v>
      </c>
      <c r="W38" s="80">
        <f t="shared" si="17"/>
        <v>25000</v>
      </c>
    </row>
    <row r="39" spans="1:23">
      <c r="A39" s="45" t="s">
        <v>321</v>
      </c>
      <c r="B39" s="49">
        <f t="shared" si="48"/>
        <v>203</v>
      </c>
      <c r="C39" s="49" t="str">
        <f t="shared" si="41"/>
        <v>203 - Development Services Fund</v>
      </c>
      <c r="D39" s="49" t="e">
        <f t="shared" si="42"/>
        <v>#N/A</v>
      </c>
      <c r="E39" s="51">
        <f t="shared" si="49"/>
        <v>0</v>
      </c>
      <c r="F39" s="51">
        <f t="shared" si="50"/>
        <v>0</v>
      </c>
      <c r="G39" s="51">
        <f t="shared" si="51"/>
        <v>1.5299588382968978E-5</v>
      </c>
      <c r="H39" s="51">
        <f t="shared" si="52"/>
        <v>8.0768018015814843E-5</v>
      </c>
      <c r="I39" s="51">
        <f t="shared" si="53"/>
        <v>8.7214952148178917E-6</v>
      </c>
      <c r="J39" s="50">
        <f t="shared" si="43"/>
        <v>0</v>
      </c>
      <c r="K39" s="50">
        <f t="shared" si="44"/>
        <v>0</v>
      </c>
      <c r="L39" s="50">
        <f t="shared" si="45"/>
        <v>0</v>
      </c>
      <c r="M39" s="50">
        <f t="shared" si="46"/>
        <v>0</v>
      </c>
      <c r="N39" s="50">
        <f t="shared" si="47"/>
        <v>0</v>
      </c>
      <c r="O39" s="52">
        <f t="shared" si="54"/>
        <v>2.6197275403400429E-5</v>
      </c>
      <c r="P39" s="52">
        <f t="shared" si="14"/>
        <v>3.8248970957422445E-6</v>
      </c>
      <c r="Q39" s="73"/>
      <c r="R39" s="73">
        <f t="shared" si="15"/>
        <v>155</v>
      </c>
      <c r="S39" s="73">
        <f>ROUND((P39*'Cost Pool'!$C$25),0)</f>
        <v>155</v>
      </c>
      <c r="T39" s="73"/>
      <c r="U39" s="73">
        <f t="shared" si="16"/>
        <v>1202</v>
      </c>
      <c r="V39" s="73">
        <f>ROUND((O39*'Cost Pool'!$D$25),0)</f>
        <v>1202</v>
      </c>
      <c r="W39" s="73">
        <f t="shared" si="17"/>
        <v>1357</v>
      </c>
    </row>
    <row r="40" spans="1:23">
      <c r="A40" s="45" t="s">
        <v>184</v>
      </c>
      <c r="B40" s="49">
        <f t="shared" si="48"/>
        <v>202</v>
      </c>
      <c r="C40" s="49" t="str">
        <f t="shared" si="41"/>
        <v>202 - Emergency Communication Fund</v>
      </c>
      <c r="D40" s="49" t="e">
        <f t="shared" si="42"/>
        <v>#N/A</v>
      </c>
      <c r="E40" s="51">
        <f t="shared" si="49"/>
        <v>1.6842622436789844E-6</v>
      </c>
      <c r="F40" s="51">
        <f t="shared" si="50"/>
        <v>3.6964291312503986E-5</v>
      </c>
      <c r="G40" s="51">
        <f t="shared" si="51"/>
        <v>2.0397629797722571E-5</v>
      </c>
      <c r="H40" s="51">
        <f t="shared" si="52"/>
        <v>1.8319785754772493E-4</v>
      </c>
      <c r="I40" s="51">
        <f t="shared" si="53"/>
        <v>5.9983503303373212E-7</v>
      </c>
      <c r="J40" s="50">
        <f t="shared" si="43"/>
        <v>0</v>
      </c>
      <c r="K40" s="50">
        <f t="shared" si="44"/>
        <v>0</v>
      </c>
      <c r="L40" s="50">
        <f t="shared" si="45"/>
        <v>0</v>
      </c>
      <c r="M40" s="50">
        <f t="shared" si="46"/>
        <v>0</v>
      </c>
      <c r="N40" s="50">
        <f t="shared" si="47"/>
        <v>0</v>
      </c>
      <c r="O40" s="52">
        <f t="shared" si="54"/>
        <v>5.1048830594620307E-5</v>
      </c>
      <c r="P40" s="52">
        <f t="shared" si="14"/>
        <v>1.4761545838476384E-5</v>
      </c>
      <c r="Q40" s="73"/>
      <c r="R40" s="73">
        <f t="shared" si="15"/>
        <v>599</v>
      </c>
      <c r="S40" s="73">
        <f>ROUND((P40*'Cost Pool'!$C$25),0)</f>
        <v>599</v>
      </c>
      <c r="T40" s="73"/>
      <c r="U40" s="73">
        <f t="shared" si="16"/>
        <v>2342</v>
      </c>
      <c r="V40" s="73">
        <f>ROUND((O40*'Cost Pool'!$D$25),0)</f>
        <v>2342</v>
      </c>
      <c r="W40" s="73">
        <f t="shared" si="17"/>
        <v>2941</v>
      </c>
    </row>
    <row r="41" spans="1:23">
      <c r="A41" s="45" t="s">
        <v>189</v>
      </c>
      <c r="B41" s="49" t="str">
        <f t="shared" si="48"/>
        <v>100-EM</v>
      </c>
      <c r="C41" s="49" t="str">
        <f t="shared" si="41"/>
        <v>100 - General Fund</v>
      </c>
      <c r="D41" s="49" t="str">
        <f t="shared" si="42"/>
        <v>Portland Bureau of Emergency Management</v>
      </c>
      <c r="E41" s="51">
        <f t="shared" si="49"/>
        <v>7.2282591736067079E-3</v>
      </c>
      <c r="F41" s="51">
        <f t="shared" si="50"/>
        <v>4.7365230679111397E-3</v>
      </c>
      <c r="G41" s="51">
        <f t="shared" si="51"/>
        <v>5.3859446976333358E-3</v>
      </c>
      <c r="H41" s="51">
        <f t="shared" si="52"/>
        <v>7.6579545202201844E-3</v>
      </c>
      <c r="I41" s="51">
        <f t="shared" si="53"/>
        <v>6.4891608340837377E-3</v>
      </c>
      <c r="J41" s="50">
        <f t="shared" si="43"/>
        <v>0</v>
      </c>
      <c r="K41" s="50">
        <f t="shared" si="44"/>
        <v>0</v>
      </c>
      <c r="L41" s="50">
        <f t="shared" si="45"/>
        <v>0</v>
      </c>
      <c r="M41" s="50">
        <f t="shared" si="46"/>
        <v>0</v>
      </c>
      <c r="N41" s="50">
        <f t="shared" si="47"/>
        <v>0</v>
      </c>
      <c r="O41" s="52">
        <f t="shared" si="54"/>
        <v>4.8832650129843145E-3</v>
      </c>
      <c r="P41" s="52">
        <f t="shared" si="14"/>
        <v>4.3376817347877961E-3</v>
      </c>
      <c r="Q41" s="73"/>
      <c r="R41" s="73">
        <f t="shared" si="15"/>
        <v>175885</v>
      </c>
      <c r="S41" s="73">
        <f>ROUND((P41*'Cost Pool'!$C$25),0)</f>
        <v>175885</v>
      </c>
      <c r="T41" s="73"/>
      <c r="U41" s="73">
        <f t="shared" si="16"/>
        <v>224045</v>
      </c>
      <c r="V41" s="73">
        <f>ROUND((O41*'Cost Pool'!$D$25),0)</f>
        <v>224045</v>
      </c>
      <c r="W41" s="73">
        <f t="shared" si="17"/>
        <v>399930</v>
      </c>
    </row>
    <row r="42" spans="1:23">
      <c r="A42" s="45" t="s">
        <v>185</v>
      </c>
      <c r="B42" s="49">
        <f t="shared" si="48"/>
        <v>600</v>
      </c>
      <c r="C42" s="49" t="str">
        <f t="shared" si="41"/>
        <v>600 - Sewer System Operating Fund</v>
      </c>
      <c r="D42" s="49" t="e">
        <f t="shared" si="42"/>
        <v>#N/A</v>
      </c>
      <c r="E42" s="51">
        <f t="shared" si="49"/>
        <v>1.087388422897032E-3</v>
      </c>
      <c r="F42" s="51">
        <f t="shared" si="50"/>
        <v>-1.3487016861643048E-5</v>
      </c>
      <c r="G42" s="51">
        <f t="shared" si="51"/>
        <v>1.5153176786282675E-3</v>
      </c>
      <c r="H42" s="51">
        <f t="shared" si="52"/>
        <v>1.1853989924423172E-3</v>
      </c>
      <c r="I42" s="51">
        <f t="shared" si="53"/>
        <v>1.1261844354187405E-3</v>
      </c>
      <c r="J42" s="50">
        <f t="shared" si="43"/>
        <v>0</v>
      </c>
      <c r="K42" s="50">
        <f t="shared" si="44"/>
        <v>0</v>
      </c>
      <c r="L42" s="50">
        <f t="shared" si="45"/>
        <v>0</v>
      </c>
      <c r="M42" s="50">
        <f t="shared" si="46"/>
        <v>0</v>
      </c>
      <c r="N42" s="50">
        <f t="shared" si="47"/>
        <v>0</v>
      </c>
      <c r="O42" s="52">
        <f t="shared" si="54"/>
        <v>9.5672527662233123E-4</v>
      </c>
      <c r="P42" s="52">
        <f t="shared" si="14"/>
        <v>6.4730477116591413E-4</v>
      </c>
      <c r="Q42" s="73"/>
      <c r="R42" s="73">
        <f t="shared" si="15"/>
        <v>26247</v>
      </c>
      <c r="S42" s="73">
        <f>ROUND((P42*'Cost Pool'!$C$25),0)</f>
        <v>26247</v>
      </c>
      <c r="T42" s="73"/>
      <c r="U42" s="73">
        <f t="shared" si="16"/>
        <v>43895</v>
      </c>
      <c r="V42" s="73">
        <f>ROUND((O42*'Cost Pool'!$D$25),0)</f>
        <v>43895</v>
      </c>
      <c r="W42" s="73">
        <f t="shared" si="17"/>
        <v>70142</v>
      </c>
    </row>
    <row r="43" spans="1:23">
      <c r="A43" s="45" t="s">
        <v>192</v>
      </c>
      <c r="B43" s="49" t="str">
        <f t="shared" si="48"/>
        <v>100-FR</v>
      </c>
      <c r="C43" s="49" t="str">
        <f t="shared" si="41"/>
        <v>100 - General Fund</v>
      </c>
      <c r="D43" s="49" t="str">
        <f t="shared" si="42"/>
        <v>Portland Fire &amp; Rescue</v>
      </c>
      <c r="E43" s="51">
        <f t="shared" si="49"/>
        <v>4.1576678480441219E-4</v>
      </c>
      <c r="F43" s="51">
        <f t="shared" si="50"/>
        <v>1.4352677586118546E-3</v>
      </c>
      <c r="G43" s="51">
        <f t="shared" si="51"/>
        <v>8.0119135919545325E-4</v>
      </c>
      <c r="H43" s="51">
        <f t="shared" si="52"/>
        <v>1.9415996183495263E-3</v>
      </c>
      <c r="I43" s="51">
        <f t="shared" si="53"/>
        <v>1.6022973883734425E-3</v>
      </c>
      <c r="J43" s="50">
        <f t="shared" si="43"/>
        <v>0</v>
      </c>
      <c r="K43" s="50">
        <f t="shared" si="44"/>
        <v>0</v>
      </c>
      <c r="L43" s="50">
        <f t="shared" si="45"/>
        <v>0</v>
      </c>
      <c r="M43" s="50">
        <f t="shared" si="46"/>
        <v>0</v>
      </c>
      <c r="N43" s="50">
        <f t="shared" si="47"/>
        <v>0</v>
      </c>
      <c r="O43" s="52">
        <f t="shared" si="54"/>
        <v>1.0862720914796055E-3</v>
      </c>
      <c r="P43" s="52">
        <f t="shared" si="14"/>
        <v>6.6305647565293E-4</v>
      </c>
      <c r="Q43" s="73"/>
      <c r="R43" s="73">
        <f t="shared" si="15"/>
        <v>26886</v>
      </c>
      <c r="S43" s="73">
        <f>ROUND((P43*'Cost Pool'!$C$25),0)</f>
        <v>26886</v>
      </c>
      <c r="T43" s="73"/>
      <c r="U43" s="73">
        <f t="shared" si="16"/>
        <v>49838</v>
      </c>
      <c r="V43" s="73">
        <f>ROUND((O43*'Cost Pool'!$D$25),0)</f>
        <v>49838</v>
      </c>
      <c r="W43" s="73">
        <f t="shared" si="17"/>
        <v>76724</v>
      </c>
    </row>
    <row r="44" spans="1:23">
      <c r="A44" s="45" t="s">
        <v>193</v>
      </c>
      <c r="B44" s="49" t="str">
        <f t="shared" si="48"/>
        <v>100-HC</v>
      </c>
      <c r="C44" s="49" t="str">
        <f t="shared" si="41"/>
        <v>100 - General Fund</v>
      </c>
      <c r="D44" s="49" t="str">
        <f t="shared" si="42"/>
        <v>Portland Housing Bureau</v>
      </c>
      <c r="E44" s="51">
        <f t="shared" si="49"/>
        <v>3.9283115832633841E-3</v>
      </c>
      <c r="F44" s="51">
        <f t="shared" si="50"/>
        <v>7.2740327113939218E-3</v>
      </c>
      <c r="G44" s="51">
        <f t="shared" si="51"/>
        <v>9.8056274985241412E-3</v>
      </c>
      <c r="H44" s="51">
        <f t="shared" si="52"/>
        <v>4.3501976334810438E-3</v>
      </c>
      <c r="I44" s="51">
        <f t="shared" si="53"/>
        <v>6.1267213973360936E-3</v>
      </c>
      <c r="J44" s="50">
        <f t="shared" si="43"/>
        <v>0</v>
      </c>
      <c r="K44" s="50">
        <f t="shared" si="44"/>
        <v>0</v>
      </c>
      <c r="L44" s="50">
        <f t="shared" si="45"/>
        <v>0</v>
      </c>
      <c r="M44" s="50">
        <f t="shared" si="46"/>
        <v>0</v>
      </c>
      <c r="N44" s="50">
        <f t="shared" si="47"/>
        <v>0</v>
      </c>
      <c r="O44" s="52">
        <f t="shared" si="54"/>
        <v>5.0706366323353194E-3</v>
      </c>
      <c r="P44" s="52">
        <f t="shared" si="14"/>
        <v>5.2519929482953611E-3</v>
      </c>
      <c r="Q44" s="73"/>
      <c r="R44" s="73">
        <f t="shared" si="15"/>
        <v>212958</v>
      </c>
      <c r="S44" s="73">
        <f>ROUND((P44*'Cost Pool'!$C$25),0)</f>
        <v>212958</v>
      </c>
      <c r="T44" s="73"/>
      <c r="U44" s="73">
        <f t="shared" si="16"/>
        <v>232641</v>
      </c>
      <c r="V44" s="73">
        <f>ROUND((O44*'Cost Pool'!$D$25),0)</f>
        <v>232641</v>
      </c>
      <c r="W44" s="73">
        <f t="shared" si="17"/>
        <v>445599</v>
      </c>
    </row>
    <row r="45" spans="1:23">
      <c r="A45" s="45" t="s">
        <v>188</v>
      </c>
      <c r="B45" s="49" t="str">
        <f t="shared" si="48"/>
        <v>100-MF</v>
      </c>
      <c r="C45" s="49" t="str">
        <f t="shared" si="41"/>
        <v>100 - General Fund</v>
      </c>
      <c r="D45" s="49" t="str">
        <f t="shared" si="42"/>
        <v>Office of Management &amp; Finance</v>
      </c>
      <c r="E45" s="51">
        <f t="shared" si="49"/>
        <v>1.5295360979389149E-4</v>
      </c>
      <c r="F45" s="51">
        <f t="shared" si="50"/>
        <v>6.4871677337475456E-4</v>
      </c>
      <c r="G45" s="51">
        <f t="shared" si="51"/>
        <v>4.2575180923087501E-3</v>
      </c>
      <c r="H45" s="51">
        <f t="shared" si="52"/>
        <v>4.2634666307749163E-3</v>
      </c>
      <c r="I45" s="51">
        <f t="shared" si="53"/>
        <v>2.1732888495576579E-3</v>
      </c>
      <c r="J45" s="50">
        <f t="shared" si="43"/>
        <v>0</v>
      </c>
      <c r="K45" s="50">
        <f t="shared" si="44"/>
        <v>0</v>
      </c>
      <c r="L45" s="50">
        <f t="shared" si="45"/>
        <v>0</v>
      </c>
      <c r="M45" s="50">
        <f t="shared" si="46"/>
        <v>0</v>
      </c>
      <c r="N45" s="50">
        <f t="shared" si="47"/>
        <v>0</v>
      </c>
      <c r="O45" s="52">
        <f t="shared" si="54"/>
        <v>2.673568393160331E-3</v>
      </c>
      <c r="P45" s="52">
        <f t="shared" si="14"/>
        <v>1.2647971188693491E-3</v>
      </c>
      <c r="Q45" s="73"/>
      <c r="R45" s="73">
        <f t="shared" si="15"/>
        <v>51285</v>
      </c>
      <c r="S45" s="73">
        <f>ROUND((P45*'Cost Pool'!$C$25),0)</f>
        <v>51285</v>
      </c>
      <c r="T45" s="73"/>
      <c r="U45" s="73">
        <f t="shared" si="16"/>
        <v>122664</v>
      </c>
      <c r="V45" s="73">
        <f>ROUND((O45*'Cost Pool'!$D$25),0)</f>
        <v>122664</v>
      </c>
      <c r="W45" s="73">
        <f t="shared" si="17"/>
        <v>173949</v>
      </c>
    </row>
    <row r="46" spans="1:23">
      <c r="A46" s="45" t="s">
        <v>325</v>
      </c>
      <c r="B46" s="49" t="str">
        <f t="shared" si="48"/>
        <v>100-MY</v>
      </c>
      <c r="C46" s="49" t="str">
        <f t="shared" si="41"/>
        <v>100 - General Fund</v>
      </c>
      <c r="D46" s="49" t="str">
        <f t="shared" si="42"/>
        <v>Office of the Mayor</v>
      </c>
      <c r="E46" s="51">
        <f t="shared" si="49"/>
        <v>0</v>
      </c>
      <c r="F46" s="51">
        <f t="shared" si="50"/>
        <v>0</v>
      </c>
      <c r="G46" s="51">
        <f t="shared" si="51"/>
        <v>0</v>
      </c>
      <c r="H46" s="51">
        <f t="shared" si="52"/>
        <v>2.7115202219400246E-6</v>
      </c>
      <c r="I46" s="51">
        <f t="shared" si="53"/>
        <v>0</v>
      </c>
      <c r="J46" s="50">
        <f t="shared" si="43"/>
        <v>0</v>
      </c>
      <c r="K46" s="50">
        <f t="shared" si="44"/>
        <v>0</v>
      </c>
      <c r="L46" s="50">
        <f t="shared" si="45"/>
        <v>0</v>
      </c>
      <c r="M46" s="50">
        <f t="shared" si="46"/>
        <v>0</v>
      </c>
      <c r="N46" s="50">
        <f t="shared" si="47"/>
        <v>0</v>
      </c>
      <c r="O46" s="52">
        <f t="shared" si="54"/>
        <v>6.7788005548500616E-7</v>
      </c>
      <c r="P46" s="52">
        <f t="shared" si="14"/>
        <v>0</v>
      </c>
      <c r="Q46" s="73"/>
      <c r="R46" s="73">
        <f t="shared" si="15"/>
        <v>0</v>
      </c>
      <c r="S46" s="73">
        <f>ROUND((P46*'Cost Pool'!$C$25),0)</f>
        <v>0</v>
      </c>
      <c r="T46" s="73"/>
      <c r="U46" s="73">
        <f t="shared" si="16"/>
        <v>31</v>
      </c>
      <c r="V46" s="73">
        <f>ROUND((O46*'Cost Pool'!$D$25),0)</f>
        <v>31</v>
      </c>
      <c r="W46" s="73">
        <f t="shared" si="17"/>
        <v>31</v>
      </c>
    </row>
    <row r="47" spans="1:23">
      <c r="A47" s="45" t="s">
        <v>323</v>
      </c>
      <c r="B47" s="49" t="str">
        <f t="shared" si="48"/>
        <v>100-NI</v>
      </c>
      <c r="C47" s="49" t="str">
        <f t="shared" si="41"/>
        <v>100 - General Fund</v>
      </c>
      <c r="D47" s="49" t="str">
        <f t="shared" si="42"/>
        <v>Office of Neighborhood Involvement</v>
      </c>
      <c r="E47" s="51">
        <f t="shared" si="49"/>
        <v>0</v>
      </c>
      <c r="F47" s="51">
        <f t="shared" si="50"/>
        <v>0</v>
      </c>
      <c r="G47" s="51">
        <f t="shared" si="51"/>
        <v>4.9177248373828862E-5</v>
      </c>
      <c r="H47" s="51">
        <f t="shared" si="52"/>
        <v>5.6185665601741082E-6</v>
      </c>
      <c r="I47" s="51">
        <f t="shared" si="53"/>
        <v>0</v>
      </c>
      <c r="J47" s="50">
        <f t="shared" si="43"/>
        <v>0</v>
      </c>
      <c r="K47" s="50">
        <f t="shared" si="44"/>
        <v>0</v>
      </c>
      <c r="L47" s="50">
        <f t="shared" si="45"/>
        <v>0</v>
      </c>
      <c r="M47" s="50">
        <f t="shared" si="46"/>
        <v>0</v>
      </c>
      <c r="N47" s="50">
        <f t="shared" si="47"/>
        <v>0</v>
      </c>
      <c r="O47" s="52">
        <f t="shared" si="54"/>
        <v>1.3698953733500741E-5</v>
      </c>
      <c r="P47" s="52">
        <f t="shared" si="14"/>
        <v>1.2294312093457216E-5</v>
      </c>
      <c r="Q47" s="73"/>
      <c r="R47" s="73">
        <f t="shared" si="15"/>
        <v>499</v>
      </c>
      <c r="S47" s="73">
        <f>ROUND((P47*'Cost Pool'!$C$25),0)</f>
        <v>499</v>
      </c>
      <c r="T47" s="73"/>
      <c r="U47" s="73">
        <f t="shared" si="16"/>
        <v>629</v>
      </c>
      <c r="V47" s="73">
        <f>ROUND((O47*'Cost Pool'!$D$25),0)</f>
        <v>629</v>
      </c>
      <c r="W47" s="73">
        <f t="shared" si="17"/>
        <v>1128</v>
      </c>
    </row>
    <row r="48" spans="1:23">
      <c r="A48" s="45" t="s">
        <v>322</v>
      </c>
      <c r="B48" s="49" t="str">
        <f t="shared" si="48"/>
        <v>100-PA</v>
      </c>
      <c r="C48" s="49" t="str">
        <f t="shared" si="41"/>
        <v>100 - General Fund</v>
      </c>
      <c r="D48" s="49" t="str">
        <f t="shared" si="42"/>
        <v>Commissioner of Public Affairs</v>
      </c>
      <c r="E48" s="51">
        <f t="shared" si="49"/>
        <v>0</v>
      </c>
      <c r="F48" s="51">
        <f t="shared" si="50"/>
        <v>0</v>
      </c>
      <c r="G48" s="51">
        <f t="shared" si="51"/>
        <v>5.3221803845640873E-5</v>
      </c>
      <c r="H48" s="51">
        <f t="shared" si="52"/>
        <v>6.0454652474161364E-5</v>
      </c>
      <c r="I48" s="51">
        <f t="shared" si="53"/>
        <v>1.8157059532677357E-4</v>
      </c>
      <c r="J48" s="50">
        <f t="shared" si="43"/>
        <v>0</v>
      </c>
      <c r="K48" s="50">
        <f t="shared" si="44"/>
        <v>0</v>
      </c>
      <c r="L48" s="50">
        <f t="shared" si="45"/>
        <v>0</v>
      </c>
      <c r="M48" s="50">
        <f t="shared" si="46"/>
        <v>0</v>
      </c>
      <c r="N48" s="50">
        <f t="shared" si="47"/>
        <v>0</v>
      </c>
      <c r="O48" s="52">
        <f t="shared" si="54"/>
        <v>7.3811762911643949E-5</v>
      </c>
      <c r="P48" s="52">
        <f t="shared" si="14"/>
        <v>1.3305450961410218E-5</v>
      </c>
      <c r="Q48" s="73"/>
      <c r="R48" s="73">
        <f t="shared" si="15"/>
        <v>540</v>
      </c>
      <c r="S48" s="73">
        <f>ROUND((P48*'Cost Pool'!$C$25),0)</f>
        <v>540</v>
      </c>
      <c r="T48" s="73"/>
      <c r="U48" s="73">
        <f t="shared" si="16"/>
        <v>3386</v>
      </c>
      <c r="V48" s="73">
        <f>ROUND((O48*'Cost Pool'!$D$25),0)</f>
        <v>3386</v>
      </c>
      <c r="W48" s="73">
        <f t="shared" si="17"/>
        <v>3926</v>
      </c>
    </row>
    <row r="49" spans="1:23">
      <c r="A49" s="45" t="s">
        <v>194</v>
      </c>
      <c r="B49" s="49" t="str">
        <f t="shared" si="48"/>
        <v>100-PK</v>
      </c>
      <c r="C49" s="49" t="str">
        <f t="shared" si="41"/>
        <v>100 - General Fund</v>
      </c>
      <c r="D49" s="49" t="str">
        <f t="shared" si="42"/>
        <v>Portland Parks &amp; Recreation</v>
      </c>
      <c r="E49" s="51">
        <f t="shared" si="49"/>
        <v>4.1348873478859065E-4</v>
      </c>
      <c r="F49" s="51">
        <f t="shared" si="50"/>
        <v>8.6730847997337009E-4</v>
      </c>
      <c r="G49" s="51">
        <f t="shared" si="51"/>
        <v>9.4827285928738387E-4</v>
      </c>
      <c r="H49" s="51">
        <f t="shared" si="52"/>
        <v>1.0336145405325256E-3</v>
      </c>
      <c r="I49" s="51">
        <f t="shared" si="53"/>
        <v>1.0944966900232108E-3</v>
      </c>
      <c r="J49" s="50">
        <f t="shared" si="43"/>
        <v>0</v>
      </c>
      <c r="K49" s="50">
        <f t="shared" si="44"/>
        <v>0</v>
      </c>
      <c r="L49" s="50">
        <f t="shared" si="45"/>
        <v>0</v>
      </c>
      <c r="M49" s="50">
        <f t="shared" si="46"/>
        <v>0</v>
      </c>
      <c r="N49" s="50">
        <f t="shared" si="47"/>
        <v>0</v>
      </c>
      <c r="O49" s="52">
        <f t="shared" si="54"/>
        <v>7.6909602246078013E-4</v>
      </c>
      <c r="P49" s="52">
        <f t="shared" si="14"/>
        <v>5.5726751851233611E-4</v>
      </c>
      <c r="Q49" s="73"/>
      <c r="R49" s="73">
        <f t="shared" si="15"/>
        <v>22596</v>
      </c>
      <c r="S49" s="73">
        <f>ROUND((P49*'Cost Pool'!$C$25),0)</f>
        <v>22596</v>
      </c>
      <c r="T49" s="73"/>
      <c r="U49" s="73">
        <f t="shared" si="16"/>
        <v>35286</v>
      </c>
      <c r="V49" s="73">
        <f>ROUND((O49*'Cost Pool'!$D$25),0)</f>
        <v>35286</v>
      </c>
      <c r="W49" s="73">
        <f t="shared" si="17"/>
        <v>57882</v>
      </c>
    </row>
    <row r="50" spans="1:23">
      <c r="A50" s="45" t="s">
        <v>195</v>
      </c>
      <c r="B50" s="49" t="str">
        <f t="shared" si="48"/>
        <v>100-PL</v>
      </c>
      <c r="C50" s="49" t="str">
        <f t="shared" si="41"/>
        <v>100 - General Fund</v>
      </c>
      <c r="D50" s="49" t="str">
        <f t="shared" si="42"/>
        <v>Portland Police Bureau</v>
      </c>
      <c r="E50" s="51">
        <f t="shared" si="49"/>
        <v>1.901071872877879E-3</v>
      </c>
      <c r="F50" s="51">
        <f t="shared" si="50"/>
        <v>3.487597684210508E-3</v>
      </c>
      <c r="G50" s="51">
        <f t="shared" si="51"/>
        <v>4.4458112193656914E-3</v>
      </c>
      <c r="H50" s="51">
        <f t="shared" si="52"/>
        <v>4.5249462906355791E-3</v>
      </c>
      <c r="I50" s="51">
        <f t="shared" si="53"/>
        <v>2.9546143229712712E-3</v>
      </c>
      <c r="J50" s="50">
        <f t="shared" si="43"/>
        <v>0</v>
      </c>
      <c r="K50" s="50">
        <f t="shared" si="44"/>
        <v>0</v>
      </c>
      <c r="L50" s="50">
        <f t="shared" si="45"/>
        <v>0</v>
      </c>
      <c r="M50" s="50">
        <f t="shared" si="46"/>
        <v>0</v>
      </c>
      <c r="N50" s="50">
        <f t="shared" si="47"/>
        <v>0</v>
      </c>
      <c r="O50" s="52">
        <f t="shared" si="54"/>
        <v>2.9813429582431351E-3</v>
      </c>
      <c r="P50" s="52">
        <f t="shared" si="14"/>
        <v>2.4586201941135194E-3</v>
      </c>
      <c r="Q50" s="73"/>
      <c r="R50" s="73">
        <f t="shared" si="15"/>
        <v>99692</v>
      </c>
      <c r="S50" s="73">
        <f>ROUND((P50*'Cost Pool'!$C$25),0)</f>
        <v>99692</v>
      </c>
      <c r="T50" s="73"/>
      <c r="U50" s="73">
        <f t="shared" si="16"/>
        <v>136784</v>
      </c>
      <c r="V50" s="73">
        <f>ROUND((O50*'Cost Pool'!$D$25),0)</f>
        <v>136784</v>
      </c>
      <c r="W50" s="73">
        <f t="shared" si="17"/>
        <v>236476</v>
      </c>
    </row>
    <row r="51" spans="1:23">
      <c r="A51" s="45" t="s">
        <v>186</v>
      </c>
      <c r="B51" s="49" t="str">
        <f t="shared" si="48"/>
        <v>100-PN</v>
      </c>
      <c r="C51" s="49" t="str">
        <f t="shared" si="41"/>
        <v>100 - General Fund</v>
      </c>
      <c r="D51" s="49" t="str">
        <f t="shared" si="42"/>
        <v>Bureau of Planning &amp; Sustainability</v>
      </c>
      <c r="E51" s="51">
        <f t="shared" si="49"/>
        <v>1.056765687008814E-4</v>
      </c>
      <c r="F51" s="51">
        <f t="shared" si="50"/>
        <v>3.8094900748577073E-3</v>
      </c>
      <c r="G51" s="51">
        <f t="shared" si="51"/>
        <v>6.1514519525809972E-3</v>
      </c>
      <c r="H51" s="51">
        <f t="shared" si="52"/>
        <v>1.7430171142180637E-2</v>
      </c>
      <c r="I51" s="51">
        <f t="shared" si="53"/>
        <v>9.896889479353764E-3</v>
      </c>
      <c r="J51" s="50">
        <f t="shared" si="43"/>
        <v>0</v>
      </c>
      <c r="K51" s="50">
        <f t="shared" si="44"/>
        <v>0</v>
      </c>
      <c r="L51" s="50">
        <f t="shared" si="45"/>
        <v>0</v>
      </c>
      <c r="M51" s="50">
        <f t="shared" si="46"/>
        <v>0</v>
      </c>
      <c r="N51" s="50">
        <f t="shared" si="47"/>
        <v>0</v>
      </c>
      <c r="O51" s="52">
        <f t="shared" si="54"/>
        <v>8.369628143528849E-3</v>
      </c>
      <c r="P51" s="52">
        <f t="shared" si="14"/>
        <v>2.5166546490348963E-3</v>
      </c>
      <c r="Q51" s="73"/>
      <c r="R51" s="73">
        <f t="shared" si="15"/>
        <v>102046</v>
      </c>
      <c r="S51" s="73">
        <f>ROUND((P51*'Cost Pool'!$C$25),0)</f>
        <v>102046</v>
      </c>
      <c r="T51" s="73"/>
      <c r="U51" s="73">
        <f t="shared" si="16"/>
        <v>383999</v>
      </c>
      <c r="V51" s="73">
        <f>ROUND((O51*'Cost Pool'!$D$25),0)</f>
        <v>383999</v>
      </c>
      <c r="W51" s="73">
        <f t="shared" si="17"/>
        <v>486045</v>
      </c>
    </row>
    <row r="52" spans="1:23">
      <c r="A52" s="45" t="s">
        <v>187</v>
      </c>
      <c r="B52" s="49" t="str">
        <f t="shared" si="48"/>
        <v>100-PU</v>
      </c>
      <c r="C52" s="49" t="str">
        <f t="shared" si="41"/>
        <v>100 - General Fund</v>
      </c>
      <c r="D52" s="49" t="str">
        <f t="shared" si="42"/>
        <v>Commissioner of Public Utilities</v>
      </c>
      <c r="E52" s="51">
        <f t="shared" si="49"/>
        <v>0</v>
      </c>
      <c r="F52" s="51">
        <f t="shared" si="50"/>
        <v>2.552527161944398E-6</v>
      </c>
      <c r="G52" s="51">
        <f t="shared" si="51"/>
        <v>0</v>
      </c>
      <c r="H52" s="51">
        <f t="shared" si="52"/>
        <v>0</v>
      </c>
      <c r="I52" s="51">
        <f t="shared" si="53"/>
        <v>0</v>
      </c>
      <c r="J52" s="50">
        <f t="shared" si="43"/>
        <v>0</v>
      </c>
      <c r="K52" s="50">
        <f t="shared" si="44"/>
        <v>0</v>
      </c>
      <c r="L52" s="50">
        <f t="shared" si="45"/>
        <v>0</v>
      </c>
      <c r="M52" s="50">
        <f t="shared" si="46"/>
        <v>0</v>
      </c>
      <c r="N52" s="50">
        <f t="shared" si="47"/>
        <v>0</v>
      </c>
      <c r="O52" s="52">
        <f t="shared" si="54"/>
        <v>0</v>
      </c>
      <c r="P52" s="52">
        <f t="shared" si="14"/>
        <v>6.381317904860995E-7</v>
      </c>
      <c r="Q52" s="73"/>
      <c r="R52" s="73">
        <f t="shared" si="15"/>
        <v>26</v>
      </c>
      <c r="S52" s="73">
        <f>ROUND((P52*'Cost Pool'!$C$25),0)</f>
        <v>26</v>
      </c>
      <c r="T52" s="73"/>
      <c r="U52" s="73">
        <f t="shared" si="16"/>
        <v>0</v>
      </c>
      <c r="V52" s="73">
        <f>ROUND((O52*'Cost Pool'!$D$25),0)</f>
        <v>0</v>
      </c>
      <c r="W52" s="73">
        <f t="shared" si="17"/>
        <v>26</v>
      </c>
    </row>
    <row r="53" spans="1:23">
      <c r="A53" s="45" t="s">
        <v>324</v>
      </c>
      <c r="B53" s="49" t="str">
        <f t="shared" si="48"/>
        <v>100-PN</v>
      </c>
      <c r="C53" s="49" t="str">
        <f t="shared" si="41"/>
        <v>100 - General Fund</v>
      </c>
      <c r="D53" s="49" t="str">
        <f t="shared" si="42"/>
        <v>Bureau of Planning &amp; Sustainability</v>
      </c>
      <c r="E53" s="51">
        <f t="shared" si="49"/>
        <v>1.6357423088547898E-3</v>
      </c>
      <c r="F53" s="51">
        <f t="shared" si="50"/>
        <v>0</v>
      </c>
      <c r="G53" s="51">
        <f t="shared" si="51"/>
        <v>2.1856554832812826E-9</v>
      </c>
      <c r="H53" s="51">
        <f t="shared" si="52"/>
        <v>0</v>
      </c>
      <c r="I53" s="51">
        <f t="shared" si="53"/>
        <v>0</v>
      </c>
      <c r="J53" s="50">
        <f t="shared" si="43"/>
        <v>0</v>
      </c>
      <c r="K53" s="50">
        <f t="shared" si="44"/>
        <v>0</v>
      </c>
      <c r="L53" s="50">
        <f t="shared" si="45"/>
        <v>0</v>
      </c>
      <c r="M53" s="50">
        <f t="shared" si="46"/>
        <v>0</v>
      </c>
      <c r="N53" s="50">
        <f t="shared" si="47"/>
        <v>0</v>
      </c>
      <c r="O53" s="52">
        <f t="shared" si="54"/>
        <v>5.4641387082032065E-10</v>
      </c>
      <c r="P53" s="52">
        <f t="shared" si="14"/>
        <v>4.0893612362756824E-4</v>
      </c>
      <c r="Q53" s="73"/>
      <c r="R53" s="73">
        <f t="shared" si="15"/>
        <v>16582</v>
      </c>
      <c r="S53" s="73">
        <f>ROUND((P53*'Cost Pool'!$C$25),0)</f>
        <v>16582</v>
      </c>
      <c r="T53" s="73"/>
      <c r="U53" s="73">
        <f t="shared" si="16"/>
        <v>0</v>
      </c>
      <c r="V53" s="73">
        <f>ROUND((O53*'Cost Pool'!$D$25),0)</f>
        <v>0</v>
      </c>
      <c r="W53" s="73">
        <f t="shared" si="17"/>
        <v>16582</v>
      </c>
    </row>
    <row r="54" spans="1:23">
      <c r="A54" s="45" t="s">
        <v>190</v>
      </c>
      <c r="B54" s="49">
        <f t="shared" si="48"/>
        <v>200</v>
      </c>
      <c r="C54" s="49" t="str">
        <f t="shared" si="41"/>
        <v>200 - Transportation Operating Fund</v>
      </c>
      <c r="D54" s="49" t="e">
        <f t="shared" si="42"/>
        <v>#N/A</v>
      </c>
      <c r="E54" s="51">
        <f t="shared" si="49"/>
        <v>7.8652027819183113E-3</v>
      </c>
      <c r="F54" s="51">
        <f t="shared" si="50"/>
        <v>3.602565525704457E-2</v>
      </c>
      <c r="G54" s="51">
        <f t="shared" si="51"/>
        <v>5.210628681442829E-2</v>
      </c>
      <c r="H54" s="51">
        <f t="shared" si="52"/>
        <v>2.9266471571645757E-2</v>
      </c>
      <c r="I54" s="51">
        <f t="shared" si="53"/>
        <v>7.8773946164737152E-3</v>
      </c>
      <c r="J54" s="50">
        <f t="shared" si="43"/>
        <v>0</v>
      </c>
      <c r="K54" s="50">
        <f t="shared" si="44"/>
        <v>0</v>
      </c>
      <c r="L54" s="50">
        <f t="shared" si="45"/>
        <v>0</v>
      </c>
      <c r="M54" s="50">
        <f t="shared" si="46"/>
        <v>0</v>
      </c>
      <c r="N54" s="50">
        <f t="shared" si="47"/>
        <v>0</v>
      </c>
      <c r="O54" s="52">
        <f t="shared" si="54"/>
        <v>2.2312538250636942E-2</v>
      </c>
      <c r="P54" s="52">
        <f t="shared" si="14"/>
        <v>2.3999286213347792E-2</v>
      </c>
      <c r="Q54" s="73"/>
      <c r="R54" s="73">
        <f t="shared" si="15"/>
        <v>973125</v>
      </c>
      <c r="S54" s="73">
        <f>ROUND((P54*'Cost Pool'!$C$25),0)</f>
        <v>973125</v>
      </c>
      <c r="T54" s="73"/>
      <c r="U54" s="73">
        <f t="shared" si="16"/>
        <v>1023701</v>
      </c>
      <c r="V54" s="73">
        <f>ROUND((O54*'Cost Pool'!$D$25),0)</f>
        <v>1023701</v>
      </c>
      <c r="W54" s="73">
        <f t="shared" si="17"/>
        <v>1996826</v>
      </c>
    </row>
    <row r="55" spans="1:23">
      <c r="A55" s="45" t="s">
        <v>196</v>
      </c>
      <c r="B55" s="49">
        <f t="shared" si="48"/>
        <v>602</v>
      </c>
      <c r="C55" s="49" t="str">
        <f t="shared" si="41"/>
        <v>602 - Water Fund</v>
      </c>
      <c r="D55" s="49" t="e">
        <f t="shared" si="42"/>
        <v>#N/A</v>
      </c>
      <c r="E55" s="51">
        <f t="shared" si="49"/>
        <v>4.2868299295405101E-4</v>
      </c>
      <c r="F55" s="51">
        <f t="shared" si="50"/>
        <v>2.9276550771201707E-4</v>
      </c>
      <c r="G55" s="51">
        <f t="shared" si="51"/>
        <v>5.7366680904135498E-4</v>
      </c>
      <c r="H55" s="51">
        <f t="shared" si="52"/>
        <v>7.7159774570871023E-4</v>
      </c>
      <c r="I55" s="51">
        <f t="shared" si="53"/>
        <v>1.1050113204075756E-3</v>
      </c>
      <c r="J55" s="50">
        <f t="shared" si="43"/>
        <v>0</v>
      </c>
      <c r="K55" s="50">
        <f t="shared" si="44"/>
        <v>0</v>
      </c>
      <c r="L55" s="50">
        <f t="shared" si="45"/>
        <v>0</v>
      </c>
      <c r="M55" s="50">
        <f t="shared" si="46"/>
        <v>0</v>
      </c>
      <c r="N55" s="50">
        <f t="shared" si="47"/>
        <v>0</v>
      </c>
      <c r="O55" s="52">
        <f t="shared" si="54"/>
        <v>6.1256896878941021E-4</v>
      </c>
      <c r="P55" s="52">
        <f t="shared" si="14"/>
        <v>3.2377882742685575E-4</v>
      </c>
      <c r="Q55" s="73"/>
      <c r="R55" s="73">
        <f t="shared" si="15"/>
        <v>13129</v>
      </c>
      <c r="S55" s="73">
        <f>ROUND((P55*'Cost Pool'!$C$25),0)</f>
        <v>13129</v>
      </c>
      <c r="T55" s="73"/>
      <c r="U55" s="73">
        <f t="shared" si="16"/>
        <v>28105</v>
      </c>
      <c r="V55" s="73">
        <f>ROUND((O55*'Cost Pool'!$D$25),0)</f>
        <v>28105</v>
      </c>
      <c r="W55" s="73">
        <f t="shared" si="17"/>
        <v>41234</v>
      </c>
    </row>
    <row r="56" spans="1:23">
      <c r="A56" s="45" t="s">
        <v>191</v>
      </c>
      <c r="B56" s="49" t="str">
        <f t="shared" si="48"/>
        <v>PDC</v>
      </c>
      <c r="C56" s="49" t="str">
        <f t="shared" si="41"/>
        <v>PDC - Portland Development Commission</v>
      </c>
      <c r="D56" s="49" t="e">
        <f t="shared" si="42"/>
        <v>#N/A</v>
      </c>
      <c r="E56" s="51">
        <f t="shared" si="49"/>
        <v>0</v>
      </c>
      <c r="F56" s="51">
        <f t="shared" si="50"/>
        <v>2.2741618985680411E-5</v>
      </c>
      <c r="G56" s="51">
        <f t="shared" si="51"/>
        <v>2.1856554832812828E-4</v>
      </c>
      <c r="H56" s="51">
        <f t="shared" si="52"/>
        <v>1.9269435874773122E-5</v>
      </c>
      <c r="I56" s="51">
        <f t="shared" si="53"/>
        <v>1.0345827251174724E-4</v>
      </c>
      <c r="J56" s="50">
        <f t="shared" si="43"/>
        <v>0</v>
      </c>
      <c r="K56" s="50">
        <f t="shared" si="44"/>
        <v>0</v>
      </c>
      <c r="L56" s="50">
        <f t="shared" si="45"/>
        <v>0</v>
      </c>
      <c r="M56" s="50">
        <f t="shared" si="46"/>
        <v>0</v>
      </c>
      <c r="N56" s="50">
        <f t="shared" si="47"/>
        <v>0</v>
      </c>
      <c r="O56" s="52">
        <f t="shared" si="54"/>
        <v>8.5323314178662168E-5</v>
      </c>
      <c r="P56" s="52">
        <f t="shared" si="14"/>
        <v>6.0326791828452177E-5</v>
      </c>
      <c r="Q56" s="73"/>
      <c r="R56" s="73">
        <f t="shared" si="15"/>
        <v>2446</v>
      </c>
      <c r="S56" s="73">
        <f>ROUND((P56*'Cost Pool'!$C$25),0)</f>
        <v>2446</v>
      </c>
      <c r="T56" s="73"/>
      <c r="U56" s="73">
        <f t="shared" si="16"/>
        <v>3915</v>
      </c>
      <c r="V56" s="73">
        <f>ROUND((O56*'Cost Pool'!$D$25),0)</f>
        <v>3915</v>
      </c>
      <c r="W56" s="73">
        <f t="shared" si="17"/>
        <v>6361</v>
      </c>
    </row>
    <row r="57" spans="1:23">
      <c r="A57" s="45" t="s">
        <v>197</v>
      </c>
      <c r="B57" s="49" t="str">
        <f t="shared" si="48"/>
        <v>100-HC</v>
      </c>
      <c r="C57" s="49" t="str">
        <f t="shared" si="41"/>
        <v>100 - General Fund</v>
      </c>
      <c r="D57" s="49" t="str">
        <f t="shared" si="42"/>
        <v>Portland Housing Bureau</v>
      </c>
      <c r="E57" s="51">
        <f t="shared" si="49"/>
        <v>1.1471919731677157E-2</v>
      </c>
      <c r="F57" s="51">
        <f t="shared" si="50"/>
        <v>1.1459995738929257E-2</v>
      </c>
      <c r="G57" s="51">
        <f t="shared" si="51"/>
        <v>1.1688495385084534E-2</v>
      </c>
      <c r="H57" s="51">
        <f t="shared" si="52"/>
        <v>9.8752959677867198E-3</v>
      </c>
      <c r="I57" s="51">
        <f t="shared" si="53"/>
        <v>1.2643673172410493E-2</v>
      </c>
      <c r="J57" s="50">
        <f t="shared" si="43"/>
        <v>0</v>
      </c>
      <c r="K57" s="50">
        <f t="shared" si="44"/>
        <v>0</v>
      </c>
      <c r="L57" s="50">
        <f t="shared" si="45"/>
        <v>0</v>
      </c>
      <c r="M57" s="50">
        <f t="shared" si="46"/>
        <v>0</v>
      </c>
      <c r="N57" s="50">
        <f t="shared" si="47"/>
        <v>0</v>
      </c>
      <c r="O57" s="52">
        <f t="shared" si="54"/>
        <v>8.5518661313204354E-3</v>
      </c>
      <c r="P57" s="52">
        <f t="shared" si="14"/>
        <v>8.6551027139227365E-3</v>
      </c>
      <c r="Q57" s="73"/>
      <c r="R57" s="73">
        <f t="shared" si="15"/>
        <v>350948</v>
      </c>
      <c r="S57" s="73">
        <f>ROUND((P57*'Cost Pool'!$C$25),0)</f>
        <v>350948</v>
      </c>
      <c r="T57" s="73"/>
      <c r="U57" s="73">
        <f t="shared" si="16"/>
        <v>392360</v>
      </c>
      <c r="V57" s="73">
        <f>ROUND((O57*'Cost Pool'!$D$25),0)</f>
        <v>392360</v>
      </c>
      <c r="W57" s="73">
        <f t="shared" si="17"/>
        <v>743308</v>
      </c>
    </row>
    <row r="58" spans="1:23">
      <c r="A58" s="45" t="s">
        <v>198</v>
      </c>
      <c r="B58" s="49" t="str">
        <f t="shared" si="48"/>
        <v>100-HC</v>
      </c>
      <c r="C58" s="49" t="str">
        <f t="shared" si="41"/>
        <v>100 - General Fund</v>
      </c>
      <c r="D58" s="49" t="str">
        <f t="shared" si="42"/>
        <v>Portland Housing Bureau</v>
      </c>
      <c r="E58" s="51">
        <f t="shared" si="49"/>
        <v>4.7230726823765667E-3</v>
      </c>
      <c r="F58" s="51">
        <f t="shared" si="50"/>
        <v>7.1591351658666456E-3</v>
      </c>
      <c r="G58" s="51">
        <f t="shared" si="51"/>
        <v>5.6080641217772795E-3</v>
      </c>
      <c r="H58" s="51">
        <f t="shared" si="52"/>
        <v>4.4335805323739638E-3</v>
      </c>
      <c r="I58" s="51">
        <f t="shared" si="53"/>
        <v>4.9174061962684321E-3</v>
      </c>
      <c r="J58" s="50">
        <f t="shared" si="43"/>
        <v>0</v>
      </c>
      <c r="K58" s="50">
        <f t="shared" si="44"/>
        <v>0</v>
      </c>
      <c r="L58" s="50">
        <f t="shared" si="45"/>
        <v>0</v>
      </c>
      <c r="M58" s="50">
        <f t="shared" si="46"/>
        <v>0</v>
      </c>
      <c r="N58" s="50">
        <f t="shared" si="47"/>
        <v>0</v>
      </c>
      <c r="O58" s="52">
        <f t="shared" si="54"/>
        <v>3.7397627126049184E-3</v>
      </c>
      <c r="P58" s="52">
        <f t="shared" si="14"/>
        <v>4.3725679925051232E-3</v>
      </c>
      <c r="Q58" s="73"/>
      <c r="R58" s="73">
        <f t="shared" si="15"/>
        <v>177299</v>
      </c>
      <c r="S58" s="73">
        <f>ROUND((P58*'Cost Pool'!$C$25),0)</f>
        <v>177299</v>
      </c>
      <c r="T58" s="73"/>
      <c r="U58" s="73">
        <f t="shared" si="16"/>
        <v>171581</v>
      </c>
      <c r="V58" s="73">
        <f>ROUND((O58*'Cost Pool'!$D$25),0)</f>
        <v>171581</v>
      </c>
      <c r="W58" s="73">
        <f t="shared" si="17"/>
        <v>348880</v>
      </c>
    </row>
    <row r="59" spans="1:23">
      <c r="A59" s="45" t="s">
        <v>199</v>
      </c>
      <c r="B59" s="49" t="str">
        <f t="shared" si="48"/>
        <v>Excluded</v>
      </c>
      <c r="C59" s="49" t="e">
        <f t="shared" si="41"/>
        <v>#N/A</v>
      </c>
      <c r="D59" s="49" t="e">
        <f t="shared" si="42"/>
        <v>#N/A</v>
      </c>
      <c r="E59" s="51">
        <f t="shared" si="49"/>
        <v>0</v>
      </c>
      <c r="F59" s="51">
        <f t="shared" si="50"/>
        <v>0</v>
      </c>
      <c r="G59" s="51">
        <f t="shared" si="51"/>
        <v>0</v>
      </c>
      <c r="H59" s="51">
        <f t="shared" si="52"/>
        <v>0</v>
      </c>
      <c r="I59" s="51">
        <f t="shared" si="53"/>
        <v>0</v>
      </c>
      <c r="J59" s="50">
        <f t="shared" si="43"/>
        <v>0</v>
      </c>
      <c r="K59" s="50">
        <f t="shared" si="44"/>
        <v>0</v>
      </c>
      <c r="L59" s="50">
        <f t="shared" si="45"/>
        <v>0</v>
      </c>
      <c r="M59" s="50">
        <f t="shared" si="46"/>
        <v>0</v>
      </c>
      <c r="N59" s="50">
        <f t="shared" si="47"/>
        <v>0</v>
      </c>
      <c r="O59" s="52">
        <f t="shared" si="54"/>
        <v>0</v>
      </c>
      <c r="P59" s="52">
        <f t="shared" si="14"/>
        <v>0</v>
      </c>
      <c r="Q59" s="73"/>
      <c r="R59" s="73">
        <f t="shared" si="15"/>
        <v>0</v>
      </c>
      <c r="S59" s="73">
        <f>ROUND((P59*'Cost Pool'!$C$25),0)</f>
        <v>0</v>
      </c>
      <c r="T59" s="73"/>
      <c r="U59" s="73">
        <f t="shared" si="16"/>
        <v>0</v>
      </c>
      <c r="V59" s="73">
        <f>ROUND((O59*'Cost Pool'!$D$25),0)</f>
        <v>0</v>
      </c>
      <c r="W59" s="73">
        <f t="shared" si="17"/>
        <v>0</v>
      </c>
    </row>
    <row r="60" spans="1:23">
      <c r="A60" s="45" t="s">
        <v>200</v>
      </c>
      <c r="B60" s="49">
        <f t="shared" si="48"/>
        <v>221</v>
      </c>
      <c r="C60" s="49" t="str">
        <f t="shared" si="41"/>
        <v>221 - Tax Increment Financing Reimbursement Fund</v>
      </c>
      <c r="D60" s="49" t="e">
        <f t="shared" si="42"/>
        <v>#N/A</v>
      </c>
      <c r="E60" s="51">
        <f t="shared" si="49"/>
        <v>0</v>
      </c>
      <c r="F60" s="51">
        <f t="shared" si="50"/>
        <v>4.364167530955871E-4</v>
      </c>
      <c r="G60" s="51">
        <f t="shared" si="51"/>
        <v>2.0617163591429791E-2</v>
      </c>
      <c r="H60" s="51">
        <f t="shared" si="52"/>
        <v>2.698568751790836E-2</v>
      </c>
      <c r="I60" s="51">
        <f t="shared" si="53"/>
        <v>1.7186125674494318E-2</v>
      </c>
      <c r="J60" s="50">
        <f t="shared" si="43"/>
        <v>0</v>
      </c>
      <c r="K60" s="50">
        <f t="shared" si="44"/>
        <v>0</v>
      </c>
      <c r="L60" s="50">
        <f t="shared" si="45"/>
        <v>0</v>
      </c>
      <c r="M60" s="50">
        <f t="shared" si="46"/>
        <v>0</v>
      </c>
      <c r="N60" s="50">
        <f t="shared" si="47"/>
        <v>0</v>
      </c>
      <c r="O60" s="52">
        <f t="shared" si="54"/>
        <v>1.6197244195958117E-2</v>
      </c>
      <c r="P60" s="52">
        <f t="shared" si="14"/>
        <v>5.2633950861313448E-3</v>
      </c>
      <c r="Q60" s="73">
        <v>493139</v>
      </c>
      <c r="R60" s="73">
        <f t="shared" si="15"/>
        <v>-279718</v>
      </c>
      <c r="S60" s="73">
        <f>ROUND((P60*'Cost Pool'!$C$25),0)</f>
        <v>213421</v>
      </c>
      <c r="T60" s="73">
        <v>835994</v>
      </c>
      <c r="U60" s="73">
        <f t="shared" si="16"/>
        <v>-92863</v>
      </c>
      <c r="V60" s="73">
        <f>ROUND((O60*'Cost Pool'!$D$25),0)</f>
        <v>743131</v>
      </c>
      <c r="W60" s="73">
        <f t="shared" si="17"/>
        <v>463413</v>
      </c>
    </row>
    <row r="61" spans="1:23">
      <c r="A61" s="45" t="s">
        <v>201</v>
      </c>
      <c r="B61" s="49">
        <f t="shared" si="48"/>
        <v>222</v>
      </c>
      <c r="C61" s="49" t="str">
        <f t="shared" si="41"/>
        <v>222 - Police Special Revenue Fund</v>
      </c>
      <c r="D61" s="49" t="e">
        <f t="shared" si="42"/>
        <v>#N/A</v>
      </c>
      <c r="E61" s="51">
        <f t="shared" si="49"/>
        <v>1.7713589634778975E-6</v>
      </c>
      <c r="F61" s="51">
        <f t="shared" si="50"/>
        <v>5.0244422690835734E-4</v>
      </c>
      <c r="G61" s="51">
        <f t="shared" si="51"/>
        <v>5.7752230531386319E-4</v>
      </c>
      <c r="H61" s="51">
        <f t="shared" si="52"/>
        <v>6.1007631795013701E-4</v>
      </c>
      <c r="I61" s="51">
        <f t="shared" si="53"/>
        <v>8.8661881646447376E-4</v>
      </c>
      <c r="J61" s="50">
        <f t="shared" si="43"/>
        <v>0</v>
      </c>
      <c r="K61" s="50">
        <f t="shared" si="44"/>
        <v>0</v>
      </c>
      <c r="L61" s="50">
        <f t="shared" si="45"/>
        <v>0</v>
      </c>
      <c r="M61" s="50">
        <f t="shared" si="46"/>
        <v>0</v>
      </c>
      <c r="N61" s="50">
        <f t="shared" si="47"/>
        <v>0</v>
      </c>
      <c r="O61" s="52">
        <f t="shared" si="54"/>
        <v>5.1855435993211846E-4</v>
      </c>
      <c r="P61" s="52">
        <f t="shared" si="14"/>
        <v>2.7043447279642458E-4</v>
      </c>
      <c r="Q61" s="73">
        <v>10601</v>
      </c>
      <c r="R61" s="73">
        <f t="shared" si="15"/>
        <v>365</v>
      </c>
      <c r="S61" s="73">
        <f>ROUND((P61*'Cost Pool'!$C$25),0)</f>
        <v>10966</v>
      </c>
      <c r="T61" s="73">
        <v>11137</v>
      </c>
      <c r="U61" s="73">
        <f t="shared" si="16"/>
        <v>12654</v>
      </c>
      <c r="V61" s="73">
        <f>ROUND((O61*'Cost Pool'!$D$25),0)</f>
        <v>23791</v>
      </c>
      <c r="W61" s="73">
        <f t="shared" si="17"/>
        <v>24156</v>
      </c>
    </row>
    <row r="62" spans="1:23" s="45" customFormat="1">
      <c r="A62" s="45" t="s">
        <v>451</v>
      </c>
      <c r="B62" s="49">
        <f t="shared" ref="B62" si="55">VLOOKUP(A62,Crosswalk,2,FALSE)</f>
        <v>223</v>
      </c>
      <c r="C62" s="49" t="str">
        <f t="shared" ref="C62" si="56">CONCATENATE((LEFT(B62,3))," - ",(VLOOKUP((LEFT(B62,3)),Funds,2,FALSE)))</f>
        <v>223 - Arts Education &amp; Access Fund</v>
      </c>
      <c r="D62" s="49" t="e">
        <f t="shared" ref="D62" si="57">VLOOKUP((RIGHT(B62,2)),Bureaus,2,FALSE)</f>
        <v>#N/A</v>
      </c>
      <c r="E62" s="51">
        <f t="shared" ref="E62" si="58">IF(B62="Excluded",0,(IF(ISNA(VLOOKUP(A62,FY2008_09,10,FALSE)),0,(VLOOKUP(A62,FY2008_09,10,FALSE)))))</f>
        <v>0</v>
      </c>
      <c r="F62" s="51">
        <f t="shared" ref="F62" si="59">IF(B62="Excluded",0,(IF(ISNA(VLOOKUP(A62,FY2009_10,10,FALSE)),0,(VLOOKUP(A62,FY2009_10,10,FALSE)))))</f>
        <v>0</v>
      </c>
      <c r="G62" s="51">
        <f t="shared" ref="G62" si="60">IF(B62="Excluded",0,(IF(ISNA(VLOOKUP(A62,FY2010_11,10,FALSE)),0,(VLOOKUP(A62,FY2010_11,10,FALSE)))))</f>
        <v>0</v>
      </c>
      <c r="H62" s="51">
        <f t="shared" ref="H62" si="61">IF(B62="Excluded",0,(IF(ISNA(VLOOKUP(A62,FY2011_12,10,FALSE)),0,(VLOOKUP(A62,FY2011_12,10,FALSE)))))</f>
        <v>0</v>
      </c>
      <c r="I62" s="51">
        <f t="shared" ref="I62" si="62">IF(B62="Excluded",0,(IF(ISNA(VLOOKUP(A62,FY2012_13,10,FALSE)),0,(VLOOKUP(A62,FY2012_13,10,FALSE)))))</f>
        <v>0</v>
      </c>
      <c r="J62" s="50">
        <f t="shared" ref="J62" si="63">IF(B62="Excluded",0,(IF(ISNA(VLOOKUP(A62,FY2008_09P,6,FALSE)),0,(VLOOKUP(A62,FY2008_09P,6,FALSE)))))</f>
        <v>0</v>
      </c>
      <c r="K62" s="50">
        <f t="shared" ref="K62" si="64">IF(B62="Excluded",0,(IF(ISNA(VLOOKUP(A62,FY2009_10P,6,FALSE)),0,(VLOOKUP(A62,FY2009_10P,6,FALSE)))))</f>
        <v>0</v>
      </c>
      <c r="L62" s="50">
        <f t="shared" ref="L62" si="65">IF(B62="Excluded",0,(IF(ISNA(VLOOKUP(A62,FY2010_11P,6,FALSE)),0,(VLOOKUP(A62,FY2010_11P,6,FALSE)))))</f>
        <v>0</v>
      </c>
      <c r="M62" s="50">
        <f t="shared" ref="M62" si="66">IF(B62="Excluded",0,(IF(ISNA(VLOOKUP(A62,FY2011_12P,6,FALSE)),0,(VLOOKUP(A62,FY2011_12P,6,FALSE)))))</f>
        <v>0</v>
      </c>
      <c r="N62" s="50">
        <f t="shared" ref="N62" si="67">IF(B62="Excluded",0,(IF(ISNA(VLOOKUP(A62,FY2012_13P,6,FALSE)),0,(VLOOKUP(A62,FY2012_13P,6,FALSE)))))</f>
        <v>0</v>
      </c>
      <c r="O62" s="52">
        <f t="shared" ref="O62" si="68">(AVERAGE(G62:I62)*0.75)+(AVERAGE(L62:N62)*0.25)</f>
        <v>0</v>
      </c>
      <c r="P62" s="52">
        <f t="shared" ref="P62" si="69">(AVERAGE(E62:G62)*0.75)+(AVERAGE(J62:L62)*0.25)</f>
        <v>0</v>
      </c>
      <c r="Q62" s="73"/>
      <c r="R62" s="73">
        <f t="shared" si="15"/>
        <v>0</v>
      </c>
      <c r="S62" s="73">
        <f>ROUND((P62*'Cost Pool'!$C$25),0)</f>
        <v>0</v>
      </c>
      <c r="T62" s="73">
        <v>0</v>
      </c>
      <c r="U62" s="73">
        <f t="shared" si="16"/>
        <v>25000</v>
      </c>
      <c r="V62" s="80">
        <v>25000</v>
      </c>
      <c r="W62" s="80">
        <f t="shared" ref="W62" si="70">V62+R62</f>
        <v>25000</v>
      </c>
    </row>
    <row r="63" spans="1:23">
      <c r="A63" s="45" t="s">
        <v>202</v>
      </c>
      <c r="B63" s="49" t="str">
        <f t="shared" si="48"/>
        <v>Excluded</v>
      </c>
      <c r="C63" s="49" t="e">
        <f t="shared" si="41"/>
        <v>#N/A</v>
      </c>
      <c r="D63" s="49" t="e">
        <f t="shared" si="42"/>
        <v>#N/A</v>
      </c>
      <c r="E63" s="51">
        <f t="shared" si="49"/>
        <v>0</v>
      </c>
      <c r="F63" s="51">
        <f t="shared" si="50"/>
        <v>0</v>
      </c>
      <c r="G63" s="51">
        <f t="shared" si="51"/>
        <v>0</v>
      </c>
      <c r="H63" s="51">
        <f t="shared" si="52"/>
        <v>0</v>
      </c>
      <c r="I63" s="51">
        <f t="shared" si="53"/>
        <v>0</v>
      </c>
      <c r="J63" s="50">
        <f t="shared" si="43"/>
        <v>0</v>
      </c>
      <c r="K63" s="50">
        <f t="shared" si="44"/>
        <v>0</v>
      </c>
      <c r="L63" s="50">
        <f t="shared" si="45"/>
        <v>0</v>
      </c>
      <c r="M63" s="50">
        <f t="shared" si="46"/>
        <v>0</v>
      </c>
      <c r="N63" s="50">
        <f t="shared" si="47"/>
        <v>0</v>
      </c>
      <c r="O63" s="52">
        <f t="shared" si="54"/>
        <v>0</v>
      </c>
      <c r="P63" s="52">
        <f t="shared" si="14"/>
        <v>0</v>
      </c>
      <c r="Q63" s="73"/>
      <c r="R63" s="73">
        <f t="shared" si="15"/>
        <v>0</v>
      </c>
      <c r="S63" s="73">
        <f>ROUND((P63*'Cost Pool'!$C$25),0)</f>
        <v>0</v>
      </c>
      <c r="T63" s="73"/>
      <c r="U63" s="73">
        <f t="shared" si="16"/>
        <v>0</v>
      </c>
      <c r="V63" s="73">
        <f>ROUND((O63*'Cost Pool'!$D$25),0)</f>
        <v>0</v>
      </c>
      <c r="W63" s="73">
        <f t="shared" si="17"/>
        <v>0</v>
      </c>
    </row>
    <row r="64" spans="1:23">
      <c r="A64" s="45" t="s">
        <v>203</v>
      </c>
      <c r="B64" s="49" t="str">
        <f t="shared" si="48"/>
        <v>Excluded</v>
      </c>
      <c r="C64" s="49" t="e">
        <f t="shared" si="41"/>
        <v>#N/A</v>
      </c>
      <c r="D64" s="49" t="e">
        <f t="shared" si="42"/>
        <v>#N/A</v>
      </c>
      <c r="E64" s="51">
        <f t="shared" si="49"/>
        <v>0</v>
      </c>
      <c r="F64" s="51">
        <f t="shared" si="50"/>
        <v>0</v>
      </c>
      <c r="G64" s="51">
        <f t="shared" si="51"/>
        <v>0</v>
      </c>
      <c r="H64" s="51">
        <f t="shared" si="52"/>
        <v>0</v>
      </c>
      <c r="I64" s="51">
        <f t="shared" si="53"/>
        <v>0</v>
      </c>
      <c r="J64" s="50">
        <f t="shared" si="43"/>
        <v>0</v>
      </c>
      <c r="K64" s="50">
        <f t="shared" si="44"/>
        <v>0</v>
      </c>
      <c r="L64" s="50">
        <f t="shared" si="45"/>
        <v>0</v>
      </c>
      <c r="M64" s="50">
        <f t="shared" si="46"/>
        <v>0</v>
      </c>
      <c r="N64" s="50">
        <f t="shared" si="47"/>
        <v>0</v>
      </c>
      <c r="O64" s="52">
        <f t="shared" si="54"/>
        <v>0</v>
      </c>
      <c r="P64" s="52">
        <f t="shared" si="14"/>
        <v>0</v>
      </c>
      <c r="Q64" s="73"/>
      <c r="R64" s="73">
        <f t="shared" si="15"/>
        <v>0</v>
      </c>
      <c r="S64" s="73">
        <f>ROUND((P64*'Cost Pool'!$C$25),0)</f>
        <v>0</v>
      </c>
      <c r="T64" s="73"/>
      <c r="U64" s="73">
        <f t="shared" si="16"/>
        <v>0</v>
      </c>
      <c r="V64" s="73">
        <f>ROUND((O64*'Cost Pool'!$D$25),0)</f>
        <v>0</v>
      </c>
      <c r="W64" s="73">
        <f t="shared" si="17"/>
        <v>0</v>
      </c>
    </row>
    <row r="65" spans="1:23">
      <c r="A65" s="45" t="s">
        <v>204</v>
      </c>
      <c r="B65" s="49" t="str">
        <f t="shared" si="48"/>
        <v>Excluded</v>
      </c>
      <c r="C65" s="49" t="e">
        <f t="shared" si="41"/>
        <v>#N/A</v>
      </c>
      <c r="D65" s="49" t="e">
        <f t="shared" si="42"/>
        <v>#N/A</v>
      </c>
      <c r="E65" s="51">
        <f t="shared" si="49"/>
        <v>0</v>
      </c>
      <c r="F65" s="51">
        <f t="shared" si="50"/>
        <v>0</v>
      </c>
      <c r="G65" s="51">
        <f t="shared" si="51"/>
        <v>0</v>
      </c>
      <c r="H65" s="51">
        <f t="shared" si="52"/>
        <v>0</v>
      </c>
      <c r="I65" s="51">
        <f t="shared" si="53"/>
        <v>0</v>
      </c>
      <c r="J65" s="50">
        <f t="shared" si="43"/>
        <v>0</v>
      </c>
      <c r="K65" s="50">
        <f t="shared" si="44"/>
        <v>0</v>
      </c>
      <c r="L65" s="50">
        <f t="shared" si="45"/>
        <v>0</v>
      </c>
      <c r="M65" s="50">
        <f t="shared" si="46"/>
        <v>0</v>
      </c>
      <c r="N65" s="50">
        <f t="shared" si="47"/>
        <v>0</v>
      </c>
      <c r="O65" s="52">
        <f t="shared" si="54"/>
        <v>0</v>
      </c>
      <c r="P65" s="52">
        <f t="shared" si="14"/>
        <v>0</v>
      </c>
      <c r="Q65" s="73"/>
      <c r="R65" s="73">
        <f t="shared" si="15"/>
        <v>0</v>
      </c>
      <c r="S65" s="73">
        <f>ROUND((P65*'Cost Pool'!$C$25),0)</f>
        <v>0</v>
      </c>
      <c r="T65" s="73"/>
      <c r="U65" s="73">
        <f t="shared" si="16"/>
        <v>0</v>
      </c>
      <c r="V65" s="73">
        <f>ROUND((O65*'Cost Pool'!$D$25),0)</f>
        <v>0</v>
      </c>
      <c r="W65" s="73">
        <f t="shared" si="17"/>
        <v>0</v>
      </c>
    </row>
    <row r="66" spans="1:23">
      <c r="A66" s="45" t="s">
        <v>205</v>
      </c>
      <c r="B66" s="49">
        <f t="shared" si="48"/>
        <v>400</v>
      </c>
      <c r="C66" s="49" t="str">
        <f t="shared" si="41"/>
        <v>400 - BFRES Facilities GO Bond Construction Fund</v>
      </c>
      <c r="D66" s="49" t="e">
        <f t="shared" si="42"/>
        <v>#N/A</v>
      </c>
      <c r="E66" s="51">
        <f t="shared" si="49"/>
        <v>4.4390179120880613E-3</v>
      </c>
      <c r="F66" s="51">
        <f t="shared" si="50"/>
        <v>2.4850616367203824E-3</v>
      </c>
      <c r="G66" s="51">
        <f t="shared" si="51"/>
        <v>1.4376258224056801E-3</v>
      </c>
      <c r="H66" s="51">
        <f t="shared" si="52"/>
        <v>9.2333106866280417E-4</v>
      </c>
      <c r="I66" s="51">
        <f t="shared" si="53"/>
        <v>1.8897457677876871E-6</v>
      </c>
      <c r="J66" s="50">
        <f t="shared" si="43"/>
        <v>0</v>
      </c>
      <c r="K66" s="50">
        <f t="shared" si="44"/>
        <v>0</v>
      </c>
      <c r="L66" s="50">
        <f t="shared" si="45"/>
        <v>0</v>
      </c>
      <c r="M66" s="50">
        <f t="shared" si="46"/>
        <v>0</v>
      </c>
      <c r="N66" s="50">
        <f t="shared" si="47"/>
        <v>0</v>
      </c>
      <c r="O66" s="52">
        <f t="shared" si="54"/>
        <v>5.9071165920906792E-4</v>
      </c>
      <c r="P66" s="52">
        <f t="shared" si="14"/>
        <v>2.0904263428035311E-3</v>
      </c>
      <c r="Q66" s="73">
        <v>44921</v>
      </c>
      <c r="R66" s="73">
        <f t="shared" si="15"/>
        <v>39842</v>
      </c>
      <c r="S66" s="73">
        <f>ROUND((P66*'Cost Pool'!$C$25),0)</f>
        <v>84763</v>
      </c>
      <c r="T66" s="73">
        <v>46490</v>
      </c>
      <c r="U66" s="73">
        <f t="shared" si="16"/>
        <v>-19388</v>
      </c>
      <c r="V66" s="73">
        <f>ROUND((O66*'Cost Pool'!$D$25),0)</f>
        <v>27102</v>
      </c>
      <c r="W66" s="73">
        <f t="shared" si="17"/>
        <v>66944</v>
      </c>
    </row>
    <row r="67" spans="1:23">
      <c r="A67" s="45" t="s">
        <v>206</v>
      </c>
      <c r="B67" s="49">
        <f t="shared" si="48"/>
        <v>401</v>
      </c>
      <c r="C67" s="49" t="str">
        <f t="shared" ref="C67:C92" si="71">CONCATENATE((LEFT(B67,3))," - ",(VLOOKUP((LEFT(B67,3)),Funds,2,FALSE)))</f>
        <v>401 - Local Improvement District Fund</v>
      </c>
      <c r="D67" s="49" t="e">
        <f t="shared" ref="D67:D92" si="72">VLOOKUP((RIGHT(B67,2)),Bureaus,2,FALSE)</f>
        <v>#N/A</v>
      </c>
      <c r="E67" s="51">
        <f t="shared" si="49"/>
        <v>5.3482093887332667E-6</v>
      </c>
      <c r="F67" s="51">
        <f t="shared" si="50"/>
        <v>5.2155435738316185E-6</v>
      </c>
      <c r="G67" s="51">
        <f t="shared" si="51"/>
        <v>4.7604341405285488E-4</v>
      </c>
      <c r="H67" s="51">
        <f t="shared" si="52"/>
        <v>3.3149542705027237E-6</v>
      </c>
      <c r="I67" s="51">
        <f t="shared" si="53"/>
        <v>1.4863168960127874E-6</v>
      </c>
      <c r="J67" s="50">
        <f t="shared" ref="J67:J92" si="73">IF(B67="Excluded",0,(IF(ISNA(VLOOKUP(A67,FY2008_09P,6,FALSE)),0,(VLOOKUP(A67,FY2008_09P,6,FALSE)))))</f>
        <v>0</v>
      </c>
      <c r="K67" s="50">
        <f t="shared" ref="K67:K92" si="74">IF(B67="Excluded",0,(IF(ISNA(VLOOKUP(A67,FY2009_10P,6,FALSE)),0,(VLOOKUP(A67,FY2009_10P,6,FALSE)))))</f>
        <v>0</v>
      </c>
      <c r="L67" s="50">
        <f t="shared" ref="L67:L92" si="75">IF(B67="Excluded",0,(IF(ISNA(VLOOKUP(A67,FY2010_11P,6,FALSE)),0,(VLOOKUP(A67,FY2010_11P,6,FALSE)))))</f>
        <v>0</v>
      </c>
      <c r="M67" s="50">
        <f t="shared" ref="M67:M92" si="76">IF(B67="Excluded",0,(IF(ISNA(VLOOKUP(A67,FY2011_12P,6,FALSE)),0,(VLOOKUP(A67,FY2011_12P,6,FALSE)))))</f>
        <v>0</v>
      </c>
      <c r="N67" s="50">
        <f t="shared" ref="N67:N92" si="77">IF(B67="Excluded",0,(IF(ISNA(VLOOKUP(A67,FY2012_13P,6,FALSE)),0,(VLOOKUP(A67,FY2012_13P,6,FALSE)))))</f>
        <v>0</v>
      </c>
      <c r="O67" s="52">
        <f t="shared" si="54"/>
        <v>1.2021117130484259E-4</v>
      </c>
      <c r="P67" s="52">
        <f t="shared" si="14"/>
        <v>1.2165179175385493E-4</v>
      </c>
      <c r="Q67" s="73">
        <v>74671</v>
      </c>
      <c r="R67" s="73">
        <f t="shared" si="15"/>
        <v>-69738</v>
      </c>
      <c r="S67" s="73">
        <f>ROUND((P67*'Cost Pool'!$C$25),0)</f>
        <v>4933</v>
      </c>
      <c r="T67" s="73">
        <v>48200</v>
      </c>
      <c r="U67" s="73">
        <f t="shared" si="16"/>
        <v>-42685</v>
      </c>
      <c r="V67" s="73">
        <f>ROUND((O67*'Cost Pool'!$D$25),0)</f>
        <v>5515</v>
      </c>
      <c r="W67" s="73">
        <f t="shared" si="17"/>
        <v>-64223</v>
      </c>
    </row>
    <row r="68" spans="1:23">
      <c r="A68" s="45" t="s">
        <v>207</v>
      </c>
      <c r="B68" s="49">
        <f t="shared" si="48"/>
        <v>402</v>
      </c>
      <c r="C68" s="49" t="str">
        <f t="shared" si="71"/>
        <v>402 - Parks Capital Improvement Program Fund</v>
      </c>
      <c r="D68" s="49" t="e">
        <f t="shared" si="72"/>
        <v>#N/A</v>
      </c>
      <c r="E68" s="51">
        <f t="shared" si="49"/>
        <v>1.3219753753439098E-2</v>
      </c>
      <c r="F68" s="51">
        <f t="shared" si="50"/>
        <v>9.5530082207030947E-3</v>
      </c>
      <c r="G68" s="51">
        <f t="shared" si="51"/>
        <v>2.8015103608748037E-3</v>
      </c>
      <c r="H68" s="51">
        <f t="shared" si="52"/>
        <v>4.5358963150047022E-3</v>
      </c>
      <c r="I68" s="51">
        <f t="shared" si="53"/>
        <v>8.0130268723369747E-3</v>
      </c>
      <c r="J68" s="50">
        <f t="shared" si="73"/>
        <v>1.9120458891013384E-3</v>
      </c>
      <c r="K68" s="50">
        <f t="shared" si="74"/>
        <v>1.8355359765051395E-3</v>
      </c>
      <c r="L68" s="50">
        <f t="shared" si="75"/>
        <v>1.6332684213832527E-3</v>
      </c>
      <c r="M68" s="50">
        <f t="shared" si="76"/>
        <v>1.8247065263670094E-3</v>
      </c>
      <c r="N68" s="50">
        <f t="shared" si="77"/>
        <v>1.1410965938266674E-3</v>
      </c>
      <c r="O68" s="52">
        <f t="shared" si="54"/>
        <v>4.2208643488521984E-3</v>
      </c>
      <c r="P68" s="52">
        <f t="shared" si="14"/>
        <v>6.8419722743367261E-3</v>
      </c>
      <c r="Q68" s="73">
        <v>245651</v>
      </c>
      <c r="R68" s="73">
        <f t="shared" si="15"/>
        <v>31778</v>
      </c>
      <c r="S68" s="73">
        <f>ROUND((P68*'Cost Pool'!$C$25),0)</f>
        <v>277429</v>
      </c>
      <c r="T68" s="73">
        <v>190847</v>
      </c>
      <c r="U68" s="73">
        <f t="shared" ref="U68:U92" si="78">V68-T68</f>
        <v>2807</v>
      </c>
      <c r="V68" s="73">
        <f>ROUND((O68*'Cost Pool'!$D$25),0)</f>
        <v>193654</v>
      </c>
      <c r="W68" s="73">
        <f t="shared" si="17"/>
        <v>225432</v>
      </c>
    </row>
    <row r="69" spans="1:23">
      <c r="A69" s="45" t="s">
        <v>327</v>
      </c>
      <c r="B69" s="49">
        <f t="shared" si="48"/>
        <v>403</v>
      </c>
      <c r="C69" s="49" t="str">
        <f t="shared" si="71"/>
        <v>403 - Public Safety GO Bond Fund</v>
      </c>
      <c r="D69" s="49" t="e">
        <f t="shared" si="72"/>
        <v>#N/A</v>
      </c>
      <c r="E69" s="51">
        <f t="shared" si="49"/>
        <v>0</v>
      </c>
      <c r="F69" s="51">
        <f t="shared" si="50"/>
        <v>0</v>
      </c>
      <c r="G69" s="51">
        <f t="shared" si="51"/>
        <v>0</v>
      </c>
      <c r="H69" s="51">
        <f t="shared" si="52"/>
        <v>2.4254115755628386E-4</v>
      </c>
      <c r="I69" s="51">
        <f t="shared" si="53"/>
        <v>2.1118227451505118E-3</v>
      </c>
      <c r="J69" s="50">
        <f t="shared" si="73"/>
        <v>0</v>
      </c>
      <c r="K69" s="50">
        <f t="shared" si="74"/>
        <v>0</v>
      </c>
      <c r="L69" s="50">
        <f t="shared" si="75"/>
        <v>0</v>
      </c>
      <c r="M69" s="50">
        <f t="shared" si="76"/>
        <v>0</v>
      </c>
      <c r="N69" s="50">
        <f t="shared" si="77"/>
        <v>0</v>
      </c>
      <c r="O69" s="52">
        <f t="shared" si="54"/>
        <v>5.8859097567669889E-4</v>
      </c>
      <c r="P69" s="52">
        <f t="shared" si="14"/>
        <v>0</v>
      </c>
      <c r="Q69" s="73"/>
      <c r="R69" s="73">
        <f t="shared" si="15"/>
        <v>0</v>
      </c>
      <c r="S69" s="73">
        <f>ROUND((P69*'Cost Pool'!$C$25),0)</f>
        <v>0</v>
      </c>
      <c r="T69" s="73">
        <v>40107</v>
      </c>
      <c r="U69" s="73">
        <f t="shared" si="78"/>
        <v>-13102</v>
      </c>
      <c r="V69" s="73">
        <f>ROUND((O69*'Cost Pool'!$D$25),0)</f>
        <v>27005</v>
      </c>
      <c r="W69" s="73">
        <f t="shared" si="17"/>
        <v>27005</v>
      </c>
    </row>
    <row r="70" spans="1:23">
      <c r="A70" s="45" t="s">
        <v>326</v>
      </c>
      <c r="B70" s="49">
        <f t="shared" ref="B70:B92" si="79">VLOOKUP(A70,Crosswalk,2,FALSE)</f>
        <v>403</v>
      </c>
      <c r="C70" s="49" t="str">
        <f t="shared" si="71"/>
        <v>403 - Public Safety GO Bond Fund</v>
      </c>
      <c r="D70" s="49" t="e">
        <f t="shared" si="72"/>
        <v>#N/A</v>
      </c>
      <c r="E70" s="51">
        <f t="shared" ref="E70:E92" si="80">IF(B70="Excluded",0,(IF(ISNA(VLOOKUP(A70,FY2008_09,10,FALSE)),0,(VLOOKUP(A70,FY2008_09,10,FALSE)))))</f>
        <v>0</v>
      </c>
      <c r="F70" s="51">
        <f t="shared" ref="F70:F92" si="81">IF(B70="Excluded",0,(IF(ISNA(VLOOKUP(A70,FY2009_10,10,FALSE)),0,(VLOOKUP(A70,FY2009_10,10,FALSE)))))</f>
        <v>2.3599060662889753E-3</v>
      </c>
      <c r="G70" s="51">
        <f t="shared" ref="G70:G92" si="82">IF(B70="Excluded",0,(IF(ISNA(VLOOKUP(A70,FY2010_11,10,FALSE)),0,(VLOOKUP(A70,FY2010_11,10,FALSE)))))</f>
        <v>2.3446411559629047E-3</v>
      </c>
      <c r="H70" s="51">
        <f t="shared" ref="H70:H92" si="83">IF(B70="Excluded",0,(IF(ISNA(VLOOKUP(A70,FY2011_12,10,FALSE)),0,(VLOOKUP(A70,FY2011_12,10,FALSE)))))</f>
        <v>1.033463962948713E-3</v>
      </c>
      <c r="I70" s="51">
        <f t="shared" ref="I70:I92" si="84">IF(B70="Excluded",0,(IF(ISNA(VLOOKUP(A70,FY2012_13,10,FALSE)),0,(VLOOKUP(A70,FY2012_13,10,FALSE)))))</f>
        <v>2.7263436507717759E-3</v>
      </c>
      <c r="J70" s="50">
        <f t="shared" si="73"/>
        <v>0</v>
      </c>
      <c r="K70" s="50">
        <f t="shared" si="74"/>
        <v>0</v>
      </c>
      <c r="L70" s="50">
        <f t="shared" si="75"/>
        <v>0</v>
      </c>
      <c r="M70" s="50">
        <f t="shared" si="76"/>
        <v>0</v>
      </c>
      <c r="N70" s="50">
        <f t="shared" si="77"/>
        <v>0</v>
      </c>
      <c r="O70" s="52">
        <f t="shared" ref="O70:O92" si="85">(AVERAGE(G70:I70)*0.75)+(AVERAGE(L70:N70)*0.25)</f>
        <v>1.5261121924208484E-3</v>
      </c>
      <c r="P70" s="52">
        <f t="shared" si="14"/>
        <v>1.17613680556297E-3</v>
      </c>
      <c r="Q70" s="73">
        <v>26306</v>
      </c>
      <c r="R70" s="73">
        <f t="shared" si="15"/>
        <v>21384</v>
      </c>
      <c r="S70" s="73">
        <f>ROUND((P70*'Cost Pool'!$C$25),0)</f>
        <v>47690</v>
      </c>
      <c r="T70" s="73"/>
      <c r="U70" s="73">
        <f t="shared" si="78"/>
        <v>70018</v>
      </c>
      <c r="V70" s="73">
        <f>ROUND((O70*'Cost Pool'!$D$25),0)</f>
        <v>70018</v>
      </c>
      <c r="W70" s="73">
        <f t="shared" si="17"/>
        <v>91402</v>
      </c>
    </row>
    <row r="71" spans="1:23">
      <c r="A71" s="45" t="s">
        <v>208</v>
      </c>
      <c r="B71" s="49" t="str">
        <f t="shared" si="79"/>
        <v>Excluded</v>
      </c>
      <c r="C71" s="49" t="e">
        <f t="shared" si="71"/>
        <v>#N/A</v>
      </c>
      <c r="D71" s="49" t="e">
        <f t="shared" si="72"/>
        <v>#N/A</v>
      </c>
      <c r="E71" s="51">
        <f t="shared" si="80"/>
        <v>0</v>
      </c>
      <c r="F71" s="51">
        <f t="shared" si="81"/>
        <v>0</v>
      </c>
      <c r="G71" s="51">
        <f t="shared" si="82"/>
        <v>0</v>
      </c>
      <c r="H71" s="51">
        <f t="shared" si="83"/>
        <v>0</v>
      </c>
      <c r="I71" s="51">
        <f t="shared" si="84"/>
        <v>0</v>
      </c>
      <c r="J71" s="50">
        <f t="shared" si="73"/>
        <v>0</v>
      </c>
      <c r="K71" s="50">
        <f t="shared" si="74"/>
        <v>0</v>
      </c>
      <c r="L71" s="50">
        <f t="shared" si="75"/>
        <v>0</v>
      </c>
      <c r="M71" s="50">
        <f t="shared" si="76"/>
        <v>0</v>
      </c>
      <c r="N71" s="50">
        <f t="shared" si="77"/>
        <v>0</v>
      </c>
      <c r="O71" s="52">
        <f t="shared" si="85"/>
        <v>0</v>
      </c>
      <c r="P71" s="52">
        <f t="shared" ref="P71:P92" si="86">(AVERAGE(E71:G71)*0.75)+(AVERAGE(J71:L71)*0.25)</f>
        <v>0</v>
      </c>
      <c r="Q71" s="73"/>
      <c r="R71" s="73">
        <f t="shared" ref="R71:R92" si="87">S71-Q71</f>
        <v>0</v>
      </c>
      <c r="S71" s="73">
        <f>ROUND((P71*'Cost Pool'!$C$25),0)</f>
        <v>0</v>
      </c>
      <c r="T71" s="73"/>
      <c r="U71" s="73">
        <f t="shared" si="78"/>
        <v>0</v>
      </c>
      <c r="V71" s="73">
        <f>ROUND((O71*'Cost Pool'!$D$25),0)</f>
        <v>0</v>
      </c>
      <c r="W71" s="73">
        <f t="shared" ref="W71:W92" si="88">V71+R71</f>
        <v>0</v>
      </c>
    </row>
    <row r="72" spans="1:23">
      <c r="A72" s="45" t="s">
        <v>209</v>
      </c>
      <c r="B72" s="49">
        <f t="shared" si="79"/>
        <v>600</v>
      </c>
      <c r="C72" s="49" t="str">
        <f t="shared" si="71"/>
        <v>600 - Sewer System Operating Fund</v>
      </c>
      <c r="D72" s="49" t="e">
        <f t="shared" si="72"/>
        <v>#N/A</v>
      </c>
      <c r="E72" s="51">
        <f t="shared" si="80"/>
        <v>0.1569968566802652</v>
      </c>
      <c r="F72" s="51">
        <f t="shared" si="81"/>
        <v>0.16002829009552108</v>
      </c>
      <c r="G72" s="51">
        <f t="shared" si="82"/>
        <v>0.16154127712972846</v>
      </c>
      <c r="H72" s="51">
        <f t="shared" si="83"/>
        <v>0.11581596142833704</v>
      </c>
      <c r="I72" s="51">
        <f t="shared" si="84"/>
        <v>0.12779373161858013</v>
      </c>
      <c r="J72" s="50">
        <f t="shared" si="73"/>
        <v>6.7686424474187379E-2</v>
      </c>
      <c r="K72" s="50">
        <f t="shared" si="74"/>
        <v>7.0117474302496333E-2</v>
      </c>
      <c r="L72" s="50">
        <f t="shared" si="75"/>
        <v>7.2240718638105411E-2</v>
      </c>
      <c r="M72" s="50">
        <f t="shared" si="76"/>
        <v>6.9460495103704153E-2</v>
      </c>
      <c r="N72" s="50">
        <f t="shared" si="77"/>
        <v>6.390140925429337E-2</v>
      </c>
      <c r="O72" s="52">
        <f t="shared" si="85"/>
        <v>0.11842129446050331</v>
      </c>
      <c r="P72" s="52">
        <f t="shared" si="86"/>
        <v>0.13714532409427777</v>
      </c>
      <c r="Q72" s="73">
        <v>7371659</v>
      </c>
      <c r="R72" s="73">
        <f t="shared" si="87"/>
        <v>-1810680</v>
      </c>
      <c r="S72" s="73">
        <f>ROUND((P72*'Cost Pool'!$C$25),0)</f>
        <v>5560979</v>
      </c>
      <c r="T72" s="73">
        <v>7072025</v>
      </c>
      <c r="U72" s="73">
        <f t="shared" si="78"/>
        <v>-1638846</v>
      </c>
      <c r="V72" s="73">
        <f>ROUND((O72*'Cost Pool'!$D$25),0)</f>
        <v>5433179</v>
      </c>
      <c r="W72" s="73">
        <f t="shared" si="88"/>
        <v>3622499</v>
      </c>
    </row>
    <row r="73" spans="1:23">
      <c r="A73" s="45" t="s">
        <v>210</v>
      </c>
      <c r="B73" s="49">
        <f t="shared" si="79"/>
        <v>601</v>
      </c>
      <c r="C73" s="49" t="str">
        <f t="shared" si="71"/>
        <v>601 - Hydroelectric Power Operating Fund</v>
      </c>
      <c r="D73" s="49" t="e">
        <f t="shared" si="72"/>
        <v>#N/A</v>
      </c>
      <c r="E73" s="51">
        <f t="shared" si="80"/>
        <v>6.950153462375278E-4</v>
      </c>
      <c r="F73" s="51">
        <f t="shared" si="81"/>
        <v>3.7674071999254033E-4</v>
      </c>
      <c r="G73" s="51">
        <f t="shared" si="82"/>
        <v>4.1727769507387099E-4</v>
      </c>
      <c r="H73" s="51">
        <f t="shared" si="83"/>
        <v>3.8467515954232029E-4</v>
      </c>
      <c r="I73" s="51">
        <f t="shared" si="84"/>
        <v>4.2401807657691659E-4</v>
      </c>
      <c r="J73" s="50">
        <f t="shared" si="73"/>
        <v>3.8240917782026768E-4</v>
      </c>
      <c r="K73" s="50">
        <f t="shared" si="74"/>
        <v>3.6710719530102788E-4</v>
      </c>
      <c r="L73" s="50">
        <f t="shared" si="75"/>
        <v>3.7690809724228911E-4</v>
      </c>
      <c r="M73" s="50">
        <f t="shared" si="76"/>
        <v>3.6494130527340185E-4</v>
      </c>
      <c r="N73" s="50">
        <f t="shared" si="77"/>
        <v>3.4232897814800024E-4</v>
      </c>
      <c r="O73" s="52">
        <f t="shared" si="85"/>
        <v>3.9684093118691791E-4</v>
      </c>
      <c r="P73" s="52">
        <f t="shared" si="86"/>
        <v>4.6612714618961694E-4</v>
      </c>
      <c r="Q73" s="73">
        <v>42063</v>
      </c>
      <c r="R73" s="73">
        <f t="shared" si="87"/>
        <v>-23162</v>
      </c>
      <c r="S73" s="73">
        <f>ROUND((P73*'Cost Pool'!$C$25),0)</f>
        <v>18901</v>
      </c>
      <c r="T73" s="73">
        <v>29624</v>
      </c>
      <c r="U73" s="73">
        <f t="shared" si="78"/>
        <v>-11417</v>
      </c>
      <c r="V73" s="73">
        <f>ROUND((O73*'Cost Pool'!$D$25),0)</f>
        <v>18207</v>
      </c>
      <c r="W73" s="73">
        <f t="shared" si="88"/>
        <v>-4955</v>
      </c>
    </row>
    <row r="74" spans="1:23">
      <c r="A74" s="45" t="s">
        <v>211</v>
      </c>
      <c r="B74" s="49">
        <f t="shared" si="79"/>
        <v>602</v>
      </c>
      <c r="C74" s="49" t="str">
        <f t="shared" si="71"/>
        <v>602 - Water Fund</v>
      </c>
      <c r="D74" s="49" t="e">
        <f t="shared" si="72"/>
        <v>#N/A</v>
      </c>
      <c r="E74" s="51">
        <f t="shared" si="80"/>
        <v>9.1970498642618068E-2</v>
      </c>
      <c r="F74" s="51">
        <f t="shared" si="81"/>
        <v>8.8735427964178493E-2</v>
      </c>
      <c r="G74" s="51">
        <f t="shared" si="82"/>
        <v>8.6632971190495969E-2</v>
      </c>
      <c r="H74" s="51">
        <f t="shared" si="83"/>
        <v>9.6805220651837359E-2</v>
      </c>
      <c r="I74" s="51">
        <f t="shared" si="84"/>
        <v>0.12364508143223221</v>
      </c>
      <c r="J74" s="50">
        <f t="shared" si="73"/>
        <v>8.7699171446781396E-2</v>
      </c>
      <c r="K74" s="50">
        <f t="shared" si="74"/>
        <v>8.0641213901125802E-2</v>
      </c>
      <c r="L74" s="50">
        <f t="shared" si="75"/>
        <v>8.2668509328475401E-2</v>
      </c>
      <c r="M74" s="50">
        <f t="shared" si="76"/>
        <v>7.85840277355392E-2</v>
      </c>
      <c r="N74" s="50">
        <f t="shared" si="77"/>
        <v>7.1660866092314715E-2</v>
      </c>
      <c r="O74" s="52">
        <f t="shared" si="85"/>
        <v>9.6180268581668824E-2</v>
      </c>
      <c r="P74" s="52">
        <f t="shared" si="86"/>
        <v>8.7752132339021682E-2</v>
      </c>
      <c r="Q74" s="73">
        <v>4029348</v>
      </c>
      <c r="R74" s="73">
        <f t="shared" si="87"/>
        <v>-471168</v>
      </c>
      <c r="S74" s="73">
        <f>ROUND((P74*'Cost Pool'!$C$25),0)</f>
        <v>3558180</v>
      </c>
      <c r="T74" s="73">
        <v>4533246</v>
      </c>
      <c r="U74" s="73">
        <f t="shared" si="78"/>
        <v>-120487</v>
      </c>
      <c r="V74" s="73">
        <f>ROUND((O74*'Cost Pool'!$D$25),0)</f>
        <v>4412759</v>
      </c>
      <c r="W74" s="73">
        <f t="shared" si="88"/>
        <v>3941591</v>
      </c>
    </row>
    <row r="75" spans="1:23">
      <c r="A75" s="45" t="s">
        <v>212</v>
      </c>
      <c r="B75" s="49">
        <f t="shared" si="79"/>
        <v>603</v>
      </c>
      <c r="C75" s="49" t="str">
        <f t="shared" si="71"/>
        <v>603 - Golf Fund</v>
      </c>
      <c r="D75" s="49" t="e">
        <f t="shared" si="72"/>
        <v>#N/A</v>
      </c>
      <c r="E75" s="51">
        <f t="shared" si="80"/>
        <v>7.3643895811783596E-3</v>
      </c>
      <c r="F75" s="51">
        <f t="shared" si="81"/>
        <v>7.2196066088251474E-3</v>
      </c>
      <c r="G75" s="51">
        <f t="shared" si="82"/>
        <v>6.6473077871759259E-3</v>
      </c>
      <c r="H75" s="51">
        <f t="shared" si="83"/>
        <v>6.9989809412101646E-3</v>
      </c>
      <c r="I75" s="51">
        <f t="shared" si="84"/>
        <v>7.1553121420527832E-3</v>
      </c>
      <c r="J75" s="50">
        <f t="shared" si="73"/>
        <v>5.2262587635436581E-3</v>
      </c>
      <c r="K75" s="50">
        <f t="shared" si="74"/>
        <v>6.3631913852178167E-3</v>
      </c>
      <c r="L75" s="50">
        <f t="shared" si="75"/>
        <v>7.0356178151893961E-3</v>
      </c>
      <c r="M75" s="50">
        <f t="shared" si="76"/>
        <v>5.3524724773432271E-3</v>
      </c>
      <c r="N75" s="50">
        <f t="shared" si="77"/>
        <v>5.4772636503680038E-3</v>
      </c>
      <c r="O75" s="52">
        <f t="shared" si="85"/>
        <v>6.6891797128514376E-3</v>
      </c>
      <c r="P75" s="52">
        <f t="shared" si="86"/>
        <v>6.8599149912907647E-3</v>
      </c>
      <c r="Q75" s="73">
        <v>258742</v>
      </c>
      <c r="R75" s="73">
        <f t="shared" si="87"/>
        <v>19414</v>
      </c>
      <c r="S75" s="73">
        <f>ROUND((P75*'Cost Pool'!$C$25),0)</f>
        <v>278156</v>
      </c>
      <c r="T75" s="73">
        <v>302239</v>
      </c>
      <c r="U75" s="73">
        <f t="shared" si="78"/>
        <v>4661</v>
      </c>
      <c r="V75" s="73">
        <f>ROUND((O75*'Cost Pool'!$D$25),0)</f>
        <v>306900</v>
      </c>
      <c r="W75" s="73">
        <f t="shared" si="88"/>
        <v>326314</v>
      </c>
    </row>
    <row r="76" spans="1:23">
      <c r="A76" s="45" t="s">
        <v>213</v>
      </c>
      <c r="B76" s="49">
        <f t="shared" si="79"/>
        <v>604</v>
      </c>
      <c r="C76" s="49" t="str">
        <f t="shared" si="71"/>
        <v>604 - Portland International Raceway Fund</v>
      </c>
      <c r="D76" s="49" t="e">
        <f t="shared" si="72"/>
        <v>#N/A</v>
      </c>
      <c r="E76" s="51">
        <f t="shared" si="80"/>
        <v>1.5100923437351575E-3</v>
      </c>
      <c r="F76" s="51">
        <f t="shared" si="81"/>
        <v>1.5514099993629766E-3</v>
      </c>
      <c r="G76" s="51">
        <f t="shared" si="82"/>
        <v>1.4160075040205449E-3</v>
      </c>
      <c r="H76" s="51">
        <f t="shared" si="83"/>
        <v>1.4106113670137119E-3</v>
      </c>
      <c r="I76" s="51">
        <f t="shared" si="84"/>
        <v>1.3745463962600887E-3</v>
      </c>
      <c r="J76" s="50">
        <f t="shared" si="73"/>
        <v>6.2460165710643721E-3</v>
      </c>
      <c r="K76" s="50">
        <f t="shared" si="74"/>
        <v>6.1184532550171318E-3</v>
      </c>
      <c r="L76" s="50">
        <f t="shared" si="75"/>
        <v>5.4023493938061438E-3</v>
      </c>
      <c r="M76" s="50">
        <f t="shared" si="76"/>
        <v>7.907061614257041E-3</v>
      </c>
      <c r="N76" s="50">
        <f t="shared" si="77"/>
        <v>8.4441147943173384E-3</v>
      </c>
      <c r="O76" s="52">
        <f t="shared" si="85"/>
        <v>2.8630851336886301E-3</v>
      </c>
      <c r="P76" s="52">
        <f t="shared" si="86"/>
        <v>2.5999457301036401E-3</v>
      </c>
      <c r="Q76" s="73">
        <v>55684</v>
      </c>
      <c r="R76" s="73">
        <f t="shared" si="87"/>
        <v>49739</v>
      </c>
      <c r="S76" s="73">
        <f>ROUND((P76*'Cost Pool'!$C$25),0)</f>
        <v>105423</v>
      </c>
      <c r="T76" s="73">
        <v>63031</v>
      </c>
      <c r="U76" s="73">
        <f t="shared" si="78"/>
        <v>68328</v>
      </c>
      <c r="V76" s="73">
        <f>ROUND((O76*'Cost Pool'!$D$25),0)</f>
        <v>131359</v>
      </c>
      <c r="W76" s="73">
        <f t="shared" si="88"/>
        <v>181098</v>
      </c>
    </row>
    <row r="77" spans="1:23">
      <c r="A77" s="45" t="s">
        <v>214</v>
      </c>
      <c r="B77" s="49">
        <f t="shared" si="79"/>
        <v>605</v>
      </c>
      <c r="C77" s="49" t="str">
        <f t="shared" si="71"/>
        <v>605 - Solid Waste Management Fund</v>
      </c>
      <c r="D77" s="49" t="e">
        <f t="shared" si="72"/>
        <v>#N/A</v>
      </c>
      <c r="E77" s="51">
        <f t="shared" si="80"/>
        <v>2.6965568163515533E-3</v>
      </c>
      <c r="F77" s="51">
        <f t="shared" si="81"/>
        <v>2.9226875706380474E-3</v>
      </c>
      <c r="G77" s="51">
        <f t="shared" si="82"/>
        <v>3.394568851777701E-3</v>
      </c>
      <c r="H77" s="51">
        <f t="shared" si="83"/>
        <v>3.9272094685648962E-3</v>
      </c>
      <c r="I77" s="51">
        <f t="shared" si="84"/>
        <v>3.634372862123314E-3</v>
      </c>
      <c r="J77" s="50">
        <f t="shared" si="73"/>
        <v>3.8240917782026767E-3</v>
      </c>
      <c r="K77" s="50">
        <f t="shared" si="74"/>
        <v>4.0381791483113071E-3</v>
      </c>
      <c r="L77" s="50">
        <f t="shared" si="75"/>
        <v>3.7690809724228911E-3</v>
      </c>
      <c r="M77" s="50">
        <f t="shared" si="76"/>
        <v>3.8927072562496196E-3</v>
      </c>
      <c r="N77" s="50">
        <f t="shared" si="77"/>
        <v>3.3091801220973354E-3</v>
      </c>
      <c r="O77" s="52">
        <f t="shared" si="85"/>
        <v>3.6532851581806318E-3</v>
      </c>
      <c r="P77" s="52">
        <f t="shared" si="86"/>
        <v>3.2227326346032318E-3</v>
      </c>
      <c r="Q77" s="73">
        <v>151418</v>
      </c>
      <c r="R77" s="73">
        <f t="shared" si="87"/>
        <v>-20742</v>
      </c>
      <c r="S77" s="73">
        <f>ROUND((P77*'Cost Pool'!$C$25),0)</f>
        <v>130676</v>
      </c>
      <c r="T77" s="73">
        <v>188043</v>
      </c>
      <c r="U77" s="73">
        <f t="shared" si="78"/>
        <v>-20430</v>
      </c>
      <c r="V77" s="73">
        <f>ROUND((O77*'Cost Pool'!$D$25),0)</f>
        <v>167613</v>
      </c>
      <c r="W77" s="73">
        <f t="shared" si="88"/>
        <v>146871</v>
      </c>
    </row>
    <row r="78" spans="1:23">
      <c r="A78" s="45" t="s">
        <v>215</v>
      </c>
      <c r="B78" s="49">
        <f t="shared" si="79"/>
        <v>606</v>
      </c>
      <c r="C78" s="49" t="str">
        <f t="shared" si="71"/>
        <v>606 - Parking Facilities Fund</v>
      </c>
      <c r="D78" s="49" t="e">
        <f t="shared" si="72"/>
        <v>#N/A</v>
      </c>
      <c r="E78" s="51">
        <f t="shared" si="80"/>
        <v>4.5315928978640566E-3</v>
      </c>
      <c r="F78" s="51">
        <f t="shared" si="81"/>
        <v>3.6505997687919724E-3</v>
      </c>
      <c r="G78" s="51">
        <f t="shared" si="82"/>
        <v>3.6924879009095813E-3</v>
      </c>
      <c r="H78" s="51">
        <f t="shared" si="83"/>
        <v>4.9173076492322176E-3</v>
      </c>
      <c r="I78" s="51">
        <f t="shared" si="84"/>
        <v>3.3352993612723982E-3</v>
      </c>
      <c r="J78" s="50">
        <f t="shared" si="73"/>
        <v>0</v>
      </c>
      <c r="K78" s="50">
        <f t="shared" si="74"/>
        <v>0</v>
      </c>
      <c r="L78" s="50">
        <f t="shared" si="75"/>
        <v>0</v>
      </c>
      <c r="M78" s="50">
        <f t="shared" si="76"/>
        <v>0</v>
      </c>
      <c r="N78" s="50">
        <f t="shared" si="77"/>
        <v>1.1410965938266674E-4</v>
      </c>
      <c r="O78" s="52">
        <f t="shared" si="85"/>
        <v>2.9957828661354383E-3</v>
      </c>
      <c r="P78" s="52">
        <f t="shared" si="86"/>
        <v>2.9686701418914023E-3</v>
      </c>
      <c r="Q78" s="73">
        <v>195603</v>
      </c>
      <c r="R78" s="73">
        <f t="shared" si="87"/>
        <v>-75229</v>
      </c>
      <c r="S78" s="73">
        <f>ROUND((P78*'Cost Pool'!$C$25),0)</f>
        <v>120374</v>
      </c>
      <c r="T78" s="73">
        <v>169525</v>
      </c>
      <c r="U78" s="73">
        <f t="shared" si="78"/>
        <v>-32078</v>
      </c>
      <c r="V78" s="73">
        <f>ROUND((O78*'Cost Pool'!$D$25),0)</f>
        <v>137447</v>
      </c>
      <c r="W78" s="73">
        <f t="shared" si="88"/>
        <v>62218</v>
      </c>
    </row>
    <row r="79" spans="1:23">
      <c r="A79" s="45" t="s">
        <v>216</v>
      </c>
      <c r="B79" s="49">
        <f t="shared" si="79"/>
        <v>607</v>
      </c>
      <c r="C79" s="49" t="str">
        <f t="shared" si="71"/>
        <v>607 - Spectator Facilities Operating Fund</v>
      </c>
      <c r="D79" s="49" t="e">
        <f t="shared" si="72"/>
        <v>#N/A</v>
      </c>
      <c r="E79" s="51">
        <f t="shared" si="80"/>
        <v>2.5998100153954602E-3</v>
      </c>
      <c r="F79" s="51">
        <f t="shared" si="81"/>
        <v>3.0888634025520532E-3</v>
      </c>
      <c r="G79" s="51">
        <f t="shared" si="82"/>
        <v>8.0034124849523106E-3</v>
      </c>
      <c r="H79" s="51">
        <f t="shared" si="83"/>
        <v>1.6023387704564372E-3</v>
      </c>
      <c r="I79" s="51">
        <f t="shared" si="84"/>
        <v>3.1211842650250357E-3</v>
      </c>
      <c r="J79" s="50">
        <f t="shared" si="73"/>
        <v>0</v>
      </c>
      <c r="K79" s="50">
        <f t="shared" si="74"/>
        <v>0</v>
      </c>
      <c r="L79" s="50">
        <f t="shared" si="75"/>
        <v>0</v>
      </c>
      <c r="M79" s="50">
        <f t="shared" si="76"/>
        <v>0</v>
      </c>
      <c r="N79" s="50">
        <f t="shared" si="77"/>
        <v>1.1410965938266674E-4</v>
      </c>
      <c r="O79" s="52">
        <f t="shared" si="85"/>
        <v>3.1912430183903343E-3</v>
      </c>
      <c r="P79" s="52">
        <f t="shared" si="86"/>
        <v>3.423021475724956E-3</v>
      </c>
      <c r="Q79" s="73">
        <v>180109</v>
      </c>
      <c r="R79" s="73">
        <f t="shared" si="87"/>
        <v>-41312</v>
      </c>
      <c r="S79" s="73">
        <f>ROUND((P79*'Cost Pool'!$C$25),0)</f>
        <v>138797</v>
      </c>
      <c r="T79" s="73">
        <v>197855</v>
      </c>
      <c r="U79" s="73">
        <f t="shared" si="78"/>
        <v>-51441</v>
      </c>
      <c r="V79" s="73">
        <f>ROUND((O79*'Cost Pool'!$D$25),0)</f>
        <v>146414</v>
      </c>
      <c r="W79" s="73">
        <f t="shared" si="88"/>
        <v>105102</v>
      </c>
    </row>
    <row r="80" spans="1:23">
      <c r="A80" s="45" t="s">
        <v>217</v>
      </c>
      <c r="B80" s="49">
        <f t="shared" si="79"/>
        <v>608</v>
      </c>
      <c r="C80" s="49" t="str">
        <f t="shared" si="71"/>
        <v>608 - Environmental Remediation Fund</v>
      </c>
      <c r="D80" s="49" t="e">
        <f t="shared" si="72"/>
        <v>#N/A</v>
      </c>
      <c r="E80" s="51">
        <f t="shared" si="80"/>
        <v>4.9115205594539154E-3</v>
      </c>
      <c r="F80" s="51">
        <f t="shared" si="81"/>
        <v>5.7749698127946723E-3</v>
      </c>
      <c r="G80" s="51">
        <f t="shared" si="82"/>
        <v>5.2480582501595692E-3</v>
      </c>
      <c r="H80" s="51">
        <f t="shared" si="83"/>
        <v>3.7814071044717222E-3</v>
      </c>
      <c r="I80" s="51">
        <f t="shared" si="84"/>
        <v>2.4017644211578176E-3</v>
      </c>
      <c r="J80" s="50">
        <f t="shared" si="73"/>
        <v>6.3734862970044612E-4</v>
      </c>
      <c r="K80" s="50">
        <f t="shared" si="74"/>
        <v>6.1184532550171312E-4</v>
      </c>
      <c r="L80" s="50">
        <f t="shared" si="75"/>
        <v>7.5381619448457822E-4</v>
      </c>
      <c r="M80" s="50">
        <f t="shared" si="76"/>
        <v>6.0823550878900305E-4</v>
      </c>
      <c r="N80" s="50">
        <f t="shared" si="77"/>
        <v>4.5643863753066697E-4</v>
      </c>
      <c r="O80" s="52">
        <f t="shared" si="85"/>
        <v>3.0093483056809647E-3</v>
      </c>
      <c r="P80" s="52">
        <f t="shared" si="86"/>
        <v>4.1505546680759339E-3</v>
      </c>
      <c r="Q80" s="73">
        <v>160973</v>
      </c>
      <c r="R80" s="73">
        <f t="shared" si="87"/>
        <v>7324</v>
      </c>
      <c r="S80" s="73">
        <f>ROUND((P80*'Cost Pool'!$C$25),0)</f>
        <v>168297</v>
      </c>
      <c r="T80" s="73">
        <v>170185</v>
      </c>
      <c r="U80" s="73">
        <f t="shared" si="78"/>
        <v>-32116</v>
      </c>
      <c r="V80" s="73">
        <f>ROUND((O80*'Cost Pool'!$D$25),0)</f>
        <v>138069</v>
      </c>
      <c r="W80" s="73">
        <f t="shared" si="88"/>
        <v>145393</v>
      </c>
    </row>
    <row r="81" spans="1:23" s="45" customFormat="1">
      <c r="A81" s="71" t="s">
        <v>404</v>
      </c>
      <c r="B81" s="49">
        <f t="shared" si="79"/>
        <v>600</v>
      </c>
      <c r="C81" s="49" t="str">
        <f t="shared" si="71"/>
        <v>600 - Sewer System Operating Fund</v>
      </c>
      <c r="D81" s="49" t="e">
        <f t="shared" si="72"/>
        <v>#N/A</v>
      </c>
      <c r="E81" s="51">
        <f t="shared" si="80"/>
        <v>8.6802474123916909E-6</v>
      </c>
      <c r="F81" s="51">
        <f t="shared" si="81"/>
        <v>0</v>
      </c>
      <c r="G81" s="51">
        <f t="shared" si="82"/>
        <v>0</v>
      </c>
      <c r="H81" s="51">
        <f t="shared" si="83"/>
        <v>0</v>
      </c>
      <c r="I81" s="51">
        <f t="shared" si="84"/>
        <v>0</v>
      </c>
      <c r="J81" s="50">
        <f t="shared" si="73"/>
        <v>0</v>
      </c>
      <c r="K81" s="50">
        <f t="shared" si="74"/>
        <v>0</v>
      </c>
      <c r="L81" s="50">
        <f t="shared" si="75"/>
        <v>0</v>
      </c>
      <c r="M81" s="50">
        <f t="shared" si="76"/>
        <v>0</v>
      </c>
      <c r="N81" s="50">
        <f t="shared" si="77"/>
        <v>0</v>
      </c>
      <c r="O81" s="52">
        <f t="shared" si="85"/>
        <v>0</v>
      </c>
      <c r="P81" s="52">
        <f t="shared" ref="P81" si="89">(AVERAGE(E81:G81)*0.75)+(AVERAGE(J81:L81)*0.25)</f>
        <v>2.1700618530979227E-6</v>
      </c>
      <c r="Q81" s="73"/>
      <c r="R81" s="73">
        <f t="shared" si="87"/>
        <v>88</v>
      </c>
      <c r="S81" s="73">
        <f>ROUND((P81*'Cost Pool'!$C$25),0)</f>
        <v>88</v>
      </c>
      <c r="T81" s="73"/>
      <c r="U81" s="73">
        <f t="shared" si="78"/>
        <v>0</v>
      </c>
      <c r="V81" s="73">
        <f>ROUND((O81*'Cost Pool'!$D$25),0)</f>
        <v>0</v>
      </c>
      <c r="W81" s="73">
        <f t="shared" si="88"/>
        <v>88</v>
      </c>
    </row>
    <row r="82" spans="1:23">
      <c r="A82" s="46" t="s">
        <v>328</v>
      </c>
      <c r="B82" s="49" t="str">
        <f t="shared" si="79"/>
        <v>Excluded</v>
      </c>
      <c r="C82" s="49" t="e">
        <f t="shared" si="71"/>
        <v>#N/A</v>
      </c>
      <c r="D82" s="49" t="e">
        <f t="shared" si="72"/>
        <v>#N/A</v>
      </c>
      <c r="E82" s="51">
        <f t="shared" si="80"/>
        <v>0</v>
      </c>
      <c r="F82" s="51">
        <f t="shared" si="81"/>
        <v>0</v>
      </c>
      <c r="G82" s="51">
        <f t="shared" si="82"/>
        <v>0</v>
      </c>
      <c r="H82" s="51">
        <f t="shared" si="83"/>
        <v>0</v>
      </c>
      <c r="I82" s="51">
        <f t="shared" si="84"/>
        <v>0</v>
      </c>
      <c r="J82" s="50">
        <f t="shared" si="73"/>
        <v>0</v>
      </c>
      <c r="K82" s="50">
        <f t="shared" si="74"/>
        <v>0</v>
      </c>
      <c r="L82" s="50">
        <f t="shared" si="75"/>
        <v>0</v>
      </c>
      <c r="M82" s="50">
        <f t="shared" si="76"/>
        <v>0</v>
      </c>
      <c r="N82" s="50">
        <f t="shared" si="77"/>
        <v>0</v>
      </c>
      <c r="O82" s="52">
        <f t="shared" si="85"/>
        <v>0</v>
      </c>
      <c r="P82" s="52">
        <f t="shared" si="86"/>
        <v>0</v>
      </c>
      <c r="Q82" s="73">
        <v>0</v>
      </c>
      <c r="R82" s="73">
        <f t="shared" si="87"/>
        <v>0</v>
      </c>
      <c r="S82" s="73">
        <f>ROUND((P82*'Cost Pool'!$C$25),0)</f>
        <v>0</v>
      </c>
      <c r="T82" s="73"/>
      <c r="U82" s="73">
        <f t="shared" si="78"/>
        <v>0</v>
      </c>
      <c r="V82" s="73">
        <f>ROUND((O82*'Cost Pool'!$D$25),0)</f>
        <v>0</v>
      </c>
      <c r="W82" s="73">
        <f t="shared" si="88"/>
        <v>0</v>
      </c>
    </row>
    <row r="83" spans="1:23">
      <c r="A83" s="45" t="s">
        <v>218</v>
      </c>
      <c r="B83" s="49">
        <f t="shared" si="79"/>
        <v>700</v>
      </c>
      <c r="C83" s="49" t="str">
        <f t="shared" si="71"/>
        <v>700 - Health Insurance Operating Fund</v>
      </c>
      <c r="D83" s="49" t="e">
        <f t="shared" si="72"/>
        <v>#N/A</v>
      </c>
      <c r="E83" s="51">
        <f t="shared" si="80"/>
        <v>4.6306289301716206E-3</v>
      </c>
      <c r="F83" s="51">
        <f t="shared" si="81"/>
        <v>4.290468946361356E-3</v>
      </c>
      <c r="G83" s="51">
        <f t="shared" si="82"/>
        <v>5.2232292038694936E-3</v>
      </c>
      <c r="H83" s="51">
        <f t="shared" si="83"/>
        <v>4.954923952352583E-3</v>
      </c>
      <c r="I83" s="51">
        <f t="shared" si="84"/>
        <v>4.9312629163589744E-3</v>
      </c>
      <c r="J83" s="50">
        <f t="shared" si="73"/>
        <v>1.2746972594008922E-3</v>
      </c>
      <c r="K83" s="50">
        <f t="shared" si="74"/>
        <v>1.3460597161037689E-3</v>
      </c>
      <c r="L83" s="50">
        <f t="shared" si="75"/>
        <v>1.5076323889691564E-3</v>
      </c>
      <c r="M83" s="50">
        <f t="shared" si="76"/>
        <v>1.3381181193358068E-3</v>
      </c>
      <c r="N83" s="50">
        <f t="shared" si="77"/>
        <v>1.2552062532093342E-3</v>
      </c>
      <c r="O83" s="52">
        <f t="shared" si="85"/>
        <v>4.1191004149381209E-3</v>
      </c>
      <c r="P83" s="52">
        <f t="shared" si="86"/>
        <v>3.8801142171401024E-3</v>
      </c>
      <c r="Q83" s="73">
        <v>77033</v>
      </c>
      <c r="R83" s="73">
        <f t="shared" si="87"/>
        <v>80298</v>
      </c>
      <c r="S83" s="73">
        <f>ROUND((P83*'Cost Pool'!$C$25),0)</f>
        <v>157331</v>
      </c>
      <c r="T83" s="73">
        <v>88889</v>
      </c>
      <c r="U83" s="73">
        <f t="shared" si="78"/>
        <v>100096</v>
      </c>
      <c r="V83" s="73">
        <f>ROUND((O83*'Cost Pool'!$D$25),0)</f>
        <v>188985</v>
      </c>
      <c r="W83" s="73">
        <f t="shared" si="88"/>
        <v>269283</v>
      </c>
    </row>
    <row r="84" spans="1:23">
      <c r="A84" s="45" t="s">
        <v>219</v>
      </c>
      <c r="B84" s="49">
        <f t="shared" si="79"/>
        <v>701</v>
      </c>
      <c r="C84" s="49" t="str">
        <f t="shared" si="71"/>
        <v>701 - Facilities Services Operating Fund</v>
      </c>
      <c r="D84" s="49" t="e">
        <f t="shared" si="72"/>
        <v>#N/A</v>
      </c>
      <c r="E84" s="51">
        <f t="shared" si="80"/>
        <v>2.1681391930083616E-2</v>
      </c>
      <c r="F84" s="51">
        <f t="shared" si="81"/>
        <v>2.1793354017576743E-2</v>
      </c>
      <c r="G84" s="51">
        <f t="shared" si="82"/>
        <v>1.8602502864883023E-2</v>
      </c>
      <c r="H84" s="51">
        <f t="shared" si="83"/>
        <v>2.4454636777594439E-2</v>
      </c>
      <c r="I84" s="51">
        <f t="shared" si="84"/>
        <v>2.175161608846634E-2</v>
      </c>
      <c r="J84" s="50">
        <f t="shared" si="73"/>
        <v>4.5889101338432124E-3</v>
      </c>
      <c r="K84" s="50">
        <f t="shared" si="74"/>
        <v>4.5276554087126776E-3</v>
      </c>
      <c r="L84" s="50">
        <f t="shared" si="75"/>
        <v>4.5228971669074693E-3</v>
      </c>
      <c r="M84" s="50">
        <f t="shared" si="76"/>
        <v>4.5009427650386227E-3</v>
      </c>
      <c r="N84" s="50">
        <f t="shared" si="77"/>
        <v>3.9938380783933356E-3</v>
      </c>
      <c r="O84" s="52">
        <f t="shared" si="85"/>
        <v>1.728699543359757E-2</v>
      </c>
      <c r="P84" s="52">
        <f t="shared" si="86"/>
        <v>1.6655934095591126E-2</v>
      </c>
      <c r="Q84" s="73">
        <v>813820</v>
      </c>
      <c r="R84" s="73">
        <f t="shared" si="87"/>
        <v>-138454</v>
      </c>
      <c r="S84" s="73">
        <f>ROUND((P84*'Cost Pool'!$C$25),0)</f>
        <v>675366</v>
      </c>
      <c r="T84" s="73">
        <v>870715</v>
      </c>
      <c r="U84" s="73">
        <f t="shared" si="78"/>
        <v>-77586</v>
      </c>
      <c r="V84" s="73">
        <f>ROUND((O84*'Cost Pool'!$D$25),0)</f>
        <v>793129</v>
      </c>
      <c r="W84" s="73">
        <f t="shared" si="88"/>
        <v>654675</v>
      </c>
    </row>
    <row r="85" spans="1:23">
      <c r="A85" s="45" t="s">
        <v>220</v>
      </c>
      <c r="B85" s="49">
        <f t="shared" si="79"/>
        <v>702</v>
      </c>
      <c r="C85" s="49" t="str">
        <f t="shared" si="71"/>
        <v>702 - CityFleet Operating Fund</v>
      </c>
      <c r="D85" s="49" t="e">
        <f t="shared" si="72"/>
        <v>#N/A</v>
      </c>
      <c r="E85" s="51">
        <f t="shared" si="80"/>
        <v>2.7904138893826421E-2</v>
      </c>
      <c r="F85" s="51">
        <f t="shared" si="81"/>
        <v>2.178524207723655E-2</v>
      </c>
      <c r="G85" s="51">
        <f t="shared" si="82"/>
        <v>2.3580400983376125E-2</v>
      </c>
      <c r="H85" s="51">
        <f t="shared" si="83"/>
        <v>2.3384180734270198E-2</v>
      </c>
      <c r="I85" s="51">
        <f t="shared" si="84"/>
        <v>2.2542773017319617E-2</v>
      </c>
      <c r="J85" s="50">
        <f t="shared" si="73"/>
        <v>9.8151688973868705E-3</v>
      </c>
      <c r="K85" s="50">
        <f t="shared" si="74"/>
        <v>9.7895252080274098E-3</v>
      </c>
      <c r="L85" s="50">
        <f t="shared" si="75"/>
        <v>9.7996105282995155E-3</v>
      </c>
      <c r="M85" s="50">
        <f t="shared" si="76"/>
        <v>9.366826835350648E-3</v>
      </c>
      <c r="N85" s="50">
        <f t="shared" si="77"/>
        <v>8.7864437724653396E-3</v>
      </c>
      <c r="O85" s="52">
        <f t="shared" si="85"/>
        <v>1.9706245445084446E-2</v>
      </c>
      <c r="P85" s="52">
        <f t="shared" si="86"/>
        <v>2.0767804208085921E-2</v>
      </c>
      <c r="Q85" s="73">
        <v>781119</v>
      </c>
      <c r="R85" s="73">
        <f t="shared" si="87"/>
        <v>60976</v>
      </c>
      <c r="S85" s="73">
        <f>ROUND((P85*'Cost Pool'!$C$25),0)</f>
        <v>842095</v>
      </c>
      <c r="T85" s="73">
        <v>966077</v>
      </c>
      <c r="U85" s="73">
        <f t="shared" si="78"/>
        <v>-61953</v>
      </c>
      <c r="V85" s="73">
        <f>ROUND((O85*'Cost Pool'!$D$25),0)</f>
        <v>904124</v>
      </c>
      <c r="W85" s="73">
        <f t="shared" si="88"/>
        <v>965100</v>
      </c>
    </row>
    <row r="86" spans="1:23">
      <c r="A86" s="45" t="s">
        <v>221</v>
      </c>
      <c r="B86" s="49">
        <f t="shared" si="79"/>
        <v>703</v>
      </c>
      <c r="C86" s="49" t="str">
        <f t="shared" si="71"/>
        <v>703 - Printing &amp; Distribution Services Operating Fund</v>
      </c>
      <c r="D86" s="49" t="e">
        <f t="shared" si="72"/>
        <v>#N/A</v>
      </c>
      <c r="E86" s="51">
        <f t="shared" si="80"/>
        <v>6.9855535710427368E-3</v>
      </c>
      <c r="F86" s="51">
        <f t="shared" si="81"/>
        <v>6.6605851212981097E-3</v>
      </c>
      <c r="G86" s="51">
        <f t="shared" si="82"/>
        <v>6.1196637792321536E-3</v>
      </c>
      <c r="H86" s="51">
        <f t="shared" si="83"/>
        <v>6.196452986587696E-3</v>
      </c>
      <c r="I86" s="51">
        <f t="shared" si="84"/>
        <v>5.4654186674128269E-3</v>
      </c>
      <c r="J86" s="50">
        <f t="shared" si="73"/>
        <v>3.6966220522625876E-3</v>
      </c>
      <c r="K86" s="50">
        <f t="shared" si="74"/>
        <v>3.6710719530102789E-3</v>
      </c>
      <c r="L86" s="50">
        <f t="shared" si="75"/>
        <v>3.6434449400087944E-3</v>
      </c>
      <c r="M86" s="50">
        <f t="shared" si="76"/>
        <v>3.1628246457028161E-3</v>
      </c>
      <c r="N86" s="50">
        <f t="shared" si="77"/>
        <v>2.7386318251840019E-3</v>
      </c>
      <c r="O86" s="52">
        <f t="shared" si="85"/>
        <v>5.2407923092161364E-3</v>
      </c>
      <c r="P86" s="52">
        <f t="shared" si="86"/>
        <v>5.8590455300000554E-3</v>
      </c>
      <c r="Q86" s="73">
        <v>226844</v>
      </c>
      <c r="R86" s="73">
        <f t="shared" si="87"/>
        <v>10729</v>
      </c>
      <c r="S86" s="73">
        <f>ROUND((P86*'Cost Pool'!$C$25),0)</f>
        <v>237573</v>
      </c>
      <c r="T86" s="73">
        <v>255395</v>
      </c>
      <c r="U86" s="73">
        <f t="shared" si="78"/>
        <v>-14947</v>
      </c>
      <c r="V86" s="73">
        <f>ROUND((O86*'Cost Pool'!$D$25),0)</f>
        <v>240448</v>
      </c>
      <c r="W86" s="73">
        <f t="shared" si="88"/>
        <v>251177</v>
      </c>
    </row>
    <row r="87" spans="1:23">
      <c r="A87" s="45" t="s">
        <v>222</v>
      </c>
      <c r="B87" s="49">
        <f t="shared" si="79"/>
        <v>704</v>
      </c>
      <c r="C87" s="49" t="str">
        <f t="shared" si="71"/>
        <v>704 - Insurance and Claims Operating Fund</v>
      </c>
      <c r="D87" s="49" t="e">
        <f t="shared" si="72"/>
        <v>#N/A</v>
      </c>
      <c r="E87" s="51">
        <f t="shared" si="80"/>
        <v>5.2626451004097342E-3</v>
      </c>
      <c r="F87" s="51">
        <f t="shared" si="81"/>
        <v>7.2819439671780927E-3</v>
      </c>
      <c r="G87" s="51">
        <f t="shared" si="82"/>
        <v>5.8995125378509053E-3</v>
      </c>
      <c r="H87" s="51">
        <f t="shared" si="83"/>
        <v>7.2372980604265089E-3</v>
      </c>
      <c r="I87" s="51">
        <f t="shared" si="84"/>
        <v>5.0496475262989306E-3</v>
      </c>
      <c r="J87" s="50">
        <f t="shared" si="73"/>
        <v>1.9120458891013384E-3</v>
      </c>
      <c r="K87" s="50">
        <f t="shared" si="74"/>
        <v>1.8355359765051395E-3</v>
      </c>
      <c r="L87" s="50">
        <f t="shared" si="75"/>
        <v>1.758904453797349E-3</v>
      </c>
      <c r="M87" s="50">
        <f t="shared" si="76"/>
        <v>1.8247065263670094E-3</v>
      </c>
      <c r="N87" s="50">
        <f t="shared" si="77"/>
        <v>1.5975352313573343E-3</v>
      </c>
      <c r="O87" s="52">
        <f t="shared" si="85"/>
        <v>4.9783767154375604E-3</v>
      </c>
      <c r="P87" s="52">
        <f t="shared" si="86"/>
        <v>5.0698992613100015E-3</v>
      </c>
      <c r="Q87" s="73">
        <v>251835</v>
      </c>
      <c r="R87" s="73">
        <f t="shared" si="87"/>
        <v>-46260</v>
      </c>
      <c r="S87" s="73">
        <f>ROUND((P87*'Cost Pool'!$C$25),0)</f>
        <v>205575</v>
      </c>
      <c r="T87" s="73">
        <v>269709</v>
      </c>
      <c r="U87" s="73">
        <f t="shared" si="78"/>
        <v>-41301</v>
      </c>
      <c r="V87" s="73">
        <f>ROUND((O87*'Cost Pool'!$D$25),0)</f>
        <v>228408</v>
      </c>
      <c r="W87" s="73">
        <f t="shared" si="88"/>
        <v>182148</v>
      </c>
    </row>
    <row r="88" spans="1:23">
      <c r="A88" s="45" t="s">
        <v>223</v>
      </c>
      <c r="B88" s="49">
        <f t="shared" si="79"/>
        <v>705</v>
      </c>
      <c r="C88" s="49" t="str">
        <f t="shared" si="71"/>
        <v>705 - Workers' Comp. Self Insurance Operating Fund</v>
      </c>
      <c r="D88" s="49" t="e">
        <f t="shared" si="72"/>
        <v>#N/A</v>
      </c>
      <c r="E88" s="51">
        <f t="shared" si="80"/>
        <v>3.7818949353852107E-3</v>
      </c>
      <c r="F88" s="51">
        <f t="shared" si="81"/>
        <v>4.1454191100129493E-3</v>
      </c>
      <c r="G88" s="51">
        <f t="shared" si="82"/>
        <v>3.9956459662348872E-3</v>
      </c>
      <c r="H88" s="51">
        <f t="shared" si="83"/>
        <v>3.9275735516779951E-3</v>
      </c>
      <c r="I88" s="51">
        <f t="shared" si="84"/>
        <v>3.7107159370046222E-3</v>
      </c>
      <c r="J88" s="50">
        <f t="shared" si="73"/>
        <v>1.0197578075207138E-3</v>
      </c>
      <c r="K88" s="50">
        <f t="shared" si="74"/>
        <v>7.3421439060205576E-4</v>
      </c>
      <c r="L88" s="50">
        <f t="shared" si="75"/>
        <v>8.7945222689867451E-4</v>
      </c>
      <c r="M88" s="50">
        <f t="shared" si="76"/>
        <v>8.5152971230460436E-4</v>
      </c>
      <c r="N88" s="50">
        <f t="shared" si="77"/>
        <v>7.9876761567866715E-4</v>
      </c>
      <c r="O88" s="52">
        <f t="shared" si="85"/>
        <v>3.1192963266362048E-3</v>
      </c>
      <c r="P88" s="52">
        <f t="shared" si="86"/>
        <v>3.2001920383267156E-3</v>
      </c>
      <c r="Q88" s="73">
        <v>128504</v>
      </c>
      <c r="R88" s="73">
        <f t="shared" si="87"/>
        <v>1258</v>
      </c>
      <c r="S88" s="73">
        <f>ROUND((P88*'Cost Pool'!$C$25),0)</f>
        <v>129762</v>
      </c>
      <c r="T88" s="73">
        <v>146759</v>
      </c>
      <c r="U88" s="73">
        <f t="shared" si="78"/>
        <v>-3645</v>
      </c>
      <c r="V88" s="73">
        <f>ROUND((O88*'Cost Pool'!$D$25),0)</f>
        <v>143114</v>
      </c>
      <c r="W88" s="73">
        <f t="shared" si="88"/>
        <v>144372</v>
      </c>
    </row>
    <row r="89" spans="1:23">
      <c r="A89" s="45" t="s">
        <v>224</v>
      </c>
      <c r="B89" s="49">
        <f t="shared" si="79"/>
        <v>706</v>
      </c>
      <c r="C89" s="49" t="str">
        <f t="shared" si="71"/>
        <v>706 - Technology Services Fund</v>
      </c>
      <c r="D89" s="49" t="e">
        <f t="shared" si="72"/>
        <v>#N/A</v>
      </c>
      <c r="E89" s="51">
        <f t="shared" si="80"/>
        <v>5.6439074015322423E-2</v>
      </c>
      <c r="F89" s="51">
        <f t="shared" si="81"/>
        <v>4.1097706554719581E-2</v>
      </c>
      <c r="G89" s="51">
        <f t="shared" si="82"/>
        <v>3.7828661211779392E-2</v>
      </c>
      <c r="H89" s="51">
        <f t="shared" si="83"/>
        <v>4.37912060949118E-2</v>
      </c>
      <c r="I89" s="51">
        <f t="shared" si="84"/>
        <v>4.2350596609039538E-2</v>
      </c>
      <c r="J89" s="50">
        <f t="shared" si="73"/>
        <v>3.0720203951561505E-2</v>
      </c>
      <c r="K89" s="50">
        <f t="shared" si="74"/>
        <v>2.9246206558981889E-2</v>
      </c>
      <c r="L89" s="50">
        <f t="shared" si="75"/>
        <v>2.9147559520070355E-2</v>
      </c>
      <c r="M89" s="50">
        <f t="shared" si="76"/>
        <v>2.7735539200778543E-2</v>
      </c>
      <c r="N89" s="50">
        <f t="shared" si="77"/>
        <v>2.4419467107890683E-2</v>
      </c>
      <c r="O89" s="52">
        <f t="shared" si="85"/>
        <v>3.7767829797994312E-2</v>
      </c>
      <c r="P89" s="52">
        <f t="shared" si="86"/>
        <v>4.1267524614673159E-2</v>
      </c>
      <c r="Q89" s="73">
        <v>1590788</v>
      </c>
      <c r="R89" s="73">
        <f t="shared" si="87"/>
        <v>82531</v>
      </c>
      <c r="S89" s="73">
        <f>ROUND((P89*'Cost Pool'!$C$25),0)</f>
        <v>1673319</v>
      </c>
      <c r="T89" s="73">
        <v>1788183</v>
      </c>
      <c r="U89" s="73">
        <f t="shared" si="78"/>
        <v>-55392</v>
      </c>
      <c r="V89" s="73">
        <f>ROUND((O89*'Cost Pool'!$D$25),0)</f>
        <v>1732791</v>
      </c>
      <c r="W89" s="73">
        <f t="shared" si="88"/>
        <v>1815322</v>
      </c>
    </row>
    <row r="90" spans="1:23">
      <c r="A90" s="45" t="s">
        <v>225</v>
      </c>
      <c r="B90" s="49">
        <f t="shared" si="79"/>
        <v>708</v>
      </c>
      <c r="C90" s="49" t="str">
        <f t="shared" si="71"/>
        <v>708 - EBS Services Fund</v>
      </c>
      <c r="D90" s="49" t="e">
        <f t="shared" si="72"/>
        <v>#N/A</v>
      </c>
      <c r="E90" s="51">
        <f t="shared" si="80"/>
        <v>5.9264962987170514E-4</v>
      </c>
      <c r="F90" s="51">
        <f t="shared" si="81"/>
        <v>6.0978047443903637E-3</v>
      </c>
      <c r="G90" s="51">
        <f t="shared" si="82"/>
        <v>3.0234396329917022E-3</v>
      </c>
      <c r="H90" s="51">
        <f t="shared" si="83"/>
        <v>4.1835239801867909E-3</v>
      </c>
      <c r="I90" s="51">
        <f t="shared" si="84"/>
        <v>4.2864572423265239E-3</v>
      </c>
      <c r="J90" s="50">
        <f t="shared" si="73"/>
        <v>0</v>
      </c>
      <c r="K90" s="50">
        <f t="shared" si="74"/>
        <v>2.4473813020068525E-3</v>
      </c>
      <c r="L90" s="50">
        <f t="shared" si="75"/>
        <v>2.8896287455242161E-3</v>
      </c>
      <c r="M90" s="50">
        <f t="shared" si="76"/>
        <v>2.4329420351560122E-3</v>
      </c>
      <c r="N90" s="50">
        <f t="shared" si="77"/>
        <v>2.3963028470360016E-3</v>
      </c>
      <c r="O90" s="52">
        <f t="shared" si="85"/>
        <v>3.5165946828526065E-3</v>
      </c>
      <c r="P90" s="52">
        <f t="shared" si="86"/>
        <v>2.8732243391076987E-3</v>
      </c>
      <c r="Q90" s="73">
        <v>246475</v>
      </c>
      <c r="R90" s="73">
        <f t="shared" si="87"/>
        <v>-129971</v>
      </c>
      <c r="S90" s="73">
        <f>ROUND((P90*'Cost Pool'!$C$25),0)</f>
        <v>116504</v>
      </c>
      <c r="T90" s="73">
        <v>210491</v>
      </c>
      <c r="U90" s="73">
        <f t="shared" si="78"/>
        <v>-49149</v>
      </c>
      <c r="V90" s="73">
        <f>ROUND((O90*'Cost Pool'!$D$25),0)</f>
        <v>161342</v>
      </c>
      <c r="W90" s="73">
        <f t="shared" si="88"/>
        <v>31371</v>
      </c>
    </row>
    <row r="91" spans="1:23">
      <c r="A91" s="45" t="s">
        <v>226</v>
      </c>
      <c r="B91" s="49">
        <f t="shared" si="79"/>
        <v>800</v>
      </c>
      <c r="C91" s="49" t="str">
        <f t="shared" si="71"/>
        <v>800 - Fire &amp; Police Disability &amp; Retirement Fund</v>
      </c>
      <c r="D91" s="49" t="e">
        <f t="shared" si="72"/>
        <v>#N/A</v>
      </c>
      <c r="E91" s="51">
        <f t="shared" si="80"/>
        <v>2.7243442009155065E-3</v>
      </c>
      <c r="F91" s="51">
        <f t="shared" si="81"/>
        <v>2.4421314896316288E-3</v>
      </c>
      <c r="G91" s="51">
        <f t="shared" si="82"/>
        <v>2.6193048307526722E-3</v>
      </c>
      <c r="H91" s="51">
        <f t="shared" si="83"/>
        <v>2.8210755275835473E-3</v>
      </c>
      <c r="I91" s="51">
        <f t="shared" si="84"/>
        <v>2.5980829958852781E-3</v>
      </c>
      <c r="J91" s="50">
        <f t="shared" si="73"/>
        <v>2.1669853409815171E-3</v>
      </c>
      <c r="K91" s="50">
        <f t="shared" si="74"/>
        <v>2.0802741067058247E-3</v>
      </c>
      <c r="L91" s="50">
        <f t="shared" si="75"/>
        <v>2.2614485834537346E-3</v>
      </c>
      <c r="M91" s="50">
        <f t="shared" si="76"/>
        <v>2.1896478316404113E-3</v>
      </c>
      <c r="N91" s="50">
        <f t="shared" si="77"/>
        <v>2.168083528270668E-3</v>
      </c>
      <c r="O91" s="52">
        <f t="shared" si="85"/>
        <v>2.5612141671691093E-3</v>
      </c>
      <c r="P91" s="52">
        <f t="shared" si="86"/>
        <v>2.4888374662533751E-3</v>
      </c>
      <c r="Q91" s="73">
        <v>85706</v>
      </c>
      <c r="R91" s="73">
        <f t="shared" si="87"/>
        <v>15212</v>
      </c>
      <c r="S91" s="73">
        <f>ROUND((P91*'Cost Pool'!$C$25),0)</f>
        <v>100918</v>
      </c>
      <c r="T91" s="73">
        <v>96883</v>
      </c>
      <c r="U91" s="73">
        <f t="shared" si="78"/>
        <v>20626</v>
      </c>
      <c r="V91" s="73">
        <f>ROUND((O91*'Cost Pool'!$D$25),0)</f>
        <v>117509</v>
      </c>
      <c r="W91" s="73">
        <f t="shared" si="88"/>
        <v>132721</v>
      </c>
    </row>
    <row r="92" spans="1:23">
      <c r="A92" s="45" t="s">
        <v>227</v>
      </c>
      <c r="B92" s="49" t="str">
        <f t="shared" si="79"/>
        <v>Excluded</v>
      </c>
      <c r="C92" s="49" t="e">
        <f t="shared" si="71"/>
        <v>#N/A</v>
      </c>
      <c r="D92" s="49" t="e">
        <f t="shared" si="72"/>
        <v>#N/A</v>
      </c>
      <c r="E92" s="51">
        <f t="shared" si="80"/>
        <v>0</v>
      </c>
      <c r="F92" s="51">
        <f t="shared" si="81"/>
        <v>0</v>
      </c>
      <c r="G92" s="51">
        <f t="shared" si="82"/>
        <v>0</v>
      </c>
      <c r="H92" s="51">
        <f t="shared" si="83"/>
        <v>0</v>
      </c>
      <c r="I92" s="51">
        <f t="shared" si="84"/>
        <v>0</v>
      </c>
      <c r="J92" s="50">
        <f t="shared" si="73"/>
        <v>0</v>
      </c>
      <c r="K92" s="50">
        <f t="shared" si="74"/>
        <v>0</v>
      </c>
      <c r="L92" s="50">
        <f t="shared" si="75"/>
        <v>0</v>
      </c>
      <c r="M92" s="50">
        <f t="shared" si="76"/>
        <v>0</v>
      </c>
      <c r="N92" s="50">
        <f t="shared" si="77"/>
        <v>0</v>
      </c>
      <c r="O92" s="52">
        <f t="shared" si="85"/>
        <v>0</v>
      </c>
      <c r="P92" s="52">
        <f t="shared" si="86"/>
        <v>0</v>
      </c>
      <c r="Q92" s="73"/>
      <c r="R92" s="73">
        <f t="shared" si="87"/>
        <v>0</v>
      </c>
      <c r="S92" s="73">
        <f>ROUND((P92*'Cost Pool'!$C$25),0)</f>
        <v>0</v>
      </c>
      <c r="T92" s="73">
        <v>0</v>
      </c>
      <c r="U92" s="73">
        <f t="shared" si="78"/>
        <v>0</v>
      </c>
      <c r="V92" s="73">
        <f>ROUND((O92*'Cost Pool'!$D$25),0)</f>
        <v>0</v>
      </c>
      <c r="W92" s="73">
        <f t="shared" si="88"/>
        <v>0</v>
      </c>
    </row>
    <row r="93" spans="1:23">
      <c r="A93" s="45"/>
      <c r="B93" s="45"/>
      <c r="C93" s="45"/>
      <c r="D93" s="45"/>
      <c r="E93" s="48">
        <f>SUM(E2:E92)</f>
        <v>0.99999999999999967</v>
      </c>
      <c r="F93" s="48">
        <f t="shared" ref="F93:P93" si="90">SUM(F2:F92)</f>
        <v>1.0000000000000002</v>
      </c>
      <c r="G93" s="48">
        <f t="shared" si="90"/>
        <v>1</v>
      </c>
      <c r="H93" s="48">
        <f t="shared" si="90"/>
        <v>1.0000000000000002</v>
      </c>
      <c r="I93" s="48">
        <f t="shared" si="90"/>
        <v>0.99999999999999989</v>
      </c>
      <c r="J93" s="48">
        <f t="shared" si="90"/>
        <v>1.0000000000000002</v>
      </c>
      <c r="K93" s="48">
        <f t="shared" si="90"/>
        <v>1</v>
      </c>
      <c r="L93" s="48">
        <f t="shared" si="90"/>
        <v>0.99999999999999989</v>
      </c>
      <c r="M93" s="48">
        <f t="shared" si="90"/>
        <v>0.99999999999999978</v>
      </c>
      <c r="N93" s="48">
        <f t="shared" si="90"/>
        <v>0.99999999999999989</v>
      </c>
      <c r="O93" s="48">
        <f>SUM(O2:O92)</f>
        <v>1</v>
      </c>
      <c r="P93" s="48">
        <f t="shared" si="90"/>
        <v>1.0000000000000002</v>
      </c>
      <c r="Q93" s="47"/>
      <c r="R93" s="45"/>
      <c r="S93" s="45"/>
    </row>
    <row r="94" spans="1:23">
      <c r="Q94" s="11"/>
    </row>
    <row r="100" spans="1:19">
      <c r="A100" s="45"/>
      <c r="B100" s="45"/>
      <c r="C100" s="45"/>
      <c r="D100" s="45"/>
      <c r="E100" s="53"/>
      <c r="F100" s="53"/>
      <c r="G100" s="53"/>
      <c r="H100" s="53"/>
      <c r="I100" s="53"/>
      <c r="J100" s="45"/>
      <c r="K100" s="45"/>
      <c r="L100" s="45"/>
      <c r="O100" s="45"/>
      <c r="Q100" s="45"/>
      <c r="R100" s="45"/>
      <c r="S100" s="45"/>
    </row>
    <row r="101" spans="1:19">
      <c r="A101" s="45"/>
      <c r="B101" s="45"/>
      <c r="C101" s="45"/>
      <c r="D101" s="45"/>
      <c r="E101" s="53"/>
      <c r="F101" s="53"/>
      <c r="G101" s="53"/>
      <c r="H101" s="53"/>
      <c r="I101" s="53"/>
      <c r="J101" s="45"/>
      <c r="K101" s="45"/>
      <c r="L101" s="45"/>
      <c r="O101" s="45"/>
      <c r="Q101" s="45"/>
      <c r="R101" s="45"/>
      <c r="S101" s="45"/>
    </row>
    <row r="102" spans="1:19">
      <c r="E102" s="53"/>
      <c r="F102" s="53"/>
      <c r="G102" s="53"/>
      <c r="H102" s="53"/>
      <c r="I102" s="53"/>
    </row>
    <row r="103" spans="1:19">
      <c r="E103" s="53"/>
      <c r="F103" s="53"/>
      <c r="G103" s="53"/>
      <c r="H103" s="53"/>
      <c r="I103" s="53"/>
    </row>
  </sheetData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I100"/>
  <sheetViews>
    <sheetView topLeftCell="A34" workbookViewId="0">
      <selection activeCell="C57" sqref="C57"/>
    </sheetView>
  </sheetViews>
  <sheetFormatPr defaultRowHeight="13.2"/>
  <cols>
    <col min="1" max="1" width="15.88671875" style="70" bestFit="1" customWidth="1"/>
    <col min="2" max="2" width="13.33203125" style="70" bestFit="1" customWidth="1"/>
    <col min="3" max="3" width="39.5546875" style="59" customWidth="1"/>
    <col min="5" max="5" width="5.44140625" bestFit="1" customWidth="1"/>
    <col min="6" max="6" width="42.21875" bestFit="1" customWidth="1"/>
    <col min="8" max="8" width="7.33203125" bestFit="1" customWidth="1"/>
    <col min="9" max="9" width="39.77734375" bestFit="1" customWidth="1"/>
  </cols>
  <sheetData>
    <row r="1" spans="1:9">
      <c r="A1" s="91" t="s">
        <v>339</v>
      </c>
      <c r="B1" s="92"/>
      <c r="E1" s="93" t="s">
        <v>337</v>
      </c>
      <c r="F1" s="94"/>
      <c r="H1" s="93" t="s">
        <v>338</v>
      </c>
      <c r="I1" s="94"/>
    </row>
    <row r="2" spans="1:9">
      <c r="A2" s="60" t="s">
        <v>330</v>
      </c>
      <c r="B2" s="60" t="s">
        <v>317</v>
      </c>
      <c r="C2" s="61" t="s">
        <v>346</v>
      </c>
      <c r="E2" s="2" t="s">
        <v>149</v>
      </c>
      <c r="F2" s="2" t="s">
        <v>150</v>
      </c>
      <c r="H2" s="4" t="s">
        <v>152</v>
      </c>
      <c r="I2" s="4" t="s">
        <v>151</v>
      </c>
    </row>
    <row r="3" spans="1:9">
      <c r="A3" s="62" t="s">
        <v>163</v>
      </c>
      <c r="B3" s="62" t="s">
        <v>163</v>
      </c>
      <c r="C3" s="59" t="s">
        <v>432</v>
      </c>
      <c r="E3" s="3" t="s">
        <v>2</v>
      </c>
      <c r="F3" s="3" t="s">
        <v>3</v>
      </c>
      <c r="H3" s="5" t="s">
        <v>28</v>
      </c>
      <c r="I3" s="5" t="s">
        <v>29</v>
      </c>
    </row>
    <row r="4" spans="1:9">
      <c r="A4" s="62" t="s">
        <v>164</v>
      </c>
      <c r="B4" s="62" t="s">
        <v>164</v>
      </c>
      <c r="C4" s="59" t="s">
        <v>432</v>
      </c>
      <c r="E4" s="3" t="s">
        <v>48</v>
      </c>
      <c r="F4" s="3" t="s">
        <v>49</v>
      </c>
      <c r="H4" s="5" t="s">
        <v>30</v>
      </c>
      <c r="I4" s="5" t="s">
        <v>31</v>
      </c>
    </row>
    <row r="5" spans="1:9">
      <c r="A5" s="62" t="s">
        <v>345</v>
      </c>
      <c r="B5" s="62" t="s">
        <v>345</v>
      </c>
      <c r="C5" s="67" t="s">
        <v>432</v>
      </c>
      <c r="E5" s="3" t="s">
        <v>229</v>
      </c>
      <c r="F5" s="3" t="s">
        <v>230</v>
      </c>
      <c r="H5" s="5" t="s">
        <v>314</v>
      </c>
      <c r="I5" s="5" t="s">
        <v>315</v>
      </c>
    </row>
    <row r="6" spans="1:9">
      <c r="A6" s="62" t="s">
        <v>158</v>
      </c>
      <c r="B6" s="64" t="s">
        <v>161</v>
      </c>
      <c r="E6" s="3" t="s">
        <v>52</v>
      </c>
      <c r="F6" s="3" t="s">
        <v>53</v>
      </c>
      <c r="H6" s="5" t="s">
        <v>14</v>
      </c>
      <c r="I6" s="5" t="s">
        <v>15</v>
      </c>
    </row>
    <row r="7" spans="1:9">
      <c r="A7" s="62" t="s">
        <v>166</v>
      </c>
      <c r="B7" s="62" t="s">
        <v>166</v>
      </c>
      <c r="C7" s="67" t="s">
        <v>432</v>
      </c>
      <c r="E7" s="3" t="s">
        <v>56</v>
      </c>
      <c r="F7" s="3" t="s">
        <v>57</v>
      </c>
      <c r="H7" s="5" t="s">
        <v>135</v>
      </c>
      <c r="I7" s="5" t="s">
        <v>136</v>
      </c>
    </row>
    <row r="8" spans="1:9">
      <c r="A8" s="62" t="s">
        <v>430</v>
      </c>
      <c r="B8" s="64" t="s">
        <v>329</v>
      </c>
      <c r="E8" s="3" t="s">
        <v>60</v>
      </c>
      <c r="F8" s="3" t="s">
        <v>61</v>
      </c>
      <c r="H8" s="5" t="s">
        <v>58</v>
      </c>
      <c r="I8" s="5" t="s">
        <v>59</v>
      </c>
    </row>
    <row r="9" spans="1:9" ht="26.4">
      <c r="A9" s="62" t="s">
        <v>167</v>
      </c>
      <c r="B9" s="62" t="s">
        <v>167</v>
      </c>
      <c r="C9" s="65" t="s">
        <v>348</v>
      </c>
      <c r="E9" s="3" t="s">
        <v>231</v>
      </c>
      <c r="F9" s="3" t="s">
        <v>232</v>
      </c>
      <c r="H9" s="5" t="s">
        <v>54</v>
      </c>
      <c r="I9" s="5" t="s">
        <v>55</v>
      </c>
    </row>
    <row r="10" spans="1:9">
      <c r="A10" s="62" t="s">
        <v>159</v>
      </c>
      <c r="B10" s="62" t="s">
        <v>159</v>
      </c>
      <c r="C10" s="67" t="s">
        <v>432</v>
      </c>
      <c r="E10" s="3" t="s">
        <v>62</v>
      </c>
      <c r="F10" s="3" t="s">
        <v>450</v>
      </c>
      <c r="H10" s="5" t="s">
        <v>34</v>
      </c>
      <c r="I10" s="5" t="s">
        <v>35</v>
      </c>
    </row>
    <row r="11" spans="1:9">
      <c r="A11" s="62" t="s">
        <v>168</v>
      </c>
      <c r="B11" s="62" t="s">
        <v>168</v>
      </c>
      <c r="C11" s="63"/>
      <c r="E11" s="3" t="s">
        <v>233</v>
      </c>
      <c r="F11" s="3" t="s">
        <v>234</v>
      </c>
      <c r="H11" s="5" t="s">
        <v>76</v>
      </c>
      <c r="I11" s="5" t="s">
        <v>77</v>
      </c>
    </row>
    <row r="12" spans="1:9">
      <c r="A12" s="62" t="s">
        <v>160</v>
      </c>
      <c r="B12" s="64" t="s">
        <v>329</v>
      </c>
      <c r="E12" s="3" t="s">
        <v>235</v>
      </c>
      <c r="F12" s="3" t="s">
        <v>236</v>
      </c>
      <c r="H12" s="5" t="s">
        <v>67</v>
      </c>
      <c r="I12" s="5" t="s">
        <v>316</v>
      </c>
    </row>
    <row r="13" spans="1:9">
      <c r="A13" s="62" t="s">
        <v>161</v>
      </c>
      <c r="B13" s="62" t="s">
        <v>161</v>
      </c>
      <c r="C13" s="67" t="s">
        <v>433</v>
      </c>
      <c r="E13" s="3" t="s">
        <v>63</v>
      </c>
      <c r="F13" s="3" t="s">
        <v>64</v>
      </c>
      <c r="H13" s="5" t="s">
        <v>38</v>
      </c>
      <c r="I13" s="5" t="s">
        <v>39</v>
      </c>
    </row>
    <row r="14" spans="1:9" ht="26.4">
      <c r="A14" s="62" t="s">
        <v>165</v>
      </c>
      <c r="B14" s="66" t="s">
        <v>165</v>
      </c>
      <c r="C14" s="65" t="s">
        <v>347</v>
      </c>
      <c r="E14" s="3" t="s">
        <v>237</v>
      </c>
      <c r="F14" s="3" t="s">
        <v>238</v>
      </c>
      <c r="H14" s="5" t="s">
        <v>18</v>
      </c>
      <c r="I14" s="5" t="s">
        <v>19</v>
      </c>
    </row>
    <row r="15" spans="1:9" ht="39.6">
      <c r="A15" s="62" t="s">
        <v>162</v>
      </c>
      <c r="B15" s="62" t="s">
        <v>162</v>
      </c>
      <c r="C15" s="65" t="s">
        <v>386</v>
      </c>
      <c r="E15" s="3" t="s">
        <v>65</v>
      </c>
      <c r="F15" s="3" t="s">
        <v>66</v>
      </c>
      <c r="H15" s="5" t="s">
        <v>40</v>
      </c>
      <c r="I15" s="5" t="s">
        <v>41</v>
      </c>
    </row>
    <row r="16" spans="1:9" ht="52.8">
      <c r="A16" s="62" t="s">
        <v>318</v>
      </c>
      <c r="B16" s="62" t="s">
        <v>318</v>
      </c>
      <c r="C16" s="67" t="s">
        <v>434</v>
      </c>
      <c r="E16" s="3" t="s">
        <v>239</v>
      </c>
      <c r="F16" s="3" t="s">
        <v>240</v>
      </c>
      <c r="H16" s="5" t="s">
        <v>20</v>
      </c>
      <c r="I16" s="5" t="s">
        <v>21</v>
      </c>
    </row>
    <row r="17" spans="1:9" ht="26.4">
      <c r="A17" s="62" t="s">
        <v>154</v>
      </c>
      <c r="B17" s="62" t="s">
        <v>154</v>
      </c>
      <c r="C17" s="68" t="s">
        <v>429</v>
      </c>
      <c r="E17" s="3" t="s">
        <v>68</v>
      </c>
      <c r="F17" s="3" t="s">
        <v>69</v>
      </c>
      <c r="H17" s="5" t="s">
        <v>22</v>
      </c>
      <c r="I17" s="5" t="s">
        <v>23</v>
      </c>
    </row>
    <row r="18" spans="1:9">
      <c r="A18" s="62" t="s">
        <v>169</v>
      </c>
      <c r="B18" s="62" t="s">
        <v>169</v>
      </c>
      <c r="E18" s="3" t="s">
        <v>142</v>
      </c>
      <c r="F18" s="3" t="s">
        <v>141</v>
      </c>
      <c r="H18" s="5" t="s">
        <v>32</v>
      </c>
      <c r="I18" s="5" t="s">
        <v>33</v>
      </c>
    </row>
    <row r="19" spans="1:9">
      <c r="A19" s="62" t="s">
        <v>170</v>
      </c>
      <c r="B19" s="62" t="s">
        <v>170</v>
      </c>
      <c r="E19" s="3" t="s">
        <v>70</v>
      </c>
      <c r="F19" s="3" t="s">
        <v>71</v>
      </c>
      <c r="H19" s="5" t="s">
        <v>24</v>
      </c>
      <c r="I19" s="5" t="s">
        <v>25</v>
      </c>
    </row>
    <row r="20" spans="1:9" ht="26.4">
      <c r="A20" s="62" t="s">
        <v>153</v>
      </c>
      <c r="B20" s="62" t="s">
        <v>153</v>
      </c>
      <c r="C20" s="65" t="s">
        <v>392</v>
      </c>
      <c r="E20" s="3" t="s">
        <v>72</v>
      </c>
      <c r="F20" s="3" t="s">
        <v>73</v>
      </c>
      <c r="H20" s="5" t="s">
        <v>16</v>
      </c>
      <c r="I20" s="5" t="s">
        <v>17</v>
      </c>
    </row>
    <row r="21" spans="1:9">
      <c r="A21" s="62" t="s">
        <v>155</v>
      </c>
      <c r="B21" s="62" t="s">
        <v>155</v>
      </c>
      <c r="C21" s="67" t="s">
        <v>432</v>
      </c>
      <c r="E21" s="3" t="s">
        <v>74</v>
      </c>
      <c r="F21" s="3" t="s">
        <v>75</v>
      </c>
      <c r="H21" s="5" t="s">
        <v>6</v>
      </c>
      <c r="I21" s="5" t="s">
        <v>7</v>
      </c>
    </row>
    <row r="22" spans="1:9">
      <c r="A22" s="62" t="s">
        <v>156</v>
      </c>
      <c r="B22" s="62" t="s">
        <v>156</v>
      </c>
      <c r="C22" s="67" t="s">
        <v>432</v>
      </c>
      <c r="E22" s="3" t="s">
        <v>80</v>
      </c>
      <c r="F22" s="3" t="s">
        <v>81</v>
      </c>
      <c r="H22" s="5" t="s">
        <v>42</v>
      </c>
      <c r="I22" s="5" t="s">
        <v>43</v>
      </c>
    </row>
    <row r="23" spans="1:9">
      <c r="A23" s="62" t="s">
        <v>157</v>
      </c>
      <c r="B23" s="62" t="s">
        <v>157</v>
      </c>
      <c r="C23" s="67" t="s">
        <v>432</v>
      </c>
      <c r="E23" s="3" t="s">
        <v>82</v>
      </c>
      <c r="F23" s="3" t="s">
        <v>83</v>
      </c>
      <c r="H23" s="5" t="s">
        <v>44</v>
      </c>
      <c r="I23" s="5" t="s">
        <v>45</v>
      </c>
    </row>
    <row r="24" spans="1:9" ht="26.4">
      <c r="A24" s="62" t="s">
        <v>171</v>
      </c>
      <c r="B24" s="62" t="s">
        <v>171</v>
      </c>
      <c r="C24" s="65" t="s">
        <v>406</v>
      </c>
      <c r="E24" s="3" t="s">
        <v>84</v>
      </c>
      <c r="F24" s="3" t="s">
        <v>85</v>
      </c>
      <c r="H24" s="5" t="s">
        <v>4</v>
      </c>
      <c r="I24" s="5" t="s">
        <v>5</v>
      </c>
    </row>
    <row r="25" spans="1:9">
      <c r="A25" s="62" t="s">
        <v>319</v>
      </c>
      <c r="B25" s="64" t="s">
        <v>153</v>
      </c>
      <c r="C25" s="63"/>
      <c r="E25" s="3" t="s">
        <v>86</v>
      </c>
      <c r="F25" s="3" t="s">
        <v>87</v>
      </c>
      <c r="H25" s="5" t="s">
        <v>8</v>
      </c>
      <c r="I25" s="5" t="s">
        <v>9</v>
      </c>
    </row>
    <row r="26" spans="1:9">
      <c r="A26" s="62" t="s">
        <v>320</v>
      </c>
      <c r="B26" s="64" t="s">
        <v>331</v>
      </c>
      <c r="E26" s="3" t="s">
        <v>88</v>
      </c>
      <c r="F26" s="3" t="s">
        <v>89</v>
      </c>
      <c r="H26" s="5" t="s">
        <v>10</v>
      </c>
      <c r="I26" s="5" t="s">
        <v>11</v>
      </c>
    </row>
    <row r="27" spans="1:9">
      <c r="A27" s="62" t="s">
        <v>172</v>
      </c>
      <c r="B27" s="62">
        <v>200</v>
      </c>
      <c r="E27" s="3" t="s">
        <v>241</v>
      </c>
      <c r="F27" s="3" t="s">
        <v>242</v>
      </c>
      <c r="H27" s="5" t="s">
        <v>12</v>
      </c>
      <c r="I27" s="5" t="s">
        <v>13</v>
      </c>
    </row>
    <row r="28" spans="1:9">
      <c r="A28" s="66" t="s">
        <v>436</v>
      </c>
      <c r="B28" s="62">
        <v>201</v>
      </c>
      <c r="E28" s="3" t="s">
        <v>243</v>
      </c>
      <c r="F28" s="3" t="s">
        <v>244</v>
      </c>
      <c r="H28" s="5" t="s">
        <v>46</v>
      </c>
      <c r="I28" s="5" t="s">
        <v>47</v>
      </c>
    </row>
    <row r="29" spans="1:9">
      <c r="A29" s="62" t="s">
        <v>173</v>
      </c>
      <c r="B29" s="62">
        <v>202</v>
      </c>
      <c r="E29" s="3" t="s">
        <v>245</v>
      </c>
      <c r="F29" s="3" t="s">
        <v>246</v>
      </c>
      <c r="H29" s="5" t="s">
        <v>26</v>
      </c>
      <c r="I29" s="5" t="s">
        <v>27</v>
      </c>
    </row>
    <row r="30" spans="1:9">
      <c r="A30" s="62" t="s">
        <v>174</v>
      </c>
      <c r="B30" s="62">
        <v>202</v>
      </c>
      <c r="E30" s="3" t="s">
        <v>148</v>
      </c>
      <c r="F30" s="3" t="s">
        <v>147</v>
      </c>
      <c r="H30" s="5" t="s">
        <v>50</v>
      </c>
      <c r="I30" s="5" t="s">
        <v>51</v>
      </c>
    </row>
    <row r="31" spans="1:9">
      <c r="A31" s="62" t="s">
        <v>175</v>
      </c>
      <c r="B31" s="62">
        <v>203</v>
      </c>
      <c r="E31" s="3" t="s">
        <v>247</v>
      </c>
      <c r="F31" s="3" t="s">
        <v>248</v>
      </c>
      <c r="H31" s="5" t="s">
        <v>78</v>
      </c>
      <c r="I31" s="5" t="s">
        <v>79</v>
      </c>
    </row>
    <row r="32" spans="1:9">
      <c r="A32" s="62" t="s">
        <v>176</v>
      </c>
      <c r="B32" s="62">
        <v>204</v>
      </c>
      <c r="C32" s="68" t="s">
        <v>389</v>
      </c>
      <c r="E32" s="3" t="s">
        <v>249</v>
      </c>
      <c r="F32" s="3" t="s">
        <v>250</v>
      </c>
      <c r="H32" s="5" t="s">
        <v>36</v>
      </c>
      <c r="I32" s="5" t="s">
        <v>37</v>
      </c>
    </row>
    <row r="33" spans="1:6">
      <c r="A33" s="62" t="s">
        <v>177</v>
      </c>
      <c r="B33" s="69" t="s">
        <v>431</v>
      </c>
      <c r="C33" s="68" t="s">
        <v>389</v>
      </c>
      <c r="E33" s="3" t="s">
        <v>146</v>
      </c>
      <c r="F33" s="3" t="s">
        <v>145</v>
      </c>
    </row>
    <row r="34" spans="1:6">
      <c r="A34" s="62" t="s">
        <v>431</v>
      </c>
      <c r="B34" s="69" t="s">
        <v>431</v>
      </c>
      <c r="C34" s="68"/>
      <c r="E34" s="3" t="s">
        <v>251</v>
      </c>
      <c r="F34" s="3" t="s">
        <v>252</v>
      </c>
    </row>
    <row r="35" spans="1:6">
      <c r="A35" s="66" t="s">
        <v>402</v>
      </c>
      <c r="B35" s="64" t="s">
        <v>329</v>
      </c>
      <c r="C35" s="68"/>
      <c r="E35" s="3" t="s">
        <v>253</v>
      </c>
      <c r="F35" s="3" t="s">
        <v>254</v>
      </c>
    </row>
    <row r="36" spans="1:6">
      <c r="A36" s="62" t="s">
        <v>178</v>
      </c>
      <c r="B36" s="62">
        <v>209</v>
      </c>
      <c r="C36" s="68" t="s">
        <v>389</v>
      </c>
      <c r="E36" s="3" t="s">
        <v>255</v>
      </c>
      <c r="F36" s="3" t="s">
        <v>256</v>
      </c>
    </row>
    <row r="37" spans="1:6">
      <c r="A37" s="62" t="s">
        <v>179</v>
      </c>
      <c r="B37" s="64" t="s">
        <v>329</v>
      </c>
      <c r="C37" s="68"/>
      <c r="E37" s="3" t="s">
        <v>257</v>
      </c>
      <c r="F37" s="3" t="s">
        <v>258</v>
      </c>
    </row>
    <row r="38" spans="1:6">
      <c r="A38" s="62" t="s">
        <v>180</v>
      </c>
      <c r="B38" s="62">
        <v>213</v>
      </c>
      <c r="C38" s="65" t="s">
        <v>407</v>
      </c>
      <c r="E38" s="3" t="s">
        <v>259</v>
      </c>
      <c r="F38" s="3" t="s">
        <v>260</v>
      </c>
    </row>
    <row r="39" spans="1:6">
      <c r="A39" s="66" t="s">
        <v>181</v>
      </c>
      <c r="B39" s="64" t="s">
        <v>329</v>
      </c>
      <c r="C39" s="65"/>
      <c r="E39" s="3" t="s">
        <v>261</v>
      </c>
      <c r="F39" s="3" t="s">
        <v>262</v>
      </c>
    </row>
    <row r="40" spans="1:6">
      <c r="A40" s="62" t="s">
        <v>182</v>
      </c>
      <c r="B40" s="62">
        <v>215</v>
      </c>
      <c r="E40" s="3" t="s">
        <v>263</v>
      </c>
      <c r="F40" s="3" t="s">
        <v>264</v>
      </c>
    </row>
    <row r="41" spans="1:6">
      <c r="A41" s="62" t="s">
        <v>183</v>
      </c>
      <c r="B41" s="62">
        <v>216</v>
      </c>
      <c r="C41" s="68" t="s">
        <v>389</v>
      </c>
      <c r="E41" s="3" t="s">
        <v>265</v>
      </c>
      <c r="F41" s="3" t="s">
        <v>266</v>
      </c>
    </row>
    <row r="42" spans="1:6">
      <c r="A42" s="62" t="s">
        <v>321</v>
      </c>
      <c r="B42" s="64">
        <v>203</v>
      </c>
      <c r="E42" s="3" t="s">
        <v>267</v>
      </c>
      <c r="F42" s="3" t="s">
        <v>268</v>
      </c>
    </row>
    <row r="43" spans="1:6">
      <c r="A43" s="62" t="s">
        <v>184</v>
      </c>
      <c r="B43" s="64">
        <v>202</v>
      </c>
      <c r="C43" s="63"/>
      <c r="E43" s="3" t="s">
        <v>269</v>
      </c>
      <c r="F43" s="3" t="s">
        <v>270</v>
      </c>
    </row>
    <row r="44" spans="1:6">
      <c r="A44" s="62" t="s">
        <v>189</v>
      </c>
      <c r="B44" s="64" t="s">
        <v>166</v>
      </c>
      <c r="C44" s="63"/>
      <c r="E44" s="3" t="s">
        <v>144</v>
      </c>
      <c r="F44" s="3" t="s">
        <v>143</v>
      </c>
    </row>
    <row r="45" spans="1:6">
      <c r="A45" s="62" t="s">
        <v>185</v>
      </c>
      <c r="B45" s="64">
        <v>600</v>
      </c>
      <c r="C45" s="63"/>
      <c r="E45" s="3" t="s">
        <v>271</v>
      </c>
      <c r="F45" s="3" t="s">
        <v>272</v>
      </c>
    </row>
    <row r="46" spans="1:6">
      <c r="A46" s="62" t="s">
        <v>192</v>
      </c>
      <c r="B46" s="64" t="s">
        <v>167</v>
      </c>
      <c r="C46" s="63"/>
      <c r="E46" s="3" t="s">
        <v>273</v>
      </c>
      <c r="F46" s="3" t="s">
        <v>274</v>
      </c>
    </row>
    <row r="47" spans="1:6">
      <c r="A47" s="62" t="s">
        <v>193</v>
      </c>
      <c r="B47" s="64" t="s">
        <v>168</v>
      </c>
      <c r="C47" s="63"/>
      <c r="E47" s="3" t="s">
        <v>275</v>
      </c>
      <c r="F47" s="3" t="s">
        <v>276</v>
      </c>
    </row>
    <row r="48" spans="1:6">
      <c r="A48" s="62" t="s">
        <v>188</v>
      </c>
      <c r="B48" s="64" t="s">
        <v>161</v>
      </c>
      <c r="C48" s="63"/>
      <c r="E48" s="3" t="s">
        <v>277</v>
      </c>
      <c r="F48" s="3" t="s">
        <v>278</v>
      </c>
    </row>
    <row r="49" spans="1:6">
      <c r="A49" s="62" t="s">
        <v>325</v>
      </c>
      <c r="B49" s="64" t="s">
        <v>165</v>
      </c>
      <c r="C49" s="63"/>
      <c r="E49" s="3" t="s">
        <v>279</v>
      </c>
      <c r="F49" s="3" t="s">
        <v>280</v>
      </c>
    </row>
    <row r="50" spans="1:6">
      <c r="A50" s="62" t="s">
        <v>323</v>
      </c>
      <c r="B50" s="64" t="s">
        <v>162</v>
      </c>
      <c r="C50" s="63"/>
      <c r="E50" s="3" t="s">
        <v>281</v>
      </c>
      <c r="F50" s="3" t="s">
        <v>282</v>
      </c>
    </row>
    <row r="51" spans="1:6">
      <c r="A51" s="62" t="s">
        <v>322</v>
      </c>
      <c r="B51" s="64" t="s">
        <v>154</v>
      </c>
      <c r="C51" s="63"/>
      <c r="E51" s="3" t="s">
        <v>283</v>
      </c>
      <c r="F51" s="3" t="s">
        <v>284</v>
      </c>
    </row>
    <row r="52" spans="1:6">
      <c r="A52" s="62" t="s">
        <v>194</v>
      </c>
      <c r="B52" s="64" t="s">
        <v>169</v>
      </c>
      <c r="C52" s="63"/>
      <c r="E52" s="3" t="s">
        <v>90</v>
      </c>
      <c r="F52" s="3" t="s">
        <v>91</v>
      </c>
    </row>
    <row r="53" spans="1:6">
      <c r="A53" s="62" t="s">
        <v>195</v>
      </c>
      <c r="B53" s="64" t="s">
        <v>170</v>
      </c>
      <c r="C53" s="63"/>
      <c r="E53" s="3" t="s">
        <v>92</v>
      </c>
      <c r="F53" s="3" t="s">
        <v>93</v>
      </c>
    </row>
    <row r="54" spans="1:6">
      <c r="A54" s="62" t="s">
        <v>186</v>
      </c>
      <c r="B54" s="64" t="s">
        <v>153</v>
      </c>
      <c r="C54" s="63"/>
      <c r="E54" s="3" t="s">
        <v>94</v>
      </c>
      <c r="F54" s="3" t="s">
        <v>95</v>
      </c>
    </row>
    <row r="55" spans="1:6">
      <c r="A55" s="66" t="s">
        <v>187</v>
      </c>
      <c r="B55" s="64" t="s">
        <v>156</v>
      </c>
      <c r="C55" s="63"/>
      <c r="E55" s="3" t="s">
        <v>96</v>
      </c>
      <c r="F55" s="3" t="s">
        <v>97</v>
      </c>
    </row>
    <row r="56" spans="1:6">
      <c r="A56" s="62" t="s">
        <v>324</v>
      </c>
      <c r="B56" s="64" t="s">
        <v>153</v>
      </c>
      <c r="C56" s="63"/>
      <c r="E56" s="3" t="s">
        <v>140</v>
      </c>
      <c r="F56" s="3" t="s">
        <v>139</v>
      </c>
    </row>
    <row r="57" spans="1:6">
      <c r="A57" s="62" t="s">
        <v>190</v>
      </c>
      <c r="B57" s="64">
        <v>200</v>
      </c>
      <c r="C57" s="63"/>
      <c r="E57" s="3" t="s">
        <v>98</v>
      </c>
      <c r="F57" s="3" t="s">
        <v>99</v>
      </c>
    </row>
    <row r="58" spans="1:6">
      <c r="A58" s="62" t="s">
        <v>196</v>
      </c>
      <c r="B58" s="64">
        <v>602</v>
      </c>
      <c r="C58" s="63"/>
      <c r="E58" s="3" t="s">
        <v>100</v>
      </c>
      <c r="F58" s="3" t="s">
        <v>101</v>
      </c>
    </row>
    <row r="59" spans="1:6">
      <c r="A59" s="62" t="s">
        <v>191</v>
      </c>
      <c r="B59" s="64" t="s">
        <v>331</v>
      </c>
      <c r="C59" s="63"/>
      <c r="E59" s="3" t="s">
        <v>102</v>
      </c>
      <c r="F59" s="3" t="s">
        <v>103</v>
      </c>
    </row>
    <row r="60" spans="1:6">
      <c r="A60" s="62" t="s">
        <v>197</v>
      </c>
      <c r="B60" s="64" t="s">
        <v>168</v>
      </c>
      <c r="C60" s="63"/>
      <c r="E60" s="3" t="s">
        <v>104</v>
      </c>
      <c r="F60" s="3" t="s">
        <v>105</v>
      </c>
    </row>
    <row r="61" spans="1:6">
      <c r="A61" s="62" t="s">
        <v>198</v>
      </c>
      <c r="B61" s="64" t="s">
        <v>168</v>
      </c>
      <c r="C61" s="63"/>
      <c r="E61" s="3" t="s">
        <v>106</v>
      </c>
      <c r="F61" s="3" t="s">
        <v>107</v>
      </c>
    </row>
    <row r="62" spans="1:6">
      <c r="A62" s="62" t="s">
        <v>199</v>
      </c>
      <c r="B62" s="64" t="s">
        <v>329</v>
      </c>
      <c r="E62" s="3" t="s">
        <v>108</v>
      </c>
      <c r="F62" s="3" t="s">
        <v>109</v>
      </c>
    </row>
    <row r="63" spans="1:6">
      <c r="A63" s="62" t="s">
        <v>200</v>
      </c>
      <c r="B63" s="62">
        <v>221</v>
      </c>
      <c r="C63" s="65" t="s">
        <v>407</v>
      </c>
      <c r="E63" s="3" t="s">
        <v>110</v>
      </c>
      <c r="F63" s="3" t="s">
        <v>111</v>
      </c>
    </row>
    <row r="64" spans="1:6">
      <c r="A64" s="62" t="s">
        <v>201</v>
      </c>
      <c r="B64" s="62">
        <v>222</v>
      </c>
      <c r="C64" s="65"/>
      <c r="E64" s="3" t="s">
        <v>112</v>
      </c>
      <c r="F64" s="3" t="s">
        <v>113</v>
      </c>
    </row>
    <row r="65" spans="1:6">
      <c r="A65" s="62" t="s">
        <v>451</v>
      </c>
      <c r="B65" s="62">
        <v>223</v>
      </c>
      <c r="C65" s="68" t="s">
        <v>389</v>
      </c>
      <c r="E65" s="3" t="s">
        <v>114</v>
      </c>
      <c r="F65" s="3" t="s">
        <v>115</v>
      </c>
    </row>
    <row r="66" spans="1:6">
      <c r="A66" s="66" t="s">
        <v>403</v>
      </c>
      <c r="B66" s="64" t="s">
        <v>329</v>
      </c>
      <c r="C66" s="65"/>
      <c r="E66" s="3" t="s">
        <v>285</v>
      </c>
      <c r="F66" s="3" t="s">
        <v>286</v>
      </c>
    </row>
    <row r="67" spans="1:6">
      <c r="A67" s="62" t="s">
        <v>202</v>
      </c>
      <c r="B67" s="64" t="s">
        <v>329</v>
      </c>
      <c r="C67" s="63"/>
      <c r="E67" s="3" t="s">
        <v>287</v>
      </c>
      <c r="F67" s="3" t="s">
        <v>288</v>
      </c>
    </row>
    <row r="68" spans="1:6">
      <c r="A68" s="62" t="s">
        <v>203</v>
      </c>
      <c r="B68" s="64" t="s">
        <v>329</v>
      </c>
      <c r="C68" s="63"/>
      <c r="E68" s="3" t="s">
        <v>289</v>
      </c>
      <c r="F68" s="3" t="s">
        <v>290</v>
      </c>
    </row>
    <row r="69" spans="1:6">
      <c r="A69" s="62" t="s">
        <v>204</v>
      </c>
      <c r="B69" s="64" t="s">
        <v>329</v>
      </c>
      <c r="E69" s="3" t="s">
        <v>291</v>
      </c>
      <c r="F69" s="3" t="s">
        <v>292</v>
      </c>
    </row>
    <row r="70" spans="1:6">
      <c r="A70" s="62" t="s">
        <v>205</v>
      </c>
      <c r="B70" s="62">
        <v>400</v>
      </c>
      <c r="E70" s="3" t="s">
        <v>293</v>
      </c>
      <c r="F70" s="3" t="s">
        <v>294</v>
      </c>
    </row>
    <row r="71" spans="1:6">
      <c r="A71" s="62" t="s">
        <v>206</v>
      </c>
      <c r="B71" s="62">
        <v>401</v>
      </c>
      <c r="E71" s="3" t="s">
        <v>295</v>
      </c>
      <c r="F71" s="3" t="s">
        <v>296</v>
      </c>
    </row>
    <row r="72" spans="1:6">
      <c r="A72" s="62" t="s">
        <v>207</v>
      </c>
      <c r="B72" s="62">
        <v>402</v>
      </c>
      <c r="E72" s="3" t="s">
        <v>297</v>
      </c>
      <c r="F72" s="3" t="s">
        <v>298</v>
      </c>
    </row>
    <row r="73" spans="1:6">
      <c r="A73" s="62" t="s">
        <v>327</v>
      </c>
      <c r="B73" s="62">
        <v>403</v>
      </c>
      <c r="E73" s="3" t="s">
        <v>299</v>
      </c>
      <c r="F73" s="3" t="s">
        <v>300</v>
      </c>
    </row>
    <row r="74" spans="1:6">
      <c r="A74" s="62" t="s">
        <v>326</v>
      </c>
      <c r="B74" s="62">
        <v>403</v>
      </c>
      <c r="C74" s="63"/>
      <c r="E74" s="3" t="s">
        <v>301</v>
      </c>
      <c r="F74" s="3" t="s">
        <v>302</v>
      </c>
    </row>
    <row r="75" spans="1:6">
      <c r="A75" s="66" t="s">
        <v>208</v>
      </c>
      <c r="B75" s="64" t="s">
        <v>329</v>
      </c>
      <c r="E75" s="3" t="s">
        <v>303</v>
      </c>
      <c r="F75" s="3" t="s">
        <v>304</v>
      </c>
    </row>
    <row r="76" spans="1:6">
      <c r="A76" s="62" t="s">
        <v>209</v>
      </c>
      <c r="B76" s="62">
        <v>600</v>
      </c>
      <c r="E76" s="3" t="s">
        <v>305</v>
      </c>
      <c r="F76" s="3" t="s">
        <v>306</v>
      </c>
    </row>
    <row r="77" spans="1:6">
      <c r="A77" s="62" t="s">
        <v>210</v>
      </c>
      <c r="B77" s="62">
        <v>601</v>
      </c>
      <c r="E77" s="3" t="s">
        <v>307</v>
      </c>
      <c r="F77" s="3" t="s">
        <v>308</v>
      </c>
    </row>
    <row r="78" spans="1:6">
      <c r="A78" s="62" t="s">
        <v>211</v>
      </c>
      <c r="B78" s="62">
        <v>602</v>
      </c>
      <c r="E78" s="3" t="s">
        <v>116</v>
      </c>
      <c r="F78" s="3" t="s">
        <v>117</v>
      </c>
    </row>
    <row r="79" spans="1:6">
      <c r="A79" s="62" t="s">
        <v>212</v>
      </c>
      <c r="B79" s="62">
        <v>603</v>
      </c>
      <c r="E79" s="3" t="s">
        <v>118</v>
      </c>
      <c r="F79" s="3" t="s">
        <v>119</v>
      </c>
    </row>
    <row r="80" spans="1:6">
      <c r="A80" s="62" t="s">
        <v>213</v>
      </c>
      <c r="B80" s="62">
        <v>604</v>
      </c>
      <c r="E80" s="3" t="s">
        <v>120</v>
      </c>
      <c r="F80" s="3" t="s">
        <v>121</v>
      </c>
    </row>
    <row r="81" spans="1:6">
      <c r="A81" s="62" t="s">
        <v>214</v>
      </c>
      <c r="B81" s="62">
        <v>605</v>
      </c>
      <c r="E81" s="3" t="s">
        <v>122</v>
      </c>
      <c r="F81" s="3" t="s">
        <v>123</v>
      </c>
    </row>
    <row r="82" spans="1:6">
      <c r="A82" s="62" t="s">
        <v>215</v>
      </c>
      <c r="B82" s="62">
        <v>606</v>
      </c>
      <c r="E82" s="3" t="s">
        <v>124</v>
      </c>
      <c r="F82" s="3" t="s">
        <v>125</v>
      </c>
    </row>
    <row r="83" spans="1:6">
      <c r="A83" s="62" t="s">
        <v>216</v>
      </c>
      <c r="B83" s="62">
        <v>607</v>
      </c>
      <c r="E83" s="3" t="s">
        <v>126</v>
      </c>
      <c r="F83" s="3" t="s">
        <v>127</v>
      </c>
    </row>
    <row r="84" spans="1:6">
      <c r="A84" s="62" t="s">
        <v>217</v>
      </c>
      <c r="B84" s="62">
        <v>608</v>
      </c>
      <c r="E84" s="3" t="s">
        <v>128</v>
      </c>
      <c r="F84" s="3" t="s">
        <v>309</v>
      </c>
    </row>
    <row r="85" spans="1:6">
      <c r="A85" s="66" t="s">
        <v>404</v>
      </c>
      <c r="B85" s="62">
        <v>600</v>
      </c>
      <c r="E85" s="3" t="s">
        <v>129</v>
      </c>
      <c r="F85" s="3" t="s">
        <v>130</v>
      </c>
    </row>
    <row r="86" spans="1:6">
      <c r="A86" s="62" t="s">
        <v>328</v>
      </c>
      <c r="B86" s="64" t="s">
        <v>329</v>
      </c>
      <c r="E86" s="3" t="s">
        <v>310</v>
      </c>
      <c r="F86" s="3" t="s">
        <v>311</v>
      </c>
    </row>
    <row r="87" spans="1:6">
      <c r="A87" s="62" t="s">
        <v>218</v>
      </c>
      <c r="B87" s="62">
        <v>700</v>
      </c>
      <c r="C87" s="65" t="s">
        <v>384</v>
      </c>
      <c r="E87" s="3" t="s">
        <v>131</v>
      </c>
      <c r="F87" s="3" t="s">
        <v>132</v>
      </c>
    </row>
    <row r="88" spans="1:6">
      <c r="A88" s="62" t="s">
        <v>219</v>
      </c>
      <c r="B88" s="62">
        <v>701</v>
      </c>
      <c r="E88" s="3" t="s">
        <v>133</v>
      </c>
      <c r="F88" s="3" t="s">
        <v>134</v>
      </c>
    </row>
    <row r="89" spans="1:6">
      <c r="A89" s="62" t="s">
        <v>220</v>
      </c>
      <c r="B89" s="62">
        <v>702</v>
      </c>
      <c r="E89" s="3" t="s">
        <v>312</v>
      </c>
      <c r="F89" s="3" t="s">
        <v>313</v>
      </c>
    </row>
    <row r="90" spans="1:6">
      <c r="A90" s="62" t="s">
        <v>221</v>
      </c>
      <c r="B90" s="62">
        <v>703</v>
      </c>
      <c r="C90" s="65"/>
      <c r="E90" s="3" t="s">
        <v>137</v>
      </c>
      <c r="F90" s="3" t="s">
        <v>138</v>
      </c>
    </row>
    <row r="91" spans="1:6">
      <c r="A91" s="62" t="s">
        <v>222</v>
      </c>
      <c r="B91" s="62">
        <v>704</v>
      </c>
      <c r="E91" s="3" t="s">
        <v>331</v>
      </c>
      <c r="F91" s="3" t="s">
        <v>37</v>
      </c>
    </row>
    <row r="92" spans="1:6">
      <c r="A92" s="62" t="s">
        <v>223</v>
      </c>
      <c r="B92" s="62">
        <v>705</v>
      </c>
    </row>
    <row r="93" spans="1:6">
      <c r="A93" s="62" t="s">
        <v>224</v>
      </c>
      <c r="B93" s="62">
        <v>706</v>
      </c>
    </row>
    <row r="94" spans="1:6">
      <c r="A94" s="66" t="s">
        <v>405</v>
      </c>
      <c r="B94" s="64" t="s">
        <v>329</v>
      </c>
    </row>
    <row r="95" spans="1:6">
      <c r="A95" s="62" t="s">
        <v>225</v>
      </c>
      <c r="B95" s="62">
        <v>708</v>
      </c>
    </row>
    <row r="96" spans="1:6" ht="39.6">
      <c r="A96" s="62" t="s">
        <v>226</v>
      </c>
      <c r="B96" s="62">
        <v>800</v>
      </c>
      <c r="C96" s="65" t="s">
        <v>385</v>
      </c>
    </row>
    <row r="97" spans="1:3">
      <c r="A97" s="62" t="s">
        <v>227</v>
      </c>
      <c r="B97" s="64" t="s">
        <v>329</v>
      </c>
    </row>
    <row r="100" spans="1:3">
      <c r="C100" s="65"/>
    </row>
  </sheetData>
  <sortState ref="A2:B83">
    <sortCondition ref="A2"/>
  </sortState>
  <mergeCells count="3">
    <mergeCell ref="A1:B1"/>
    <mergeCell ref="E1:F1"/>
    <mergeCell ref="H1:I1"/>
  </mergeCell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L81"/>
  <sheetViews>
    <sheetView workbookViewId="0">
      <selection activeCell="G22" sqref="G22"/>
    </sheetView>
  </sheetViews>
  <sheetFormatPr defaultRowHeight="13.2"/>
  <cols>
    <col min="1" max="1" width="11.5546875" style="45" bestFit="1" customWidth="1"/>
    <col min="2" max="4" width="12.44140625" style="47" bestFit="1" customWidth="1"/>
    <col min="5" max="5" width="13.21875" style="47" bestFit="1" customWidth="1"/>
    <col min="6" max="7" width="12.109375" style="47" bestFit="1" customWidth="1"/>
    <col min="8" max="8" width="14.6640625" style="47" bestFit="1" customWidth="1"/>
    <col min="9" max="9" width="12.44140625" style="45" bestFit="1" customWidth="1"/>
    <col min="10" max="10" width="9.21875" style="48" bestFit="1" customWidth="1"/>
    <col min="11" max="11" width="8.109375" style="45" bestFit="1" customWidth="1"/>
    <col min="12" max="12" width="65.6640625" style="45" bestFit="1" customWidth="1"/>
    <col min="13" max="16384" width="8.88671875" style="45"/>
  </cols>
  <sheetData>
    <row r="1" spans="1:12" ht="26.4">
      <c r="A1" s="45" t="s">
        <v>228</v>
      </c>
      <c r="B1" s="34" t="s">
        <v>0</v>
      </c>
      <c r="C1" s="34" t="s">
        <v>1</v>
      </c>
      <c r="D1" s="10" t="s">
        <v>333</v>
      </c>
      <c r="E1" s="8" t="s">
        <v>332</v>
      </c>
      <c r="F1" s="8" t="s">
        <v>334</v>
      </c>
      <c r="G1" s="8" t="s">
        <v>335</v>
      </c>
      <c r="H1" s="8" t="s">
        <v>344</v>
      </c>
      <c r="I1" s="6" t="s">
        <v>336</v>
      </c>
      <c r="J1" s="19" t="s">
        <v>343</v>
      </c>
      <c r="K1" s="6" t="s">
        <v>341</v>
      </c>
    </row>
    <row r="2" spans="1:12">
      <c r="A2" s="45" t="s">
        <v>163</v>
      </c>
      <c r="B2" s="47">
        <v>7278731</v>
      </c>
      <c r="C2" s="47">
        <v>0</v>
      </c>
      <c r="D2" s="47">
        <f t="shared" ref="D2:D31" si="0">SUM(B2:C2)</f>
        <v>7278731</v>
      </c>
      <c r="E2" s="47">
        <f t="shared" ref="E2:E65" si="1">C2*-0.5</f>
        <v>0</v>
      </c>
      <c r="H2" s="47">
        <f>-D2-E2-F2-G2</f>
        <v>-7278731</v>
      </c>
      <c r="I2" s="11">
        <f t="shared" ref="I2:I33" si="2">IF((VLOOKUP(A2,Crosswalk,2,FALSE)="Excluded"),0,(D2+E2+F2+G2+H2))</f>
        <v>0</v>
      </c>
      <c r="J2" s="53">
        <f>I2/(SUM($I$2:$I$78))</f>
        <v>0</v>
      </c>
      <c r="K2" s="45" t="str">
        <f t="shared" ref="K2:K61" si="3">IF(VLOOKUP(A2,Model,2,FALSE)&lt;&gt;"","Yes","No")</f>
        <v>Yes</v>
      </c>
      <c r="L2" s="45" t="str">
        <f t="shared" ref="L2:L33" si="4">IF((VLOOKUP(A2,Crosswalk,3,FALSE))=0," ",(VLOOKUP(A2,Crosswalk,3,FALSE)))</f>
        <v>100% Overhead</v>
      </c>
    </row>
    <row r="3" spans="1:12">
      <c r="A3" s="45" t="s">
        <v>164</v>
      </c>
      <c r="B3" s="47">
        <v>5743961</v>
      </c>
      <c r="C3" s="47">
        <v>0</v>
      </c>
      <c r="D3" s="47">
        <f t="shared" si="0"/>
        <v>5743961</v>
      </c>
      <c r="E3" s="47">
        <f t="shared" si="1"/>
        <v>0</v>
      </c>
      <c r="H3" s="47">
        <f>-D3-E3-F3-G3</f>
        <v>-5743961</v>
      </c>
      <c r="I3" s="11">
        <f t="shared" si="2"/>
        <v>0</v>
      </c>
      <c r="J3" s="53">
        <f t="shared" ref="J3:J66" si="5">I3/(SUM($I$2:$I$78))</f>
        <v>0</v>
      </c>
      <c r="K3" s="45" t="str">
        <f t="shared" si="3"/>
        <v>Yes</v>
      </c>
      <c r="L3" s="45" t="str">
        <f t="shared" si="4"/>
        <v>100% Overhead</v>
      </c>
    </row>
    <row r="4" spans="1:12">
      <c r="A4" s="45" t="s">
        <v>158</v>
      </c>
      <c r="B4" s="47">
        <v>1884157</v>
      </c>
      <c r="C4" s="47">
        <v>0</v>
      </c>
      <c r="D4" s="47">
        <f t="shared" si="0"/>
        <v>1884157</v>
      </c>
      <c r="E4" s="47">
        <f t="shared" si="1"/>
        <v>0</v>
      </c>
      <c r="I4" s="11">
        <f t="shared" si="2"/>
        <v>1884157</v>
      </c>
      <c r="J4" s="53">
        <f t="shared" si="5"/>
        <v>2.2176201930562294E-3</v>
      </c>
      <c r="K4" s="45" t="str">
        <f t="shared" si="3"/>
        <v>Yes</v>
      </c>
      <c r="L4" s="45" t="str">
        <f t="shared" si="4"/>
        <v xml:space="preserve"> </v>
      </c>
    </row>
    <row r="5" spans="1:12">
      <c r="A5" s="45" t="s">
        <v>166</v>
      </c>
      <c r="B5" s="47">
        <v>1200075</v>
      </c>
      <c r="C5" s="47">
        <v>0</v>
      </c>
      <c r="D5" s="47">
        <f t="shared" si="0"/>
        <v>1200075</v>
      </c>
      <c r="E5" s="47">
        <f t="shared" si="1"/>
        <v>0</v>
      </c>
      <c r="H5" s="47">
        <f>-D5-E5-F5-G5</f>
        <v>-1200075</v>
      </c>
      <c r="I5" s="11">
        <f t="shared" si="2"/>
        <v>0</v>
      </c>
      <c r="J5" s="53">
        <f t="shared" si="5"/>
        <v>0</v>
      </c>
      <c r="K5" s="45" t="str">
        <f t="shared" si="3"/>
        <v>Yes</v>
      </c>
      <c r="L5" s="45" t="str">
        <f t="shared" si="4"/>
        <v>100% Overhead</v>
      </c>
    </row>
    <row r="6" spans="1:12">
      <c r="A6" s="45" t="s">
        <v>167</v>
      </c>
      <c r="B6" s="47">
        <v>81034766</v>
      </c>
      <c r="C6" s="47">
        <v>15000</v>
      </c>
      <c r="D6" s="47">
        <f t="shared" si="0"/>
        <v>81049766</v>
      </c>
      <c r="E6" s="47">
        <f t="shared" si="1"/>
        <v>-7500</v>
      </c>
      <c r="H6" s="47">
        <v>-295492</v>
      </c>
      <c r="I6" s="11">
        <f t="shared" si="2"/>
        <v>80746774</v>
      </c>
      <c r="J6" s="53">
        <f t="shared" si="5"/>
        <v>9.5037556077623958E-2</v>
      </c>
      <c r="K6" s="45" t="str">
        <f t="shared" si="3"/>
        <v>Yes</v>
      </c>
      <c r="L6" s="45" t="str">
        <f t="shared" si="4"/>
        <v>Exclude expenditures for emergency mgmt (FREO000004 Fund Center)</v>
      </c>
    </row>
    <row r="7" spans="1:12">
      <c r="A7" s="45" t="s">
        <v>159</v>
      </c>
      <c r="B7" s="47">
        <v>1055827</v>
      </c>
      <c r="C7" s="47">
        <v>0</v>
      </c>
      <c r="D7" s="47">
        <f t="shared" si="0"/>
        <v>1055827</v>
      </c>
      <c r="E7" s="47">
        <f t="shared" si="1"/>
        <v>0</v>
      </c>
      <c r="H7" s="47">
        <f>-D7-E7-F7-G7</f>
        <v>-1055827</v>
      </c>
      <c r="I7" s="11">
        <f t="shared" si="2"/>
        <v>0</v>
      </c>
      <c r="J7" s="53">
        <f t="shared" si="5"/>
        <v>0</v>
      </c>
      <c r="K7" s="45" t="str">
        <f t="shared" si="3"/>
        <v>Yes</v>
      </c>
      <c r="L7" s="45" t="str">
        <f t="shared" si="4"/>
        <v>100% Overhead</v>
      </c>
    </row>
    <row r="8" spans="1:12">
      <c r="A8" s="45" t="s">
        <v>168</v>
      </c>
      <c r="B8" s="47">
        <v>14089454</v>
      </c>
      <c r="C8" s="47">
        <v>0</v>
      </c>
      <c r="D8" s="47">
        <f t="shared" si="0"/>
        <v>14089454</v>
      </c>
      <c r="E8" s="47">
        <f t="shared" si="1"/>
        <v>0</v>
      </c>
      <c r="I8" s="11">
        <f t="shared" si="2"/>
        <v>14089454</v>
      </c>
      <c r="J8" s="53">
        <f t="shared" si="5"/>
        <v>1.6583043610238882E-2</v>
      </c>
      <c r="K8" s="45" t="str">
        <f t="shared" si="3"/>
        <v>Yes</v>
      </c>
      <c r="L8" s="45" t="str">
        <f t="shared" si="4"/>
        <v xml:space="preserve"> </v>
      </c>
    </row>
    <row r="9" spans="1:12">
      <c r="A9" s="45" t="s">
        <v>160</v>
      </c>
      <c r="B9" s="47">
        <v>373696</v>
      </c>
      <c r="C9" s="47">
        <v>0</v>
      </c>
      <c r="D9" s="47">
        <f t="shared" si="0"/>
        <v>373696</v>
      </c>
      <c r="E9" s="47">
        <f t="shared" si="1"/>
        <v>0</v>
      </c>
      <c r="I9" s="11">
        <f t="shared" si="2"/>
        <v>0</v>
      </c>
      <c r="J9" s="53">
        <f t="shared" si="5"/>
        <v>0</v>
      </c>
      <c r="K9" s="45" t="str">
        <f t="shared" si="3"/>
        <v>Yes</v>
      </c>
      <c r="L9" s="45" t="str">
        <f t="shared" si="4"/>
        <v xml:space="preserve"> </v>
      </c>
    </row>
    <row r="10" spans="1:12">
      <c r="A10" s="45" t="s">
        <v>161</v>
      </c>
      <c r="B10" s="47">
        <v>33122805</v>
      </c>
      <c r="C10" s="47">
        <v>233920</v>
      </c>
      <c r="D10" s="47">
        <f t="shared" si="0"/>
        <v>33356725</v>
      </c>
      <c r="E10" s="47">
        <f t="shared" si="1"/>
        <v>-116960</v>
      </c>
      <c r="H10" s="47">
        <f>-(9476177+4013463+7382254)</f>
        <v>-20871894</v>
      </c>
      <c r="I10" s="11">
        <f t="shared" si="2"/>
        <v>12367871</v>
      </c>
      <c r="J10" s="53">
        <f t="shared" si="5"/>
        <v>1.4556770202650065E-2</v>
      </c>
      <c r="K10" s="45" t="str">
        <f t="shared" si="3"/>
        <v>Yes</v>
      </c>
      <c r="L10" s="45" t="str">
        <f t="shared" si="4"/>
        <v>Exclude MFHR, MFDR, MFIB</v>
      </c>
    </row>
    <row r="11" spans="1:12">
      <c r="A11" s="45" t="s">
        <v>165</v>
      </c>
      <c r="B11" s="47">
        <v>1954746</v>
      </c>
      <c r="C11" s="47">
        <v>0</v>
      </c>
      <c r="D11" s="47">
        <f t="shared" si="0"/>
        <v>1954746</v>
      </c>
      <c r="E11" s="47">
        <f t="shared" si="1"/>
        <v>0</v>
      </c>
      <c r="H11" s="39">
        <v>-1898765</v>
      </c>
      <c r="I11" s="11">
        <f t="shared" si="2"/>
        <v>55981</v>
      </c>
      <c r="J11" s="53">
        <f t="shared" si="5"/>
        <v>6.5888668527877862E-5</v>
      </c>
      <c r="K11" s="45" t="str">
        <f t="shared" si="3"/>
        <v>Yes</v>
      </c>
      <c r="L11" s="45" t="str">
        <f t="shared" si="4"/>
        <v>Exclude expenditures for Admin &amp; Support (LAMYAS Functional Area)</v>
      </c>
    </row>
    <row r="12" spans="1:12">
      <c r="A12" s="45" t="s">
        <v>162</v>
      </c>
      <c r="B12" s="47">
        <v>5482681</v>
      </c>
      <c r="C12" s="47">
        <v>0</v>
      </c>
      <c r="D12" s="47">
        <f t="shared" ref="D12" si="6">SUM(B12:C12)</f>
        <v>5482681</v>
      </c>
      <c r="E12" s="47">
        <f t="shared" si="1"/>
        <v>0</v>
      </c>
      <c r="H12" s="47">
        <v>-362898</v>
      </c>
      <c r="I12" s="11">
        <f t="shared" si="2"/>
        <v>5119783</v>
      </c>
      <c r="J12" s="53">
        <f t="shared" si="5"/>
        <v>6.0258960186789111E-3</v>
      </c>
      <c r="K12" s="45" t="str">
        <f t="shared" si="3"/>
        <v>Yes</v>
      </c>
      <c r="L12" s="45" t="str">
        <f t="shared" si="4"/>
        <v>Exclude expenditures for Information &amp; Referral and Public Involvement best practices (CDIR, CDNRNOPI)</v>
      </c>
    </row>
    <row r="13" spans="1:12">
      <c r="A13" s="45" t="s">
        <v>154</v>
      </c>
      <c r="B13" s="47">
        <v>808689</v>
      </c>
      <c r="C13" s="47">
        <v>0</v>
      </c>
      <c r="D13" s="47">
        <f t="shared" si="0"/>
        <v>808689</v>
      </c>
      <c r="E13" s="47">
        <f t="shared" si="1"/>
        <v>0</v>
      </c>
      <c r="H13" s="39">
        <v>-689230</v>
      </c>
      <c r="I13" s="11">
        <f t="shared" si="2"/>
        <v>119459</v>
      </c>
      <c r="J13" s="53">
        <f t="shared" si="5"/>
        <v>1.4060117635754564E-4</v>
      </c>
      <c r="K13" s="45" t="str">
        <f t="shared" si="3"/>
        <v>Yes</v>
      </c>
      <c r="L13" s="45" t="str">
        <f t="shared" si="4"/>
        <v>Exclude Commissioner's Office (PACO000001)</v>
      </c>
    </row>
    <row r="14" spans="1:12">
      <c r="A14" s="45" t="s">
        <v>169</v>
      </c>
      <c r="B14" s="47">
        <v>47835512</v>
      </c>
      <c r="C14" s="47">
        <v>230952</v>
      </c>
      <c r="D14" s="47">
        <f t="shared" si="0"/>
        <v>48066464</v>
      </c>
      <c r="E14" s="47">
        <f t="shared" si="1"/>
        <v>-115476</v>
      </c>
      <c r="I14" s="11">
        <f t="shared" si="2"/>
        <v>47950988</v>
      </c>
      <c r="J14" s="53">
        <f t="shared" si="5"/>
        <v>5.6437483323203391E-2</v>
      </c>
      <c r="K14" s="45" t="str">
        <f t="shared" si="3"/>
        <v>Yes</v>
      </c>
      <c r="L14" s="45" t="str">
        <f t="shared" si="4"/>
        <v xml:space="preserve"> </v>
      </c>
    </row>
    <row r="15" spans="1:12">
      <c r="A15" s="45" t="s">
        <v>170</v>
      </c>
      <c r="B15" s="47">
        <v>124089859</v>
      </c>
      <c r="C15" s="47">
        <v>0</v>
      </c>
      <c r="D15" s="47">
        <f t="shared" si="0"/>
        <v>124089859</v>
      </c>
      <c r="E15" s="47">
        <f t="shared" si="1"/>
        <v>0</v>
      </c>
      <c r="I15" s="11">
        <f t="shared" si="2"/>
        <v>124089859</v>
      </c>
      <c r="J15" s="53">
        <f t="shared" si="5"/>
        <v>0.14605161728661692</v>
      </c>
      <c r="K15" s="45" t="str">
        <f t="shared" si="3"/>
        <v>Yes</v>
      </c>
      <c r="L15" s="45" t="str">
        <f t="shared" si="4"/>
        <v xml:space="preserve"> </v>
      </c>
    </row>
    <row r="16" spans="1:12">
      <c r="A16" s="45" t="s">
        <v>153</v>
      </c>
      <c r="B16" s="47">
        <v>8853802</v>
      </c>
      <c r="C16" s="47">
        <v>0</v>
      </c>
      <c r="D16" s="47">
        <f t="shared" si="0"/>
        <v>8853802</v>
      </c>
      <c r="E16" s="47">
        <f t="shared" si="1"/>
        <v>0</v>
      </c>
      <c r="H16" s="39">
        <f>1628621*-0.75</f>
        <v>-1221465.75</v>
      </c>
      <c r="I16" s="11">
        <f t="shared" si="2"/>
        <v>7632336.25</v>
      </c>
      <c r="J16" s="53">
        <f t="shared" si="5"/>
        <v>8.9831277267207865E-3</v>
      </c>
      <c r="K16" s="45" t="str">
        <f t="shared" si="3"/>
        <v>Yes</v>
      </c>
      <c r="L16" s="45" t="str">
        <f t="shared" si="4"/>
        <v>Exclude expenditures for Comp Planning &amp; 1/2 of district liaisons (CDAPDI, CDCP00)</v>
      </c>
    </row>
    <row r="17" spans="1:12">
      <c r="A17" s="45" t="s">
        <v>155</v>
      </c>
      <c r="B17" s="47">
        <v>566746</v>
      </c>
      <c r="C17" s="47">
        <v>0</v>
      </c>
      <c r="D17" s="47">
        <f t="shared" si="0"/>
        <v>566746</v>
      </c>
      <c r="E17" s="47">
        <f t="shared" si="1"/>
        <v>0</v>
      </c>
      <c r="H17" s="47">
        <f>-D17-E17-F17-G17</f>
        <v>-566746</v>
      </c>
      <c r="I17" s="11">
        <f t="shared" si="2"/>
        <v>0</v>
      </c>
      <c r="J17" s="53">
        <f t="shared" si="5"/>
        <v>0</v>
      </c>
      <c r="K17" s="45" t="str">
        <f t="shared" si="3"/>
        <v>Yes</v>
      </c>
      <c r="L17" s="45" t="str">
        <f t="shared" si="4"/>
        <v>100% Overhead</v>
      </c>
    </row>
    <row r="18" spans="1:12">
      <c r="A18" s="45" t="s">
        <v>156</v>
      </c>
      <c r="B18" s="47">
        <v>648573</v>
      </c>
      <c r="C18" s="47">
        <v>14750</v>
      </c>
      <c r="D18" s="47">
        <f t="shared" si="0"/>
        <v>663323</v>
      </c>
      <c r="E18" s="47">
        <f t="shared" si="1"/>
        <v>-7375</v>
      </c>
      <c r="H18" s="47">
        <f>-D18-E18-F18-G18</f>
        <v>-655948</v>
      </c>
      <c r="I18" s="11">
        <f t="shared" si="2"/>
        <v>0</v>
      </c>
      <c r="J18" s="53">
        <f t="shared" si="5"/>
        <v>0</v>
      </c>
      <c r="K18" s="45" t="str">
        <f t="shared" si="3"/>
        <v>Yes</v>
      </c>
      <c r="L18" s="45" t="str">
        <f t="shared" si="4"/>
        <v>100% Overhead</v>
      </c>
    </row>
    <row r="19" spans="1:12">
      <c r="A19" s="45" t="s">
        <v>157</v>
      </c>
      <c r="B19" s="47">
        <v>631654</v>
      </c>
      <c r="C19" s="47">
        <v>0</v>
      </c>
      <c r="D19" s="47">
        <f t="shared" si="0"/>
        <v>631654</v>
      </c>
      <c r="E19" s="47">
        <f t="shared" si="1"/>
        <v>0</v>
      </c>
      <c r="H19" s="47">
        <f>-D19-E19-F19-G19</f>
        <v>-631654</v>
      </c>
      <c r="I19" s="11">
        <f t="shared" si="2"/>
        <v>0</v>
      </c>
      <c r="J19" s="53">
        <f t="shared" si="5"/>
        <v>0</v>
      </c>
      <c r="K19" s="45" t="str">
        <f t="shared" si="3"/>
        <v>Yes</v>
      </c>
      <c r="L19" s="45" t="str">
        <f t="shared" si="4"/>
        <v>100% Overhead</v>
      </c>
    </row>
    <row r="20" spans="1:12">
      <c r="A20" s="45" t="s">
        <v>171</v>
      </c>
      <c r="B20" s="47">
        <v>11877579</v>
      </c>
      <c r="C20" s="47">
        <v>0</v>
      </c>
      <c r="D20" s="39">
        <f t="shared" si="0"/>
        <v>11877579</v>
      </c>
      <c r="E20" s="39">
        <f t="shared" si="1"/>
        <v>0</v>
      </c>
      <c r="F20" s="39"/>
      <c r="G20" s="39"/>
      <c r="H20" s="39">
        <v>-295215</v>
      </c>
      <c r="I20" s="11">
        <f t="shared" si="2"/>
        <v>11582364</v>
      </c>
      <c r="J20" s="53">
        <f t="shared" si="5"/>
        <v>1.3632242052932701E-2</v>
      </c>
      <c r="K20" s="16" t="str">
        <f t="shared" si="3"/>
        <v>Yes</v>
      </c>
      <c r="L20" s="45" t="str">
        <f t="shared" si="4"/>
        <v>Exclude expenditures for City memberships and dues (MFSA000002)</v>
      </c>
    </row>
    <row r="21" spans="1:12">
      <c r="A21" s="45" t="s">
        <v>319</v>
      </c>
      <c r="B21" s="47">
        <v>2559777</v>
      </c>
      <c r="C21" s="47">
        <v>0</v>
      </c>
      <c r="D21" s="39">
        <f t="shared" ref="D21" si="7">SUM(B21:C21)</f>
        <v>2559777</v>
      </c>
      <c r="E21" s="39">
        <f t="shared" si="1"/>
        <v>0</v>
      </c>
      <c r="F21" s="39"/>
      <c r="G21" s="39"/>
      <c r="H21" s="39"/>
      <c r="I21" s="11">
        <f t="shared" si="2"/>
        <v>2559777</v>
      </c>
      <c r="J21" s="53">
        <f t="shared" si="5"/>
        <v>3.0128132448203073E-3</v>
      </c>
      <c r="K21" s="16" t="str">
        <f t="shared" si="3"/>
        <v>Yes</v>
      </c>
      <c r="L21" s="45" t="str">
        <f t="shared" si="4"/>
        <v xml:space="preserve"> </v>
      </c>
    </row>
    <row r="22" spans="1:12">
      <c r="A22" s="45" t="s">
        <v>172</v>
      </c>
      <c r="B22" s="47">
        <v>81652734</v>
      </c>
      <c r="C22" s="47">
        <v>16758952</v>
      </c>
      <c r="D22" s="47">
        <f t="shared" si="0"/>
        <v>98411686</v>
      </c>
      <c r="E22" s="47">
        <f t="shared" si="1"/>
        <v>-8379476</v>
      </c>
      <c r="I22" s="11">
        <f t="shared" si="2"/>
        <v>90032210</v>
      </c>
      <c r="J22" s="53">
        <f t="shared" si="5"/>
        <v>0.10596635361144478</v>
      </c>
      <c r="K22" s="45" t="str">
        <f t="shared" si="3"/>
        <v>Yes</v>
      </c>
      <c r="L22" s="45" t="str">
        <f t="shared" si="4"/>
        <v xml:space="preserve"> </v>
      </c>
    </row>
    <row r="23" spans="1:12">
      <c r="A23" s="45" t="s">
        <v>173</v>
      </c>
      <c r="B23" s="47">
        <v>12826057</v>
      </c>
      <c r="C23" s="47">
        <v>0</v>
      </c>
      <c r="D23" s="47">
        <f t="shared" si="0"/>
        <v>12826057</v>
      </c>
      <c r="E23" s="47">
        <f t="shared" si="1"/>
        <v>0</v>
      </c>
      <c r="I23" s="11">
        <f t="shared" si="2"/>
        <v>12826057</v>
      </c>
      <c r="J23" s="53">
        <f t="shared" si="5"/>
        <v>1.5096047198025537E-2</v>
      </c>
      <c r="K23" s="45" t="str">
        <f t="shared" si="3"/>
        <v>Yes</v>
      </c>
      <c r="L23" s="45" t="str">
        <f t="shared" si="4"/>
        <v xml:space="preserve"> </v>
      </c>
    </row>
    <row r="24" spans="1:12">
      <c r="A24" s="45" t="s">
        <v>174</v>
      </c>
      <c r="B24" s="47">
        <v>0</v>
      </c>
      <c r="C24" s="47">
        <v>229413</v>
      </c>
      <c r="D24" s="47">
        <f t="shared" si="0"/>
        <v>229413</v>
      </c>
      <c r="E24" s="47">
        <f t="shared" si="1"/>
        <v>-114706.5</v>
      </c>
      <c r="F24" s="39"/>
      <c r="I24" s="11">
        <f t="shared" si="2"/>
        <v>114706.5</v>
      </c>
      <c r="J24" s="53">
        <f t="shared" si="5"/>
        <v>1.3500756607586541E-4</v>
      </c>
      <c r="K24" s="45" t="str">
        <f t="shared" si="3"/>
        <v>Yes</v>
      </c>
      <c r="L24" s="45" t="str">
        <f t="shared" si="4"/>
        <v xml:space="preserve"> </v>
      </c>
    </row>
    <row r="25" spans="1:12">
      <c r="A25" s="45" t="s">
        <v>175</v>
      </c>
      <c r="B25" s="47">
        <v>31264883</v>
      </c>
      <c r="C25" s="47">
        <v>0</v>
      </c>
      <c r="D25" s="47">
        <f t="shared" si="0"/>
        <v>31264883</v>
      </c>
      <c r="E25" s="47">
        <f t="shared" si="1"/>
        <v>0</v>
      </c>
      <c r="I25" s="11">
        <f t="shared" si="2"/>
        <v>31264883</v>
      </c>
      <c r="J25" s="53">
        <f t="shared" si="5"/>
        <v>3.6798226408064946E-2</v>
      </c>
      <c r="K25" s="45" t="str">
        <f t="shared" si="3"/>
        <v>Yes</v>
      </c>
      <c r="L25" s="45" t="str">
        <f t="shared" si="4"/>
        <v xml:space="preserve"> </v>
      </c>
    </row>
    <row r="26" spans="1:12">
      <c r="A26" s="45" t="s">
        <v>176</v>
      </c>
      <c r="B26" s="47">
        <v>4405507</v>
      </c>
      <c r="C26" s="47">
        <v>0</v>
      </c>
      <c r="D26" s="47">
        <f t="shared" si="0"/>
        <v>4405507</v>
      </c>
      <c r="E26" s="47">
        <f t="shared" si="1"/>
        <v>0</v>
      </c>
      <c r="F26" s="39"/>
      <c r="G26" s="47">
        <v>-4405507</v>
      </c>
      <c r="I26" s="11">
        <f t="shared" si="2"/>
        <v>0</v>
      </c>
      <c r="J26" s="53">
        <f t="shared" si="5"/>
        <v>0</v>
      </c>
      <c r="K26" s="45" t="str">
        <f t="shared" si="3"/>
        <v>Yes</v>
      </c>
      <c r="L26" s="45" t="str">
        <f t="shared" si="4"/>
        <v>Fixed at $25,000 (hardcoded in Model)</v>
      </c>
    </row>
    <row r="27" spans="1:12">
      <c r="A27" s="45" t="s">
        <v>177</v>
      </c>
      <c r="B27" s="47">
        <v>3931842</v>
      </c>
      <c r="C27" s="47">
        <v>0</v>
      </c>
      <c r="D27" s="47">
        <f t="shared" si="0"/>
        <v>3931842</v>
      </c>
      <c r="E27" s="47">
        <f t="shared" si="1"/>
        <v>0</v>
      </c>
      <c r="G27" s="47">
        <v>-3931842</v>
      </c>
      <c r="I27" s="11">
        <f t="shared" si="2"/>
        <v>0</v>
      </c>
      <c r="J27" s="53">
        <f t="shared" si="5"/>
        <v>0</v>
      </c>
      <c r="K27" s="45" t="str">
        <f t="shared" si="3"/>
        <v>Yes</v>
      </c>
      <c r="L27" s="45" t="str">
        <f t="shared" si="4"/>
        <v>Fixed at $25,000 (hardcoded in Model)</v>
      </c>
    </row>
    <row r="28" spans="1:12">
      <c r="A28" s="45" t="s">
        <v>402</v>
      </c>
      <c r="B28" s="47">
        <v>27110</v>
      </c>
      <c r="C28" s="47">
        <v>0</v>
      </c>
      <c r="D28" s="47">
        <f t="shared" si="0"/>
        <v>27110</v>
      </c>
      <c r="E28" s="47">
        <f t="shared" si="1"/>
        <v>0</v>
      </c>
      <c r="I28" s="11">
        <f t="shared" si="2"/>
        <v>0</v>
      </c>
      <c r="J28" s="53">
        <f t="shared" si="5"/>
        <v>0</v>
      </c>
      <c r="K28" s="45" t="e">
        <f t="shared" si="3"/>
        <v>#N/A</v>
      </c>
      <c r="L28" s="45" t="str">
        <f t="shared" si="4"/>
        <v xml:space="preserve"> </v>
      </c>
    </row>
    <row r="29" spans="1:12">
      <c r="A29" s="45" t="s">
        <v>178</v>
      </c>
      <c r="B29" s="47">
        <v>3111156</v>
      </c>
      <c r="C29" s="47">
        <v>0</v>
      </c>
      <c r="D29" s="47">
        <f t="shared" si="0"/>
        <v>3111156</v>
      </c>
      <c r="E29" s="47">
        <f t="shared" si="1"/>
        <v>0</v>
      </c>
      <c r="G29" s="47">
        <v>-3111156</v>
      </c>
      <c r="I29" s="11">
        <f t="shared" si="2"/>
        <v>0</v>
      </c>
      <c r="J29" s="53">
        <f t="shared" si="5"/>
        <v>0</v>
      </c>
      <c r="K29" s="45" t="str">
        <f t="shared" si="3"/>
        <v>Yes</v>
      </c>
      <c r="L29" s="45" t="str">
        <f t="shared" si="4"/>
        <v>Fixed at $25,000 (hardcoded in Model)</v>
      </c>
    </row>
    <row r="30" spans="1:12">
      <c r="A30" s="45" t="s">
        <v>179</v>
      </c>
      <c r="B30" s="47">
        <v>104679571</v>
      </c>
      <c r="C30" s="47">
        <v>0</v>
      </c>
      <c r="D30" s="47">
        <f t="shared" si="0"/>
        <v>104679571</v>
      </c>
      <c r="E30" s="47">
        <f t="shared" si="1"/>
        <v>0</v>
      </c>
      <c r="I30" s="11">
        <f t="shared" si="2"/>
        <v>0</v>
      </c>
      <c r="J30" s="53">
        <f t="shared" si="5"/>
        <v>0</v>
      </c>
      <c r="K30" s="45" t="str">
        <f t="shared" si="3"/>
        <v>Yes</v>
      </c>
      <c r="L30" s="45" t="str">
        <f t="shared" si="4"/>
        <v xml:space="preserve"> </v>
      </c>
    </row>
    <row r="31" spans="1:12">
      <c r="A31" s="45" t="s">
        <v>180</v>
      </c>
      <c r="B31" s="47">
        <v>11544049</v>
      </c>
      <c r="C31" s="47">
        <v>0</v>
      </c>
      <c r="D31" s="47">
        <f t="shared" si="0"/>
        <v>11544049</v>
      </c>
      <c r="E31" s="47">
        <f t="shared" si="1"/>
        <v>0</v>
      </c>
      <c r="I31" s="11">
        <f t="shared" si="2"/>
        <v>11544049</v>
      </c>
      <c r="J31" s="53">
        <f t="shared" si="5"/>
        <v>1.3587145960782764E-2</v>
      </c>
      <c r="K31" s="45" t="str">
        <f t="shared" si="3"/>
        <v>Yes</v>
      </c>
      <c r="L31" s="45" t="str">
        <f t="shared" si="4"/>
        <v>50% discount for operating projects</v>
      </c>
    </row>
    <row r="32" spans="1:12">
      <c r="A32" s="45" t="s">
        <v>181</v>
      </c>
      <c r="B32" s="47">
        <v>306661</v>
      </c>
      <c r="C32" s="47">
        <v>0</v>
      </c>
      <c r="D32" s="47">
        <f t="shared" ref="D32:D78" si="8">SUM(B32:C32)</f>
        <v>306661</v>
      </c>
      <c r="E32" s="47">
        <f t="shared" si="1"/>
        <v>0</v>
      </c>
      <c r="I32" s="11">
        <f t="shared" si="2"/>
        <v>0</v>
      </c>
      <c r="J32" s="53">
        <f t="shared" si="5"/>
        <v>0</v>
      </c>
      <c r="K32" s="45" t="str">
        <f t="shared" si="3"/>
        <v>Yes</v>
      </c>
      <c r="L32" s="45" t="str">
        <f t="shared" si="4"/>
        <v xml:space="preserve"> </v>
      </c>
    </row>
    <row r="33" spans="1:12">
      <c r="A33" s="45" t="s">
        <v>182</v>
      </c>
      <c r="B33" s="47">
        <v>2854853</v>
      </c>
      <c r="C33" s="47">
        <v>0</v>
      </c>
      <c r="D33" s="47">
        <f t="shared" si="8"/>
        <v>2854853</v>
      </c>
      <c r="E33" s="47">
        <f t="shared" si="1"/>
        <v>0</v>
      </c>
      <c r="I33" s="11">
        <f t="shared" si="2"/>
        <v>2854853</v>
      </c>
      <c r="J33" s="53">
        <f t="shared" si="5"/>
        <v>3.3601125920011735E-3</v>
      </c>
      <c r="K33" s="45" t="str">
        <f t="shared" si="3"/>
        <v>Yes</v>
      </c>
      <c r="L33" s="45" t="str">
        <f t="shared" si="4"/>
        <v xml:space="preserve"> </v>
      </c>
    </row>
    <row r="34" spans="1:12">
      <c r="A34" s="45" t="s">
        <v>183</v>
      </c>
      <c r="B34" s="47">
        <v>9963872</v>
      </c>
      <c r="C34" s="47">
        <v>0</v>
      </c>
      <c r="D34" s="47">
        <f t="shared" si="8"/>
        <v>9963872</v>
      </c>
      <c r="E34" s="47">
        <f t="shared" si="1"/>
        <v>0</v>
      </c>
      <c r="G34" s="47">
        <v>-9963872</v>
      </c>
      <c r="I34" s="11">
        <f t="shared" ref="I34:I65" si="9">IF((VLOOKUP(A34,Crosswalk,2,FALSE)="Excluded"),0,(D34+E34+F34+G34+H34))</f>
        <v>0</v>
      </c>
      <c r="J34" s="53">
        <f t="shared" si="5"/>
        <v>0</v>
      </c>
      <c r="K34" s="45" t="str">
        <f t="shared" si="3"/>
        <v>Yes</v>
      </c>
      <c r="L34" s="45" t="str">
        <f t="shared" ref="L34:L65" si="10">IF((VLOOKUP(A34,Crosswalk,3,FALSE))=0," ",(VLOOKUP(A34,Crosswalk,3,FALSE)))</f>
        <v>Fixed at $25,000 (hardcoded in Model)</v>
      </c>
    </row>
    <row r="35" spans="1:12">
      <c r="A35" s="45" t="s">
        <v>184</v>
      </c>
      <c r="B35" s="47">
        <v>1431</v>
      </c>
      <c r="C35" s="47">
        <v>0</v>
      </c>
      <c r="D35" s="47">
        <f t="shared" si="8"/>
        <v>1431</v>
      </c>
      <c r="E35" s="47">
        <f t="shared" si="1"/>
        <v>0</v>
      </c>
      <c r="I35" s="11">
        <f t="shared" si="9"/>
        <v>1431</v>
      </c>
      <c r="J35" s="53">
        <f t="shared" si="5"/>
        <v>1.6842622436789844E-6</v>
      </c>
      <c r="K35" s="45" t="str">
        <f t="shared" si="3"/>
        <v>Yes</v>
      </c>
      <c r="L35" s="45" t="str">
        <f t="shared" si="10"/>
        <v xml:space="preserve"> </v>
      </c>
    </row>
    <row r="36" spans="1:12">
      <c r="A36" s="45" t="s">
        <v>189</v>
      </c>
      <c r="B36" s="47">
        <v>6141347</v>
      </c>
      <c r="C36" s="47">
        <v>0</v>
      </c>
      <c r="D36" s="47">
        <f t="shared" si="8"/>
        <v>6141347</v>
      </c>
      <c r="E36" s="47">
        <f t="shared" si="1"/>
        <v>0</v>
      </c>
      <c r="I36" s="11">
        <f t="shared" si="9"/>
        <v>6141347</v>
      </c>
      <c r="J36" s="53">
        <f t="shared" si="5"/>
        <v>7.2282591736067079E-3</v>
      </c>
      <c r="K36" s="45" t="str">
        <f t="shared" si="3"/>
        <v>Yes</v>
      </c>
      <c r="L36" s="45" t="str">
        <f t="shared" si="10"/>
        <v xml:space="preserve"> </v>
      </c>
    </row>
    <row r="37" spans="1:12">
      <c r="A37" s="45" t="s">
        <v>185</v>
      </c>
      <c r="B37" s="47">
        <v>526973</v>
      </c>
      <c r="C37" s="47">
        <v>793810</v>
      </c>
      <c r="D37" s="47">
        <f t="shared" si="8"/>
        <v>1320783</v>
      </c>
      <c r="E37" s="47">
        <f t="shared" si="1"/>
        <v>-396905</v>
      </c>
      <c r="I37" s="11">
        <f t="shared" si="9"/>
        <v>923878</v>
      </c>
      <c r="J37" s="53">
        <f t="shared" si="5"/>
        <v>1.087388422897032E-3</v>
      </c>
      <c r="K37" s="45" t="str">
        <f t="shared" si="3"/>
        <v>Yes</v>
      </c>
      <c r="L37" s="45" t="str">
        <f t="shared" si="10"/>
        <v xml:space="preserve"> </v>
      </c>
    </row>
    <row r="38" spans="1:12">
      <c r="A38" s="45" t="s">
        <v>192</v>
      </c>
      <c r="B38" s="47">
        <v>353248</v>
      </c>
      <c r="C38" s="47">
        <v>0</v>
      </c>
      <c r="D38" s="47">
        <f t="shared" si="8"/>
        <v>353248</v>
      </c>
      <c r="E38" s="47">
        <f t="shared" si="1"/>
        <v>0</v>
      </c>
      <c r="I38" s="11">
        <f t="shared" si="9"/>
        <v>353248</v>
      </c>
      <c r="J38" s="53">
        <f t="shared" si="5"/>
        <v>4.1576678480441219E-4</v>
      </c>
      <c r="K38" s="45" t="str">
        <f t="shared" si="3"/>
        <v>Yes</v>
      </c>
      <c r="L38" s="45" t="str">
        <f t="shared" si="10"/>
        <v xml:space="preserve"> </v>
      </c>
    </row>
    <row r="39" spans="1:12">
      <c r="A39" s="45" t="s">
        <v>193</v>
      </c>
      <c r="B39" s="47">
        <v>3337612</v>
      </c>
      <c r="C39" s="47">
        <v>0</v>
      </c>
      <c r="D39" s="47">
        <f t="shared" si="8"/>
        <v>3337612</v>
      </c>
      <c r="E39" s="47">
        <f t="shared" si="1"/>
        <v>0</v>
      </c>
      <c r="I39" s="11">
        <f t="shared" si="9"/>
        <v>3337612</v>
      </c>
      <c r="J39" s="53">
        <f t="shared" si="5"/>
        <v>3.9283115832633841E-3</v>
      </c>
      <c r="K39" s="45" t="str">
        <f t="shared" si="3"/>
        <v>Yes</v>
      </c>
      <c r="L39" s="45" t="str">
        <f t="shared" si="10"/>
        <v xml:space="preserve"> </v>
      </c>
    </row>
    <row r="40" spans="1:12">
      <c r="A40" s="45" t="s">
        <v>188</v>
      </c>
      <c r="B40" s="47">
        <v>117668</v>
      </c>
      <c r="C40" s="47">
        <v>24572</v>
      </c>
      <c r="D40" s="47">
        <f t="shared" si="8"/>
        <v>142240</v>
      </c>
      <c r="E40" s="47">
        <f t="shared" si="1"/>
        <v>-12286</v>
      </c>
      <c r="I40" s="11">
        <f t="shared" si="9"/>
        <v>129954</v>
      </c>
      <c r="J40" s="53">
        <f t="shared" si="5"/>
        <v>1.5295360979389149E-4</v>
      </c>
      <c r="K40" s="45" t="str">
        <f t="shared" si="3"/>
        <v>Yes</v>
      </c>
      <c r="L40" s="45" t="str">
        <f t="shared" si="10"/>
        <v xml:space="preserve"> </v>
      </c>
    </row>
    <row r="41" spans="1:12">
      <c r="A41" s="45" t="s">
        <v>194</v>
      </c>
      <c r="B41" s="47">
        <v>302517</v>
      </c>
      <c r="C41" s="47">
        <v>97591</v>
      </c>
      <c r="D41" s="47">
        <f t="shared" si="8"/>
        <v>400108</v>
      </c>
      <c r="E41" s="47">
        <f t="shared" si="1"/>
        <v>-48795.5</v>
      </c>
      <c r="I41" s="11">
        <f t="shared" si="9"/>
        <v>351312.5</v>
      </c>
      <c r="J41" s="53">
        <f t="shared" si="5"/>
        <v>4.1348873478859065E-4</v>
      </c>
      <c r="K41" s="45" t="str">
        <f t="shared" si="3"/>
        <v>Yes</v>
      </c>
      <c r="L41" s="45" t="str">
        <f t="shared" si="10"/>
        <v xml:space="preserve"> </v>
      </c>
    </row>
    <row r="42" spans="1:12">
      <c r="A42" s="45" t="s">
        <v>195</v>
      </c>
      <c r="B42" s="47">
        <v>1615208</v>
      </c>
      <c r="C42" s="47">
        <v>0</v>
      </c>
      <c r="D42" s="47">
        <f t="shared" si="8"/>
        <v>1615208</v>
      </c>
      <c r="E42" s="47">
        <f t="shared" si="1"/>
        <v>0</v>
      </c>
      <c r="I42" s="11">
        <f t="shared" si="9"/>
        <v>1615208</v>
      </c>
      <c r="J42" s="53">
        <f t="shared" si="5"/>
        <v>1.901071872877879E-3</v>
      </c>
      <c r="K42" s="45" t="str">
        <f t="shared" si="3"/>
        <v>Yes</v>
      </c>
      <c r="L42" s="45" t="str">
        <f t="shared" si="10"/>
        <v xml:space="preserve"> </v>
      </c>
    </row>
    <row r="43" spans="1:12">
      <c r="A43" s="45" t="s">
        <v>186</v>
      </c>
      <c r="B43" s="47">
        <v>89786</v>
      </c>
      <c r="C43" s="47">
        <v>0</v>
      </c>
      <c r="D43" s="47">
        <f t="shared" si="8"/>
        <v>89786</v>
      </c>
      <c r="E43" s="47">
        <f t="shared" si="1"/>
        <v>0</v>
      </c>
      <c r="I43" s="11">
        <f t="shared" si="9"/>
        <v>89786</v>
      </c>
      <c r="J43" s="53">
        <f t="shared" si="5"/>
        <v>1.056765687008814E-4</v>
      </c>
      <c r="K43" s="45" t="str">
        <f t="shared" si="3"/>
        <v>Yes</v>
      </c>
      <c r="L43" s="45" t="str">
        <f t="shared" si="10"/>
        <v xml:space="preserve"> </v>
      </c>
    </row>
    <row r="44" spans="1:12">
      <c r="A44" s="45" t="s">
        <v>324</v>
      </c>
      <c r="B44" s="47">
        <v>1389776</v>
      </c>
      <c r="C44" s="47">
        <v>0</v>
      </c>
      <c r="D44" s="47">
        <f t="shared" si="8"/>
        <v>1389776</v>
      </c>
      <c r="E44" s="47">
        <f t="shared" si="1"/>
        <v>0</v>
      </c>
      <c r="I44" s="11">
        <f t="shared" si="9"/>
        <v>1389776</v>
      </c>
      <c r="J44" s="53">
        <f t="shared" si="5"/>
        <v>1.6357423088547898E-3</v>
      </c>
      <c r="K44" s="45" t="str">
        <f t="shared" si="3"/>
        <v>Yes</v>
      </c>
      <c r="L44" s="45" t="str">
        <f t="shared" si="10"/>
        <v xml:space="preserve"> </v>
      </c>
    </row>
    <row r="45" spans="1:12">
      <c r="A45" s="45" t="s">
        <v>190</v>
      </c>
      <c r="B45" s="47">
        <v>470314</v>
      </c>
      <c r="C45" s="47">
        <v>12424399</v>
      </c>
      <c r="D45" s="47">
        <f t="shared" si="8"/>
        <v>12894713</v>
      </c>
      <c r="E45" s="47">
        <f t="shared" si="1"/>
        <v>-6212199.5</v>
      </c>
      <c r="I45" s="11">
        <f t="shared" si="9"/>
        <v>6682513.5</v>
      </c>
      <c r="J45" s="53">
        <f t="shared" si="5"/>
        <v>7.8652027819183113E-3</v>
      </c>
      <c r="K45" s="45" t="str">
        <f t="shared" si="3"/>
        <v>Yes</v>
      </c>
      <c r="L45" s="45" t="str">
        <f t="shared" si="10"/>
        <v xml:space="preserve"> </v>
      </c>
    </row>
    <row r="46" spans="1:12">
      <c r="A46" s="45" t="s">
        <v>196</v>
      </c>
      <c r="B46" s="47">
        <v>241016</v>
      </c>
      <c r="C46" s="47">
        <v>246412</v>
      </c>
      <c r="D46" s="47">
        <f t="shared" si="8"/>
        <v>487428</v>
      </c>
      <c r="E46" s="47">
        <f t="shared" si="1"/>
        <v>-123206</v>
      </c>
      <c r="I46" s="11">
        <f t="shared" si="9"/>
        <v>364222</v>
      </c>
      <c r="J46" s="53">
        <f t="shared" si="5"/>
        <v>4.2868299295405101E-4</v>
      </c>
      <c r="K46" s="45" t="str">
        <f t="shared" si="3"/>
        <v>Yes</v>
      </c>
      <c r="L46" s="45" t="str">
        <f t="shared" si="10"/>
        <v xml:space="preserve"> </v>
      </c>
    </row>
    <row r="47" spans="1:12">
      <c r="A47" s="45" t="s">
        <v>197</v>
      </c>
      <c r="B47" s="47">
        <v>9746889</v>
      </c>
      <c r="C47" s="47">
        <v>0</v>
      </c>
      <c r="D47" s="47">
        <f t="shared" si="8"/>
        <v>9746889</v>
      </c>
      <c r="E47" s="47">
        <f t="shared" si="1"/>
        <v>0</v>
      </c>
      <c r="I47" s="11">
        <f t="shared" si="9"/>
        <v>9746889</v>
      </c>
      <c r="J47" s="53">
        <f t="shared" si="5"/>
        <v>1.1471919731677157E-2</v>
      </c>
      <c r="K47" s="45" t="str">
        <f t="shared" si="3"/>
        <v>Yes</v>
      </c>
      <c r="L47" s="45" t="str">
        <f t="shared" si="10"/>
        <v xml:space="preserve"> </v>
      </c>
    </row>
    <row r="48" spans="1:12">
      <c r="A48" s="45" t="s">
        <v>198</v>
      </c>
      <c r="B48" s="47">
        <v>4012865</v>
      </c>
      <c r="C48" s="47">
        <v>0</v>
      </c>
      <c r="D48" s="47">
        <f t="shared" si="8"/>
        <v>4012865</v>
      </c>
      <c r="E48" s="47">
        <f t="shared" si="1"/>
        <v>0</v>
      </c>
      <c r="I48" s="11">
        <f t="shared" si="9"/>
        <v>4012865</v>
      </c>
      <c r="J48" s="53">
        <f t="shared" si="5"/>
        <v>4.7230726823765667E-3</v>
      </c>
      <c r="K48" s="45" t="str">
        <f t="shared" si="3"/>
        <v>Yes</v>
      </c>
      <c r="L48" s="45" t="str">
        <f t="shared" si="10"/>
        <v xml:space="preserve"> </v>
      </c>
    </row>
    <row r="49" spans="1:12">
      <c r="A49" s="45" t="s">
        <v>199</v>
      </c>
      <c r="B49" s="47">
        <v>630473</v>
      </c>
      <c r="C49" s="47">
        <v>0</v>
      </c>
      <c r="D49" s="47">
        <f t="shared" si="8"/>
        <v>630473</v>
      </c>
      <c r="E49" s="47">
        <f t="shared" si="1"/>
        <v>0</v>
      </c>
      <c r="I49" s="11">
        <f t="shared" si="9"/>
        <v>0</v>
      </c>
      <c r="J49" s="53">
        <f t="shared" si="5"/>
        <v>0</v>
      </c>
      <c r="K49" s="45" t="str">
        <f t="shared" si="3"/>
        <v>Yes</v>
      </c>
      <c r="L49" s="45" t="str">
        <f t="shared" si="10"/>
        <v xml:space="preserve"> </v>
      </c>
    </row>
    <row r="50" spans="1:12">
      <c r="A50" s="45" t="s">
        <v>201</v>
      </c>
      <c r="B50" s="47">
        <v>1505</v>
      </c>
      <c r="C50" s="47">
        <v>0</v>
      </c>
      <c r="D50" s="47">
        <f t="shared" si="8"/>
        <v>1505</v>
      </c>
      <c r="E50" s="47">
        <f t="shared" si="1"/>
        <v>0</v>
      </c>
      <c r="I50" s="11">
        <f t="shared" si="9"/>
        <v>1505</v>
      </c>
      <c r="J50" s="53">
        <f t="shared" si="5"/>
        <v>1.7713589634778975E-6</v>
      </c>
      <c r="K50" s="45" t="str">
        <f t="shared" si="3"/>
        <v>Yes</v>
      </c>
      <c r="L50" s="45" t="str">
        <f t="shared" si="10"/>
        <v xml:space="preserve"> </v>
      </c>
    </row>
    <row r="51" spans="1:12">
      <c r="A51" s="45" t="s">
        <v>403</v>
      </c>
      <c r="B51" s="47">
        <v>55227</v>
      </c>
      <c r="C51" s="47">
        <v>0</v>
      </c>
      <c r="D51" s="47">
        <f t="shared" si="8"/>
        <v>55227</v>
      </c>
      <c r="E51" s="47">
        <f t="shared" si="1"/>
        <v>0</v>
      </c>
      <c r="I51" s="11">
        <f t="shared" si="9"/>
        <v>0</v>
      </c>
      <c r="J51" s="53">
        <f t="shared" si="5"/>
        <v>0</v>
      </c>
      <c r="K51" s="45" t="e">
        <f t="shared" si="3"/>
        <v>#N/A</v>
      </c>
      <c r="L51" s="45" t="str">
        <f t="shared" si="10"/>
        <v xml:space="preserve"> </v>
      </c>
    </row>
    <row r="52" spans="1:12">
      <c r="A52" s="45" t="s">
        <v>202</v>
      </c>
      <c r="B52" s="47">
        <v>595518</v>
      </c>
      <c r="C52" s="47">
        <v>0</v>
      </c>
      <c r="D52" s="47">
        <f t="shared" si="8"/>
        <v>595518</v>
      </c>
      <c r="E52" s="47">
        <f t="shared" si="1"/>
        <v>0</v>
      </c>
      <c r="I52" s="11">
        <f t="shared" si="9"/>
        <v>0</v>
      </c>
      <c r="J52" s="53">
        <f t="shared" si="5"/>
        <v>0</v>
      </c>
      <c r="K52" s="45" t="str">
        <f t="shared" si="3"/>
        <v>Yes</v>
      </c>
      <c r="L52" s="45" t="str">
        <f t="shared" si="10"/>
        <v xml:space="preserve"> </v>
      </c>
    </row>
    <row r="53" spans="1:12">
      <c r="A53" s="45" t="s">
        <v>205</v>
      </c>
      <c r="B53" s="47">
        <v>24657</v>
      </c>
      <c r="C53" s="47">
        <v>7493733</v>
      </c>
      <c r="D53" s="47">
        <f t="shared" si="8"/>
        <v>7518390</v>
      </c>
      <c r="E53" s="47">
        <f t="shared" si="1"/>
        <v>-3746866.5</v>
      </c>
      <c r="I53" s="11">
        <f t="shared" si="9"/>
        <v>3771523.5</v>
      </c>
      <c r="J53" s="53">
        <f t="shared" si="5"/>
        <v>4.4390179120880613E-3</v>
      </c>
      <c r="K53" s="45" t="str">
        <f t="shared" si="3"/>
        <v>Yes</v>
      </c>
      <c r="L53" s="45" t="str">
        <f t="shared" si="10"/>
        <v xml:space="preserve"> </v>
      </c>
    </row>
    <row r="54" spans="1:12">
      <c r="A54" s="45" t="s">
        <v>206</v>
      </c>
      <c r="B54" s="47">
        <v>4544</v>
      </c>
      <c r="C54" s="47">
        <v>0</v>
      </c>
      <c r="D54" s="47">
        <f t="shared" si="8"/>
        <v>4544</v>
      </c>
      <c r="E54" s="47">
        <f t="shared" si="1"/>
        <v>0</v>
      </c>
      <c r="I54" s="11">
        <f t="shared" si="9"/>
        <v>4544</v>
      </c>
      <c r="J54" s="53">
        <f t="shared" si="5"/>
        <v>5.3482093887332667E-6</v>
      </c>
      <c r="K54" s="45" t="str">
        <f t="shared" si="3"/>
        <v>Yes</v>
      </c>
      <c r="L54" s="45" t="str">
        <f t="shared" si="10"/>
        <v xml:space="preserve"> </v>
      </c>
    </row>
    <row r="55" spans="1:12">
      <c r="A55" s="45" t="s">
        <v>207</v>
      </c>
      <c r="B55" s="47">
        <v>1644636</v>
      </c>
      <c r="C55" s="47">
        <v>19174531</v>
      </c>
      <c r="D55" s="47">
        <f t="shared" si="8"/>
        <v>20819167</v>
      </c>
      <c r="E55" s="47">
        <f t="shared" si="1"/>
        <v>-9587265.5</v>
      </c>
      <c r="I55" s="11">
        <f t="shared" si="9"/>
        <v>11231901.5</v>
      </c>
      <c r="J55" s="53">
        <f t="shared" si="5"/>
        <v>1.3219753753439098E-2</v>
      </c>
      <c r="K55" s="45" t="str">
        <f t="shared" si="3"/>
        <v>Yes</v>
      </c>
      <c r="L55" s="45" t="str">
        <f t="shared" si="10"/>
        <v xml:space="preserve"> </v>
      </c>
    </row>
    <row r="56" spans="1:12">
      <c r="A56" s="45" t="s">
        <v>208</v>
      </c>
      <c r="B56" s="47">
        <v>1500</v>
      </c>
      <c r="C56" s="47">
        <v>0</v>
      </c>
      <c r="D56" s="47">
        <f t="shared" si="8"/>
        <v>1500</v>
      </c>
      <c r="E56" s="47">
        <f t="shared" si="1"/>
        <v>0</v>
      </c>
      <c r="I56" s="11">
        <f t="shared" si="9"/>
        <v>0</v>
      </c>
      <c r="J56" s="53">
        <f t="shared" si="5"/>
        <v>0</v>
      </c>
      <c r="K56" s="45" t="str">
        <f t="shared" si="3"/>
        <v>Yes</v>
      </c>
      <c r="L56" s="45" t="str">
        <f t="shared" si="10"/>
        <v xml:space="preserve"> </v>
      </c>
    </row>
    <row r="57" spans="1:12">
      <c r="A57" s="45" t="s">
        <v>209</v>
      </c>
      <c r="B57" s="47">
        <v>52029963</v>
      </c>
      <c r="C57" s="47">
        <v>162718603</v>
      </c>
      <c r="D57" s="47">
        <f t="shared" si="8"/>
        <v>214748566</v>
      </c>
      <c r="E57" s="47">
        <f t="shared" si="1"/>
        <v>-81359301.5</v>
      </c>
      <c r="I57" s="11">
        <f t="shared" si="9"/>
        <v>133389264.5</v>
      </c>
      <c r="J57" s="53">
        <f t="shared" si="5"/>
        <v>0.1569968566802652</v>
      </c>
      <c r="K57" s="45" t="str">
        <f t="shared" si="3"/>
        <v>Yes</v>
      </c>
      <c r="L57" s="45" t="str">
        <f t="shared" si="10"/>
        <v xml:space="preserve"> </v>
      </c>
    </row>
    <row r="58" spans="1:12">
      <c r="A58" s="45" t="s">
        <v>210</v>
      </c>
      <c r="B58" s="47">
        <v>590447</v>
      </c>
      <c r="C58" s="47">
        <v>118</v>
      </c>
      <c r="D58" s="47">
        <f t="shared" si="8"/>
        <v>590565</v>
      </c>
      <c r="E58" s="47">
        <f t="shared" si="1"/>
        <v>-59</v>
      </c>
      <c r="I58" s="11">
        <f t="shared" si="9"/>
        <v>590506</v>
      </c>
      <c r="J58" s="53">
        <f t="shared" si="5"/>
        <v>6.950153462375278E-4</v>
      </c>
      <c r="K58" s="45" t="str">
        <f t="shared" si="3"/>
        <v>Yes</v>
      </c>
      <c r="L58" s="45" t="str">
        <f t="shared" si="10"/>
        <v xml:space="preserve"> </v>
      </c>
    </row>
    <row r="59" spans="1:12">
      <c r="A59" s="45" t="s">
        <v>211</v>
      </c>
      <c r="B59" s="47">
        <v>49383315</v>
      </c>
      <c r="C59" s="47">
        <v>57515189</v>
      </c>
      <c r="D59" s="47">
        <f t="shared" si="8"/>
        <v>106898504</v>
      </c>
      <c r="E59" s="47">
        <f t="shared" si="1"/>
        <v>-28757594.5</v>
      </c>
      <c r="I59" s="11">
        <f t="shared" si="9"/>
        <v>78140909.5</v>
      </c>
      <c r="J59" s="53">
        <f t="shared" si="5"/>
        <v>9.1970498642618068E-2</v>
      </c>
      <c r="K59" s="45" t="str">
        <f t="shared" si="3"/>
        <v>Yes</v>
      </c>
      <c r="L59" s="45" t="str">
        <f t="shared" si="10"/>
        <v xml:space="preserve"> </v>
      </c>
    </row>
    <row r="60" spans="1:12">
      <c r="A60" s="45" t="s">
        <v>212</v>
      </c>
      <c r="B60" s="47">
        <v>6157005</v>
      </c>
      <c r="C60" s="47">
        <v>200005</v>
      </c>
      <c r="D60" s="47">
        <f t="shared" si="8"/>
        <v>6357010</v>
      </c>
      <c r="E60" s="47">
        <f t="shared" si="1"/>
        <v>-100002.5</v>
      </c>
      <c r="I60" s="11">
        <f t="shared" si="9"/>
        <v>6257007.5</v>
      </c>
      <c r="J60" s="53">
        <f t="shared" si="5"/>
        <v>7.3643895811783596E-3</v>
      </c>
      <c r="K60" s="45" t="str">
        <f t="shared" si="3"/>
        <v>Yes</v>
      </c>
      <c r="L60" s="45" t="str">
        <f t="shared" si="10"/>
        <v xml:space="preserve"> </v>
      </c>
    </row>
    <row r="61" spans="1:12">
      <c r="A61" s="45" t="s">
        <v>213</v>
      </c>
      <c r="B61" s="47">
        <v>1283020</v>
      </c>
      <c r="C61" s="47">
        <v>0</v>
      </c>
      <c r="D61" s="47">
        <f t="shared" si="8"/>
        <v>1283020</v>
      </c>
      <c r="E61" s="47">
        <f t="shared" si="1"/>
        <v>0</v>
      </c>
      <c r="I61" s="11">
        <f t="shared" si="9"/>
        <v>1283020</v>
      </c>
      <c r="J61" s="53">
        <f t="shared" si="5"/>
        <v>1.5100923437351575E-3</v>
      </c>
      <c r="K61" s="45" t="str">
        <f t="shared" si="3"/>
        <v>Yes</v>
      </c>
      <c r="L61" s="45" t="str">
        <f t="shared" si="10"/>
        <v xml:space="preserve"> </v>
      </c>
    </row>
    <row r="62" spans="1:12">
      <c r="A62" s="46" t="s">
        <v>214</v>
      </c>
      <c r="B62" s="47">
        <v>2291076</v>
      </c>
      <c r="C62" s="47">
        <v>0</v>
      </c>
      <c r="D62" s="47">
        <f t="shared" si="8"/>
        <v>2291076</v>
      </c>
      <c r="E62" s="47">
        <f t="shared" si="1"/>
        <v>0</v>
      </c>
      <c r="I62" s="11">
        <f t="shared" si="9"/>
        <v>2291076</v>
      </c>
      <c r="J62" s="53">
        <f t="shared" si="5"/>
        <v>2.6965568163515533E-3</v>
      </c>
      <c r="K62" s="45" t="str">
        <f t="shared" ref="K62:K78" si="11">IF(VLOOKUP(A62,Model,2,FALSE)&lt;&gt;"","Yes","No")</f>
        <v>Yes</v>
      </c>
      <c r="L62" s="45" t="str">
        <f t="shared" si="10"/>
        <v xml:space="preserve"> </v>
      </c>
    </row>
    <row r="63" spans="1:12">
      <c r="A63" s="46" t="s">
        <v>215</v>
      </c>
      <c r="B63" s="47">
        <v>3850178</v>
      </c>
      <c r="C63" s="47">
        <v>0</v>
      </c>
      <c r="D63" s="47">
        <f t="shared" si="8"/>
        <v>3850178</v>
      </c>
      <c r="E63" s="47">
        <f t="shared" si="1"/>
        <v>0</v>
      </c>
      <c r="I63" s="11">
        <f t="shared" si="9"/>
        <v>3850178</v>
      </c>
      <c r="J63" s="53">
        <f t="shared" si="5"/>
        <v>4.5315928978640566E-3</v>
      </c>
      <c r="K63" s="45" t="str">
        <f t="shared" si="11"/>
        <v>Yes</v>
      </c>
      <c r="L63" s="45" t="str">
        <f t="shared" si="10"/>
        <v xml:space="preserve"> </v>
      </c>
    </row>
    <row r="64" spans="1:12">
      <c r="A64" s="45" t="s">
        <v>216</v>
      </c>
      <c r="B64" s="47">
        <v>2102930</v>
      </c>
      <c r="C64" s="47">
        <v>211894</v>
      </c>
      <c r="D64" s="47">
        <f t="shared" si="8"/>
        <v>2314824</v>
      </c>
      <c r="E64" s="47">
        <f t="shared" si="1"/>
        <v>-105947</v>
      </c>
      <c r="I64" s="11">
        <f t="shared" si="9"/>
        <v>2208877</v>
      </c>
      <c r="J64" s="53">
        <f t="shared" si="5"/>
        <v>2.5998100153954602E-3</v>
      </c>
      <c r="K64" s="45" t="str">
        <f t="shared" si="11"/>
        <v>Yes</v>
      </c>
      <c r="L64" s="45" t="str">
        <f t="shared" si="10"/>
        <v xml:space="preserve"> </v>
      </c>
    </row>
    <row r="65" spans="1:12">
      <c r="A65" s="45" t="s">
        <v>217</v>
      </c>
      <c r="B65" s="47">
        <v>4172976</v>
      </c>
      <c r="C65" s="47">
        <v>0</v>
      </c>
      <c r="D65" s="47">
        <f t="shared" si="8"/>
        <v>4172976</v>
      </c>
      <c r="E65" s="47">
        <f t="shared" si="1"/>
        <v>0</v>
      </c>
      <c r="I65" s="11">
        <f t="shared" si="9"/>
        <v>4172976</v>
      </c>
      <c r="J65" s="53">
        <f t="shared" si="5"/>
        <v>4.9115205594539154E-3</v>
      </c>
      <c r="K65" s="45" t="str">
        <f t="shared" si="11"/>
        <v>Yes</v>
      </c>
      <c r="L65" s="45" t="str">
        <f t="shared" si="10"/>
        <v xml:space="preserve"> </v>
      </c>
    </row>
    <row r="66" spans="1:12">
      <c r="A66" s="45" t="s">
        <v>404</v>
      </c>
      <c r="B66" s="47">
        <v>7375</v>
      </c>
      <c r="C66" s="47">
        <v>0</v>
      </c>
      <c r="D66" s="47">
        <f t="shared" si="8"/>
        <v>7375</v>
      </c>
      <c r="E66" s="47">
        <f t="shared" ref="E66:E78" si="12">C66*-0.5</f>
        <v>0</v>
      </c>
      <c r="I66" s="11">
        <f t="shared" ref="I66:I78" si="13">IF((VLOOKUP(A66,Crosswalk,2,FALSE)="Excluded"),0,(D66+E66+F66+G66+H66))</f>
        <v>7375</v>
      </c>
      <c r="J66" s="53">
        <f t="shared" si="5"/>
        <v>8.6802474123916909E-6</v>
      </c>
      <c r="K66" s="45" t="str">
        <f t="shared" si="11"/>
        <v>Yes</v>
      </c>
      <c r="L66" s="45" t="str">
        <f t="shared" ref="L66:L78" si="14">IF((VLOOKUP(A66,Crosswalk,3,FALSE))=0," ",(VLOOKUP(A66,Crosswalk,3,FALSE)))</f>
        <v xml:space="preserve"> </v>
      </c>
    </row>
    <row r="67" spans="1:12">
      <c r="A67" s="46" t="s">
        <v>328</v>
      </c>
      <c r="B67" s="47">
        <v>0</v>
      </c>
      <c r="C67" s="47">
        <v>0</v>
      </c>
      <c r="D67" s="47">
        <f t="shared" si="8"/>
        <v>0</v>
      </c>
      <c r="E67" s="47">
        <f t="shared" si="12"/>
        <v>0</v>
      </c>
      <c r="I67" s="11">
        <f t="shared" si="13"/>
        <v>0</v>
      </c>
      <c r="J67" s="53">
        <f t="shared" ref="J67:J78" si="15">I67/(SUM($I$2:$I$78))</f>
        <v>0</v>
      </c>
      <c r="K67" s="45" t="str">
        <f t="shared" si="11"/>
        <v>Yes</v>
      </c>
      <c r="L67" s="45" t="str">
        <f t="shared" si="14"/>
        <v xml:space="preserve"> </v>
      </c>
    </row>
    <row r="68" spans="1:12">
      <c r="A68" s="45" t="s">
        <v>218</v>
      </c>
      <c r="B68" s="47">
        <v>35716847</v>
      </c>
      <c r="C68" s="47">
        <v>0</v>
      </c>
      <c r="D68" s="47">
        <f t="shared" si="8"/>
        <v>35716847</v>
      </c>
      <c r="E68" s="47">
        <f t="shared" si="12"/>
        <v>0</v>
      </c>
      <c r="F68" s="47">
        <v>-31782525</v>
      </c>
      <c r="I68" s="11">
        <f t="shared" si="13"/>
        <v>3934322</v>
      </c>
      <c r="J68" s="53">
        <f t="shared" si="15"/>
        <v>4.6306289301716206E-3</v>
      </c>
      <c r="K68" s="45" t="str">
        <f t="shared" si="11"/>
        <v>Yes</v>
      </c>
      <c r="L68" s="45" t="str">
        <f t="shared" si="14"/>
        <v>Excludes insurance claim payouts (529721)</v>
      </c>
    </row>
    <row r="69" spans="1:12">
      <c r="A69" s="45" t="s">
        <v>219</v>
      </c>
      <c r="B69" s="47">
        <v>16403604</v>
      </c>
      <c r="C69" s="47">
        <v>4035121</v>
      </c>
      <c r="D69" s="47">
        <f t="shared" si="8"/>
        <v>20438725</v>
      </c>
      <c r="E69" s="47">
        <f t="shared" si="12"/>
        <v>-2017560.5</v>
      </c>
      <c r="I69" s="11">
        <f t="shared" si="13"/>
        <v>18421164.5</v>
      </c>
      <c r="J69" s="53">
        <f t="shared" si="15"/>
        <v>2.1681391930083616E-2</v>
      </c>
      <c r="K69" s="45" t="str">
        <f t="shared" si="11"/>
        <v>Yes</v>
      </c>
      <c r="L69" s="45" t="str">
        <f t="shared" si="14"/>
        <v xml:space="preserve"> </v>
      </c>
    </row>
    <row r="70" spans="1:12">
      <c r="A70" s="45" t="s">
        <v>220</v>
      </c>
      <c r="B70" s="47">
        <v>21995234</v>
      </c>
      <c r="C70" s="47">
        <v>3425928</v>
      </c>
      <c r="D70" s="47">
        <f t="shared" si="8"/>
        <v>25421162</v>
      </c>
      <c r="E70" s="47">
        <f t="shared" si="12"/>
        <v>-1712964</v>
      </c>
      <c r="I70" s="11">
        <f t="shared" si="13"/>
        <v>23708198</v>
      </c>
      <c r="J70" s="53">
        <f t="shared" si="15"/>
        <v>2.7904138893826421E-2</v>
      </c>
      <c r="K70" s="45" t="str">
        <f t="shared" si="11"/>
        <v>Yes</v>
      </c>
      <c r="L70" s="45" t="str">
        <f t="shared" si="14"/>
        <v xml:space="preserve"> </v>
      </c>
    </row>
    <row r="71" spans="1:12">
      <c r="A71" s="45" t="s">
        <v>221</v>
      </c>
      <c r="B71" s="47">
        <v>5935137</v>
      </c>
      <c r="C71" s="47">
        <v>0</v>
      </c>
      <c r="D71" s="47">
        <f t="shared" si="8"/>
        <v>5935137</v>
      </c>
      <c r="E71" s="47">
        <f t="shared" si="12"/>
        <v>0</v>
      </c>
      <c r="I71" s="11">
        <f t="shared" si="13"/>
        <v>5935137</v>
      </c>
      <c r="J71" s="53">
        <f t="shared" si="15"/>
        <v>6.9855535710427368E-3</v>
      </c>
      <c r="K71" s="45" t="str">
        <f t="shared" si="11"/>
        <v>Yes</v>
      </c>
      <c r="L71" s="45" t="str">
        <f t="shared" si="14"/>
        <v xml:space="preserve"> </v>
      </c>
    </row>
    <row r="72" spans="1:12">
      <c r="A72" s="45" t="s">
        <v>222</v>
      </c>
      <c r="B72" s="47">
        <v>4471302</v>
      </c>
      <c r="C72" s="47">
        <v>0</v>
      </c>
      <c r="D72" s="47">
        <f t="shared" si="8"/>
        <v>4471302</v>
      </c>
      <c r="E72" s="47">
        <f t="shared" si="12"/>
        <v>0</v>
      </c>
      <c r="I72" s="11">
        <f t="shared" si="13"/>
        <v>4471302</v>
      </c>
      <c r="J72" s="53">
        <f t="shared" si="15"/>
        <v>5.2626451004097342E-3</v>
      </c>
      <c r="K72" s="45" t="str">
        <f t="shared" si="11"/>
        <v>Yes</v>
      </c>
      <c r="L72" s="45" t="str">
        <f t="shared" si="14"/>
        <v xml:space="preserve"> </v>
      </c>
    </row>
    <row r="73" spans="1:12">
      <c r="A73" s="45" t="s">
        <v>223</v>
      </c>
      <c r="B73" s="47">
        <v>3213212</v>
      </c>
      <c r="C73" s="47">
        <v>0</v>
      </c>
      <c r="D73" s="47">
        <f t="shared" si="8"/>
        <v>3213212</v>
      </c>
      <c r="E73" s="47">
        <f t="shared" si="12"/>
        <v>0</v>
      </c>
      <c r="I73" s="11">
        <f t="shared" si="13"/>
        <v>3213212</v>
      </c>
      <c r="J73" s="53">
        <f t="shared" si="15"/>
        <v>3.7818949353852107E-3</v>
      </c>
      <c r="K73" s="45" t="str">
        <f t="shared" si="11"/>
        <v>Yes</v>
      </c>
      <c r="L73" s="45" t="str">
        <f t="shared" si="14"/>
        <v xml:space="preserve"> </v>
      </c>
    </row>
    <row r="74" spans="1:12">
      <c r="A74" s="45" t="s">
        <v>224</v>
      </c>
      <c r="B74" s="47">
        <v>39643710</v>
      </c>
      <c r="C74" s="47">
        <v>16617259</v>
      </c>
      <c r="D74" s="47">
        <f t="shared" si="8"/>
        <v>56260969</v>
      </c>
      <c r="E74" s="47">
        <f t="shared" si="12"/>
        <v>-8308629.5</v>
      </c>
      <c r="I74" s="11">
        <f t="shared" si="13"/>
        <v>47952339.5</v>
      </c>
      <c r="J74" s="53">
        <f t="shared" si="15"/>
        <v>5.6439074015322423E-2</v>
      </c>
      <c r="K74" s="45" t="str">
        <f t="shared" si="11"/>
        <v>Yes</v>
      </c>
      <c r="L74" s="45" t="str">
        <f t="shared" si="14"/>
        <v xml:space="preserve"> </v>
      </c>
    </row>
    <row r="75" spans="1:12">
      <c r="A75" s="45" t="s">
        <v>405</v>
      </c>
      <c r="B75" s="47">
        <v>87361</v>
      </c>
      <c r="C75" s="47">
        <v>0</v>
      </c>
      <c r="D75" s="47">
        <f t="shared" si="8"/>
        <v>87361</v>
      </c>
      <c r="E75" s="47">
        <f t="shared" si="12"/>
        <v>0</v>
      </c>
      <c r="I75" s="11">
        <f t="shared" si="13"/>
        <v>0</v>
      </c>
      <c r="J75" s="53">
        <f t="shared" si="15"/>
        <v>0</v>
      </c>
      <c r="K75" s="45" t="e">
        <f t="shared" si="11"/>
        <v>#N/A</v>
      </c>
      <c r="L75" s="45" t="str">
        <f t="shared" si="14"/>
        <v xml:space="preserve"> </v>
      </c>
    </row>
    <row r="76" spans="1:12">
      <c r="A76" s="45" t="s">
        <v>225</v>
      </c>
      <c r="B76" s="47">
        <v>503533</v>
      </c>
      <c r="C76" s="47">
        <v>0</v>
      </c>
      <c r="D76" s="47">
        <f t="shared" si="8"/>
        <v>503533</v>
      </c>
      <c r="E76" s="47">
        <f t="shared" si="12"/>
        <v>0</v>
      </c>
      <c r="I76" s="11">
        <f t="shared" si="13"/>
        <v>503533</v>
      </c>
      <c r="J76" s="53">
        <f t="shared" si="15"/>
        <v>5.9264962987170514E-4</v>
      </c>
      <c r="K76" s="45" t="str">
        <f t="shared" si="11"/>
        <v>Yes</v>
      </c>
      <c r="L76" s="45" t="str">
        <f t="shared" si="14"/>
        <v xml:space="preserve"> </v>
      </c>
    </row>
    <row r="77" spans="1:12">
      <c r="A77" s="45" t="s">
        <v>226</v>
      </c>
      <c r="B77" s="47">
        <v>95952497</v>
      </c>
      <c r="C77" s="47">
        <v>0</v>
      </c>
      <c r="D77" s="47">
        <f t="shared" si="8"/>
        <v>95952497</v>
      </c>
      <c r="E77" s="47">
        <f t="shared" si="12"/>
        <v>0</v>
      </c>
      <c r="F77" s="47">
        <f>-(85079520+8558292)</f>
        <v>-93637812</v>
      </c>
      <c r="I77" s="11">
        <f t="shared" si="13"/>
        <v>2314685</v>
      </c>
      <c r="J77" s="53">
        <f t="shared" si="15"/>
        <v>2.7243442009155065E-3</v>
      </c>
      <c r="K77" s="45" t="str">
        <f t="shared" si="11"/>
        <v>Yes</v>
      </c>
      <c r="L77" s="45" t="str">
        <f t="shared" si="14"/>
        <v>Excludes retirement payouts, PERS contributions, and disability/death benefits (547000, 547100)</v>
      </c>
    </row>
    <row r="78" spans="1:12">
      <c r="A78" s="45" t="s">
        <v>227</v>
      </c>
      <c r="B78" s="47">
        <v>7940</v>
      </c>
      <c r="C78" s="47">
        <v>0</v>
      </c>
      <c r="D78" s="47">
        <f t="shared" si="8"/>
        <v>7940</v>
      </c>
      <c r="E78" s="47">
        <f t="shared" si="12"/>
        <v>0</v>
      </c>
      <c r="I78" s="11">
        <f t="shared" si="13"/>
        <v>0</v>
      </c>
      <c r="J78" s="53">
        <f t="shared" si="15"/>
        <v>0</v>
      </c>
      <c r="K78" s="45" t="str">
        <f t="shared" si="11"/>
        <v>Yes</v>
      </c>
      <c r="L78" s="45" t="str">
        <f t="shared" si="14"/>
        <v xml:space="preserve"> </v>
      </c>
    </row>
    <row r="79" spans="1:12">
      <c r="I79" s="11"/>
      <c r="J79" s="48">
        <f>SUM(J2:J78)</f>
        <v>0.99999999999999967</v>
      </c>
    </row>
    <row r="80" spans="1:12">
      <c r="I80" s="11"/>
    </row>
    <row r="81" spans="9:9">
      <c r="I81" s="11"/>
    </row>
  </sheetData>
  <pageMargins left="0.75" right="0.75" top="1" bottom="1" header="0.5" footer="0.5"/>
  <pageSetup orientation="portrait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>
  <dimension ref="A1:H41"/>
  <sheetViews>
    <sheetView workbookViewId="0">
      <selection activeCell="C40" sqref="C40"/>
    </sheetView>
  </sheetViews>
  <sheetFormatPr defaultRowHeight="13.2"/>
  <cols>
    <col min="1" max="1" width="11.44140625" style="45" bestFit="1" customWidth="1"/>
    <col min="2" max="2" width="12.88671875" style="45" bestFit="1" customWidth="1"/>
    <col min="3" max="5" width="12.88671875" style="45" customWidth="1"/>
    <col min="6" max="6" width="10.77734375" style="45" customWidth="1"/>
    <col min="7" max="7" width="8.88671875" style="45"/>
    <col min="8" max="8" width="32.88671875" style="45" bestFit="1" customWidth="1"/>
    <col min="9" max="16384" width="8.88671875" style="45"/>
  </cols>
  <sheetData>
    <row r="1" spans="1:8" ht="28.8">
      <c r="A1" s="23" t="s">
        <v>228</v>
      </c>
      <c r="B1" s="30" t="s">
        <v>390</v>
      </c>
      <c r="C1" s="30" t="s">
        <v>448</v>
      </c>
      <c r="D1" s="30" t="s">
        <v>446</v>
      </c>
      <c r="E1" s="30" t="s">
        <v>391</v>
      </c>
      <c r="F1" s="24" t="s">
        <v>343</v>
      </c>
      <c r="G1" s="6" t="s">
        <v>341</v>
      </c>
      <c r="H1" s="6" t="s">
        <v>346</v>
      </c>
    </row>
    <row r="2" spans="1:8" ht="14.4">
      <c r="A2" s="77" t="s">
        <v>163</v>
      </c>
      <c r="B2" s="78">
        <v>63</v>
      </c>
      <c r="C2" s="81">
        <v>-1</v>
      </c>
      <c r="D2" s="31">
        <v>-62</v>
      </c>
      <c r="E2" s="45">
        <f t="shared" ref="E2:E40" si="0">IF((VLOOKUP(A2,Crosswalk,2,FALSE)="Excluded"),0,(SUM(B2+C2+D2)))</f>
        <v>0</v>
      </c>
      <c r="F2" s="25">
        <f>E2/SUM($E$2:$E$40)</f>
        <v>0</v>
      </c>
      <c r="G2" s="45" t="str">
        <f t="shared" ref="G2:G40" si="1">IF(VLOOKUP(A2,Model,2,FALSE)&lt;&gt;"","Yes","No")</f>
        <v>Yes</v>
      </c>
      <c r="H2" s="45" t="str">
        <f t="shared" ref="H2:H40" si="2">IF((VLOOKUP(A2,Crosswalk,3,FALSE))=0," ",(VLOOKUP(A2,Crosswalk,3,FALSE)))</f>
        <v>100% Overhead</v>
      </c>
    </row>
    <row r="3" spans="1:8" ht="14.4">
      <c r="A3" s="77" t="s">
        <v>164</v>
      </c>
      <c r="B3" s="78">
        <v>63</v>
      </c>
      <c r="C3" s="81">
        <v>-4</v>
      </c>
      <c r="D3" s="31">
        <v>-59</v>
      </c>
      <c r="E3" s="45">
        <f t="shared" si="0"/>
        <v>0</v>
      </c>
      <c r="F3" s="25">
        <f t="shared" ref="F3:F40" si="3">E3/SUM($E$2:$E$40)</f>
        <v>0</v>
      </c>
      <c r="G3" s="45" t="str">
        <f t="shared" si="1"/>
        <v>Yes</v>
      </c>
      <c r="H3" s="45" t="str">
        <f t="shared" si="2"/>
        <v>100% Overhead</v>
      </c>
    </row>
    <row r="4" spans="1:8" ht="14.4">
      <c r="A4" s="77" t="s">
        <v>158</v>
      </c>
      <c r="B4" s="78">
        <v>9</v>
      </c>
      <c r="C4" s="81"/>
      <c r="D4" s="31"/>
      <c r="E4" s="45">
        <f t="shared" si="0"/>
        <v>9</v>
      </c>
      <c r="F4" s="25">
        <f t="shared" si="3"/>
        <v>1.1472275334608031E-3</v>
      </c>
      <c r="G4" s="45" t="str">
        <f t="shared" si="1"/>
        <v>Yes</v>
      </c>
      <c r="H4" s="45" t="str">
        <f t="shared" si="2"/>
        <v xml:space="preserve"> </v>
      </c>
    </row>
    <row r="5" spans="1:8" ht="14.4">
      <c r="A5" s="77" t="s">
        <v>166</v>
      </c>
      <c r="B5" s="78">
        <v>17</v>
      </c>
      <c r="C5" s="81"/>
      <c r="D5" s="31">
        <v>-17</v>
      </c>
      <c r="E5" s="45">
        <f t="shared" si="0"/>
        <v>0</v>
      </c>
      <c r="F5" s="25">
        <f t="shared" si="3"/>
        <v>0</v>
      </c>
      <c r="G5" s="45" t="str">
        <f t="shared" si="1"/>
        <v>Yes</v>
      </c>
      <c r="H5" s="45" t="str">
        <f t="shared" si="2"/>
        <v>100% Overhead</v>
      </c>
    </row>
    <row r="6" spans="1:8" ht="14.4">
      <c r="A6" s="77" t="s">
        <v>167</v>
      </c>
      <c r="B6" s="78">
        <v>782</v>
      </c>
      <c r="C6" s="81">
        <v>-10</v>
      </c>
      <c r="D6" s="31">
        <v>-1</v>
      </c>
      <c r="E6" s="45">
        <f t="shared" si="0"/>
        <v>771</v>
      </c>
      <c r="F6" s="25">
        <f t="shared" si="3"/>
        <v>9.82791586998088E-2</v>
      </c>
      <c r="G6" s="45" t="str">
        <f t="shared" si="1"/>
        <v>Yes</v>
      </c>
      <c r="H6" s="45" t="str">
        <f t="shared" si="2"/>
        <v>Exclude expenditures for emergency mgmt (FREO000004 Fund Center)</v>
      </c>
    </row>
    <row r="7" spans="1:8" ht="14.4">
      <c r="A7" s="77" t="s">
        <v>159</v>
      </c>
      <c r="B7" s="78">
        <v>9</v>
      </c>
      <c r="C7" s="81"/>
      <c r="D7" s="31">
        <v>-9</v>
      </c>
      <c r="E7" s="45">
        <f t="shared" si="0"/>
        <v>0</v>
      </c>
      <c r="F7" s="25">
        <f t="shared" si="3"/>
        <v>0</v>
      </c>
      <c r="G7" s="45" t="str">
        <f t="shared" si="1"/>
        <v>Yes</v>
      </c>
      <c r="H7" s="45" t="str">
        <f t="shared" si="2"/>
        <v>100% Overhead</v>
      </c>
    </row>
    <row r="8" spans="1:8" ht="14.4">
      <c r="A8" s="77" t="s">
        <v>168</v>
      </c>
      <c r="B8" s="78">
        <v>42</v>
      </c>
      <c r="C8" s="81">
        <v>-1</v>
      </c>
      <c r="D8" s="31"/>
      <c r="E8" s="45">
        <f t="shared" si="0"/>
        <v>41</v>
      </c>
      <c r="F8" s="25">
        <f t="shared" si="3"/>
        <v>5.2262587635436581E-3</v>
      </c>
      <c r="G8" s="45" t="str">
        <f t="shared" si="1"/>
        <v>Yes</v>
      </c>
      <c r="H8" s="45" t="str">
        <f t="shared" si="2"/>
        <v xml:space="preserve"> </v>
      </c>
    </row>
    <row r="9" spans="1:8" ht="14.4">
      <c r="A9" s="77" t="s">
        <v>160</v>
      </c>
      <c r="B9" s="78">
        <v>4</v>
      </c>
      <c r="C9" s="81"/>
      <c r="D9" s="31"/>
      <c r="E9" s="45">
        <f t="shared" si="0"/>
        <v>0</v>
      </c>
      <c r="F9" s="25">
        <f t="shared" si="3"/>
        <v>0</v>
      </c>
      <c r="G9" s="45" t="str">
        <f t="shared" si="1"/>
        <v>Yes</v>
      </c>
      <c r="H9" s="45" t="str">
        <f t="shared" si="2"/>
        <v xml:space="preserve"> </v>
      </c>
    </row>
    <row r="10" spans="1:8" ht="14.4">
      <c r="A10" s="77" t="s">
        <v>161</v>
      </c>
      <c r="B10" s="78">
        <v>605</v>
      </c>
      <c r="C10" s="81">
        <v>-9</v>
      </c>
      <c r="D10" s="31">
        <f>-535+6</f>
        <v>-529</v>
      </c>
      <c r="E10" s="45">
        <f t="shared" si="0"/>
        <v>67</v>
      </c>
      <c r="F10" s="25">
        <f t="shared" si="3"/>
        <v>8.5404716379859792E-3</v>
      </c>
      <c r="G10" s="45" t="str">
        <f t="shared" si="1"/>
        <v>Yes</v>
      </c>
      <c r="H10" s="45" t="str">
        <f t="shared" si="2"/>
        <v>Exclude MFHR, MFDR, MFIB</v>
      </c>
    </row>
    <row r="11" spans="1:8" ht="14.4">
      <c r="A11" s="77" t="s">
        <v>165</v>
      </c>
      <c r="B11" s="78">
        <v>31</v>
      </c>
      <c r="C11" s="81">
        <v>-1</v>
      </c>
      <c r="D11" s="31">
        <f>-29+1</f>
        <v>-28</v>
      </c>
      <c r="E11" s="45">
        <f t="shared" si="0"/>
        <v>2</v>
      </c>
      <c r="F11" s="25">
        <f t="shared" si="3"/>
        <v>2.5493945188017844E-4</v>
      </c>
      <c r="G11" s="45" t="str">
        <f t="shared" si="1"/>
        <v>Yes</v>
      </c>
      <c r="H11" s="45" t="str">
        <f t="shared" si="2"/>
        <v>Exclude expenditures for Admin &amp; Support (LAMYAS Functional Area)</v>
      </c>
    </row>
    <row r="12" spans="1:8" ht="14.4">
      <c r="A12" s="77" t="s">
        <v>162</v>
      </c>
      <c r="B12" s="78">
        <v>58</v>
      </c>
      <c r="C12" s="81">
        <v>-5</v>
      </c>
      <c r="D12" s="31">
        <v>-6</v>
      </c>
      <c r="E12" s="45">
        <f t="shared" si="0"/>
        <v>47</v>
      </c>
      <c r="F12" s="25">
        <f t="shared" si="3"/>
        <v>5.9910771191841938E-3</v>
      </c>
      <c r="G12" s="45" t="str">
        <f t="shared" si="1"/>
        <v>Yes</v>
      </c>
      <c r="H12" s="45" t="str">
        <f t="shared" si="2"/>
        <v>Exclude expenditures for Information &amp; Referral and Public Involvement best practices (CDIR, CDNRNOPI)</v>
      </c>
    </row>
    <row r="13" spans="1:8" ht="14.4">
      <c r="A13" s="77" t="s">
        <v>154</v>
      </c>
      <c r="B13" s="78">
        <v>14</v>
      </c>
      <c r="C13" s="81">
        <v>-1</v>
      </c>
      <c r="D13" s="31">
        <v>-11</v>
      </c>
      <c r="E13" s="45">
        <f t="shared" si="0"/>
        <v>2</v>
      </c>
      <c r="F13" s="25">
        <f t="shared" si="3"/>
        <v>2.5493945188017844E-4</v>
      </c>
      <c r="G13" s="45" t="str">
        <f t="shared" si="1"/>
        <v>Yes</v>
      </c>
      <c r="H13" s="45" t="str">
        <f t="shared" si="2"/>
        <v>Exclude Commissioner's Office (PACO000001)</v>
      </c>
    </row>
    <row r="14" spans="1:8" ht="14.4">
      <c r="A14" s="77" t="s">
        <v>169</v>
      </c>
      <c r="B14" s="78">
        <v>3364</v>
      </c>
      <c r="C14" s="81">
        <v>-1033</v>
      </c>
      <c r="D14" s="31"/>
      <c r="E14" s="45">
        <f t="shared" si="0"/>
        <v>2331</v>
      </c>
      <c r="F14" s="25">
        <f t="shared" si="3"/>
        <v>0.29713193116634801</v>
      </c>
      <c r="G14" s="45" t="str">
        <f t="shared" si="1"/>
        <v>Yes</v>
      </c>
      <c r="H14" s="45" t="str">
        <f t="shared" si="2"/>
        <v xml:space="preserve"> </v>
      </c>
    </row>
    <row r="15" spans="1:8" ht="14.4">
      <c r="A15" s="77" t="s">
        <v>170</v>
      </c>
      <c r="B15" s="78">
        <v>1351</v>
      </c>
      <c r="C15" s="81">
        <v>-2</v>
      </c>
      <c r="D15" s="31"/>
      <c r="E15" s="45">
        <f t="shared" si="0"/>
        <v>1349</v>
      </c>
      <c r="F15" s="25">
        <f t="shared" si="3"/>
        <v>0.17195666029318038</v>
      </c>
      <c r="G15" s="45" t="str">
        <f t="shared" si="1"/>
        <v>Yes</v>
      </c>
      <c r="H15" s="45" t="str">
        <f t="shared" si="2"/>
        <v xml:space="preserve"> </v>
      </c>
    </row>
    <row r="16" spans="1:8" ht="14.4">
      <c r="A16" s="77" t="s">
        <v>153</v>
      </c>
      <c r="B16" s="78">
        <v>101</v>
      </c>
      <c r="C16" s="81">
        <v>-5</v>
      </c>
      <c r="D16" s="31">
        <f>(10*-0.5)-9</f>
        <v>-14</v>
      </c>
      <c r="E16" s="45">
        <f t="shared" si="0"/>
        <v>82</v>
      </c>
      <c r="F16" s="25">
        <f t="shared" si="3"/>
        <v>1.0452517527087316E-2</v>
      </c>
      <c r="G16" s="45" t="str">
        <f t="shared" si="1"/>
        <v>Yes</v>
      </c>
      <c r="H16" s="45" t="str">
        <f t="shared" si="2"/>
        <v>Exclude expenditures for Comp Planning &amp; 1/2 of district liaisons (CDAPDI, CDCP00)</v>
      </c>
    </row>
    <row r="17" spans="1:8" ht="14.4">
      <c r="A17" s="77" t="s">
        <v>155</v>
      </c>
      <c r="B17" s="78">
        <v>8</v>
      </c>
      <c r="C17" s="81">
        <v>-1</v>
      </c>
      <c r="D17" s="31">
        <v>-7</v>
      </c>
      <c r="E17" s="45">
        <f t="shared" si="0"/>
        <v>0</v>
      </c>
      <c r="F17" s="25">
        <f t="shared" si="3"/>
        <v>0</v>
      </c>
      <c r="G17" s="45" t="str">
        <f t="shared" si="1"/>
        <v>Yes</v>
      </c>
      <c r="H17" s="45" t="str">
        <f t="shared" si="2"/>
        <v>100% Overhead</v>
      </c>
    </row>
    <row r="18" spans="1:8" ht="14.4">
      <c r="A18" s="77" t="s">
        <v>156</v>
      </c>
      <c r="B18" s="78">
        <v>10</v>
      </c>
      <c r="C18" s="81"/>
      <c r="D18" s="31">
        <v>-10</v>
      </c>
      <c r="E18" s="45">
        <f t="shared" si="0"/>
        <v>0</v>
      </c>
      <c r="F18" s="25">
        <f t="shared" si="3"/>
        <v>0</v>
      </c>
      <c r="G18" s="45" t="str">
        <f t="shared" si="1"/>
        <v>Yes</v>
      </c>
      <c r="H18" s="45" t="str">
        <f t="shared" si="2"/>
        <v>100% Overhead</v>
      </c>
    </row>
    <row r="19" spans="1:8" ht="14.4">
      <c r="A19" s="77" t="s">
        <v>157</v>
      </c>
      <c r="B19" s="78">
        <v>7</v>
      </c>
      <c r="C19" s="81"/>
      <c r="D19" s="31">
        <v>-7</v>
      </c>
      <c r="E19" s="45">
        <f t="shared" si="0"/>
        <v>0</v>
      </c>
      <c r="F19" s="25">
        <f t="shared" si="3"/>
        <v>0</v>
      </c>
      <c r="G19" s="45" t="str">
        <f t="shared" si="1"/>
        <v>Yes</v>
      </c>
      <c r="H19" s="45" t="str">
        <f t="shared" si="2"/>
        <v>100% Overhead</v>
      </c>
    </row>
    <row r="20" spans="1:8" ht="14.4">
      <c r="A20" s="77" t="s">
        <v>319</v>
      </c>
      <c r="B20" s="78">
        <v>28</v>
      </c>
      <c r="C20" s="81"/>
      <c r="D20" s="31"/>
      <c r="E20" s="45">
        <f t="shared" si="0"/>
        <v>28</v>
      </c>
      <c r="F20" s="25">
        <f t="shared" si="3"/>
        <v>3.5691523263224985E-3</v>
      </c>
      <c r="G20" s="45" t="str">
        <f t="shared" si="1"/>
        <v>Yes</v>
      </c>
      <c r="H20" s="45" t="str">
        <f t="shared" si="2"/>
        <v xml:space="preserve"> </v>
      </c>
    </row>
    <row r="21" spans="1:8" ht="14.4">
      <c r="A21" s="77" t="s">
        <v>172</v>
      </c>
      <c r="B21" s="78">
        <v>826</v>
      </c>
      <c r="C21" s="81">
        <v>-27</v>
      </c>
      <c r="D21" s="31"/>
      <c r="E21" s="45">
        <f t="shared" si="0"/>
        <v>799</v>
      </c>
      <c r="F21" s="25">
        <f t="shared" si="3"/>
        <v>0.10184831102613129</v>
      </c>
      <c r="G21" s="45" t="str">
        <f t="shared" si="1"/>
        <v>Yes</v>
      </c>
      <c r="H21" s="45" t="str">
        <f t="shared" si="2"/>
        <v xml:space="preserve"> </v>
      </c>
    </row>
    <row r="22" spans="1:8" ht="14.4">
      <c r="A22" s="77" t="s">
        <v>173</v>
      </c>
      <c r="B22" s="78">
        <v>150</v>
      </c>
      <c r="C22" s="81"/>
      <c r="D22" s="31"/>
      <c r="E22" s="45">
        <f t="shared" si="0"/>
        <v>150</v>
      </c>
      <c r="F22" s="25">
        <f t="shared" si="3"/>
        <v>1.9120458891013385E-2</v>
      </c>
      <c r="G22" s="45" t="str">
        <f t="shared" si="1"/>
        <v>Yes</v>
      </c>
      <c r="H22" s="45" t="str">
        <f t="shared" si="2"/>
        <v xml:space="preserve"> </v>
      </c>
    </row>
    <row r="23" spans="1:8" ht="14.4">
      <c r="A23" s="77" t="s">
        <v>175</v>
      </c>
      <c r="B23" s="78">
        <v>373</v>
      </c>
      <c r="C23" s="81">
        <v>-1</v>
      </c>
      <c r="D23" s="31"/>
      <c r="E23" s="45">
        <f t="shared" si="0"/>
        <v>372</v>
      </c>
      <c r="F23" s="25">
        <f t="shared" si="3"/>
        <v>4.7418738049713194E-2</v>
      </c>
      <c r="G23" s="45" t="str">
        <f t="shared" si="1"/>
        <v>Yes</v>
      </c>
      <c r="H23" s="45" t="str">
        <f t="shared" si="2"/>
        <v xml:space="preserve"> </v>
      </c>
    </row>
    <row r="24" spans="1:8" ht="14.4">
      <c r="A24" s="77" t="s">
        <v>183</v>
      </c>
      <c r="B24" s="78">
        <v>5</v>
      </c>
      <c r="C24" s="81"/>
      <c r="D24" s="31">
        <v>-5</v>
      </c>
      <c r="E24" s="45">
        <f t="shared" si="0"/>
        <v>0</v>
      </c>
      <c r="F24" s="25">
        <f t="shared" si="3"/>
        <v>0</v>
      </c>
      <c r="G24" s="45" t="str">
        <f t="shared" si="1"/>
        <v>Yes</v>
      </c>
      <c r="H24" s="45" t="str">
        <f t="shared" si="2"/>
        <v>Fixed at $25,000 (hardcoded in Model)</v>
      </c>
    </row>
    <row r="25" spans="1:8" ht="14.4">
      <c r="A25" s="77" t="s">
        <v>207</v>
      </c>
      <c r="B25" s="78">
        <v>17</v>
      </c>
      <c r="C25" s="81">
        <v>-2</v>
      </c>
      <c r="D25" s="31"/>
      <c r="E25" s="45">
        <f t="shared" si="0"/>
        <v>15</v>
      </c>
      <c r="F25" s="25">
        <f t="shared" si="3"/>
        <v>1.9120458891013384E-3</v>
      </c>
      <c r="G25" s="45" t="str">
        <f t="shared" si="1"/>
        <v>Yes</v>
      </c>
      <c r="H25" s="45" t="str">
        <f t="shared" si="2"/>
        <v xml:space="preserve"> </v>
      </c>
    </row>
    <row r="26" spans="1:8" ht="14.4">
      <c r="A26" s="77" t="s">
        <v>209</v>
      </c>
      <c r="B26" s="78">
        <v>562</v>
      </c>
      <c r="C26" s="81">
        <v>-31</v>
      </c>
      <c r="D26" s="31"/>
      <c r="E26" s="45">
        <f t="shared" si="0"/>
        <v>531</v>
      </c>
      <c r="F26" s="25">
        <f t="shared" si="3"/>
        <v>6.7686424474187379E-2</v>
      </c>
      <c r="G26" s="45" t="str">
        <f t="shared" si="1"/>
        <v>Yes</v>
      </c>
      <c r="H26" s="45" t="str">
        <f t="shared" si="2"/>
        <v xml:space="preserve"> </v>
      </c>
    </row>
    <row r="27" spans="1:8" ht="14.4">
      <c r="A27" s="77" t="s">
        <v>210</v>
      </c>
      <c r="B27" s="78">
        <v>3</v>
      </c>
      <c r="C27" s="81"/>
      <c r="D27" s="31"/>
      <c r="E27" s="45">
        <f t="shared" si="0"/>
        <v>3</v>
      </c>
      <c r="F27" s="25">
        <f t="shared" si="3"/>
        <v>3.8240917782026768E-4</v>
      </c>
      <c r="G27" s="45" t="str">
        <f t="shared" si="1"/>
        <v>Yes</v>
      </c>
      <c r="H27" s="45" t="str">
        <f t="shared" si="2"/>
        <v xml:space="preserve"> </v>
      </c>
    </row>
    <row r="28" spans="1:8" ht="14.4">
      <c r="A28" s="77" t="s">
        <v>211</v>
      </c>
      <c r="B28" s="78">
        <v>706</v>
      </c>
      <c r="C28" s="81">
        <v>-18</v>
      </c>
      <c r="D28" s="31"/>
      <c r="E28" s="45">
        <f t="shared" si="0"/>
        <v>688</v>
      </c>
      <c r="F28" s="25">
        <f t="shared" si="3"/>
        <v>8.7699171446781396E-2</v>
      </c>
      <c r="G28" s="45" t="str">
        <f t="shared" si="1"/>
        <v>Yes</v>
      </c>
      <c r="H28" s="45" t="str">
        <f t="shared" si="2"/>
        <v xml:space="preserve"> </v>
      </c>
    </row>
    <row r="29" spans="1:8" ht="14.4">
      <c r="A29" s="77" t="s">
        <v>212</v>
      </c>
      <c r="B29" s="78">
        <v>66</v>
      </c>
      <c r="C29" s="81">
        <v>-25</v>
      </c>
      <c r="D29" s="31"/>
      <c r="E29" s="45">
        <f t="shared" si="0"/>
        <v>41</v>
      </c>
      <c r="F29" s="25">
        <f t="shared" si="3"/>
        <v>5.2262587635436581E-3</v>
      </c>
      <c r="G29" s="45" t="str">
        <f t="shared" si="1"/>
        <v>Yes</v>
      </c>
      <c r="H29" s="45" t="str">
        <f t="shared" si="2"/>
        <v xml:space="preserve"> </v>
      </c>
    </row>
    <row r="30" spans="1:8" ht="14.4">
      <c r="A30" s="77" t="s">
        <v>213</v>
      </c>
      <c r="B30" s="78">
        <v>71</v>
      </c>
      <c r="C30" s="81">
        <v>-22</v>
      </c>
      <c r="D30" s="31"/>
      <c r="E30" s="45">
        <f t="shared" si="0"/>
        <v>49</v>
      </c>
      <c r="F30" s="25">
        <f t="shared" si="3"/>
        <v>6.2460165710643721E-3</v>
      </c>
      <c r="G30" s="45" t="str">
        <f t="shared" si="1"/>
        <v>Yes</v>
      </c>
      <c r="H30" s="45" t="str">
        <f t="shared" si="2"/>
        <v xml:space="preserve"> </v>
      </c>
    </row>
    <row r="31" spans="1:8" ht="14.4">
      <c r="A31" s="77" t="s">
        <v>214</v>
      </c>
      <c r="B31" s="78">
        <v>30</v>
      </c>
      <c r="C31" s="81"/>
      <c r="D31" s="31"/>
      <c r="E31" s="45">
        <f t="shared" si="0"/>
        <v>30</v>
      </c>
      <c r="F31" s="25">
        <f t="shared" si="3"/>
        <v>3.8240917782026767E-3</v>
      </c>
      <c r="G31" s="45" t="str">
        <f t="shared" si="1"/>
        <v>Yes</v>
      </c>
      <c r="H31" s="45" t="str">
        <f t="shared" si="2"/>
        <v xml:space="preserve"> </v>
      </c>
    </row>
    <row r="32" spans="1:8" ht="14.4">
      <c r="A32" s="77" t="s">
        <v>217</v>
      </c>
      <c r="B32" s="78">
        <v>5</v>
      </c>
      <c r="C32" s="81"/>
      <c r="D32" s="31"/>
      <c r="E32" s="45">
        <f t="shared" si="0"/>
        <v>5</v>
      </c>
      <c r="F32" s="25">
        <f t="shared" si="3"/>
        <v>6.3734862970044612E-4</v>
      </c>
      <c r="G32" s="45" t="str">
        <f t="shared" si="1"/>
        <v>Yes</v>
      </c>
      <c r="H32" s="45" t="str">
        <f t="shared" si="2"/>
        <v xml:space="preserve"> </v>
      </c>
    </row>
    <row r="33" spans="1:8" ht="14.4">
      <c r="A33" s="77" t="s">
        <v>218</v>
      </c>
      <c r="B33" s="78">
        <v>10</v>
      </c>
      <c r="C33" s="81"/>
      <c r="D33" s="31"/>
      <c r="E33" s="45">
        <f t="shared" si="0"/>
        <v>10</v>
      </c>
      <c r="F33" s="25">
        <f t="shared" si="3"/>
        <v>1.2746972594008922E-3</v>
      </c>
      <c r="G33" s="45" t="str">
        <f t="shared" si="1"/>
        <v>Yes</v>
      </c>
      <c r="H33" s="45" t="str">
        <f t="shared" si="2"/>
        <v>Excludes insurance claim payouts (529721)</v>
      </c>
    </row>
    <row r="34" spans="1:8" ht="14.4">
      <c r="A34" s="77" t="s">
        <v>219</v>
      </c>
      <c r="B34" s="78">
        <v>36</v>
      </c>
      <c r="C34" s="81"/>
      <c r="D34" s="31"/>
      <c r="E34" s="45">
        <f t="shared" si="0"/>
        <v>36</v>
      </c>
      <c r="F34" s="25">
        <f t="shared" si="3"/>
        <v>4.5889101338432124E-3</v>
      </c>
      <c r="G34" s="45" t="str">
        <f t="shared" si="1"/>
        <v>Yes</v>
      </c>
      <c r="H34" s="45" t="str">
        <f t="shared" si="2"/>
        <v xml:space="preserve"> </v>
      </c>
    </row>
    <row r="35" spans="1:8" ht="14.4">
      <c r="A35" s="77" t="s">
        <v>220</v>
      </c>
      <c r="B35" s="78">
        <v>78</v>
      </c>
      <c r="C35" s="81">
        <v>-1</v>
      </c>
      <c r="D35" s="31"/>
      <c r="E35" s="45">
        <f t="shared" si="0"/>
        <v>77</v>
      </c>
      <c r="F35" s="25">
        <f t="shared" si="3"/>
        <v>9.8151688973868705E-3</v>
      </c>
      <c r="G35" s="45" t="str">
        <f t="shared" si="1"/>
        <v>Yes</v>
      </c>
      <c r="H35" s="45" t="str">
        <f t="shared" si="2"/>
        <v xml:space="preserve"> </v>
      </c>
    </row>
    <row r="36" spans="1:8" ht="14.4">
      <c r="A36" s="77" t="s">
        <v>221</v>
      </c>
      <c r="B36" s="78">
        <v>32</v>
      </c>
      <c r="C36" s="81">
        <v>-3</v>
      </c>
      <c r="D36" s="31"/>
      <c r="E36" s="45">
        <f t="shared" si="0"/>
        <v>29</v>
      </c>
      <c r="F36" s="25">
        <f t="shared" si="3"/>
        <v>3.6966220522625876E-3</v>
      </c>
      <c r="G36" s="45" t="str">
        <f t="shared" si="1"/>
        <v>Yes</v>
      </c>
      <c r="H36" s="45" t="str">
        <f t="shared" si="2"/>
        <v xml:space="preserve"> </v>
      </c>
    </row>
    <row r="37" spans="1:8" ht="14.4">
      <c r="A37" s="77" t="s">
        <v>222</v>
      </c>
      <c r="B37" s="78">
        <v>15</v>
      </c>
      <c r="C37" s="81"/>
      <c r="D37" s="31"/>
      <c r="E37" s="45">
        <f t="shared" si="0"/>
        <v>15</v>
      </c>
      <c r="F37" s="25">
        <f t="shared" si="3"/>
        <v>1.9120458891013384E-3</v>
      </c>
      <c r="G37" s="45" t="str">
        <f t="shared" si="1"/>
        <v>Yes</v>
      </c>
      <c r="H37" s="45" t="str">
        <f t="shared" si="2"/>
        <v xml:space="preserve"> </v>
      </c>
    </row>
    <row r="38" spans="1:8" ht="14.4">
      <c r="A38" s="77" t="s">
        <v>223</v>
      </c>
      <c r="B38" s="78">
        <v>8</v>
      </c>
      <c r="C38" s="81"/>
      <c r="D38" s="31"/>
      <c r="E38" s="45">
        <f t="shared" si="0"/>
        <v>8</v>
      </c>
      <c r="F38" s="25">
        <f t="shared" si="3"/>
        <v>1.0197578075207138E-3</v>
      </c>
      <c r="G38" s="45" t="str">
        <f t="shared" si="1"/>
        <v>Yes</v>
      </c>
      <c r="H38" s="45" t="str">
        <f t="shared" si="2"/>
        <v xml:space="preserve"> </v>
      </c>
    </row>
    <row r="39" spans="1:8" ht="14.4">
      <c r="A39" s="77" t="s">
        <v>224</v>
      </c>
      <c r="B39" s="78">
        <v>242</v>
      </c>
      <c r="C39" s="81">
        <v>-1</v>
      </c>
      <c r="D39" s="31"/>
      <c r="E39" s="45">
        <f t="shared" si="0"/>
        <v>241</v>
      </c>
      <c r="F39" s="25">
        <f t="shared" si="3"/>
        <v>3.0720203951561505E-2</v>
      </c>
      <c r="G39" s="45" t="str">
        <f t="shared" si="1"/>
        <v>Yes</v>
      </c>
      <c r="H39" s="45" t="str">
        <f t="shared" si="2"/>
        <v xml:space="preserve"> </v>
      </c>
    </row>
    <row r="40" spans="1:8" ht="14.4">
      <c r="A40" s="77" t="s">
        <v>226</v>
      </c>
      <c r="B40" s="78">
        <v>17</v>
      </c>
      <c r="C40" s="81"/>
      <c r="D40" s="31"/>
      <c r="E40" s="45">
        <f t="shared" si="0"/>
        <v>17</v>
      </c>
      <c r="F40" s="25">
        <f t="shared" si="3"/>
        <v>2.1669853409815171E-3</v>
      </c>
      <c r="G40" s="45" t="str">
        <f t="shared" si="1"/>
        <v>Yes</v>
      </c>
      <c r="H40" s="45" t="str">
        <f t="shared" si="2"/>
        <v>Excludes retirement payouts, PERS contributions, and disability/death benefits (547000, 547100)</v>
      </c>
    </row>
    <row r="41" spans="1:8">
      <c r="F41" s="48">
        <f>SUM(F2:F40)</f>
        <v>1.0000000000000002</v>
      </c>
    </row>
  </sheetData>
  <pageMargins left="0.7" right="0.7" top="0.75" bottom="0.75" header="0.3" footer="0.3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>
  <dimension ref="A1:L84"/>
  <sheetViews>
    <sheetView topLeftCell="A34" workbookViewId="0">
      <selection activeCell="F85" sqref="F85:F95"/>
    </sheetView>
  </sheetViews>
  <sheetFormatPr defaultRowHeight="13.2"/>
  <cols>
    <col min="1" max="1" width="11.5546875" bestFit="1" customWidth="1"/>
    <col min="2" max="4" width="12.44140625" style="7" bestFit="1" customWidth="1"/>
    <col min="5" max="5" width="13.21875" style="7" bestFit="1" customWidth="1"/>
    <col min="6" max="6" width="14.77734375" style="7" bestFit="1" customWidth="1"/>
    <col min="7" max="7" width="12.109375" style="7" bestFit="1" customWidth="1"/>
    <col min="8" max="8" width="14.6640625" style="7" bestFit="1" customWidth="1"/>
    <col min="9" max="9" width="12.44140625" bestFit="1" customWidth="1"/>
    <col min="10" max="10" width="9.21875" style="12" bestFit="1" customWidth="1"/>
    <col min="11" max="11" width="6.5546875" customWidth="1"/>
    <col min="12" max="12" width="65.6640625" bestFit="1" customWidth="1"/>
  </cols>
  <sheetData>
    <row r="1" spans="1:12" ht="39.6">
      <c r="A1" t="s">
        <v>228</v>
      </c>
      <c r="B1" s="9" t="s">
        <v>0</v>
      </c>
      <c r="C1" s="9" t="s">
        <v>1</v>
      </c>
      <c r="D1" s="10" t="s">
        <v>333</v>
      </c>
      <c r="E1" s="8" t="s">
        <v>332</v>
      </c>
      <c r="F1" s="8" t="s">
        <v>334</v>
      </c>
      <c r="G1" s="8" t="s">
        <v>335</v>
      </c>
      <c r="H1" s="8" t="s">
        <v>344</v>
      </c>
      <c r="I1" s="6" t="s">
        <v>336</v>
      </c>
      <c r="J1" s="19" t="s">
        <v>343</v>
      </c>
      <c r="K1" s="6" t="s">
        <v>341</v>
      </c>
    </row>
    <row r="2" spans="1:12">
      <c r="A2" t="s">
        <v>163</v>
      </c>
      <c r="B2" s="7">
        <v>7636300</v>
      </c>
      <c r="C2" s="7">
        <v>0</v>
      </c>
      <c r="D2" s="7">
        <f t="shared" ref="D2:D35" si="0">SUM(B2:C2)</f>
        <v>7636300</v>
      </c>
      <c r="E2" s="7">
        <f t="shared" ref="E2:E35" si="1">C2*-0.5</f>
        <v>0</v>
      </c>
      <c r="H2" s="7">
        <f>-D2-E2-F2-G2</f>
        <v>-7636300</v>
      </c>
      <c r="I2" s="11">
        <f t="shared" ref="I2:I33" si="2">IF((VLOOKUP(A2,Crosswalk,2,FALSE)="Excluded"),0,(D2+E2+F2+G2+H2))</f>
        <v>0</v>
      </c>
      <c r="J2" s="18">
        <f t="shared" ref="J2:J33" si="3">I2/(SUM($I$2:$I$80))</f>
        <v>0</v>
      </c>
      <c r="K2" t="str">
        <f t="shared" ref="K2:K35" si="4">IF(VLOOKUP(A2,Model,2,FALSE)&lt;&gt;"","Yes","No")</f>
        <v>Yes</v>
      </c>
      <c r="L2" s="45" t="str">
        <f t="shared" ref="L2:L33" si="5">IF((VLOOKUP(A2,Crosswalk,3,FALSE))=0," ",(VLOOKUP(A2,Crosswalk,3,FALSE)))</f>
        <v>100% Overhead</v>
      </c>
    </row>
    <row r="3" spans="1:12">
      <c r="A3" t="s">
        <v>164</v>
      </c>
      <c r="B3" s="7">
        <v>5746863</v>
      </c>
      <c r="C3" s="7">
        <v>1548</v>
      </c>
      <c r="D3" s="7">
        <f t="shared" si="0"/>
        <v>5748411</v>
      </c>
      <c r="E3" s="7">
        <f t="shared" si="1"/>
        <v>-774</v>
      </c>
      <c r="H3" s="7">
        <f>-D3-E3-F3-G3</f>
        <v>-5747637</v>
      </c>
      <c r="I3" s="11">
        <f t="shared" si="2"/>
        <v>0</v>
      </c>
      <c r="J3" s="18">
        <f t="shared" si="3"/>
        <v>0</v>
      </c>
      <c r="K3" t="str">
        <f t="shared" si="4"/>
        <v>Yes</v>
      </c>
      <c r="L3" s="45" t="str">
        <f t="shared" si="5"/>
        <v>100% Overhead</v>
      </c>
    </row>
    <row r="4" spans="1:12">
      <c r="A4" t="s">
        <v>158</v>
      </c>
      <c r="B4" s="7">
        <v>1600773</v>
      </c>
      <c r="C4" s="7">
        <v>0</v>
      </c>
      <c r="D4" s="7">
        <f t="shared" si="0"/>
        <v>1600773</v>
      </c>
      <c r="E4" s="7">
        <f t="shared" si="1"/>
        <v>0</v>
      </c>
      <c r="I4" s="11">
        <f t="shared" si="2"/>
        <v>1600773</v>
      </c>
      <c r="J4" s="18">
        <f t="shared" si="3"/>
        <v>1.8047776336604327E-3</v>
      </c>
      <c r="K4" t="str">
        <f t="shared" si="4"/>
        <v>Yes</v>
      </c>
      <c r="L4" s="45" t="str">
        <f t="shared" si="5"/>
        <v xml:space="preserve"> </v>
      </c>
    </row>
    <row r="5" spans="1:12">
      <c r="A5" t="s">
        <v>166</v>
      </c>
      <c r="B5" s="7">
        <v>1211697</v>
      </c>
      <c r="C5" s="7">
        <v>0</v>
      </c>
      <c r="D5" s="7">
        <f t="shared" si="0"/>
        <v>1211697</v>
      </c>
      <c r="E5" s="7">
        <f t="shared" si="1"/>
        <v>0</v>
      </c>
      <c r="H5" s="7">
        <f>-D5-E5-F5-G5</f>
        <v>-1211697</v>
      </c>
      <c r="I5" s="11">
        <f t="shared" si="2"/>
        <v>0</v>
      </c>
      <c r="J5" s="18">
        <f t="shared" si="3"/>
        <v>0</v>
      </c>
      <c r="K5" t="str">
        <f t="shared" si="4"/>
        <v>Yes</v>
      </c>
      <c r="L5" s="45" t="str">
        <f t="shared" si="5"/>
        <v>100% Overhead</v>
      </c>
    </row>
    <row r="6" spans="1:12">
      <c r="A6" t="s">
        <v>167</v>
      </c>
      <c r="B6" s="7">
        <v>81712119</v>
      </c>
      <c r="C6" s="7">
        <v>3025597</v>
      </c>
      <c r="D6" s="7">
        <f t="shared" si="0"/>
        <v>84737716</v>
      </c>
      <c r="E6" s="7">
        <f t="shared" si="1"/>
        <v>-1512798.5</v>
      </c>
      <c r="H6" s="7">
        <f>-113805-406</f>
        <v>-114211</v>
      </c>
      <c r="I6" s="11">
        <f t="shared" si="2"/>
        <v>83110706.5</v>
      </c>
      <c r="J6" s="18">
        <f t="shared" si="3"/>
        <v>9.370244513676626E-2</v>
      </c>
      <c r="K6" t="str">
        <f t="shared" si="4"/>
        <v>Yes</v>
      </c>
      <c r="L6" s="45" t="str">
        <f t="shared" si="5"/>
        <v>Exclude expenditures for emergency mgmt (FREO000004 Fund Center)</v>
      </c>
    </row>
    <row r="7" spans="1:12">
      <c r="A7" t="s">
        <v>159</v>
      </c>
      <c r="B7" s="7">
        <v>1008299</v>
      </c>
      <c r="C7" s="7">
        <v>0</v>
      </c>
      <c r="D7" s="7">
        <f t="shared" si="0"/>
        <v>1008299</v>
      </c>
      <c r="E7" s="7">
        <f t="shared" si="1"/>
        <v>0</v>
      </c>
      <c r="H7" s="7">
        <f>-D7-E7-F7-G7</f>
        <v>-1008299</v>
      </c>
      <c r="I7" s="11">
        <f t="shared" si="2"/>
        <v>0</v>
      </c>
      <c r="J7" s="18">
        <f t="shared" si="3"/>
        <v>0</v>
      </c>
      <c r="K7" t="str">
        <f t="shared" si="4"/>
        <v>Yes</v>
      </c>
      <c r="L7" s="45" t="str">
        <f t="shared" si="5"/>
        <v>100% Overhead</v>
      </c>
    </row>
    <row r="8" spans="1:12">
      <c r="A8" t="s">
        <v>168</v>
      </c>
      <c r="B8" s="7">
        <v>11593884</v>
      </c>
      <c r="C8" s="7">
        <v>0</v>
      </c>
      <c r="D8" s="7">
        <f t="shared" si="0"/>
        <v>11593884</v>
      </c>
      <c r="E8" s="7">
        <f t="shared" si="1"/>
        <v>0</v>
      </c>
      <c r="I8" s="11">
        <f t="shared" si="2"/>
        <v>11593884</v>
      </c>
      <c r="J8" s="18">
        <f t="shared" si="3"/>
        <v>1.3071423949837705E-2</v>
      </c>
      <c r="K8" t="str">
        <f t="shared" si="4"/>
        <v>Yes</v>
      </c>
      <c r="L8" s="45" t="str">
        <f t="shared" si="5"/>
        <v xml:space="preserve"> </v>
      </c>
    </row>
    <row r="9" spans="1:12">
      <c r="A9" t="s">
        <v>160</v>
      </c>
      <c r="B9" s="7">
        <v>641362</v>
      </c>
      <c r="C9" s="7">
        <v>0</v>
      </c>
      <c r="D9" s="7">
        <f t="shared" si="0"/>
        <v>641362</v>
      </c>
      <c r="E9" s="7">
        <f t="shared" si="1"/>
        <v>0</v>
      </c>
      <c r="I9" s="11">
        <f t="shared" si="2"/>
        <v>0</v>
      </c>
      <c r="J9" s="18">
        <f t="shared" si="3"/>
        <v>0</v>
      </c>
      <c r="K9" t="str">
        <f t="shared" si="4"/>
        <v>Yes</v>
      </c>
      <c r="L9" s="45" t="str">
        <f t="shared" si="5"/>
        <v xml:space="preserve"> </v>
      </c>
    </row>
    <row r="10" spans="1:12">
      <c r="A10" t="s">
        <v>161</v>
      </c>
      <c r="B10" s="7">
        <v>29386088</v>
      </c>
      <c r="C10" s="7">
        <v>304629</v>
      </c>
      <c r="D10" s="7">
        <f t="shared" si="0"/>
        <v>29690717</v>
      </c>
      <c r="E10" s="7">
        <f t="shared" si="1"/>
        <v>-152314.5</v>
      </c>
      <c r="H10" s="7">
        <f>-(9317634+4623862+7688310)</f>
        <v>-21629806</v>
      </c>
      <c r="I10" s="11">
        <f t="shared" si="2"/>
        <v>7908596.5</v>
      </c>
      <c r="J10" s="18">
        <f t="shared" si="3"/>
        <v>8.9164785243411662E-3</v>
      </c>
      <c r="K10" t="str">
        <f t="shared" si="4"/>
        <v>Yes</v>
      </c>
      <c r="L10" s="45" t="str">
        <f t="shared" si="5"/>
        <v>Exclude MFHR, MFDR, MFIB</v>
      </c>
    </row>
    <row r="11" spans="1:12">
      <c r="A11" t="s">
        <v>165</v>
      </c>
      <c r="B11" s="7">
        <v>2593945</v>
      </c>
      <c r="C11" s="7">
        <v>0</v>
      </c>
      <c r="D11" s="7">
        <f t="shared" si="0"/>
        <v>2593945</v>
      </c>
      <c r="E11" s="7">
        <f t="shared" si="1"/>
        <v>0</v>
      </c>
      <c r="H11" s="7">
        <f>-2055958-525753</f>
        <v>-2581711</v>
      </c>
      <c r="I11" s="11">
        <f t="shared" si="2"/>
        <v>12234</v>
      </c>
      <c r="J11" s="18">
        <f t="shared" si="3"/>
        <v>1.3793117181637705E-5</v>
      </c>
      <c r="K11" t="str">
        <f t="shared" si="4"/>
        <v>Yes</v>
      </c>
      <c r="L11" s="45" t="str">
        <f t="shared" si="5"/>
        <v>Exclude expenditures for Admin &amp; Support (LAMYAS Functional Area)</v>
      </c>
    </row>
    <row r="12" spans="1:12">
      <c r="A12" t="s">
        <v>162</v>
      </c>
      <c r="B12" s="7">
        <v>6845374</v>
      </c>
      <c r="C12" s="7">
        <v>6729</v>
      </c>
      <c r="D12" s="7">
        <f t="shared" si="0"/>
        <v>6852103</v>
      </c>
      <c r="E12" s="7">
        <f t="shared" si="1"/>
        <v>-3364.5</v>
      </c>
      <c r="H12" s="17">
        <v>-372944</v>
      </c>
      <c r="I12" s="11">
        <f t="shared" si="2"/>
        <v>6475794.5</v>
      </c>
      <c r="J12" s="18">
        <f t="shared" si="3"/>
        <v>7.3010783376414052E-3</v>
      </c>
      <c r="K12" t="str">
        <f t="shared" si="4"/>
        <v>Yes</v>
      </c>
      <c r="L12" s="45" t="str">
        <f t="shared" si="5"/>
        <v>Exclude expenditures for Information &amp; Referral and Public Involvement best practices (CDIR, CDNRNOPI)</v>
      </c>
    </row>
    <row r="13" spans="1:12">
      <c r="A13" t="s">
        <v>318</v>
      </c>
      <c r="B13" s="7">
        <v>356979</v>
      </c>
      <c r="C13" s="7">
        <v>0</v>
      </c>
      <c r="D13" s="7">
        <f t="shared" ref="D13" si="6">SUM(B13:C13)</f>
        <v>356979</v>
      </c>
      <c r="E13" s="7">
        <f t="shared" si="1"/>
        <v>0</v>
      </c>
      <c r="H13" s="7">
        <f>-0.68*D13</f>
        <v>-242745.72000000003</v>
      </c>
      <c r="I13" s="11">
        <f t="shared" si="2"/>
        <v>114233.27999999997</v>
      </c>
      <c r="J13" s="18">
        <f t="shared" si="3"/>
        <v>1.2879132067049456E-4</v>
      </c>
      <c r="K13" t="str">
        <f t="shared" si="4"/>
        <v>Yes</v>
      </c>
      <c r="L13" s="45" t="str">
        <f t="shared" si="5"/>
        <v>Rollback in 09-10 &amp; 10-11. Exclude expenditures for Citywide Comm, Training, Tech Support and % admin (CDCEEC, TE, TS &amp; portion CDAS (68%))</v>
      </c>
    </row>
    <row r="14" spans="1:12">
      <c r="A14" t="s">
        <v>154</v>
      </c>
      <c r="B14" s="7">
        <v>1624277</v>
      </c>
      <c r="C14" s="7">
        <v>0</v>
      </c>
      <c r="D14" s="7">
        <f t="shared" si="0"/>
        <v>1624277</v>
      </c>
      <c r="E14" s="7">
        <f t="shared" si="1"/>
        <v>0</v>
      </c>
      <c r="H14" s="17">
        <f>-1624277+(499171/1.025)</f>
        <v>-1137280.9024390243</v>
      </c>
      <c r="I14" s="11">
        <f t="shared" si="2"/>
        <v>486996.0975609757</v>
      </c>
      <c r="J14" s="18">
        <f t="shared" si="3"/>
        <v>5.4905952596524495E-4</v>
      </c>
      <c r="K14" t="str">
        <f t="shared" si="4"/>
        <v>Yes</v>
      </c>
      <c r="L14" s="45" t="str">
        <f t="shared" si="5"/>
        <v>Exclude Commissioner's Office (PACO000001)</v>
      </c>
    </row>
    <row r="15" spans="1:12">
      <c r="A15" t="s">
        <v>169</v>
      </c>
      <c r="B15" s="7">
        <v>49407791</v>
      </c>
      <c r="C15" s="7">
        <v>327036</v>
      </c>
      <c r="D15" s="7">
        <f t="shared" si="0"/>
        <v>49734827</v>
      </c>
      <c r="E15" s="7">
        <f t="shared" si="1"/>
        <v>-163518</v>
      </c>
      <c r="I15" s="11">
        <f t="shared" si="2"/>
        <v>49571309</v>
      </c>
      <c r="J15" s="18">
        <f t="shared" si="3"/>
        <v>5.5888742347896994E-2</v>
      </c>
      <c r="K15" t="str">
        <f t="shared" si="4"/>
        <v>Yes</v>
      </c>
      <c r="L15" s="45" t="str">
        <f t="shared" si="5"/>
        <v xml:space="preserve"> </v>
      </c>
    </row>
    <row r="16" spans="1:12">
      <c r="A16" t="s">
        <v>170</v>
      </c>
      <c r="B16" s="7">
        <v>132395151</v>
      </c>
      <c r="C16" s="7">
        <v>0</v>
      </c>
      <c r="D16" s="7">
        <f t="shared" si="0"/>
        <v>132395151</v>
      </c>
      <c r="E16" s="7">
        <f t="shared" si="1"/>
        <v>0</v>
      </c>
      <c r="I16" s="11">
        <f t="shared" si="2"/>
        <v>132395151</v>
      </c>
      <c r="J16" s="18">
        <f t="shared" si="3"/>
        <v>0.14926776459241609</v>
      </c>
      <c r="K16" t="str">
        <f t="shared" si="4"/>
        <v>Yes</v>
      </c>
      <c r="L16" s="45" t="str">
        <f t="shared" si="5"/>
        <v xml:space="preserve"> </v>
      </c>
    </row>
    <row r="17" spans="1:12">
      <c r="A17" t="s">
        <v>153</v>
      </c>
      <c r="B17" s="7">
        <v>10977009</v>
      </c>
      <c r="C17" s="7">
        <v>0</v>
      </c>
      <c r="D17" s="7">
        <f t="shared" si="0"/>
        <v>10977009</v>
      </c>
      <c r="E17" s="7">
        <f t="shared" si="1"/>
        <v>0</v>
      </c>
      <c r="H17" s="17">
        <f>1797148*-0.75</f>
        <v>-1347861</v>
      </c>
      <c r="I17" s="11">
        <f t="shared" si="2"/>
        <v>9629148</v>
      </c>
      <c r="J17" s="18">
        <f t="shared" si="3"/>
        <v>1.0856299388861563E-2</v>
      </c>
      <c r="K17" t="str">
        <f t="shared" si="4"/>
        <v>Yes</v>
      </c>
      <c r="L17" s="45" t="str">
        <f t="shared" si="5"/>
        <v>Exclude expenditures for Comp Planning &amp; 1/2 of district liaisons (CDAPDI, CDCP00)</v>
      </c>
    </row>
    <row r="18" spans="1:12">
      <c r="A18" t="s">
        <v>155</v>
      </c>
      <c r="B18" s="7">
        <v>605051</v>
      </c>
      <c r="C18" s="7">
        <v>0</v>
      </c>
      <c r="D18" s="7">
        <f t="shared" si="0"/>
        <v>605051</v>
      </c>
      <c r="E18" s="7">
        <f t="shared" si="1"/>
        <v>0</v>
      </c>
      <c r="H18" s="7">
        <f>-D18-E18-F18-G18</f>
        <v>-605051</v>
      </c>
      <c r="I18" s="11">
        <f t="shared" si="2"/>
        <v>0</v>
      </c>
      <c r="J18" s="18">
        <f t="shared" si="3"/>
        <v>0</v>
      </c>
      <c r="K18" t="str">
        <f t="shared" si="4"/>
        <v>Yes</v>
      </c>
      <c r="L18" s="45" t="str">
        <f t="shared" si="5"/>
        <v>100% Overhead</v>
      </c>
    </row>
    <row r="19" spans="1:12">
      <c r="A19" t="s">
        <v>156</v>
      </c>
      <c r="B19" s="7">
        <v>670115</v>
      </c>
      <c r="C19" s="7">
        <v>0</v>
      </c>
      <c r="D19" s="7">
        <f t="shared" si="0"/>
        <v>670115</v>
      </c>
      <c r="E19" s="7">
        <f t="shared" si="1"/>
        <v>0</v>
      </c>
      <c r="H19" s="7">
        <f>-D19-E19-F19-G19</f>
        <v>-670115</v>
      </c>
      <c r="I19" s="11">
        <f t="shared" si="2"/>
        <v>0</v>
      </c>
      <c r="J19" s="18">
        <f t="shared" si="3"/>
        <v>0</v>
      </c>
      <c r="K19" t="str">
        <f t="shared" si="4"/>
        <v>Yes</v>
      </c>
      <c r="L19" s="45" t="str">
        <f t="shared" si="5"/>
        <v>100% Overhead</v>
      </c>
    </row>
    <row r="20" spans="1:12">
      <c r="A20" t="s">
        <v>157</v>
      </c>
      <c r="B20" s="7">
        <v>685233</v>
      </c>
      <c r="C20" s="7">
        <v>0</v>
      </c>
      <c r="D20" s="7">
        <f t="shared" si="0"/>
        <v>685233</v>
      </c>
      <c r="E20" s="7">
        <f t="shared" si="1"/>
        <v>0</v>
      </c>
      <c r="H20" s="7">
        <f>-D20-E20-F20-G20</f>
        <v>-685233</v>
      </c>
      <c r="I20" s="11">
        <f t="shared" si="2"/>
        <v>0</v>
      </c>
      <c r="J20" s="18">
        <f t="shared" si="3"/>
        <v>0</v>
      </c>
      <c r="K20" t="str">
        <f t="shared" si="4"/>
        <v>Yes</v>
      </c>
      <c r="L20" s="45" t="str">
        <f t="shared" si="5"/>
        <v>100% Overhead</v>
      </c>
    </row>
    <row r="21" spans="1:12">
      <c r="A21" s="16" t="s">
        <v>171</v>
      </c>
      <c r="B21" s="17">
        <v>7406057</v>
      </c>
      <c r="C21" s="17">
        <v>0</v>
      </c>
      <c r="D21" s="17">
        <f t="shared" si="0"/>
        <v>7406057</v>
      </c>
      <c r="E21" s="17">
        <f t="shared" si="1"/>
        <v>0</v>
      </c>
      <c r="F21" s="17"/>
      <c r="G21" s="17"/>
      <c r="H21" s="17">
        <v>-311446</v>
      </c>
      <c r="I21" s="11">
        <f t="shared" si="2"/>
        <v>7094611</v>
      </c>
      <c r="J21" s="18">
        <f t="shared" si="3"/>
        <v>7.9987576329193944E-3</v>
      </c>
      <c r="K21" s="16" t="str">
        <f t="shared" si="4"/>
        <v>Yes</v>
      </c>
      <c r="L21" s="45" t="str">
        <f t="shared" si="5"/>
        <v>Exclude expenditures for City memberships and dues (MFSA000002)</v>
      </c>
    </row>
    <row r="22" spans="1:12">
      <c r="A22" s="16" t="s">
        <v>320</v>
      </c>
      <c r="B22" s="17">
        <v>6203222</v>
      </c>
      <c r="C22" s="17">
        <v>0</v>
      </c>
      <c r="D22" s="17">
        <f t="shared" ref="D22" si="7">SUM(B22:C22)</f>
        <v>6203222</v>
      </c>
      <c r="E22" s="17">
        <f t="shared" ref="E22" si="8">C22*-0.5</f>
        <v>0</v>
      </c>
      <c r="F22" s="17"/>
      <c r="G22" s="17"/>
      <c r="H22" s="17"/>
      <c r="I22" s="11">
        <f t="shared" si="2"/>
        <v>6203222</v>
      </c>
      <c r="J22" s="18">
        <f t="shared" si="3"/>
        <v>6.9937688368246695E-3</v>
      </c>
      <c r="K22" s="16" t="str">
        <f t="shared" ref="K22" si="9">IF(VLOOKUP(A22,Model,2,FALSE)&lt;&gt;"","Yes","No")</f>
        <v>Yes</v>
      </c>
      <c r="L22" s="45" t="str">
        <f t="shared" si="5"/>
        <v xml:space="preserve"> </v>
      </c>
    </row>
    <row r="23" spans="1:12">
      <c r="A23" t="s">
        <v>172</v>
      </c>
      <c r="B23" s="7">
        <v>80539062</v>
      </c>
      <c r="C23" s="7">
        <v>39217549</v>
      </c>
      <c r="D23" s="7">
        <f t="shared" si="0"/>
        <v>119756611</v>
      </c>
      <c r="E23" s="7">
        <f t="shared" si="1"/>
        <v>-19608774.5</v>
      </c>
      <c r="I23" s="11">
        <f t="shared" si="2"/>
        <v>100147836.5</v>
      </c>
      <c r="J23" s="18">
        <f t="shared" si="3"/>
        <v>0.11291080957430061</v>
      </c>
      <c r="K23" t="str">
        <f t="shared" si="4"/>
        <v>Yes</v>
      </c>
      <c r="L23" s="45" t="str">
        <f t="shared" si="5"/>
        <v xml:space="preserve"> </v>
      </c>
    </row>
    <row r="24" spans="1:12">
      <c r="A24" t="s">
        <v>173</v>
      </c>
      <c r="B24" s="7">
        <v>13358924</v>
      </c>
      <c r="C24" s="7">
        <v>0</v>
      </c>
      <c r="D24" s="7">
        <f t="shared" si="0"/>
        <v>13358924</v>
      </c>
      <c r="E24" s="7">
        <f t="shared" si="1"/>
        <v>0</v>
      </c>
      <c r="I24" s="11">
        <f t="shared" si="2"/>
        <v>13358924</v>
      </c>
      <c r="J24" s="18">
        <f t="shared" si="3"/>
        <v>1.5061402987787503E-2</v>
      </c>
      <c r="K24" t="str">
        <f t="shared" si="4"/>
        <v>Yes</v>
      </c>
      <c r="L24" s="45" t="str">
        <f t="shared" si="5"/>
        <v xml:space="preserve"> </v>
      </c>
    </row>
    <row r="25" spans="1:12">
      <c r="A25" t="s">
        <v>174</v>
      </c>
      <c r="B25" s="7">
        <v>-163500</v>
      </c>
      <c r="C25" s="7">
        <v>3935702</v>
      </c>
      <c r="D25" s="7">
        <f t="shared" si="0"/>
        <v>3772202</v>
      </c>
      <c r="E25" s="7">
        <f t="shared" si="1"/>
        <v>-1967851</v>
      </c>
      <c r="I25" s="11">
        <f t="shared" si="2"/>
        <v>1804351</v>
      </c>
      <c r="J25" s="18">
        <f t="shared" si="3"/>
        <v>2.0342998839141062E-3</v>
      </c>
      <c r="K25" t="str">
        <f t="shared" si="4"/>
        <v>Yes</v>
      </c>
      <c r="L25" s="45" t="str">
        <f t="shared" si="5"/>
        <v xml:space="preserve"> </v>
      </c>
    </row>
    <row r="26" spans="1:12">
      <c r="A26" t="s">
        <v>175</v>
      </c>
      <c r="B26" s="7">
        <v>19730460</v>
      </c>
      <c r="C26" s="7">
        <v>0</v>
      </c>
      <c r="D26" s="7">
        <f t="shared" si="0"/>
        <v>19730460</v>
      </c>
      <c r="E26" s="7">
        <f t="shared" si="1"/>
        <v>0</v>
      </c>
      <c r="I26" s="11">
        <f t="shared" si="2"/>
        <v>19730460</v>
      </c>
      <c r="J26" s="18">
        <f t="shared" si="3"/>
        <v>2.2244935983947643E-2</v>
      </c>
      <c r="K26" t="str">
        <f t="shared" si="4"/>
        <v>Yes</v>
      </c>
      <c r="L26" s="45" t="str">
        <f t="shared" si="5"/>
        <v xml:space="preserve"> </v>
      </c>
    </row>
    <row r="27" spans="1:12">
      <c r="A27" t="s">
        <v>176</v>
      </c>
      <c r="B27" s="7">
        <v>4668928</v>
      </c>
      <c r="C27" s="7">
        <v>0</v>
      </c>
      <c r="D27" s="7">
        <f t="shared" si="0"/>
        <v>4668928</v>
      </c>
      <c r="E27" s="7">
        <f t="shared" si="1"/>
        <v>0</v>
      </c>
      <c r="G27" s="7">
        <v>-4668928</v>
      </c>
      <c r="H27" s="47"/>
      <c r="I27" s="11">
        <f t="shared" si="2"/>
        <v>0</v>
      </c>
      <c r="J27" s="18">
        <f t="shared" si="3"/>
        <v>0</v>
      </c>
      <c r="K27" t="str">
        <f t="shared" si="4"/>
        <v>Yes</v>
      </c>
      <c r="L27" s="45" t="str">
        <f t="shared" si="5"/>
        <v>Fixed at $25,000 (hardcoded in Model)</v>
      </c>
    </row>
    <row r="28" spans="1:12">
      <c r="A28" t="s">
        <v>177</v>
      </c>
      <c r="B28" s="7">
        <v>4410676</v>
      </c>
      <c r="C28" s="7">
        <v>0</v>
      </c>
      <c r="D28" s="7">
        <f t="shared" si="0"/>
        <v>4410676</v>
      </c>
      <c r="E28" s="7">
        <f t="shared" si="1"/>
        <v>0</v>
      </c>
      <c r="F28" s="17"/>
      <c r="G28" s="7">
        <v>-4410676</v>
      </c>
      <c r="H28" s="47"/>
      <c r="I28" s="11">
        <f t="shared" si="2"/>
        <v>0</v>
      </c>
      <c r="J28" s="18">
        <f t="shared" si="3"/>
        <v>0</v>
      </c>
      <c r="K28" t="str">
        <f t="shared" si="4"/>
        <v>Yes</v>
      </c>
      <c r="L28" s="45" t="str">
        <f t="shared" si="5"/>
        <v>Fixed at $25,000 (hardcoded in Model)</v>
      </c>
    </row>
    <row r="29" spans="1:12">
      <c r="A29" t="s">
        <v>178</v>
      </c>
      <c r="B29" s="7">
        <v>2839258</v>
      </c>
      <c r="C29" s="7">
        <v>0</v>
      </c>
      <c r="D29" s="7">
        <f t="shared" si="0"/>
        <v>2839258</v>
      </c>
      <c r="E29" s="7">
        <f t="shared" si="1"/>
        <v>0</v>
      </c>
      <c r="G29" s="7">
        <v>-2839258</v>
      </c>
      <c r="H29" s="47"/>
      <c r="I29" s="11">
        <f t="shared" si="2"/>
        <v>0</v>
      </c>
      <c r="J29" s="18">
        <f t="shared" si="3"/>
        <v>0</v>
      </c>
      <c r="K29" t="str">
        <f t="shared" si="4"/>
        <v>Yes</v>
      </c>
      <c r="L29" s="45" t="str">
        <f t="shared" si="5"/>
        <v>Fixed at $25,000 (hardcoded in Model)</v>
      </c>
    </row>
    <row r="30" spans="1:12">
      <c r="A30" t="s">
        <v>179</v>
      </c>
      <c r="B30" s="7">
        <v>88928161</v>
      </c>
      <c r="C30" s="7">
        <v>0</v>
      </c>
      <c r="D30" s="7">
        <f t="shared" si="0"/>
        <v>88928161</v>
      </c>
      <c r="E30" s="7">
        <f t="shared" si="1"/>
        <v>0</v>
      </c>
      <c r="I30" s="11">
        <f t="shared" si="2"/>
        <v>0</v>
      </c>
      <c r="J30" s="18">
        <f t="shared" si="3"/>
        <v>0</v>
      </c>
      <c r="K30" t="str">
        <f t="shared" si="4"/>
        <v>Yes</v>
      </c>
      <c r="L30" s="45" t="str">
        <f t="shared" si="5"/>
        <v xml:space="preserve"> </v>
      </c>
    </row>
    <row r="31" spans="1:12">
      <c r="A31" t="s">
        <v>180</v>
      </c>
      <c r="B31" s="7">
        <v>7787291</v>
      </c>
      <c r="C31" s="7">
        <v>0</v>
      </c>
      <c r="D31" s="7">
        <f t="shared" si="0"/>
        <v>7787291</v>
      </c>
      <c r="E31" s="7">
        <f t="shared" si="1"/>
        <v>0</v>
      </c>
      <c r="I31" s="11">
        <f t="shared" si="2"/>
        <v>7787291</v>
      </c>
      <c r="J31" s="18">
        <f t="shared" si="3"/>
        <v>8.7797136905764812E-3</v>
      </c>
      <c r="K31" t="str">
        <f t="shared" si="4"/>
        <v>Yes</v>
      </c>
      <c r="L31" s="45" t="str">
        <f t="shared" si="5"/>
        <v>50% discount for operating projects</v>
      </c>
    </row>
    <row r="32" spans="1:12">
      <c r="A32" t="s">
        <v>181</v>
      </c>
      <c r="B32" s="7">
        <v>143745</v>
      </c>
      <c r="C32" s="7">
        <v>0</v>
      </c>
      <c r="D32" s="7">
        <f t="shared" si="0"/>
        <v>143745</v>
      </c>
      <c r="E32" s="7">
        <f t="shared" si="1"/>
        <v>0</v>
      </c>
      <c r="I32" s="11">
        <f t="shared" si="2"/>
        <v>0</v>
      </c>
      <c r="J32" s="18">
        <f t="shared" si="3"/>
        <v>0</v>
      </c>
      <c r="K32" t="str">
        <f t="shared" si="4"/>
        <v>Yes</v>
      </c>
      <c r="L32" s="45" t="str">
        <f t="shared" si="5"/>
        <v xml:space="preserve"> </v>
      </c>
    </row>
    <row r="33" spans="1:12">
      <c r="A33" t="s">
        <v>182</v>
      </c>
      <c r="B33" s="7">
        <v>838264</v>
      </c>
      <c r="C33" s="7">
        <v>0</v>
      </c>
      <c r="D33" s="7">
        <f t="shared" si="0"/>
        <v>838264</v>
      </c>
      <c r="E33" s="7">
        <f t="shared" si="1"/>
        <v>0</v>
      </c>
      <c r="I33" s="11">
        <f t="shared" si="2"/>
        <v>838264</v>
      </c>
      <c r="J33" s="18">
        <f t="shared" si="3"/>
        <v>9.450934756537804E-4</v>
      </c>
      <c r="K33" t="str">
        <f t="shared" si="4"/>
        <v>Yes</v>
      </c>
      <c r="L33" s="45" t="str">
        <f t="shared" si="5"/>
        <v xml:space="preserve"> </v>
      </c>
    </row>
    <row r="34" spans="1:12">
      <c r="A34" t="s">
        <v>183</v>
      </c>
      <c r="B34" s="7">
        <v>13348301</v>
      </c>
      <c r="C34" s="7">
        <v>0</v>
      </c>
      <c r="D34" s="7">
        <f t="shared" si="0"/>
        <v>13348301</v>
      </c>
      <c r="E34" s="7">
        <f t="shared" si="1"/>
        <v>0</v>
      </c>
      <c r="G34" s="7">
        <v>-13348301</v>
      </c>
      <c r="I34" s="11">
        <f t="shared" ref="I34:I65" si="10">IF((VLOOKUP(A34,Crosswalk,2,FALSE)="Excluded"),0,(D34+E34+F34+G34+H34))</f>
        <v>0</v>
      </c>
      <c r="J34" s="18">
        <f t="shared" ref="J34:J65" si="11">I34/(SUM($I$2:$I$80))</f>
        <v>0</v>
      </c>
      <c r="K34" t="str">
        <f t="shared" si="4"/>
        <v>Yes</v>
      </c>
      <c r="L34" s="45" t="str">
        <f t="shared" ref="L34:L65" si="12">IF((VLOOKUP(A34,Crosswalk,3,FALSE))=0," ",(VLOOKUP(A34,Crosswalk,3,FALSE)))</f>
        <v>Fixed at $25,000 (hardcoded in Model)</v>
      </c>
    </row>
    <row r="35" spans="1:12">
      <c r="A35" t="s">
        <v>184</v>
      </c>
      <c r="B35" s="7">
        <v>32786</v>
      </c>
      <c r="C35" s="7">
        <v>0</v>
      </c>
      <c r="D35" s="7">
        <f t="shared" si="0"/>
        <v>32786</v>
      </c>
      <c r="E35" s="7">
        <f t="shared" si="1"/>
        <v>0</v>
      </c>
      <c r="I35" s="11">
        <f t="shared" si="10"/>
        <v>32786</v>
      </c>
      <c r="J35" s="18">
        <f t="shared" si="11"/>
        <v>3.6964291312503986E-5</v>
      </c>
      <c r="K35" t="str">
        <f t="shared" si="4"/>
        <v>Yes</v>
      </c>
      <c r="L35" s="45" t="str">
        <f t="shared" si="12"/>
        <v xml:space="preserve"> </v>
      </c>
    </row>
    <row r="36" spans="1:12">
      <c r="A36" t="s">
        <v>189</v>
      </c>
      <c r="B36" s="7">
        <v>4201126</v>
      </c>
      <c r="C36" s="7">
        <v>0</v>
      </c>
      <c r="D36" s="7">
        <f t="shared" ref="D36:D68" si="13">SUM(B36:C36)</f>
        <v>4201126</v>
      </c>
      <c r="E36" s="7">
        <f t="shared" ref="E36:E68" si="14">C36*-0.5</f>
        <v>0</v>
      </c>
      <c r="I36" s="11">
        <f t="shared" si="10"/>
        <v>4201126</v>
      </c>
      <c r="J36" s="18">
        <f t="shared" si="11"/>
        <v>4.7365230679111397E-3</v>
      </c>
      <c r="K36" t="str">
        <f t="shared" ref="K36:K68" si="15">IF(VLOOKUP(A36,Model,2,FALSE)&lt;&gt;"","Yes","No")</f>
        <v>Yes</v>
      </c>
      <c r="L36" s="45" t="str">
        <f t="shared" si="12"/>
        <v xml:space="preserve"> </v>
      </c>
    </row>
    <row r="37" spans="1:12">
      <c r="A37" t="s">
        <v>185</v>
      </c>
      <c r="B37" s="7">
        <v>-1042210</v>
      </c>
      <c r="C37" s="7">
        <v>2060495</v>
      </c>
      <c r="D37" s="7">
        <f t="shared" si="13"/>
        <v>1018285</v>
      </c>
      <c r="E37" s="7">
        <f t="shared" si="14"/>
        <v>-1030247.5</v>
      </c>
      <c r="I37" s="11">
        <f t="shared" si="10"/>
        <v>-11962.5</v>
      </c>
      <c r="J37" s="18">
        <f t="shared" si="11"/>
        <v>-1.3487016861643048E-5</v>
      </c>
      <c r="K37" t="str">
        <f t="shared" si="15"/>
        <v>Yes</v>
      </c>
      <c r="L37" s="45" t="str">
        <f t="shared" si="12"/>
        <v xml:space="preserve"> </v>
      </c>
    </row>
    <row r="38" spans="1:12">
      <c r="A38" t="s">
        <v>192</v>
      </c>
      <c r="B38" s="7">
        <v>1273031</v>
      </c>
      <c r="C38" s="7">
        <v>0</v>
      </c>
      <c r="D38" s="7">
        <f t="shared" si="13"/>
        <v>1273031</v>
      </c>
      <c r="E38" s="7">
        <f t="shared" si="14"/>
        <v>0</v>
      </c>
      <c r="I38" s="11">
        <f t="shared" si="10"/>
        <v>1273031</v>
      </c>
      <c r="J38" s="18">
        <f t="shared" si="11"/>
        <v>1.4352677586118546E-3</v>
      </c>
      <c r="K38" t="str">
        <f t="shared" si="15"/>
        <v>Yes</v>
      </c>
      <c r="L38" s="45" t="str">
        <f t="shared" si="12"/>
        <v xml:space="preserve"> </v>
      </c>
    </row>
    <row r="39" spans="1:12">
      <c r="A39" t="s">
        <v>193</v>
      </c>
      <c r="B39" s="7">
        <v>6451806</v>
      </c>
      <c r="C39" s="7">
        <v>0</v>
      </c>
      <c r="D39" s="7">
        <f t="shared" si="13"/>
        <v>6451806</v>
      </c>
      <c r="E39" s="7">
        <f t="shared" si="14"/>
        <v>0</v>
      </c>
      <c r="I39" s="11">
        <f t="shared" si="10"/>
        <v>6451806</v>
      </c>
      <c r="J39" s="18">
        <f t="shared" si="11"/>
        <v>7.2740327113939218E-3</v>
      </c>
      <c r="K39" t="str">
        <f t="shared" si="15"/>
        <v>Yes</v>
      </c>
      <c r="L39" s="45" t="str">
        <f t="shared" si="12"/>
        <v xml:space="preserve"> </v>
      </c>
    </row>
    <row r="40" spans="1:12">
      <c r="A40" t="s">
        <v>188</v>
      </c>
      <c r="B40" s="7">
        <v>360805</v>
      </c>
      <c r="C40" s="7">
        <v>429167</v>
      </c>
      <c r="D40" s="7">
        <f t="shared" si="13"/>
        <v>789972</v>
      </c>
      <c r="E40" s="7">
        <f t="shared" si="14"/>
        <v>-214583.5</v>
      </c>
      <c r="I40" s="11">
        <f t="shared" si="10"/>
        <v>575388.5</v>
      </c>
      <c r="J40" s="18">
        <f t="shared" si="11"/>
        <v>6.4871677337475456E-4</v>
      </c>
      <c r="K40" t="str">
        <f t="shared" si="15"/>
        <v>Yes</v>
      </c>
      <c r="L40" s="45" t="str">
        <f t="shared" si="12"/>
        <v xml:space="preserve"> </v>
      </c>
    </row>
    <row r="41" spans="1:12">
      <c r="A41" t="s">
        <v>194</v>
      </c>
      <c r="B41" s="7">
        <v>252572</v>
      </c>
      <c r="C41" s="7">
        <v>1033399</v>
      </c>
      <c r="D41" s="7">
        <f t="shared" si="13"/>
        <v>1285971</v>
      </c>
      <c r="E41" s="7">
        <f t="shared" si="14"/>
        <v>-516699.5</v>
      </c>
      <c r="I41" s="11">
        <f t="shared" si="10"/>
        <v>769271.5</v>
      </c>
      <c r="J41" s="18">
        <f t="shared" si="11"/>
        <v>8.6730847997337009E-4</v>
      </c>
      <c r="K41" t="str">
        <f t="shared" si="15"/>
        <v>Yes</v>
      </c>
      <c r="L41" s="45" t="str">
        <f t="shared" si="12"/>
        <v xml:space="preserve"> </v>
      </c>
    </row>
    <row r="42" spans="1:12">
      <c r="A42" t="s">
        <v>195</v>
      </c>
      <c r="B42" s="7">
        <v>3093374</v>
      </c>
      <c r="C42" s="7">
        <v>0</v>
      </c>
      <c r="D42" s="7">
        <f t="shared" si="13"/>
        <v>3093374</v>
      </c>
      <c r="E42" s="7">
        <f t="shared" si="14"/>
        <v>0</v>
      </c>
      <c r="I42" s="11">
        <f t="shared" si="10"/>
        <v>3093374</v>
      </c>
      <c r="J42" s="18">
        <f t="shared" si="11"/>
        <v>3.487597684210508E-3</v>
      </c>
      <c r="K42" t="str">
        <f t="shared" si="15"/>
        <v>Yes</v>
      </c>
      <c r="L42" s="45" t="str">
        <f t="shared" si="12"/>
        <v xml:space="preserve"> </v>
      </c>
    </row>
    <row r="43" spans="1:12">
      <c r="A43" t="s">
        <v>186</v>
      </c>
      <c r="B43" s="7">
        <v>3378881</v>
      </c>
      <c r="C43" s="7">
        <v>0</v>
      </c>
      <c r="D43" s="7">
        <f t="shared" si="13"/>
        <v>3378881</v>
      </c>
      <c r="E43" s="7">
        <f t="shared" si="14"/>
        <v>0</v>
      </c>
      <c r="I43" s="11">
        <f t="shared" si="10"/>
        <v>3378881</v>
      </c>
      <c r="J43" s="18">
        <f t="shared" si="11"/>
        <v>3.8094900748577073E-3</v>
      </c>
      <c r="K43" t="str">
        <f t="shared" si="15"/>
        <v>Yes</v>
      </c>
      <c r="L43" s="45" t="str">
        <f t="shared" si="12"/>
        <v xml:space="preserve"> </v>
      </c>
    </row>
    <row r="44" spans="1:12">
      <c r="A44" t="s">
        <v>187</v>
      </c>
      <c r="B44" s="7">
        <v>2264</v>
      </c>
      <c r="C44" s="7">
        <v>0</v>
      </c>
      <c r="D44" s="7">
        <f t="shared" si="13"/>
        <v>2264</v>
      </c>
      <c r="E44" s="7">
        <f t="shared" si="14"/>
        <v>0</v>
      </c>
      <c r="I44" s="11">
        <f t="shared" si="10"/>
        <v>2264</v>
      </c>
      <c r="J44" s="18">
        <f t="shared" si="11"/>
        <v>2.552527161944398E-6</v>
      </c>
      <c r="K44" t="str">
        <f t="shared" si="15"/>
        <v>Yes</v>
      </c>
      <c r="L44" s="45" t="str">
        <f t="shared" si="12"/>
        <v xml:space="preserve"> </v>
      </c>
    </row>
    <row r="45" spans="1:12">
      <c r="A45" t="s">
        <v>190</v>
      </c>
      <c r="B45" s="7">
        <v>760954</v>
      </c>
      <c r="C45" s="7">
        <v>62385019</v>
      </c>
      <c r="D45" s="7">
        <f t="shared" si="13"/>
        <v>63145973</v>
      </c>
      <c r="E45" s="7">
        <f t="shared" si="14"/>
        <v>-31192509.5</v>
      </c>
      <c r="I45" s="11">
        <f t="shared" si="10"/>
        <v>31953463.5</v>
      </c>
      <c r="J45" s="18">
        <f t="shared" si="11"/>
        <v>3.602565525704457E-2</v>
      </c>
      <c r="K45" t="str">
        <f t="shared" si="15"/>
        <v>Yes</v>
      </c>
      <c r="L45" s="45" t="str">
        <f t="shared" si="12"/>
        <v xml:space="preserve"> </v>
      </c>
    </row>
    <row r="46" spans="1:12">
      <c r="A46" t="s">
        <v>196</v>
      </c>
      <c r="B46" s="7">
        <v>139741</v>
      </c>
      <c r="C46" s="7">
        <v>239863</v>
      </c>
      <c r="D46" s="7">
        <f t="shared" si="13"/>
        <v>379604</v>
      </c>
      <c r="E46" s="7">
        <f t="shared" si="14"/>
        <v>-119931.5</v>
      </c>
      <c r="I46" s="11">
        <f t="shared" si="10"/>
        <v>259672.5</v>
      </c>
      <c r="J46" s="18">
        <f t="shared" si="11"/>
        <v>2.9276550771201707E-4</v>
      </c>
      <c r="K46" t="str">
        <f t="shared" si="15"/>
        <v>Yes</v>
      </c>
      <c r="L46" s="45" t="str">
        <f t="shared" si="12"/>
        <v xml:space="preserve"> </v>
      </c>
    </row>
    <row r="47" spans="1:12">
      <c r="A47" t="s">
        <v>191</v>
      </c>
      <c r="B47" s="7">
        <v>20171</v>
      </c>
      <c r="C47" s="7">
        <v>0</v>
      </c>
      <c r="D47" s="7">
        <f t="shared" si="13"/>
        <v>20171</v>
      </c>
      <c r="E47" s="7">
        <f t="shared" si="14"/>
        <v>0</v>
      </c>
      <c r="I47" s="11">
        <f t="shared" si="10"/>
        <v>20171</v>
      </c>
      <c r="J47" s="18">
        <f t="shared" si="11"/>
        <v>2.2741618985680411E-5</v>
      </c>
      <c r="K47" t="str">
        <f t="shared" si="15"/>
        <v>Yes</v>
      </c>
      <c r="L47" s="45" t="str">
        <f t="shared" si="12"/>
        <v xml:space="preserve"> </v>
      </c>
    </row>
    <row r="48" spans="1:12">
      <c r="A48" t="s">
        <v>197</v>
      </c>
      <c r="B48" s="7">
        <v>10164605</v>
      </c>
      <c r="C48" s="7">
        <v>0</v>
      </c>
      <c r="D48" s="7">
        <f t="shared" si="13"/>
        <v>10164605</v>
      </c>
      <c r="E48" s="7">
        <f t="shared" si="14"/>
        <v>0</v>
      </c>
      <c r="I48" s="11">
        <f t="shared" si="10"/>
        <v>10164605</v>
      </c>
      <c r="J48" s="18">
        <f t="shared" si="11"/>
        <v>1.1459995738929257E-2</v>
      </c>
      <c r="K48" t="str">
        <f t="shared" si="15"/>
        <v>Yes</v>
      </c>
      <c r="L48" s="45" t="str">
        <f t="shared" si="12"/>
        <v xml:space="preserve"> </v>
      </c>
    </row>
    <row r="49" spans="1:12">
      <c r="A49" t="s">
        <v>198</v>
      </c>
      <c r="B49" s="7">
        <v>6349896</v>
      </c>
      <c r="C49" s="7">
        <v>0</v>
      </c>
      <c r="D49" s="7">
        <f t="shared" si="13"/>
        <v>6349896</v>
      </c>
      <c r="E49" s="7">
        <f t="shared" si="14"/>
        <v>0</v>
      </c>
      <c r="I49" s="11">
        <f t="shared" si="10"/>
        <v>6349896</v>
      </c>
      <c r="J49" s="18">
        <f t="shared" si="11"/>
        <v>7.1591351658666456E-3</v>
      </c>
      <c r="K49" t="str">
        <f t="shared" si="15"/>
        <v>Yes</v>
      </c>
      <c r="L49" s="45" t="str">
        <f t="shared" si="12"/>
        <v xml:space="preserve"> </v>
      </c>
    </row>
    <row r="50" spans="1:12">
      <c r="A50" t="s">
        <v>199</v>
      </c>
      <c r="B50" s="7">
        <v>778281</v>
      </c>
      <c r="C50" s="7">
        <v>0</v>
      </c>
      <c r="D50" s="7">
        <f t="shared" si="13"/>
        <v>778281</v>
      </c>
      <c r="E50" s="7">
        <f t="shared" si="14"/>
        <v>0</v>
      </c>
      <c r="I50" s="11">
        <f t="shared" si="10"/>
        <v>0</v>
      </c>
      <c r="J50" s="18">
        <f t="shared" si="11"/>
        <v>0</v>
      </c>
      <c r="K50" t="str">
        <f t="shared" si="15"/>
        <v>Yes</v>
      </c>
      <c r="L50" s="45" t="str">
        <f t="shared" si="12"/>
        <v xml:space="preserve"> </v>
      </c>
    </row>
    <row r="51" spans="1:12">
      <c r="A51" t="s">
        <v>200</v>
      </c>
      <c r="B51" s="7">
        <v>387086</v>
      </c>
      <c r="C51" s="7">
        <v>0</v>
      </c>
      <c r="D51" s="7">
        <f t="shared" si="13"/>
        <v>387086</v>
      </c>
      <c r="E51" s="7">
        <f t="shared" si="14"/>
        <v>0</v>
      </c>
      <c r="I51" s="11">
        <f t="shared" si="10"/>
        <v>387086</v>
      </c>
      <c r="J51" s="18">
        <f t="shared" si="11"/>
        <v>4.364167530955871E-4</v>
      </c>
      <c r="K51" t="str">
        <f t="shared" si="15"/>
        <v>Yes</v>
      </c>
      <c r="L51" s="45" t="str">
        <f t="shared" si="12"/>
        <v>50% discount for operating projects</v>
      </c>
    </row>
    <row r="52" spans="1:12">
      <c r="A52" t="s">
        <v>201</v>
      </c>
      <c r="B52" s="7">
        <v>445650</v>
      </c>
      <c r="C52" s="7">
        <v>0</v>
      </c>
      <c r="D52" s="7">
        <f t="shared" si="13"/>
        <v>445650</v>
      </c>
      <c r="E52" s="7">
        <f t="shared" si="14"/>
        <v>0</v>
      </c>
      <c r="I52" s="11">
        <f t="shared" si="10"/>
        <v>445650</v>
      </c>
      <c r="J52" s="18">
        <f t="shared" si="11"/>
        <v>5.0244422690835734E-4</v>
      </c>
      <c r="K52" t="str">
        <f t="shared" si="15"/>
        <v>Yes</v>
      </c>
      <c r="L52" s="45" t="str">
        <f t="shared" si="12"/>
        <v xml:space="preserve"> </v>
      </c>
    </row>
    <row r="53" spans="1:12">
      <c r="A53" t="s">
        <v>202</v>
      </c>
      <c r="B53" s="7">
        <v>440000</v>
      </c>
      <c r="C53" s="7">
        <v>0</v>
      </c>
      <c r="D53" s="7">
        <f t="shared" si="13"/>
        <v>440000</v>
      </c>
      <c r="E53" s="7">
        <f t="shared" si="14"/>
        <v>0</v>
      </c>
      <c r="I53" s="11">
        <f t="shared" si="10"/>
        <v>0</v>
      </c>
      <c r="J53" s="18">
        <f t="shared" si="11"/>
        <v>0</v>
      </c>
      <c r="K53" t="str">
        <f t="shared" si="15"/>
        <v>Yes</v>
      </c>
      <c r="L53" s="45" t="str">
        <f t="shared" si="12"/>
        <v xml:space="preserve"> </v>
      </c>
    </row>
    <row r="54" spans="1:12">
      <c r="A54" t="s">
        <v>203</v>
      </c>
      <c r="B54" s="7">
        <v>310000</v>
      </c>
      <c r="C54" s="7">
        <v>0</v>
      </c>
      <c r="D54" s="7">
        <f t="shared" si="13"/>
        <v>310000</v>
      </c>
      <c r="E54" s="7">
        <f t="shared" si="14"/>
        <v>0</v>
      </c>
      <c r="I54" s="11">
        <f t="shared" si="10"/>
        <v>0</v>
      </c>
      <c r="J54" s="18">
        <f t="shared" si="11"/>
        <v>0</v>
      </c>
      <c r="K54" t="str">
        <f t="shared" si="15"/>
        <v>Yes</v>
      </c>
      <c r="L54" s="45" t="str">
        <f t="shared" si="12"/>
        <v xml:space="preserve"> </v>
      </c>
    </row>
    <row r="55" spans="1:12">
      <c r="A55" t="s">
        <v>204</v>
      </c>
      <c r="B55" s="7">
        <v>40879</v>
      </c>
      <c r="C55" s="7">
        <v>0</v>
      </c>
      <c r="D55" s="7">
        <f t="shared" si="13"/>
        <v>40879</v>
      </c>
      <c r="E55" s="7">
        <f t="shared" si="14"/>
        <v>0</v>
      </c>
      <c r="I55" s="11">
        <f t="shared" si="10"/>
        <v>0</v>
      </c>
      <c r="J55" s="18">
        <f t="shared" si="11"/>
        <v>0</v>
      </c>
      <c r="K55" t="str">
        <f t="shared" si="15"/>
        <v>Yes</v>
      </c>
      <c r="L55" s="45" t="str">
        <f t="shared" si="12"/>
        <v xml:space="preserve"> </v>
      </c>
    </row>
    <row r="56" spans="1:12">
      <c r="A56" t="s">
        <v>205</v>
      </c>
      <c r="B56" s="7">
        <v>4480</v>
      </c>
      <c r="C56" s="7">
        <v>4399361</v>
      </c>
      <c r="D56" s="7">
        <f t="shared" si="13"/>
        <v>4403841</v>
      </c>
      <c r="E56" s="7">
        <f t="shared" si="14"/>
        <v>-2199680.5</v>
      </c>
      <c r="I56" s="11">
        <f t="shared" si="10"/>
        <v>2204160.5</v>
      </c>
      <c r="J56" s="18">
        <f t="shared" si="11"/>
        <v>2.4850616367203824E-3</v>
      </c>
      <c r="K56" t="str">
        <f t="shared" si="15"/>
        <v>Yes</v>
      </c>
      <c r="L56" s="45" t="str">
        <f t="shared" si="12"/>
        <v xml:space="preserve"> </v>
      </c>
    </row>
    <row r="57" spans="1:12">
      <c r="A57" t="s">
        <v>206</v>
      </c>
      <c r="B57" s="7">
        <v>4626</v>
      </c>
      <c r="C57" s="7">
        <v>0</v>
      </c>
      <c r="D57" s="7">
        <f t="shared" si="13"/>
        <v>4626</v>
      </c>
      <c r="E57" s="7">
        <f t="shared" si="14"/>
        <v>0</v>
      </c>
      <c r="I57" s="11">
        <f t="shared" si="10"/>
        <v>4626</v>
      </c>
      <c r="J57" s="18">
        <f t="shared" si="11"/>
        <v>5.2155435738316185E-6</v>
      </c>
      <c r="K57" t="str">
        <f t="shared" si="15"/>
        <v>Yes</v>
      </c>
      <c r="L57" s="45" t="str">
        <f t="shared" si="12"/>
        <v xml:space="preserve"> </v>
      </c>
    </row>
    <row r="58" spans="1:12">
      <c r="A58" t="s">
        <v>207</v>
      </c>
      <c r="B58" s="7">
        <v>2766903</v>
      </c>
      <c r="C58" s="7">
        <v>11412545</v>
      </c>
      <c r="D58" s="7">
        <f t="shared" si="13"/>
        <v>14179448</v>
      </c>
      <c r="E58" s="7">
        <f t="shared" si="14"/>
        <v>-5706272.5</v>
      </c>
      <c r="I58" s="11">
        <f t="shared" si="10"/>
        <v>8473175.5</v>
      </c>
      <c r="J58" s="18">
        <f t="shared" si="11"/>
        <v>9.5530082207030947E-3</v>
      </c>
      <c r="K58" t="str">
        <f t="shared" si="15"/>
        <v>Yes</v>
      </c>
      <c r="L58" s="45" t="str">
        <f t="shared" si="12"/>
        <v xml:space="preserve"> </v>
      </c>
    </row>
    <row r="59" spans="1:12">
      <c r="A59" t="s">
        <v>326</v>
      </c>
      <c r="B59" s="7">
        <v>0</v>
      </c>
      <c r="C59" s="7">
        <v>4186304</v>
      </c>
      <c r="D59" s="7">
        <f t="shared" si="13"/>
        <v>4186304</v>
      </c>
      <c r="E59" s="7">
        <f t="shared" si="14"/>
        <v>-2093152</v>
      </c>
      <c r="I59" s="11">
        <f t="shared" si="10"/>
        <v>2093152</v>
      </c>
      <c r="J59" s="18">
        <f t="shared" si="11"/>
        <v>2.3599060662889753E-3</v>
      </c>
      <c r="K59" t="str">
        <f t="shared" si="15"/>
        <v>Yes</v>
      </c>
      <c r="L59" s="45" t="str">
        <f t="shared" si="12"/>
        <v xml:space="preserve"> </v>
      </c>
    </row>
    <row r="60" spans="1:12">
      <c r="A60" t="s">
        <v>208</v>
      </c>
      <c r="B60" s="7">
        <v>2400</v>
      </c>
      <c r="C60" s="7">
        <v>0</v>
      </c>
      <c r="D60" s="7">
        <f t="shared" si="13"/>
        <v>2400</v>
      </c>
      <c r="E60" s="7">
        <f t="shared" si="14"/>
        <v>0</v>
      </c>
      <c r="I60" s="11">
        <f t="shared" si="10"/>
        <v>0</v>
      </c>
      <c r="J60" s="18">
        <f t="shared" si="11"/>
        <v>0</v>
      </c>
      <c r="K60" t="str">
        <f t="shared" si="15"/>
        <v>Yes</v>
      </c>
      <c r="L60" s="45" t="str">
        <f t="shared" si="12"/>
        <v xml:space="preserve"> </v>
      </c>
    </row>
    <row r="61" spans="1:12">
      <c r="A61" t="s">
        <v>209</v>
      </c>
      <c r="B61" s="7">
        <v>39140559</v>
      </c>
      <c r="C61" s="7">
        <v>205597584</v>
      </c>
      <c r="D61" s="7">
        <f t="shared" si="13"/>
        <v>244738143</v>
      </c>
      <c r="E61" s="7">
        <f t="shared" si="14"/>
        <v>-102798792</v>
      </c>
      <c r="I61" s="11">
        <f t="shared" si="10"/>
        <v>141939351</v>
      </c>
      <c r="J61" s="18">
        <f t="shared" si="11"/>
        <v>0.16002829009552108</v>
      </c>
      <c r="K61" t="str">
        <f t="shared" si="15"/>
        <v>Yes</v>
      </c>
      <c r="L61" s="45" t="str">
        <f t="shared" si="12"/>
        <v xml:space="preserve"> </v>
      </c>
    </row>
    <row r="62" spans="1:12">
      <c r="A62" t="s">
        <v>210</v>
      </c>
      <c r="B62" s="7">
        <v>333430</v>
      </c>
      <c r="C62" s="7">
        <v>1451</v>
      </c>
      <c r="D62" s="7">
        <f t="shared" si="13"/>
        <v>334881</v>
      </c>
      <c r="E62" s="7">
        <f t="shared" si="14"/>
        <v>-725.5</v>
      </c>
      <c r="I62" s="11">
        <f t="shared" si="10"/>
        <v>334155.5</v>
      </c>
      <c r="J62" s="18">
        <f t="shared" si="11"/>
        <v>3.7674071999254033E-4</v>
      </c>
      <c r="K62" t="str">
        <f t="shared" si="15"/>
        <v>Yes</v>
      </c>
      <c r="L62" s="45" t="str">
        <f t="shared" si="12"/>
        <v xml:space="preserve"> </v>
      </c>
    </row>
    <row r="63" spans="1:12">
      <c r="A63" t="s">
        <v>211</v>
      </c>
      <c r="B63" s="7">
        <v>49516634</v>
      </c>
      <c r="C63" s="7">
        <v>58377013</v>
      </c>
      <c r="D63" s="7">
        <f t="shared" si="13"/>
        <v>107893647</v>
      </c>
      <c r="E63" s="7">
        <f t="shared" si="14"/>
        <v>-29188506.5</v>
      </c>
      <c r="I63" s="11">
        <f t="shared" si="10"/>
        <v>78705140.5</v>
      </c>
      <c r="J63" s="18">
        <f t="shared" si="11"/>
        <v>8.8735427964178493E-2</v>
      </c>
      <c r="K63" t="str">
        <f t="shared" si="15"/>
        <v>Yes</v>
      </c>
      <c r="L63" s="45" t="str">
        <f t="shared" si="12"/>
        <v xml:space="preserve"> </v>
      </c>
    </row>
    <row r="64" spans="1:12">
      <c r="A64" t="s">
        <v>212</v>
      </c>
      <c r="B64" s="7">
        <v>6330253</v>
      </c>
      <c r="C64" s="7">
        <v>146558</v>
      </c>
      <c r="D64" s="7">
        <f t="shared" si="13"/>
        <v>6476811</v>
      </c>
      <c r="E64" s="7">
        <f t="shared" si="14"/>
        <v>-73279</v>
      </c>
      <c r="I64" s="11">
        <f t="shared" si="10"/>
        <v>6403532</v>
      </c>
      <c r="J64" s="18">
        <f t="shared" si="11"/>
        <v>7.2196066088251474E-3</v>
      </c>
      <c r="K64" t="str">
        <f t="shared" si="15"/>
        <v>Yes</v>
      </c>
      <c r="L64" s="45" t="str">
        <f t="shared" si="12"/>
        <v xml:space="preserve"> </v>
      </c>
    </row>
    <row r="65" spans="1:12">
      <c r="A65" t="s">
        <v>213</v>
      </c>
      <c r="B65" s="7">
        <v>1376045</v>
      </c>
      <c r="C65" s="7">
        <v>0</v>
      </c>
      <c r="D65" s="7">
        <f t="shared" si="13"/>
        <v>1376045</v>
      </c>
      <c r="E65" s="7">
        <f t="shared" si="14"/>
        <v>0</v>
      </c>
      <c r="I65" s="11">
        <f t="shared" si="10"/>
        <v>1376045</v>
      </c>
      <c r="J65" s="18">
        <f t="shared" si="11"/>
        <v>1.5514099993629766E-3</v>
      </c>
      <c r="K65" t="str">
        <f t="shared" si="15"/>
        <v>Yes</v>
      </c>
      <c r="L65" s="45" t="str">
        <f t="shared" si="12"/>
        <v xml:space="preserve"> </v>
      </c>
    </row>
    <row r="66" spans="1:12">
      <c r="A66" t="s">
        <v>214</v>
      </c>
      <c r="B66" s="7">
        <v>2592319</v>
      </c>
      <c r="C66" s="7">
        <v>0</v>
      </c>
      <c r="D66" s="7">
        <f t="shared" si="13"/>
        <v>2592319</v>
      </c>
      <c r="E66" s="7">
        <f t="shared" si="14"/>
        <v>0</v>
      </c>
      <c r="I66" s="11">
        <f t="shared" ref="I66:I80" si="16">IF((VLOOKUP(A66,Crosswalk,2,FALSE)="Excluded"),0,(D66+E66+F66+G66+H66))</f>
        <v>2592319</v>
      </c>
      <c r="J66" s="18">
        <f t="shared" ref="J66:J80" si="17">I66/(SUM($I$2:$I$80))</f>
        <v>2.9226875706380474E-3</v>
      </c>
      <c r="K66" t="str">
        <f t="shared" si="15"/>
        <v>Yes</v>
      </c>
      <c r="L66" s="45" t="str">
        <f t="shared" ref="L66:L80" si="18">IF((VLOOKUP(A66,Crosswalk,3,FALSE))=0," ",(VLOOKUP(A66,Crosswalk,3,FALSE)))</f>
        <v xml:space="preserve"> </v>
      </c>
    </row>
    <row r="67" spans="1:12">
      <c r="A67" t="s">
        <v>215</v>
      </c>
      <c r="B67" s="7">
        <v>3232510</v>
      </c>
      <c r="C67" s="7">
        <v>10882</v>
      </c>
      <c r="D67" s="7">
        <f t="shared" si="13"/>
        <v>3243392</v>
      </c>
      <c r="E67" s="7">
        <f t="shared" si="14"/>
        <v>-5441</v>
      </c>
      <c r="I67" s="11">
        <f t="shared" si="16"/>
        <v>3237951</v>
      </c>
      <c r="J67" s="18">
        <f t="shared" si="17"/>
        <v>3.6505997687919724E-3</v>
      </c>
      <c r="K67" t="str">
        <f t="shared" si="15"/>
        <v>Yes</v>
      </c>
      <c r="L67" s="45" t="str">
        <f t="shared" si="18"/>
        <v xml:space="preserve"> </v>
      </c>
    </row>
    <row r="68" spans="1:12">
      <c r="A68" t="s">
        <v>216</v>
      </c>
      <c r="B68" s="7">
        <v>1498926</v>
      </c>
      <c r="C68" s="7">
        <v>2481570</v>
      </c>
      <c r="D68" s="7">
        <f t="shared" si="13"/>
        <v>3980496</v>
      </c>
      <c r="E68" s="7">
        <f t="shared" si="14"/>
        <v>-1240785</v>
      </c>
      <c r="I68" s="11">
        <f t="shared" si="16"/>
        <v>2739711</v>
      </c>
      <c r="J68" s="18">
        <f t="shared" si="17"/>
        <v>3.0888634025520532E-3</v>
      </c>
      <c r="K68" t="str">
        <f t="shared" si="15"/>
        <v>Yes</v>
      </c>
      <c r="L68" s="45" t="str">
        <f t="shared" si="18"/>
        <v xml:space="preserve"> </v>
      </c>
    </row>
    <row r="69" spans="1:12">
      <c r="A69" t="s">
        <v>217</v>
      </c>
      <c r="B69" s="7">
        <v>5122191</v>
      </c>
      <c r="C69" s="7">
        <v>0</v>
      </c>
      <c r="D69" s="7">
        <f t="shared" ref="D69:D80" si="19">SUM(B69:C69)</f>
        <v>5122191</v>
      </c>
      <c r="E69" s="7">
        <f t="shared" ref="E69:E80" si="20">C69*-0.5</f>
        <v>0</v>
      </c>
      <c r="I69" s="11">
        <f t="shared" si="16"/>
        <v>5122191</v>
      </c>
      <c r="J69" s="18">
        <f t="shared" si="17"/>
        <v>5.7749698127946723E-3</v>
      </c>
      <c r="K69" t="str">
        <f t="shared" ref="K69:K80" si="21">IF(VLOOKUP(A69,Model,2,FALSE)&lt;&gt;"","Yes","No")</f>
        <v>Yes</v>
      </c>
      <c r="L69" s="45" t="str">
        <f t="shared" si="18"/>
        <v xml:space="preserve"> </v>
      </c>
    </row>
    <row r="70" spans="1:12">
      <c r="A70" t="s">
        <v>328</v>
      </c>
      <c r="B70" s="7">
        <v>0</v>
      </c>
      <c r="C70" s="7">
        <v>0</v>
      </c>
      <c r="D70" s="7">
        <f t="shared" si="19"/>
        <v>0</v>
      </c>
      <c r="E70" s="7">
        <f t="shared" si="20"/>
        <v>0</v>
      </c>
      <c r="I70" s="11">
        <f t="shared" si="16"/>
        <v>0</v>
      </c>
      <c r="J70" s="18">
        <f t="shared" si="17"/>
        <v>0</v>
      </c>
      <c r="K70" t="str">
        <f t="shared" si="21"/>
        <v>Yes</v>
      </c>
      <c r="L70" s="45" t="str">
        <f t="shared" si="18"/>
        <v xml:space="preserve"> </v>
      </c>
    </row>
    <row r="71" spans="1:12">
      <c r="A71" t="s">
        <v>218</v>
      </c>
      <c r="B71" s="7">
        <v>40847821</v>
      </c>
      <c r="C71" s="7">
        <v>0</v>
      </c>
      <c r="D71" s="7">
        <f t="shared" si="19"/>
        <v>40847821</v>
      </c>
      <c r="E71" s="7">
        <f t="shared" si="20"/>
        <v>0</v>
      </c>
      <c r="F71" s="7">
        <v>-37042329</v>
      </c>
      <c r="I71" s="11">
        <f t="shared" si="16"/>
        <v>3805492</v>
      </c>
      <c r="J71" s="18">
        <f t="shared" si="17"/>
        <v>4.290468946361356E-3</v>
      </c>
      <c r="K71" t="str">
        <f t="shared" si="21"/>
        <v>Yes</v>
      </c>
      <c r="L71" s="45" t="str">
        <f t="shared" si="18"/>
        <v>Excludes insurance claim payouts (529721)</v>
      </c>
    </row>
    <row r="72" spans="1:12">
      <c r="A72" t="s">
        <v>219</v>
      </c>
      <c r="B72" s="7">
        <v>17750018</v>
      </c>
      <c r="C72" s="7">
        <v>3159810</v>
      </c>
      <c r="D72" s="7">
        <f t="shared" si="19"/>
        <v>20909828</v>
      </c>
      <c r="E72" s="7">
        <f t="shared" si="20"/>
        <v>-1579905</v>
      </c>
      <c r="I72" s="11">
        <f t="shared" si="16"/>
        <v>19329923</v>
      </c>
      <c r="J72" s="18">
        <f t="shared" si="17"/>
        <v>2.1793354017576743E-2</v>
      </c>
      <c r="K72" t="str">
        <f t="shared" si="21"/>
        <v>Yes</v>
      </c>
      <c r="L72" s="45" t="str">
        <f t="shared" si="18"/>
        <v xml:space="preserve"> </v>
      </c>
    </row>
    <row r="73" spans="1:12">
      <c r="A73" t="s">
        <v>220</v>
      </c>
      <c r="B73" s="7">
        <v>16649065</v>
      </c>
      <c r="C73" s="7">
        <v>5347326</v>
      </c>
      <c r="D73" s="7">
        <f t="shared" si="19"/>
        <v>21996391</v>
      </c>
      <c r="E73" s="7">
        <f t="shared" si="20"/>
        <v>-2673663</v>
      </c>
      <c r="I73" s="11">
        <f t="shared" si="16"/>
        <v>19322728</v>
      </c>
      <c r="J73" s="18">
        <f t="shared" si="17"/>
        <v>2.178524207723655E-2</v>
      </c>
      <c r="K73" t="str">
        <f t="shared" si="21"/>
        <v>Yes</v>
      </c>
      <c r="L73" s="45" t="str">
        <f t="shared" si="18"/>
        <v xml:space="preserve"> </v>
      </c>
    </row>
    <row r="74" spans="1:12">
      <c r="A74" t="s">
        <v>221</v>
      </c>
      <c r="B74" s="7">
        <v>5907700</v>
      </c>
      <c r="C74" s="7">
        <v>0</v>
      </c>
      <c r="D74" s="7">
        <f t="shared" si="19"/>
        <v>5907700</v>
      </c>
      <c r="E74" s="7">
        <f t="shared" si="20"/>
        <v>0</v>
      </c>
      <c r="I74" s="11">
        <f t="shared" si="16"/>
        <v>5907700</v>
      </c>
      <c r="J74" s="18">
        <f t="shared" si="17"/>
        <v>6.6605851212981097E-3</v>
      </c>
      <c r="K74" t="str">
        <f t="shared" si="21"/>
        <v>Yes</v>
      </c>
      <c r="L74" s="45" t="str">
        <f t="shared" si="18"/>
        <v xml:space="preserve"> </v>
      </c>
    </row>
    <row r="75" spans="1:12">
      <c r="A75" t="s">
        <v>222</v>
      </c>
      <c r="B75" s="7">
        <v>6458823</v>
      </c>
      <c r="C75" s="7">
        <v>0</v>
      </c>
      <c r="D75" s="7">
        <f t="shared" si="19"/>
        <v>6458823</v>
      </c>
      <c r="E75" s="7">
        <f t="shared" si="20"/>
        <v>0</v>
      </c>
      <c r="I75" s="11">
        <f t="shared" si="16"/>
        <v>6458823</v>
      </c>
      <c r="J75" s="18">
        <f t="shared" si="17"/>
        <v>7.2819439671780927E-3</v>
      </c>
      <c r="K75" t="str">
        <f t="shared" si="21"/>
        <v>Yes</v>
      </c>
      <c r="L75" s="45" t="str">
        <f t="shared" si="18"/>
        <v xml:space="preserve"> </v>
      </c>
    </row>
    <row r="76" spans="1:12">
      <c r="A76" t="s">
        <v>223</v>
      </c>
      <c r="B76" s="7">
        <v>3676838</v>
      </c>
      <c r="C76" s="7">
        <v>0</v>
      </c>
      <c r="D76" s="7">
        <f t="shared" si="19"/>
        <v>3676838</v>
      </c>
      <c r="E76" s="7">
        <f t="shared" si="20"/>
        <v>0</v>
      </c>
      <c r="I76" s="11">
        <f t="shared" si="16"/>
        <v>3676838</v>
      </c>
      <c r="J76" s="18">
        <f t="shared" si="17"/>
        <v>4.1454191100129493E-3</v>
      </c>
      <c r="K76" t="str">
        <f t="shared" si="21"/>
        <v>Yes</v>
      </c>
      <c r="L76" s="45" t="str">
        <f t="shared" si="18"/>
        <v xml:space="preserve"> </v>
      </c>
    </row>
    <row r="77" spans="1:12">
      <c r="A77" t="s">
        <v>224</v>
      </c>
      <c r="B77" s="7">
        <v>35680245</v>
      </c>
      <c r="C77" s="7">
        <v>1543892</v>
      </c>
      <c r="D77" s="7">
        <f t="shared" si="19"/>
        <v>37224137</v>
      </c>
      <c r="E77" s="7">
        <f t="shared" si="20"/>
        <v>-771946</v>
      </c>
      <c r="I77" s="11">
        <f t="shared" si="16"/>
        <v>36452191</v>
      </c>
      <c r="J77" s="18">
        <f t="shared" si="17"/>
        <v>4.1097706554719581E-2</v>
      </c>
      <c r="K77" t="str">
        <f t="shared" si="21"/>
        <v>Yes</v>
      </c>
      <c r="L77" s="45" t="str">
        <f t="shared" si="18"/>
        <v xml:space="preserve"> </v>
      </c>
    </row>
    <row r="78" spans="1:12">
      <c r="A78" t="s">
        <v>225</v>
      </c>
      <c r="B78" s="7">
        <v>5333203</v>
      </c>
      <c r="C78" s="7">
        <v>150662</v>
      </c>
      <c r="D78" s="7">
        <f t="shared" si="19"/>
        <v>5483865</v>
      </c>
      <c r="E78" s="7">
        <f t="shared" si="20"/>
        <v>-75331</v>
      </c>
      <c r="I78" s="11">
        <f t="shared" si="16"/>
        <v>5408534</v>
      </c>
      <c r="J78" s="18">
        <f t="shared" si="17"/>
        <v>6.0978047443903637E-3</v>
      </c>
      <c r="K78" t="str">
        <f t="shared" si="21"/>
        <v>Yes</v>
      </c>
      <c r="L78" s="45" t="str">
        <f t="shared" si="18"/>
        <v xml:space="preserve"> </v>
      </c>
    </row>
    <row r="79" spans="1:12">
      <c r="A79" t="s">
        <v>226</v>
      </c>
      <c r="B79" s="7">
        <v>99985505</v>
      </c>
      <c r="C79" s="7">
        <v>0</v>
      </c>
      <c r="D79" s="7">
        <f t="shared" si="19"/>
        <v>99985505</v>
      </c>
      <c r="E79" s="7">
        <f t="shared" si="20"/>
        <v>0</v>
      </c>
      <c r="F79" s="7">
        <f>-89139850-8679572</f>
        <v>-97819422</v>
      </c>
      <c r="I79" s="11">
        <f t="shared" si="16"/>
        <v>2166083</v>
      </c>
      <c r="J79" s="18">
        <f t="shared" si="17"/>
        <v>2.4421314896316288E-3</v>
      </c>
      <c r="K79" t="str">
        <f t="shared" si="21"/>
        <v>Yes</v>
      </c>
      <c r="L79" s="45" t="str">
        <f t="shared" si="18"/>
        <v>Excludes retirement payouts, PERS contributions, and disability/death benefits (547000, 547100)</v>
      </c>
    </row>
    <row r="80" spans="1:12">
      <c r="A80" t="s">
        <v>227</v>
      </c>
      <c r="B80" s="7">
        <v>7752</v>
      </c>
      <c r="C80" s="7">
        <v>0</v>
      </c>
      <c r="D80" s="7">
        <f t="shared" si="19"/>
        <v>7752</v>
      </c>
      <c r="E80" s="7">
        <f t="shared" si="20"/>
        <v>0</v>
      </c>
      <c r="I80" s="11">
        <f t="shared" si="16"/>
        <v>0</v>
      </c>
      <c r="J80" s="18">
        <f t="shared" si="17"/>
        <v>0</v>
      </c>
      <c r="K80" t="str">
        <f t="shared" si="21"/>
        <v>Yes</v>
      </c>
      <c r="L80" s="45" t="str">
        <f t="shared" si="18"/>
        <v xml:space="preserve"> </v>
      </c>
    </row>
    <row r="81" spans="9:10">
      <c r="I81" s="11"/>
      <c r="J81" s="12">
        <f>SUM(J2:J80)</f>
        <v>1.0000000000000002</v>
      </c>
    </row>
    <row r="82" spans="9:10">
      <c r="I82" s="11"/>
    </row>
    <row r="83" spans="9:10">
      <c r="I83" s="11"/>
    </row>
    <row r="84" spans="9:10">
      <c r="I84" s="11"/>
    </row>
  </sheetData>
  <sortState ref="A2:I76">
    <sortCondition ref="A2"/>
  </sortState>
  <pageMargins left="0.75" right="0.75" top="1" bottom="1" header="0.5" footer="0.5"/>
  <pageSetup orientation="portrait" r:id="rId1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>
  <dimension ref="A1:H43"/>
  <sheetViews>
    <sheetView workbookViewId="0">
      <selection activeCell="C15" sqref="C15"/>
    </sheetView>
  </sheetViews>
  <sheetFormatPr defaultRowHeight="13.2"/>
  <cols>
    <col min="1" max="1" width="11.44140625" bestFit="1" customWidth="1"/>
    <col min="2" max="2" width="12.88671875" bestFit="1" customWidth="1"/>
    <col min="3" max="3" width="12.88671875" style="45" customWidth="1"/>
    <col min="4" max="5" width="12.88671875" customWidth="1"/>
    <col min="6" max="6" width="10.77734375" customWidth="1"/>
    <col min="8" max="8" width="32.88671875" bestFit="1" customWidth="1"/>
  </cols>
  <sheetData>
    <row r="1" spans="1:8" ht="28.8">
      <c r="A1" s="23" t="s">
        <v>228</v>
      </c>
      <c r="B1" s="30" t="s">
        <v>390</v>
      </c>
      <c r="C1" s="30" t="s">
        <v>448</v>
      </c>
      <c r="D1" s="30" t="s">
        <v>446</v>
      </c>
      <c r="E1" s="30" t="s">
        <v>391</v>
      </c>
      <c r="F1" s="24" t="s">
        <v>343</v>
      </c>
      <c r="G1" s="6" t="s">
        <v>341</v>
      </c>
      <c r="H1" s="6" t="s">
        <v>346</v>
      </c>
    </row>
    <row r="2" spans="1:8" ht="14.4">
      <c r="A2" s="77" t="s">
        <v>163</v>
      </c>
      <c r="B2" s="78">
        <v>63</v>
      </c>
      <c r="C2" s="81">
        <v>-1</v>
      </c>
      <c r="D2" s="31">
        <v>-62</v>
      </c>
      <c r="E2">
        <f t="shared" ref="E2:E42" si="0">IF((VLOOKUP(A2,Crosswalk,2,FALSE)="Excluded"),0,(SUM(B2+C2+D2)))</f>
        <v>0</v>
      </c>
      <c r="F2" s="25">
        <f>E2/SUM($E$2:$E$42)</f>
        <v>0</v>
      </c>
      <c r="G2" t="str">
        <f t="shared" ref="G2:G41" si="1">IF(VLOOKUP(A2,Model,2,FALSE)&lt;&gt;"","Yes","No")</f>
        <v>Yes</v>
      </c>
      <c r="H2" s="45" t="str">
        <f t="shared" ref="H2:H41" si="2">IF((VLOOKUP(A2,Crosswalk,3,FALSE))=0," ",(VLOOKUP(A2,Crosswalk,3,FALSE)))</f>
        <v>100% Overhead</v>
      </c>
    </row>
    <row r="3" spans="1:8" ht="14.4">
      <c r="A3" s="77" t="s">
        <v>164</v>
      </c>
      <c r="B3" s="78">
        <v>59</v>
      </c>
      <c r="C3" s="81">
        <v>-4</v>
      </c>
      <c r="D3" s="31">
        <v>-55</v>
      </c>
      <c r="E3" s="45">
        <f t="shared" si="0"/>
        <v>0</v>
      </c>
      <c r="F3" s="25">
        <f t="shared" ref="F3:F42" si="3">E3/SUM($E$2:$E$42)</f>
        <v>0</v>
      </c>
      <c r="G3" t="str">
        <f t="shared" si="1"/>
        <v>Yes</v>
      </c>
      <c r="H3" s="45" t="str">
        <f t="shared" si="2"/>
        <v>100% Overhead</v>
      </c>
    </row>
    <row r="4" spans="1:8" ht="14.4">
      <c r="A4" s="77" t="s">
        <v>158</v>
      </c>
      <c r="B4" s="78">
        <v>9</v>
      </c>
      <c r="C4" s="81"/>
      <c r="D4" s="31"/>
      <c r="E4" s="45">
        <f t="shared" si="0"/>
        <v>9</v>
      </c>
      <c r="F4" s="25">
        <f t="shared" si="3"/>
        <v>1.1013215859030838E-3</v>
      </c>
      <c r="G4" t="str">
        <f t="shared" si="1"/>
        <v>Yes</v>
      </c>
      <c r="H4" s="45" t="str">
        <f t="shared" si="2"/>
        <v xml:space="preserve"> </v>
      </c>
    </row>
    <row r="5" spans="1:8" ht="14.4">
      <c r="A5" s="77" t="s">
        <v>166</v>
      </c>
      <c r="B5" s="78">
        <v>17</v>
      </c>
      <c r="C5" s="81"/>
      <c r="D5" s="31">
        <v>-17</v>
      </c>
      <c r="E5" s="45">
        <f t="shared" si="0"/>
        <v>0</v>
      </c>
      <c r="F5" s="25">
        <f t="shared" si="3"/>
        <v>0</v>
      </c>
      <c r="G5" t="str">
        <f t="shared" si="1"/>
        <v>Yes</v>
      </c>
      <c r="H5" s="45" t="str">
        <f t="shared" si="2"/>
        <v>100% Overhead</v>
      </c>
    </row>
    <row r="6" spans="1:8" ht="14.4">
      <c r="A6" s="77" t="s">
        <v>167</v>
      </c>
      <c r="B6" s="78">
        <v>769</v>
      </c>
      <c r="C6" s="81">
        <v>-10</v>
      </c>
      <c r="D6" s="31">
        <v>-1</v>
      </c>
      <c r="E6" s="45">
        <f t="shared" si="0"/>
        <v>758</v>
      </c>
      <c r="F6" s="25">
        <f t="shared" si="3"/>
        <v>9.275575134605972E-2</v>
      </c>
      <c r="G6" t="str">
        <f t="shared" si="1"/>
        <v>Yes</v>
      </c>
      <c r="H6" s="45" t="str">
        <f t="shared" si="2"/>
        <v>Exclude expenditures for emergency mgmt (FREO000004 Fund Center)</v>
      </c>
    </row>
    <row r="7" spans="1:8" ht="14.4">
      <c r="A7" s="77" t="s">
        <v>159</v>
      </c>
      <c r="B7" s="78">
        <v>8</v>
      </c>
      <c r="C7" s="81"/>
      <c r="D7" s="31">
        <v>-8</v>
      </c>
      <c r="E7" s="45">
        <f t="shared" si="0"/>
        <v>0</v>
      </c>
      <c r="F7" s="25">
        <f t="shared" si="3"/>
        <v>0</v>
      </c>
      <c r="G7" t="str">
        <f t="shared" si="1"/>
        <v>Yes</v>
      </c>
      <c r="H7" s="45" t="str">
        <f t="shared" si="2"/>
        <v>100% Overhead</v>
      </c>
    </row>
    <row r="8" spans="1:8" ht="14.4">
      <c r="A8" s="77" t="s">
        <v>168</v>
      </c>
      <c r="B8" s="78">
        <v>38</v>
      </c>
      <c r="C8" s="81">
        <v>-1</v>
      </c>
      <c r="D8" s="31"/>
      <c r="E8" s="45">
        <f t="shared" si="0"/>
        <v>37</v>
      </c>
      <c r="F8" s="25">
        <f t="shared" si="3"/>
        <v>4.5276554087126776E-3</v>
      </c>
      <c r="G8" t="str">
        <f t="shared" si="1"/>
        <v>Yes</v>
      </c>
      <c r="H8" s="45" t="str">
        <f t="shared" si="2"/>
        <v xml:space="preserve"> </v>
      </c>
    </row>
    <row r="9" spans="1:8" ht="14.4">
      <c r="A9" s="77" t="s">
        <v>160</v>
      </c>
      <c r="B9" s="78">
        <v>4</v>
      </c>
      <c r="C9" s="81"/>
      <c r="D9" s="31"/>
      <c r="E9" s="45">
        <f t="shared" si="0"/>
        <v>0</v>
      </c>
      <c r="F9" s="25">
        <f t="shared" si="3"/>
        <v>0</v>
      </c>
      <c r="G9" t="str">
        <f t="shared" si="1"/>
        <v>Yes</v>
      </c>
      <c r="H9" s="45" t="str">
        <f t="shared" si="2"/>
        <v xml:space="preserve"> </v>
      </c>
    </row>
    <row r="10" spans="1:8" ht="14.4">
      <c r="A10" s="77" t="s">
        <v>161</v>
      </c>
      <c r="B10" s="78">
        <v>298</v>
      </c>
      <c r="C10" s="81">
        <v>-9</v>
      </c>
      <c r="D10" s="31">
        <f>-225+6</f>
        <v>-219</v>
      </c>
      <c r="E10" s="45">
        <f t="shared" si="0"/>
        <v>70</v>
      </c>
      <c r="F10" s="25">
        <f t="shared" si="3"/>
        <v>8.5658345570239838E-3</v>
      </c>
      <c r="G10" t="str">
        <f t="shared" si="1"/>
        <v>Yes</v>
      </c>
      <c r="H10" s="45" t="str">
        <f t="shared" si="2"/>
        <v>Exclude MFHR, MFDR, MFIB</v>
      </c>
    </row>
    <row r="11" spans="1:8" ht="14.4">
      <c r="A11" s="77" t="s">
        <v>165</v>
      </c>
      <c r="B11" s="78">
        <v>26</v>
      </c>
      <c r="C11" s="81">
        <v>-1</v>
      </c>
      <c r="D11" s="31">
        <f>-24+1</f>
        <v>-23</v>
      </c>
      <c r="E11" s="45">
        <f t="shared" si="0"/>
        <v>2</v>
      </c>
      <c r="F11" s="25">
        <f t="shared" si="3"/>
        <v>2.4473813020068529E-4</v>
      </c>
      <c r="G11" t="str">
        <f t="shared" si="1"/>
        <v>Yes</v>
      </c>
      <c r="H11" s="45" t="str">
        <f t="shared" si="2"/>
        <v>Exclude expenditures for Admin &amp; Support (LAMYAS Functional Area)</v>
      </c>
    </row>
    <row r="12" spans="1:8" ht="14.4">
      <c r="A12" s="77" t="s">
        <v>162</v>
      </c>
      <c r="B12" s="78">
        <v>54</v>
      </c>
      <c r="C12" s="81">
        <v>-5</v>
      </c>
      <c r="D12" s="31">
        <v>-6</v>
      </c>
      <c r="E12" s="45">
        <f t="shared" si="0"/>
        <v>43</v>
      </c>
      <c r="F12" s="25">
        <f t="shared" si="3"/>
        <v>5.2618697993147331E-3</v>
      </c>
      <c r="G12" t="str">
        <f t="shared" si="1"/>
        <v>Yes</v>
      </c>
      <c r="H12" s="45" t="str">
        <f t="shared" si="2"/>
        <v>Exclude expenditures for Information &amp; Referral and Public Involvement best practices (CDIR, CDNRNOPI)</v>
      </c>
    </row>
    <row r="13" spans="1:8" s="45" customFormat="1" ht="14.4">
      <c r="A13" s="77" t="s">
        <v>318</v>
      </c>
      <c r="B13" s="78">
        <v>6</v>
      </c>
      <c r="C13" s="81"/>
      <c r="D13" s="31"/>
      <c r="E13" s="45">
        <f t="shared" si="0"/>
        <v>6</v>
      </c>
      <c r="F13" s="25">
        <f t="shared" si="3"/>
        <v>7.3421439060205576E-4</v>
      </c>
      <c r="G13" s="45" t="str">
        <f t="shared" ref="G13" si="4">IF(VLOOKUP(A13,Model,2,FALSE)&lt;&gt;"","Yes","No")</f>
        <v>Yes</v>
      </c>
      <c r="H13" s="45" t="str">
        <f t="shared" si="2"/>
        <v>Rollback in 09-10 &amp; 10-11. Exclude expenditures for Citywide Comm, Training, Tech Support and % admin (CDCEEC, TE, TS &amp; portion CDAS (68%))</v>
      </c>
    </row>
    <row r="14" spans="1:8" ht="14.4">
      <c r="A14" s="77" t="s">
        <v>154</v>
      </c>
      <c r="B14" s="78">
        <v>15</v>
      </c>
      <c r="C14" s="81">
        <v>-1</v>
      </c>
      <c r="D14" s="31">
        <v>-13</v>
      </c>
      <c r="E14" s="45">
        <f t="shared" si="0"/>
        <v>1</v>
      </c>
      <c r="F14" s="25">
        <f t="shared" si="3"/>
        <v>1.2236906510034264E-4</v>
      </c>
      <c r="G14" t="str">
        <f t="shared" si="1"/>
        <v>Yes</v>
      </c>
      <c r="H14" s="45" t="str">
        <f t="shared" si="2"/>
        <v>Exclude Commissioner's Office (PACO000001)</v>
      </c>
    </row>
    <row r="15" spans="1:8" ht="14.4">
      <c r="A15" s="77" t="s">
        <v>169</v>
      </c>
      <c r="B15" s="78">
        <v>3796</v>
      </c>
      <c r="C15" s="81">
        <v>-1033</v>
      </c>
      <c r="D15" s="31"/>
      <c r="E15" s="45">
        <f t="shared" si="0"/>
        <v>2763</v>
      </c>
      <c r="F15" s="25">
        <f t="shared" si="3"/>
        <v>0.33810572687224671</v>
      </c>
      <c r="G15" t="str">
        <f t="shared" si="1"/>
        <v>Yes</v>
      </c>
      <c r="H15" s="45" t="str">
        <f t="shared" si="2"/>
        <v xml:space="preserve"> </v>
      </c>
    </row>
    <row r="16" spans="1:8" ht="14.4">
      <c r="A16" s="77" t="s">
        <v>170</v>
      </c>
      <c r="B16" s="78">
        <v>1309</v>
      </c>
      <c r="C16" s="81">
        <v>-2</v>
      </c>
      <c r="D16" s="31"/>
      <c r="E16" s="45">
        <f t="shared" si="0"/>
        <v>1307</v>
      </c>
      <c r="F16" s="25">
        <f t="shared" si="3"/>
        <v>0.15993636808614783</v>
      </c>
      <c r="G16" t="str">
        <f t="shared" si="1"/>
        <v>Yes</v>
      </c>
      <c r="H16" s="45" t="str">
        <f t="shared" si="2"/>
        <v xml:space="preserve"> </v>
      </c>
    </row>
    <row r="17" spans="1:8" ht="14.4">
      <c r="A17" s="77" t="s">
        <v>153</v>
      </c>
      <c r="B17" s="78">
        <v>119</v>
      </c>
      <c r="C17" s="81">
        <v>-5</v>
      </c>
      <c r="D17" s="31">
        <f>(10*-0.5)-9</f>
        <v>-14</v>
      </c>
      <c r="E17" s="45">
        <f t="shared" si="0"/>
        <v>100</v>
      </c>
      <c r="F17" s="25">
        <f t="shared" si="3"/>
        <v>1.2236906510034264E-2</v>
      </c>
      <c r="G17" t="str">
        <f t="shared" si="1"/>
        <v>Yes</v>
      </c>
      <c r="H17" s="45" t="str">
        <f t="shared" si="2"/>
        <v>Exclude expenditures for Comp Planning &amp; 1/2 of district liaisons (CDAPDI, CDCP00)</v>
      </c>
    </row>
    <row r="18" spans="1:8" ht="14.4">
      <c r="A18" s="77" t="s">
        <v>155</v>
      </c>
      <c r="B18" s="78">
        <v>8</v>
      </c>
      <c r="C18" s="81">
        <v>-1</v>
      </c>
      <c r="D18" s="31">
        <v>-7</v>
      </c>
      <c r="E18" s="45">
        <f t="shared" si="0"/>
        <v>0</v>
      </c>
      <c r="F18" s="25">
        <f t="shared" si="3"/>
        <v>0</v>
      </c>
      <c r="G18" t="str">
        <f t="shared" si="1"/>
        <v>Yes</v>
      </c>
      <c r="H18" s="45" t="str">
        <f t="shared" si="2"/>
        <v>100% Overhead</v>
      </c>
    </row>
    <row r="19" spans="1:8" ht="14.4">
      <c r="A19" s="77" t="s">
        <v>156</v>
      </c>
      <c r="B19" s="78">
        <v>10</v>
      </c>
      <c r="C19" s="81"/>
      <c r="D19" s="31">
        <v>-10</v>
      </c>
      <c r="E19" s="45">
        <f t="shared" si="0"/>
        <v>0</v>
      </c>
      <c r="F19" s="25">
        <f t="shared" si="3"/>
        <v>0</v>
      </c>
      <c r="G19" t="str">
        <f t="shared" si="1"/>
        <v>Yes</v>
      </c>
      <c r="H19" s="45" t="str">
        <f t="shared" si="2"/>
        <v>100% Overhead</v>
      </c>
    </row>
    <row r="20" spans="1:8" ht="14.4">
      <c r="A20" s="77" t="s">
        <v>157</v>
      </c>
      <c r="B20" s="78">
        <v>10</v>
      </c>
      <c r="C20" s="81"/>
      <c r="D20" s="31">
        <v>-10</v>
      </c>
      <c r="E20" s="45">
        <f t="shared" si="0"/>
        <v>0</v>
      </c>
      <c r="F20" s="25">
        <f t="shared" si="3"/>
        <v>0</v>
      </c>
      <c r="G20" t="str">
        <f t="shared" si="1"/>
        <v>Yes</v>
      </c>
      <c r="H20" s="45" t="str">
        <f t="shared" si="2"/>
        <v>100% Overhead</v>
      </c>
    </row>
    <row r="21" spans="1:8" ht="14.4">
      <c r="A21" s="77" t="s">
        <v>172</v>
      </c>
      <c r="B21" s="78">
        <v>793</v>
      </c>
      <c r="C21" s="81">
        <v>-27</v>
      </c>
      <c r="D21" s="31"/>
      <c r="E21" s="45">
        <f t="shared" si="0"/>
        <v>766</v>
      </c>
      <c r="F21" s="25">
        <f t="shared" si="3"/>
        <v>9.3734703866862459E-2</v>
      </c>
      <c r="G21" t="str">
        <f t="shared" si="1"/>
        <v>Yes</v>
      </c>
      <c r="H21" s="45" t="str">
        <f t="shared" si="2"/>
        <v xml:space="preserve"> </v>
      </c>
    </row>
    <row r="22" spans="1:8" ht="14.4">
      <c r="A22" s="77" t="s">
        <v>173</v>
      </c>
      <c r="B22" s="78">
        <v>154</v>
      </c>
      <c r="C22" s="81"/>
      <c r="D22" s="31"/>
      <c r="E22" s="45">
        <f t="shared" si="0"/>
        <v>154</v>
      </c>
      <c r="F22" s="25">
        <f t="shared" si="3"/>
        <v>1.8844836025452765E-2</v>
      </c>
      <c r="G22" t="str">
        <f t="shared" si="1"/>
        <v>Yes</v>
      </c>
      <c r="H22" s="45" t="str">
        <f t="shared" si="2"/>
        <v xml:space="preserve"> </v>
      </c>
    </row>
    <row r="23" spans="1:8" ht="14.4">
      <c r="A23" s="77" t="s">
        <v>175</v>
      </c>
      <c r="B23" s="78">
        <v>312</v>
      </c>
      <c r="C23" s="81">
        <v>-1</v>
      </c>
      <c r="D23" s="31"/>
      <c r="E23" s="45">
        <f t="shared" si="0"/>
        <v>311</v>
      </c>
      <c r="F23" s="25">
        <f t="shared" si="3"/>
        <v>3.8056779246206561E-2</v>
      </c>
      <c r="G23" t="str">
        <f t="shared" si="1"/>
        <v>Yes</v>
      </c>
      <c r="H23" s="45" t="str">
        <f t="shared" si="2"/>
        <v xml:space="preserve"> </v>
      </c>
    </row>
    <row r="24" spans="1:8" ht="14.4">
      <c r="A24" s="77" t="s">
        <v>183</v>
      </c>
      <c r="B24" s="78">
        <v>5</v>
      </c>
      <c r="C24" s="81"/>
      <c r="D24" s="31">
        <v>-5</v>
      </c>
      <c r="E24" s="45">
        <f t="shared" si="0"/>
        <v>0</v>
      </c>
      <c r="F24" s="25">
        <f t="shared" si="3"/>
        <v>0</v>
      </c>
      <c r="G24" t="str">
        <f t="shared" si="1"/>
        <v>Yes</v>
      </c>
      <c r="H24" s="45" t="str">
        <f t="shared" si="2"/>
        <v>Fixed at $25,000 (hardcoded in Model)</v>
      </c>
    </row>
    <row r="25" spans="1:8" ht="14.4">
      <c r="A25" s="77" t="s">
        <v>199</v>
      </c>
      <c r="B25" s="78">
        <v>2</v>
      </c>
      <c r="C25" s="81">
        <v>-2</v>
      </c>
      <c r="D25" s="31"/>
      <c r="E25" s="45">
        <f t="shared" si="0"/>
        <v>0</v>
      </c>
      <c r="F25" s="25">
        <f t="shared" si="3"/>
        <v>0</v>
      </c>
      <c r="G25" t="str">
        <f t="shared" si="1"/>
        <v>Yes</v>
      </c>
      <c r="H25" s="45" t="str">
        <f t="shared" si="2"/>
        <v xml:space="preserve"> </v>
      </c>
    </row>
    <row r="26" spans="1:8" ht="14.4">
      <c r="A26" s="77" t="s">
        <v>207</v>
      </c>
      <c r="B26" s="78">
        <v>15</v>
      </c>
      <c r="C26" s="81"/>
      <c r="D26" s="31"/>
      <c r="E26" s="45">
        <f t="shared" si="0"/>
        <v>15</v>
      </c>
      <c r="F26" s="25">
        <f t="shared" si="3"/>
        <v>1.8355359765051395E-3</v>
      </c>
      <c r="G26" t="str">
        <f t="shared" si="1"/>
        <v>Yes</v>
      </c>
      <c r="H26" s="45" t="str">
        <f t="shared" si="2"/>
        <v xml:space="preserve"> </v>
      </c>
    </row>
    <row r="27" spans="1:8" ht="14.4">
      <c r="A27" s="77" t="s">
        <v>209</v>
      </c>
      <c r="B27" s="78">
        <v>604</v>
      </c>
      <c r="C27" s="81">
        <v>-31</v>
      </c>
      <c r="D27" s="31"/>
      <c r="E27" s="45">
        <f t="shared" si="0"/>
        <v>573</v>
      </c>
      <c r="F27" s="25">
        <f t="shared" si="3"/>
        <v>7.0117474302496333E-2</v>
      </c>
      <c r="G27" t="str">
        <f t="shared" si="1"/>
        <v>Yes</v>
      </c>
      <c r="H27" s="45" t="str">
        <f t="shared" si="2"/>
        <v xml:space="preserve"> </v>
      </c>
    </row>
    <row r="28" spans="1:8" ht="14.4">
      <c r="A28" s="77" t="s">
        <v>210</v>
      </c>
      <c r="B28" s="78">
        <v>3</v>
      </c>
      <c r="C28" s="81"/>
      <c r="D28" s="31"/>
      <c r="E28" s="45">
        <f t="shared" si="0"/>
        <v>3</v>
      </c>
      <c r="F28" s="25">
        <f t="shared" si="3"/>
        <v>3.6710719530102788E-4</v>
      </c>
      <c r="G28" t="str">
        <f t="shared" si="1"/>
        <v>Yes</v>
      </c>
      <c r="H28" s="45" t="str">
        <f t="shared" si="2"/>
        <v xml:space="preserve"> </v>
      </c>
    </row>
    <row r="29" spans="1:8" ht="14.4">
      <c r="A29" s="77" t="s">
        <v>211</v>
      </c>
      <c r="B29" s="78">
        <v>677</v>
      </c>
      <c r="C29" s="81">
        <v>-18</v>
      </c>
      <c r="D29" s="31"/>
      <c r="E29" s="45">
        <f t="shared" si="0"/>
        <v>659</v>
      </c>
      <c r="F29" s="25">
        <f t="shared" si="3"/>
        <v>8.0641213901125802E-2</v>
      </c>
      <c r="G29" t="str">
        <f t="shared" si="1"/>
        <v>Yes</v>
      </c>
      <c r="H29" s="45" t="str">
        <f t="shared" si="2"/>
        <v xml:space="preserve"> </v>
      </c>
    </row>
    <row r="30" spans="1:8" ht="14.4">
      <c r="A30" s="77" t="s">
        <v>212</v>
      </c>
      <c r="B30" s="78">
        <v>77</v>
      </c>
      <c r="C30" s="81">
        <v>-25</v>
      </c>
      <c r="D30" s="31"/>
      <c r="E30" s="45">
        <f t="shared" si="0"/>
        <v>52</v>
      </c>
      <c r="F30" s="25">
        <f t="shared" si="3"/>
        <v>6.3631913852178167E-3</v>
      </c>
      <c r="G30" t="str">
        <f t="shared" si="1"/>
        <v>Yes</v>
      </c>
      <c r="H30" s="45" t="str">
        <f t="shared" si="2"/>
        <v xml:space="preserve"> </v>
      </c>
    </row>
    <row r="31" spans="1:8" ht="14.4">
      <c r="A31" s="77" t="s">
        <v>213</v>
      </c>
      <c r="B31" s="78">
        <v>72</v>
      </c>
      <c r="C31" s="81">
        <v>-22</v>
      </c>
      <c r="D31" s="31"/>
      <c r="E31" s="45">
        <f t="shared" si="0"/>
        <v>50</v>
      </c>
      <c r="F31" s="25">
        <f t="shared" si="3"/>
        <v>6.1184532550171318E-3</v>
      </c>
      <c r="G31" t="str">
        <f t="shared" si="1"/>
        <v>Yes</v>
      </c>
      <c r="H31" s="45" t="str">
        <f t="shared" si="2"/>
        <v xml:space="preserve"> </v>
      </c>
    </row>
    <row r="32" spans="1:8" ht="14.4">
      <c r="A32" s="77" t="s">
        <v>214</v>
      </c>
      <c r="B32" s="78">
        <v>33</v>
      </c>
      <c r="C32" s="81"/>
      <c r="D32" s="31"/>
      <c r="E32" s="45">
        <f t="shared" si="0"/>
        <v>33</v>
      </c>
      <c r="F32" s="25">
        <f t="shared" si="3"/>
        <v>4.0381791483113071E-3</v>
      </c>
      <c r="G32" t="str">
        <f t="shared" si="1"/>
        <v>Yes</v>
      </c>
      <c r="H32" s="45" t="str">
        <f t="shared" si="2"/>
        <v xml:space="preserve"> </v>
      </c>
    </row>
    <row r="33" spans="1:8" ht="14.4">
      <c r="A33" s="77" t="s">
        <v>217</v>
      </c>
      <c r="B33" s="78">
        <v>5</v>
      </c>
      <c r="C33" s="81"/>
      <c r="D33" s="31"/>
      <c r="E33" s="45">
        <f t="shared" si="0"/>
        <v>5</v>
      </c>
      <c r="F33" s="25">
        <f t="shared" si="3"/>
        <v>6.1184532550171312E-4</v>
      </c>
      <c r="G33" t="str">
        <f t="shared" si="1"/>
        <v>Yes</v>
      </c>
      <c r="H33" s="45" t="str">
        <f t="shared" si="2"/>
        <v xml:space="preserve"> </v>
      </c>
    </row>
    <row r="34" spans="1:8" ht="14.4">
      <c r="A34" s="77" t="s">
        <v>218</v>
      </c>
      <c r="B34" s="78">
        <v>11</v>
      </c>
      <c r="C34" s="81"/>
      <c r="D34" s="31"/>
      <c r="E34" s="45">
        <f t="shared" si="0"/>
        <v>11</v>
      </c>
      <c r="F34" s="25">
        <f t="shared" si="3"/>
        <v>1.3460597161037689E-3</v>
      </c>
      <c r="G34" t="str">
        <f t="shared" si="1"/>
        <v>Yes</v>
      </c>
      <c r="H34" s="45" t="str">
        <f t="shared" si="2"/>
        <v>Excludes insurance claim payouts (529721)</v>
      </c>
    </row>
    <row r="35" spans="1:8" ht="14.4">
      <c r="A35" s="77" t="s">
        <v>219</v>
      </c>
      <c r="B35" s="78">
        <v>37</v>
      </c>
      <c r="C35" s="81"/>
      <c r="D35" s="31"/>
      <c r="E35" s="45">
        <f t="shared" si="0"/>
        <v>37</v>
      </c>
      <c r="F35" s="25">
        <f t="shared" si="3"/>
        <v>4.5276554087126776E-3</v>
      </c>
      <c r="G35" t="str">
        <f t="shared" si="1"/>
        <v>Yes</v>
      </c>
      <c r="H35" s="45" t="str">
        <f t="shared" si="2"/>
        <v xml:space="preserve"> </v>
      </c>
    </row>
    <row r="36" spans="1:8" ht="14.4">
      <c r="A36" s="77" t="s">
        <v>220</v>
      </c>
      <c r="B36" s="78">
        <v>81</v>
      </c>
      <c r="C36" s="81">
        <v>-1</v>
      </c>
      <c r="D36" s="31"/>
      <c r="E36" s="45">
        <f t="shared" si="0"/>
        <v>80</v>
      </c>
      <c r="F36" s="25">
        <f t="shared" si="3"/>
        <v>9.7895252080274098E-3</v>
      </c>
      <c r="G36" t="str">
        <f t="shared" si="1"/>
        <v>Yes</v>
      </c>
      <c r="H36" s="45" t="str">
        <f t="shared" si="2"/>
        <v xml:space="preserve"> </v>
      </c>
    </row>
    <row r="37" spans="1:8" ht="14.4">
      <c r="A37" s="77" t="s">
        <v>221</v>
      </c>
      <c r="B37" s="78">
        <v>33</v>
      </c>
      <c r="C37" s="81">
        <v>-3</v>
      </c>
      <c r="D37" s="31"/>
      <c r="E37" s="45">
        <f t="shared" si="0"/>
        <v>30</v>
      </c>
      <c r="F37" s="25">
        <f t="shared" si="3"/>
        <v>3.6710719530102789E-3</v>
      </c>
      <c r="G37" t="str">
        <f t="shared" si="1"/>
        <v>Yes</v>
      </c>
      <c r="H37" s="45" t="str">
        <f t="shared" si="2"/>
        <v xml:space="preserve"> </v>
      </c>
    </row>
    <row r="38" spans="1:8" ht="14.4">
      <c r="A38" s="77" t="s">
        <v>222</v>
      </c>
      <c r="B38" s="78">
        <v>15</v>
      </c>
      <c r="C38" s="81"/>
      <c r="D38" s="31"/>
      <c r="E38" s="45">
        <f t="shared" si="0"/>
        <v>15</v>
      </c>
      <c r="F38" s="25">
        <f t="shared" si="3"/>
        <v>1.8355359765051395E-3</v>
      </c>
      <c r="G38" t="str">
        <f t="shared" si="1"/>
        <v>Yes</v>
      </c>
      <c r="H38" s="45" t="str">
        <f t="shared" si="2"/>
        <v xml:space="preserve"> </v>
      </c>
    </row>
    <row r="39" spans="1:8" ht="14.4">
      <c r="A39" s="77" t="s">
        <v>223</v>
      </c>
      <c r="B39" s="78">
        <v>6</v>
      </c>
      <c r="C39" s="81"/>
      <c r="D39" s="31"/>
      <c r="E39" s="45">
        <f t="shared" si="0"/>
        <v>6</v>
      </c>
      <c r="F39" s="25">
        <f t="shared" si="3"/>
        <v>7.3421439060205576E-4</v>
      </c>
      <c r="G39" t="str">
        <f t="shared" si="1"/>
        <v>Yes</v>
      </c>
      <c r="H39" s="45" t="str">
        <f t="shared" si="2"/>
        <v xml:space="preserve"> </v>
      </c>
    </row>
    <row r="40" spans="1:8" ht="14.4">
      <c r="A40" s="77" t="s">
        <v>224</v>
      </c>
      <c r="B40" s="78">
        <v>240</v>
      </c>
      <c r="C40" s="81">
        <v>-1</v>
      </c>
      <c r="D40" s="31"/>
      <c r="E40" s="45">
        <f t="shared" si="0"/>
        <v>239</v>
      </c>
      <c r="F40" s="25">
        <f t="shared" si="3"/>
        <v>2.9246206558981889E-2</v>
      </c>
      <c r="G40" t="str">
        <f t="shared" si="1"/>
        <v>Yes</v>
      </c>
      <c r="H40" s="45" t="str">
        <f t="shared" si="2"/>
        <v xml:space="preserve"> </v>
      </c>
    </row>
    <row r="41" spans="1:8" ht="14.4">
      <c r="A41" s="77" t="s">
        <v>225</v>
      </c>
      <c r="B41" s="78">
        <v>20</v>
      </c>
      <c r="C41" s="81"/>
      <c r="D41" s="31"/>
      <c r="E41" s="45">
        <f t="shared" si="0"/>
        <v>20</v>
      </c>
      <c r="F41" s="25">
        <f t="shared" si="3"/>
        <v>2.4473813020068525E-3</v>
      </c>
      <c r="G41" t="str">
        <f t="shared" si="1"/>
        <v>Yes</v>
      </c>
      <c r="H41" s="45" t="str">
        <f t="shared" si="2"/>
        <v xml:space="preserve"> </v>
      </c>
    </row>
    <row r="42" spans="1:8" ht="14.4">
      <c r="A42" s="77" t="s">
        <v>226</v>
      </c>
      <c r="B42" s="78">
        <v>17</v>
      </c>
      <c r="C42" s="81"/>
      <c r="E42" s="45">
        <f t="shared" si="0"/>
        <v>17</v>
      </c>
      <c r="F42" s="25">
        <f t="shared" si="3"/>
        <v>2.0802741067058247E-3</v>
      </c>
      <c r="G42" s="45" t="str">
        <f t="shared" ref="G42" si="5">IF(VLOOKUP(A42,Model,2,FALSE)&lt;&gt;"","Yes","No")</f>
        <v>Yes</v>
      </c>
    </row>
    <row r="43" spans="1:8">
      <c r="F43" s="12">
        <f>SUM(F2:F42)</f>
        <v>1</v>
      </c>
    </row>
  </sheetData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>
  <dimension ref="A1:M84"/>
  <sheetViews>
    <sheetView topLeftCell="A37" workbookViewId="0">
      <selection activeCell="C57" sqref="C57"/>
    </sheetView>
  </sheetViews>
  <sheetFormatPr defaultRowHeight="13.2"/>
  <cols>
    <col min="1" max="1" width="11.5546875" bestFit="1" customWidth="1"/>
    <col min="2" max="4" width="12.44140625" style="7" bestFit="1" customWidth="1"/>
    <col min="5" max="5" width="13.21875" style="7" bestFit="1" customWidth="1"/>
    <col min="6" max="6" width="14.77734375" style="7" bestFit="1" customWidth="1"/>
    <col min="7" max="7" width="12.109375" style="7" bestFit="1" customWidth="1"/>
    <col min="8" max="8" width="14.77734375" style="7" bestFit="1" customWidth="1"/>
    <col min="9" max="9" width="12.44140625" bestFit="1" customWidth="1"/>
    <col min="10" max="10" width="9.21875" style="12" bestFit="1" customWidth="1"/>
    <col min="11" max="11" width="6.77734375" bestFit="1" customWidth="1"/>
    <col min="12" max="12" width="65.6640625" bestFit="1" customWidth="1"/>
    <col min="13" max="13" width="9.6640625" customWidth="1"/>
    <col min="14" max="14" width="9.88671875" customWidth="1"/>
  </cols>
  <sheetData>
    <row r="1" spans="1:13" ht="26.4">
      <c r="A1" t="s">
        <v>228</v>
      </c>
      <c r="B1" s="9" t="s">
        <v>0</v>
      </c>
      <c r="C1" s="9" t="s">
        <v>1</v>
      </c>
      <c r="D1" s="10" t="s">
        <v>333</v>
      </c>
      <c r="E1" s="8" t="s">
        <v>332</v>
      </c>
      <c r="F1" s="8" t="s">
        <v>334</v>
      </c>
      <c r="G1" s="8" t="s">
        <v>335</v>
      </c>
      <c r="H1" s="8" t="s">
        <v>344</v>
      </c>
      <c r="I1" s="6" t="s">
        <v>336</v>
      </c>
      <c r="J1" s="19" t="s">
        <v>343</v>
      </c>
      <c r="K1" s="6" t="s">
        <v>341</v>
      </c>
      <c r="L1" s="6" t="s">
        <v>346</v>
      </c>
    </row>
    <row r="2" spans="1:13">
      <c r="A2" t="s">
        <v>163</v>
      </c>
      <c r="B2" s="7">
        <v>7706454</v>
      </c>
      <c r="C2" s="7">
        <v>0</v>
      </c>
      <c r="D2" s="7">
        <f t="shared" ref="D2:D34" si="0">SUM(B2:C2)</f>
        <v>7706454</v>
      </c>
      <c r="E2" s="7">
        <f t="shared" ref="E2:E34" si="1">C2*-0.5</f>
        <v>0</v>
      </c>
      <c r="H2" s="7">
        <f>-D2-E2-F2-G2</f>
        <v>-7706454</v>
      </c>
      <c r="I2" s="11">
        <f t="shared" ref="I2:I33" si="2">IF((VLOOKUP(A2,Crosswalk,2,FALSE)="Excluded"),0,(D2+E2+F2+G2+H2))</f>
        <v>0</v>
      </c>
      <c r="J2" s="18">
        <f t="shared" ref="J2:J66" si="3">I2/(SUM($I$2:$I$83))</f>
        <v>0</v>
      </c>
      <c r="K2" t="str">
        <f t="shared" ref="K2:K34" si="4">IF(VLOOKUP(A2,Model,2,FALSE)&lt;&gt;"","Yes","No")</f>
        <v>Yes</v>
      </c>
      <c r="L2" s="45" t="str">
        <f t="shared" ref="L2:L33" si="5">IF((VLOOKUP(A2,Crosswalk,3,FALSE))=0," ",(VLOOKUP(A2,Crosswalk,3,FALSE)))</f>
        <v>100% Overhead</v>
      </c>
    </row>
    <row r="3" spans="1:13">
      <c r="A3" t="s">
        <v>164</v>
      </c>
      <c r="B3" s="7">
        <v>5853756</v>
      </c>
      <c r="C3" s="7">
        <v>0</v>
      </c>
      <c r="D3" s="7">
        <f t="shared" si="0"/>
        <v>5853756</v>
      </c>
      <c r="E3" s="7">
        <f t="shared" si="1"/>
        <v>0</v>
      </c>
      <c r="H3" s="7">
        <f>-D3-E3-F3-G3</f>
        <v>-5853756</v>
      </c>
      <c r="I3" s="11">
        <f t="shared" si="2"/>
        <v>0</v>
      </c>
      <c r="J3" s="18">
        <f t="shared" si="3"/>
        <v>0</v>
      </c>
      <c r="K3" t="str">
        <f t="shared" si="4"/>
        <v>Yes</v>
      </c>
      <c r="L3" s="45" t="str">
        <f t="shared" si="5"/>
        <v>100% Overhead</v>
      </c>
    </row>
    <row r="4" spans="1:13">
      <c r="A4" t="s">
        <v>158</v>
      </c>
      <c r="B4" s="7">
        <v>1306049</v>
      </c>
      <c r="C4" s="7">
        <v>0</v>
      </c>
      <c r="D4" s="7">
        <f t="shared" si="0"/>
        <v>1306049</v>
      </c>
      <c r="E4" s="7">
        <f t="shared" si="1"/>
        <v>0</v>
      </c>
      <c r="I4" s="11">
        <f t="shared" si="2"/>
        <v>1306049</v>
      </c>
      <c r="J4" s="18">
        <f t="shared" si="3"/>
        <v>1.427286579142018E-3</v>
      </c>
      <c r="K4" t="str">
        <f t="shared" si="4"/>
        <v>Yes</v>
      </c>
      <c r="L4" s="45" t="str">
        <f t="shared" si="5"/>
        <v xml:space="preserve"> </v>
      </c>
    </row>
    <row r="5" spans="1:13">
      <c r="A5" t="s">
        <v>166</v>
      </c>
      <c r="B5" s="7">
        <v>1191986</v>
      </c>
      <c r="C5" s="7">
        <v>0</v>
      </c>
      <c r="D5" s="7">
        <f t="shared" si="0"/>
        <v>1191986</v>
      </c>
      <c r="E5" s="7">
        <f t="shared" si="1"/>
        <v>0</v>
      </c>
      <c r="H5" s="7">
        <f>-D5-E5-F5-G5</f>
        <v>-1191986</v>
      </c>
      <c r="I5" s="11">
        <f t="shared" si="2"/>
        <v>0</v>
      </c>
      <c r="J5" s="18">
        <f t="shared" si="3"/>
        <v>0</v>
      </c>
      <c r="K5" t="str">
        <f t="shared" si="4"/>
        <v>Yes</v>
      </c>
      <c r="L5" s="45" t="str">
        <f t="shared" si="5"/>
        <v>100% Overhead</v>
      </c>
    </row>
    <row r="6" spans="1:13">
      <c r="A6" t="s">
        <v>167</v>
      </c>
      <c r="B6" s="7">
        <v>84120619</v>
      </c>
      <c r="C6" s="7">
        <v>1226046</v>
      </c>
      <c r="D6" s="7">
        <f t="shared" si="0"/>
        <v>85346665</v>
      </c>
      <c r="E6" s="7">
        <f t="shared" si="1"/>
        <v>-613023</v>
      </c>
      <c r="H6" s="7">
        <v>-109697</v>
      </c>
      <c r="I6" s="11">
        <f t="shared" si="2"/>
        <v>84623945</v>
      </c>
      <c r="J6" s="18">
        <f t="shared" si="3"/>
        <v>9.2479394703071843E-2</v>
      </c>
      <c r="K6" t="str">
        <f t="shared" si="4"/>
        <v>Yes</v>
      </c>
      <c r="L6" s="45" t="str">
        <f t="shared" si="5"/>
        <v>Exclude expenditures for emergency mgmt (FREO000004 Fund Center)</v>
      </c>
    </row>
    <row r="7" spans="1:13">
      <c r="A7" t="s">
        <v>159</v>
      </c>
      <c r="B7" s="7">
        <v>1008674</v>
      </c>
      <c r="C7" s="7">
        <v>0</v>
      </c>
      <c r="D7" s="7">
        <f t="shared" si="0"/>
        <v>1008674</v>
      </c>
      <c r="E7" s="7">
        <f t="shared" si="1"/>
        <v>0</v>
      </c>
      <c r="H7" s="7">
        <f>-D7-E7-F7-G7</f>
        <v>-1008674</v>
      </c>
      <c r="I7" s="11">
        <f t="shared" si="2"/>
        <v>0</v>
      </c>
      <c r="J7" s="18">
        <f t="shared" si="3"/>
        <v>0</v>
      </c>
      <c r="K7" t="str">
        <f t="shared" si="4"/>
        <v>Yes</v>
      </c>
      <c r="L7" s="45" t="str">
        <f t="shared" si="5"/>
        <v>100% Overhead</v>
      </c>
    </row>
    <row r="8" spans="1:13">
      <c r="A8" t="s">
        <v>168</v>
      </c>
      <c r="B8" s="7">
        <v>10131899</v>
      </c>
      <c r="C8" s="7">
        <v>0</v>
      </c>
      <c r="D8" s="7">
        <f t="shared" si="0"/>
        <v>10131899</v>
      </c>
      <c r="E8" s="7">
        <f t="shared" si="1"/>
        <v>0</v>
      </c>
      <c r="I8" s="11">
        <f t="shared" si="2"/>
        <v>10131899</v>
      </c>
      <c r="J8" s="18">
        <f t="shared" si="3"/>
        <v>1.1072420302701072E-2</v>
      </c>
      <c r="K8" t="str">
        <f t="shared" si="4"/>
        <v>Yes</v>
      </c>
      <c r="L8" s="45" t="str">
        <f t="shared" si="5"/>
        <v xml:space="preserve"> </v>
      </c>
    </row>
    <row r="9" spans="1:13">
      <c r="A9" t="s">
        <v>160</v>
      </c>
      <c r="B9" s="7">
        <v>485303</v>
      </c>
      <c r="C9" s="7">
        <v>0</v>
      </c>
      <c r="D9" s="7">
        <f t="shared" si="0"/>
        <v>485303</v>
      </c>
      <c r="E9" s="7">
        <f t="shared" si="1"/>
        <v>0</v>
      </c>
      <c r="I9" s="11">
        <f t="shared" si="2"/>
        <v>0</v>
      </c>
      <c r="J9" s="18">
        <f t="shared" si="3"/>
        <v>0</v>
      </c>
      <c r="K9" t="str">
        <f t="shared" si="4"/>
        <v>Yes</v>
      </c>
      <c r="L9" s="45" t="str">
        <f t="shared" si="5"/>
        <v xml:space="preserve"> </v>
      </c>
    </row>
    <row r="10" spans="1:13">
      <c r="A10" t="s">
        <v>161</v>
      </c>
      <c r="B10" s="7">
        <v>28321828</v>
      </c>
      <c r="C10" s="7">
        <v>208745</v>
      </c>
      <c r="D10" s="7">
        <f t="shared" si="0"/>
        <v>28530573</v>
      </c>
      <c r="E10" s="7">
        <f t="shared" si="1"/>
        <v>-104372.5</v>
      </c>
      <c r="H10" s="7">
        <f>-(8415178+4778783-9+7341297)</f>
        <v>-20535249</v>
      </c>
      <c r="I10" s="11">
        <f t="shared" si="2"/>
        <v>7890951.5</v>
      </c>
      <c r="J10" s="18">
        <f t="shared" si="3"/>
        <v>8.6234507071408315E-3</v>
      </c>
      <c r="K10" t="str">
        <f t="shared" si="4"/>
        <v>Yes</v>
      </c>
      <c r="L10" s="45" t="str">
        <f t="shared" si="5"/>
        <v>Exclude MFHR, MFDR, MFIB</v>
      </c>
    </row>
    <row r="11" spans="1:13">
      <c r="A11" t="s">
        <v>165</v>
      </c>
      <c r="B11" s="7">
        <v>2668830</v>
      </c>
      <c r="C11" s="7">
        <v>0</v>
      </c>
      <c r="D11" s="7">
        <f t="shared" si="0"/>
        <v>2668830</v>
      </c>
      <c r="E11" s="7">
        <f t="shared" si="1"/>
        <v>0</v>
      </c>
      <c r="H11" s="7">
        <f>-1978902-35459</f>
        <v>-2014361</v>
      </c>
      <c r="I11" s="11">
        <f t="shared" si="2"/>
        <v>654469</v>
      </c>
      <c r="J11" s="18">
        <f t="shared" si="3"/>
        <v>7.1522187924380888E-4</v>
      </c>
      <c r="K11" t="str">
        <f t="shared" si="4"/>
        <v>Yes</v>
      </c>
      <c r="L11" s="45" t="str">
        <f t="shared" si="5"/>
        <v>Exclude expenditures for Admin &amp; Support (LAMYAS Functional Area)</v>
      </c>
    </row>
    <row r="12" spans="1:13">
      <c r="A12" t="s">
        <v>162</v>
      </c>
      <c r="B12" s="7">
        <v>6518148</v>
      </c>
      <c r="C12" s="7">
        <v>2994</v>
      </c>
      <c r="D12" s="7">
        <f t="shared" si="0"/>
        <v>6521142</v>
      </c>
      <c r="E12" s="7">
        <f t="shared" si="1"/>
        <v>-1497</v>
      </c>
      <c r="H12" s="17">
        <v>-392729</v>
      </c>
      <c r="I12" s="11">
        <f t="shared" si="2"/>
        <v>6126916</v>
      </c>
      <c r="J12" s="18">
        <f t="shared" si="3"/>
        <v>6.695663775501912E-3</v>
      </c>
      <c r="K12" t="str">
        <f t="shared" si="4"/>
        <v>Yes</v>
      </c>
      <c r="L12" s="45" t="str">
        <f t="shared" si="5"/>
        <v>Exclude expenditures for Information &amp; Referral and Public Involvement best practices (CDIR, CDNRNOPI)</v>
      </c>
    </row>
    <row r="13" spans="1:13">
      <c r="A13" t="s">
        <v>318</v>
      </c>
      <c r="B13" s="7">
        <f>'$ FY 2011-12'!B13/1.025</f>
        <v>365903.41463414638</v>
      </c>
      <c r="C13" s="7">
        <v>0</v>
      </c>
      <c r="D13" s="7">
        <f t="shared" si="0"/>
        <v>365903.41463414638</v>
      </c>
      <c r="E13" s="7">
        <f t="shared" si="1"/>
        <v>0</v>
      </c>
      <c r="H13" s="7">
        <f>-0.68*D13</f>
        <v>-248814.32195121955</v>
      </c>
      <c r="I13" s="11">
        <f t="shared" si="2"/>
        <v>117089.09268292683</v>
      </c>
      <c r="J13" s="18">
        <f t="shared" si="3"/>
        <v>1.2795820872743468E-4</v>
      </c>
      <c r="K13" t="str">
        <f t="shared" si="4"/>
        <v>Yes</v>
      </c>
      <c r="L13" s="45" t="str">
        <f t="shared" si="5"/>
        <v>Rollback in 09-10 &amp; 10-11. Exclude expenditures for Citywide Comm, Training, Tech Support and % admin (CDCEEC, TE, TS &amp; portion CDAS (68%))</v>
      </c>
      <c r="M13" s="15"/>
    </row>
    <row r="14" spans="1:13">
      <c r="A14" t="s">
        <v>154</v>
      </c>
      <c r="B14" s="7">
        <v>1565953</v>
      </c>
      <c r="C14" s="7">
        <v>0</v>
      </c>
      <c r="D14" s="7">
        <f t="shared" si="0"/>
        <v>1565953</v>
      </c>
      <c r="E14" s="7">
        <f t="shared" si="1"/>
        <v>0</v>
      </c>
      <c r="H14" s="7">
        <v>-1066782</v>
      </c>
      <c r="I14" s="11">
        <f t="shared" si="2"/>
        <v>499171</v>
      </c>
      <c r="J14" s="18">
        <f t="shared" si="3"/>
        <v>5.4550791662250054E-4</v>
      </c>
      <c r="K14" t="str">
        <f t="shared" si="4"/>
        <v>Yes</v>
      </c>
      <c r="L14" s="45" t="str">
        <f t="shared" si="5"/>
        <v>Exclude Commissioner's Office (PACO000001)</v>
      </c>
    </row>
    <row r="15" spans="1:13">
      <c r="A15" t="s">
        <v>169</v>
      </c>
      <c r="B15" s="7">
        <v>51045080</v>
      </c>
      <c r="C15" s="7">
        <v>220478</v>
      </c>
      <c r="D15" s="7">
        <f t="shared" si="0"/>
        <v>51265558</v>
      </c>
      <c r="E15" s="7">
        <f t="shared" si="1"/>
        <v>-110239</v>
      </c>
      <c r="I15" s="11">
        <f t="shared" si="2"/>
        <v>51155319</v>
      </c>
      <c r="J15" s="18">
        <f t="shared" si="3"/>
        <v>5.5903951735676589E-2</v>
      </c>
      <c r="K15" t="str">
        <f t="shared" si="4"/>
        <v>Yes</v>
      </c>
      <c r="L15" s="45" t="str">
        <f t="shared" si="5"/>
        <v xml:space="preserve"> </v>
      </c>
    </row>
    <row r="16" spans="1:13">
      <c r="A16" t="s">
        <v>170</v>
      </c>
      <c r="B16" s="7">
        <v>125608241</v>
      </c>
      <c r="C16" s="7">
        <v>0</v>
      </c>
      <c r="D16" s="7">
        <f t="shared" si="0"/>
        <v>125608241</v>
      </c>
      <c r="E16" s="7">
        <f t="shared" si="1"/>
        <v>0</v>
      </c>
      <c r="I16" s="11">
        <f t="shared" si="2"/>
        <v>125608241</v>
      </c>
      <c r="J16" s="18">
        <f t="shared" si="3"/>
        <v>0.1372681703434834</v>
      </c>
      <c r="K16" t="str">
        <f t="shared" si="4"/>
        <v>Yes</v>
      </c>
      <c r="L16" s="45" t="str">
        <f t="shared" si="5"/>
        <v xml:space="preserve"> </v>
      </c>
    </row>
    <row r="17" spans="1:13">
      <c r="A17" t="s">
        <v>153</v>
      </c>
      <c r="B17" s="7">
        <v>8156611</v>
      </c>
      <c r="C17" s="7">
        <v>2185</v>
      </c>
      <c r="D17" s="7">
        <f t="shared" si="0"/>
        <v>8158796</v>
      </c>
      <c r="E17" s="7">
        <f t="shared" si="1"/>
        <v>-1092.5</v>
      </c>
      <c r="H17" s="17">
        <f>(0.5*-797084)-848698</f>
        <v>-1247240</v>
      </c>
      <c r="I17" s="11">
        <f t="shared" si="2"/>
        <v>6910463.5</v>
      </c>
      <c r="J17" s="18">
        <f t="shared" si="3"/>
        <v>7.5519462203950819E-3</v>
      </c>
      <c r="K17" t="str">
        <f t="shared" si="4"/>
        <v>Yes</v>
      </c>
      <c r="L17" s="45" t="str">
        <f t="shared" si="5"/>
        <v>Exclude expenditures for Comp Planning &amp; 1/2 of district liaisons (CDAPDI, CDCP00)</v>
      </c>
    </row>
    <row r="18" spans="1:13">
      <c r="A18" t="s">
        <v>155</v>
      </c>
      <c r="B18" s="7">
        <v>617664</v>
      </c>
      <c r="C18" s="7">
        <v>0</v>
      </c>
      <c r="D18" s="7">
        <f t="shared" si="0"/>
        <v>617664</v>
      </c>
      <c r="E18" s="7">
        <f t="shared" si="1"/>
        <v>0</v>
      </c>
      <c r="H18" s="7">
        <f>-D18-E18-F18-G18</f>
        <v>-617664</v>
      </c>
      <c r="I18" s="11">
        <f t="shared" si="2"/>
        <v>0</v>
      </c>
      <c r="J18" s="18">
        <f t="shared" si="3"/>
        <v>0</v>
      </c>
      <c r="K18" t="str">
        <f t="shared" si="4"/>
        <v>Yes</v>
      </c>
      <c r="L18" s="45" t="str">
        <f t="shared" si="5"/>
        <v>100% Overhead</v>
      </c>
    </row>
    <row r="19" spans="1:13">
      <c r="A19" t="s">
        <v>156</v>
      </c>
      <c r="B19" s="7">
        <v>697546</v>
      </c>
      <c r="C19" s="7">
        <v>0</v>
      </c>
      <c r="D19" s="7">
        <f t="shared" si="0"/>
        <v>697546</v>
      </c>
      <c r="E19" s="7">
        <f t="shared" si="1"/>
        <v>0</v>
      </c>
      <c r="H19" s="7">
        <f>-D19-E19-F19-G19</f>
        <v>-697546</v>
      </c>
      <c r="I19" s="11">
        <f t="shared" si="2"/>
        <v>0</v>
      </c>
      <c r="J19" s="18">
        <f t="shared" si="3"/>
        <v>0</v>
      </c>
      <c r="K19" t="str">
        <f t="shared" si="4"/>
        <v>Yes</v>
      </c>
      <c r="L19" s="45" t="str">
        <f t="shared" si="5"/>
        <v>100% Overhead</v>
      </c>
    </row>
    <row r="20" spans="1:13">
      <c r="A20" t="s">
        <v>157</v>
      </c>
      <c r="B20" s="7">
        <v>787701</v>
      </c>
      <c r="C20" s="7">
        <v>0</v>
      </c>
      <c r="D20" s="7">
        <f t="shared" si="0"/>
        <v>787701</v>
      </c>
      <c r="E20" s="7">
        <f t="shared" si="1"/>
        <v>0</v>
      </c>
      <c r="H20" s="7">
        <f>-D20-E20-F20-G20</f>
        <v>-787701</v>
      </c>
      <c r="I20" s="11">
        <f t="shared" si="2"/>
        <v>0</v>
      </c>
      <c r="J20" s="18">
        <f t="shared" si="3"/>
        <v>0</v>
      </c>
      <c r="K20" t="str">
        <f t="shared" si="4"/>
        <v>Yes</v>
      </c>
      <c r="L20" s="45" t="str">
        <f t="shared" si="5"/>
        <v>100% Overhead</v>
      </c>
    </row>
    <row r="21" spans="1:13">
      <c r="A21" t="s">
        <v>171</v>
      </c>
      <c r="B21" s="7">
        <v>6588917</v>
      </c>
      <c r="C21" s="7">
        <v>0</v>
      </c>
      <c r="D21" s="7">
        <f t="shared" si="0"/>
        <v>6588917</v>
      </c>
      <c r="E21" s="7">
        <f t="shared" si="1"/>
        <v>0</v>
      </c>
      <c r="H21" s="7">
        <v>-282976</v>
      </c>
      <c r="I21" s="11">
        <f t="shared" si="2"/>
        <v>6305941</v>
      </c>
      <c r="J21" s="18">
        <f t="shared" si="3"/>
        <v>6.8913072619491275E-3</v>
      </c>
      <c r="K21" t="str">
        <f t="shared" si="4"/>
        <v>Yes</v>
      </c>
      <c r="L21" s="45" t="str">
        <f t="shared" si="5"/>
        <v>Exclude expenditures for City memberships and dues (MFSA000002)</v>
      </c>
      <c r="M21" s="1"/>
    </row>
    <row r="22" spans="1:13">
      <c r="A22" t="s">
        <v>320</v>
      </c>
      <c r="B22" s="7">
        <v>3839959</v>
      </c>
      <c r="C22" s="7">
        <v>0</v>
      </c>
      <c r="D22" s="7">
        <f t="shared" si="0"/>
        <v>3839959</v>
      </c>
      <c r="E22" s="7">
        <f t="shared" si="1"/>
        <v>0</v>
      </c>
      <c r="I22" s="11">
        <f t="shared" si="2"/>
        <v>3839959</v>
      </c>
      <c r="J22" s="18">
        <f t="shared" si="3"/>
        <v>4.1964137219626559E-3</v>
      </c>
      <c r="K22" t="str">
        <f t="shared" si="4"/>
        <v>Yes</v>
      </c>
      <c r="L22" s="45" t="str">
        <f t="shared" si="5"/>
        <v xml:space="preserve"> </v>
      </c>
    </row>
    <row r="23" spans="1:13">
      <c r="A23" t="s">
        <v>172</v>
      </c>
      <c r="B23" s="7">
        <v>90222906</v>
      </c>
      <c r="C23" s="7">
        <v>23390898</v>
      </c>
      <c r="D23" s="7">
        <f t="shared" si="0"/>
        <v>113613804</v>
      </c>
      <c r="E23" s="7">
        <f t="shared" si="1"/>
        <v>-11695449</v>
      </c>
      <c r="I23" s="11">
        <f t="shared" si="2"/>
        <v>101918355</v>
      </c>
      <c r="J23" s="18">
        <f t="shared" si="3"/>
        <v>0.11137920572637917</v>
      </c>
      <c r="K23" t="str">
        <f t="shared" si="4"/>
        <v>Yes</v>
      </c>
      <c r="L23" s="45" t="str">
        <f t="shared" si="5"/>
        <v xml:space="preserve"> </v>
      </c>
    </row>
    <row r="24" spans="1:13">
      <c r="A24" t="s">
        <v>173</v>
      </c>
      <c r="B24" s="7">
        <v>13140103</v>
      </c>
      <c r="C24" s="7">
        <v>46808</v>
      </c>
      <c r="D24" s="7">
        <f t="shared" si="0"/>
        <v>13186911</v>
      </c>
      <c r="E24" s="7">
        <f t="shared" si="1"/>
        <v>-23404</v>
      </c>
      <c r="I24" s="11">
        <f t="shared" si="2"/>
        <v>13163507</v>
      </c>
      <c r="J24" s="18">
        <f t="shared" si="3"/>
        <v>1.4385445626880773E-2</v>
      </c>
      <c r="K24" t="str">
        <f t="shared" si="4"/>
        <v>Yes</v>
      </c>
      <c r="L24" s="45" t="str">
        <f t="shared" si="5"/>
        <v xml:space="preserve"> </v>
      </c>
    </row>
    <row r="25" spans="1:13">
      <c r="A25" t="s">
        <v>174</v>
      </c>
      <c r="B25" s="7">
        <v>0</v>
      </c>
      <c r="C25" s="7">
        <v>4683615</v>
      </c>
      <c r="D25" s="7">
        <f t="shared" si="0"/>
        <v>4683615</v>
      </c>
      <c r="E25" s="7">
        <f t="shared" si="1"/>
        <v>-2341807.5</v>
      </c>
      <c r="I25" s="11">
        <f t="shared" si="2"/>
        <v>2341807.5</v>
      </c>
      <c r="J25" s="18">
        <f t="shared" si="3"/>
        <v>2.5591922015821161E-3</v>
      </c>
      <c r="K25" t="str">
        <f t="shared" si="4"/>
        <v>Yes</v>
      </c>
      <c r="L25" s="45" t="str">
        <f t="shared" si="5"/>
        <v xml:space="preserve"> </v>
      </c>
    </row>
    <row r="26" spans="1:13">
      <c r="A26" t="s">
        <v>175</v>
      </c>
      <c r="B26" s="7">
        <v>16088180</v>
      </c>
      <c r="C26" s="7">
        <v>272067</v>
      </c>
      <c r="D26" s="7">
        <f t="shared" si="0"/>
        <v>16360247</v>
      </c>
      <c r="E26" s="7">
        <f t="shared" si="1"/>
        <v>-136033.5</v>
      </c>
      <c r="I26" s="11">
        <f t="shared" si="2"/>
        <v>16224213.5</v>
      </c>
      <c r="J26" s="18">
        <f t="shared" si="3"/>
        <v>1.7730270599100605E-2</v>
      </c>
      <c r="K26" t="str">
        <f t="shared" si="4"/>
        <v>Yes</v>
      </c>
      <c r="L26" s="45" t="str">
        <f t="shared" si="5"/>
        <v xml:space="preserve"> </v>
      </c>
    </row>
    <row r="27" spans="1:13">
      <c r="A27" t="s">
        <v>176</v>
      </c>
      <c r="B27" s="7">
        <v>4838738</v>
      </c>
      <c r="C27" s="7">
        <v>0</v>
      </c>
      <c r="D27" s="7">
        <f t="shared" si="0"/>
        <v>4838738</v>
      </c>
      <c r="E27" s="7">
        <f t="shared" si="1"/>
        <v>0</v>
      </c>
      <c r="G27" s="7">
        <v>-4838738</v>
      </c>
      <c r="H27" s="47"/>
      <c r="I27" s="11">
        <f t="shared" si="2"/>
        <v>0</v>
      </c>
      <c r="J27" s="18">
        <f t="shared" si="3"/>
        <v>0</v>
      </c>
      <c r="K27" t="str">
        <f t="shared" si="4"/>
        <v>Yes</v>
      </c>
      <c r="L27" s="45" t="str">
        <f t="shared" si="5"/>
        <v>Fixed at $25,000 (hardcoded in Model)</v>
      </c>
    </row>
    <row r="28" spans="1:13">
      <c r="A28" t="s">
        <v>177</v>
      </c>
      <c r="B28" s="7">
        <v>4714532</v>
      </c>
      <c r="C28" s="7">
        <v>0</v>
      </c>
      <c r="D28" s="7">
        <f t="shared" si="0"/>
        <v>4714532</v>
      </c>
      <c r="E28" s="7">
        <f t="shared" si="1"/>
        <v>0</v>
      </c>
      <c r="F28" s="17"/>
      <c r="G28" s="7">
        <v>-4714532</v>
      </c>
      <c r="H28" s="47"/>
      <c r="I28" s="11">
        <f t="shared" si="2"/>
        <v>0</v>
      </c>
      <c r="J28" s="18">
        <f t="shared" si="3"/>
        <v>0</v>
      </c>
      <c r="K28" t="str">
        <f t="shared" si="4"/>
        <v>Yes</v>
      </c>
      <c r="L28" s="45" t="str">
        <f t="shared" si="5"/>
        <v>Fixed at $25,000 (hardcoded in Model)</v>
      </c>
    </row>
    <row r="29" spans="1:13">
      <c r="A29" t="s">
        <v>178</v>
      </c>
      <c r="B29" s="7">
        <v>3040781</v>
      </c>
      <c r="C29" s="7">
        <v>0</v>
      </c>
      <c r="D29" s="7">
        <f t="shared" si="0"/>
        <v>3040781</v>
      </c>
      <c r="E29" s="7">
        <f t="shared" si="1"/>
        <v>0</v>
      </c>
      <c r="G29" s="7">
        <v>-3040781</v>
      </c>
      <c r="H29" s="47"/>
      <c r="I29" s="11">
        <f t="shared" si="2"/>
        <v>0</v>
      </c>
      <c r="J29" s="18">
        <f t="shared" si="3"/>
        <v>0</v>
      </c>
      <c r="K29" t="str">
        <f t="shared" si="4"/>
        <v>Yes</v>
      </c>
      <c r="L29" s="45" t="str">
        <f t="shared" si="5"/>
        <v>Fixed at $25,000 (hardcoded in Model)</v>
      </c>
    </row>
    <row r="30" spans="1:13">
      <c r="A30" t="s">
        <v>179</v>
      </c>
      <c r="B30" s="7">
        <v>85388296</v>
      </c>
      <c r="C30" s="7">
        <v>0</v>
      </c>
      <c r="D30" s="7">
        <f t="shared" si="0"/>
        <v>85388296</v>
      </c>
      <c r="E30" s="7">
        <f t="shared" si="1"/>
        <v>0</v>
      </c>
      <c r="I30" s="11">
        <f t="shared" si="2"/>
        <v>0</v>
      </c>
      <c r="J30" s="18">
        <f t="shared" si="3"/>
        <v>0</v>
      </c>
      <c r="K30" t="str">
        <f t="shared" si="4"/>
        <v>Yes</v>
      </c>
      <c r="L30" s="45" t="str">
        <f t="shared" si="5"/>
        <v xml:space="preserve"> </v>
      </c>
    </row>
    <row r="31" spans="1:13">
      <c r="A31" t="s">
        <v>180</v>
      </c>
      <c r="B31" s="7">
        <v>6360806</v>
      </c>
      <c r="C31" s="7">
        <v>0</v>
      </c>
      <c r="D31" s="7">
        <f t="shared" si="0"/>
        <v>6360806</v>
      </c>
      <c r="E31" s="7">
        <f t="shared" si="1"/>
        <v>0</v>
      </c>
      <c r="G31" s="7">
        <f>-5029950*0.5</f>
        <v>-2514975</v>
      </c>
      <c r="I31" s="11">
        <f t="shared" si="2"/>
        <v>3845831</v>
      </c>
      <c r="J31" s="18">
        <f t="shared" si="3"/>
        <v>4.2028308064615697E-3</v>
      </c>
      <c r="K31" t="str">
        <f t="shared" si="4"/>
        <v>Yes</v>
      </c>
      <c r="L31" s="45" t="str">
        <f t="shared" si="5"/>
        <v>50% discount for operating projects</v>
      </c>
    </row>
    <row r="32" spans="1:13">
      <c r="A32" t="s">
        <v>181</v>
      </c>
      <c r="B32" s="7">
        <v>109</v>
      </c>
      <c r="C32" s="7">
        <v>0</v>
      </c>
      <c r="D32" s="7">
        <f t="shared" si="0"/>
        <v>109</v>
      </c>
      <c r="E32" s="7">
        <f t="shared" si="1"/>
        <v>0</v>
      </c>
      <c r="I32" s="11">
        <f t="shared" si="2"/>
        <v>0</v>
      </c>
      <c r="J32" s="18">
        <f t="shared" si="3"/>
        <v>0</v>
      </c>
      <c r="K32" t="str">
        <f t="shared" si="4"/>
        <v>Yes</v>
      </c>
      <c r="L32" s="45" t="str">
        <f t="shared" si="5"/>
        <v xml:space="preserve"> </v>
      </c>
    </row>
    <row r="33" spans="1:12">
      <c r="A33" t="s">
        <v>182</v>
      </c>
      <c r="B33" s="7">
        <v>420755</v>
      </c>
      <c r="C33" s="7">
        <v>0</v>
      </c>
      <c r="D33" s="7">
        <f t="shared" si="0"/>
        <v>420755</v>
      </c>
      <c r="E33" s="7">
        <f t="shared" si="1"/>
        <v>0</v>
      </c>
      <c r="I33" s="11">
        <f t="shared" si="2"/>
        <v>420755</v>
      </c>
      <c r="J33" s="18">
        <f t="shared" si="3"/>
        <v>4.5981273643400805E-4</v>
      </c>
      <c r="K33" t="str">
        <f t="shared" si="4"/>
        <v>Yes</v>
      </c>
      <c r="L33" s="45" t="str">
        <f t="shared" si="5"/>
        <v xml:space="preserve"> </v>
      </c>
    </row>
    <row r="34" spans="1:12">
      <c r="A34" t="s">
        <v>183</v>
      </c>
      <c r="B34" s="7">
        <v>15354487</v>
      </c>
      <c r="C34" s="7">
        <v>0</v>
      </c>
      <c r="D34" s="7">
        <f t="shared" si="0"/>
        <v>15354487</v>
      </c>
      <c r="E34" s="7">
        <f t="shared" si="1"/>
        <v>0</v>
      </c>
      <c r="G34" s="7">
        <v>-15354487</v>
      </c>
      <c r="I34" s="11">
        <f t="shared" ref="I34:I66" si="6">IF((VLOOKUP(A34,Crosswalk,2,FALSE)="Excluded"),0,(D34+E34+F34+G34+H34))</f>
        <v>0</v>
      </c>
      <c r="J34" s="18">
        <f t="shared" si="3"/>
        <v>0</v>
      </c>
      <c r="K34" t="str">
        <f t="shared" si="4"/>
        <v>Yes</v>
      </c>
      <c r="L34" s="45" t="str">
        <f t="shared" ref="L34:L66" si="7">IF((VLOOKUP(A34,Crosswalk,3,FALSE))=0," ",(VLOOKUP(A34,Crosswalk,3,FALSE)))</f>
        <v>Fixed at $25,000 (hardcoded in Model)</v>
      </c>
    </row>
    <row r="35" spans="1:12">
      <c r="A35" t="s">
        <v>321</v>
      </c>
      <c r="B35" s="7">
        <v>14000</v>
      </c>
      <c r="C35" s="7">
        <v>0</v>
      </c>
      <c r="D35" s="7">
        <f t="shared" ref="D35:D69" si="8">SUM(B35:C35)</f>
        <v>14000</v>
      </c>
      <c r="E35" s="7">
        <f t="shared" ref="E35:E69" si="9">C35*-0.5</f>
        <v>0</v>
      </c>
      <c r="I35" s="11">
        <f t="shared" si="6"/>
        <v>14000</v>
      </c>
      <c r="J35" s="18">
        <f t="shared" si="3"/>
        <v>1.5299588382968978E-5</v>
      </c>
      <c r="K35" t="str">
        <f t="shared" ref="K35:K69" si="10">IF(VLOOKUP(A35,Model,2,FALSE)&lt;&gt;"","Yes","No")</f>
        <v>Yes</v>
      </c>
      <c r="L35" s="45" t="str">
        <f t="shared" si="7"/>
        <v xml:space="preserve"> </v>
      </c>
    </row>
    <row r="36" spans="1:12">
      <c r="A36" t="s">
        <v>184</v>
      </c>
      <c r="B36" s="7">
        <v>18665</v>
      </c>
      <c r="C36" s="7">
        <v>0</v>
      </c>
      <c r="D36" s="7">
        <f t="shared" si="8"/>
        <v>18665</v>
      </c>
      <c r="E36" s="7">
        <f t="shared" si="9"/>
        <v>0</v>
      </c>
      <c r="I36" s="11">
        <f t="shared" si="6"/>
        <v>18665</v>
      </c>
      <c r="J36" s="18">
        <f t="shared" si="3"/>
        <v>2.0397629797722571E-5</v>
      </c>
      <c r="K36" t="str">
        <f t="shared" si="10"/>
        <v>Yes</v>
      </c>
      <c r="L36" s="45" t="str">
        <f t="shared" si="7"/>
        <v xml:space="preserve"> </v>
      </c>
    </row>
    <row r="37" spans="1:12">
      <c r="A37" t="s">
        <v>189</v>
      </c>
      <c r="B37" s="7">
        <v>4928448</v>
      </c>
      <c r="C37" s="7">
        <v>0</v>
      </c>
      <c r="D37" s="7">
        <f t="shared" si="8"/>
        <v>4928448</v>
      </c>
      <c r="E37" s="7">
        <f t="shared" si="9"/>
        <v>0</v>
      </c>
      <c r="I37" s="11">
        <f t="shared" si="6"/>
        <v>4928448</v>
      </c>
      <c r="J37" s="18">
        <f t="shared" si="3"/>
        <v>5.3859446976333358E-3</v>
      </c>
      <c r="K37" t="str">
        <f t="shared" si="10"/>
        <v>Yes</v>
      </c>
      <c r="L37" s="45" t="str">
        <f t="shared" si="7"/>
        <v xml:space="preserve"> </v>
      </c>
    </row>
    <row r="38" spans="1:12">
      <c r="A38" t="s">
        <v>185</v>
      </c>
      <c r="B38" s="7">
        <v>1594888</v>
      </c>
      <c r="C38" s="7">
        <v>-416571</v>
      </c>
      <c r="D38" s="7">
        <f t="shared" si="8"/>
        <v>1178317</v>
      </c>
      <c r="E38" s="7">
        <f t="shared" si="9"/>
        <v>208285.5</v>
      </c>
      <c r="I38" s="11">
        <f t="shared" si="6"/>
        <v>1386602.5</v>
      </c>
      <c r="J38" s="18">
        <f t="shared" si="3"/>
        <v>1.5153176786282675E-3</v>
      </c>
      <c r="K38" t="str">
        <f t="shared" si="10"/>
        <v>Yes</v>
      </c>
      <c r="L38" s="45" t="str">
        <f t="shared" si="7"/>
        <v xml:space="preserve"> </v>
      </c>
    </row>
    <row r="39" spans="1:12">
      <c r="A39" t="s">
        <v>192</v>
      </c>
      <c r="B39" s="7">
        <v>733136</v>
      </c>
      <c r="C39" s="7">
        <v>0</v>
      </c>
      <c r="D39" s="7">
        <f t="shared" si="8"/>
        <v>733136</v>
      </c>
      <c r="E39" s="7">
        <f t="shared" si="9"/>
        <v>0</v>
      </c>
      <c r="I39" s="11">
        <f t="shared" si="6"/>
        <v>733136</v>
      </c>
      <c r="J39" s="18">
        <f t="shared" si="3"/>
        <v>8.0119135919545325E-4</v>
      </c>
      <c r="K39" t="str">
        <f t="shared" si="10"/>
        <v>Yes</v>
      </c>
      <c r="L39" s="45" t="str">
        <f t="shared" si="7"/>
        <v xml:space="preserve"> </v>
      </c>
    </row>
    <row r="40" spans="1:12">
      <c r="A40" t="s">
        <v>193</v>
      </c>
      <c r="B40" s="7">
        <v>8972711</v>
      </c>
      <c r="C40" s="7">
        <v>0</v>
      </c>
      <c r="D40" s="7">
        <f t="shared" si="8"/>
        <v>8972711</v>
      </c>
      <c r="E40" s="7">
        <f t="shared" si="9"/>
        <v>0</v>
      </c>
      <c r="I40" s="11">
        <f t="shared" si="6"/>
        <v>8972711</v>
      </c>
      <c r="J40" s="18">
        <f t="shared" si="3"/>
        <v>9.8056274985241412E-3</v>
      </c>
      <c r="K40" t="str">
        <f t="shared" si="10"/>
        <v>Yes</v>
      </c>
      <c r="L40" s="45" t="str">
        <f t="shared" si="7"/>
        <v xml:space="preserve"> </v>
      </c>
    </row>
    <row r="41" spans="1:12">
      <c r="A41" t="s">
        <v>188</v>
      </c>
      <c r="B41" s="7">
        <v>3413310</v>
      </c>
      <c r="C41" s="7">
        <v>965126</v>
      </c>
      <c r="D41" s="7">
        <f t="shared" si="8"/>
        <v>4378436</v>
      </c>
      <c r="E41" s="7">
        <f t="shared" si="9"/>
        <v>-482563</v>
      </c>
      <c r="I41" s="11">
        <f t="shared" si="6"/>
        <v>3895873</v>
      </c>
      <c r="J41" s="18">
        <f t="shared" si="3"/>
        <v>4.2575180923087501E-3</v>
      </c>
      <c r="K41" t="str">
        <f t="shared" si="10"/>
        <v>Yes</v>
      </c>
      <c r="L41" s="45" t="str">
        <f t="shared" si="7"/>
        <v xml:space="preserve"> </v>
      </c>
    </row>
    <row r="42" spans="1:12">
      <c r="A42" t="s">
        <v>325</v>
      </c>
      <c r="B42" s="7">
        <v>0</v>
      </c>
      <c r="C42" s="7">
        <v>0</v>
      </c>
      <c r="D42" s="7">
        <f t="shared" si="8"/>
        <v>0</v>
      </c>
      <c r="E42" s="7">
        <f t="shared" si="9"/>
        <v>0</v>
      </c>
      <c r="I42" s="11">
        <f t="shared" si="6"/>
        <v>0</v>
      </c>
      <c r="J42" s="18">
        <f t="shared" si="3"/>
        <v>0</v>
      </c>
      <c r="K42" t="str">
        <f t="shared" si="10"/>
        <v>Yes</v>
      </c>
      <c r="L42" s="45" t="str">
        <f t="shared" si="7"/>
        <v xml:space="preserve"> </v>
      </c>
    </row>
    <row r="43" spans="1:12">
      <c r="A43" t="s">
        <v>323</v>
      </c>
      <c r="B43" s="7">
        <v>45000</v>
      </c>
      <c r="C43" s="7">
        <v>0</v>
      </c>
      <c r="D43" s="7">
        <f t="shared" si="8"/>
        <v>45000</v>
      </c>
      <c r="E43" s="7">
        <f t="shared" si="9"/>
        <v>0</v>
      </c>
      <c r="I43" s="11">
        <f t="shared" si="6"/>
        <v>45000</v>
      </c>
      <c r="J43" s="18">
        <f t="shared" si="3"/>
        <v>4.9177248373828862E-5</v>
      </c>
      <c r="K43" t="str">
        <f t="shared" si="10"/>
        <v>Yes</v>
      </c>
      <c r="L43" s="45" t="str">
        <f t="shared" si="7"/>
        <v xml:space="preserve"> </v>
      </c>
    </row>
    <row r="44" spans="1:12">
      <c r="A44" t="s">
        <v>322</v>
      </c>
      <c r="B44" s="7">
        <v>48701</v>
      </c>
      <c r="C44" s="7">
        <v>0</v>
      </c>
      <c r="D44" s="7">
        <f t="shared" si="8"/>
        <v>48701</v>
      </c>
      <c r="E44" s="7">
        <f t="shared" si="9"/>
        <v>0</v>
      </c>
      <c r="I44" s="11">
        <f t="shared" si="6"/>
        <v>48701</v>
      </c>
      <c r="J44" s="18">
        <f t="shared" si="3"/>
        <v>5.3221803845640873E-5</v>
      </c>
      <c r="K44" t="str">
        <f t="shared" si="10"/>
        <v>Yes</v>
      </c>
      <c r="L44" s="45" t="str">
        <f t="shared" si="7"/>
        <v xml:space="preserve"> </v>
      </c>
    </row>
    <row r="45" spans="1:12">
      <c r="A45" t="s">
        <v>194</v>
      </c>
      <c r="B45" s="7">
        <v>248233</v>
      </c>
      <c r="C45" s="7">
        <v>1238982</v>
      </c>
      <c r="D45" s="7">
        <f t="shared" si="8"/>
        <v>1487215</v>
      </c>
      <c r="E45" s="7">
        <f t="shared" si="9"/>
        <v>-619491</v>
      </c>
      <c r="I45" s="11">
        <f t="shared" si="6"/>
        <v>867724</v>
      </c>
      <c r="J45" s="18">
        <f t="shared" si="3"/>
        <v>9.4827285928738387E-4</v>
      </c>
      <c r="K45" t="str">
        <f t="shared" si="10"/>
        <v>Yes</v>
      </c>
      <c r="L45" s="45" t="str">
        <f t="shared" si="7"/>
        <v xml:space="preserve"> </v>
      </c>
    </row>
    <row r="46" spans="1:12">
      <c r="A46" t="s">
        <v>195</v>
      </c>
      <c r="B46" s="7">
        <v>4068172</v>
      </c>
      <c r="C46" s="7">
        <v>0</v>
      </c>
      <c r="D46" s="7">
        <f t="shared" si="8"/>
        <v>4068172</v>
      </c>
      <c r="E46" s="7">
        <f t="shared" si="9"/>
        <v>0</v>
      </c>
      <c r="I46" s="11">
        <f t="shared" si="6"/>
        <v>4068172</v>
      </c>
      <c r="J46" s="18">
        <f t="shared" si="3"/>
        <v>4.4458112193656914E-3</v>
      </c>
      <c r="K46" t="str">
        <f t="shared" si="10"/>
        <v>Yes</v>
      </c>
      <c r="L46" s="45" t="str">
        <f t="shared" si="7"/>
        <v xml:space="preserve"> </v>
      </c>
    </row>
    <row r="47" spans="1:12">
      <c r="A47" t="s">
        <v>186</v>
      </c>
      <c r="B47" s="7">
        <v>5628931</v>
      </c>
      <c r="C47" s="7">
        <v>0</v>
      </c>
      <c r="D47" s="7">
        <f t="shared" si="8"/>
        <v>5628931</v>
      </c>
      <c r="E47" s="7">
        <f t="shared" si="9"/>
        <v>0</v>
      </c>
      <c r="I47" s="11">
        <f t="shared" si="6"/>
        <v>5628931</v>
      </c>
      <c r="J47" s="18">
        <f t="shared" si="3"/>
        <v>6.1514519525809972E-3</v>
      </c>
      <c r="K47" t="str">
        <f t="shared" si="10"/>
        <v>Yes</v>
      </c>
      <c r="L47" s="45" t="str">
        <f t="shared" si="7"/>
        <v xml:space="preserve"> </v>
      </c>
    </row>
    <row r="48" spans="1:12">
      <c r="A48" t="s">
        <v>324</v>
      </c>
      <c r="B48" s="7">
        <v>2</v>
      </c>
      <c r="C48" s="7">
        <v>0</v>
      </c>
      <c r="D48" s="7">
        <f t="shared" si="8"/>
        <v>2</v>
      </c>
      <c r="E48" s="7">
        <f t="shared" si="9"/>
        <v>0</v>
      </c>
      <c r="I48" s="11">
        <f t="shared" si="6"/>
        <v>2</v>
      </c>
      <c r="J48" s="18">
        <f t="shared" si="3"/>
        <v>2.1856554832812826E-9</v>
      </c>
      <c r="K48" t="str">
        <f t="shared" si="10"/>
        <v>Yes</v>
      </c>
      <c r="L48" s="45" t="str">
        <f t="shared" si="7"/>
        <v xml:space="preserve"> </v>
      </c>
    </row>
    <row r="49" spans="1:12">
      <c r="A49" t="s">
        <v>190</v>
      </c>
      <c r="B49" s="7">
        <v>2401908</v>
      </c>
      <c r="C49" s="7">
        <v>90556660</v>
      </c>
      <c r="D49" s="7">
        <f t="shared" si="8"/>
        <v>92958568</v>
      </c>
      <c r="E49" s="7">
        <f t="shared" si="9"/>
        <v>-45278330</v>
      </c>
      <c r="I49" s="11">
        <f t="shared" si="6"/>
        <v>47680238</v>
      </c>
      <c r="J49" s="18">
        <f t="shared" si="3"/>
        <v>5.210628681442829E-2</v>
      </c>
      <c r="K49" t="str">
        <f t="shared" si="10"/>
        <v>Yes</v>
      </c>
      <c r="L49" s="45" t="str">
        <f t="shared" si="7"/>
        <v xml:space="preserve"> </v>
      </c>
    </row>
    <row r="50" spans="1:12">
      <c r="A50" t="s">
        <v>196</v>
      </c>
      <c r="B50" s="7">
        <v>26700</v>
      </c>
      <c r="C50" s="7">
        <v>996476</v>
      </c>
      <c r="D50" s="7">
        <f t="shared" si="8"/>
        <v>1023176</v>
      </c>
      <c r="E50" s="7">
        <f t="shared" si="9"/>
        <v>-498238</v>
      </c>
      <c r="I50" s="11">
        <f t="shared" si="6"/>
        <v>524938</v>
      </c>
      <c r="J50" s="18">
        <f t="shared" si="3"/>
        <v>5.7366680904135498E-4</v>
      </c>
      <c r="K50" t="str">
        <f t="shared" si="10"/>
        <v>Yes</v>
      </c>
      <c r="L50" s="45" t="str">
        <f t="shared" si="7"/>
        <v xml:space="preserve"> </v>
      </c>
    </row>
    <row r="51" spans="1:12">
      <c r="A51" t="s">
        <v>191</v>
      </c>
      <c r="B51" s="7">
        <v>200000</v>
      </c>
      <c r="C51" s="7">
        <v>0</v>
      </c>
      <c r="D51" s="7">
        <f t="shared" si="8"/>
        <v>200000</v>
      </c>
      <c r="E51" s="7">
        <f t="shared" si="9"/>
        <v>0</v>
      </c>
      <c r="I51" s="11">
        <f t="shared" si="6"/>
        <v>200000</v>
      </c>
      <c r="J51" s="18">
        <f t="shared" si="3"/>
        <v>2.1856554832812828E-4</v>
      </c>
      <c r="K51" t="str">
        <f t="shared" si="10"/>
        <v>Yes</v>
      </c>
      <c r="L51" s="45" t="str">
        <f t="shared" si="7"/>
        <v xml:space="preserve"> </v>
      </c>
    </row>
    <row r="52" spans="1:12">
      <c r="A52" t="s">
        <v>197</v>
      </c>
      <c r="B52" s="7">
        <v>10695643</v>
      </c>
      <c r="C52" s="7">
        <v>0</v>
      </c>
      <c r="D52" s="7">
        <f t="shared" si="8"/>
        <v>10695643</v>
      </c>
      <c r="E52" s="7">
        <f t="shared" si="9"/>
        <v>0</v>
      </c>
      <c r="I52" s="11">
        <f t="shared" si="6"/>
        <v>10695643</v>
      </c>
      <c r="J52" s="18">
        <f t="shared" si="3"/>
        <v>1.1688495385084534E-2</v>
      </c>
      <c r="K52" t="str">
        <f t="shared" si="10"/>
        <v>Yes</v>
      </c>
      <c r="L52" s="45" t="str">
        <f t="shared" si="7"/>
        <v xml:space="preserve"> </v>
      </c>
    </row>
    <row r="53" spans="1:12">
      <c r="A53" t="s">
        <v>198</v>
      </c>
      <c r="B53" s="7">
        <v>5131700</v>
      </c>
      <c r="C53" s="7">
        <v>0</v>
      </c>
      <c r="D53" s="7">
        <f t="shared" si="8"/>
        <v>5131700</v>
      </c>
      <c r="E53" s="7">
        <f t="shared" si="9"/>
        <v>0</v>
      </c>
      <c r="I53" s="11">
        <f t="shared" si="6"/>
        <v>5131700</v>
      </c>
      <c r="J53" s="18">
        <f t="shared" si="3"/>
        <v>5.6080641217772795E-3</v>
      </c>
      <c r="K53" t="str">
        <f t="shared" si="10"/>
        <v>Yes</v>
      </c>
      <c r="L53" s="45" t="str">
        <f t="shared" si="7"/>
        <v xml:space="preserve"> </v>
      </c>
    </row>
    <row r="54" spans="1:12">
      <c r="A54" t="s">
        <v>199</v>
      </c>
      <c r="B54" s="7">
        <v>868237</v>
      </c>
      <c r="C54" s="7">
        <v>0</v>
      </c>
      <c r="D54" s="7">
        <f t="shared" si="8"/>
        <v>868237</v>
      </c>
      <c r="E54" s="7">
        <f t="shared" si="9"/>
        <v>0</v>
      </c>
      <c r="I54" s="11">
        <f t="shared" si="6"/>
        <v>0</v>
      </c>
      <c r="J54" s="18">
        <f t="shared" si="3"/>
        <v>0</v>
      </c>
      <c r="K54" t="str">
        <f t="shared" si="10"/>
        <v>Yes</v>
      </c>
      <c r="L54" s="45" t="str">
        <f t="shared" si="7"/>
        <v xml:space="preserve"> </v>
      </c>
    </row>
    <row r="55" spans="1:12">
      <c r="A55" t="s">
        <v>200</v>
      </c>
      <c r="B55" s="7">
        <v>35903173</v>
      </c>
      <c r="C55" s="7">
        <v>0</v>
      </c>
      <c r="D55" s="7">
        <f t="shared" si="8"/>
        <v>35903173</v>
      </c>
      <c r="E55" s="7">
        <f t="shared" si="9"/>
        <v>0</v>
      </c>
      <c r="G55" s="7">
        <f>-34074574*0.5</f>
        <v>-17037287</v>
      </c>
      <c r="I55" s="11">
        <f t="shared" si="6"/>
        <v>18865886</v>
      </c>
      <c r="J55" s="18">
        <f t="shared" si="3"/>
        <v>2.0617163591429791E-2</v>
      </c>
      <c r="K55" t="str">
        <f t="shared" si="10"/>
        <v>Yes</v>
      </c>
      <c r="L55" s="45" t="str">
        <f t="shared" si="7"/>
        <v>50% discount for operating projects</v>
      </c>
    </row>
    <row r="56" spans="1:12">
      <c r="A56" t="s">
        <v>201</v>
      </c>
      <c r="B56" s="7">
        <v>528466</v>
      </c>
      <c r="C56" s="7">
        <v>0</v>
      </c>
      <c r="D56" s="7">
        <f t="shared" si="8"/>
        <v>528466</v>
      </c>
      <c r="E56" s="7">
        <f t="shared" si="9"/>
        <v>0</v>
      </c>
      <c r="I56" s="11">
        <f t="shared" si="6"/>
        <v>528466</v>
      </c>
      <c r="J56" s="18">
        <f t="shared" si="3"/>
        <v>5.7752230531386319E-4</v>
      </c>
      <c r="K56" t="str">
        <f t="shared" si="10"/>
        <v>Yes</v>
      </c>
      <c r="L56" s="45" t="str">
        <f t="shared" si="7"/>
        <v xml:space="preserve"> </v>
      </c>
    </row>
    <row r="57" spans="1:12" s="45" customFormat="1">
      <c r="A57" s="45" t="s">
        <v>451</v>
      </c>
      <c r="B57" s="47">
        <f>'$ FY 2011-12'!B56*0.975</f>
        <v>7253268.75</v>
      </c>
      <c r="C57" s="47"/>
      <c r="D57" s="47">
        <f t="shared" ref="D57" si="11">SUM(B57:C57)</f>
        <v>7253268.75</v>
      </c>
      <c r="E57" s="47">
        <f t="shared" ref="E57" si="12">C57*-0.5</f>
        <v>0</v>
      </c>
      <c r="F57" s="47"/>
      <c r="G57" s="47">
        <f>-D57</f>
        <v>-7253268.75</v>
      </c>
      <c r="H57" s="47"/>
      <c r="I57" s="11">
        <f t="shared" ref="I57" si="13">IF((VLOOKUP(A57,Crosswalk,2,FALSE)="Excluded"),0,(D57+E57+F57+G57+H57))</f>
        <v>0</v>
      </c>
      <c r="J57" s="53">
        <f t="shared" ref="J57" si="14">I57/(SUM($I$2:$I$83))</f>
        <v>0</v>
      </c>
      <c r="K57" s="45" t="str">
        <f t="shared" ref="K57" si="15">IF(VLOOKUP(A57,Model,2,FALSE)&lt;&gt;"","Yes","No")</f>
        <v>Yes</v>
      </c>
      <c r="L57" s="45" t="str">
        <f t="shared" ref="L57" si="16">IF((VLOOKUP(A57,Crosswalk,3,FALSE))=0," ",(VLOOKUP(A57,Crosswalk,3,FALSE)))</f>
        <v>Fixed at $25,000 (hardcoded in Model)</v>
      </c>
    </row>
    <row r="58" spans="1:12">
      <c r="A58" t="s">
        <v>205</v>
      </c>
      <c r="B58" s="7">
        <v>1366</v>
      </c>
      <c r="C58" s="7">
        <v>2628288</v>
      </c>
      <c r="D58" s="7">
        <f t="shared" si="8"/>
        <v>2629654</v>
      </c>
      <c r="E58" s="7">
        <f t="shared" si="9"/>
        <v>-1314144</v>
      </c>
      <c r="I58" s="11">
        <f t="shared" si="6"/>
        <v>1315510</v>
      </c>
      <c r="J58" s="18">
        <f t="shared" si="3"/>
        <v>1.4376258224056801E-3</v>
      </c>
      <c r="K58" t="str">
        <f t="shared" si="10"/>
        <v>Yes</v>
      </c>
      <c r="L58" s="45" t="str">
        <f t="shared" si="7"/>
        <v xml:space="preserve"> </v>
      </c>
    </row>
    <row r="59" spans="1:12">
      <c r="A59" t="s">
        <v>206</v>
      </c>
      <c r="B59" s="7">
        <v>435607</v>
      </c>
      <c r="C59" s="7">
        <v>0</v>
      </c>
      <c r="D59" s="7">
        <f t="shared" si="8"/>
        <v>435607</v>
      </c>
      <c r="E59" s="7">
        <f t="shared" si="9"/>
        <v>0</v>
      </c>
      <c r="I59" s="11">
        <f t="shared" si="6"/>
        <v>435607</v>
      </c>
      <c r="J59" s="18">
        <f t="shared" si="3"/>
        <v>4.7604341405285488E-4</v>
      </c>
      <c r="K59" t="str">
        <f t="shared" si="10"/>
        <v>Yes</v>
      </c>
      <c r="L59" s="45" t="str">
        <f t="shared" si="7"/>
        <v xml:space="preserve"> </v>
      </c>
    </row>
    <row r="60" spans="1:12">
      <c r="A60" t="s">
        <v>207</v>
      </c>
      <c r="B60" s="7">
        <v>-252263</v>
      </c>
      <c r="C60" s="7">
        <v>5631611</v>
      </c>
      <c r="D60" s="7">
        <f t="shared" si="8"/>
        <v>5379348</v>
      </c>
      <c r="E60" s="7">
        <f t="shared" si="9"/>
        <v>-2815805.5</v>
      </c>
      <c r="I60" s="11">
        <f t="shared" si="6"/>
        <v>2563542.5</v>
      </c>
      <c r="J60" s="18">
        <f t="shared" si="3"/>
        <v>2.8015103608748037E-3</v>
      </c>
      <c r="K60" t="str">
        <f t="shared" si="10"/>
        <v>Yes</v>
      </c>
      <c r="L60" s="45" t="str">
        <f t="shared" si="7"/>
        <v xml:space="preserve"> </v>
      </c>
    </row>
    <row r="61" spans="1:12">
      <c r="A61" t="s">
        <v>327</v>
      </c>
      <c r="B61" s="7">
        <v>0</v>
      </c>
      <c r="C61" s="7">
        <v>0</v>
      </c>
      <c r="D61" s="7">
        <f t="shared" si="8"/>
        <v>0</v>
      </c>
      <c r="E61" s="7">
        <f t="shared" si="9"/>
        <v>0</v>
      </c>
      <c r="I61" s="11">
        <f t="shared" si="6"/>
        <v>0</v>
      </c>
      <c r="J61" s="18">
        <f t="shared" si="3"/>
        <v>0</v>
      </c>
      <c r="K61" t="str">
        <f t="shared" si="10"/>
        <v>Yes</v>
      </c>
      <c r="L61" s="45" t="str">
        <f t="shared" si="7"/>
        <v xml:space="preserve"> </v>
      </c>
    </row>
    <row r="62" spans="1:12">
      <c r="A62" t="s">
        <v>326</v>
      </c>
      <c r="B62" s="7">
        <v>0</v>
      </c>
      <c r="C62" s="7">
        <v>4290962</v>
      </c>
      <c r="D62" s="7">
        <f t="shared" si="8"/>
        <v>4290962</v>
      </c>
      <c r="E62" s="7">
        <f t="shared" si="9"/>
        <v>-2145481</v>
      </c>
      <c r="I62" s="11">
        <f t="shared" si="6"/>
        <v>2145481</v>
      </c>
      <c r="J62" s="18">
        <f t="shared" si="3"/>
        <v>2.3446411559629047E-3</v>
      </c>
      <c r="K62" t="str">
        <f t="shared" si="10"/>
        <v>Yes</v>
      </c>
      <c r="L62" s="45" t="str">
        <f t="shared" si="7"/>
        <v xml:space="preserve"> </v>
      </c>
    </row>
    <row r="63" spans="1:12">
      <c r="A63" t="s">
        <v>208</v>
      </c>
      <c r="B63" s="7">
        <v>225</v>
      </c>
      <c r="C63" s="7">
        <v>0</v>
      </c>
      <c r="D63" s="7">
        <f t="shared" si="8"/>
        <v>225</v>
      </c>
      <c r="E63" s="7">
        <f t="shared" si="9"/>
        <v>0</v>
      </c>
      <c r="I63" s="11">
        <f t="shared" si="6"/>
        <v>0</v>
      </c>
      <c r="J63" s="18">
        <f t="shared" si="3"/>
        <v>0</v>
      </c>
      <c r="K63" t="str">
        <f t="shared" si="10"/>
        <v>Yes</v>
      </c>
      <c r="L63" s="45" t="str">
        <f t="shared" si="7"/>
        <v xml:space="preserve"> </v>
      </c>
    </row>
    <row r="64" spans="1:12">
      <c r="A64" t="s">
        <v>209</v>
      </c>
      <c r="B64" s="7">
        <v>32895663</v>
      </c>
      <c r="C64" s="7">
        <v>229847723</v>
      </c>
      <c r="D64" s="7">
        <f t="shared" si="8"/>
        <v>262743386</v>
      </c>
      <c r="E64" s="7">
        <f t="shared" si="9"/>
        <v>-114923861.5</v>
      </c>
      <c r="I64" s="11">
        <f t="shared" si="6"/>
        <v>147819524.5</v>
      </c>
      <c r="J64" s="18">
        <f t="shared" si="3"/>
        <v>0.16154127712972846</v>
      </c>
      <c r="K64" t="str">
        <f t="shared" si="10"/>
        <v>Yes</v>
      </c>
      <c r="L64" s="45" t="str">
        <f t="shared" si="7"/>
        <v xml:space="preserve"> </v>
      </c>
    </row>
    <row r="65" spans="1:12">
      <c r="A65" t="s">
        <v>210</v>
      </c>
      <c r="B65" s="7">
        <v>381833</v>
      </c>
      <c r="C65" s="7">
        <v>0</v>
      </c>
      <c r="D65" s="7">
        <f t="shared" si="8"/>
        <v>381833</v>
      </c>
      <c r="E65" s="7">
        <f t="shared" si="9"/>
        <v>0</v>
      </c>
      <c r="I65" s="11">
        <f t="shared" si="6"/>
        <v>381833</v>
      </c>
      <c r="J65" s="18">
        <f t="shared" si="3"/>
        <v>4.1727769507387099E-4</v>
      </c>
      <c r="K65" t="str">
        <f t="shared" si="10"/>
        <v>Yes</v>
      </c>
      <c r="L65" s="45" t="str">
        <f t="shared" si="7"/>
        <v xml:space="preserve"> </v>
      </c>
    </row>
    <row r="66" spans="1:12">
      <c r="A66" t="s">
        <v>211</v>
      </c>
      <c r="B66" s="7">
        <v>52779615</v>
      </c>
      <c r="C66" s="7">
        <v>52989035</v>
      </c>
      <c r="D66" s="7">
        <f t="shared" si="8"/>
        <v>105768650</v>
      </c>
      <c r="E66" s="7">
        <f t="shared" si="9"/>
        <v>-26494517.5</v>
      </c>
      <c r="I66" s="11">
        <f t="shared" si="6"/>
        <v>79274132.5</v>
      </c>
      <c r="J66" s="18">
        <f t="shared" si="3"/>
        <v>8.6632971190495969E-2</v>
      </c>
      <c r="K66" t="str">
        <f t="shared" si="10"/>
        <v>Yes</v>
      </c>
      <c r="L66" s="45" t="str">
        <f t="shared" si="7"/>
        <v xml:space="preserve"> </v>
      </c>
    </row>
    <row r="67" spans="1:12">
      <c r="A67" t="s">
        <v>212</v>
      </c>
      <c r="B67" s="7">
        <v>6025235</v>
      </c>
      <c r="C67" s="7">
        <v>114865</v>
      </c>
      <c r="D67" s="7">
        <f t="shared" si="8"/>
        <v>6140100</v>
      </c>
      <c r="E67" s="7">
        <f t="shared" si="9"/>
        <v>-57432.5</v>
      </c>
      <c r="I67" s="11">
        <f t="shared" ref="I67:I83" si="17">IF((VLOOKUP(A67,Crosswalk,2,FALSE)="Excluded"),0,(D67+E67+F67+G67+H67))</f>
        <v>6082667.5</v>
      </c>
      <c r="J67" s="18">
        <f t="shared" ref="J67:J83" si="18">I67/(SUM($I$2:$I$83))</f>
        <v>6.6473077871759259E-3</v>
      </c>
      <c r="K67" t="str">
        <f t="shared" si="10"/>
        <v>Yes</v>
      </c>
      <c r="L67" s="45" t="str">
        <f t="shared" ref="L67:L83" si="19">IF((VLOOKUP(A67,Crosswalk,3,FALSE))=0," ",(VLOOKUP(A67,Crosswalk,3,FALSE)))</f>
        <v xml:space="preserve"> </v>
      </c>
    </row>
    <row r="68" spans="1:12">
      <c r="A68" t="s">
        <v>213</v>
      </c>
      <c r="B68" s="7">
        <v>1295728</v>
      </c>
      <c r="C68" s="7">
        <v>0</v>
      </c>
      <c r="D68" s="7">
        <f t="shared" si="8"/>
        <v>1295728</v>
      </c>
      <c r="E68" s="7">
        <f t="shared" si="9"/>
        <v>0</v>
      </c>
      <c r="I68" s="11">
        <f t="shared" si="17"/>
        <v>1295728</v>
      </c>
      <c r="J68" s="18">
        <f t="shared" si="18"/>
        <v>1.4160075040205449E-3</v>
      </c>
      <c r="K68" t="str">
        <f t="shared" si="10"/>
        <v>Yes</v>
      </c>
      <c r="L68" s="45" t="str">
        <f t="shared" si="19"/>
        <v xml:space="preserve"> </v>
      </c>
    </row>
    <row r="69" spans="1:12">
      <c r="A69" t="s">
        <v>214</v>
      </c>
      <c r="B69" s="7">
        <v>3106225</v>
      </c>
      <c r="C69" s="7">
        <v>0</v>
      </c>
      <c r="D69" s="7">
        <f t="shared" si="8"/>
        <v>3106225</v>
      </c>
      <c r="E69" s="7">
        <f t="shared" si="9"/>
        <v>0</v>
      </c>
      <c r="I69" s="11">
        <f t="shared" si="17"/>
        <v>3106225</v>
      </c>
      <c r="J69" s="18">
        <f t="shared" si="18"/>
        <v>3.394568851777701E-3</v>
      </c>
      <c r="K69" t="str">
        <f t="shared" si="10"/>
        <v>Yes</v>
      </c>
      <c r="L69" s="45" t="str">
        <f t="shared" si="19"/>
        <v xml:space="preserve"> </v>
      </c>
    </row>
    <row r="70" spans="1:12">
      <c r="A70" t="s">
        <v>215</v>
      </c>
      <c r="B70" s="7">
        <v>3378838</v>
      </c>
      <c r="C70" s="7">
        <v>0</v>
      </c>
      <c r="D70" s="7">
        <f t="shared" ref="D70:D83" si="20">SUM(B70:C70)</f>
        <v>3378838</v>
      </c>
      <c r="E70" s="7">
        <f t="shared" ref="E70:E83" si="21">C70*-0.5</f>
        <v>0</v>
      </c>
      <c r="I70" s="11">
        <f t="shared" si="17"/>
        <v>3378838</v>
      </c>
      <c r="J70" s="18">
        <f t="shared" si="18"/>
        <v>3.6924879009095813E-3</v>
      </c>
      <c r="K70" t="str">
        <f t="shared" ref="K70:K83" si="22">IF(VLOOKUP(A70,Model,2,FALSE)&lt;&gt;"","Yes","No")</f>
        <v>Yes</v>
      </c>
      <c r="L70" s="45" t="str">
        <f t="shared" si="19"/>
        <v xml:space="preserve"> </v>
      </c>
    </row>
    <row r="71" spans="1:12">
      <c r="A71" t="s">
        <v>216</v>
      </c>
      <c r="B71" s="7">
        <v>2379100</v>
      </c>
      <c r="C71" s="7">
        <v>9888962</v>
      </c>
      <c r="D71" s="7">
        <f t="shared" si="20"/>
        <v>12268062</v>
      </c>
      <c r="E71" s="7">
        <f t="shared" si="21"/>
        <v>-4944481</v>
      </c>
      <c r="I71" s="11">
        <f t="shared" si="17"/>
        <v>7323581</v>
      </c>
      <c r="J71" s="18">
        <f t="shared" si="18"/>
        <v>8.0034124849523106E-3</v>
      </c>
      <c r="K71" t="str">
        <f t="shared" si="22"/>
        <v>Yes</v>
      </c>
      <c r="L71" s="45" t="str">
        <f t="shared" si="19"/>
        <v xml:space="preserve"> </v>
      </c>
    </row>
    <row r="72" spans="1:12">
      <c r="A72" t="s">
        <v>217</v>
      </c>
      <c r="B72" s="7">
        <v>4802274</v>
      </c>
      <c r="C72" s="7">
        <v>0</v>
      </c>
      <c r="D72" s="7">
        <f t="shared" si="20"/>
        <v>4802274</v>
      </c>
      <c r="E72" s="7">
        <f t="shared" si="21"/>
        <v>0</v>
      </c>
      <c r="I72" s="11">
        <f t="shared" si="17"/>
        <v>4802274</v>
      </c>
      <c r="J72" s="18">
        <f t="shared" si="18"/>
        <v>5.2480582501595692E-3</v>
      </c>
      <c r="K72" t="str">
        <f t="shared" si="22"/>
        <v>Yes</v>
      </c>
      <c r="L72" s="45" t="str">
        <f t="shared" si="19"/>
        <v xml:space="preserve"> </v>
      </c>
    </row>
    <row r="73" spans="1:12">
      <c r="A73" t="s">
        <v>328</v>
      </c>
      <c r="B73" s="7">
        <v>1014</v>
      </c>
      <c r="C73" s="7">
        <v>0</v>
      </c>
      <c r="D73" s="7">
        <f t="shared" si="20"/>
        <v>1014</v>
      </c>
      <c r="E73" s="7">
        <f t="shared" si="21"/>
        <v>0</v>
      </c>
      <c r="I73" s="11">
        <f t="shared" si="17"/>
        <v>0</v>
      </c>
      <c r="J73" s="18">
        <f t="shared" si="18"/>
        <v>0</v>
      </c>
      <c r="K73" t="str">
        <f t="shared" si="22"/>
        <v>Yes</v>
      </c>
      <c r="L73" s="45" t="str">
        <f t="shared" si="19"/>
        <v xml:space="preserve"> </v>
      </c>
    </row>
    <row r="74" spans="1:12">
      <c r="A74" t="s">
        <v>218</v>
      </c>
      <c r="B74" s="7">
        <v>41922905</v>
      </c>
      <c r="C74" s="7">
        <v>0</v>
      </c>
      <c r="D74" s="7">
        <f t="shared" si="20"/>
        <v>41922905</v>
      </c>
      <c r="E74" s="7">
        <f t="shared" si="21"/>
        <v>0</v>
      </c>
      <c r="F74" s="7">
        <v>-37143351</v>
      </c>
      <c r="I74" s="11">
        <f t="shared" si="17"/>
        <v>4779554</v>
      </c>
      <c r="J74" s="18">
        <f t="shared" si="18"/>
        <v>5.2232292038694936E-3</v>
      </c>
      <c r="K74" t="str">
        <f t="shared" si="22"/>
        <v>Yes</v>
      </c>
      <c r="L74" s="45" t="str">
        <f t="shared" si="19"/>
        <v>Excludes insurance claim payouts (529721)</v>
      </c>
    </row>
    <row r="75" spans="1:12">
      <c r="A75" t="s">
        <v>219</v>
      </c>
      <c r="B75" s="7">
        <v>16297564</v>
      </c>
      <c r="C75" s="7">
        <v>1449584</v>
      </c>
      <c r="D75" s="7">
        <f t="shared" si="20"/>
        <v>17747148</v>
      </c>
      <c r="E75" s="7">
        <f t="shared" si="21"/>
        <v>-724792</v>
      </c>
      <c r="I75" s="11">
        <f t="shared" si="17"/>
        <v>17022356</v>
      </c>
      <c r="J75" s="18">
        <f t="shared" si="18"/>
        <v>1.8602502864883023E-2</v>
      </c>
      <c r="K75" t="str">
        <f t="shared" si="22"/>
        <v>Yes</v>
      </c>
      <c r="L75" s="45" t="str">
        <f t="shared" si="19"/>
        <v xml:space="preserve"> </v>
      </c>
    </row>
    <row r="76" spans="1:12">
      <c r="A76" t="s">
        <v>220</v>
      </c>
      <c r="B76" s="7">
        <v>16671101</v>
      </c>
      <c r="C76" s="7">
        <v>9812634</v>
      </c>
      <c r="D76" s="7">
        <f t="shared" si="20"/>
        <v>26483735</v>
      </c>
      <c r="E76" s="7">
        <f t="shared" si="21"/>
        <v>-4906317</v>
      </c>
      <c r="I76" s="11">
        <f t="shared" si="17"/>
        <v>21577418</v>
      </c>
      <c r="J76" s="18">
        <f t="shared" si="18"/>
        <v>2.3580400983376125E-2</v>
      </c>
      <c r="K76" t="str">
        <f t="shared" si="22"/>
        <v>Yes</v>
      </c>
      <c r="L76" s="45" t="str">
        <f t="shared" si="19"/>
        <v xml:space="preserve"> </v>
      </c>
    </row>
    <row r="77" spans="1:12">
      <c r="A77" t="s">
        <v>221</v>
      </c>
      <c r="B77" s="7">
        <v>5599843</v>
      </c>
      <c r="C77" s="7">
        <v>0</v>
      </c>
      <c r="D77" s="7">
        <f t="shared" si="20"/>
        <v>5599843</v>
      </c>
      <c r="E77" s="7">
        <f t="shared" si="21"/>
        <v>0</v>
      </c>
      <c r="I77" s="11">
        <f t="shared" si="17"/>
        <v>5599843</v>
      </c>
      <c r="J77" s="18">
        <f t="shared" si="18"/>
        <v>6.1196637792321536E-3</v>
      </c>
      <c r="K77" t="str">
        <f t="shared" si="22"/>
        <v>Yes</v>
      </c>
      <c r="L77" s="45" t="str">
        <f t="shared" si="19"/>
        <v xml:space="preserve"> </v>
      </c>
    </row>
    <row r="78" spans="1:12">
      <c r="A78" t="s">
        <v>222</v>
      </c>
      <c r="B78" s="7">
        <v>5398392</v>
      </c>
      <c r="C78" s="7">
        <v>0</v>
      </c>
      <c r="D78" s="7">
        <f t="shared" si="20"/>
        <v>5398392</v>
      </c>
      <c r="E78" s="7">
        <f t="shared" si="21"/>
        <v>0</v>
      </c>
      <c r="I78" s="11">
        <f t="shared" si="17"/>
        <v>5398392</v>
      </c>
      <c r="J78" s="18">
        <f t="shared" si="18"/>
        <v>5.8995125378509053E-3</v>
      </c>
      <c r="K78" t="str">
        <f t="shared" si="22"/>
        <v>Yes</v>
      </c>
      <c r="L78" s="45" t="str">
        <f t="shared" si="19"/>
        <v xml:space="preserve"> </v>
      </c>
    </row>
    <row r="79" spans="1:12">
      <c r="A79" t="s">
        <v>223</v>
      </c>
      <c r="B79" s="7">
        <v>3656245</v>
      </c>
      <c r="C79" s="7">
        <v>0</v>
      </c>
      <c r="D79" s="7">
        <f t="shared" si="20"/>
        <v>3656245</v>
      </c>
      <c r="E79" s="7">
        <f t="shared" si="21"/>
        <v>0</v>
      </c>
      <c r="I79" s="11">
        <f t="shared" si="17"/>
        <v>3656245</v>
      </c>
      <c r="J79" s="18">
        <f t="shared" si="18"/>
        <v>3.9956459662348872E-3</v>
      </c>
      <c r="K79" t="str">
        <f t="shared" si="22"/>
        <v>Yes</v>
      </c>
      <c r="L79" s="45" t="str">
        <f t="shared" si="19"/>
        <v xml:space="preserve"> </v>
      </c>
    </row>
    <row r="80" spans="1:12">
      <c r="A80" t="s">
        <v>224</v>
      </c>
      <c r="B80" s="7">
        <v>32897209</v>
      </c>
      <c r="C80" s="7">
        <v>3436367</v>
      </c>
      <c r="D80" s="7">
        <f t="shared" si="20"/>
        <v>36333576</v>
      </c>
      <c r="E80" s="7">
        <f t="shared" si="21"/>
        <v>-1718183.5</v>
      </c>
      <c r="I80" s="11">
        <f t="shared" si="17"/>
        <v>34615392.5</v>
      </c>
      <c r="J80" s="18">
        <f t="shared" si="18"/>
        <v>3.7828661211779392E-2</v>
      </c>
      <c r="K80" t="str">
        <f t="shared" si="22"/>
        <v>Yes</v>
      </c>
      <c r="L80" s="45" t="str">
        <f t="shared" si="19"/>
        <v xml:space="preserve"> </v>
      </c>
    </row>
    <row r="81" spans="1:12">
      <c r="A81" t="s">
        <v>225</v>
      </c>
      <c r="B81" s="7">
        <v>2702764</v>
      </c>
      <c r="C81" s="7">
        <v>127713</v>
      </c>
      <c r="D81" s="7">
        <f t="shared" si="20"/>
        <v>2830477</v>
      </c>
      <c r="E81" s="7">
        <f t="shared" si="21"/>
        <v>-63856.5</v>
      </c>
      <c r="I81" s="11">
        <f t="shared" si="17"/>
        <v>2766620.5</v>
      </c>
      <c r="J81" s="18">
        <f t="shared" si="18"/>
        <v>3.0234396329917022E-3</v>
      </c>
      <c r="K81" t="str">
        <f t="shared" si="22"/>
        <v>Yes</v>
      </c>
      <c r="L81" s="45" t="str">
        <f t="shared" si="19"/>
        <v xml:space="preserve"> </v>
      </c>
    </row>
    <row r="82" spans="1:12">
      <c r="A82" t="s">
        <v>226</v>
      </c>
      <c r="B82" s="7">
        <v>100365072</v>
      </c>
      <c r="C82" s="7">
        <v>9900</v>
      </c>
      <c r="D82" s="7">
        <f t="shared" si="20"/>
        <v>100374972</v>
      </c>
      <c r="E82" s="7">
        <f t="shared" si="21"/>
        <v>-4950</v>
      </c>
      <c r="F82" s="7">
        <f>-90498300-7474908</f>
        <v>-97973208</v>
      </c>
      <c r="I82" s="11">
        <f t="shared" si="17"/>
        <v>2396814</v>
      </c>
      <c r="J82" s="18">
        <f t="shared" si="18"/>
        <v>2.6193048307526722E-3</v>
      </c>
      <c r="K82" t="str">
        <f t="shared" si="22"/>
        <v>Yes</v>
      </c>
      <c r="L82" s="45" t="str">
        <f t="shared" si="19"/>
        <v>Excludes retirement payouts, PERS contributions, and disability/death benefits (547000, 547100)</v>
      </c>
    </row>
    <row r="83" spans="1:12">
      <c r="A83" t="s">
        <v>227</v>
      </c>
      <c r="B83" s="7">
        <v>8160</v>
      </c>
      <c r="C83" s="7">
        <v>0</v>
      </c>
      <c r="D83" s="7">
        <f t="shared" si="20"/>
        <v>8160</v>
      </c>
      <c r="E83" s="7">
        <f t="shared" si="21"/>
        <v>0</v>
      </c>
      <c r="I83" s="11">
        <f t="shared" si="17"/>
        <v>0</v>
      </c>
      <c r="J83" s="18">
        <f t="shared" si="18"/>
        <v>0</v>
      </c>
      <c r="K83" t="str">
        <f t="shared" si="22"/>
        <v>Yes</v>
      </c>
      <c r="L83" s="45" t="str">
        <f t="shared" si="19"/>
        <v xml:space="preserve"> </v>
      </c>
    </row>
    <row r="84" spans="1:12">
      <c r="I84" s="11"/>
      <c r="J84" s="18">
        <f>SUM(J2:J83)</f>
        <v>1</v>
      </c>
    </row>
  </sheetData>
  <sortState ref="A2:I79">
    <sortCondition ref="A2"/>
  </sortState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43"/>
  <sheetViews>
    <sheetView topLeftCell="A7" workbookViewId="0">
      <selection activeCell="E26" sqref="E26"/>
    </sheetView>
  </sheetViews>
  <sheetFormatPr defaultRowHeight="14.4"/>
  <cols>
    <col min="1" max="1" width="11.44140625" style="23" bestFit="1" customWidth="1"/>
    <col min="2" max="2" width="12.88671875" style="23" bestFit="1" customWidth="1"/>
    <col min="3" max="3" width="12.88671875" style="23" customWidth="1"/>
    <col min="4" max="5" width="12.88671875" customWidth="1"/>
    <col min="6" max="6" width="10.33203125" style="23" customWidth="1"/>
    <col min="7" max="7" width="8.88671875" style="23"/>
    <col min="8" max="8" width="32.5546875" style="23" bestFit="1" customWidth="1"/>
    <col min="9" max="16384" width="8.88671875" style="23"/>
  </cols>
  <sheetData>
    <row r="1" spans="1:8" ht="28.8">
      <c r="A1" s="23" t="s">
        <v>228</v>
      </c>
      <c r="B1" s="30" t="s">
        <v>390</v>
      </c>
      <c r="C1" s="30" t="s">
        <v>448</v>
      </c>
      <c r="D1" s="30" t="s">
        <v>446</v>
      </c>
      <c r="E1" s="30" t="s">
        <v>391</v>
      </c>
      <c r="F1" s="24" t="s">
        <v>343</v>
      </c>
      <c r="G1" s="6" t="s">
        <v>341</v>
      </c>
      <c r="H1" s="6" t="s">
        <v>346</v>
      </c>
    </row>
    <row r="2" spans="1:8">
      <c r="A2" s="77" t="s">
        <v>163</v>
      </c>
      <c r="B2" s="78">
        <v>62</v>
      </c>
      <c r="C2" s="81"/>
      <c r="D2" s="31">
        <v>-62</v>
      </c>
      <c r="E2">
        <f t="shared" ref="E2:E42" si="0">IF((VLOOKUP(A2,Crosswalk,2,FALSE)="Excluded"),0,(SUM(B2+C2+D2)))</f>
        <v>0</v>
      </c>
      <c r="F2" s="25">
        <f>E2/SUM($E$2:$E$42)</f>
        <v>0</v>
      </c>
      <c r="G2" t="str">
        <f t="shared" ref="G2:G12" si="1">IF(VLOOKUP(A2,Model,2,FALSE)&lt;&gt;"","Yes","No")</f>
        <v>Yes</v>
      </c>
      <c r="H2" s="45" t="str">
        <f t="shared" ref="H2:H41" si="2">IF((VLOOKUP(A2,Crosswalk,3,FALSE))=0," ",(VLOOKUP(A2,Crosswalk,3,FALSE)))</f>
        <v>100% Overhead</v>
      </c>
    </row>
    <row r="3" spans="1:8">
      <c r="A3" s="77" t="s">
        <v>164</v>
      </c>
      <c r="B3" s="78">
        <v>61</v>
      </c>
      <c r="C3" s="81">
        <v>-5</v>
      </c>
      <c r="D3" s="31">
        <v>-56</v>
      </c>
      <c r="E3" s="45">
        <f t="shared" si="0"/>
        <v>0</v>
      </c>
      <c r="F3" s="25">
        <f t="shared" ref="F3:F42" si="3">E3/SUM($E$2:$E$42)</f>
        <v>0</v>
      </c>
      <c r="G3" t="str">
        <f t="shared" si="1"/>
        <v>Yes</v>
      </c>
      <c r="H3" s="45" t="str">
        <f t="shared" si="2"/>
        <v>100% Overhead</v>
      </c>
    </row>
    <row r="4" spans="1:8">
      <c r="A4" s="77" t="s">
        <v>158</v>
      </c>
      <c r="B4" s="78">
        <v>9</v>
      </c>
      <c r="C4" s="81"/>
      <c r="D4" s="31"/>
      <c r="E4" s="45">
        <f t="shared" si="0"/>
        <v>9</v>
      </c>
      <c r="F4" s="25">
        <f t="shared" si="3"/>
        <v>1.1307242917268673E-3</v>
      </c>
      <c r="G4" t="str">
        <f t="shared" si="1"/>
        <v>Yes</v>
      </c>
      <c r="H4" s="45" t="str">
        <f t="shared" si="2"/>
        <v xml:space="preserve"> </v>
      </c>
    </row>
    <row r="5" spans="1:8">
      <c r="A5" s="77" t="s">
        <v>166</v>
      </c>
      <c r="B5" s="78">
        <v>19</v>
      </c>
      <c r="C5" s="81"/>
      <c r="D5" s="31">
        <v>-19</v>
      </c>
      <c r="E5" s="45">
        <f t="shared" si="0"/>
        <v>0</v>
      </c>
      <c r="F5" s="25">
        <f t="shared" si="3"/>
        <v>0</v>
      </c>
      <c r="G5" t="str">
        <f t="shared" si="1"/>
        <v>Yes</v>
      </c>
      <c r="H5" s="45" t="str">
        <f t="shared" si="2"/>
        <v>100% Overhead</v>
      </c>
    </row>
    <row r="6" spans="1:8">
      <c r="A6" s="77" t="s">
        <v>167</v>
      </c>
      <c r="B6" s="78">
        <v>805</v>
      </c>
      <c r="C6" s="81">
        <v>-26</v>
      </c>
      <c r="D6" s="31">
        <v>-1</v>
      </c>
      <c r="E6" s="45">
        <f t="shared" si="0"/>
        <v>778</v>
      </c>
      <c r="F6" s="25">
        <f t="shared" si="3"/>
        <v>9.7744833218166974E-2</v>
      </c>
      <c r="G6" t="str">
        <f t="shared" si="1"/>
        <v>Yes</v>
      </c>
      <c r="H6" s="45" t="str">
        <f t="shared" si="2"/>
        <v>Exclude expenditures for emergency mgmt (FREO000004 Fund Center)</v>
      </c>
    </row>
    <row r="7" spans="1:8">
      <c r="A7" s="77" t="s">
        <v>159</v>
      </c>
      <c r="B7" s="78">
        <v>9</v>
      </c>
      <c r="C7" s="81"/>
      <c r="D7" s="31">
        <v>-9</v>
      </c>
      <c r="E7" s="45">
        <f t="shared" si="0"/>
        <v>0</v>
      </c>
      <c r="F7" s="25">
        <f t="shared" si="3"/>
        <v>0</v>
      </c>
      <c r="G7" t="str">
        <f t="shared" si="1"/>
        <v>Yes</v>
      </c>
      <c r="H7" s="45" t="str">
        <f t="shared" si="2"/>
        <v>100% Overhead</v>
      </c>
    </row>
    <row r="8" spans="1:8">
      <c r="A8" s="77" t="s">
        <v>168</v>
      </c>
      <c r="B8" s="78">
        <v>70</v>
      </c>
      <c r="C8" s="81"/>
      <c r="D8" s="31"/>
      <c r="E8" s="45">
        <f t="shared" si="0"/>
        <v>70</v>
      </c>
      <c r="F8" s="25">
        <f t="shared" si="3"/>
        <v>8.7945222689867451E-3</v>
      </c>
      <c r="G8" t="str">
        <f t="shared" si="1"/>
        <v>Yes</v>
      </c>
      <c r="H8" s="45" t="str">
        <f t="shared" si="2"/>
        <v xml:space="preserve"> </v>
      </c>
    </row>
    <row r="9" spans="1:8">
      <c r="A9" s="77" t="s">
        <v>160</v>
      </c>
      <c r="B9" s="78">
        <v>4</v>
      </c>
      <c r="C9" s="81"/>
      <c r="D9" s="31"/>
      <c r="E9" s="45">
        <f t="shared" si="0"/>
        <v>0</v>
      </c>
      <c r="F9" s="25">
        <f t="shared" si="3"/>
        <v>0</v>
      </c>
      <c r="G9" t="str">
        <f t="shared" si="1"/>
        <v>Yes</v>
      </c>
      <c r="H9" s="45" t="str">
        <f t="shared" si="2"/>
        <v xml:space="preserve"> </v>
      </c>
    </row>
    <row r="10" spans="1:8">
      <c r="A10" s="77" t="s">
        <v>161</v>
      </c>
      <c r="B10" s="78">
        <v>295</v>
      </c>
      <c r="C10" s="81">
        <v>-11</v>
      </c>
      <c r="D10" s="32">
        <f>-223+7</f>
        <v>-216</v>
      </c>
      <c r="E10" s="45">
        <f t="shared" si="0"/>
        <v>68</v>
      </c>
      <c r="F10" s="25">
        <f t="shared" si="3"/>
        <v>8.5432502041585534E-3</v>
      </c>
      <c r="G10" t="str">
        <f t="shared" si="1"/>
        <v>Yes</v>
      </c>
      <c r="H10" s="45" t="str">
        <f t="shared" si="2"/>
        <v>Exclude MFHR, MFDR, MFIB</v>
      </c>
    </row>
    <row r="11" spans="1:8">
      <c r="A11" s="77" t="s">
        <v>165</v>
      </c>
      <c r="B11" s="78">
        <v>28</v>
      </c>
      <c r="C11" s="81">
        <v>-1</v>
      </c>
      <c r="D11" s="32">
        <f>-26+1</f>
        <v>-25</v>
      </c>
      <c r="E11" s="45">
        <f t="shared" si="0"/>
        <v>2</v>
      </c>
      <c r="F11" s="25">
        <f t="shared" si="3"/>
        <v>2.512720648281927E-4</v>
      </c>
      <c r="G11" t="str">
        <f t="shared" si="1"/>
        <v>Yes</v>
      </c>
      <c r="H11" s="45" t="str">
        <f t="shared" si="2"/>
        <v>Exclude expenditures for Admin &amp; Support (LAMYAS Functional Area)</v>
      </c>
    </row>
    <row r="12" spans="1:8">
      <c r="A12" s="77" t="s">
        <v>162</v>
      </c>
      <c r="B12" s="78">
        <v>55</v>
      </c>
      <c r="C12" s="81">
        <v>-4</v>
      </c>
      <c r="D12" s="32">
        <v>-6</v>
      </c>
      <c r="E12" s="45">
        <f t="shared" si="0"/>
        <v>45</v>
      </c>
      <c r="F12" s="25">
        <f t="shared" si="3"/>
        <v>5.6536214586343364E-3</v>
      </c>
      <c r="G12" t="str">
        <f t="shared" si="1"/>
        <v>Yes</v>
      </c>
      <c r="H12" s="45" t="str">
        <f t="shared" si="2"/>
        <v>Exclude expenditures for Information &amp; Referral and Public Involvement best practices (CDIR, CDNRNOPI)</v>
      </c>
    </row>
    <row r="13" spans="1:8">
      <c r="A13" s="77" t="s">
        <v>318</v>
      </c>
      <c r="B13" s="78">
        <v>6</v>
      </c>
      <c r="C13" s="81"/>
      <c r="D13" s="31"/>
      <c r="E13" s="45">
        <f t="shared" si="0"/>
        <v>6</v>
      </c>
      <c r="F13" s="25">
        <f t="shared" si="3"/>
        <v>7.5381619448457822E-4</v>
      </c>
      <c r="G13" s="45" t="str">
        <f t="shared" ref="G13" si="4">IF(VLOOKUP(A13,Model,2,FALSE)&lt;&gt;"","Yes","No")</f>
        <v>Yes</v>
      </c>
      <c r="H13" s="45" t="str">
        <f t="shared" si="2"/>
        <v>Rollback in 09-10 &amp; 10-11. Exclude expenditures for Citywide Comm, Training, Tech Support and % admin (CDCEEC, TE, TS &amp; portion CDAS (68%))</v>
      </c>
    </row>
    <row r="14" spans="1:8">
      <c r="A14" s="77" t="s">
        <v>154</v>
      </c>
      <c r="B14" s="78">
        <v>13</v>
      </c>
      <c r="C14" s="81">
        <v>-1</v>
      </c>
      <c r="D14" s="32">
        <f>-11+1</f>
        <v>-10</v>
      </c>
      <c r="E14" s="45">
        <f t="shared" si="0"/>
        <v>2</v>
      </c>
      <c r="F14" s="25">
        <f t="shared" si="3"/>
        <v>2.512720648281927E-4</v>
      </c>
      <c r="G14" t="str">
        <f t="shared" ref="G14:G41" si="5">IF(VLOOKUP(A14,Model,2,FALSE)&lt;&gt;"","Yes","No")</f>
        <v>Yes</v>
      </c>
      <c r="H14" s="45" t="str">
        <f t="shared" si="2"/>
        <v>Exclude Commissioner's Office (PACO000001)</v>
      </c>
    </row>
    <row r="15" spans="1:8">
      <c r="A15" s="77" t="s">
        <v>169</v>
      </c>
      <c r="B15" s="78">
        <v>4841</v>
      </c>
      <c r="C15" s="81">
        <v>-2130</v>
      </c>
      <c r="D15" s="31"/>
      <c r="E15" s="45">
        <f t="shared" si="0"/>
        <v>2711</v>
      </c>
      <c r="F15" s="25">
        <f t="shared" si="3"/>
        <v>0.34059928387461524</v>
      </c>
      <c r="G15" t="str">
        <f t="shared" si="5"/>
        <v>Yes</v>
      </c>
      <c r="H15" s="45" t="str">
        <f t="shared" si="2"/>
        <v xml:space="preserve"> </v>
      </c>
    </row>
    <row r="16" spans="1:8">
      <c r="A16" s="77" t="s">
        <v>170</v>
      </c>
      <c r="B16" s="78">
        <v>1256</v>
      </c>
      <c r="C16" s="81">
        <v>-2</v>
      </c>
      <c r="D16" s="31"/>
      <c r="E16" s="45">
        <f t="shared" si="0"/>
        <v>1254</v>
      </c>
      <c r="F16" s="25">
        <f t="shared" si="3"/>
        <v>0.15754758464727683</v>
      </c>
      <c r="G16" t="str">
        <f t="shared" si="5"/>
        <v>Yes</v>
      </c>
      <c r="H16" s="45" t="str">
        <f t="shared" si="2"/>
        <v xml:space="preserve"> </v>
      </c>
    </row>
    <row r="17" spans="1:8">
      <c r="A17" s="77" t="s">
        <v>153</v>
      </c>
      <c r="B17" s="78">
        <v>123</v>
      </c>
      <c r="C17" s="81">
        <v>-21</v>
      </c>
      <c r="D17" s="32">
        <f>(21*-0.5)-9+5</f>
        <v>-14.5</v>
      </c>
      <c r="E17" s="45">
        <f t="shared" si="0"/>
        <v>87.5</v>
      </c>
      <c r="F17" s="25">
        <f t="shared" si="3"/>
        <v>1.0993152836233432E-2</v>
      </c>
      <c r="G17" t="str">
        <f t="shared" si="5"/>
        <v>Yes</v>
      </c>
      <c r="H17" s="45" t="str">
        <f t="shared" si="2"/>
        <v>Exclude expenditures for Comp Planning &amp; 1/2 of district liaisons (CDAPDI, CDCP00)</v>
      </c>
    </row>
    <row r="18" spans="1:8">
      <c r="A18" s="77" t="s">
        <v>155</v>
      </c>
      <c r="B18" s="78">
        <v>8</v>
      </c>
      <c r="C18" s="81">
        <v>-1</v>
      </c>
      <c r="D18" s="31">
        <v>-7</v>
      </c>
      <c r="E18" s="45">
        <f t="shared" si="0"/>
        <v>0</v>
      </c>
      <c r="F18" s="25">
        <f t="shared" si="3"/>
        <v>0</v>
      </c>
      <c r="G18" t="str">
        <f t="shared" si="5"/>
        <v>Yes</v>
      </c>
      <c r="H18" s="45" t="str">
        <f t="shared" si="2"/>
        <v>100% Overhead</v>
      </c>
    </row>
    <row r="19" spans="1:8">
      <c r="A19" s="77" t="s">
        <v>156</v>
      </c>
      <c r="B19" s="78">
        <v>9</v>
      </c>
      <c r="C19" s="81"/>
      <c r="D19" s="31">
        <v>-9</v>
      </c>
      <c r="E19" s="45">
        <f t="shared" si="0"/>
        <v>0</v>
      </c>
      <c r="F19" s="25">
        <f t="shared" si="3"/>
        <v>0</v>
      </c>
      <c r="G19" t="str">
        <f t="shared" si="5"/>
        <v>Yes</v>
      </c>
      <c r="H19" s="45" t="str">
        <f t="shared" si="2"/>
        <v>100% Overhead</v>
      </c>
    </row>
    <row r="20" spans="1:8">
      <c r="A20" s="77" t="s">
        <v>157</v>
      </c>
      <c r="B20" s="78">
        <v>10</v>
      </c>
      <c r="C20" s="81">
        <v>-1</v>
      </c>
      <c r="D20" s="31">
        <v>-9</v>
      </c>
      <c r="E20" s="45">
        <f t="shared" si="0"/>
        <v>0</v>
      </c>
      <c r="F20" s="25">
        <f t="shared" si="3"/>
        <v>0</v>
      </c>
      <c r="G20" t="str">
        <f t="shared" si="5"/>
        <v>Yes</v>
      </c>
      <c r="H20" s="45" t="str">
        <f t="shared" si="2"/>
        <v>100% Overhead</v>
      </c>
    </row>
    <row r="21" spans="1:8">
      <c r="A21" s="77" t="s">
        <v>172</v>
      </c>
      <c r="B21" s="78">
        <v>785</v>
      </c>
      <c r="C21" s="81">
        <v>-12</v>
      </c>
      <c r="D21" s="31"/>
      <c r="E21" s="45">
        <f t="shared" si="0"/>
        <v>773</v>
      </c>
      <c r="F21" s="25">
        <f t="shared" si="3"/>
        <v>9.7116653056096486E-2</v>
      </c>
      <c r="G21" t="str">
        <f t="shared" si="5"/>
        <v>Yes</v>
      </c>
      <c r="H21" s="45" t="str">
        <f t="shared" si="2"/>
        <v xml:space="preserve"> </v>
      </c>
    </row>
    <row r="22" spans="1:8">
      <c r="A22" s="77" t="s">
        <v>173</v>
      </c>
      <c r="B22" s="78">
        <v>151</v>
      </c>
      <c r="C22" s="81"/>
      <c r="D22" s="31"/>
      <c r="E22" s="45">
        <f t="shared" si="0"/>
        <v>151</v>
      </c>
      <c r="F22" s="25">
        <f t="shared" si="3"/>
        <v>1.897104089452855E-2</v>
      </c>
      <c r="G22" t="str">
        <f t="shared" si="5"/>
        <v>Yes</v>
      </c>
      <c r="H22" s="45" t="str">
        <f t="shared" si="2"/>
        <v xml:space="preserve"> </v>
      </c>
    </row>
    <row r="23" spans="1:8">
      <c r="A23" s="77" t="s">
        <v>175</v>
      </c>
      <c r="B23" s="78">
        <v>170</v>
      </c>
      <c r="C23" s="81"/>
      <c r="D23" s="31"/>
      <c r="E23" s="45">
        <f t="shared" si="0"/>
        <v>170</v>
      </c>
      <c r="F23" s="25">
        <f t="shared" si="3"/>
        <v>2.135812551039638E-2</v>
      </c>
      <c r="G23" t="str">
        <f t="shared" si="5"/>
        <v>Yes</v>
      </c>
      <c r="H23" s="45" t="str">
        <f t="shared" si="2"/>
        <v xml:space="preserve"> </v>
      </c>
    </row>
    <row r="24" spans="1:8">
      <c r="A24" s="77" t="s">
        <v>183</v>
      </c>
      <c r="B24" s="78">
        <v>5</v>
      </c>
      <c r="C24" s="81"/>
      <c r="D24" s="31">
        <v>-5</v>
      </c>
      <c r="E24" s="45">
        <f t="shared" si="0"/>
        <v>0</v>
      </c>
      <c r="F24" s="25">
        <f t="shared" si="3"/>
        <v>0</v>
      </c>
      <c r="G24" t="str">
        <f t="shared" si="5"/>
        <v>Yes</v>
      </c>
      <c r="H24" s="45" t="str">
        <f t="shared" si="2"/>
        <v>Fixed at $25,000 (hardcoded in Model)</v>
      </c>
    </row>
    <row r="25" spans="1:8">
      <c r="A25" s="77" t="s">
        <v>199</v>
      </c>
      <c r="B25" s="78">
        <v>2</v>
      </c>
      <c r="C25" s="81">
        <v>-2</v>
      </c>
      <c r="D25" s="31"/>
      <c r="E25" s="45">
        <f t="shared" si="0"/>
        <v>0</v>
      </c>
      <c r="F25" s="25">
        <f t="shared" si="3"/>
        <v>0</v>
      </c>
      <c r="G25" t="str">
        <f t="shared" si="5"/>
        <v>Yes</v>
      </c>
      <c r="H25" s="45" t="str">
        <f t="shared" si="2"/>
        <v xml:space="preserve"> </v>
      </c>
    </row>
    <row r="26" spans="1:8">
      <c r="A26" s="77" t="s">
        <v>207</v>
      </c>
      <c r="B26" s="78">
        <v>13</v>
      </c>
      <c r="C26" s="81"/>
      <c r="D26" s="31"/>
      <c r="E26" s="45">
        <f t="shared" si="0"/>
        <v>13</v>
      </c>
      <c r="F26" s="25">
        <f t="shared" si="3"/>
        <v>1.6332684213832527E-3</v>
      </c>
      <c r="G26" t="str">
        <f t="shared" si="5"/>
        <v>Yes</v>
      </c>
      <c r="H26" s="45" t="str">
        <f t="shared" si="2"/>
        <v xml:space="preserve"> </v>
      </c>
    </row>
    <row r="27" spans="1:8">
      <c r="A27" s="77" t="s">
        <v>209</v>
      </c>
      <c r="B27" s="78">
        <v>631</v>
      </c>
      <c r="C27" s="81">
        <v>-56</v>
      </c>
      <c r="D27" s="31"/>
      <c r="E27" s="45">
        <f t="shared" si="0"/>
        <v>575</v>
      </c>
      <c r="F27" s="25">
        <f t="shared" si="3"/>
        <v>7.2240718638105411E-2</v>
      </c>
      <c r="G27" t="str">
        <f t="shared" si="5"/>
        <v>Yes</v>
      </c>
      <c r="H27" s="45" t="str">
        <f t="shared" si="2"/>
        <v xml:space="preserve"> </v>
      </c>
    </row>
    <row r="28" spans="1:8">
      <c r="A28" s="77" t="s">
        <v>210</v>
      </c>
      <c r="B28" s="78">
        <v>3</v>
      </c>
      <c r="C28" s="81"/>
      <c r="D28" s="31"/>
      <c r="E28" s="45">
        <f t="shared" si="0"/>
        <v>3</v>
      </c>
      <c r="F28" s="25">
        <f t="shared" si="3"/>
        <v>3.7690809724228911E-4</v>
      </c>
      <c r="G28" t="str">
        <f t="shared" si="5"/>
        <v>Yes</v>
      </c>
      <c r="H28" s="45" t="str">
        <f t="shared" si="2"/>
        <v xml:space="preserve"> </v>
      </c>
    </row>
    <row r="29" spans="1:8">
      <c r="A29" s="77" t="s">
        <v>211</v>
      </c>
      <c r="B29" s="78">
        <v>673</v>
      </c>
      <c r="C29" s="81">
        <v>-15</v>
      </c>
      <c r="D29" s="31"/>
      <c r="E29" s="45">
        <f t="shared" si="0"/>
        <v>658</v>
      </c>
      <c r="F29" s="25">
        <f t="shared" si="3"/>
        <v>8.2668509328475401E-2</v>
      </c>
      <c r="G29" t="str">
        <f t="shared" si="5"/>
        <v>Yes</v>
      </c>
      <c r="H29" s="45" t="str">
        <f t="shared" si="2"/>
        <v xml:space="preserve"> </v>
      </c>
    </row>
    <row r="30" spans="1:8">
      <c r="A30" s="77" t="s">
        <v>212</v>
      </c>
      <c r="B30" s="78">
        <v>91</v>
      </c>
      <c r="C30" s="81">
        <v>-35</v>
      </c>
      <c r="D30" s="31"/>
      <c r="E30" s="45">
        <f t="shared" si="0"/>
        <v>56</v>
      </c>
      <c r="F30" s="25">
        <f t="shared" si="3"/>
        <v>7.0356178151893961E-3</v>
      </c>
      <c r="G30" t="str">
        <f t="shared" si="5"/>
        <v>Yes</v>
      </c>
      <c r="H30" s="45" t="str">
        <f t="shared" si="2"/>
        <v xml:space="preserve"> </v>
      </c>
    </row>
    <row r="31" spans="1:8">
      <c r="A31" s="77" t="s">
        <v>213</v>
      </c>
      <c r="B31" s="78">
        <v>90</v>
      </c>
      <c r="C31" s="81">
        <v>-47</v>
      </c>
      <c r="D31" s="31"/>
      <c r="E31" s="45">
        <f t="shared" si="0"/>
        <v>43</v>
      </c>
      <c r="F31" s="25">
        <f t="shared" si="3"/>
        <v>5.4023493938061438E-3</v>
      </c>
      <c r="G31" t="str">
        <f t="shared" si="5"/>
        <v>Yes</v>
      </c>
      <c r="H31" s="45" t="str">
        <f t="shared" si="2"/>
        <v xml:space="preserve"> </v>
      </c>
    </row>
    <row r="32" spans="1:8">
      <c r="A32" s="77" t="s">
        <v>214</v>
      </c>
      <c r="B32" s="78">
        <v>30</v>
      </c>
      <c r="C32" s="81"/>
      <c r="D32" s="31"/>
      <c r="E32" s="45">
        <f t="shared" si="0"/>
        <v>30</v>
      </c>
      <c r="F32" s="25">
        <f t="shared" si="3"/>
        <v>3.7690809724228911E-3</v>
      </c>
      <c r="G32" t="str">
        <f t="shared" si="5"/>
        <v>Yes</v>
      </c>
      <c r="H32" s="45" t="str">
        <f t="shared" si="2"/>
        <v xml:space="preserve"> </v>
      </c>
    </row>
    <row r="33" spans="1:8">
      <c r="A33" s="77" t="s">
        <v>217</v>
      </c>
      <c r="B33" s="78">
        <v>6</v>
      </c>
      <c r="C33" s="81"/>
      <c r="D33" s="31"/>
      <c r="E33" s="45">
        <f t="shared" si="0"/>
        <v>6</v>
      </c>
      <c r="F33" s="25">
        <f t="shared" si="3"/>
        <v>7.5381619448457822E-4</v>
      </c>
      <c r="G33" t="str">
        <f t="shared" si="5"/>
        <v>Yes</v>
      </c>
      <c r="H33" s="45" t="str">
        <f t="shared" si="2"/>
        <v xml:space="preserve"> </v>
      </c>
    </row>
    <row r="34" spans="1:8">
      <c r="A34" s="77" t="s">
        <v>218</v>
      </c>
      <c r="B34" s="78">
        <v>12</v>
      </c>
      <c r="C34" s="81"/>
      <c r="D34" s="31"/>
      <c r="E34" s="45">
        <f t="shared" si="0"/>
        <v>12</v>
      </c>
      <c r="F34" s="25">
        <f t="shared" si="3"/>
        <v>1.5076323889691564E-3</v>
      </c>
      <c r="G34" t="str">
        <f t="shared" si="5"/>
        <v>Yes</v>
      </c>
      <c r="H34" s="45" t="str">
        <f t="shared" si="2"/>
        <v>Excludes insurance claim payouts (529721)</v>
      </c>
    </row>
    <row r="35" spans="1:8">
      <c r="A35" s="77" t="s">
        <v>219</v>
      </c>
      <c r="B35" s="78">
        <v>36</v>
      </c>
      <c r="C35" s="81"/>
      <c r="D35" s="31"/>
      <c r="E35" s="45">
        <f t="shared" si="0"/>
        <v>36</v>
      </c>
      <c r="F35" s="25">
        <f t="shared" si="3"/>
        <v>4.5228971669074693E-3</v>
      </c>
      <c r="G35" t="str">
        <f t="shared" si="5"/>
        <v>Yes</v>
      </c>
      <c r="H35" s="45" t="str">
        <f t="shared" si="2"/>
        <v xml:space="preserve"> </v>
      </c>
    </row>
    <row r="36" spans="1:8">
      <c r="A36" s="77" t="s">
        <v>220</v>
      </c>
      <c r="B36" s="78">
        <v>79</v>
      </c>
      <c r="C36" s="81">
        <v>-1</v>
      </c>
      <c r="D36" s="31"/>
      <c r="E36" s="45">
        <f t="shared" si="0"/>
        <v>78</v>
      </c>
      <c r="F36" s="25">
        <f t="shared" si="3"/>
        <v>9.7996105282995155E-3</v>
      </c>
      <c r="G36" t="str">
        <f t="shared" si="5"/>
        <v>Yes</v>
      </c>
      <c r="H36" s="45" t="str">
        <f t="shared" si="2"/>
        <v xml:space="preserve"> </v>
      </c>
    </row>
    <row r="37" spans="1:8">
      <c r="A37" s="77" t="s">
        <v>221</v>
      </c>
      <c r="B37" s="78">
        <v>30</v>
      </c>
      <c r="C37" s="81">
        <v>-1</v>
      </c>
      <c r="D37" s="31"/>
      <c r="E37" s="45">
        <f t="shared" si="0"/>
        <v>29</v>
      </c>
      <c r="F37" s="25">
        <f t="shared" si="3"/>
        <v>3.6434449400087944E-3</v>
      </c>
      <c r="G37" t="str">
        <f t="shared" si="5"/>
        <v>Yes</v>
      </c>
      <c r="H37" s="45" t="str">
        <f t="shared" si="2"/>
        <v xml:space="preserve"> </v>
      </c>
    </row>
    <row r="38" spans="1:8">
      <c r="A38" s="77" t="s">
        <v>222</v>
      </c>
      <c r="B38" s="78">
        <v>15</v>
      </c>
      <c r="C38" s="81">
        <v>-1</v>
      </c>
      <c r="D38" s="31"/>
      <c r="E38" s="45">
        <f t="shared" si="0"/>
        <v>14</v>
      </c>
      <c r="F38" s="25">
        <f t="shared" si="3"/>
        <v>1.758904453797349E-3</v>
      </c>
      <c r="G38" t="str">
        <f t="shared" si="5"/>
        <v>Yes</v>
      </c>
      <c r="H38" s="45" t="str">
        <f t="shared" si="2"/>
        <v xml:space="preserve"> </v>
      </c>
    </row>
    <row r="39" spans="1:8">
      <c r="A39" s="77" t="s">
        <v>223</v>
      </c>
      <c r="B39" s="78">
        <v>7</v>
      </c>
      <c r="C39" s="81"/>
      <c r="D39" s="31"/>
      <c r="E39" s="45">
        <f t="shared" si="0"/>
        <v>7</v>
      </c>
      <c r="F39" s="25">
        <f t="shared" si="3"/>
        <v>8.7945222689867451E-4</v>
      </c>
      <c r="G39" t="str">
        <f t="shared" si="5"/>
        <v>Yes</v>
      </c>
      <c r="H39" s="45" t="str">
        <f t="shared" si="2"/>
        <v xml:space="preserve"> </v>
      </c>
    </row>
    <row r="40" spans="1:8">
      <c r="A40" s="77" t="s">
        <v>224</v>
      </c>
      <c r="B40" s="78">
        <v>232</v>
      </c>
      <c r="C40" s="81"/>
      <c r="D40" s="31"/>
      <c r="E40" s="45">
        <f t="shared" si="0"/>
        <v>232</v>
      </c>
      <c r="F40" s="25">
        <f t="shared" si="3"/>
        <v>2.9147559520070355E-2</v>
      </c>
      <c r="G40" t="str">
        <f t="shared" si="5"/>
        <v>Yes</v>
      </c>
      <c r="H40" s="45" t="str">
        <f t="shared" si="2"/>
        <v xml:space="preserve"> </v>
      </c>
    </row>
    <row r="41" spans="1:8">
      <c r="A41" s="77" t="s">
        <v>225</v>
      </c>
      <c r="B41" s="78">
        <v>23</v>
      </c>
      <c r="C41" s="81"/>
      <c r="D41" s="31"/>
      <c r="E41" s="45">
        <f t="shared" si="0"/>
        <v>23</v>
      </c>
      <c r="F41" s="25">
        <f t="shared" si="3"/>
        <v>2.8896287455242161E-3</v>
      </c>
      <c r="G41" t="str">
        <f t="shared" si="5"/>
        <v>Yes</v>
      </c>
      <c r="H41" s="45" t="str">
        <f t="shared" si="2"/>
        <v xml:space="preserve"> </v>
      </c>
    </row>
    <row r="42" spans="1:8">
      <c r="A42" s="77" t="s">
        <v>226</v>
      </c>
      <c r="B42" s="78">
        <v>19</v>
      </c>
      <c r="C42" s="81">
        <v>-1</v>
      </c>
      <c r="E42" s="45">
        <f t="shared" si="0"/>
        <v>18</v>
      </c>
      <c r="F42" s="25">
        <f t="shared" si="3"/>
        <v>2.2614485834537346E-3</v>
      </c>
      <c r="G42" s="45" t="str">
        <f t="shared" ref="G42" si="6">IF(VLOOKUP(A42,Model,2,FALSE)&lt;&gt;"","Yes","No")</f>
        <v>Yes</v>
      </c>
    </row>
    <row r="43" spans="1:8">
      <c r="F43" s="27">
        <f>SUM(F2:F42)</f>
        <v>0.99999999999999989</v>
      </c>
    </row>
  </sheetData>
  <pageMargins left="0.7" right="0.7" top="0.75" bottom="0.75" header="0.3" footer="0.3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>
  <dimension ref="A1:L82"/>
  <sheetViews>
    <sheetView topLeftCell="A46" workbookViewId="0">
      <selection activeCell="C78" sqref="C78"/>
    </sheetView>
  </sheetViews>
  <sheetFormatPr defaultRowHeight="13.2"/>
  <cols>
    <col min="1" max="1" width="11.5546875" bestFit="1" customWidth="1"/>
    <col min="2" max="4" width="12.44140625" style="7" bestFit="1" customWidth="1"/>
    <col min="5" max="5" width="12.109375" style="7" bestFit="1" customWidth="1"/>
    <col min="6" max="6" width="13.21875" style="7" bestFit="1" customWidth="1"/>
    <col min="7" max="7" width="13.77734375" style="7" bestFit="1" customWidth="1"/>
    <col min="8" max="8" width="12.109375" style="7" customWidth="1"/>
    <col min="9" max="9" width="12.44140625" bestFit="1" customWidth="1"/>
    <col min="10" max="10" width="9.21875" style="12" bestFit="1" customWidth="1"/>
    <col min="11" max="11" width="6.77734375" bestFit="1" customWidth="1"/>
    <col min="12" max="12" width="65.6640625" bestFit="1" customWidth="1"/>
  </cols>
  <sheetData>
    <row r="1" spans="1:12" ht="39.6">
      <c r="A1" t="s">
        <v>228</v>
      </c>
      <c r="B1" s="9" t="s">
        <v>0</v>
      </c>
      <c r="C1" s="9" t="s">
        <v>1</v>
      </c>
      <c r="D1" s="10" t="s">
        <v>333</v>
      </c>
      <c r="E1" s="8" t="s">
        <v>332</v>
      </c>
      <c r="F1" s="8" t="s">
        <v>334</v>
      </c>
      <c r="G1" s="8" t="s">
        <v>335</v>
      </c>
      <c r="H1" s="8" t="s">
        <v>344</v>
      </c>
      <c r="I1" s="6" t="s">
        <v>336</v>
      </c>
      <c r="J1" s="19" t="s">
        <v>343</v>
      </c>
      <c r="K1" s="6" t="s">
        <v>341</v>
      </c>
      <c r="L1" s="6" t="s">
        <v>346</v>
      </c>
    </row>
    <row r="2" spans="1:12">
      <c r="A2" t="s">
        <v>163</v>
      </c>
      <c r="B2" s="7">
        <v>8387786</v>
      </c>
      <c r="C2" s="7">
        <v>0</v>
      </c>
      <c r="D2" s="7">
        <f t="shared" ref="D2:D33" si="0">SUM(B2:C2)</f>
        <v>8387786</v>
      </c>
      <c r="E2" s="7">
        <f t="shared" ref="E2:E33" si="1">C2*-0.5</f>
        <v>0</v>
      </c>
      <c r="H2" s="7">
        <f>-D2-E2-F2-G2</f>
        <v>-8387786</v>
      </c>
      <c r="I2" s="11">
        <f t="shared" ref="I2:I33" si="2">IF((VLOOKUP(A2,Crosswalk,2,FALSE)="Excluded"),0,(D2+E2+F2+G2+H2))</f>
        <v>0</v>
      </c>
      <c r="J2" s="18">
        <f t="shared" ref="J2:J33" si="3">I2/(SUM($I$2:$I$81))</f>
        <v>0</v>
      </c>
      <c r="K2" t="str">
        <f t="shared" ref="K2:K33" si="4">IF(VLOOKUP(A2,Model,2,FALSE)&lt;&gt;"","Yes","No")</f>
        <v>Yes</v>
      </c>
      <c r="L2" s="45" t="str">
        <f t="shared" ref="L2:L33" si="5">IF((VLOOKUP(A2,Crosswalk,3,FALSE))=0," ",(VLOOKUP(A2,Crosswalk,3,FALSE)))</f>
        <v>100% Overhead</v>
      </c>
    </row>
    <row r="3" spans="1:12">
      <c r="A3" t="s">
        <v>164</v>
      </c>
      <c r="B3" s="7">
        <v>6285475</v>
      </c>
      <c r="C3" s="7">
        <v>6525</v>
      </c>
      <c r="D3" s="7">
        <f t="shared" si="0"/>
        <v>6292000</v>
      </c>
      <c r="E3" s="7">
        <f t="shared" si="1"/>
        <v>-3262.5</v>
      </c>
      <c r="H3" s="7">
        <f>-D3-E3-F3-G3</f>
        <v>-6288737.5</v>
      </c>
      <c r="I3" s="11">
        <f t="shared" si="2"/>
        <v>0</v>
      </c>
      <c r="J3" s="18">
        <f t="shared" si="3"/>
        <v>0</v>
      </c>
      <c r="K3" t="str">
        <f t="shared" si="4"/>
        <v>Yes</v>
      </c>
      <c r="L3" s="45" t="str">
        <f t="shared" si="5"/>
        <v>100% Overhead</v>
      </c>
    </row>
    <row r="4" spans="1:12">
      <c r="A4" t="s">
        <v>158</v>
      </c>
      <c r="B4" s="7">
        <v>1741324</v>
      </c>
      <c r="C4" s="7">
        <v>0</v>
      </c>
      <c r="D4" s="7">
        <f t="shared" si="0"/>
        <v>1741324</v>
      </c>
      <c r="E4" s="7">
        <f t="shared" si="1"/>
        <v>0</v>
      </c>
      <c r="I4" s="11">
        <f t="shared" si="2"/>
        <v>1741324</v>
      </c>
      <c r="J4" s="18">
        <f t="shared" si="3"/>
        <v>1.9567489593657235E-3</v>
      </c>
      <c r="K4" t="str">
        <f t="shared" si="4"/>
        <v>Yes</v>
      </c>
      <c r="L4" s="45" t="str">
        <f t="shared" si="5"/>
        <v xml:space="preserve"> </v>
      </c>
    </row>
    <row r="5" spans="1:12">
      <c r="A5" t="s">
        <v>166</v>
      </c>
      <c r="B5" s="7">
        <v>1273146</v>
      </c>
      <c r="C5" s="7">
        <v>0</v>
      </c>
      <c r="D5" s="7">
        <f t="shared" si="0"/>
        <v>1273146</v>
      </c>
      <c r="E5" s="7">
        <f t="shared" si="1"/>
        <v>0</v>
      </c>
      <c r="H5" s="7">
        <f>-D5-E5-F5-G5</f>
        <v>-1273146</v>
      </c>
      <c r="I5" s="11">
        <f t="shared" si="2"/>
        <v>0</v>
      </c>
      <c r="J5" s="18">
        <f t="shared" si="3"/>
        <v>0</v>
      </c>
      <c r="K5" t="str">
        <f t="shared" si="4"/>
        <v>Yes</v>
      </c>
      <c r="L5" s="45" t="str">
        <f t="shared" si="5"/>
        <v>100% Overhead</v>
      </c>
    </row>
    <row r="6" spans="1:12">
      <c r="A6" t="s">
        <v>167</v>
      </c>
      <c r="B6" s="7">
        <v>89278596</v>
      </c>
      <c r="C6" s="7">
        <v>513005</v>
      </c>
      <c r="D6" s="7">
        <f t="shared" si="0"/>
        <v>89791601</v>
      </c>
      <c r="E6" s="7">
        <f t="shared" si="1"/>
        <v>-256502.5</v>
      </c>
      <c r="H6" s="33">
        <v>-112785</v>
      </c>
      <c r="I6" s="11">
        <f t="shared" si="2"/>
        <v>89422313.5</v>
      </c>
      <c r="J6" s="18">
        <f t="shared" si="3"/>
        <v>0.10048504407290114</v>
      </c>
      <c r="K6" t="str">
        <f t="shared" si="4"/>
        <v>Yes</v>
      </c>
      <c r="L6" s="45" t="str">
        <f t="shared" si="5"/>
        <v>Exclude expenditures for emergency mgmt (FREO000004 Fund Center)</v>
      </c>
    </row>
    <row r="7" spans="1:12">
      <c r="A7" t="s">
        <v>159</v>
      </c>
      <c r="B7" s="7">
        <v>1096033</v>
      </c>
      <c r="C7" s="7">
        <v>0</v>
      </c>
      <c r="D7" s="7">
        <f t="shared" si="0"/>
        <v>1096033</v>
      </c>
      <c r="E7" s="7">
        <f t="shared" si="1"/>
        <v>0</v>
      </c>
      <c r="H7" s="7">
        <f>-D7-E7-F7-G7</f>
        <v>-1096033</v>
      </c>
      <c r="I7" s="11">
        <f t="shared" si="2"/>
        <v>0</v>
      </c>
      <c r="J7" s="18">
        <f t="shared" si="3"/>
        <v>0</v>
      </c>
      <c r="K7" t="str">
        <f t="shared" si="4"/>
        <v>Yes</v>
      </c>
      <c r="L7" s="45" t="str">
        <f t="shared" si="5"/>
        <v>100% Overhead</v>
      </c>
    </row>
    <row r="8" spans="1:12">
      <c r="A8" t="s">
        <v>168</v>
      </c>
      <c r="B8" s="7">
        <v>11593968</v>
      </c>
      <c r="C8" s="7">
        <v>0</v>
      </c>
      <c r="D8" s="7">
        <f t="shared" si="0"/>
        <v>11593968</v>
      </c>
      <c r="E8" s="7">
        <f t="shared" si="1"/>
        <v>0</v>
      </c>
      <c r="I8" s="11">
        <f t="shared" si="2"/>
        <v>11593968</v>
      </c>
      <c r="J8" s="18">
        <f t="shared" si="3"/>
        <v>1.3028296180905737E-2</v>
      </c>
      <c r="K8" t="str">
        <f t="shared" si="4"/>
        <v>Yes</v>
      </c>
      <c r="L8" s="45" t="str">
        <f t="shared" si="5"/>
        <v xml:space="preserve"> </v>
      </c>
    </row>
    <row r="9" spans="1:12">
      <c r="A9" t="s">
        <v>160</v>
      </c>
      <c r="B9" s="7">
        <v>230028</v>
      </c>
      <c r="C9" s="7">
        <v>0</v>
      </c>
      <c r="D9" s="7">
        <f t="shared" si="0"/>
        <v>230028</v>
      </c>
      <c r="E9" s="7">
        <f t="shared" si="1"/>
        <v>0</v>
      </c>
      <c r="I9" s="11">
        <f t="shared" si="2"/>
        <v>0</v>
      </c>
      <c r="J9" s="18">
        <f t="shared" si="3"/>
        <v>0</v>
      </c>
      <c r="K9" t="str">
        <f t="shared" si="4"/>
        <v>Yes</v>
      </c>
      <c r="L9" s="45" t="str">
        <f t="shared" si="5"/>
        <v xml:space="preserve"> </v>
      </c>
    </row>
    <row r="10" spans="1:12">
      <c r="A10" t="s">
        <v>161</v>
      </c>
      <c r="B10" s="7">
        <v>29492120</v>
      </c>
      <c r="C10" s="7">
        <v>468084</v>
      </c>
      <c r="D10" s="7">
        <f t="shared" si="0"/>
        <v>29960204</v>
      </c>
      <c r="E10" s="7">
        <f t="shared" si="1"/>
        <v>-234042</v>
      </c>
      <c r="H10" s="7">
        <f>-(9119726+4458052+7932489)</f>
        <v>-21510267</v>
      </c>
      <c r="I10" s="11">
        <f t="shared" si="2"/>
        <v>8215895</v>
      </c>
      <c r="J10" s="18">
        <f t="shared" si="3"/>
        <v>9.232310581780331E-3</v>
      </c>
      <c r="K10" t="str">
        <f t="shared" si="4"/>
        <v>Yes</v>
      </c>
      <c r="L10" s="45" t="str">
        <f t="shared" si="5"/>
        <v>Exclude MFHR, MFDR, MFIB</v>
      </c>
    </row>
    <row r="11" spans="1:12">
      <c r="A11" t="s">
        <v>165</v>
      </c>
      <c r="B11" s="7">
        <v>3583374</v>
      </c>
      <c r="C11" s="7">
        <v>0</v>
      </c>
      <c r="D11" s="7">
        <f t="shared" si="0"/>
        <v>3583374</v>
      </c>
      <c r="E11" s="7">
        <f t="shared" si="1"/>
        <v>0</v>
      </c>
      <c r="H11" s="7">
        <f>-2107151-288186</f>
        <v>-2395337</v>
      </c>
      <c r="I11" s="11">
        <f t="shared" si="2"/>
        <v>1188037</v>
      </c>
      <c r="J11" s="18">
        <f t="shared" si="3"/>
        <v>1.3350129920899133E-3</v>
      </c>
      <c r="K11" t="str">
        <f t="shared" si="4"/>
        <v>Yes</v>
      </c>
      <c r="L11" s="45" t="str">
        <f t="shared" si="5"/>
        <v>Exclude expenditures for Admin &amp; Support (LAMYAS Functional Area)</v>
      </c>
    </row>
    <row r="12" spans="1:12">
      <c r="A12" t="s">
        <v>162</v>
      </c>
      <c r="B12" s="7">
        <v>6141644</v>
      </c>
      <c r="C12" s="7">
        <v>8722</v>
      </c>
      <c r="D12" s="7">
        <f t="shared" si="0"/>
        <v>6150366</v>
      </c>
      <c r="E12" s="7">
        <f t="shared" si="1"/>
        <v>-4361</v>
      </c>
      <c r="H12" s="17">
        <v>-435738</v>
      </c>
      <c r="I12" s="11">
        <f t="shared" si="2"/>
        <v>5710267</v>
      </c>
      <c r="J12" s="18">
        <f t="shared" si="3"/>
        <v>6.4167030431731449E-3</v>
      </c>
      <c r="K12" t="str">
        <f t="shared" si="4"/>
        <v>Yes</v>
      </c>
      <c r="L12" s="45" t="str">
        <f t="shared" si="5"/>
        <v>Exclude expenditures for Information &amp; Referral and Public Involvement best practices (CDIR, CDNRNOPI)</v>
      </c>
    </row>
    <row r="13" spans="1:12">
      <c r="A13" t="s">
        <v>318</v>
      </c>
      <c r="B13" s="7">
        <v>375051</v>
      </c>
      <c r="C13" s="7">
        <v>0</v>
      </c>
      <c r="D13" s="7">
        <f t="shared" si="0"/>
        <v>375051</v>
      </c>
      <c r="E13" s="7">
        <f t="shared" si="1"/>
        <v>0</v>
      </c>
      <c r="H13" s="7">
        <f>-0.68*D13</f>
        <v>-255034.68000000002</v>
      </c>
      <c r="I13" s="11">
        <f t="shared" si="2"/>
        <v>120016.31999999998</v>
      </c>
      <c r="J13" s="18">
        <f t="shared" si="3"/>
        <v>1.3486393644543098E-4</v>
      </c>
      <c r="K13" t="str">
        <f t="shared" si="4"/>
        <v>Yes</v>
      </c>
      <c r="L13" s="45" t="str">
        <f t="shared" si="5"/>
        <v>Rollback in 09-10 &amp; 10-11. Exclude expenditures for Citywide Comm, Training, Tech Support and % admin (CDCEEC, TE, TS &amp; portion CDAS (68%))</v>
      </c>
    </row>
    <row r="14" spans="1:12">
      <c r="A14" t="s">
        <v>154</v>
      </c>
      <c r="B14" s="7">
        <v>1486258</v>
      </c>
      <c r="C14" s="7">
        <v>0</v>
      </c>
      <c r="D14" s="7">
        <f t="shared" si="0"/>
        <v>1486258</v>
      </c>
      <c r="E14" s="7">
        <f t="shared" si="1"/>
        <v>0</v>
      </c>
      <c r="H14" s="7">
        <f>-980930</f>
        <v>-980930</v>
      </c>
      <c r="I14" s="11">
        <f t="shared" si="2"/>
        <v>505328</v>
      </c>
      <c r="J14" s="18">
        <f t="shared" si="3"/>
        <v>5.6784380054393231E-4</v>
      </c>
      <c r="K14" t="str">
        <f t="shared" si="4"/>
        <v>Yes</v>
      </c>
      <c r="L14" s="45" t="str">
        <f t="shared" si="5"/>
        <v>Exclude Commissioner's Office (PACO000001)</v>
      </c>
    </row>
    <row r="15" spans="1:12">
      <c r="A15" t="s">
        <v>169</v>
      </c>
      <c r="B15" s="7">
        <v>54149795</v>
      </c>
      <c r="C15" s="7">
        <v>466253</v>
      </c>
      <c r="D15" s="7">
        <f t="shared" si="0"/>
        <v>54616048</v>
      </c>
      <c r="E15" s="7">
        <f t="shared" si="1"/>
        <v>-233126.5</v>
      </c>
      <c r="I15" s="11">
        <f t="shared" si="2"/>
        <v>54382921.5</v>
      </c>
      <c r="J15" s="18">
        <f t="shared" si="3"/>
        <v>6.1110812836894707E-2</v>
      </c>
      <c r="K15" t="str">
        <f t="shared" si="4"/>
        <v>Yes</v>
      </c>
      <c r="L15" s="45" t="str">
        <f t="shared" si="5"/>
        <v xml:space="preserve"> </v>
      </c>
    </row>
    <row r="16" spans="1:12">
      <c r="A16" t="s">
        <v>170</v>
      </c>
      <c r="B16" s="7">
        <v>140127020</v>
      </c>
      <c r="C16" s="7">
        <v>0</v>
      </c>
      <c r="D16" s="7">
        <f t="shared" si="0"/>
        <v>140127020</v>
      </c>
      <c r="E16" s="7">
        <f t="shared" si="1"/>
        <v>0</v>
      </c>
      <c r="I16" s="11">
        <f t="shared" si="2"/>
        <v>140127020</v>
      </c>
      <c r="J16" s="18">
        <f t="shared" si="3"/>
        <v>0.1574625977497697</v>
      </c>
      <c r="K16" t="str">
        <f t="shared" si="4"/>
        <v>Yes</v>
      </c>
      <c r="L16" s="45" t="str">
        <f t="shared" si="5"/>
        <v xml:space="preserve"> </v>
      </c>
    </row>
    <row r="17" spans="1:12">
      <c r="A17" t="s">
        <v>153</v>
      </c>
      <c r="B17" s="7">
        <v>8429404</v>
      </c>
      <c r="C17" s="7">
        <v>2304</v>
      </c>
      <c r="D17" s="7">
        <f t="shared" si="0"/>
        <v>8431708</v>
      </c>
      <c r="E17" s="7">
        <f t="shared" si="1"/>
        <v>-1152</v>
      </c>
      <c r="H17" s="17">
        <f>(0.5*-827167)-812457</f>
        <v>-1226040.5</v>
      </c>
      <c r="I17" s="11">
        <f t="shared" si="2"/>
        <v>7204515.5</v>
      </c>
      <c r="J17" s="18">
        <f t="shared" si="3"/>
        <v>8.095809974111209E-3</v>
      </c>
      <c r="K17" t="str">
        <f t="shared" si="4"/>
        <v>Yes</v>
      </c>
      <c r="L17" s="45" t="str">
        <f t="shared" si="5"/>
        <v>Exclude expenditures for Comp Planning &amp; 1/2 of district liaisons (CDAPDI, CDCP00)</v>
      </c>
    </row>
    <row r="18" spans="1:12">
      <c r="A18" t="s">
        <v>155</v>
      </c>
      <c r="B18" s="7">
        <v>631303</v>
      </c>
      <c r="C18" s="7">
        <v>0</v>
      </c>
      <c r="D18" s="7">
        <f t="shared" si="0"/>
        <v>631303</v>
      </c>
      <c r="E18" s="7">
        <f t="shared" si="1"/>
        <v>0</v>
      </c>
      <c r="H18" s="7">
        <f>-D18-E18-F18-G18</f>
        <v>-631303</v>
      </c>
      <c r="I18" s="11">
        <f t="shared" si="2"/>
        <v>0</v>
      </c>
      <c r="J18" s="18">
        <f t="shared" si="3"/>
        <v>0</v>
      </c>
      <c r="K18" t="str">
        <f t="shared" si="4"/>
        <v>Yes</v>
      </c>
      <c r="L18" s="45" t="str">
        <f t="shared" si="5"/>
        <v>100% Overhead</v>
      </c>
    </row>
    <row r="19" spans="1:12">
      <c r="A19" t="s">
        <v>156</v>
      </c>
      <c r="B19" s="7">
        <v>706903</v>
      </c>
      <c r="C19" s="7">
        <v>0</v>
      </c>
      <c r="D19" s="7">
        <f t="shared" si="0"/>
        <v>706903</v>
      </c>
      <c r="E19" s="7">
        <f t="shared" si="1"/>
        <v>0</v>
      </c>
      <c r="H19" s="7">
        <f>-D19-E19-F19-G19</f>
        <v>-706903</v>
      </c>
      <c r="I19" s="11">
        <f t="shared" si="2"/>
        <v>0</v>
      </c>
      <c r="J19" s="18">
        <f t="shared" si="3"/>
        <v>0</v>
      </c>
      <c r="K19" t="str">
        <f t="shared" si="4"/>
        <v>Yes</v>
      </c>
      <c r="L19" s="45" t="str">
        <f t="shared" si="5"/>
        <v>100% Overhead</v>
      </c>
    </row>
    <row r="20" spans="1:12">
      <c r="A20" t="s">
        <v>157</v>
      </c>
      <c r="B20" s="7">
        <v>711240</v>
      </c>
      <c r="C20" s="7">
        <v>0</v>
      </c>
      <c r="D20" s="7">
        <f t="shared" si="0"/>
        <v>711240</v>
      </c>
      <c r="E20" s="7">
        <f t="shared" si="1"/>
        <v>0</v>
      </c>
      <c r="H20" s="7">
        <f>-D20-E20-F20-G20</f>
        <v>-711240</v>
      </c>
      <c r="I20" s="11">
        <f t="shared" si="2"/>
        <v>0</v>
      </c>
      <c r="J20" s="18">
        <f t="shared" si="3"/>
        <v>0</v>
      </c>
      <c r="K20" t="str">
        <f t="shared" si="4"/>
        <v>Yes</v>
      </c>
      <c r="L20" s="45" t="str">
        <f t="shared" si="5"/>
        <v>100% Overhead</v>
      </c>
    </row>
    <row r="21" spans="1:12">
      <c r="A21" t="s">
        <v>171</v>
      </c>
      <c r="B21" s="7">
        <v>8402223</v>
      </c>
      <c r="C21" s="7">
        <v>64353</v>
      </c>
      <c r="D21" s="7">
        <f t="shared" si="0"/>
        <v>8466576</v>
      </c>
      <c r="E21" s="7">
        <f t="shared" si="1"/>
        <v>-32176.5</v>
      </c>
      <c r="H21" s="7">
        <v>-286008</v>
      </c>
      <c r="I21" s="11">
        <f t="shared" si="2"/>
        <v>8148391.5</v>
      </c>
      <c r="J21" s="18">
        <f t="shared" si="3"/>
        <v>9.1564560002213875E-3</v>
      </c>
      <c r="K21" t="str">
        <f t="shared" si="4"/>
        <v>Yes</v>
      </c>
      <c r="L21" s="45" t="str">
        <f t="shared" si="5"/>
        <v>Exclude expenditures for City memberships and dues (MFSA000002)</v>
      </c>
    </row>
    <row r="22" spans="1:12">
      <c r="A22" t="s">
        <v>320</v>
      </c>
      <c r="B22" s="7">
        <v>4731295</v>
      </c>
      <c r="C22" s="7">
        <v>0</v>
      </c>
      <c r="D22" s="7">
        <f t="shared" si="0"/>
        <v>4731295</v>
      </c>
      <c r="E22" s="7">
        <f t="shared" si="1"/>
        <v>0</v>
      </c>
      <c r="I22" s="11">
        <f t="shared" si="2"/>
        <v>4731295</v>
      </c>
      <c r="J22" s="18">
        <f t="shared" si="3"/>
        <v>5.3166191746637911E-3</v>
      </c>
      <c r="K22" t="str">
        <f t="shared" si="4"/>
        <v>Yes</v>
      </c>
      <c r="L22" s="45" t="str">
        <f t="shared" si="5"/>
        <v xml:space="preserve"> </v>
      </c>
    </row>
    <row r="23" spans="1:12">
      <c r="A23" t="s">
        <v>172</v>
      </c>
      <c r="B23" s="7">
        <v>79819000</v>
      </c>
      <c r="C23" s="7">
        <v>33220372</v>
      </c>
      <c r="D23" s="7">
        <f t="shared" si="0"/>
        <v>113039372</v>
      </c>
      <c r="E23" s="7">
        <f t="shared" si="1"/>
        <v>-16610186</v>
      </c>
      <c r="I23" s="11">
        <f t="shared" si="2"/>
        <v>96429186</v>
      </c>
      <c r="J23" s="18">
        <f t="shared" si="3"/>
        <v>0.10835875997688185</v>
      </c>
      <c r="K23" t="str">
        <f t="shared" si="4"/>
        <v>Yes</v>
      </c>
      <c r="L23" s="45" t="str">
        <f t="shared" si="5"/>
        <v xml:space="preserve"> </v>
      </c>
    </row>
    <row r="24" spans="1:12">
      <c r="A24" t="s">
        <v>173</v>
      </c>
      <c r="B24" s="7">
        <v>13690574</v>
      </c>
      <c r="C24" s="7">
        <v>37</v>
      </c>
      <c r="D24" s="7">
        <f t="shared" si="0"/>
        <v>13690611</v>
      </c>
      <c r="E24" s="7">
        <f t="shared" si="1"/>
        <v>-18.5</v>
      </c>
      <c r="I24" s="11">
        <f t="shared" si="2"/>
        <v>13690592.5</v>
      </c>
      <c r="J24" s="18">
        <f t="shared" si="3"/>
        <v>1.5384301041894088E-2</v>
      </c>
      <c r="K24" t="str">
        <f t="shared" si="4"/>
        <v>Yes</v>
      </c>
      <c r="L24" s="45" t="str">
        <f t="shared" si="5"/>
        <v xml:space="preserve"> </v>
      </c>
    </row>
    <row r="25" spans="1:12">
      <c r="A25" t="s">
        <v>174</v>
      </c>
      <c r="B25" s="7">
        <v>0</v>
      </c>
      <c r="C25" s="7">
        <v>309715</v>
      </c>
      <c r="D25" s="7">
        <f t="shared" si="0"/>
        <v>309715</v>
      </c>
      <c r="E25" s="7">
        <f t="shared" si="1"/>
        <v>-154857.5</v>
      </c>
      <c r="I25" s="11">
        <f t="shared" si="2"/>
        <v>154857.5</v>
      </c>
      <c r="J25" s="18">
        <f t="shared" si="3"/>
        <v>1.7401543421843239E-4</v>
      </c>
      <c r="K25" t="str">
        <f t="shared" si="4"/>
        <v>Yes</v>
      </c>
      <c r="L25" s="45" t="str">
        <f t="shared" si="5"/>
        <v xml:space="preserve"> </v>
      </c>
    </row>
    <row r="26" spans="1:12">
      <c r="A26" t="s">
        <v>175</v>
      </c>
      <c r="B26" s="7">
        <v>18828444</v>
      </c>
      <c r="C26" s="7">
        <v>445302</v>
      </c>
      <c r="D26" s="7">
        <f t="shared" si="0"/>
        <v>19273746</v>
      </c>
      <c r="E26" s="7">
        <f t="shared" si="1"/>
        <v>-222651</v>
      </c>
      <c r="I26" s="11">
        <f t="shared" si="2"/>
        <v>19051095</v>
      </c>
      <c r="J26" s="18">
        <f t="shared" si="3"/>
        <v>2.140796906034003E-2</v>
      </c>
      <c r="K26" t="str">
        <f t="shared" si="4"/>
        <v>Yes</v>
      </c>
      <c r="L26" s="45" t="str">
        <f t="shared" si="5"/>
        <v xml:space="preserve"> </v>
      </c>
    </row>
    <row r="27" spans="1:12">
      <c r="A27" t="s">
        <v>176</v>
      </c>
      <c r="B27" s="7">
        <v>4683825</v>
      </c>
      <c r="C27" s="7">
        <v>0</v>
      </c>
      <c r="D27" s="7">
        <f t="shared" si="0"/>
        <v>4683825</v>
      </c>
      <c r="E27" s="7">
        <f t="shared" si="1"/>
        <v>0</v>
      </c>
      <c r="G27" s="7">
        <v>-4683825</v>
      </c>
      <c r="H27" s="47"/>
      <c r="I27" s="11">
        <f t="shared" si="2"/>
        <v>0</v>
      </c>
      <c r="J27" s="18">
        <f t="shared" si="3"/>
        <v>0</v>
      </c>
      <c r="K27" t="str">
        <f t="shared" si="4"/>
        <v>Yes</v>
      </c>
      <c r="L27" s="45" t="str">
        <f t="shared" si="5"/>
        <v>Fixed at $25,000 (hardcoded in Model)</v>
      </c>
    </row>
    <row r="28" spans="1:12">
      <c r="A28" t="s">
        <v>177</v>
      </c>
      <c r="B28" s="7">
        <v>4869252</v>
      </c>
      <c r="C28" s="7">
        <v>0</v>
      </c>
      <c r="D28" s="7">
        <f t="shared" si="0"/>
        <v>4869252</v>
      </c>
      <c r="E28" s="7">
        <f t="shared" si="1"/>
        <v>0</v>
      </c>
      <c r="F28" s="17"/>
      <c r="G28" s="7">
        <v>-4869252</v>
      </c>
      <c r="H28" s="47"/>
      <c r="I28" s="11">
        <f t="shared" si="2"/>
        <v>0</v>
      </c>
      <c r="J28" s="18">
        <f t="shared" si="3"/>
        <v>0</v>
      </c>
      <c r="K28" t="str">
        <f t="shared" si="4"/>
        <v>Yes</v>
      </c>
      <c r="L28" s="45" t="str">
        <f t="shared" si="5"/>
        <v>Fixed at $25,000 (hardcoded in Model)</v>
      </c>
    </row>
    <row r="29" spans="1:12">
      <c r="A29" t="s">
        <v>178</v>
      </c>
      <c r="B29" s="7">
        <v>3394783</v>
      </c>
      <c r="C29" s="7">
        <v>0</v>
      </c>
      <c r="D29" s="7">
        <f t="shared" si="0"/>
        <v>3394783</v>
      </c>
      <c r="E29" s="7">
        <f t="shared" si="1"/>
        <v>0</v>
      </c>
      <c r="G29" s="7">
        <v>-3394783</v>
      </c>
      <c r="H29" s="47"/>
      <c r="I29" s="11">
        <f t="shared" si="2"/>
        <v>0</v>
      </c>
      <c r="J29" s="18">
        <f t="shared" si="3"/>
        <v>0</v>
      </c>
      <c r="K29" t="str">
        <f t="shared" si="4"/>
        <v>Yes</v>
      </c>
      <c r="L29" s="45" t="str">
        <f t="shared" si="5"/>
        <v>Fixed at $25,000 (hardcoded in Model)</v>
      </c>
    </row>
    <row r="30" spans="1:12">
      <c r="A30" t="s">
        <v>179</v>
      </c>
      <c r="B30" s="7">
        <v>133787307</v>
      </c>
      <c r="C30" s="7">
        <v>0</v>
      </c>
      <c r="D30" s="7">
        <f t="shared" si="0"/>
        <v>133787307</v>
      </c>
      <c r="E30" s="7">
        <f t="shared" si="1"/>
        <v>0</v>
      </c>
      <c r="I30" s="11">
        <f t="shared" si="2"/>
        <v>0</v>
      </c>
      <c r="J30" s="18">
        <f t="shared" si="3"/>
        <v>0</v>
      </c>
      <c r="K30" t="str">
        <f t="shared" si="4"/>
        <v>Yes</v>
      </c>
      <c r="L30" s="45" t="str">
        <f t="shared" si="5"/>
        <v xml:space="preserve"> </v>
      </c>
    </row>
    <row r="31" spans="1:12">
      <c r="A31" t="s">
        <v>180</v>
      </c>
      <c r="B31" s="7">
        <v>2274558</v>
      </c>
      <c r="C31" s="7">
        <v>0</v>
      </c>
      <c r="D31" s="7">
        <f t="shared" si="0"/>
        <v>2274558</v>
      </c>
      <c r="E31" s="7">
        <f t="shared" si="1"/>
        <v>0</v>
      </c>
      <c r="G31" s="7">
        <f>-1136253*0.5</f>
        <v>-568126.5</v>
      </c>
      <c r="I31" s="11">
        <f t="shared" si="2"/>
        <v>1706431.5</v>
      </c>
      <c r="J31" s="18">
        <f t="shared" si="3"/>
        <v>1.9175397926255488E-3</v>
      </c>
      <c r="K31" t="str">
        <f t="shared" si="4"/>
        <v>Yes</v>
      </c>
      <c r="L31" s="45" t="str">
        <f t="shared" si="5"/>
        <v>50% discount for operating projects</v>
      </c>
    </row>
    <row r="32" spans="1:12">
      <c r="A32" t="s">
        <v>182</v>
      </c>
      <c r="B32" s="7">
        <v>394304</v>
      </c>
      <c r="C32" s="7">
        <v>0</v>
      </c>
      <c r="D32" s="7">
        <f t="shared" si="0"/>
        <v>394304</v>
      </c>
      <c r="E32" s="7">
        <f t="shared" si="1"/>
        <v>0</v>
      </c>
      <c r="I32" s="11">
        <f t="shared" si="2"/>
        <v>394304</v>
      </c>
      <c r="J32" s="18">
        <f t="shared" si="3"/>
        <v>4.4308465378857829E-4</v>
      </c>
      <c r="K32" t="str">
        <f t="shared" si="4"/>
        <v>Yes</v>
      </c>
      <c r="L32" s="45" t="str">
        <f t="shared" si="5"/>
        <v xml:space="preserve"> </v>
      </c>
    </row>
    <row r="33" spans="1:12">
      <c r="A33" t="s">
        <v>183</v>
      </c>
      <c r="B33" s="7">
        <v>13990705</v>
      </c>
      <c r="C33" s="7">
        <v>0</v>
      </c>
      <c r="D33" s="7">
        <f t="shared" si="0"/>
        <v>13990705</v>
      </c>
      <c r="E33" s="7">
        <f t="shared" si="1"/>
        <v>0</v>
      </c>
      <c r="G33" s="7">
        <v>-13990705</v>
      </c>
      <c r="I33" s="11">
        <f t="shared" si="2"/>
        <v>0</v>
      </c>
      <c r="J33" s="18">
        <f t="shared" si="3"/>
        <v>0</v>
      </c>
      <c r="K33" t="str">
        <f t="shared" si="4"/>
        <v>Yes</v>
      </c>
      <c r="L33" s="45" t="str">
        <f t="shared" si="5"/>
        <v>Fixed at $25,000 (hardcoded in Model)</v>
      </c>
    </row>
    <row r="34" spans="1:12">
      <c r="A34" t="s">
        <v>321</v>
      </c>
      <c r="B34" s="7">
        <v>71876</v>
      </c>
      <c r="C34" s="7">
        <v>0</v>
      </c>
      <c r="D34" s="7">
        <f t="shared" ref="D34:D66" si="6">SUM(B34:C34)</f>
        <v>71876</v>
      </c>
      <c r="E34" s="7">
        <f t="shared" ref="E34:E66" si="7">C34*-0.5</f>
        <v>0</v>
      </c>
      <c r="I34" s="11">
        <f t="shared" ref="I34:I66" si="8">IF((VLOOKUP(A34,Crosswalk,2,FALSE)="Excluded"),0,(D34+E34+F34+G34+H34))</f>
        <v>71876</v>
      </c>
      <c r="J34" s="18">
        <f t="shared" ref="J34:J66" si="9">I34/(SUM($I$2:$I$81))</f>
        <v>8.0768018015814843E-5</v>
      </c>
      <c r="K34" t="str">
        <f t="shared" ref="K34:K66" si="10">IF(VLOOKUP(A34,Model,2,FALSE)&lt;&gt;"","Yes","No")</f>
        <v>Yes</v>
      </c>
      <c r="L34" s="45" t="str">
        <f t="shared" ref="L34:L66" si="11">IF((VLOOKUP(A34,Crosswalk,3,FALSE))=0," ",(VLOOKUP(A34,Crosswalk,3,FALSE)))</f>
        <v xml:space="preserve"> </v>
      </c>
    </row>
    <row r="35" spans="1:12">
      <c r="A35" t="s">
        <v>184</v>
      </c>
      <c r="B35" s="7">
        <v>163029</v>
      </c>
      <c r="C35" s="7">
        <v>0</v>
      </c>
      <c r="D35" s="7">
        <f t="shared" si="6"/>
        <v>163029</v>
      </c>
      <c r="E35" s="7">
        <f t="shared" si="7"/>
        <v>0</v>
      </c>
      <c r="I35" s="11">
        <f t="shared" si="8"/>
        <v>163029</v>
      </c>
      <c r="J35" s="18">
        <f t="shared" si="9"/>
        <v>1.8319785754772493E-4</v>
      </c>
      <c r="K35" t="str">
        <f t="shared" si="10"/>
        <v>Yes</v>
      </c>
      <c r="L35" s="45" t="str">
        <f t="shared" si="11"/>
        <v xml:space="preserve"> </v>
      </c>
    </row>
    <row r="36" spans="1:12">
      <c r="A36" t="s">
        <v>189</v>
      </c>
      <c r="B36" s="7">
        <v>6814865</v>
      </c>
      <c r="C36" s="7">
        <v>0</v>
      </c>
      <c r="D36" s="7">
        <f t="shared" si="6"/>
        <v>6814865</v>
      </c>
      <c r="E36" s="7">
        <f t="shared" si="7"/>
        <v>0</v>
      </c>
      <c r="I36" s="11">
        <f t="shared" si="8"/>
        <v>6814865</v>
      </c>
      <c r="J36" s="18">
        <f t="shared" si="9"/>
        <v>7.6579545202201844E-3</v>
      </c>
      <c r="K36" t="str">
        <f t="shared" si="10"/>
        <v>Yes</v>
      </c>
      <c r="L36" s="45" t="str">
        <f t="shared" si="11"/>
        <v xml:space="preserve"> </v>
      </c>
    </row>
    <row r="37" spans="1:12">
      <c r="A37" t="s">
        <v>185</v>
      </c>
      <c r="B37" s="7">
        <v>298150</v>
      </c>
      <c r="C37" s="7">
        <v>1513489</v>
      </c>
      <c r="D37" s="7">
        <f t="shared" si="6"/>
        <v>1811639</v>
      </c>
      <c r="E37" s="7">
        <f t="shared" si="7"/>
        <v>-756744.5</v>
      </c>
      <c r="I37" s="11">
        <f t="shared" si="8"/>
        <v>1054894.5</v>
      </c>
      <c r="J37" s="18">
        <f t="shared" si="9"/>
        <v>1.1853989924423172E-3</v>
      </c>
      <c r="K37" t="str">
        <f t="shared" si="10"/>
        <v>Yes</v>
      </c>
      <c r="L37" s="45" t="str">
        <f t="shared" si="11"/>
        <v xml:space="preserve"> </v>
      </c>
    </row>
    <row r="38" spans="1:12">
      <c r="A38" t="s">
        <v>192</v>
      </c>
      <c r="B38" s="7">
        <v>1559609</v>
      </c>
      <c r="C38" s="7">
        <v>336467</v>
      </c>
      <c r="D38" s="7">
        <f t="shared" si="6"/>
        <v>1896076</v>
      </c>
      <c r="E38" s="7">
        <f t="shared" si="7"/>
        <v>-168233.5</v>
      </c>
      <c r="I38" s="11">
        <f t="shared" si="8"/>
        <v>1727842.5</v>
      </c>
      <c r="J38" s="18">
        <f t="shared" si="9"/>
        <v>1.9415996183495263E-3</v>
      </c>
      <c r="K38" t="str">
        <f t="shared" si="10"/>
        <v>Yes</v>
      </c>
      <c r="L38" s="45" t="str">
        <f t="shared" si="11"/>
        <v xml:space="preserve"> </v>
      </c>
    </row>
    <row r="39" spans="1:12">
      <c r="A39" t="s">
        <v>193</v>
      </c>
      <c r="B39" s="7">
        <v>3871270</v>
      </c>
      <c r="C39" s="7">
        <v>0</v>
      </c>
      <c r="D39" s="7">
        <f t="shared" si="6"/>
        <v>3871270</v>
      </c>
      <c r="E39" s="7">
        <f t="shared" si="7"/>
        <v>0</v>
      </c>
      <c r="I39" s="11">
        <f t="shared" si="8"/>
        <v>3871270</v>
      </c>
      <c r="J39" s="18">
        <f t="shared" si="9"/>
        <v>4.3501976334810438E-3</v>
      </c>
      <c r="K39" t="str">
        <f t="shared" si="10"/>
        <v>Yes</v>
      </c>
      <c r="L39" s="45" t="str">
        <f t="shared" si="11"/>
        <v xml:space="preserve"> </v>
      </c>
    </row>
    <row r="40" spans="1:12">
      <c r="A40" t="s">
        <v>188</v>
      </c>
      <c r="B40" s="7">
        <v>3724519</v>
      </c>
      <c r="C40" s="7">
        <v>139137</v>
      </c>
      <c r="D40" s="7">
        <f t="shared" si="6"/>
        <v>3863656</v>
      </c>
      <c r="E40" s="7">
        <f t="shared" si="7"/>
        <v>-69568.5</v>
      </c>
      <c r="I40" s="11">
        <f t="shared" si="8"/>
        <v>3794087.5</v>
      </c>
      <c r="J40" s="18">
        <f t="shared" si="9"/>
        <v>4.2634666307749163E-3</v>
      </c>
      <c r="K40" t="str">
        <f t="shared" si="10"/>
        <v>Yes</v>
      </c>
      <c r="L40" s="45" t="str">
        <f t="shared" si="11"/>
        <v xml:space="preserve"> </v>
      </c>
    </row>
    <row r="41" spans="1:12">
      <c r="A41" t="s">
        <v>325</v>
      </c>
      <c r="B41" s="7">
        <v>2413</v>
      </c>
      <c r="C41" s="7">
        <v>0</v>
      </c>
      <c r="D41" s="7">
        <f t="shared" si="6"/>
        <v>2413</v>
      </c>
      <c r="E41" s="7">
        <f t="shared" si="7"/>
        <v>0</v>
      </c>
      <c r="I41" s="11">
        <f t="shared" si="8"/>
        <v>2413</v>
      </c>
      <c r="J41" s="18">
        <f t="shared" si="9"/>
        <v>2.7115202219400246E-6</v>
      </c>
      <c r="K41" t="str">
        <f t="shared" si="10"/>
        <v>Yes</v>
      </c>
      <c r="L41" s="45" t="str">
        <f t="shared" si="11"/>
        <v xml:space="preserve"> </v>
      </c>
    </row>
    <row r="42" spans="1:12">
      <c r="A42" t="s">
        <v>323</v>
      </c>
      <c r="B42" s="7">
        <v>5000</v>
      </c>
      <c r="C42" s="7">
        <v>0</v>
      </c>
      <c r="D42" s="7">
        <f t="shared" si="6"/>
        <v>5000</v>
      </c>
      <c r="E42" s="7">
        <f t="shared" si="7"/>
        <v>0</v>
      </c>
      <c r="I42" s="11">
        <f t="shared" si="8"/>
        <v>5000</v>
      </c>
      <c r="J42" s="18">
        <f t="shared" si="9"/>
        <v>5.6185665601741082E-6</v>
      </c>
      <c r="K42" t="str">
        <f t="shared" si="10"/>
        <v>Yes</v>
      </c>
      <c r="L42" s="45" t="str">
        <f t="shared" si="11"/>
        <v xml:space="preserve"> </v>
      </c>
    </row>
    <row r="43" spans="1:12">
      <c r="A43" t="s">
        <v>322</v>
      </c>
      <c r="B43" s="7">
        <v>53799</v>
      </c>
      <c r="C43" s="7">
        <v>0</v>
      </c>
      <c r="D43" s="7">
        <f t="shared" si="6"/>
        <v>53799</v>
      </c>
      <c r="E43" s="7">
        <f t="shared" si="7"/>
        <v>0</v>
      </c>
      <c r="I43" s="11">
        <f t="shared" si="8"/>
        <v>53799</v>
      </c>
      <c r="J43" s="18">
        <f t="shared" si="9"/>
        <v>6.0454652474161364E-5</v>
      </c>
      <c r="K43" t="str">
        <f t="shared" si="10"/>
        <v>Yes</v>
      </c>
      <c r="L43" s="45" t="str">
        <f t="shared" si="11"/>
        <v xml:space="preserve"> </v>
      </c>
    </row>
    <row r="44" spans="1:12">
      <c r="A44" t="s">
        <v>194</v>
      </c>
      <c r="B44" s="7">
        <v>233500</v>
      </c>
      <c r="C44" s="7">
        <v>1372641</v>
      </c>
      <c r="D44" s="7">
        <f t="shared" si="6"/>
        <v>1606141</v>
      </c>
      <c r="E44" s="7">
        <f t="shared" si="7"/>
        <v>-686320.5</v>
      </c>
      <c r="I44" s="11">
        <f t="shared" si="8"/>
        <v>919820.5</v>
      </c>
      <c r="J44" s="18">
        <f t="shared" si="9"/>
        <v>1.0336145405325256E-3</v>
      </c>
      <c r="K44" t="str">
        <f t="shared" si="10"/>
        <v>Yes</v>
      </c>
      <c r="L44" s="45" t="str">
        <f t="shared" si="11"/>
        <v xml:space="preserve"> </v>
      </c>
    </row>
    <row r="45" spans="1:12">
      <c r="A45" t="s">
        <v>195</v>
      </c>
      <c r="B45" s="7">
        <v>4026780</v>
      </c>
      <c r="C45" s="7">
        <v>0</v>
      </c>
      <c r="D45" s="7">
        <f t="shared" si="6"/>
        <v>4026780</v>
      </c>
      <c r="E45" s="7">
        <f t="shared" si="7"/>
        <v>0</v>
      </c>
      <c r="I45" s="11">
        <f t="shared" si="8"/>
        <v>4026780</v>
      </c>
      <c r="J45" s="18">
        <f t="shared" si="9"/>
        <v>4.5249462906355791E-3</v>
      </c>
      <c r="K45" t="str">
        <f t="shared" si="10"/>
        <v>Yes</v>
      </c>
      <c r="L45" s="45" t="str">
        <f t="shared" si="11"/>
        <v xml:space="preserve"> </v>
      </c>
    </row>
    <row r="46" spans="1:12">
      <c r="A46" t="s">
        <v>186</v>
      </c>
      <c r="B46" s="7">
        <v>15511226</v>
      </c>
      <c r="C46" s="7">
        <v>0</v>
      </c>
      <c r="D46" s="7">
        <f t="shared" si="6"/>
        <v>15511226</v>
      </c>
      <c r="E46" s="7">
        <f t="shared" si="7"/>
        <v>0</v>
      </c>
      <c r="I46" s="11">
        <f t="shared" si="8"/>
        <v>15511226</v>
      </c>
      <c r="J46" s="18">
        <f t="shared" si="9"/>
        <v>1.7430171142180637E-2</v>
      </c>
      <c r="K46" t="str">
        <f t="shared" si="10"/>
        <v>Yes</v>
      </c>
      <c r="L46" s="45" t="str">
        <f t="shared" si="11"/>
        <v xml:space="preserve"> </v>
      </c>
    </row>
    <row r="47" spans="1:12">
      <c r="A47" t="s">
        <v>324</v>
      </c>
      <c r="B47" s="7">
        <v>0</v>
      </c>
      <c r="C47" s="7">
        <v>0</v>
      </c>
      <c r="D47" s="7">
        <f t="shared" si="6"/>
        <v>0</v>
      </c>
      <c r="E47" s="7">
        <f t="shared" si="7"/>
        <v>0</v>
      </c>
      <c r="I47" s="11">
        <f t="shared" si="8"/>
        <v>0</v>
      </c>
      <c r="J47" s="18">
        <f t="shared" si="9"/>
        <v>0</v>
      </c>
      <c r="K47" t="str">
        <f t="shared" si="10"/>
        <v>Yes</v>
      </c>
      <c r="L47" s="45" t="str">
        <f t="shared" si="11"/>
        <v xml:space="preserve"> </v>
      </c>
    </row>
    <row r="48" spans="1:12">
      <c r="A48" t="s">
        <v>190</v>
      </c>
      <c r="B48" s="7">
        <v>-696899</v>
      </c>
      <c r="C48" s="7">
        <v>53482656</v>
      </c>
      <c r="D48" s="7">
        <f t="shared" si="6"/>
        <v>52785757</v>
      </c>
      <c r="E48" s="7">
        <f t="shared" si="7"/>
        <v>-26741328</v>
      </c>
      <c r="I48" s="11">
        <f t="shared" si="8"/>
        <v>26044429</v>
      </c>
      <c r="J48" s="18">
        <f t="shared" si="9"/>
        <v>2.9266471571645757E-2</v>
      </c>
      <c r="K48" t="str">
        <f t="shared" si="10"/>
        <v>Yes</v>
      </c>
      <c r="L48" s="45" t="str">
        <f t="shared" si="11"/>
        <v xml:space="preserve"> </v>
      </c>
    </row>
    <row r="49" spans="1:12">
      <c r="A49" t="s">
        <v>196</v>
      </c>
      <c r="B49" s="7">
        <v>221852</v>
      </c>
      <c r="C49" s="7">
        <v>929596</v>
      </c>
      <c r="D49" s="7">
        <f t="shared" si="6"/>
        <v>1151448</v>
      </c>
      <c r="E49" s="7">
        <f t="shared" si="7"/>
        <v>-464798</v>
      </c>
      <c r="I49" s="11">
        <f t="shared" si="8"/>
        <v>686650</v>
      </c>
      <c r="J49" s="18">
        <f t="shared" si="9"/>
        <v>7.7159774570871023E-4</v>
      </c>
      <c r="K49" t="str">
        <f t="shared" si="10"/>
        <v>Yes</v>
      </c>
      <c r="L49" s="45" t="str">
        <f t="shared" si="11"/>
        <v xml:space="preserve"> </v>
      </c>
    </row>
    <row r="50" spans="1:12">
      <c r="A50" t="s">
        <v>191</v>
      </c>
      <c r="B50" s="7">
        <v>17148</v>
      </c>
      <c r="C50" s="7">
        <v>0</v>
      </c>
      <c r="D50" s="7">
        <f t="shared" si="6"/>
        <v>17148</v>
      </c>
      <c r="E50" s="7">
        <f t="shared" si="7"/>
        <v>0</v>
      </c>
      <c r="I50" s="11">
        <f t="shared" si="8"/>
        <v>17148</v>
      </c>
      <c r="J50" s="18">
        <f t="shared" si="9"/>
        <v>1.9269435874773122E-5</v>
      </c>
      <c r="K50" t="str">
        <f t="shared" si="10"/>
        <v>Yes</v>
      </c>
      <c r="L50" s="45" t="str">
        <f t="shared" si="11"/>
        <v xml:space="preserve"> </v>
      </c>
    </row>
    <row r="51" spans="1:12">
      <c r="A51" t="s">
        <v>197</v>
      </c>
      <c r="B51" s="7">
        <v>8788092</v>
      </c>
      <c r="C51" s="7">
        <v>0</v>
      </c>
      <c r="D51" s="7">
        <f t="shared" si="6"/>
        <v>8788092</v>
      </c>
      <c r="E51" s="7">
        <f t="shared" si="7"/>
        <v>0</v>
      </c>
      <c r="I51" s="11">
        <f t="shared" si="8"/>
        <v>8788092</v>
      </c>
      <c r="J51" s="18">
        <f t="shared" si="9"/>
        <v>9.8752959677867198E-3</v>
      </c>
      <c r="K51" t="str">
        <f t="shared" si="10"/>
        <v>Yes</v>
      </c>
      <c r="L51" s="45" t="str">
        <f t="shared" si="11"/>
        <v xml:space="preserve"> </v>
      </c>
    </row>
    <row r="52" spans="1:12">
      <c r="A52" t="s">
        <v>198</v>
      </c>
      <c r="B52" s="7">
        <v>3945473</v>
      </c>
      <c r="C52" s="7">
        <v>0</v>
      </c>
      <c r="D52" s="7">
        <f t="shared" si="6"/>
        <v>3945473</v>
      </c>
      <c r="E52" s="7">
        <f t="shared" si="7"/>
        <v>0</v>
      </c>
      <c r="I52" s="11">
        <f t="shared" si="8"/>
        <v>3945473</v>
      </c>
      <c r="J52" s="18">
        <f t="shared" si="9"/>
        <v>4.4335805323739638E-3</v>
      </c>
      <c r="K52" t="str">
        <f t="shared" si="10"/>
        <v>Yes</v>
      </c>
      <c r="L52" s="45" t="str">
        <f t="shared" si="11"/>
        <v xml:space="preserve"> </v>
      </c>
    </row>
    <row r="53" spans="1:12">
      <c r="A53" t="s">
        <v>199</v>
      </c>
      <c r="B53" s="7">
        <v>426966</v>
      </c>
      <c r="C53" s="7">
        <v>0</v>
      </c>
      <c r="D53" s="7">
        <f t="shared" si="6"/>
        <v>426966</v>
      </c>
      <c r="E53" s="7">
        <f t="shared" si="7"/>
        <v>0</v>
      </c>
      <c r="I53" s="11">
        <f t="shared" si="8"/>
        <v>0</v>
      </c>
      <c r="J53" s="18">
        <f t="shared" si="9"/>
        <v>0</v>
      </c>
      <c r="K53" t="str">
        <f t="shared" si="10"/>
        <v>Yes</v>
      </c>
      <c r="L53" s="45" t="str">
        <f t="shared" si="11"/>
        <v xml:space="preserve"> </v>
      </c>
    </row>
    <row r="54" spans="1:12">
      <c r="A54" t="s">
        <v>200</v>
      </c>
      <c r="B54" s="7">
        <v>45073876</v>
      </c>
      <c r="C54" s="7">
        <v>0</v>
      </c>
      <c r="D54" s="7">
        <f t="shared" si="6"/>
        <v>45073876</v>
      </c>
      <c r="E54" s="7">
        <f t="shared" si="7"/>
        <v>0</v>
      </c>
      <c r="G54" s="7">
        <f>-42118264*0.5</f>
        <v>-21059132</v>
      </c>
      <c r="I54" s="11">
        <f t="shared" si="8"/>
        <v>24014744</v>
      </c>
      <c r="J54" s="18">
        <f t="shared" si="9"/>
        <v>2.698568751790836E-2</v>
      </c>
      <c r="K54" t="str">
        <f t="shared" si="10"/>
        <v>Yes</v>
      </c>
      <c r="L54" s="45" t="str">
        <f t="shared" si="11"/>
        <v>50% discount for operating projects</v>
      </c>
    </row>
    <row r="55" spans="1:12">
      <c r="A55" t="s">
        <v>201</v>
      </c>
      <c r="B55" s="7">
        <v>542911</v>
      </c>
      <c r="C55" s="7">
        <v>0</v>
      </c>
      <c r="D55" s="7">
        <f t="shared" si="6"/>
        <v>542911</v>
      </c>
      <c r="E55" s="7">
        <f t="shared" si="7"/>
        <v>0</v>
      </c>
      <c r="I55" s="11">
        <f t="shared" si="8"/>
        <v>542911</v>
      </c>
      <c r="J55" s="18">
        <f t="shared" si="9"/>
        <v>6.1007631795013701E-4</v>
      </c>
      <c r="K55" t="str">
        <f t="shared" si="10"/>
        <v>Yes</v>
      </c>
      <c r="L55" s="45" t="str">
        <f t="shared" si="11"/>
        <v xml:space="preserve"> </v>
      </c>
    </row>
    <row r="56" spans="1:12" s="45" customFormat="1">
      <c r="A56" s="45" t="s">
        <v>451</v>
      </c>
      <c r="B56" s="47">
        <f>'$ FY 2012-13'!B54*0.975</f>
        <v>7439250</v>
      </c>
      <c r="C56" s="47"/>
      <c r="D56" s="47">
        <f t="shared" ref="D56" si="12">SUM(B56:C56)</f>
        <v>7439250</v>
      </c>
      <c r="E56" s="47">
        <f t="shared" ref="E56" si="13">C56*-0.5</f>
        <v>0</v>
      </c>
      <c r="F56" s="47"/>
      <c r="G56" s="47">
        <f>-D56</f>
        <v>-7439250</v>
      </c>
      <c r="H56" s="47"/>
      <c r="I56" s="11">
        <f t="shared" ref="I56" si="14">IF((VLOOKUP(A56,Crosswalk,2,FALSE)="Excluded"),0,(D56+E56+F56+G56+H56))</f>
        <v>0</v>
      </c>
      <c r="J56" s="53">
        <f t="shared" ref="J56" si="15">I56/(SUM($I$2:$I$81))</f>
        <v>0</v>
      </c>
      <c r="K56" s="45" t="str">
        <f t="shared" ref="K56" si="16">IF(VLOOKUP(A56,Model,2,FALSE)&lt;&gt;"","Yes","No")</f>
        <v>Yes</v>
      </c>
      <c r="L56" s="45" t="str">
        <f t="shared" ref="L56" si="17">IF((VLOOKUP(A56,Crosswalk,3,FALSE))=0," ",(VLOOKUP(A56,Crosswalk,3,FALSE)))</f>
        <v>Fixed at $25,000 (hardcoded in Model)</v>
      </c>
    </row>
    <row r="57" spans="1:12">
      <c r="A57" t="s">
        <v>205</v>
      </c>
      <c r="B57" s="7">
        <v>350</v>
      </c>
      <c r="C57" s="7">
        <v>1642657</v>
      </c>
      <c r="D57" s="7">
        <f t="shared" si="6"/>
        <v>1643007</v>
      </c>
      <c r="E57" s="7">
        <f t="shared" si="7"/>
        <v>-821328.5</v>
      </c>
      <c r="I57" s="11">
        <f t="shared" si="8"/>
        <v>821678.5</v>
      </c>
      <c r="J57" s="18">
        <f t="shared" si="9"/>
        <v>9.2333106866280417E-4</v>
      </c>
      <c r="K57" t="str">
        <f t="shared" si="10"/>
        <v>Yes</v>
      </c>
      <c r="L57" s="45" t="str">
        <f t="shared" si="11"/>
        <v xml:space="preserve"> </v>
      </c>
    </row>
    <row r="58" spans="1:12">
      <c r="A58" t="s">
        <v>206</v>
      </c>
      <c r="B58" s="7">
        <v>2950</v>
      </c>
      <c r="C58" s="7">
        <v>0</v>
      </c>
      <c r="D58" s="7">
        <f t="shared" si="6"/>
        <v>2950</v>
      </c>
      <c r="E58" s="7">
        <f t="shared" si="7"/>
        <v>0</v>
      </c>
      <c r="I58" s="11">
        <f t="shared" si="8"/>
        <v>2950</v>
      </c>
      <c r="J58" s="18">
        <f t="shared" si="9"/>
        <v>3.3149542705027237E-6</v>
      </c>
      <c r="K58" t="str">
        <f t="shared" si="10"/>
        <v>Yes</v>
      </c>
      <c r="L58" s="45" t="str">
        <f t="shared" si="11"/>
        <v xml:space="preserve"> </v>
      </c>
    </row>
    <row r="59" spans="1:12">
      <c r="A59" t="s">
        <v>207</v>
      </c>
      <c r="B59" s="7">
        <v>1173090</v>
      </c>
      <c r="C59" s="7">
        <v>5726869</v>
      </c>
      <c r="D59" s="7">
        <f t="shared" si="6"/>
        <v>6899959</v>
      </c>
      <c r="E59" s="7">
        <f t="shared" si="7"/>
        <v>-2863434.5</v>
      </c>
      <c r="I59" s="11">
        <f t="shared" si="8"/>
        <v>4036524.5</v>
      </c>
      <c r="J59" s="18">
        <f t="shared" si="9"/>
        <v>4.5358963150047022E-3</v>
      </c>
      <c r="K59" t="str">
        <f t="shared" si="10"/>
        <v>Yes</v>
      </c>
      <c r="L59" s="45" t="str">
        <f t="shared" si="11"/>
        <v xml:space="preserve"> </v>
      </c>
    </row>
    <row r="60" spans="1:12">
      <c r="A60" t="s">
        <v>327</v>
      </c>
      <c r="B60" s="7">
        <v>0</v>
      </c>
      <c r="C60" s="7">
        <v>431678</v>
      </c>
      <c r="D60" s="7">
        <f t="shared" si="6"/>
        <v>431678</v>
      </c>
      <c r="E60" s="7">
        <f t="shared" si="7"/>
        <v>-215839</v>
      </c>
      <c r="I60" s="11">
        <f t="shared" si="8"/>
        <v>215839</v>
      </c>
      <c r="J60" s="18">
        <f t="shared" si="9"/>
        <v>2.4254115755628386E-4</v>
      </c>
      <c r="K60" t="str">
        <f t="shared" si="10"/>
        <v>Yes</v>
      </c>
      <c r="L60" s="45" t="str">
        <f t="shared" si="11"/>
        <v xml:space="preserve"> </v>
      </c>
    </row>
    <row r="61" spans="1:12">
      <c r="A61" t="s">
        <v>326</v>
      </c>
      <c r="B61" s="7">
        <v>556</v>
      </c>
      <c r="C61" s="7">
        <v>1838261</v>
      </c>
      <c r="D61" s="7">
        <f t="shared" si="6"/>
        <v>1838817</v>
      </c>
      <c r="E61" s="7">
        <f t="shared" si="7"/>
        <v>-919130.5</v>
      </c>
      <c r="I61" s="11">
        <f t="shared" si="8"/>
        <v>919686.5</v>
      </c>
      <c r="J61" s="18">
        <f t="shared" si="9"/>
        <v>1.033463962948713E-3</v>
      </c>
      <c r="K61" t="str">
        <f t="shared" si="10"/>
        <v>Yes</v>
      </c>
      <c r="L61" s="45" t="str">
        <f t="shared" si="11"/>
        <v xml:space="preserve"> </v>
      </c>
    </row>
    <row r="62" spans="1:12">
      <c r="A62" t="s">
        <v>209</v>
      </c>
      <c r="B62" s="7">
        <v>39264243</v>
      </c>
      <c r="C62" s="7">
        <v>127602313</v>
      </c>
      <c r="D62" s="7">
        <f t="shared" si="6"/>
        <v>166866556</v>
      </c>
      <c r="E62" s="7">
        <f t="shared" si="7"/>
        <v>-63801156.5</v>
      </c>
      <c r="I62" s="11">
        <f t="shared" si="8"/>
        <v>103065399.5</v>
      </c>
      <c r="J62" s="18">
        <f t="shared" si="9"/>
        <v>0.11581596142833704</v>
      </c>
      <c r="K62" t="str">
        <f t="shared" si="10"/>
        <v>Yes</v>
      </c>
      <c r="L62" s="45" t="str">
        <f t="shared" si="11"/>
        <v xml:space="preserve"> </v>
      </c>
    </row>
    <row r="63" spans="1:12">
      <c r="A63" t="s">
        <v>210</v>
      </c>
      <c r="B63" s="7">
        <v>342325</v>
      </c>
      <c r="C63" s="7">
        <v>0</v>
      </c>
      <c r="D63" s="7">
        <f t="shared" si="6"/>
        <v>342325</v>
      </c>
      <c r="E63" s="7">
        <f t="shared" si="7"/>
        <v>0</v>
      </c>
      <c r="I63" s="11">
        <f t="shared" si="8"/>
        <v>342325</v>
      </c>
      <c r="J63" s="18">
        <f t="shared" si="9"/>
        <v>3.8467515954232029E-4</v>
      </c>
      <c r="K63" t="str">
        <f t="shared" si="10"/>
        <v>Yes</v>
      </c>
      <c r="L63" s="45" t="str">
        <f t="shared" si="11"/>
        <v xml:space="preserve"> </v>
      </c>
    </row>
    <row r="64" spans="1:12">
      <c r="A64" t="s">
        <v>211</v>
      </c>
      <c r="B64" s="7">
        <v>52118329</v>
      </c>
      <c r="C64" s="7">
        <v>68058570</v>
      </c>
      <c r="D64" s="7">
        <f t="shared" si="6"/>
        <v>120176899</v>
      </c>
      <c r="E64" s="7">
        <f t="shared" si="7"/>
        <v>-34029285</v>
      </c>
      <c r="I64" s="11">
        <f t="shared" si="8"/>
        <v>86147614</v>
      </c>
      <c r="J64" s="18">
        <f t="shared" si="9"/>
        <v>9.6805220651837359E-2</v>
      </c>
      <c r="K64" t="str">
        <f t="shared" si="10"/>
        <v>Yes</v>
      </c>
      <c r="L64" s="45" t="str">
        <f t="shared" si="11"/>
        <v xml:space="preserve"> </v>
      </c>
    </row>
    <row r="65" spans="1:12">
      <c r="A65" t="s">
        <v>212</v>
      </c>
      <c r="B65" s="7">
        <v>6092389</v>
      </c>
      <c r="C65" s="7">
        <v>272102</v>
      </c>
      <c r="D65" s="7">
        <f t="shared" si="6"/>
        <v>6364491</v>
      </c>
      <c r="E65" s="7">
        <f t="shared" si="7"/>
        <v>-136051</v>
      </c>
      <c r="I65" s="11">
        <f t="shared" si="8"/>
        <v>6228440</v>
      </c>
      <c r="J65" s="18">
        <f t="shared" si="9"/>
        <v>6.9989809412101646E-3</v>
      </c>
      <c r="K65" t="str">
        <f t="shared" si="10"/>
        <v>Yes</v>
      </c>
      <c r="L65" s="45" t="str">
        <f t="shared" si="11"/>
        <v xml:space="preserve"> </v>
      </c>
    </row>
    <row r="66" spans="1:12">
      <c r="A66" t="s">
        <v>213</v>
      </c>
      <c r="B66" s="7">
        <v>1247370</v>
      </c>
      <c r="C66" s="7">
        <v>15885</v>
      </c>
      <c r="D66" s="7">
        <f t="shared" si="6"/>
        <v>1263255</v>
      </c>
      <c r="E66" s="7">
        <f t="shared" si="7"/>
        <v>-7942.5</v>
      </c>
      <c r="I66" s="11">
        <f t="shared" si="8"/>
        <v>1255312.5</v>
      </c>
      <c r="J66" s="18">
        <f t="shared" si="9"/>
        <v>1.4106113670137119E-3</v>
      </c>
      <c r="K66" t="str">
        <f t="shared" si="10"/>
        <v>Yes</v>
      </c>
      <c r="L66" s="45" t="str">
        <f t="shared" si="11"/>
        <v xml:space="preserve"> </v>
      </c>
    </row>
    <row r="67" spans="1:12">
      <c r="A67" t="s">
        <v>214</v>
      </c>
      <c r="B67" s="7">
        <v>3494850</v>
      </c>
      <c r="C67" s="7">
        <v>0</v>
      </c>
      <c r="D67" s="7">
        <f t="shared" ref="D67:D81" si="18">SUM(B67:C67)</f>
        <v>3494850</v>
      </c>
      <c r="E67" s="7">
        <f t="shared" ref="E67:E81" si="19">C67*-0.5</f>
        <v>0</v>
      </c>
      <c r="I67" s="11">
        <f t="shared" ref="I67:I81" si="20">IF((VLOOKUP(A67,Crosswalk,2,FALSE)="Excluded"),0,(D67+E67+F67+G67+H67))</f>
        <v>3494850</v>
      </c>
      <c r="J67" s="18">
        <f t="shared" ref="J67:J81" si="21">I67/(SUM($I$2:$I$81))</f>
        <v>3.9272094685648962E-3</v>
      </c>
      <c r="K67" t="str">
        <f t="shared" ref="K67:K81" si="22">IF(VLOOKUP(A67,Model,2,FALSE)&lt;&gt;"","Yes","No")</f>
        <v>Yes</v>
      </c>
      <c r="L67" s="45" t="str">
        <f t="shared" ref="L67:L81" si="23">IF((VLOOKUP(A67,Crosswalk,3,FALSE))=0," ",(VLOOKUP(A67,Crosswalk,3,FALSE)))</f>
        <v xml:space="preserve"> </v>
      </c>
    </row>
    <row r="68" spans="1:12">
      <c r="A68" t="s">
        <v>215</v>
      </c>
      <c r="B68" s="7">
        <v>3755426</v>
      </c>
      <c r="C68" s="7">
        <v>1241038</v>
      </c>
      <c r="D68" s="7">
        <f t="shared" si="18"/>
        <v>4996464</v>
      </c>
      <c r="E68" s="7">
        <f t="shared" si="19"/>
        <v>-620519</v>
      </c>
      <c r="I68" s="11">
        <f t="shared" si="20"/>
        <v>4375945</v>
      </c>
      <c r="J68" s="18">
        <f t="shared" si="21"/>
        <v>4.9173076492322176E-3</v>
      </c>
      <c r="K68" t="str">
        <f t="shared" si="22"/>
        <v>Yes</v>
      </c>
      <c r="L68" s="45" t="str">
        <f t="shared" si="23"/>
        <v xml:space="preserve"> </v>
      </c>
    </row>
    <row r="69" spans="1:12">
      <c r="A69" t="s">
        <v>216</v>
      </c>
      <c r="B69" s="7">
        <v>1232105</v>
      </c>
      <c r="C69" s="7">
        <v>387654</v>
      </c>
      <c r="D69" s="7">
        <f t="shared" si="18"/>
        <v>1619759</v>
      </c>
      <c r="E69" s="7">
        <f t="shared" si="19"/>
        <v>-193827</v>
      </c>
      <c r="I69" s="11">
        <f t="shared" si="20"/>
        <v>1425932</v>
      </c>
      <c r="J69" s="18">
        <f t="shared" si="21"/>
        <v>1.6023387704564372E-3</v>
      </c>
      <c r="K69" t="str">
        <f t="shared" si="22"/>
        <v>Yes</v>
      </c>
      <c r="L69" s="45" t="str">
        <f t="shared" si="23"/>
        <v xml:space="preserve"> </v>
      </c>
    </row>
    <row r="70" spans="1:12">
      <c r="A70" t="s">
        <v>217</v>
      </c>
      <c r="B70" s="7">
        <v>3334816</v>
      </c>
      <c r="C70" s="7">
        <v>60567</v>
      </c>
      <c r="D70" s="7">
        <f t="shared" si="18"/>
        <v>3395383</v>
      </c>
      <c r="E70" s="7">
        <f t="shared" si="19"/>
        <v>-30283.5</v>
      </c>
      <c r="I70" s="11">
        <f t="shared" si="20"/>
        <v>3365099.5</v>
      </c>
      <c r="J70" s="18">
        <f t="shared" si="21"/>
        <v>3.7814071044717222E-3</v>
      </c>
      <c r="K70" t="str">
        <f t="shared" si="22"/>
        <v>Yes</v>
      </c>
      <c r="L70" s="45" t="str">
        <f t="shared" si="23"/>
        <v xml:space="preserve"> </v>
      </c>
    </row>
    <row r="71" spans="1:12">
      <c r="A71" t="s">
        <v>328</v>
      </c>
      <c r="B71" s="7">
        <v>176</v>
      </c>
      <c r="C71" s="7">
        <v>0</v>
      </c>
      <c r="D71" s="7">
        <f t="shared" si="18"/>
        <v>176</v>
      </c>
      <c r="E71" s="7">
        <f t="shared" si="19"/>
        <v>0</v>
      </c>
      <c r="I71" s="11">
        <f t="shared" si="20"/>
        <v>0</v>
      </c>
      <c r="J71" s="18">
        <f t="shared" si="21"/>
        <v>0</v>
      </c>
      <c r="K71" t="str">
        <f t="shared" si="22"/>
        <v>Yes</v>
      </c>
      <c r="L71" s="45" t="str">
        <f t="shared" si="23"/>
        <v xml:space="preserve"> </v>
      </c>
    </row>
    <row r="72" spans="1:12">
      <c r="A72" t="s">
        <v>218</v>
      </c>
      <c r="B72" s="7">
        <v>51739391</v>
      </c>
      <c r="C72" s="7">
        <v>0</v>
      </c>
      <c r="D72" s="7">
        <f t="shared" si="18"/>
        <v>51739391</v>
      </c>
      <c r="E72" s="7">
        <f t="shared" si="19"/>
        <v>0</v>
      </c>
      <c r="F72" s="7">
        <v>-47329971</v>
      </c>
      <c r="I72" s="11">
        <f t="shared" si="20"/>
        <v>4409420</v>
      </c>
      <c r="J72" s="18">
        <f t="shared" si="21"/>
        <v>4.954923952352583E-3</v>
      </c>
      <c r="K72" t="str">
        <f t="shared" si="22"/>
        <v>Yes</v>
      </c>
      <c r="L72" s="45" t="str">
        <f t="shared" si="23"/>
        <v>Excludes insurance claim payouts (529721)</v>
      </c>
    </row>
    <row r="73" spans="1:12">
      <c r="A73" t="s">
        <v>219</v>
      </c>
      <c r="B73" s="7">
        <v>16577767</v>
      </c>
      <c r="C73" s="7">
        <v>10369156</v>
      </c>
      <c r="D73" s="7">
        <f t="shared" si="18"/>
        <v>26946923</v>
      </c>
      <c r="E73" s="7">
        <f t="shared" si="19"/>
        <v>-5184578</v>
      </c>
      <c r="I73" s="11">
        <f t="shared" si="20"/>
        <v>21762345</v>
      </c>
      <c r="J73" s="18">
        <f t="shared" si="21"/>
        <v>2.4454636777594439E-2</v>
      </c>
      <c r="K73" t="str">
        <f t="shared" si="22"/>
        <v>Yes</v>
      </c>
      <c r="L73" s="45" t="str">
        <f t="shared" si="23"/>
        <v xml:space="preserve"> </v>
      </c>
    </row>
    <row r="74" spans="1:12">
      <c r="A74" t="s">
        <v>220</v>
      </c>
      <c r="B74" s="7">
        <v>17448849</v>
      </c>
      <c r="C74" s="7">
        <v>6721780</v>
      </c>
      <c r="D74" s="7">
        <f t="shared" si="18"/>
        <v>24170629</v>
      </c>
      <c r="E74" s="7">
        <f t="shared" si="19"/>
        <v>-3360890</v>
      </c>
      <c r="I74" s="11">
        <f t="shared" si="20"/>
        <v>20809739</v>
      </c>
      <c r="J74" s="18">
        <f t="shared" si="21"/>
        <v>2.3384180734270198E-2</v>
      </c>
      <c r="K74" t="str">
        <f t="shared" si="22"/>
        <v>Yes</v>
      </c>
      <c r="L74" s="45" t="str">
        <f t="shared" si="23"/>
        <v xml:space="preserve"> </v>
      </c>
    </row>
    <row r="75" spans="1:12">
      <c r="A75" t="s">
        <v>221</v>
      </c>
      <c r="B75" s="7">
        <v>5514265</v>
      </c>
      <c r="C75" s="7">
        <v>0</v>
      </c>
      <c r="D75" s="7">
        <f t="shared" si="18"/>
        <v>5514265</v>
      </c>
      <c r="E75" s="7">
        <f t="shared" si="19"/>
        <v>0</v>
      </c>
      <c r="I75" s="11">
        <f t="shared" si="20"/>
        <v>5514265</v>
      </c>
      <c r="J75" s="18">
        <f t="shared" si="21"/>
        <v>6.196452986587696E-3</v>
      </c>
      <c r="K75" t="str">
        <f t="shared" si="22"/>
        <v>Yes</v>
      </c>
      <c r="L75" s="45" t="str">
        <f t="shared" si="23"/>
        <v xml:space="preserve"> </v>
      </c>
    </row>
    <row r="76" spans="1:12">
      <c r="A76" t="s">
        <v>222</v>
      </c>
      <c r="B76" s="7">
        <v>6440520</v>
      </c>
      <c r="C76" s="7">
        <v>0</v>
      </c>
      <c r="D76" s="7">
        <f t="shared" si="18"/>
        <v>6440520</v>
      </c>
      <c r="E76" s="7">
        <f t="shared" si="19"/>
        <v>0</v>
      </c>
      <c r="I76" s="11">
        <f t="shared" si="20"/>
        <v>6440520</v>
      </c>
      <c r="J76" s="18">
        <f t="shared" si="21"/>
        <v>7.2372980604265089E-3</v>
      </c>
      <c r="K76" t="str">
        <f t="shared" si="22"/>
        <v>Yes</v>
      </c>
      <c r="L76" s="45" t="str">
        <f t="shared" si="23"/>
        <v xml:space="preserve"> </v>
      </c>
    </row>
    <row r="77" spans="1:12">
      <c r="A77" t="s">
        <v>223</v>
      </c>
      <c r="B77" s="7">
        <v>3495174</v>
      </c>
      <c r="C77" s="7">
        <v>0</v>
      </c>
      <c r="D77" s="7">
        <f t="shared" si="18"/>
        <v>3495174</v>
      </c>
      <c r="E77" s="7">
        <f t="shared" si="19"/>
        <v>0</v>
      </c>
      <c r="I77" s="11">
        <f t="shared" si="20"/>
        <v>3495174</v>
      </c>
      <c r="J77" s="18">
        <f t="shared" si="21"/>
        <v>3.9275735516779951E-3</v>
      </c>
      <c r="K77" t="str">
        <f t="shared" si="22"/>
        <v>Yes</v>
      </c>
      <c r="L77" s="45" t="str">
        <f t="shared" si="23"/>
        <v xml:space="preserve"> </v>
      </c>
    </row>
    <row r="78" spans="1:12">
      <c r="A78" t="s">
        <v>224</v>
      </c>
      <c r="B78" s="7">
        <v>37086992</v>
      </c>
      <c r="C78" s="7">
        <v>3766191</v>
      </c>
      <c r="D78" s="7">
        <f t="shared" si="18"/>
        <v>40853183</v>
      </c>
      <c r="E78" s="7">
        <f t="shared" si="19"/>
        <v>-1883095.5</v>
      </c>
      <c r="I78" s="11">
        <f t="shared" si="20"/>
        <v>38970087.5</v>
      </c>
      <c r="J78" s="18">
        <f t="shared" si="21"/>
        <v>4.37912060949118E-2</v>
      </c>
      <c r="K78" t="str">
        <f t="shared" si="22"/>
        <v>Yes</v>
      </c>
      <c r="L78" s="45" t="str">
        <f t="shared" si="23"/>
        <v xml:space="preserve"> </v>
      </c>
    </row>
    <row r="79" spans="1:12">
      <c r="A79" t="s">
        <v>225</v>
      </c>
      <c r="B79" s="7">
        <v>3733235</v>
      </c>
      <c r="C79" s="7">
        <v>-20578</v>
      </c>
      <c r="D79" s="7">
        <f t="shared" si="18"/>
        <v>3712657</v>
      </c>
      <c r="E79" s="7">
        <f t="shared" si="19"/>
        <v>10289</v>
      </c>
      <c r="I79" s="11">
        <f t="shared" si="20"/>
        <v>3722946</v>
      </c>
      <c r="J79" s="18">
        <f t="shared" si="21"/>
        <v>4.1835239801867909E-3</v>
      </c>
      <c r="K79" t="str">
        <f t="shared" si="22"/>
        <v>Yes</v>
      </c>
      <c r="L79" s="45" t="str">
        <f t="shared" si="23"/>
        <v xml:space="preserve"> </v>
      </c>
    </row>
    <row r="80" spans="1:12">
      <c r="A80" t="s">
        <v>226</v>
      </c>
      <c r="B80" s="7">
        <v>103984681</v>
      </c>
      <c r="C80" s="7">
        <v>138934</v>
      </c>
      <c r="D80" s="7">
        <f t="shared" si="18"/>
        <v>104123615</v>
      </c>
      <c r="E80" s="7">
        <f t="shared" si="19"/>
        <v>-69467</v>
      </c>
      <c r="F80" s="7">
        <f>-94708985-6834669</f>
        <v>-101543654</v>
      </c>
      <c r="I80" s="11">
        <f t="shared" si="20"/>
        <v>2510494</v>
      </c>
      <c r="J80" s="18">
        <f t="shared" si="21"/>
        <v>2.8210755275835473E-3</v>
      </c>
      <c r="K80" t="str">
        <f t="shared" si="22"/>
        <v>Yes</v>
      </c>
      <c r="L80" s="45" t="str">
        <f t="shared" si="23"/>
        <v>Excludes retirement payouts, PERS contributions, and disability/death benefits (547000, 547100)</v>
      </c>
    </row>
    <row r="81" spans="1:12">
      <c r="A81" t="s">
        <v>227</v>
      </c>
      <c r="B81" s="7">
        <v>8109</v>
      </c>
      <c r="C81" s="7">
        <v>0</v>
      </c>
      <c r="D81" s="7">
        <f t="shared" si="18"/>
        <v>8109</v>
      </c>
      <c r="E81" s="7">
        <f t="shared" si="19"/>
        <v>0</v>
      </c>
      <c r="I81" s="11">
        <f t="shared" si="20"/>
        <v>0</v>
      </c>
      <c r="J81" s="18">
        <f t="shared" si="21"/>
        <v>0</v>
      </c>
      <c r="K81" t="str">
        <f t="shared" si="22"/>
        <v>Yes</v>
      </c>
      <c r="L81" s="45" t="str">
        <f t="shared" si="23"/>
        <v xml:space="preserve"> </v>
      </c>
    </row>
    <row r="82" spans="1:12">
      <c r="J82" s="12">
        <f>SUM(J2:J81)</f>
        <v>1.0000000000000002</v>
      </c>
    </row>
  </sheetData>
  <sortState ref="A2:I80">
    <sortCondition ref="A2"/>
  </sortState>
  <pageMargins left="0.75" right="0.75" top="1" bottom="1" header="0.5" footer="0.5"/>
  <legacyDrawing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H42"/>
  <sheetViews>
    <sheetView workbookViewId="0">
      <selection activeCell="D16" sqref="D16"/>
    </sheetView>
  </sheetViews>
  <sheetFormatPr defaultRowHeight="14.4"/>
  <cols>
    <col min="1" max="1" width="13.33203125" style="21" bestFit="1" customWidth="1"/>
    <col min="2" max="2" width="12.77734375" style="21" bestFit="1" customWidth="1"/>
    <col min="3" max="3" width="12.77734375" style="21" customWidth="1"/>
    <col min="4" max="5" width="12.88671875" customWidth="1"/>
    <col min="6" max="6" width="9" style="21" bestFit="1" customWidth="1"/>
    <col min="7" max="7" width="8.88671875" style="21"/>
    <col min="8" max="8" width="60.21875" style="21" bestFit="1" customWidth="1"/>
    <col min="9" max="16384" width="8.88671875" style="21"/>
  </cols>
  <sheetData>
    <row r="1" spans="1:8" ht="43.2">
      <c r="A1" s="23" t="s">
        <v>228</v>
      </c>
      <c r="B1" s="30" t="s">
        <v>390</v>
      </c>
      <c r="C1" s="30" t="s">
        <v>448</v>
      </c>
      <c r="D1" s="30" t="s">
        <v>446</v>
      </c>
      <c r="E1" s="30" t="s">
        <v>391</v>
      </c>
      <c r="F1" s="24" t="s">
        <v>343</v>
      </c>
      <c r="G1" s="6" t="s">
        <v>341</v>
      </c>
      <c r="H1" s="6" t="s">
        <v>346</v>
      </c>
    </row>
    <row r="2" spans="1:8">
      <c r="A2" s="77" t="s">
        <v>163</v>
      </c>
      <c r="B2" s="78">
        <v>64</v>
      </c>
      <c r="C2" s="81">
        <v>-1</v>
      </c>
      <c r="D2" s="31">
        <v>-63</v>
      </c>
      <c r="E2">
        <f t="shared" ref="E2:E41" si="0">IF((VLOOKUP(A2,Crosswalk,2,FALSE)="Excluded"),0,(SUM(B2+C2+D2)))</f>
        <v>0</v>
      </c>
      <c r="F2" s="25">
        <f>E2/SUM($E$2:$E$41)</f>
        <v>0</v>
      </c>
      <c r="G2" t="str">
        <f t="shared" ref="G2:G40" si="1">IF(VLOOKUP(A2,Model,2,FALSE)&lt;&gt;"","Yes","No")</f>
        <v>Yes</v>
      </c>
      <c r="H2" s="45" t="str">
        <f t="shared" ref="H2:H40" si="2">IF((VLOOKUP(A2,Crosswalk,3,FALSE))=0," ",(VLOOKUP(A2,Crosswalk,3,FALSE)))</f>
        <v>100% Overhead</v>
      </c>
    </row>
    <row r="3" spans="1:8">
      <c r="A3" s="77" t="s">
        <v>164</v>
      </c>
      <c r="B3" s="78">
        <v>61</v>
      </c>
      <c r="C3" s="81">
        <v>-4</v>
      </c>
      <c r="D3" s="31">
        <v>-57</v>
      </c>
      <c r="E3" s="45">
        <f t="shared" si="0"/>
        <v>0</v>
      </c>
      <c r="F3" s="25">
        <f t="shared" ref="F3:F41" si="3">E3/SUM($E$2:$E$41)</f>
        <v>0</v>
      </c>
      <c r="G3" t="str">
        <f t="shared" si="1"/>
        <v>Yes</v>
      </c>
      <c r="H3" s="45" t="str">
        <f t="shared" si="2"/>
        <v>100% Overhead</v>
      </c>
    </row>
    <row r="4" spans="1:8">
      <c r="A4" s="77" t="s">
        <v>158</v>
      </c>
      <c r="B4" s="78">
        <v>9</v>
      </c>
      <c r="C4" s="81"/>
      <c r="D4" s="31"/>
      <c r="E4" s="45">
        <f t="shared" si="0"/>
        <v>9</v>
      </c>
      <c r="F4" s="25">
        <f t="shared" si="3"/>
        <v>1.0948239158202057E-3</v>
      </c>
      <c r="G4" t="str">
        <f t="shared" si="1"/>
        <v>Yes</v>
      </c>
      <c r="H4" s="45" t="str">
        <f t="shared" si="2"/>
        <v xml:space="preserve"> </v>
      </c>
    </row>
    <row r="5" spans="1:8">
      <c r="A5" s="77" t="s">
        <v>166</v>
      </c>
      <c r="B5" s="78">
        <v>21</v>
      </c>
      <c r="C5" s="81">
        <v>-2</v>
      </c>
      <c r="D5" s="31">
        <v>-19</v>
      </c>
      <c r="E5" s="45">
        <f t="shared" si="0"/>
        <v>0</v>
      </c>
      <c r="F5" s="25">
        <f t="shared" si="3"/>
        <v>0</v>
      </c>
      <c r="G5" t="str">
        <f t="shared" si="1"/>
        <v>Yes</v>
      </c>
      <c r="H5" s="45" t="str">
        <f t="shared" si="2"/>
        <v>100% Overhead</v>
      </c>
    </row>
    <row r="6" spans="1:8">
      <c r="A6" s="77" t="s">
        <v>167</v>
      </c>
      <c r="B6" s="78">
        <v>801</v>
      </c>
      <c r="C6" s="81">
        <v>-17</v>
      </c>
      <c r="D6" s="31">
        <v>-1</v>
      </c>
      <c r="E6" s="45">
        <f t="shared" si="0"/>
        <v>783</v>
      </c>
      <c r="F6" s="25">
        <f t="shared" si="3"/>
        <v>9.524968067635789E-2</v>
      </c>
      <c r="G6" t="str">
        <f t="shared" si="1"/>
        <v>Yes</v>
      </c>
      <c r="H6" s="45" t="str">
        <f t="shared" si="2"/>
        <v>Exclude expenditures for emergency mgmt (FREO000004 Fund Center)</v>
      </c>
    </row>
    <row r="7" spans="1:8">
      <c r="A7" s="77" t="s">
        <v>159</v>
      </c>
      <c r="B7" s="78">
        <v>9</v>
      </c>
      <c r="C7" s="81"/>
      <c r="D7" s="31">
        <v>-9</v>
      </c>
      <c r="E7" s="45">
        <f t="shared" si="0"/>
        <v>0</v>
      </c>
      <c r="F7" s="25">
        <f t="shared" si="3"/>
        <v>0</v>
      </c>
      <c r="G7" t="str">
        <f t="shared" si="1"/>
        <v>Yes</v>
      </c>
      <c r="H7" s="45" t="str">
        <f t="shared" si="2"/>
        <v>100% Overhead</v>
      </c>
    </row>
    <row r="8" spans="1:8">
      <c r="A8" s="77" t="s">
        <v>168</v>
      </c>
      <c r="B8" s="78">
        <v>63</v>
      </c>
      <c r="C8" s="81">
        <v>-2</v>
      </c>
      <c r="D8" s="31"/>
      <c r="E8" s="45">
        <f t="shared" si="0"/>
        <v>61</v>
      </c>
      <c r="F8" s="25">
        <f t="shared" si="3"/>
        <v>7.4204732072258375E-3</v>
      </c>
      <c r="G8" t="str">
        <f t="shared" si="1"/>
        <v>Yes</v>
      </c>
      <c r="H8" s="45" t="str">
        <f t="shared" si="2"/>
        <v xml:space="preserve"> </v>
      </c>
    </row>
    <row r="9" spans="1:8">
      <c r="A9" s="77" t="s">
        <v>161</v>
      </c>
      <c r="B9" s="78">
        <v>303</v>
      </c>
      <c r="C9" s="81">
        <v>-16</v>
      </c>
      <c r="D9" s="32">
        <f>-226+12</f>
        <v>-214</v>
      </c>
      <c r="E9" s="45">
        <f t="shared" si="0"/>
        <v>73</v>
      </c>
      <c r="F9" s="25">
        <f t="shared" si="3"/>
        <v>8.8802384283194445E-3</v>
      </c>
      <c r="G9" t="str">
        <f t="shared" si="1"/>
        <v>Yes</v>
      </c>
      <c r="H9" s="45" t="str">
        <f t="shared" si="2"/>
        <v>Exclude MFHR, MFDR, MFIB</v>
      </c>
    </row>
    <row r="10" spans="1:8">
      <c r="A10" s="77" t="s">
        <v>165</v>
      </c>
      <c r="B10" s="78">
        <v>29</v>
      </c>
      <c r="C10" s="81">
        <v>-1</v>
      </c>
      <c r="D10" s="32">
        <f>-27+1</f>
        <v>-26</v>
      </c>
      <c r="E10" s="45">
        <f t="shared" si="0"/>
        <v>2</v>
      </c>
      <c r="F10" s="25">
        <f t="shared" si="3"/>
        <v>2.4329420351560123E-4</v>
      </c>
      <c r="G10" t="str">
        <f t="shared" si="1"/>
        <v>Yes</v>
      </c>
      <c r="H10" s="45" t="str">
        <f t="shared" si="2"/>
        <v>Exclude expenditures for Admin &amp; Support (LAMYAS Functional Area)</v>
      </c>
    </row>
    <row r="11" spans="1:8">
      <c r="A11" s="77" t="s">
        <v>162</v>
      </c>
      <c r="B11" s="78">
        <v>53</v>
      </c>
      <c r="C11" s="81">
        <v>-5</v>
      </c>
      <c r="D11" s="32">
        <v>-6</v>
      </c>
      <c r="E11" s="45">
        <f t="shared" si="0"/>
        <v>42</v>
      </c>
      <c r="F11" s="25">
        <f t="shared" si="3"/>
        <v>5.1091782738276262E-3</v>
      </c>
      <c r="G11" t="str">
        <f t="shared" si="1"/>
        <v>Yes</v>
      </c>
      <c r="H11" s="45" t="str">
        <f t="shared" si="2"/>
        <v>Exclude expenditures for Information &amp; Referral and Public Involvement best practices (CDIR, CDNRNOPI)</v>
      </c>
    </row>
    <row r="12" spans="1:8">
      <c r="A12" s="77" t="s">
        <v>318</v>
      </c>
      <c r="B12" s="78">
        <v>6</v>
      </c>
      <c r="C12" s="81"/>
      <c r="D12" s="31"/>
      <c r="E12" s="45">
        <f t="shared" si="0"/>
        <v>6</v>
      </c>
      <c r="F12" s="25">
        <f t="shared" si="3"/>
        <v>7.2988261054680371E-4</v>
      </c>
      <c r="G12" t="str">
        <f t="shared" si="1"/>
        <v>Yes</v>
      </c>
      <c r="H12" s="45" t="str">
        <f t="shared" si="2"/>
        <v>Rollback in 09-10 &amp; 10-11. Exclude expenditures for Citywide Comm, Training, Tech Support and % admin (CDCEEC, TE, TS &amp; portion CDAS (68%))</v>
      </c>
    </row>
    <row r="13" spans="1:8">
      <c r="A13" s="77" t="s">
        <v>154</v>
      </c>
      <c r="B13" s="78">
        <v>14</v>
      </c>
      <c r="C13" s="81"/>
      <c r="D13" s="31">
        <v>-12</v>
      </c>
      <c r="E13" s="45">
        <f t="shared" si="0"/>
        <v>2</v>
      </c>
      <c r="F13" s="25">
        <f t="shared" si="3"/>
        <v>2.4329420351560123E-4</v>
      </c>
      <c r="G13" t="str">
        <f t="shared" si="1"/>
        <v>Yes</v>
      </c>
      <c r="H13" s="45" t="str">
        <f t="shared" si="2"/>
        <v>Exclude Commissioner's Office (PACO000001)</v>
      </c>
    </row>
    <row r="14" spans="1:8">
      <c r="A14" s="77" t="s">
        <v>169</v>
      </c>
      <c r="B14" s="78">
        <v>4994</v>
      </c>
      <c r="C14" s="81">
        <v>-2023</v>
      </c>
      <c r="D14" s="32"/>
      <c r="E14" s="45">
        <f t="shared" si="0"/>
        <v>2971</v>
      </c>
      <c r="F14" s="25">
        <f t="shared" si="3"/>
        <v>0.36141353932242565</v>
      </c>
      <c r="G14" t="str">
        <f t="shared" si="1"/>
        <v>Yes</v>
      </c>
      <c r="H14" s="45" t="str">
        <f t="shared" si="2"/>
        <v xml:space="preserve"> </v>
      </c>
    </row>
    <row r="15" spans="1:8">
      <c r="A15" s="77" t="s">
        <v>170</v>
      </c>
      <c r="B15" s="78">
        <v>1250</v>
      </c>
      <c r="C15" s="81">
        <v>-4</v>
      </c>
      <c r="D15" s="31"/>
      <c r="E15" s="45">
        <f t="shared" si="0"/>
        <v>1246</v>
      </c>
      <c r="F15" s="25">
        <f t="shared" si="3"/>
        <v>0.15157228879021958</v>
      </c>
      <c r="G15" t="str">
        <f t="shared" si="1"/>
        <v>Yes</v>
      </c>
      <c r="H15" s="45" t="str">
        <f t="shared" si="2"/>
        <v xml:space="preserve"> </v>
      </c>
    </row>
    <row r="16" spans="1:8">
      <c r="A16" s="77" t="s">
        <v>153</v>
      </c>
      <c r="B16" s="78">
        <v>124</v>
      </c>
      <c r="C16" s="81">
        <v>-14</v>
      </c>
      <c r="D16" s="32">
        <f>(23*-0.5)-9+3</f>
        <v>-17.5</v>
      </c>
      <c r="E16" s="45">
        <f t="shared" si="0"/>
        <v>92.5</v>
      </c>
      <c r="F16" s="25">
        <f t="shared" si="3"/>
        <v>1.1252356912596557E-2</v>
      </c>
      <c r="G16" t="str">
        <f t="shared" si="1"/>
        <v>Yes</v>
      </c>
      <c r="H16" s="45" t="str">
        <f t="shared" si="2"/>
        <v>Exclude expenditures for Comp Planning &amp; 1/2 of district liaisons (CDAPDI, CDCP00)</v>
      </c>
    </row>
    <row r="17" spans="1:8">
      <c r="A17" s="77" t="s">
        <v>155</v>
      </c>
      <c r="B17" s="78">
        <v>7</v>
      </c>
      <c r="C17" s="81">
        <v>-1</v>
      </c>
      <c r="D17" s="31">
        <v>-6</v>
      </c>
      <c r="E17" s="45">
        <f t="shared" si="0"/>
        <v>0</v>
      </c>
      <c r="F17" s="25">
        <f t="shared" si="3"/>
        <v>0</v>
      </c>
      <c r="G17" t="str">
        <f t="shared" si="1"/>
        <v>Yes</v>
      </c>
      <c r="H17" s="45" t="str">
        <f t="shared" si="2"/>
        <v>100% Overhead</v>
      </c>
    </row>
    <row r="18" spans="1:8">
      <c r="A18" s="77" t="s">
        <v>156</v>
      </c>
      <c r="B18" s="78">
        <v>9</v>
      </c>
      <c r="C18" s="81"/>
      <c r="D18" s="31">
        <v>-9</v>
      </c>
      <c r="E18" s="45">
        <f t="shared" si="0"/>
        <v>0</v>
      </c>
      <c r="F18" s="25">
        <f t="shared" si="3"/>
        <v>0</v>
      </c>
      <c r="G18" t="str">
        <f t="shared" si="1"/>
        <v>Yes</v>
      </c>
      <c r="H18" s="45" t="str">
        <f t="shared" si="2"/>
        <v>100% Overhead</v>
      </c>
    </row>
    <row r="19" spans="1:8">
      <c r="A19" s="77" t="s">
        <v>157</v>
      </c>
      <c r="B19" s="78">
        <v>12</v>
      </c>
      <c r="C19" s="81"/>
      <c r="D19" s="31">
        <v>-12</v>
      </c>
      <c r="E19" s="45">
        <f t="shared" si="0"/>
        <v>0</v>
      </c>
      <c r="F19" s="25">
        <f t="shared" si="3"/>
        <v>0</v>
      </c>
      <c r="G19" t="str">
        <f t="shared" si="1"/>
        <v>Yes</v>
      </c>
      <c r="H19" s="45" t="str">
        <f t="shared" si="2"/>
        <v>100% Overhead</v>
      </c>
    </row>
    <row r="20" spans="1:8">
      <c r="A20" s="77" t="s">
        <v>172</v>
      </c>
      <c r="B20" s="78">
        <v>796</v>
      </c>
      <c r="C20" s="81">
        <v>-16</v>
      </c>
      <c r="D20" s="31"/>
      <c r="E20" s="45">
        <f t="shared" si="0"/>
        <v>780</v>
      </c>
      <c r="F20" s="25">
        <f t="shared" si="3"/>
        <v>9.4884739371084478E-2</v>
      </c>
      <c r="G20" t="str">
        <f t="shared" si="1"/>
        <v>Yes</v>
      </c>
      <c r="H20" s="45" t="str">
        <f t="shared" si="2"/>
        <v xml:space="preserve"> </v>
      </c>
    </row>
    <row r="21" spans="1:8">
      <c r="A21" s="77" t="s">
        <v>173</v>
      </c>
      <c r="B21" s="78">
        <v>149</v>
      </c>
      <c r="C21" s="81">
        <v>-3</v>
      </c>
      <c r="D21" s="31"/>
      <c r="E21" s="45">
        <f t="shared" si="0"/>
        <v>146</v>
      </c>
      <c r="F21" s="25">
        <f t="shared" si="3"/>
        <v>1.7760476856638889E-2</v>
      </c>
      <c r="G21" t="str">
        <f t="shared" si="1"/>
        <v>Yes</v>
      </c>
      <c r="H21" s="45" t="str">
        <f t="shared" si="2"/>
        <v xml:space="preserve"> </v>
      </c>
    </row>
    <row r="22" spans="1:8">
      <c r="A22" s="77" t="s">
        <v>175</v>
      </c>
      <c r="B22" s="78">
        <v>187</v>
      </c>
      <c r="C22" s="81"/>
      <c r="D22" s="31"/>
      <c r="E22" s="45">
        <f t="shared" si="0"/>
        <v>187</v>
      </c>
      <c r="F22" s="25">
        <f t="shared" si="3"/>
        <v>2.2748008028708716E-2</v>
      </c>
      <c r="G22" t="str">
        <f t="shared" si="1"/>
        <v>Yes</v>
      </c>
      <c r="H22" s="45" t="str">
        <f t="shared" si="2"/>
        <v xml:space="preserve"> </v>
      </c>
    </row>
    <row r="23" spans="1:8">
      <c r="A23" s="77" t="s">
        <v>183</v>
      </c>
      <c r="B23" s="78">
        <v>5</v>
      </c>
      <c r="C23" s="81"/>
      <c r="D23" s="31">
        <v>-5</v>
      </c>
      <c r="E23" s="45">
        <f t="shared" si="0"/>
        <v>0</v>
      </c>
      <c r="F23" s="25">
        <f t="shared" si="3"/>
        <v>0</v>
      </c>
      <c r="G23" t="str">
        <f t="shared" si="1"/>
        <v>Yes</v>
      </c>
      <c r="H23" s="45" t="str">
        <f t="shared" si="2"/>
        <v>Fixed at $25,000 (hardcoded in Model)</v>
      </c>
    </row>
    <row r="24" spans="1:8">
      <c r="A24" s="77" t="s">
        <v>199</v>
      </c>
      <c r="B24" s="78">
        <v>2</v>
      </c>
      <c r="C24" s="81">
        <v>-2</v>
      </c>
      <c r="D24" s="31"/>
      <c r="E24" s="45">
        <f t="shared" si="0"/>
        <v>0</v>
      </c>
      <c r="F24" s="25">
        <f t="shared" si="3"/>
        <v>0</v>
      </c>
      <c r="G24" t="str">
        <f t="shared" si="1"/>
        <v>Yes</v>
      </c>
      <c r="H24" s="45" t="str">
        <f t="shared" si="2"/>
        <v xml:space="preserve"> </v>
      </c>
    </row>
    <row r="25" spans="1:8">
      <c r="A25" s="77" t="s">
        <v>207</v>
      </c>
      <c r="B25" s="78">
        <v>16</v>
      </c>
      <c r="C25" s="81">
        <v>-1</v>
      </c>
      <c r="D25" s="31"/>
      <c r="E25" s="45">
        <f t="shared" si="0"/>
        <v>15</v>
      </c>
      <c r="F25" s="25">
        <f t="shared" si="3"/>
        <v>1.8247065263670094E-3</v>
      </c>
      <c r="G25" t="str">
        <f t="shared" si="1"/>
        <v>Yes</v>
      </c>
      <c r="H25" s="45" t="str">
        <f t="shared" si="2"/>
        <v xml:space="preserve"> </v>
      </c>
    </row>
    <row r="26" spans="1:8">
      <c r="A26" s="77" t="s">
        <v>209</v>
      </c>
      <c r="B26" s="78">
        <v>630</v>
      </c>
      <c r="C26" s="81">
        <v>-59</v>
      </c>
      <c r="D26" s="31"/>
      <c r="E26" s="45">
        <f t="shared" si="0"/>
        <v>571</v>
      </c>
      <c r="F26" s="25">
        <f t="shared" si="3"/>
        <v>6.9460495103704153E-2</v>
      </c>
      <c r="G26" t="str">
        <f t="shared" si="1"/>
        <v>Yes</v>
      </c>
      <c r="H26" s="45" t="str">
        <f t="shared" si="2"/>
        <v xml:space="preserve"> </v>
      </c>
    </row>
    <row r="27" spans="1:8">
      <c r="A27" s="77" t="s">
        <v>210</v>
      </c>
      <c r="B27" s="78">
        <v>3</v>
      </c>
      <c r="C27" s="81"/>
      <c r="D27" s="31"/>
      <c r="E27" s="45">
        <f t="shared" si="0"/>
        <v>3</v>
      </c>
      <c r="F27" s="25">
        <f t="shared" si="3"/>
        <v>3.6494130527340185E-4</v>
      </c>
      <c r="G27" t="str">
        <f t="shared" si="1"/>
        <v>Yes</v>
      </c>
      <c r="H27" s="45" t="str">
        <f t="shared" si="2"/>
        <v xml:space="preserve"> </v>
      </c>
    </row>
    <row r="28" spans="1:8">
      <c r="A28" s="77" t="s">
        <v>211</v>
      </c>
      <c r="B28" s="78">
        <v>674</v>
      </c>
      <c r="C28" s="81">
        <v>-28</v>
      </c>
      <c r="D28" s="31"/>
      <c r="E28" s="45">
        <f t="shared" si="0"/>
        <v>646</v>
      </c>
      <c r="F28" s="25">
        <f t="shared" si="3"/>
        <v>7.85840277355392E-2</v>
      </c>
      <c r="G28" t="str">
        <f t="shared" si="1"/>
        <v>Yes</v>
      </c>
      <c r="H28" s="45" t="str">
        <f t="shared" si="2"/>
        <v xml:space="preserve"> </v>
      </c>
    </row>
    <row r="29" spans="1:8">
      <c r="A29" s="77" t="s">
        <v>212</v>
      </c>
      <c r="B29" s="78">
        <v>97</v>
      </c>
      <c r="C29" s="81">
        <v>-53</v>
      </c>
      <c r="D29" s="31"/>
      <c r="E29" s="45">
        <f t="shared" si="0"/>
        <v>44</v>
      </c>
      <c r="F29" s="25">
        <f t="shared" si="3"/>
        <v>5.3524724773432271E-3</v>
      </c>
      <c r="G29" t="str">
        <f t="shared" si="1"/>
        <v>Yes</v>
      </c>
      <c r="H29" s="45" t="str">
        <f t="shared" si="2"/>
        <v xml:space="preserve"> </v>
      </c>
    </row>
    <row r="30" spans="1:8">
      <c r="A30" s="77" t="s">
        <v>213</v>
      </c>
      <c r="B30" s="78">
        <v>90</v>
      </c>
      <c r="C30" s="81">
        <v>-25</v>
      </c>
      <c r="D30" s="31"/>
      <c r="E30" s="45">
        <f t="shared" si="0"/>
        <v>65</v>
      </c>
      <c r="F30" s="25">
        <f t="shared" si="3"/>
        <v>7.907061614257041E-3</v>
      </c>
      <c r="G30" t="str">
        <f t="shared" si="1"/>
        <v>Yes</v>
      </c>
      <c r="H30" s="45" t="str">
        <f t="shared" si="2"/>
        <v xml:space="preserve"> </v>
      </c>
    </row>
    <row r="31" spans="1:8">
      <c r="A31" s="77" t="s">
        <v>214</v>
      </c>
      <c r="B31" s="78">
        <v>35</v>
      </c>
      <c r="C31" s="81">
        <v>-3</v>
      </c>
      <c r="D31" s="31"/>
      <c r="E31" s="45">
        <f t="shared" si="0"/>
        <v>32</v>
      </c>
      <c r="F31" s="25">
        <f t="shared" si="3"/>
        <v>3.8927072562496196E-3</v>
      </c>
      <c r="G31" t="str">
        <f t="shared" si="1"/>
        <v>Yes</v>
      </c>
      <c r="H31" s="45" t="str">
        <f t="shared" si="2"/>
        <v xml:space="preserve"> </v>
      </c>
    </row>
    <row r="32" spans="1:8">
      <c r="A32" s="77" t="s">
        <v>217</v>
      </c>
      <c r="B32" s="78">
        <v>5</v>
      </c>
      <c r="C32" s="81"/>
      <c r="D32" s="31"/>
      <c r="E32" s="45">
        <f t="shared" si="0"/>
        <v>5</v>
      </c>
      <c r="F32" s="25">
        <f t="shared" si="3"/>
        <v>6.0823550878900305E-4</v>
      </c>
      <c r="G32" t="str">
        <f t="shared" si="1"/>
        <v>Yes</v>
      </c>
      <c r="H32" s="45" t="str">
        <f t="shared" si="2"/>
        <v xml:space="preserve"> </v>
      </c>
    </row>
    <row r="33" spans="1:8">
      <c r="A33" s="77" t="s">
        <v>218</v>
      </c>
      <c r="B33" s="78">
        <v>12</v>
      </c>
      <c r="C33" s="81">
        <v>-1</v>
      </c>
      <c r="D33" s="31"/>
      <c r="E33" s="45">
        <f t="shared" si="0"/>
        <v>11</v>
      </c>
      <c r="F33" s="25">
        <f t="shared" si="3"/>
        <v>1.3381181193358068E-3</v>
      </c>
      <c r="G33" t="str">
        <f t="shared" si="1"/>
        <v>Yes</v>
      </c>
      <c r="H33" s="45" t="str">
        <f t="shared" si="2"/>
        <v>Excludes insurance claim payouts (529721)</v>
      </c>
    </row>
    <row r="34" spans="1:8">
      <c r="A34" s="77" t="s">
        <v>219</v>
      </c>
      <c r="B34" s="78">
        <v>37</v>
      </c>
      <c r="C34" s="81"/>
      <c r="D34" s="31"/>
      <c r="E34" s="45">
        <f t="shared" si="0"/>
        <v>37</v>
      </c>
      <c r="F34" s="25">
        <f t="shared" si="3"/>
        <v>4.5009427650386227E-3</v>
      </c>
      <c r="G34" t="str">
        <f t="shared" si="1"/>
        <v>Yes</v>
      </c>
      <c r="H34" s="45" t="str">
        <f t="shared" si="2"/>
        <v xml:space="preserve"> </v>
      </c>
    </row>
    <row r="35" spans="1:8">
      <c r="A35" s="77" t="s">
        <v>220</v>
      </c>
      <c r="B35" s="78">
        <v>78</v>
      </c>
      <c r="C35" s="81">
        <v>-1</v>
      </c>
      <c r="D35" s="31"/>
      <c r="E35" s="45">
        <f t="shared" si="0"/>
        <v>77</v>
      </c>
      <c r="F35" s="25">
        <f t="shared" si="3"/>
        <v>9.366826835350648E-3</v>
      </c>
      <c r="G35" t="str">
        <f t="shared" si="1"/>
        <v>Yes</v>
      </c>
      <c r="H35" s="45" t="str">
        <f t="shared" si="2"/>
        <v xml:space="preserve"> </v>
      </c>
    </row>
    <row r="36" spans="1:8">
      <c r="A36" s="77" t="s">
        <v>221</v>
      </c>
      <c r="B36" s="78">
        <v>28</v>
      </c>
      <c r="C36" s="81">
        <v>-2</v>
      </c>
      <c r="D36" s="31"/>
      <c r="E36" s="45">
        <f t="shared" si="0"/>
        <v>26</v>
      </c>
      <c r="F36" s="25">
        <f t="shared" si="3"/>
        <v>3.1628246457028161E-3</v>
      </c>
      <c r="G36" t="str">
        <f t="shared" si="1"/>
        <v>Yes</v>
      </c>
      <c r="H36" s="45" t="str">
        <f t="shared" si="2"/>
        <v xml:space="preserve"> </v>
      </c>
    </row>
    <row r="37" spans="1:8">
      <c r="A37" s="77" t="s">
        <v>222</v>
      </c>
      <c r="B37" s="78">
        <v>16</v>
      </c>
      <c r="C37" s="81">
        <v>-1</v>
      </c>
      <c r="D37" s="31"/>
      <c r="E37" s="45">
        <f t="shared" si="0"/>
        <v>15</v>
      </c>
      <c r="F37" s="25">
        <f t="shared" si="3"/>
        <v>1.8247065263670094E-3</v>
      </c>
      <c r="G37" t="str">
        <f t="shared" si="1"/>
        <v>Yes</v>
      </c>
      <c r="H37" s="45" t="str">
        <f t="shared" si="2"/>
        <v xml:space="preserve"> </v>
      </c>
    </row>
    <row r="38" spans="1:8">
      <c r="A38" s="77" t="s">
        <v>223</v>
      </c>
      <c r="B38" s="78">
        <v>7</v>
      </c>
      <c r="C38" s="81"/>
      <c r="D38" s="31"/>
      <c r="E38" s="45">
        <f t="shared" si="0"/>
        <v>7</v>
      </c>
      <c r="F38" s="25">
        <f t="shared" si="3"/>
        <v>8.5152971230460436E-4</v>
      </c>
      <c r="G38" t="str">
        <f t="shared" si="1"/>
        <v>Yes</v>
      </c>
      <c r="H38" s="45" t="str">
        <f t="shared" si="2"/>
        <v xml:space="preserve"> </v>
      </c>
    </row>
    <row r="39" spans="1:8">
      <c r="A39" s="77" t="s">
        <v>224</v>
      </c>
      <c r="B39" s="78">
        <v>230</v>
      </c>
      <c r="C39" s="81">
        <v>-2</v>
      </c>
      <c r="D39" s="31"/>
      <c r="E39" s="45">
        <f t="shared" si="0"/>
        <v>228</v>
      </c>
      <c r="F39" s="25">
        <f t="shared" si="3"/>
        <v>2.7735539200778543E-2</v>
      </c>
      <c r="G39" t="str">
        <f t="shared" si="1"/>
        <v>Yes</v>
      </c>
      <c r="H39" s="45" t="str">
        <f t="shared" si="2"/>
        <v xml:space="preserve"> </v>
      </c>
    </row>
    <row r="40" spans="1:8">
      <c r="A40" s="77" t="s">
        <v>225</v>
      </c>
      <c r="B40" s="78">
        <v>20</v>
      </c>
      <c r="C40" s="81"/>
      <c r="D40" s="31"/>
      <c r="E40" s="45">
        <f t="shared" si="0"/>
        <v>20</v>
      </c>
      <c r="F40" s="25">
        <f t="shared" si="3"/>
        <v>2.4329420351560122E-3</v>
      </c>
      <c r="G40" t="str">
        <f t="shared" si="1"/>
        <v>Yes</v>
      </c>
      <c r="H40" s="45" t="str">
        <f t="shared" si="2"/>
        <v xml:space="preserve"> </v>
      </c>
    </row>
    <row r="41" spans="1:8">
      <c r="A41" s="77" t="s">
        <v>226</v>
      </c>
      <c r="B41" s="78">
        <v>19</v>
      </c>
      <c r="C41" s="81">
        <v>-1</v>
      </c>
      <c r="E41" s="45">
        <f t="shared" si="0"/>
        <v>18</v>
      </c>
      <c r="F41" s="25">
        <f t="shared" si="3"/>
        <v>2.1896478316404113E-3</v>
      </c>
      <c r="G41" s="45" t="str">
        <f t="shared" ref="G41" si="4">IF(VLOOKUP(A41,Model,2,FALSE)&lt;&gt;"","Yes","No")</f>
        <v>Yes</v>
      </c>
    </row>
    <row r="42" spans="1:8">
      <c r="F42" s="22">
        <f>SUM(F2:F41)</f>
        <v>0.99999999999999978</v>
      </c>
    </row>
  </sheetData>
  <pageMargins left="0.7" right="0.7" top="0.75" bottom="0.75" header="0.3" footer="0.3"/>
  <legacyDrawing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L80"/>
  <sheetViews>
    <sheetView workbookViewId="0">
      <selection activeCell="H13" sqref="H13"/>
    </sheetView>
  </sheetViews>
  <sheetFormatPr defaultRowHeight="13.2"/>
  <cols>
    <col min="1" max="1" width="11.5546875" style="45" bestFit="1" customWidth="1"/>
    <col min="2" max="3" width="15.109375" style="47" bestFit="1" customWidth="1"/>
    <col min="4" max="4" width="12.44140625" style="47" bestFit="1" customWidth="1"/>
    <col min="5" max="5" width="12.109375" style="47" bestFit="1" customWidth="1"/>
    <col min="6" max="6" width="13.21875" style="47" bestFit="1" customWidth="1"/>
    <col min="7" max="7" width="13.77734375" style="47" bestFit="1" customWidth="1"/>
    <col min="8" max="8" width="13.21875" style="47" bestFit="1" customWidth="1"/>
    <col min="9" max="9" width="12.44140625" style="45" bestFit="1" customWidth="1"/>
    <col min="10" max="10" width="9.21875" style="48" bestFit="1" customWidth="1"/>
    <col min="11" max="11" width="6.77734375" style="45" bestFit="1" customWidth="1"/>
    <col min="12" max="12" width="65.6640625" style="45" bestFit="1" customWidth="1"/>
    <col min="13" max="16384" width="8.88671875" style="45"/>
  </cols>
  <sheetData>
    <row r="1" spans="1:12" ht="39.6">
      <c r="A1" s="45" t="s">
        <v>228</v>
      </c>
      <c r="B1" s="34" t="s">
        <v>0</v>
      </c>
      <c r="C1" s="34" t="s">
        <v>1</v>
      </c>
      <c r="D1" s="10" t="s">
        <v>333</v>
      </c>
      <c r="E1" s="8" t="s">
        <v>332</v>
      </c>
      <c r="F1" s="8" t="s">
        <v>334</v>
      </c>
      <c r="G1" s="8" t="s">
        <v>335</v>
      </c>
      <c r="H1" s="8" t="s">
        <v>344</v>
      </c>
      <c r="I1" s="6" t="s">
        <v>336</v>
      </c>
      <c r="J1" s="19" t="s">
        <v>343</v>
      </c>
      <c r="K1" s="6" t="s">
        <v>341</v>
      </c>
      <c r="L1" s="6" t="s">
        <v>346</v>
      </c>
    </row>
    <row r="2" spans="1:12">
      <c r="A2" s="45" t="s">
        <v>163</v>
      </c>
      <c r="B2" s="47">
        <v>8237588</v>
      </c>
      <c r="C2" s="47">
        <v>0</v>
      </c>
      <c r="D2" s="47">
        <f t="shared" ref="D2:D32" si="0">SUM(B2:C2)</f>
        <v>8237588</v>
      </c>
      <c r="E2" s="47">
        <f t="shared" ref="E2:E32" si="1">C2*-0.5</f>
        <v>0</v>
      </c>
      <c r="H2" s="47">
        <f>-D2-E2-F2-G2</f>
        <v>-8237588</v>
      </c>
      <c r="I2" s="11">
        <f t="shared" ref="I2:I66" si="2">IF((VLOOKUP(A2,Crosswalk,2,FALSE)="Excluded"),0,(D2+E2+F2+G2+H2))</f>
        <v>0</v>
      </c>
      <c r="J2" s="53">
        <f>I2/(SUM($I$2:$I$80))</f>
        <v>0</v>
      </c>
      <c r="K2" s="45" t="str">
        <f t="shared" ref="K2:K32" si="3">IF(VLOOKUP(A2,Model,2,FALSE)&lt;&gt;"","Yes","No")</f>
        <v>Yes</v>
      </c>
      <c r="L2" s="45" t="str">
        <f t="shared" ref="L2:L32" si="4">IF((VLOOKUP(A2,Crosswalk,3,FALSE))=0," ",(VLOOKUP(A2,Crosswalk,3,FALSE)))</f>
        <v>100% Overhead</v>
      </c>
    </row>
    <row r="3" spans="1:12">
      <c r="A3" s="45" t="s">
        <v>164</v>
      </c>
      <c r="B3" s="47">
        <v>6183141</v>
      </c>
      <c r="C3" s="47">
        <v>5481</v>
      </c>
      <c r="D3" s="47">
        <f t="shared" si="0"/>
        <v>6188622</v>
      </c>
      <c r="E3" s="47">
        <f t="shared" si="1"/>
        <v>-2740.5</v>
      </c>
      <c r="H3" s="47">
        <f>-D3-E3-F3-G3</f>
        <v>-6185881.5</v>
      </c>
      <c r="I3" s="11">
        <f t="shared" si="2"/>
        <v>0</v>
      </c>
      <c r="J3" s="53">
        <f t="shared" ref="J3:J67" si="5">I3/(SUM($I$2:$I$80))</f>
        <v>0</v>
      </c>
      <c r="K3" s="45" t="str">
        <f t="shared" si="3"/>
        <v>Yes</v>
      </c>
      <c r="L3" s="45" t="str">
        <f t="shared" si="4"/>
        <v>100% Overhead</v>
      </c>
    </row>
    <row r="4" spans="1:12">
      <c r="A4" s="45" t="s">
        <v>345</v>
      </c>
      <c r="B4" s="47">
        <v>470828</v>
      </c>
      <c r="C4" s="47">
        <v>0</v>
      </c>
      <c r="D4" s="47">
        <f t="shared" si="0"/>
        <v>470828</v>
      </c>
      <c r="E4" s="47">
        <f t="shared" si="1"/>
        <v>0</v>
      </c>
      <c r="H4" s="47">
        <f>-D4-E4-F4-G4</f>
        <v>-470828</v>
      </c>
      <c r="I4" s="11">
        <f t="shared" si="2"/>
        <v>0</v>
      </c>
      <c r="J4" s="53">
        <f t="shared" si="5"/>
        <v>0</v>
      </c>
      <c r="K4" s="45" t="str">
        <f t="shared" si="3"/>
        <v>Yes</v>
      </c>
      <c r="L4" s="45" t="str">
        <f t="shared" si="4"/>
        <v>100% Overhead</v>
      </c>
    </row>
    <row r="5" spans="1:12">
      <c r="A5" s="45" t="s">
        <v>166</v>
      </c>
      <c r="B5" s="47">
        <v>1205570</v>
      </c>
      <c r="C5" s="47">
        <v>0</v>
      </c>
      <c r="D5" s="47">
        <f t="shared" si="0"/>
        <v>1205570</v>
      </c>
      <c r="E5" s="47">
        <f t="shared" si="1"/>
        <v>0</v>
      </c>
      <c r="H5" s="47">
        <f>-D5-E5-F5-G5</f>
        <v>-1205570</v>
      </c>
      <c r="I5" s="11">
        <f t="shared" si="2"/>
        <v>0</v>
      </c>
      <c r="J5" s="53">
        <f t="shared" si="5"/>
        <v>0</v>
      </c>
      <c r="K5" s="45" t="str">
        <f t="shared" si="3"/>
        <v>Yes</v>
      </c>
      <c r="L5" s="45" t="str">
        <f t="shared" si="4"/>
        <v>100% Overhead</v>
      </c>
    </row>
    <row r="6" spans="1:12">
      <c r="A6" s="45" t="s">
        <v>430</v>
      </c>
      <c r="B6" s="47">
        <v>906846</v>
      </c>
      <c r="C6" s="47">
        <v>0</v>
      </c>
      <c r="D6" s="47">
        <f t="shared" si="0"/>
        <v>906846</v>
      </c>
      <c r="E6" s="47">
        <f t="shared" si="1"/>
        <v>0</v>
      </c>
      <c r="G6" s="47">
        <v>-906846</v>
      </c>
      <c r="I6" s="11">
        <f t="shared" si="2"/>
        <v>0</v>
      </c>
      <c r="J6" s="53">
        <f t="shared" si="5"/>
        <v>0</v>
      </c>
      <c r="K6" s="45" t="str">
        <f t="shared" si="3"/>
        <v>Yes</v>
      </c>
      <c r="L6" s="45" t="str">
        <f t="shared" si="4"/>
        <v xml:space="preserve"> </v>
      </c>
    </row>
    <row r="7" spans="1:12">
      <c r="A7" s="45" t="s">
        <v>167</v>
      </c>
      <c r="B7" s="47">
        <v>89103848</v>
      </c>
      <c r="C7" s="47">
        <v>1068872</v>
      </c>
      <c r="D7" s="47">
        <f t="shared" si="0"/>
        <v>90172720</v>
      </c>
      <c r="E7" s="47">
        <f t="shared" si="1"/>
        <v>-534436</v>
      </c>
      <c r="H7" s="47">
        <v>-118183</v>
      </c>
      <c r="I7" s="11">
        <f t="shared" si="2"/>
        <v>89520101</v>
      </c>
      <c r="J7" s="53">
        <f t="shared" si="5"/>
        <v>9.503945617790803E-2</v>
      </c>
      <c r="K7" s="45" t="str">
        <f t="shared" si="3"/>
        <v>Yes</v>
      </c>
      <c r="L7" s="45" t="str">
        <f t="shared" si="4"/>
        <v>Exclude expenditures for emergency mgmt (FREO000004 Fund Center)</v>
      </c>
    </row>
    <row r="8" spans="1:12">
      <c r="A8" s="45" t="s">
        <v>159</v>
      </c>
      <c r="B8" s="47">
        <v>1092016</v>
      </c>
      <c r="C8" s="47">
        <v>0</v>
      </c>
      <c r="D8" s="47">
        <f t="shared" si="0"/>
        <v>1092016</v>
      </c>
      <c r="E8" s="47">
        <f t="shared" si="1"/>
        <v>0</v>
      </c>
      <c r="H8" s="47">
        <f>-D8-E8-F8-G8</f>
        <v>-1092016</v>
      </c>
      <c r="I8" s="11">
        <f t="shared" si="2"/>
        <v>0</v>
      </c>
      <c r="J8" s="53">
        <f t="shared" si="5"/>
        <v>0</v>
      </c>
      <c r="K8" s="45" t="str">
        <f t="shared" si="3"/>
        <v>Yes</v>
      </c>
      <c r="L8" s="45" t="str">
        <f t="shared" si="4"/>
        <v>100% Overhead</v>
      </c>
    </row>
    <row r="9" spans="1:12">
      <c r="A9" s="45" t="s">
        <v>168</v>
      </c>
      <c r="B9" s="47">
        <v>11079279</v>
      </c>
      <c r="C9" s="47">
        <v>0</v>
      </c>
      <c r="D9" s="47">
        <f t="shared" si="0"/>
        <v>11079279</v>
      </c>
      <c r="E9" s="47">
        <f t="shared" si="1"/>
        <v>0</v>
      </c>
      <c r="H9" s="39"/>
      <c r="I9" s="11">
        <f t="shared" si="2"/>
        <v>11079279</v>
      </c>
      <c r="J9" s="53">
        <f t="shared" si="5"/>
        <v>1.1762371123814043E-2</v>
      </c>
      <c r="K9" s="45" t="str">
        <f t="shared" si="3"/>
        <v>Yes</v>
      </c>
      <c r="L9" s="45" t="str">
        <f t="shared" si="4"/>
        <v xml:space="preserve"> </v>
      </c>
    </row>
    <row r="10" spans="1:12">
      <c r="A10" s="45" t="s">
        <v>160</v>
      </c>
      <c r="B10" s="47">
        <v>0</v>
      </c>
      <c r="C10" s="47">
        <v>0</v>
      </c>
      <c r="D10" s="47">
        <f t="shared" si="0"/>
        <v>0</v>
      </c>
      <c r="E10" s="47">
        <f t="shared" si="1"/>
        <v>0</v>
      </c>
      <c r="H10" s="39"/>
      <c r="I10" s="11">
        <f t="shared" si="2"/>
        <v>0</v>
      </c>
      <c r="J10" s="53">
        <f t="shared" si="5"/>
        <v>0</v>
      </c>
      <c r="K10" s="45" t="str">
        <f t="shared" si="3"/>
        <v>Yes</v>
      </c>
      <c r="L10" s="45" t="str">
        <f t="shared" si="4"/>
        <v xml:space="preserve"> </v>
      </c>
    </row>
    <row r="11" spans="1:12">
      <c r="A11" s="45" t="s">
        <v>161</v>
      </c>
      <c r="B11" s="47">
        <v>31382407</v>
      </c>
      <c r="C11" s="47">
        <v>533277</v>
      </c>
      <c r="D11" s="47">
        <f t="shared" si="0"/>
        <v>31915684</v>
      </c>
      <c r="E11" s="47">
        <f t="shared" si="1"/>
        <v>-266638.5</v>
      </c>
      <c r="H11" s="39">
        <f>-8933376-4305260-7660328</f>
        <v>-20898964</v>
      </c>
      <c r="I11" s="11">
        <f t="shared" si="2"/>
        <v>10750081.5</v>
      </c>
      <c r="J11" s="53">
        <f t="shared" si="5"/>
        <v>1.1412876976403207E-2</v>
      </c>
      <c r="K11" s="45" t="str">
        <f t="shared" si="3"/>
        <v>Yes</v>
      </c>
      <c r="L11" s="45" t="str">
        <f t="shared" si="4"/>
        <v>Exclude MFHR, MFDR, MFIB</v>
      </c>
    </row>
    <row r="12" spans="1:12">
      <c r="A12" s="45" t="s">
        <v>165</v>
      </c>
      <c r="B12" s="47">
        <v>3306362</v>
      </c>
      <c r="C12" s="47">
        <v>0</v>
      </c>
      <c r="D12" s="47">
        <f t="shared" si="0"/>
        <v>3306362</v>
      </c>
      <c r="E12" s="47">
        <f t="shared" si="1"/>
        <v>0</v>
      </c>
      <c r="H12" s="39">
        <v>-1794688</v>
      </c>
      <c r="I12" s="11">
        <f t="shared" si="2"/>
        <v>1511674</v>
      </c>
      <c r="J12" s="53">
        <f t="shared" si="5"/>
        <v>1.6048761481880247E-3</v>
      </c>
      <c r="K12" s="45" t="str">
        <f t="shared" si="3"/>
        <v>Yes</v>
      </c>
      <c r="L12" s="45" t="str">
        <f t="shared" si="4"/>
        <v>Exclude expenditures for Admin &amp; Support (LAMYAS Functional Area)</v>
      </c>
    </row>
    <row r="13" spans="1:12">
      <c r="A13" s="45" t="s">
        <v>162</v>
      </c>
      <c r="B13" s="47">
        <v>6380258</v>
      </c>
      <c r="C13" s="47">
        <v>20626</v>
      </c>
      <c r="D13" s="47">
        <f t="shared" si="0"/>
        <v>6400884</v>
      </c>
      <c r="E13" s="47">
        <f t="shared" si="1"/>
        <v>-10313</v>
      </c>
      <c r="H13" s="39">
        <f>-453577-88349</f>
        <v>-541926</v>
      </c>
      <c r="I13" s="11">
        <f t="shared" si="2"/>
        <v>5848645</v>
      </c>
      <c r="J13" s="53">
        <f t="shared" si="5"/>
        <v>6.2092427730576494E-3</v>
      </c>
      <c r="K13" s="45" t="str">
        <f t="shared" si="3"/>
        <v>Yes</v>
      </c>
      <c r="L13" s="45" t="str">
        <f t="shared" si="4"/>
        <v>Exclude expenditures for Information &amp; Referral and Public Involvement best practices (CDIR, CDNRNOPI)</v>
      </c>
    </row>
    <row r="14" spans="1:12">
      <c r="A14" s="45" t="s">
        <v>318</v>
      </c>
      <c r="B14" s="47">
        <v>1026023</v>
      </c>
      <c r="C14" s="47">
        <v>0</v>
      </c>
      <c r="D14" s="47">
        <f t="shared" si="0"/>
        <v>1026023</v>
      </c>
      <c r="E14" s="47">
        <f t="shared" si="1"/>
        <v>0</v>
      </c>
      <c r="H14" s="47">
        <f>-0.68*D14</f>
        <v>-697695.64</v>
      </c>
      <c r="I14" s="11">
        <f t="shared" si="2"/>
        <v>328327.36</v>
      </c>
      <c r="J14" s="53">
        <f t="shared" si="5"/>
        <v>3.4857035899376644E-4</v>
      </c>
      <c r="K14" s="45" t="str">
        <f t="shared" si="3"/>
        <v>Yes</v>
      </c>
      <c r="L14" s="45" t="str">
        <f t="shared" si="4"/>
        <v>Rollback in 09-10 &amp; 10-11. Exclude expenditures for Citywide Comm, Training, Tech Support and % admin (CDCEEC, TE, TS &amp; portion CDAS (68%))</v>
      </c>
    </row>
    <row r="15" spans="1:12">
      <c r="A15" s="45" t="s">
        <v>154</v>
      </c>
      <c r="B15" s="47">
        <v>1557457</v>
      </c>
      <c r="C15" s="47">
        <v>0</v>
      </c>
      <c r="D15" s="47">
        <f t="shared" si="0"/>
        <v>1557457</v>
      </c>
      <c r="E15" s="47">
        <f t="shared" si="1"/>
        <v>0</v>
      </c>
      <c r="H15" s="47">
        <v>-1074097</v>
      </c>
      <c r="I15" s="11">
        <f t="shared" si="2"/>
        <v>483360</v>
      </c>
      <c r="J15" s="53">
        <f t="shared" si="5"/>
        <v>5.1316152489767214E-4</v>
      </c>
      <c r="K15" s="45" t="str">
        <f t="shared" si="3"/>
        <v>Yes</v>
      </c>
      <c r="L15" s="45" t="str">
        <f t="shared" si="4"/>
        <v>Exclude Commissioner's Office (PACO000001)</v>
      </c>
    </row>
    <row r="16" spans="1:12">
      <c r="A16" s="45" t="s">
        <v>169</v>
      </c>
      <c r="B16" s="47">
        <v>53588712</v>
      </c>
      <c r="C16" s="47">
        <v>581897</v>
      </c>
      <c r="D16" s="47">
        <f t="shared" si="0"/>
        <v>54170609</v>
      </c>
      <c r="E16" s="47">
        <f t="shared" si="1"/>
        <v>-290948.5</v>
      </c>
      <c r="H16" s="39"/>
      <c r="I16" s="11">
        <f t="shared" si="2"/>
        <v>53879660.5</v>
      </c>
      <c r="J16" s="53">
        <f t="shared" si="5"/>
        <v>5.7201606966130567E-2</v>
      </c>
      <c r="K16" s="45" t="str">
        <f t="shared" si="3"/>
        <v>Yes</v>
      </c>
      <c r="L16" s="45" t="str">
        <f t="shared" si="4"/>
        <v xml:space="preserve"> </v>
      </c>
    </row>
    <row r="17" spans="1:12">
      <c r="A17" s="45" t="s">
        <v>170</v>
      </c>
      <c r="B17" s="47">
        <v>138200715</v>
      </c>
      <c r="C17" s="47">
        <v>0</v>
      </c>
      <c r="D17" s="47">
        <f t="shared" si="0"/>
        <v>138200715</v>
      </c>
      <c r="E17" s="47">
        <f t="shared" si="1"/>
        <v>0</v>
      </c>
      <c r="I17" s="11">
        <f t="shared" si="2"/>
        <v>138200715</v>
      </c>
      <c r="J17" s="53">
        <f t="shared" si="5"/>
        <v>0.14672146981824849</v>
      </c>
      <c r="K17" s="45" t="str">
        <f t="shared" si="3"/>
        <v>Yes</v>
      </c>
      <c r="L17" s="45" t="str">
        <f t="shared" si="4"/>
        <v xml:space="preserve"> </v>
      </c>
    </row>
    <row r="18" spans="1:12">
      <c r="A18" s="45" t="s">
        <v>153</v>
      </c>
      <c r="B18" s="47">
        <v>8226261</v>
      </c>
      <c r="C18" s="47">
        <v>0</v>
      </c>
      <c r="D18" s="47">
        <f t="shared" si="0"/>
        <v>8226261</v>
      </c>
      <c r="E18" s="47">
        <f t="shared" si="1"/>
        <v>0</v>
      </c>
      <c r="H18" s="47">
        <f>-1023348/2-889155</f>
        <v>-1400829</v>
      </c>
      <c r="I18" s="11">
        <f t="shared" si="2"/>
        <v>6825432</v>
      </c>
      <c r="J18" s="53">
        <f t="shared" si="5"/>
        <v>7.2462535029902513E-3</v>
      </c>
      <c r="K18" s="45" t="str">
        <f t="shared" si="3"/>
        <v>Yes</v>
      </c>
      <c r="L18" s="45" t="str">
        <f t="shared" si="4"/>
        <v>Exclude expenditures for Comp Planning &amp; 1/2 of district liaisons (CDAPDI, CDCP00)</v>
      </c>
    </row>
    <row r="19" spans="1:12">
      <c r="A19" s="45" t="s">
        <v>155</v>
      </c>
      <c r="B19" s="47">
        <v>527875</v>
      </c>
      <c r="C19" s="47">
        <v>0</v>
      </c>
      <c r="D19" s="47">
        <f t="shared" si="0"/>
        <v>527875</v>
      </c>
      <c r="E19" s="47">
        <f t="shared" si="1"/>
        <v>0</v>
      </c>
      <c r="H19" s="47">
        <f t="shared" ref="H19:H21" si="6">-D19-E19-F19-G19</f>
        <v>-527875</v>
      </c>
      <c r="I19" s="11">
        <f t="shared" si="2"/>
        <v>0</v>
      </c>
      <c r="J19" s="53">
        <f t="shared" si="5"/>
        <v>0</v>
      </c>
      <c r="K19" s="45" t="str">
        <f t="shared" si="3"/>
        <v>Yes</v>
      </c>
      <c r="L19" s="45" t="str">
        <f t="shared" si="4"/>
        <v>100% Overhead</v>
      </c>
    </row>
    <row r="20" spans="1:12">
      <c r="A20" s="45" t="s">
        <v>156</v>
      </c>
      <c r="B20" s="47">
        <v>716587</v>
      </c>
      <c r="C20" s="47">
        <v>0</v>
      </c>
      <c r="D20" s="47">
        <f t="shared" si="0"/>
        <v>716587</v>
      </c>
      <c r="E20" s="47">
        <f t="shared" si="1"/>
        <v>0</v>
      </c>
      <c r="H20" s="47">
        <f t="shared" si="6"/>
        <v>-716587</v>
      </c>
      <c r="I20" s="11">
        <f t="shared" si="2"/>
        <v>0</v>
      </c>
      <c r="J20" s="53">
        <f t="shared" si="5"/>
        <v>0</v>
      </c>
      <c r="K20" s="45" t="str">
        <f t="shared" si="3"/>
        <v>Yes</v>
      </c>
      <c r="L20" s="45" t="str">
        <f t="shared" si="4"/>
        <v>100% Overhead</v>
      </c>
    </row>
    <row r="21" spans="1:12">
      <c r="A21" s="45" t="s">
        <v>157</v>
      </c>
      <c r="B21" s="47">
        <v>746128</v>
      </c>
      <c r="C21" s="47">
        <v>0</v>
      </c>
      <c r="D21" s="47">
        <f t="shared" si="0"/>
        <v>746128</v>
      </c>
      <c r="E21" s="47">
        <f t="shared" si="1"/>
        <v>0</v>
      </c>
      <c r="H21" s="47">
        <f t="shared" si="6"/>
        <v>-746128</v>
      </c>
      <c r="I21" s="11">
        <f t="shared" si="2"/>
        <v>0</v>
      </c>
      <c r="J21" s="53">
        <f t="shared" si="5"/>
        <v>0</v>
      </c>
      <c r="K21" s="45" t="str">
        <f t="shared" si="3"/>
        <v>Yes</v>
      </c>
      <c r="L21" s="45" t="str">
        <f t="shared" si="4"/>
        <v>100% Overhead</v>
      </c>
    </row>
    <row r="22" spans="1:12">
      <c r="A22" s="45" t="s">
        <v>171</v>
      </c>
      <c r="B22" s="47">
        <v>13545316</v>
      </c>
      <c r="C22" s="47">
        <v>0</v>
      </c>
      <c r="D22" s="47">
        <f t="shared" si="0"/>
        <v>13545316</v>
      </c>
      <c r="E22" s="47">
        <f t="shared" si="1"/>
        <v>0</v>
      </c>
      <c r="H22" s="47">
        <v>-274049</v>
      </c>
      <c r="I22" s="11">
        <f t="shared" si="2"/>
        <v>13271267</v>
      </c>
      <c r="J22" s="53">
        <f t="shared" si="5"/>
        <v>1.4089505981140671E-2</v>
      </c>
      <c r="K22" s="45" t="str">
        <f t="shared" si="3"/>
        <v>Yes</v>
      </c>
      <c r="L22" s="45" t="str">
        <f t="shared" si="4"/>
        <v>Exclude expenditures for City memberships and dues (MFSA000002)</v>
      </c>
    </row>
    <row r="23" spans="1:12">
      <c r="A23" s="45" t="s">
        <v>320</v>
      </c>
      <c r="B23" s="47">
        <v>6083631</v>
      </c>
      <c r="C23" s="47">
        <v>0</v>
      </c>
      <c r="D23" s="47">
        <f t="shared" si="0"/>
        <v>6083631</v>
      </c>
      <c r="E23" s="47">
        <f t="shared" si="1"/>
        <v>0</v>
      </c>
      <c r="I23" s="11">
        <f t="shared" si="2"/>
        <v>6083631</v>
      </c>
      <c r="J23" s="53">
        <f t="shared" si="5"/>
        <v>6.4587168174336934E-3</v>
      </c>
      <c r="K23" s="45" t="str">
        <f t="shared" si="3"/>
        <v>Yes</v>
      </c>
      <c r="L23" s="45" t="str">
        <f t="shared" si="4"/>
        <v xml:space="preserve"> </v>
      </c>
    </row>
    <row r="24" spans="1:12">
      <c r="A24" s="45" t="s">
        <v>172</v>
      </c>
      <c r="B24" s="47">
        <v>84429168</v>
      </c>
      <c r="C24" s="47">
        <v>69136037</v>
      </c>
      <c r="D24" s="47">
        <f t="shared" si="0"/>
        <v>153565205</v>
      </c>
      <c r="E24" s="47">
        <f t="shared" si="1"/>
        <v>-34568018.5</v>
      </c>
      <c r="I24" s="11">
        <f t="shared" si="2"/>
        <v>118997186.5</v>
      </c>
      <c r="J24" s="53">
        <f t="shared" si="5"/>
        <v>0.12633394919495342</v>
      </c>
      <c r="K24" s="45" t="str">
        <f t="shared" si="3"/>
        <v>Yes</v>
      </c>
      <c r="L24" s="45" t="str">
        <f t="shared" si="4"/>
        <v xml:space="preserve"> </v>
      </c>
    </row>
    <row r="25" spans="1:12">
      <c r="A25" s="45" t="s">
        <v>173</v>
      </c>
      <c r="B25" s="47">
        <v>14116833</v>
      </c>
      <c r="C25" s="47">
        <v>0</v>
      </c>
      <c r="D25" s="47">
        <f t="shared" si="0"/>
        <v>14116833</v>
      </c>
      <c r="E25" s="47">
        <f t="shared" si="1"/>
        <v>0</v>
      </c>
      <c r="F25" s="39"/>
      <c r="I25" s="11">
        <f t="shared" si="2"/>
        <v>14116833</v>
      </c>
      <c r="J25" s="53">
        <f t="shared" si="5"/>
        <v>1.498720529006492E-2</v>
      </c>
      <c r="K25" s="45" t="str">
        <f t="shared" si="3"/>
        <v>Yes</v>
      </c>
      <c r="L25" s="45" t="str">
        <f t="shared" si="4"/>
        <v xml:space="preserve"> </v>
      </c>
    </row>
    <row r="26" spans="1:12">
      <c r="A26" s="45" t="s">
        <v>174</v>
      </c>
      <c r="B26" s="47">
        <v>0</v>
      </c>
      <c r="C26" s="47">
        <v>19800</v>
      </c>
      <c r="D26" s="47">
        <f t="shared" si="0"/>
        <v>19800</v>
      </c>
      <c r="E26" s="47">
        <f t="shared" si="1"/>
        <v>-9900</v>
      </c>
      <c r="I26" s="11">
        <f t="shared" si="2"/>
        <v>9900</v>
      </c>
      <c r="J26" s="53">
        <f t="shared" si="5"/>
        <v>1.0510383764661855E-5</v>
      </c>
      <c r="K26" s="45" t="str">
        <f t="shared" si="3"/>
        <v>Yes</v>
      </c>
      <c r="L26" s="45" t="str">
        <f t="shared" si="4"/>
        <v xml:space="preserve"> </v>
      </c>
    </row>
    <row r="27" spans="1:12">
      <c r="A27" s="45" t="s">
        <v>175</v>
      </c>
      <c r="B27" s="47">
        <v>21705911</v>
      </c>
      <c r="C27" s="47">
        <v>572299</v>
      </c>
      <c r="D27" s="47">
        <f t="shared" si="0"/>
        <v>22278210</v>
      </c>
      <c r="E27" s="47">
        <f t="shared" si="1"/>
        <v>-286149.5</v>
      </c>
      <c r="I27" s="11">
        <f t="shared" si="2"/>
        <v>21992060.5</v>
      </c>
      <c r="J27" s="53">
        <f t="shared" si="5"/>
        <v>2.3347979356632451E-2</v>
      </c>
      <c r="K27" s="45" t="str">
        <f t="shared" si="3"/>
        <v>Yes</v>
      </c>
      <c r="L27" s="45" t="str">
        <f t="shared" si="4"/>
        <v xml:space="preserve"> </v>
      </c>
    </row>
    <row r="28" spans="1:12">
      <c r="A28" s="45" t="s">
        <v>176</v>
      </c>
      <c r="B28" s="47">
        <v>4963476</v>
      </c>
      <c r="C28" s="47">
        <v>0</v>
      </c>
      <c r="D28" s="47">
        <f t="shared" si="0"/>
        <v>4963476</v>
      </c>
      <c r="E28" s="47">
        <f t="shared" si="1"/>
        <v>0</v>
      </c>
      <c r="F28" s="39"/>
      <c r="G28" s="47">
        <v>-4963476</v>
      </c>
      <c r="I28" s="11">
        <f t="shared" si="2"/>
        <v>0</v>
      </c>
      <c r="J28" s="53">
        <f t="shared" si="5"/>
        <v>0</v>
      </c>
      <c r="K28" s="45" t="str">
        <f t="shared" si="3"/>
        <v>Yes</v>
      </c>
      <c r="L28" s="45" t="str">
        <f t="shared" si="4"/>
        <v>Fixed at $25,000 (hardcoded in Model)</v>
      </c>
    </row>
    <row r="29" spans="1:12">
      <c r="A29" s="45" t="s">
        <v>177</v>
      </c>
      <c r="B29" s="47">
        <v>5331987</v>
      </c>
      <c r="C29" s="47">
        <v>0</v>
      </c>
      <c r="D29" s="47">
        <f t="shared" si="0"/>
        <v>5331987</v>
      </c>
      <c r="E29" s="47">
        <f t="shared" si="1"/>
        <v>0</v>
      </c>
      <c r="F29" s="39"/>
      <c r="G29" s="47">
        <v>-5331987</v>
      </c>
      <c r="I29" s="11">
        <f t="shared" si="2"/>
        <v>0</v>
      </c>
      <c r="J29" s="53">
        <f t="shared" si="5"/>
        <v>0</v>
      </c>
      <c r="K29" s="45" t="str">
        <f t="shared" si="3"/>
        <v>Yes</v>
      </c>
      <c r="L29" s="45" t="str">
        <f t="shared" si="4"/>
        <v>Fixed at $25,000 (hardcoded in Model)</v>
      </c>
    </row>
    <row r="30" spans="1:12">
      <c r="A30" s="45" t="s">
        <v>178</v>
      </c>
      <c r="B30" s="47">
        <v>6945684</v>
      </c>
      <c r="C30" s="47">
        <v>0</v>
      </c>
      <c r="D30" s="47">
        <f t="shared" si="0"/>
        <v>6945684</v>
      </c>
      <c r="E30" s="47">
        <f t="shared" si="1"/>
        <v>0</v>
      </c>
      <c r="F30" s="39"/>
      <c r="G30" s="47">
        <v>-6945684</v>
      </c>
      <c r="I30" s="11">
        <f t="shared" si="2"/>
        <v>0</v>
      </c>
      <c r="J30" s="53">
        <f t="shared" si="5"/>
        <v>0</v>
      </c>
      <c r="K30" s="45" t="str">
        <f t="shared" si="3"/>
        <v>Yes</v>
      </c>
      <c r="L30" s="45" t="str">
        <f t="shared" si="4"/>
        <v>Fixed at $25,000 (hardcoded in Model)</v>
      </c>
    </row>
    <row r="31" spans="1:12">
      <c r="A31" s="45" t="s">
        <v>179</v>
      </c>
      <c r="B31" s="47">
        <v>73359431</v>
      </c>
      <c r="C31" s="47">
        <v>0</v>
      </c>
      <c r="D31" s="47">
        <f t="shared" si="0"/>
        <v>73359431</v>
      </c>
      <c r="E31" s="47">
        <f t="shared" si="1"/>
        <v>0</v>
      </c>
      <c r="F31" s="39"/>
      <c r="I31" s="11">
        <f t="shared" si="2"/>
        <v>0</v>
      </c>
      <c r="J31" s="53">
        <f t="shared" si="5"/>
        <v>0</v>
      </c>
      <c r="K31" s="45" t="str">
        <f t="shared" si="3"/>
        <v>Yes</v>
      </c>
      <c r="L31" s="45" t="str">
        <f t="shared" si="4"/>
        <v xml:space="preserve"> </v>
      </c>
    </row>
    <row r="32" spans="1:12">
      <c r="A32" s="45" t="s">
        <v>180</v>
      </c>
      <c r="B32" s="47">
        <v>1789720</v>
      </c>
      <c r="C32" s="47">
        <v>0</v>
      </c>
      <c r="D32" s="47">
        <f t="shared" si="0"/>
        <v>1789720</v>
      </c>
      <c r="E32" s="47">
        <f t="shared" si="1"/>
        <v>0</v>
      </c>
      <c r="G32" s="47">
        <f>615177*-0.5</f>
        <v>-307588.5</v>
      </c>
      <c r="I32" s="11">
        <f t="shared" si="2"/>
        <v>1482131.5</v>
      </c>
      <c r="J32" s="53">
        <f t="shared" si="5"/>
        <v>1.5735122075448405E-3</v>
      </c>
      <c r="K32" s="45" t="str">
        <f t="shared" si="3"/>
        <v>Yes</v>
      </c>
      <c r="L32" s="45" t="str">
        <f t="shared" si="4"/>
        <v>50% discount for operating projects</v>
      </c>
    </row>
    <row r="33" spans="1:12">
      <c r="A33" s="45" t="s">
        <v>182</v>
      </c>
      <c r="B33" s="47">
        <v>318419</v>
      </c>
      <c r="C33" s="47">
        <v>0</v>
      </c>
      <c r="D33" s="47">
        <f t="shared" ref="D33:D65" si="7">SUM(B33:C33)</f>
        <v>318419</v>
      </c>
      <c r="E33" s="47">
        <f t="shared" ref="E33:E65" si="8">C33*-0.5</f>
        <v>0</v>
      </c>
      <c r="I33" s="11">
        <f t="shared" si="2"/>
        <v>318419</v>
      </c>
      <c r="J33" s="53">
        <f t="shared" si="5"/>
        <v>3.3805109979392558E-4</v>
      </c>
      <c r="K33" s="45" t="str">
        <f t="shared" ref="K33:K65" si="9">IF(VLOOKUP(A33,Model,2,FALSE)&lt;&gt;"","Yes","No")</f>
        <v>Yes</v>
      </c>
      <c r="L33" s="45" t="str">
        <f t="shared" ref="L33:L65" si="10">IF((VLOOKUP(A33,Crosswalk,3,FALSE))=0," ",(VLOOKUP(A33,Crosswalk,3,FALSE)))</f>
        <v xml:space="preserve"> </v>
      </c>
    </row>
    <row r="34" spans="1:12">
      <c r="A34" s="45" t="s">
        <v>183</v>
      </c>
      <c r="B34" s="47">
        <v>9655630</v>
      </c>
      <c r="C34" s="47">
        <v>0</v>
      </c>
      <c r="D34" s="47">
        <f t="shared" si="7"/>
        <v>9655630</v>
      </c>
      <c r="E34" s="47">
        <f t="shared" si="8"/>
        <v>0</v>
      </c>
      <c r="G34" s="47">
        <v>-9655630</v>
      </c>
      <c r="I34" s="11">
        <f t="shared" si="2"/>
        <v>0</v>
      </c>
      <c r="J34" s="53">
        <f t="shared" si="5"/>
        <v>0</v>
      </c>
      <c r="K34" s="45" t="str">
        <f t="shared" si="9"/>
        <v>Yes</v>
      </c>
      <c r="L34" s="45" t="str">
        <f t="shared" si="10"/>
        <v>Fixed at $25,000 (hardcoded in Model)</v>
      </c>
    </row>
    <row r="35" spans="1:12">
      <c r="A35" s="45" t="s">
        <v>321</v>
      </c>
      <c r="B35" s="47">
        <v>8215</v>
      </c>
      <c r="C35" s="47">
        <v>0</v>
      </c>
      <c r="D35" s="47">
        <f t="shared" si="7"/>
        <v>8215</v>
      </c>
      <c r="E35" s="47">
        <f t="shared" si="8"/>
        <v>0</v>
      </c>
      <c r="I35" s="11">
        <f t="shared" si="2"/>
        <v>8215</v>
      </c>
      <c r="J35" s="53">
        <f t="shared" si="5"/>
        <v>8.7214952148178917E-6</v>
      </c>
      <c r="K35" s="45" t="str">
        <f t="shared" si="9"/>
        <v>Yes</v>
      </c>
      <c r="L35" s="45" t="str">
        <f t="shared" si="10"/>
        <v xml:space="preserve"> </v>
      </c>
    </row>
    <row r="36" spans="1:12">
      <c r="A36" s="45" t="s">
        <v>184</v>
      </c>
      <c r="B36" s="47">
        <v>565</v>
      </c>
      <c r="C36" s="47">
        <v>0</v>
      </c>
      <c r="D36" s="47">
        <f t="shared" si="7"/>
        <v>565</v>
      </c>
      <c r="E36" s="47">
        <f t="shared" si="8"/>
        <v>0</v>
      </c>
      <c r="I36" s="11">
        <f t="shared" si="2"/>
        <v>565</v>
      </c>
      <c r="J36" s="53">
        <f t="shared" si="5"/>
        <v>5.9983503303373212E-7</v>
      </c>
      <c r="K36" s="45" t="str">
        <f t="shared" si="9"/>
        <v>Yes</v>
      </c>
      <c r="L36" s="45" t="str">
        <f t="shared" si="10"/>
        <v xml:space="preserve"> </v>
      </c>
    </row>
    <row r="37" spans="1:12">
      <c r="A37" s="45" t="s">
        <v>189</v>
      </c>
      <c r="B37" s="47">
        <v>6112307</v>
      </c>
      <c r="C37" s="47">
        <v>0</v>
      </c>
      <c r="D37" s="47">
        <f t="shared" si="7"/>
        <v>6112307</v>
      </c>
      <c r="E37" s="47">
        <f t="shared" si="8"/>
        <v>0</v>
      </c>
      <c r="I37" s="11">
        <f t="shared" si="2"/>
        <v>6112307</v>
      </c>
      <c r="J37" s="53">
        <f t="shared" si="5"/>
        <v>6.4891608340837377E-3</v>
      </c>
      <c r="K37" s="45" t="str">
        <f t="shared" si="9"/>
        <v>Yes</v>
      </c>
      <c r="L37" s="45" t="str">
        <f t="shared" si="10"/>
        <v xml:space="preserve"> </v>
      </c>
    </row>
    <row r="38" spans="1:12">
      <c r="A38" s="45" t="s">
        <v>185</v>
      </c>
      <c r="B38" s="47">
        <v>334225</v>
      </c>
      <c r="C38" s="47">
        <v>1453114</v>
      </c>
      <c r="D38" s="47">
        <f t="shared" si="7"/>
        <v>1787339</v>
      </c>
      <c r="E38" s="47">
        <f t="shared" si="8"/>
        <v>-726557</v>
      </c>
      <c r="I38" s="11">
        <f t="shared" si="2"/>
        <v>1060782</v>
      </c>
      <c r="J38" s="53">
        <f t="shared" si="5"/>
        <v>1.1261844354187405E-3</v>
      </c>
      <c r="K38" s="45" t="str">
        <f t="shared" si="9"/>
        <v>Yes</v>
      </c>
      <c r="L38" s="45" t="str">
        <f t="shared" si="10"/>
        <v xml:space="preserve"> </v>
      </c>
    </row>
    <row r="39" spans="1:12">
      <c r="A39" s="45" t="s">
        <v>192</v>
      </c>
      <c r="B39" s="47">
        <v>899245</v>
      </c>
      <c r="C39" s="47">
        <v>1220000</v>
      </c>
      <c r="D39" s="47">
        <f t="shared" si="7"/>
        <v>2119245</v>
      </c>
      <c r="E39" s="47">
        <f t="shared" si="8"/>
        <v>-610000</v>
      </c>
      <c r="I39" s="11">
        <f t="shared" si="2"/>
        <v>1509245</v>
      </c>
      <c r="J39" s="53">
        <f t="shared" si="5"/>
        <v>1.6022973883734425E-3</v>
      </c>
      <c r="K39" s="45" t="str">
        <f t="shared" si="9"/>
        <v>Yes</v>
      </c>
      <c r="L39" s="45" t="str">
        <f t="shared" si="10"/>
        <v xml:space="preserve"> </v>
      </c>
    </row>
    <row r="40" spans="1:12">
      <c r="A40" s="45" t="s">
        <v>193</v>
      </c>
      <c r="B40" s="47">
        <v>5770916</v>
      </c>
      <c r="C40" s="47">
        <v>0</v>
      </c>
      <c r="D40" s="47">
        <f t="shared" si="7"/>
        <v>5770916</v>
      </c>
      <c r="E40" s="47">
        <f t="shared" si="8"/>
        <v>0</v>
      </c>
      <c r="I40" s="11">
        <f t="shared" si="2"/>
        <v>5770916</v>
      </c>
      <c r="J40" s="53">
        <f t="shared" si="5"/>
        <v>6.1267213973360936E-3</v>
      </c>
      <c r="K40" s="45" t="str">
        <f t="shared" si="9"/>
        <v>Yes</v>
      </c>
      <c r="L40" s="45" t="str">
        <f t="shared" si="10"/>
        <v xml:space="preserve"> </v>
      </c>
    </row>
    <row r="41" spans="1:12">
      <c r="A41" s="45" t="s">
        <v>188</v>
      </c>
      <c r="B41" s="47">
        <v>1381169</v>
      </c>
      <c r="C41" s="47">
        <v>1331815</v>
      </c>
      <c r="D41" s="47">
        <f t="shared" si="7"/>
        <v>2712984</v>
      </c>
      <c r="E41" s="47">
        <f t="shared" si="8"/>
        <v>-665907.5</v>
      </c>
      <c r="I41" s="11">
        <f t="shared" si="2"/>
        <v>2047076.5</v>
      </c>
      <c r="J41" s="53">
        <f t="shared" si="5"/>
        <v>2.1732888495576579E-3</v>
      </c>
      <c r="K41" s="45" t="str">
        <f t="shared" si="9"/>
        <v>Yes</v>
      </c>
      <c r="L41" s="45" t="str">
        <f t="shared" si="10"/>
        <v xml:space="preserve"> </v>
      </c>
    </row>
    <row r="42" spans="1:12">
      <c r="A42" s="45" t="s">
        <v>322</v>
      </c>
      <c r="B42" s="47">
        <v>171026</v>
      </c>
      <c r="C42" s="47">
        <v>0</v>
      </c>
      <c r="D42" s="47">
        <f t="shared" si="7"/>
        <v>171026</v>
      </c>
      <c r="E42" s="47">
        <f t="shared" si="8"/>
        <v>0</v>
      </c>
      <c r="I42" s="11">
        <f t="shared" si="2"/>
        <v>171026</v>
      </c>
      <c r="J42" s="53">
        <f t="shared" si="5"/>
        <v>1.8157059532677357E-4</v>
      </c>
      <c r="K42" s="45" t="str">
        <f t="shared" si="9"/>
        <v>Yes</v>
      </c>
      <c r="L42" s="45" t="str">
        <f t="shared" si="10"/>
        <v xml:space="preserve"> </v>
      </c>
    </row>
    <row r="43" spans="1:12">
      <c r="A43" s="45" t="s">
        <v>194</v>
      </c>
      <c r="B43" s="47">
        <v>269931</v>
      </c>
      <c r="C43" s="47">
        <v>1522007</v>
      </c>
      <c r="D43" s="47">
        <f t="shared" si="7"/>
        <v>1791938</v>
      </c>
      <c r="E43" s="47">
        <f t="shared" si="8"/>
        <v>-761003.5</v>
      </c>
      <c r="I43" s="11">
        <f t="shared" si="2"/>
        <v>1030934.5</v>
      </c>
      <c r="J43" s="53">
        <f t="shared" si="5"/>
        <v>1.0944966900232108E-3</v>
      </c>
      <c r="K43" s="45" t="str">
        <f t="shared" si="9"/>
        <v>Yes</v>
      </c>
      <c r="L43" s="45" t="str">
        <f t="shared" si="10"/>
        <v xml:space="preserve"> </v>
      </c>
    </row>
    <row r="44" spans="1:12">
      <c r="A44" s="45" t="s">
        <v>195</v>
      </c>
      <c r="B44" s="47">
        <v>2783027</v>
      </c>
      <c r="C44" s="47">
        <v>0</v>
      </c>
      <c r="D44" s="47">
        <f t="shared" si="7"/>
        <v>2783027</v>
      </c>
      <c r="E44" s="47">
        <f t="shared" si="8"/>
        <v>0</v>
      </c>
      <c r="I44" s="11">
        <f t="shared" si="2"/>
        <v>2783027</v>
      </c>
      <c r="J44" s="53">
        <f t="shared" si="5"/>
        <v>2.9546143229712712E-3</v>
      </c>
      <c r="K44" s="45" t="str">
        <f t="shared" si="9"/>
        <v>Yes</v>
      </c>
      <c r="L44" s="45" t="str">
        <f t="shared" si="10"/>
        <v xml:space="preserve"> </v>
      </c>
    </row>
    <row r="45" spans="1:12">
      <c r="A45" s="45" t="s">
        <v>186</v>
      </c>
      <c r="B45" s="47">
        <v>9322134</v>
      </c>
      <c r="C45" s="47">
        <v>0</v>
      </c>
      <c r="D45" s="47">
        <f t="shared" si="7"/>
        <v>9322134</v>
      </c>
      <c r="E45" s="47">
        <f t="shared" si="8"/>
        <v>0</v>
      </c>
      <c r="I45" s="11">
        <f t="shared" si="2"/>
        <v>9322134</v>
      </c>
      <c r="J45" s="53">
        <f t="shared" si="5"/>
        <v>9.896889479353764E-3</v>
      </c>
      <c r="K45" s="45" t="str">
        <f t="shared" si="9"/>
        <v>Yes</v>
      </c>
      <c r="L45" s="45" t="str">
        <f t="shared" si="10"/>
        <v xml:space="preserve"> </v>
      </c>
    </row>
    <row r="46" spans="1:12">
      <c r="A46" s="45" t="s">
        <v>190</v>
      </c>
      <c r="B46" s="47">
        <v>440415</v>
      </c>
      <c r="C46" s="47">
        <v>13959010</v>
      </c>
      <c r="D46" s="47">
        <f t="shared" si="7"/>
        <v>14399425</v>
      </c>
      <c r="E46" s="47">
        <f t="shared" si="8"/>
        <v>-6979505</v>
      </c>
      <c r="I46" s="11">
        <f t="shared" si="2"/>
        <v>7419920</v>
      </c>
      <c r="J46" s="53">
        <f t="shared" si="5"/>
        <v>7.8773946164737152E-3</v>
      </c>
      <c r="K46" s="45" t="str">
        <f t="shared" si="9"/>
        <v>Yes</v>
      </c>
      <c r="L46" s="45" t="str">
        <f t="shared" si="10"/>
        <v xml:space="preserve"> </v>
      </c>
    </row>
    <row r="47" spans="1:12">
      <c r="A47" s="45" t="s">
        <v>196</v>
      </c>
      <c r="B47" s="47">
        <v>0</v>
      </c>
      <c r="C47" s="47">
        <v>2081677</v>
      </c>
      <c r="D47" s="47">
        <f t="shared" si="7"/>
        <v>2081677</v>
      </c>
      <c r="E47" s="47">
        <f t="shared" si="8"/>
        <v>-1040838.5</v>
      </c>
      <c r="I47" s="11">
        <f t="shared" si="2"/>
        <v>1040838.5</v>
      </c>
      <c r="J47" s="53">
        <f t="shared" si="5"/>
        <v>1.1050113204075756E-3</v>
      </c>
      <c r="K47" s="45" t="str">
        <f t="shared" si="9"/>
        <v>Yes</v>
      </c>
      <c r="L47" s="45" t="str">
        <f t="shared" si="10"/>
        <v xml:space="preserve"> </v>
      </c>
    </row>
    <row r="48" spans="1:12">
      <c r="A48" s="45" t="s">
        <v>191</v>
      </c>
      <c r="B48" s="47">
        <v>97450</v>
      </c>
      <c r="C48" s="47">
        <v>0</v>
      </c>
      <c r="D48" s="47">
        <f t="shared" si="7"/>
        <v>97450</v>
      </c>
      <c r="E48" s="47">
        <f t="shared" si="8"/>
        <v>0</v>
      </c>
      <c r="I48" s="11">
        <f t="shared" si="2"/>
        <v>97450</v>
      </c>
      <c r="J48" s="53">
        <f t="shared" si="5"/>
        <v>1.0345827251174724E-4</v>
      </c>
      <c r="K48" s="45" t="str">
        <f t="shared" si="9"/>
        <v>Yes</v>
      </c>
      <c r="L48" s="45" t="str">
        <f t="shared" si="10"/>
        <v xml:space="preserve"> </v>
      </c>
    </row>
    <row r="49" spans="1:12">
      <c r="A49" s="45" t="s">
        <v>197</v>
      </c>
      <c r="B49" s="47">
        <v>11909400</v>
      </c>
      <c r="C49" s="47">
        <v>0</v>
      </c>
      <c r="D49" s="47">
        <f t="shared" si="7"/>
        <v>11909400</v>
      </c>
      <c r="E49" s="47">
        <f t="shared" si="8"/>
        <v>0</v>
      </c>
      <c r="I49" s="11">
        <f t="shared" si="2"/>
        <v>11909400</v>
      </c>
      <c r="J49" s="53">
        <f t="shared" si="5"/>
        <v>1.2643673172410493E-2</v>
      </c>
      <c r="K49" s="45" t="str">
        <f t="shared" si="9"/>
        <v>Yes</v>
      </c>
      <c r="L49" s="45" t="str">
        <f t="shared" si="10"/>
        <v xml:space="preserve"> </v>
      </c>
    </row>
    <row r="50" spans="1:12">
      <c r="A50" s="45" t="s">
        <v>198</v>
      </c>
      <c r="B50" s="47">
        <v>4631831</v>
      </c>
      <c r="C50" s="47">
        <v>0</v>
      </c>
      <c r="D50" s="47">
        <f t="shared" si="7"/>
        <v>4631831</v>
      </c>
      <c r="E50" s="47">
        <f t="shared" si="8"/>
        <v>0</v>
      </c>
      <c r="I50" s="11">
        <f t="shared" si="2"/>
        <v>4631831</v>
      </c>
      <c r="J50" s="53">
        <f t="shared" si="5"/>
        <v>4.9174061962684321E-3</v>
      </c>
      <c r="K50" s="45" t="str">
        <f t="shared" si="9"/>
        <v>Yes</v>
      </c>
      <c r="L50" s="45" t="str">
        <f t="shared" si="10"/>
        <v xml:space="preserve"> </v>
      </c>
    </row>
    <row r="51" spans="1:12">
      <c r="A51" s="45" t="s">
        <v>199</v>
      </c>
      <c r="B51" s="47">
        <v>617609</v>
      </c>
      <c r="C51" s="47">
        <v>0</v>
      </c>
      <c r="D51" s="47">
        <f t="shared" si="7"/>
        <v>617609</v>
      </c>
      <c r="E51" s="47">
        <f t="shared" si="8"/>
        <v>0</v>
      </c>
      <c r="I51" s="11">
        <f t="shared" si="2"/>
        <v>0</v>
      </c>
      <c r="J51" s="53">
        <f t="shared" si="5"/>
        <v>0</v>
      </c>
      <c r="K51" s="45" t="str">
        <f t="shared" si="9"/>
        <v>Yes</v>
      </c>
      <c r="L51" s="45" t="str">
        <f t="shared" si="10"/>
        <v xml:space="preserve"> </v>
      </c>
    </row>
    <row r="52" spans="1:12">
      <c r="A52" s="45" t="s">
        <v>200</v>
      </c>
      <c r="B52" s="47">
        <v>30421793</v>
      </c>
      <c r="C52" s="47">
        <v>0</v>
      </c>
      <c r="D52" s="47">
        <f t="shared" si="7"/>
        <v>30421793</v>
      </c>
      <c r="E52" s="47">
        <f t="shared" si="8"/>
        <v>0</v>
      </c>
      <c r="G52" s="47">
        <f>28467481*-0.5</f>
        <v>-14233740.5</v>
      </c>
      <c r="I52" s="11">
        <f t="shared" si="2"/>
        <v>16188052.5</v>
      </c>
      <c r="J52" s="53">
        <f t="shared" si="5"/>
        <v>1.7186125674494318E-2</v>
      </c>
      <c r="K52" s="45" t="str">
        <f t="shared" si="9"/>
        <v>Yes</v>
      </c>
      <c r="L52" s="45" t="str">
        <f t="shared" si="10"/>
        <v>50% discount for operating projects</v>
      </c>
    </row>
    <row r="53" spans="1:12">
      <c r="A53" s="45" t="s">
        <v>201</v>
      </c>
      <c r="B53" s="47">
        <v>835129</v>
      </c>
      <c r="C53" s="47">
        <v>0</v>
      </c>
      <c r="D53" s="47">
        <f t="shared" si="7"/>
        <v>835129</v>
      </c>
      <c r="E53" s="47">
        <f t="shared" si="8"/>
        <v>0</v>
      </c>
      <c r="I53" s="11">
        <f t="shared" si="2"/>
        <v>835129</v>
      </c>
      <c r="J53" s="53">
        <f t="shared" si="5"/>
        <v>8.8661881646447376E-4</v>
      </c>
      <c r="K53" s="45" t="str">
        <f t="shared" si="9"/>
        <v>Yes</v>
      </c>
      <c r="L53" s="45" t="str">
        <f t="shared" si="10"/>
        <v xml:space="preserve"> </v>
      </c>
    </row>
    <row r="54" spans="1:12">
      <c r="A54" s="45" t="s">
        <v>451</v>
      </c>
      <c r="B54" s="47">
        <v>7630000</v>
      </c>
      <c r="D54" s="47">
        <f t="shared" ref="D54" si="11">SUM(B54:C54)</f>
        <v>7630000</v>
      </c>
      <c r="E54" s="47">
        <f t="shared" ref="E54" si="12">C54*-0.5</f>
        <v>0</v>
      </c>
      <c r="G54" s="47">
        <f>-D54</f>
        <v>-7630000</v>
      </c>
      <c r="I54" s="11">
        <f t="shared" ref="I54" si="13">IF((VLOOKUP(A54,Crosswalk,2,FALSE)="Excluded"),0,(D54+E54+F54+G54+H54))</f>
        <v>0</v>
      </c>
      <c r="J54" s="53">
        <f t="shared" ref="J54" si="14">I54/(SUM($I$2:$I$80))</f>
        <v>0</v>
      </c>
      <c r="K54" s="45" t="str">
        <f t="shared" ref="K54" si="15">IF(VLOOKUP(A54,Model,2,FALSE)&lt;&gt;"","Yes","No")</f>
        <v>Yes</v>
      </c>
      <c r="L54" s="45" t="str">
        <f t="shared" ref="L54" si="16">IF((VLOOKUP(A54,Crosswalk,3,FALSE))=0," ",(VLOOKUP(A54,Crosswalk,3,FALSE)))</f>
        <v>Fixed at $25,000 (hardcoded in Model)</v>
      </c>
    </row>
    <row r="55" spans="1:12">
      <c r="A55" s="45" t="s">
        <v>205</v>
      </c>
      <c r="B55" s="47">
        <v>2008</v>
      </c>
      <c r="C55" s="47">
        <v>-456</v>
      </c>
      <c r="D55" s="47">
        <f t="shared" si="7"/>
        <v>1552</v>
      </c>
      <c r="E55" s="47">
        <f t="shared" si="8"/>
        <v>228</v>
      </c>
      <c r="I55" s="11">
        <f t="shared" si="2"/>
        <v>1780</v>
      </c>
      <c r="J55" s="53">
        <f t="shared" si="5"/>
        <v>1.8897457677876871E-6</v>
      </c>
      <c r="K55" s="45" t="str">
        <f t="shared" si="9"/>
        <v>Yes</v>
      </c>
      <c r="L55" s="45" t="str">
        <f t="shared" si="10"/>
        <v xml:space="preserve"> </v>
      </c>
    </row>
    <row r="56" spans="1:12">
      <c r="A56" s="45" t="s">
        <v>206</v>
      </c>
      <c r="B56" s="47">
        <v>1400</v>
      </c>
      <c r="C56" s="47">
        <v>0</v>
      </c>
      <c r="D56" s="47">
        <f t="shared" si="7"/>
        <v>1400</v>
      </c>
      <c r="E56" s="47">
        <f t="shared" si="8"/>
        <v>0</v>
      </c>
      <c r="I56" s="11">
        <f t="shared" si="2"/>
        <v>1400</v>
      </c>
      <c r="J56" s="53">
        <f t="shared" si="5"/>
        <v>1.4863168960127874E-6</v>
      </c>
      <c r="K56" s="45" t="str">
        <f t="shared" si="9"/>
        <v>Yes</v>
      </c>
      <c r="L56" s="45" t="str">
        <f t="shared" si="10"/>
        <v xml:space="preserve"> </v>
      </c>
    </row>
    <row r="57" spans="1:12">
      <c r="A57" s="45" t="s">
        <v>207</v>
      </c>
      <c r="B57" s="47">
        <v>1140352</v>
      </c>
      <c r="C57" s="47">
        <v>12814647</v>
      </c>
      <c r="D57" s="47">
        <f t="shared" si="7"/>
        <v>13954999</v>
      </c>
      <c r="E57" s="47">
        <f t="shared" si="8"/>
        <v>-6407323.5</v>
      </c>
      <c r="I57" s="11">
        <f t="shared" si="2"/>
        <v>7547675.5</v>
      </c>
      <c r="J57" s="53">
        <f t="shared" si="5"/>
        <v>8.0130268723369747E-3</v>
      </c>
      <c r="K57" s="45" t="str">
        <f t="shared" si="9"/>
        <v>Yes</v>
      </c>
      <c r="L57" s="45" t="str">
        <f t="shared" si="10"/>
        <v xml:space="preserve"> </v>
      </c>
    </row>
    <row r="58" spans="1:12">
      <c r="A58" s="45" t="s">
        <v>327</v>
      </c>
      <c r="B58" s="47">
        <v>0</v>
      </c>
      <c r="C58" s="47">
        <v>3978360</v>
      </c>
      <c r="D58" s="47">
        <f t="shared" si="7"/>
        <v>3978360</v>
      </c>
      <c r="E58" s="47">
        <f t="shared" si="8"/>
        <v>-1989180</v>
      </c>
      <c r="I58" s="11">
        <f t="shared" si="2"/>
        <v>1989180</v>
      </c>
      <c r="J58" s="53">
        <f t="shared" si="5"/>
        <v>2.1118227451505118E-3</v>
      </c>
      <c r="K58" s="45" t="str">
        <f t="shared" si="9"/>
        <v>Yes</v>
      </c>
      <c r="L58" s="45" t="str">
        <f t="shared" si="10"/>
        <v xml:space="preserve"> </v>
      </c>
    </row>
    <row r="59" spans="1:12">
      <c r="A59" s="45" t="s">
        <v>326</v>
      </c>
      <c r="B59" s="47">
        <v>350</v>
      </c>
      <c r="C59" s="47">
        <v>5135326</v>
      </c>
      <c r="D59" s="47">
        <f t="shared" si="7"/>
        <v>5135676</v>
      </c>
      <c r="E59" s="47">
        <f t="shared" si="8"/>
        <v>-2567663</v>
      </c>
      <c r="I59" s="11">
        <f t="shared" si="2"/>
        <v>2568013</v>
      </c>
      <c r="J59" s="53">
        <f t="shared" si="5"/>
        <v>2.7263436507717759E-3</v>
      </c>
      <c r="K59" s="45" t="str">
        <f t="shared" si="9"/>
        <v>Yes</v>
      </c>
      <c r="L59" s="45" t="str">
        <f t="shared" si="10"/>
        <v xml:space="preserve"> </v>
      </c>
    </row>
    <row r="60" spans="1:12">
      <c r="A60" s="45" t="s">
        <v>208</v>
      </c>
      <c r="B60" s="47">
        <v>100</v>
      </c>
      <c r="C60" s="47">
        <v>0</v>
      </c>
      <c r="D60" s="47">
        <f t="shared" si="7"/>
        <v>100</v>
      </c>
      <c r="E60" s="47">
        <f t="shared" si="8"/>
        <v>0</v>
      </c>
      <c r="I60" s="11">
        <f t="shared" si="2"/>
        <v>0</v>
      </c>
      <c r="J60" s="53">
        <f t="shared" si="5"/>
        <v>0</v>
      </c>
      <c r="K60" s="45" t="str">
        <f t="shared" si="9"/>
        <v>Yes</v>
      </c>
      <c r="L60" s="45" t="str">
        <f t="shared" si="10"/>
        <v xml:space="preserve"> </v>
      </c>
    </row>
    <row r="61" spans="1:12">
      <c r="A61" s="45" t="s">
        <v>209</v>
      </c>
      <c r="B61" s="47">
        <v>73541807</v>
      </c>
      <c r="C61" s="47">
        <v>93660772</v>
      </c>
      <c r="D61" s="47">
        <f t="shared" si="7"/>
        <v>167202579</v>
      </c>
      <c r="E61" s="47">
        <f t="shared" si="8"/>
        <v>-46830386</v>
      </c>
      <c r="I61" s="11">
        <f t="shared" si="2"/>
        <v>120372193</v>
      </c>
      <c r="J61" s="53">
        <f t="shared" si="5"/>
        <v>0.12779373161858013</v>
      </c>
      <c r="K61" s="45" t="str">
        <f t="shared" si="9"/>
        <v>Yes</v>
      </c>
      <c r="L61" s="45" t="str">
        <f t="shared" si="10"/>
        <v xml:space="preserve"> </v>
      </c>
    </row>
    <row r="62" spans="1:12">
      <c r="A62" s="45" t="s">
        <v>210</v>
      </c>
      <c r="B62" s="47">
        <v>397974</v>
      </c>
      <c r="C62" s="47">
        <v>2839</v>
      </c>
      <c r="D62" s="47">
        <f t="shared" si="7"/>
        <v>400813</v>
      </c>
      <c r="E62" s="47">
        <f t="shared" si="8"/>
        <v>-1419.5</v>
      </c>
      <c r="I62" s="11">
        <f t="shared" si="2"/>
        <v>399393.5</v>
      </c>
      <c r="J62" s="53">
        <f t="shared" si="5"/>
        <v>4.2401807657691659E-4</v>
      </c>
      <c r="K62" s="45" t="str">
        <f t="shared" si="9"/>
        <v>Yes</v>
      </c>
      <c r="L62" s="45" t="str">
        <f t="shared" si="10"/>
        <v xml:space="preserve"> </v>
      </c>
    </row>
    <row r="63" spans="1:12">
      <c r="A63" s="45" t="s">
        <v>211</v>
      </c>
      <c r="B63" s="47">
        <f>55258790+4730</f>
        <v>55263520</v>
      </c>
      <c r="C63" s="47">
        <v>122401906</v>
      </c>
      <c r="D63" s="47">
        <f t="shared" si="7"/>
        <v>177665426</v>
      </c>
      <c r="E63" s="47">
        <f t="shared" si="8"/>
        <v>-61200953</v>
      </c>
      <c r="I63" s="11">
        <f t="shared" si="2"/>
        <v>116464473</v>
      </c>
      <c r="J63" s="53">
        <f t="shared" si="5"/>
        <v>0.12364508143223221</v>
      </c>
      <c r="K63" s="45" t="str">
        <f t="shared" si="9"/>
        <v>Yes</v>
      </c>
      <c r="L63" s="45" t="str">
        <f t="shared" si="10"/>
        <v xml:space="preserve"> </v>
      </c>
    </row>
    <row r="64" spans="1:12">
      <c r="A64" s="45" t="s">
        <v>212</v>
      </c>
      <c r="B64" s="47">
        <v>6741686</v>
      </c>
      <c r="C64" s="47">
        <v>-3828</v>
      </c>
      <c r="D64" s="47">
        <f t="shared" si="7"/>
        <v>6737858</v>
      </c>
      <c r="E64" s="47">
        <f t="shared" si="8"/>
        <v>1914</v>
      </c>
      <c r="I64" s="11">
        <f t="shared" si="2"/>
        <v>6739772</v>
      </c>
      <c r="J64" s="53">
        <f t="shared" si="5"/>
        <v>7.1553121420527832E-3</v>
      </c>
      <c r="K64" s="45" t="str">
        <f t="shared" si="9"/>
        <v>Yes</v>
      </c>
      <c r="L64" s="45" t="str">
        <f t="shared" si="10"/>
        <v xml:space="preserve"> </v>
      </c>
    </row>
    <row r="65" spans="1:12">
      <c r="A65" s="45" t="s">
        <v>213</v>
      </c>
      <c r="B65" s="47">
        <v>1284828</v>
      </c>
      <c r="C65" s="47">
        <v>19785</v>
      </c>
      <c r="D65" s="47">
        <f t="shared" si="7"/>
        <v>1304613</v>
      </c>
      <c r="E65" s="47">
        <f t="shared" si="8"/>
        <v>-9892.5</v>
      </c>
      <c r="I65" s="11">
        <f t="shared" si="2"/>
        <v>1294720.5</v>
      </c>
      <c r="J65" s="53">
        <f t="shared" si="5"/>
        <v>1.3745463962600887E-3</v>
      </c>
      <c r="K65" s="45" t="str">
        <f t="shared" si="9"/>
        <v>Yes</v>
      </c>
      <c r="L65" s="45" t="str">
        <f t="shared" si="10"/>
        <v xml:space="preserve"> </v>
      </c>
    </row>
    <row r="66" spans="1:12">
      <c r="A66" s="45" t="s">
        <v>214</v>
      </c>
      <c r="B66" s="47">
        <v>3423309</v>
      </c>
      <c r="C66" s="47">
        <v>0</v>
      </c>
      <c r="D66" s="47">
        <f t="shared" ref="D66:D73" si="17">SUM(B66:C66)</f>
        <v>3423309</v>
      </c>
      <c r="E66" s="47">
        <f t="shared" ref="E66:E73" si="18">C66*-0.5</f>
        <v>0</v>
      </c>
      <c r="I66" s="11">
        <f t="shared" si="2"/>
        <v>3423309</v>
      </c>
      <c r="J66" s="53">
        <f t="shared" si="5"/>
        <v>3.634372862123314E-3</v>
      </c>
      <c r="K66" s="45" t="str">
        <f t="shared" ref="K66:K73" si="19">IF(VLOOKUP(A66,Model,2,FALSE)&lt;&gt;"","Yes","No")</f>
        <v>Yes</v>
      </c>
      <c r="L66" s="45" t="str">
        <f t="shared" ref="L66:L80" si="20">IF((VLOOKUP(A66,Crosswalk,3,FALSE))=0," ",(VLOOKUP(A66,Crosswalk,3,FALSE)))</f>
        <v xml:space="preserve"> </v>
      </c>
    </row>
    <row r="67" spans="1:12">
      <c r="A67" s="45" t="s">
        <v>215</v>
      </c>
      <c r="B67" s="47">
        <v>3078571</v>
      </c>
      <c r="C67" s="47">
        <v>126066</v>
      </c>
      <c r="D67" s="47">
        <f t="shared" si="17"/>
        <v>3204637</v>
      </c>
      <c r="E67" s="47">
        <f t="shared" si="18"/>
        <v>-63033</v>
      </c>
      <c r="I67" s="11">
        <f t="shared" ref="I67:I80" si="21">IF((VLOOKUP(A67,Crosswalk,2,FALSE)="Excluded"),0,(D67+E67+F67+G67+H67))</f>
        <v>3141604</v>
      </c>
      <c r="J67" s="53">
        <f t="shared" si="5"/>
        <v>3.3352993612723982E-3</v>
      </c>
      <c r="K67" s="45" t="str">
        <f t="shared" si="19"/>
        <v>Yes</v>
      </c>
      <c r="L67" s="45" t="str">
        <f t="shared" si="20"/>
        <v xml:space="preserve"> </v>
      </c>
    </row>
    <row r="68" spans="1:12">
      <c r="A68" s="45" t="s">
        <v>216</v>
      </c>
      <c r="B68" s="47">
        <v>1788259</v>
      </c>
      <c r="C68" s="47">
        <v>2303329</v>
      </c>
      <c r="D68" s="47">
        <f t="shared" si="17"/>
        <v>4091588</v>
      </c>
      <c r="E68" s="47">
        <f t="shared" si="18"/>
        <v>-1151664.5</v>
      </c>
      <c r="I68" s="11">
        <f t="shared" si="21"/>
        <v>2939923.5</v>
      </c>
      <c r="J68" s="53">
        <f t="shared" ref="J68:J80" si="22">I68/(SUM($I$2:$I$80))</f>
        <v>3.1211842650250357E-3</v>
      </c>
      <c r="K68" s="45" t="str">
        <f t="shared" si="19"/>
        <v>Yes</v>
      </c>
      <c r="L68" s="45" t="str">
        <f t="shared" si="20"/>
        <v xml:space="preserve"> </v>
      </c>
    </row>
    <row r="69" spans="1:12">
      <c r="A69" s="45" t="s">
        <v>217</v>
      </c>
      <c r="B69" s="47">
        <v>2256092</v>
      </c>
      <c r="C69" s="47">
        <v>12383</v>
      </c>
      <c r="D69" s="47">
        <f t="shared" si="17"/>
        <v>2268475</v>
      </c>
      <c r="E69" s="47">
        <f t="shared" si="18"/>
        <v>-6191.5</v>
      </c>
      <c r="I69" s="11">
        <f t="shared" si="21"/>
        <v>2262283.5</v>
      </c>
      <c r="J69" s="53">
        <f t="shared" si="22"/>
        <v>2.4017644211578176E-3</v>
      </c>
      <c r="K69" s="45" t="str">
        <f t="shared" si="19"/>
        <v>Yes</v>
      </c>
      <c r="L69" s="45" t="str">
        <f t="shared" si="20"/>
        <v xml:space="preserve"> </v>
      </c>
    </row>
    <row r="70" spans="1:12">
      <c r="A70" s="45" t="s">
        <v>328</v>
      </c>
      <c r="B70" s="47">
        <v>350</v>
      </c>
      <c r="C70" s="47">
        <v>0</v>
      </c>
      <c r="D70" s="47">
        <f t="shared" si="17"/>
        <v>350</v>
      </c>
      <c r="E70" s="47">
        <f t="shared" si="18"/>
        <v>0</v>
      </c>
      <c r="I70" s="11">
        <f t="shared" si="21"/>
        <v>0</v>
      </c>
      <c r="J70" s="53">
        <f t="shared" si="22"/>
        <v>0</v>
      </c>
      <c r="K70" s="45" t="str">
        <f t="shared" si="19"/>
        <v>Yes</v>
      </c>
      <c r="L70" s="45" t="str">
        <f t="shared" si="20"/>
        <v xml:space="preserve"> </v>
      </c>
    </row>
    <row r="71" spans="1:12">
      <c r="A71" s="45" t="s">
        <v>218</v>
      </c>
      <c r="B71" s="47">
        <v>53712128</v>
      </c>
      <c r="C71" s="47">
        <v>0</v>
      </c>
      <c r="D71" s="47">
        <f t="shared" si="17"/>
        <v>53712128</v>
      </c>
      <c r="E71" s="47">
        <f t="shared" si="18"/>
        <v>0</v>
      </c>
      <c r="F71" s="47">
        <v>-49067245</v>
      </c>
      <c r="I71" s="11">
        <f t="shared" si="21"/>
        <v>4644883</v>
      </c>
      <c r="J71" s="53">
        <f t="shared" si="22"/>
        <v>4.9312629163589744E-3</v>
      </c>
      <c r="K71" s="45" t="str">
        <f t="shared" si="19"/>
        <v>Yes</v>
      </c>
      <c r="L71" s="45" t="str">
        <f t="shared" si="20"/>
        <v>Excludes insurance claim payouts (529721)</v>
      </c>
    </row>
    <row r="72" spans="1:12">
      <c r="A72" s="45" t="s">
        <v>219</v>
      </c>
      <c r="B72" s="47">
        <v>18818230</v>
      </c>
      <c r="C72" s="47">
        <v>3340350</v>
      </c>
      <c r="D72" s="47">
        <f t="shared" si="17"/>
        <v>22158580</v>
      </c>
      <c r="E72" s="47">
        <f t="shared" si="18"/>
        <v>-1670175</v>
      </c>
      <c r="I72" s="11">
        <f t="shared" si="21"/>
        <v>20488405</v>
      </c>
      <c r="J72" s="53">
        <f t="shared" si="22"/>
        <v>2.175161608846634E-2</v>
      </c>
      <c r="K72" s="45" t="str">
        <f t="shared" si="19"/>
        <v>Yes</v>
      </c>
      <c r="L72" s="45" t="str">
        <f t="shared" si="20"/>
        <v xml:space="preserve"> </v>
      </c>
    </row>
    <row r="73" spans="1:12">
      <c r="A73" s="45" t="s">
        <v>220</v>
      </c>
      <c r="B73" s="47">
        <v>17490543</v>
      </c>
      <c r="C73" s="47">
        <v>7486146</v>
      </c>
      <c r="D73" s="47">
        <f t="shared" si="17"/>
        <v>24976689</v>
      </c>
      <c r="E73" s="47">
        <f t="shared" si="18"/>
        <v>-3743073</v>
      </c>
      <c r="I73" s="11">
        <f t="shared" si="21"/>
        <v>21233616</v>
      </c>
      <c r="J73" s="53">
        <f t="shared" si="22"/>
        <v>2.2542773017319617E-2</v>
      </c>
      <c r="K73" s="45" t="str">
        <f t="shared" si="19"/>
        <v>Yes</v>
      </c>
      <c r="L73" s="45" t="str">
        <f t="shared" si="20"/>
        <v xml:space="preserve"> </v>
      </c>
    </row>
    <row r="74" spans="1:12">
      <c r="A74" s="45" t="s">
        <v>221</v>
      </c>
      <c r="B74" s="47">
        <v>5139416</v>
      </c>
      <c r="C74" s="47">
        <v>17204</v>
      </c>
      <c r="D74" s="47">
        <f t="shared" ref="D74:D80" si="23">SUM(B74:C74)</f>
        <v>5156620</v>
      </c>
      <c r="E74" s="47">
        <f t="shared" ref="E74:E80" si="24">C74*-0.5</f>
        <v>-8602</v>
      </c>
      <c r="I74" s="11">
        <f t="shared" si="21"/>
        <v>5148018</v>
      </c>
      <c r="J74" s="53">
        <f t="shared" si="22"/>
        <v>5.4654186674128269E-3</v>
      </c>
      <c r="K74" s="45" t="str">
        <f t="shared" ref="K74:K76" si="25">IF(VLOOKUP(A74,Model,2,FALSE)&lt;&gt;"","Yes","No")</f>
        <v>Yes</v>
      </c>
      <c r="L74" s="45" t="str">
        <f t="shared" si="20"/>
        <v xml:space="preserve"> </v>
      </c>
    </row>
    <row r="75" spans="1:12">
      <c r="A75" s="45" t="s">
        <v>222</v>
      </c>
      <c r="B75" s="47">
        <v>4745890</v>
      </c>
      <c r="C75" s="47">
        <v>21005</v>
      </c>
      <c r="D75" s="47">
        <f t="shared" si="23"/>
        <v>4766895</v>
      </c>
      <c r="E75" s="47">
        <f t="shared" si="24"/>
        <v>-10502.5</v>
      </c>
      <c r="I75" s="11">
        <f t="shared" si="21"/>
        <v>4756392.5</v>
      </c>
      <c r="J75" s="53">
        <f t="shared" si="22"/>
        <v>5.0496475262989306E-3</v>
      </c>
      <c r="K75" s="45" t="str">
        <f t="shared" si="25"/>
        <v>Yes</v>
      </c>
      <c r="L75" s="45" t="str">
        <f t="shared" si="20"/>
        <v xml:space="preserve"> </v>
      </c>
    </row>
    <row r="76" spans="1:12">
      <c r="A76" s="45" t="s">
        <v>223</v>
      </c>
      <c r="B76" s="47">
        <v>3484682</v>
      </c>
      <c r="C76" s="47">
        <v>21073</v>
      </c>
      <c r="D76" s="47">
        <f t="shared" si="23"/>
        <v>3505755</v>
      </c>
      <c r="E76" s="47">
        <f t="shared" si="24"/>
        <v>-10536.5</v>
      </c>
      <c r="I76" s="11">
        <f t="shared" si="21"/>
        <v>3495218.5</v>
      </c>
      <c r="J76" s="53">
        <f t="shared" si="22"/>
        <v>3.7107159370046222E-3</v>
      </c>
      <c r="K76" s="45" t="str">
        <f t="shared" si="25"/>
        <v>Yes</v>
      </c>
      <c r="L76" s="45" t="str">
        <f t="shared" si="20"/>
        <v xml:space="preserve"> </v>
      </c>
    </row>
    <row r="77" spans="1:12">
      <c r="A77" s="45" t="s">
        <v>224</v>
      </c>
      <c r="B77" s="47">
        <v>38276794</v>
      </c>
      <c r="C77" s="47">
        <v>3228638</v>
      </c>
      <c r="D77" s="47">
        <f t="shared" si="23"/>
        <v>41505432</v>
      </c>
      <c r="E77" s="47">
        <f t="shared" si="24"/>
        <v>-1614319</v>
      </c>
      <c r="I77" s="11">
        <f t="shared" si="21"/>
        <v>39891113</v>
      </c>
      <c r="J77" s="53">
        <f t="shared" si="22"/>
        <v>4.2350596609039538E-2</v>
      </c>
      <c r="K77" s="45" t="str">
        <f t="shared" ref="K77:K80" si="26">IF(VLOOKUP(A77,Model,2,FALSE)&lt;&gt;"","Yes","No")</f>
        <v>Yes</v>
      </c>
      <c r="L77" s="45" t="str">
        <f t="shared" si="20"/>
        <v xml:space="preserve"> </v>
      </c>
    </row>
    <row r="78" spans="1:12">
      <c r="A78" s="45" t="s">
        <v>225</v>
      </c>
      <c r="B78" s="47">
        <v>3563322</v>
      </c>
      <c r="C78" s="47">
        <v>948404</v>
      </c>
      <c r="D78" s="47">
        <f t="shared" si="23"/>
        <v>4511726</v>
      </c>
      <c r="E78" s="47">
        <f t="shared" si="24"/>
        <v>-474202</v>
      </c>
      <c r="I78" s="11">
        <f t="shared" si="21"/>
        <v>4037524</v>
      </c>
      <c r="J78" s="53">
        <f t="shared" si="22"/>
        <v>4.2864572423265239E-3</v>
      </c>
      <c r="K78" s="45" t="str">
        <f t="shared" si="26"/>
        <v>Yes</v>
      </c>
      <c r="L78" s="45" t="str">
        <f t="shared" si="20"/>
        <v xml:space="preserve"> </v>
      </c>
    </row>
    <row r="79" spans="1:12">
      <c r="A79" s="45" t="s">
        <v>226</v>
      </c>
      <c r="B79" s="47">
        <v>108209299</v>
      </c>
      <c r="C79" s="47">
        <v>170648</v>
      </c>
      <c r="D79" s="47">
        <f t="shared" si="23"/>
        <v>108379947</v>
      </c>
      <c r="E79" s="47">
        <f t="shared" si="24"/>
        <v>-85324</v>
      </c>
      <c r="F79" s="47">
        <f>-99417595-6429827</f>
        <v>-105847422</v>
      </c>
      <c r="I79" s="11">
        <f t="shared" si="21"/>
        <v>2447201</v>
      </c>
      <c r="J79" s="53">
        <f t="shared" si="22"/>
        <v>2.5980829958852781E-3</v>
      </c>
      <c r="K79" s="45" t="str">
        <f t="shared" si="26"/>
        <v>Yes</v>
      </c>
      <c r="L79" s="45" t="str">
        <f t="shared" si="20"/>
        <v>Excludes retirement payouts, PERS contributions, and disability/death benefits (547000, 547100)</v>
      </c>
    </row>
    <row r="80" spans="1:12">
      <c r="A80" s="45" t="s">
        <v>227</v>
      </c>
      <c r="B80" s="47">
        <v>7581</v>
      </c>
      <c r="C80" s="47">
        <v>0</v>
      </c>
      <c r="D80" s="47">
        <f t="shared" si="23"/>
        <v>7581</v>
      </c>
      <c r="E80" s="47">
        <f t="shared" si="24"/>
        <v>0</v>
      </c>
      <c r="I80" s="11">
        <f t="shared" si="21"/>
        <v>0</v>
      </c>
      <c r="J80" s="53">
        <f t="shared" si="22"/>
        <v>0</v>
      </c>
      <c r="K80" s="45" t="str">
        <f t="shared" si="26"/>
        <v>Yes</v>
      </c>
      <c r="L80" s="45" t="str">
        <f t="shared" si="20"/>
        <v xml:space="preserve"> </v>
      </c>
    </row>
  </sheetData>
  <pageMargins left="0.7" right="0.7" top="0.75" bottom="0.75" header="0.3" footer="0.3"/>
  <legacyDrawing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H43"/>
  <sheetViews>
    <sheetView topLeftCell="A7" workbookViewId="0">
      <selection activeCell="B29" sqref="B29"/>
    </sheetView>
  </sheetViews>
  <sheetFormatPr defaultRowHeight="13.2"/>
  <cols>
    <col min="1" max="1" width="11.44140625" bestFit="1" customWidth="1"/>
    <col min="2" max="2" width="8.44140625" bestFit="1" customWidth="1"/>
    <col min="3" max="3" width="8.44140625" style="45" customWidth="1"/>
    <col min="4" max="4" width="12.5546875" customWidth="1"/>
    <col min="5" max="5" width="11.109375" customWidth="1"/>
    <col min="6" max="6" width="11" customWidth="1"/>
    <col min="7" max="7" width="10.109375" customWidth="1"/>
    <col min="8" max="8" width="9.6640625" customWidth="1"/>
  </cols>
  <sheetData>
    <row r="1" spans="1:8" s="21" customFormat="1" ht="43.2">
      <c r="A1" s="23" t="s">
        <v>228</v>
      </c>
      <c r="B1" s="30" t="s">
        <v>390</v>
      </c>
      <c r="C1" s="30" t="s">
        <v>447</v>
      </c>
      <c r="D1" s="30" t="s">
        <v>446</v>
      </c>
      <c r="E1" s="30" t="s">
        <v>391</v>
      </c>
      <c r="F1" s="24" t="s">
        <v>343</v>
      </c>
      <c r="G1" s="6" t="s">
        <v>341</v>
      </c>
      <c r="H1" s="6" t="s">
        <v>346</v>
      </c>
    </row>
    <row r="2" spans="1:8" ht="14.4">
      <c r="A2" s="77" t="s">
        <v>163</v>
      </c>
      <c r="B2" s="78">
        <v>64</v>
      </c>
      <c r="C2" s="81">
        <v>-2</v>
      </c>
      <c r="D2">
        <v>-62</v>
      </c>
      <c r="E2" s="45">
        <f t="shared" ref="E2:E42" si="0">IF((VLOOKUP(A2,Crosswalk,2,FALSE)="Excluded"),0,(SUM(B2+C2+D2)))</f>
        <v>0</v>
      </c>
      <c r="F2" s="25">
        <f>E2/SUM($E$2:$E$42)</f>
        <v>0</v>
      </c>
      <c r="G2" s="45" t="str">
        <f t="shared" ref="G2:G41" si="1">IF(VLOOKUP(A2,Model,2,FALSE)&lt;&gt;"","Yes","No")</f>
        <v>Yes</v>
      </c>
      <c r="H2" s="45" t="str">
        <f t="shared" ref="H2:H40" si="2">IF((VLOOKUP(A2,Crosswalk,3,FALSE))=0," ",(VLOOKUP(A2,Crosswalk,3,FALSE)))</f>
        <v>100% Overhead</v>
      </c>
    </row>
    <row r="3" spans="1:8" ht="14.4">
      <c r="A3" s="77" t="s">
        <v>164</v>
      </c>
      <c r="B3" s="78">
        <v>64</v>
      </c>
      <c r="C3" s="81">
        <v>-4</v>
      </c>
      <c r="D3">
        <v>-60</v>
      </c>
      <c r="E3" s="45">
        <f t="shared" si="0"/>
        <v>0</v>
      </c>
      <c r="F3" s="25">
        <f t="shared" ref="F3:F42" si="3">E3/SUM($E$2:$E$42)</f>
        <v>0</v>
      </c>
      <c r="G3" s="45" t="str">
        <f t="shared" si="1"/>
        <v>Yes</v>
      </c>
      <c r="H3" s="45" t="str">
        <f t="shared" si="2"/>
        <v>100% Overhead</v>
      </c>
    </row>
    <row r="4" spans="1:8" ht="14.4">
      <c r="A4" s="77" t="s">
        <v>166</v>
      </c>
      <c r="B4" s="78">
        <v>20</v>
      </c>
      <c r="C4" s="81">
        <v>-2</v>
      </c>
      <c r="D4">
        <v>-18</v>
      </c>
      <c r="E4" s="45">
        <f t="shared" si="0"/>
        <v>0</v>
      </c>
      <c r="F4" s="25">
        <f t="shared" si="3"/>
        <v>0</v>
      </c>
      <c r="G4" s="45" t="str">
        <f t="shared" si="1"/>
        <v>Yes</v>
      </c>
      <c r="H4" s="45" t="str">
        <f t="shared" si="2"/>
        <v>100% Overhead</v>
      </c>
    </row>
    <row r="5" spans="1:8" ht="14.4">
      <c r="A5" s="77" t="s">
        <v>167</v>
      </c>
      <c r="B5" s="78">
        <v>751</v>
      </c>
      <c r="C5" s="81">
        <v>-14</v>
      </c>
      <c r="D5">
        <v>-1</v>
      </c>
      <c r="E5" s="45">
        <f t="shared" si="0"/>
        <v>736</v>
      </c>
      <c r="F5" s="25">
        <f t="shared" si="3"/>
        <v>8.3984709305642724E-2</v>
      </c>
      <c r="G5" s="45" t="str">
        <f t="shared" si="1"/>
        <v>Yes</v>
      </c>
      <c r="H5" s="45" t="str">
        <f t="shared" si="2"/>
        <v>Exclude expenditures for emergency mgmt (FREO000004 Fund Center)</v>
      </c>
    </row>
    <row r="6" spans="1:8" ht="14.4">
      <c r="A6" s="77" t="s">
        <v>159</v>
      </c>
      <c r="B6" s="78">
        <v>8</v>
      </c>
      <c r="C6" s="81"/>
      <c r="D6">
        <v>-8</v>
      </c>
      <c r="E6" s="45">
        <f t="shared" si="0"/>
        <v>0</v>
      </c>
      <c r="F6" s="25">
        <f t="shared" si="3"/>
        <v>0</v>
      </c>
      <c r="G6" s="45" t="str">
        <f t="shared" si="1"/>
        <v>Yes</v>
      </c>
      <c r="H6" s="45" t="str">
        <f t="shared" si="2"/>
        <v>100% Overhead</v>
      </c>
    </row>
    <row r="7" spans="1:8" ht="14.4">
      <c r="A7" s="77" t="s">
        <v>168</v>
      </c>
      <c r="B7" s="78">
        <v>60</v>
      </c>
      <c r="C7" s="81">
        <v>-2</v>
      </c>
      <c r="E7" s="45">
        <f t="shared" si="0"/>
        <v>58</v>
      </c>
      <c r="F7" s="25">
        <f t="shared" si="3"/>
        <v>6.6183602441946708E-3</v>
      </c>
      <c r="G7" s="45" t="str">
        <f t="shared" si="1"/>
        <v>Yes</v>
      </c>
      <c r="H7" s="45" t="str">
        <f t="shared" si="2"/>
        <v xml:space="preserve"> </v>
      </c>
    </row>
    <row r="8" spans="1:8" ht="14.4">
      <c r="A8" s="77" t="s">
        <v>161</v>
      </c>
      <c r="B8" s="78">
        <v>309</v>
      </c>
      <c r="C8" s="81">
        <v>-18</v>
      </c>
      <c r="D8" s="16">
        <f>-208+5</f>
        <v>-203</v>
      </c>
      <c r="E8" s="45">
        <f t="shared" si="0"/>
        <v>88</v>
      </c>
      <c r="F8" s="25">
        <f t="shared" si="3"/>
        <v>1.0041650025674673E-2</v>
      </c>
      <c r="G8" s="45" t="str">
        <f t="shared" si="1"/>
        <v>Yes</v>
      </c>
      <c r="H8" s="45" t="str">
        <f t="shared" si="2"/>
        <v>Exclude MFHR, MFDR, MFIB</v>
      </c>
    </row>
    <row r="9" spans="1:8" ht="14.4">
      <c r="A9" s="77" t="s">
        <v>165</v>
      </c>
      <c r="B9" s="78">
        <v>28</v>
      </c>
      <c r="C9" s="81">
        <v>-2</v>
      </c>
      <c r="D9" s="16">
        <f>-26+1</f>
        <v>-25</v>
      </c>
      <c r="E9" s="45">
        <f t="shared" si="0"/>
        <v>1</v>
      </c>
      <c r="F9" s="25">
        <f t="shared" si="3"/>
        <v>1.1410965938266674E-4</v>
      </c>
      <c r="G9" s="45" t="str">
        <f t="shared" si="1"/>
        <v>Yes</v>
      </c>
      <c r="H9" s="45" t="str">
        <f t="shared" si="2"/>
        <v>Exclude expenditures for Admin &amp; Support (LAMYAS Functional Area)</v>
      </c>
    </row>
    <row r="10" spans="1:8" ht="14.4">
      <c r="A10" s="77" t="s">
        <v>162</v>
      </c>
      <c r="B10" s="78">
        <v>55</v>
      </c>
      <c r="C10" s="81">
        <v>-4</v>
      </c>
      <c r="D10" s="16">
        <v>-6</v>
      </c>
      <c r="E10" s="45">
        <f t="shared" si="0"/>
        <v>45</v>
      </c>
      <c r="F10" s="25">
        <f t="shared" si="3"/>
        <v>5.1349346722200035E-3</v>
      </c>
      <c r="G10" s="45" t="str">
        <f t="shared" si="1"/>
        <v>Yes</v>
      </c>
      <c r="H10" s="45" t="str">
        <f t="shared" si="2"/>
        <v>Exclude expenditures for Information &amp; Referral and Public Involvement best practices (CDIR, CDNRNOPI)</v>
      </c>
    </row>
    <row r="11" spans="1:8" ht="14.4">
      <c r="A11" s="77" t="s">
        <v>318</v>
      </c>
      <c r="B11" s="78">
        <v>9</v>
      </c>
      <c r="C11" s="81"/>
      <c r="E11" s="45">
        <f t="shared" si="0"/>
        <v>9</v>
      </c>
      <c r="F11" s="25">
        <f t="shared" si="3"/>
        <v>1.0269869344440006E-3</v>
      </c>
      <c r="G11" s="45" t="str">
        <f t="shared" si="1"/>
        <v>Yes</v>
      </c>
      <c r="H11" s="45" t="str">
        <f t="shared" si="2"/>
        <v>Rollback in 09-10 &amp; 10-11. Exclude expenditures for Citywide Comm, Training, Tech Support and % admin (CDCEEC, TE, TS &amp; portion CDAS (68%))</v>
      </c>
    </row>
    <row r="12" spans="1:8" ht="14.4">
      <c r="A12" s="77" t="s">
        <v>154</v>
      </c>
      <c r="B12" s="78">
        <v>15</v>
      </c>
      <c r="C12" s="81">
        <v>-1</v>
      </c>
      <c r="D12" s="16">
        <f>-13+1</f>
        <v>-12</v>
      </c>
      <c r="E12" s="45">
        <f t="shared" si="0"/>
        <v>2</v>
      </c>
      <c r="F12" s="25">
        <f t="shared" si="3"/>
        <v>2.2821931876533348E-4</v>
      </c>
      <c r="G12" s="45" t="str">
        <f t="shared" si="1"/>
        <v>Yes</v>
      </c>
      <c r="H12" s="45" t="str">
        <f t="shared" si="2"/>
        <v>Exclude Commissioner's Office (PACO000001)</v>
      </c>
    </row>
    <row r="13" spans="1:8" ht="14.4">
      <c r="A13" s="77" t="s">
        <v>169</v>
      </c>
      <c r="B13" s="78">
        <v>5011</v>
      </c>
      <c r="C13" s="81">
        <v>-1379</v>
      </c>
      <c r="E13" s="45">
        <f t="shared" si="0"/>
        <v>3632</v>
      </c>
      <c r="F13" s="25">
        <f t="shared" si="3"/>
        <v>0.41444628287784563</v>
      </c>
      <c r="G13" s="45" t="str">
        <f t="shared" si="1"/>
        <v>Yes</v>
      </c>
      <c r="H13" s="45" t="str">
        <f t="shared" si="2"/>
        <v xml:space="preserve"> </v>
      </c>
    </row>
    <row r="14" spans="1:8" ht="14.4">
      <c r="A14" s="77" t="s">
        <v>170</v>
      </c>
      <c r="B14" s="78">
        <v>1229</v>
      </c>
      <c r="C14" s="81">
        <v>-4</v>
      </c>
      <c r="E14" s="45">
        <f t="shared" si="0"/>
        <v>1225</v>
      </c>
      <c r="F14" s="25">
        <f t="shared" si="3"/>
        <v>0.13978433274376675</v>
      </c>
      <c r="G14" s="45" t="str">
        <f t="shared" si="1"/>
        <v>Yes</v>
      </c>
      <c r="H14" s="45" t="str">
        <f t="shared" si="2"/>
        <v xml:space="preserve"> </v>
      </c>
    </row>
    <row r="15" spans="1:8" ht="14.4">
      <c r="A15" s="77" t="s">
        <v>153</v>
      </c>
      <c r="B15" s="78">
        <v>102</v>
      </c>
      <c r="C15" s="81">
        <v>-11</v>
      </c>
      <c r="D15" s="16">
        <f>(16*-0.5)-10+3.5</f>
        <v>-14.5</v>
      </c>
      <c r="E15" s="45">
        <f t="shared" si="0"/>
        <v>76.5</v>
      </c>
      <c r="F15" s="25">
        <f t="shared" si="3"/>
        <v>8.7293889427740058E-3</v>
      </c>
      <c r="G15" s="45" t="str">
        <f t="shared" si="1"/>
        <v>Yes</v>
      </c>
      <c r="H15" s="45" t="str">
        <f t="shared" si="2"/>
        <v>Exclude expenditures for Comp Planning &amp; 1/2 of district liaisons (CDAPDI, CDCP00)</v>
      </c>
    </row>
    <row r="16" spans="1:8" ht="14.4">
      <c r="A16" s="77" t="s">
        <v>155</v>
      </c>
      <c r="B16" s="78">
        <v>7</v>
      </c>
      <c r="C16" s="81">
        <v>-1</v>
      </c>
      <c r="D16">
        <v>-6</v>
      </c>
      <c r="E16" s="45">
        <f t="shared" si="0"/>
        <v>0</v>
      </c>
      <c r="F16" s="25">
        <f t="shared" si="3"/>
        <v>0</v>
      </c>
      <c r="G16" s="45" t="str">
        <f t="shared" si="1"/>
        <v>Yes</v>
      </c>
      <c r="H16" s="45" t="str">
        <f t="shared" si="2"/>
        <v>100% Overhead</v>
      </c>
    </row>
    <row r="17" spans="1:8" ht="14.4">
      <c r="A17" s="77" t="s">
        <v>156</v>
      </c>
      <c r="B17" s="78">
        <v>8</v>
      </c>
      <c r="C17" s="81"/>
      <c r="D17">
        <v>-8</v>
      </c>
      <c r="E17" s="45">
        <f t="shared" si="0"/>
        <v>0</v>
      </c>
      <c r="F17" s="25">
        <f t="shared" si="3"/>
        <v>0</v>
      </c>
      <c r="G17" s="45" t="str">
        <f t="shared" si="1"/>
        <v>Yes</v>
      </c>
      <c r="H17" s="45" t="str">
        <f t="shared" si="2"/>
        <v>100% Overhead</v>
      </c>
    </row>
    <row r="18" spans="1:8" ht="14.4">
      <c r="A18" s="77" t="s">
        <v>157</v>
      </c>
      <c r="B18" s="78">
        <v>12</v>
      </c>
      <c r="C18" s="81">
        <v>-2</v>
      </c>
      <c r="D18">
        <v>-10</v>
      </c>
      <c r="E18" s="45">
        <f t="shared" si="0"/>
        <v>0</v>
      </c>
      <c r="F18" s="25">
        <f t="shared" si="3"/>
        <v>0</v>
      </c>
      <c r="G18" s="45" t="str">
        <f t="shared" si="1"/>
        <v>Yes</v>
      </c>
      <c r="H18" s="45" t="str">
        <f t="shared" si="2"/>
        <v>100% Overhead</v>
      </c>
    </row>
    <row r="19" spans="1:8" ht="14.4">
      <c r="A19" s="77" t="s">
        <v>172</v>
      </c>
      <c r="B19" s="78">
        <v>773</v>
      </c>
      <c r="C19" s="81">
        <v>-19</v>
      </c>
      <c r="E19" s="45">
        <f t="shared" si="0"/>
        <v>754</v>
      </c>
      <c r="F19" s="25">
        <f t="shared" si="3"/>
        <v>8.6038683174530728E-2</v>
      </c>
      <c r="G19" s="45" t="str">
        <f t="shared" si="1"/>
        <v>Yes</v>
      </c>
      <c r="H19" s="45" t="str">
        <f t="shared" si="2"/>
        <v xml:space="preserve"> </v>
      </c>
    </row>
    <row r="20" spans="1:8" ht="14.4">
      <c r="A20" s="77" t="s">
        <v>173</v>
      </c>
      <c r="B20" s="78">
        <v>146</v>
      </c>
      <c r="C20" s="81">
        <v>-3</v>
      </c>
      <c r="E20" s="45">
        <f t="shared" si="0"/>
        <v>143</v>
      </c>
      <c r="F20" s="25">
        <f t="shared" si="3"/>
        <v>1.6317681291721346E-2</v>
      </c>
      <c r="G20" s="45" t="str">
        <f t="shared" si="1"/>
        <v>Yes</v>
      </c>
      <c r="H20" s="45" t="str">
        <f t="shared" si="2"/>
        <v xml:space="preserve"> </v>
      </c>
    </row>
    <row r="21" spans="1:8" ht="14.4">
      <c r="A21" s="77" t="s">
        <v>175</v>
      </c>
      <c r="B21" s="78">
        <v>215</v>
      </c>
      <c r="C21" s="81">
        <v>-1</v>
      </c>
      <c r="E21" s="45">
        <f t="shared" si="0"/>
        <v>214</v>
      </c>
      <c r="F21" s="25">
        <f t="shared" si="3"/>
        <v>2.4419467107890683E-2</v>
      </c>
      <c r="G21" s="45" t="str">
        <f t="shared" si="1"/>
        <v>Yes</v>
      </c>
      <c r="H21" s="45" t="str">
        <f t="shared" si="2"/>
        <v xml:space="preserve"> </v>
      </c>
    </row>
    <row r="22" spans="1:8" ht="14.4">
      <c r="A22" s="77" t="s">
        <v>183</v>
      </c>
      <c r="B22" s="78">
        <v>5</v>
      </c>
      <c r="C22" s="81"/>
      <c r="D22">
        <v>-5</v>
      </c>
      <c r="E22" s="45">
        <f t="shared" si="0"/>
        <v>0</v>
      </c>
      <c r="F22" s="25">
        <f t="shared" si="3"/>
        <v>0</v>
      </c>
      <c r="G22" s="45" t="str">
        <f t="shared" si="1"/>
        <v>Yes</v>
      </c>
      <c r="H22" s="45" t="str">
        <f t="shared" si="2"/>
        <v>Fixed at $25,000 (hardcoded in Model)</v>
      </c>
    </row>
    <row r="23" spans="1:8" ht="14.4">
      <c r="A23" s="77" t="s">
        <v>199</v>
      </c>
      <c r="B23" s="78">
        <v>2</v>
      </c>
      <c r="C23" s="81">
        <v>-2</v>
      </c>
      <c r="E23" s="45">
        <f t="shared" si="0"/>
        <v>0</v>
      </c>
      <c r="F23" s="25">
        <f t="shared" si="3"/>
        <v>0</v>
      </c>
      <c r="G23" s="45" t="str">
        <f t="shared" si="1"/>
        <v>Yes</v>
      </c>
      <c r="H23" s="45" t="str">
        <f t="shared" si="2"/>
        <v xml:space="preserve"> </v>
      </c>
    </row>
    <row r="24" spans="1:8" ht="14.4">
      <c r="A24" s="77" t="s">
        <v>207</v>
      </c>
      <c r="B24" s="78">
        <v>11</v>
      </c>
      <c r="C24" s="81">
        <v>-1</v>
      </c>
      <c r="E24" s="45">
        <f t="shared" si="0"/>
        <v>10</v>
      </c>
      <c r="F24" s="25">
        <f t="shared" si="3"/>
        <v>1.1410965938266674E-3</v>
      </c>
      <c r="G24" s="45" t="str">
        <f t="shared" si="1"/>
        <v>Yes</v>
      </c>
      <c r="H24" s="45" t="str">
        <f t="shared" si="2"/>
        <v xml:space="preserve"> </v>
      </c>
    </row>
    <row r="25" spans="1:8" ht="14.4">
      <c r="A25" s="77" t="s">
        <v>209</v>
      </c>
      <c r="B25" s="78">
        <v>627</v>
      </c>
      <c r="C25" s="81">
        <v>-67</v>
      </c>
      <c r="E25" s="45">
        <f t="shared" si="0"/>
        <v>560</v>
      </c>
      <c r="F25" s="25">
        <f t="shared" si="3"/>
        <v>6.390140925429337E-2</v>
      </c>
      <c r="G25" s="45" t="str">
        <f t="shared" si="1"/>
        <v>Yes</v>
      </c>
      <c r="H25" s="45" t="str">
        <f t="shared" si="2"/>
        <v xml:space="preserve"> </v>
      </c>
    </row>
    <row r="26" spans="1:8" ht="14.4">
      <c r="A26" s="77" t="s">
        <v>210</v>
      </c>
      <c r="B26" s="78">
        <v>3</v>
      </c>
      <c r="C26" s="81"/>
      <c r="E26" s="45">
        <f t="shared" si="0"/>
        <v>3</v>
      </c>
      <c r="F26" s="25">
        <f t="shared" si="3"/>
        <v>3.4232897814800024E-4</v>
      </c>
      <c r="G26" s="45" t="str">
        <f t="shared" si="1"/>
        <v>Yes</v>
      </c>
      <c r="H26" s="45" t="str">
        <f t="shared" si="2"/>
        <v xml:space="preserve"> </v>
      </c>
    </row>
    <row r="27" spans="1:8" ht="14.4">
      <c r="A27" s="77" t="s">
        <v>211</v>
      </c>
      <c r="B27" s="78">
        <v>673</v>
      </c>
      <c r="C27" s="81">
        <v>-45</v>
      </c>
      <c r="E27" s="45">
        <f t="shared" si="0"/>
        <v>628</v>
      </c>
      <c r="F27" s="25">
        <f t="shared" si="3"/>
        <v>7.1660866092314715E-2</v>
      </c>
      <c r="G27" s="45" t="str">
        <f t="shared" si="1"/>
        <v>Yes</v>
      </c>
      <c r="H27" s="45" t="str">
        <f t="shared" si="2"/>
        <v xml:space="preserve"> </v>
      </c>
    </row>
    <row r="28" spans="1:8" ht="14.4">
      <c r="A28" s="77" t="s">
        <v>212</v>
      </c>
      <c r="B28" s="78">
        <v>97</v>
      </c>
      <c r="C28" s="81">
        <v>-49</v>
      </c>
      <c r="E28" s="45">
        <f t="shared" si="0"/>
        <v>48</v>
      </c>
      <c r="F28" s="25">
        <f t="shared" si="3"/>
        <v>5.4772636503680038E-3</v>
      </c>
      <c r="G28" s="45" t="str">
        <f t="shared" si="1"/>
        <v>Yes</v>
      </c>
      <c r="H28" s="45" t="str">
        <f t="shared" si="2"/>
        <v xml:space="preserve"> </v>
      </c>
    </row>
    <row r="29" spans="1:8" ht="14.4">
      <c r="A29" s="77" t="s">
        <v>213</v>
      </c>
      <c r="B29" s="78">
        <v>90</v>
      </c>
      <c r="C29" s="81">
        <v>-16</v>
      </c>
      <c r="E29" s="45">
        <f t="shared" si="0"/>
        <v>74</v>
      </c>
      <c r="F29" s="25">
        <f t="shared" si="3"/>
        <v>8.4441147943173384E-3</v>
      </c>
      <c r="G29" s="45" t="str">
        <f t="shared" si="1"/>
        <v>Yes</v>
      </c>
      <c r="H29" s="45" t="str">
        <f t="shared" si="2"/>
        <v xml:space="preserve"> </v>
      </c>
    </row>
    <row r="30" spans="1:8" ht="14.4">
      <c r="A30" s="77" t="s">
        <v>214</v>
      </c>
      <c r="B30" s="78">
        <v>35</v>
      </c>
      <c r="C30" s="81">
        <v>-6</v>
      </c>
      <c r="E30" s="45">
        <f t="shared" si="0"/>
        <v>29</v>
      </c>
      <c r="F30" s="25">
        <f t="shared" si="3"/>
        <v>3.3091801220973354E-3</v>
      </c>
      <c r="G30" s="45" t="str">
        <f t="shared" si="1"/>
        <v>Yes</v>
      </c>
      <c r="H30" s="45" t="str">
        <f t="shared" si="2"/>
        <v xml:space="preserve"> </v>
      </c>
    </row>
    <row r="31" spans="1:8" ht="14.4">
      <c r="A31" s="77" t="s">
        <v>215</v>
      </c>
      <c r="B31" s="78">
        <v>1</v>
      </c>
      <c r="C31" s="81"/>
      <c r="E31" s="45">
        <f t="shared" si="0"/>
        <v>1</v>
      </c>
      <c r="F31" s="25">
        <f t="shared" si="3"/>
        <v>1.1410965938266674E-4</v>
      </c>
      <c r="G31" s="45" t="str">
        <f t="shared" si="1"/>
        <v>Yes</v>
      </c>
      <c r="H31" s="45" t="str">
        <f t="shared" si="2"/>
        <v xml:space="preserve"> </v>
      </c>
    </row>
    <row r="32" spans="1:8" ht="14.4">
      <c r="A32" s="77" t="s">
        <v>216</v>
      </c>
      <c r="B32" s="78">
        <v>1</v>
      </c>
      <c r="C32" s="81"/>
      <c r="E32" s="45">
        <f t="shared" si="0"/>
        <v>1</v>
      </c>
      <c r="F32" s="25">
        <f t="shared" si="3"/>
        <v>1.1410965938266674E-4</v>
      </c>
      <c r="G32" s="45" t="str">
        <f t="shared" si="1"/>
        <v>Yes</v>
      </c>
      <c r="H32" s="45" t="str">
        <f t="shared" si="2"/>
        <v xml:space="preserve"> </v>
      </c>
    </row>
    <row r="33" spans="1:8" ht="14.4">
      <c r="A33" s="77" t="s">
        <v>217</v>
      </c>
      <c r="B33" s="78">
        <v>4</v>
      </c>
      <c r="C33" s="81"/>
      <c r="E33" s="45">
        <f t="shared" si="0"/>
        <v>4</v>
      </c>
      <c r="F33" s="25">
        <f t="shared" si="3"/>
        <v>4.5643863753066697E-4</v>
      </c>
      <c r="G33" s="45" t="str">
        <f t="shared" si="1"/>
        <v>Yes</v>
      </c>
      <c r="H33" s="45" t="str">
        <f t="shared" si="2"/>
        <v xml:space="preserve"> </v>
      </c>
    </row>
    <row r="34" spans="1:8" ht="14.4">
      <c r="A34" s="77" t="s">
        <v>218</v>
      </c>
      <c r="B34" s="78">
        <v>12</v>
      </c>
      <c r="C34" s="81">
        <v>-1</v>
      </c>
      <c r="E34" s="45">
        <f t="shared" si="0"/>
        <v>11</v>
      </c>
      <c r="F34" s="25">
        <f t="shared" si="3"/>
        <v>1.2552062532093342E-3</v>
      </c>
      <c r="G34" s="45" t="str">
        <f t="shared" si="1"/>
        <v>Yes</v>
      </c>
      <c r="H34" s="45" t="str">
        <f t="shared" si="2"/>
        <v>Excludes insurance claim payouts (529721)</v>
      </c>
    </row>
    <row r="35" spans="1:8" ht="14.4">
      <c r="A35" s="77" t="s">
        <v>219</v>
      </c>
      <c r="B35" s="78">
        <v>35</v>
      </c>
      <c r="C35" s="81"/>
      <c r="E35" s="45">
        <f t="shared" si="0"/>
        <v>35</v>
      </c>
      <c r="F35" s="25">
        <f t="shared" si="3"/>
        <v>3.9938380783933356E-3</v>
      </c>
      <c r="G35" s="45" t="str">
        <f t="shared" si="1"/>
        <v>Yes</v>
      </c>
      <c r="H35" s="45" t="str">
        <f t="shared" si="2"/>
        <v xml:space="preserve"> </v>
      </c>
    </row>
    <row r="36" spans="1:8" ht="14.4">
      <c r="A36" s="77" t="s">
        <v>220</v>
      </c>
      <c r="B36" s="78">
        <v>78</v>
      </c>
      <c r="C36" s="81">
        <v>-1</v>
      </c>
      <c r="E36" s="45">
        <f t="shared" si="0"/>
        <v>77</v>
      </c>
      <c r="F36" s="25">
        <f t="shared" si="3"/>
        <v>8.7864437724653396E-3</v>
      </c>
      <c r="G36" s="45" t="str">
        <f t="shared" si="1"/>
        <v>Yes</v>
      </c>
      <c r="H36" s="45" t="str">
        <f t="shared" si="2"/>
        <v xml:space="preserve"> </v>
      </c>
    </row>
    <row r="37" spans="1:8" ht="14.4">
      <c r="A37" s="77" t="s">
        <v>221</v>
      </c>
      <c r="B37" s="78">
        <v>24</v>
      </c>
      <c r="C37" s="81"/>
      <c r="E37" s="45">
        <f t="shared" si="0"/>
        <v>24</v>
      </c>
      <c r="F37" s="25">
        <f t="shared" si="3"/>
        <v>2.7386318251840019E-3</v>
      </c>
      <c r="G37" s="45" t="str">
        <f t="shared" si="1"/>
        <v>Yes</v>
      </c>
      <c r="H37" s="45" t="str">
        <f t="shared" si="2"/>
        <v xml:space="preserve"> </v>
      </c>
    </row>
    <row r="38" spans="1:8" ht="14.4">
      <c r="A38" s="77" t="s">
        <v>222</v>
      </c>
      <c r="B38" s="78">
        <v>15</v>
      </c>
      <c r="C38" s="81">
        <v>-1</v>
      </c>
      <c r="E38" s="45">
        <f t="shared" si="0"/>
        <v>14</v>
      </c>
      <c r="F38" s="25">
        <f t="shared" si="3"/>
        <v>1.5975352313573343E-3</v>
      </c>
      <c r="G38" s="45" t="str">
        <f t="shared" si="1"/>
        <v>Yes</v>
      </c>
      <c r="H38" s="45" t="str">
        <f t="shared" si="2"/>
        <v xml:space="preserve"> </v>
      </c>
    </row>
    <row r="39" spans="1:8" ht="14.4">
      <c r="A39" s="77" t="s">
        <v>223</v>
      </c>
      <c r="B39" s="78">
        <v>8</v>
      </c>
      <c r="C39" s="81">
        <v>-1</v>
      </c>
      <c r="E39" s="45">
        <f t="shared" si="0"/>
        <v>7</v>
      </c>
      <c r="F39" s="25">
        <f t="shared" si="3"/>
        <v>7.9876761567866715E-4</v>
      </c>
      <c r="G39" s="45" t="str">
        <f t="shared" si="1"/>
        <v>Yes</v>
      </c>
      <c r="H39" s="45" t="str">
        <f t="shared" si="2"/>
        <v xml:space="preserve"> </v>
      </c>
    </row>
    <row r="40" spans="1:8" ht="14.4">
      <c r="A40" s="77" t="s">
        <v>224</v>
      </c>
      <c r="B40" s="78">
        <v>218</v>
      </c>
      <c r="C40" s="81">
        <v>-4</v>
      </c>
      <c r="E40" s="45">
        <f t="shared" si="0"/>
        <v>214</v>
      </c>
      <c r="F40" s="25">
        <f t="shared" si="3"/>
        <v>2.4419467107890683E-2</v>
      </c>
      <c r="G40" s="45" t="str">
        <f t="shared" si="1"/>
        <v>Yes</v>
      </c>
      <c r="H40" s="45" t="str">
        <f t="shared" si="2"/>
        <v xml:space="preserve"> </v>
      </c>
    </row>
    <row r="41" spans="1:8" ht="14.4">
      <c r="A41" s="77" t="s">
        <v>225</v>
      </c>
      <c r="B41" s="78">
        <v>21</v>
      </c>
      <c r="C41" s="81"/>
      <c r="E41" s="45">
        <f t="shared" si="0"/>
        <v>21</v>
      </c>
      <c r="F41" s="25">
        <f t="shared" si="3"/>
        <v>2.3963028470360016E-3</v>
      </c>
      <c r="G41" s="45" t="str">
        <f t="shared" si="1"/>
        <v>Yes</v>
      </c>
      <c r="H41" s="21"/>
    </row>
    <row r="42" spans="1:8" ht="14.4">
      <c r="A42" s="77" t="s">
        <v>226</v>
      </c>
      <c r="B42" s="78">
        <v>20</v>
      </c>
      <c r="C42" s="81">
        <v>-1</v>
      </c>
      <c r="E42" s="45">
        <f t="shared" si="0"/>
        <v>19</v>
      </c>
      <c r="F42" s="25">
        <f t="shared" si="3"/>
        <v>2.168083528270668E-3</v>
      </c>
      <c r="G42" s="45" t="str">
        <f t="shared" ref="G42" si="4">IF(VLOOKUP(A42,Model,2,FALSE)&lt;&gt;"","Yes","No")</f>
        <v>Yes</v>
      </c>
      <c r="H42" s="21"/>
    </row>
    <row r="43" spans="1:8" ht="14.4">
      <c r="F43" s="22">
        <f>SUM(F2:F42)</f>
        <v>0.99999999999999989</v>
      </c>
    </row>
  </sheetData>
  <pageMargins left="0.7" right="0.7" top="0.75" bottom="0.75" header="0.3" footer="0.3"/>
  <pageSetup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14</vt:i4>
      </vt:variant>
      <vt:variant>
        <vt:lpstr>Named Ranges</vt:lpstr>
      </vt:variant>
      <vt:variant>
        <vt:i4>14</vt:i4>
      </vt:variant>
    </vt:vector>
  </HeadingPairs>
  <TitlesOfParts>
    <vt:vector size="28" baseType="lpstr">
      <vt:lpstr>Cost Pool</vt:lpstr>
      <vt:lpstr>Charges</vt:lpstr>
      <vt:lpstr>Model</vt:lpstr>
      <vt:lpstr>Lookup Values</vt:lpstr>
      <vt:lpstr>$ FY 2008-09</vt:lpstr>
      <vt:lpstr>Pos FY 2008-09</vt:lpstr>
      <vt:lpstr>$ FY 2009-10</vt:lpstr>
      <vt:lpstr>Pos FY 2009-10</vt:lpstr>
      <vt:lpstr>$ FY 2010-11</vt:lpstr>
      <vt:lpstr>Pos FY 2010-11</vt:lpstr>
      <vt:lpstr>$ FY 2011-12</vt:lpstr>
      <vt:lpstr>Pos FY 2011-12</vt:lpstr>
      <vt:lpstr>$ FY 2012-13</vt:lpstr>
      <vt:lpstr>Pos FY 2012-13</vt:lpstr>
      <vt:lpstr>Bureaus</vt:lpstr>
      <vt:lpstr>Crosswalk</vt:lpstr>
      <vt:lpstr>Funds</vt:lpstr>
      <vt:lpstr>FY2008_09</vt:lpstr>
      <vt:lpstr>FY2008_09P</vt:lpstr>
      <vt:lpstr>FY2009_10</vt:lpstr>
      <vt:lpstr>FY2009_10P</vt:lpstr>
      <vt:lpstr>FY2010_11</vt:lpstr>
      <vt:lpstr>FY2010_11P</vt:lpstr>
      <vt:lpstr>FY2011_12</vt:lpstr>
      <vt:lpstr>FY2011_12P</vt:lpstr>
      <vt:lpstr>FY2012_13</vt:lpstr>
      <vt:lpstr>FY2012_13P</vt:lpstr>
      <vt:lpstr>Model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Patton, Jeramy</dc:creator>
  <cp:lastModifiedBy>fajeramy</cp:lastModifiedBy>
  <cp:lastPrinted>2013-11-22T21:35:47Z</cp:lastPrinted>
  <dcterms:created xsi:type="dcterms:W3CDTF">2013-06-05T21:02:07Z</dcterms:created>
  <dcterms:modified xsi:type="dcterms:W3CDTF">2013-12-04T21:32:10Z</dcterms:modified>
</cp:coreProperties>
</file>