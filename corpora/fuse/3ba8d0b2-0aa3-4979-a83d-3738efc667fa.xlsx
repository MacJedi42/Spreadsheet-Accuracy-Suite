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5" yWindow="-15" windowWidth="9600" windowHeight="8565" tabRatio="601"/>
  </bookViews>
  <sheets>
    <sheet name="Total US by Qtr &amp; Year" sheetId="1" r:id="rId1"/>
    <sheet name="by Stage of Dev" sheetId="5" r:id="rId2"/>
    <sheet name="by Industry" sheetId="3" r:id="rId3"/>
    <sheet name="Internet-Specific" sheetId="11" r:id="rId4"/>
    <sheet name="Cleantech" sheetId="12" r:id="rId5"/>
    <sheet name="First Sequence by Stage of Dev" sheetId="9" r:id="rId6"/>
    <sheet name="First Sequence by Industry" sheetId="8" r:id="rId7"/>
  </sheets>
  <definedNames>
    <definedName name="_xlnm.Print_Area" localSheetId="2">'by Industry'!$A$1:$CK$55</definedName>
    <definedName name="_xlnm.Print_Area" localSheetId="1">'by Stage of Dev'!$A$1:$CK$29</definedName>
    <definedName name="_xlnm.Print_Area" localSheetId="4">Cleantech!$A$1:$AK$20</definedName>
    <definedName name="_xlnm.Print_Area" localSheetId="6">'First Sequence by Industry'!$A$1:$CK$54</definedName>
    <definedName name="_xlnm.Print_Area" localSheetId="5">'First Sequence by Stage of Dev'!$A$1:$CK$27</definedName>
    <definedName name="_xlnm.Print_Area" localSheetId="3">'Internet-Specific'!$A$1:$BS$27</definedName>
    <definedName name="_xlnm.Print_Area" localSheetId="0">'Total US by Qtr &amp; Year'!$A$1:$AK$20</definedName>
    <definedName name="_xlnm.Print_Titles" localSheetId="2">'by Industry'!$A:$A,'by Industry'!$3:$9</definedName>
    <definedName name="_xlnm.Print_Titles" localSheetId="1">'by Stage of Dev'!$A:$A,'by Stage of Dev'!$3:$7</definedName>
    <definedName name="_xlnm.Print_Titles" localSheetId="4">Cleantech!$A:$A</definedName>
    <definedName name="_xlnm.Print_Titles" localSheetId="6">'First Sequence by Industry'!$A:$A,'First Sequence by Industry'!$2:$7</definedName>
    <definedName name="_xlnm.Print_Titles" localSheetId="5">'First Sequence by Stage of Dev'!$A:$A</definedName>
    <definedName name="_xlnm.Print_Titles" localSheetId="3">'Internet-Specific'!$A:$A</definedName>
    <definedName name="_xlnm.Print_Titles" localSheetId="0">'Total US by Qtr &amp; Year'!$A:$A,'Total US by Qtr &amp; Year'!$1:$13</definedName>
  </definedNames>
  <calcPr calcId="125725"/>
</workbook>
</file>

<file path=xl/calcChain.xml><?xml version="1.0" encoding="utf-8"?>
<calcChain xmlns="http://schemas.openxmlformats.org/spreadsheetml/2006/main">
  <c r="F19" i="12"/>
  <c r="D19"/>
  <c r="E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C19"/>
  <c r="B19"/>
</calcChain>
</file>

<file path=xl/sharedStrings.xml><?xml version="1.0" encoding="utf-8"?>
<sst xmlns="http://schemas.openxmlformats.org/spreadsheetml/2006/main" count="1109" uniqueCount="72">
  <si>
    <t>Qtr 1</t>
  </si>
  <si>
    <t>Qtr 2</t>
  </si>
  <si>
    <t>Qtr 3</t>
  </si>
  <si>
    <t>Qtr 4</t>
  </si>
  <si>
    <t>Grand Total</t>
  </si>
  <si>
    <t>Quarter</t>
  </si>
  <si>
    <t># of Deals</t>
  </si>
  <si>
    <t>Amount Invested</t>
  </si>
  <si>
    <t>1995 Total</t>
  </si>
  <si>
    <t>1996 Total</t>
  </si>
  <si>
    <t>1997 Total</t>
  </si>
  <si>
    <t>1998 Total</t>
  </si>
  <si>
    <t>1999 Total</t>
  </si>
  <si>
    <t>2000 Total</t>
  </si>
  <si>
    <t>2001 Total</t>
  </si>
  <si>
    <t>Number of Deals</t>
  </si>
  <si>
    <t>Industry</t>
  </si>
  <si>
    <t>Biotechnology</t>
  </si>
  <si>
    <t>Business Products and Services</t>
  </si>
  <si>
    <t>Computers and Peripherals</t>
  </si>
  <si>
    <t>Consumer Products and Services</t>
  </si>
  <si>
    <t>Electronics/Instrumentation</t>
  </si>
  <si>
    <t>Financial Services</t>
  </si>
  <si>
    <t>Healthcare Services</t>
  </si>
  <si>
    <t>Industrial/Energy</t>
  </si>
  <si>
    <t>IT Services</t>
  </si>
  <si>
    <t>Media and Entertainment</t>
  </si>
  <si>
    <t>Medical Devices and Equipment</t>
  </si>
  <si>
    <t>Networking and Equipment</t>
  </si>
  <si>
    <t>Retailing/Distribution</t>
  </si>
  <si>
    <t>Semiconductors</t>
  </si>
  <si>
    <t>Software</t>
  </si>
  <si>
    <t>Telecommunications</t>
  </si>
  <si>
    <t>Early Stage</t>
  </si>
  <si>
    <t>Expansion</t>
  </si>
  <si>
    <t>Later Stage</t>
  </si>
  <si>
    <t>Stage of Development</t>
  </si>
  <si>
    <t>2002 Total</t>
  </si>
  <si>
    <t xml:space="preserve"> </t>
  </si>
  <si>
    <t>2003 Total</t>
  </si>
  <si>
    <t>2004 Total</t>
  </si>
  <si>
    <t>2005 Total</t>
  </si>
  <si>
    <t>Internet-Specific</t>
  </si>
  <si>
    <t>All Other Deals</t>
  </si>
  <si>
    <r>
      <t>PricewaterhouseCoopers/</t>
    </r>
    <r>
      <rPr>
        <b/>
        <sz val="13"/>
        <rFont val="Times New Roman"/>
        <family val="1"/>
      </rPr>
      <t>National Venture Capital Association</t>
    </r>
  </si>
  <si>
    <t>PricewaterhouseCoopers/National Venture Capital Association</t>
  </si>
  <si>
    <t>2006 Total</t>
  </si>
  <si>
    <t>2006 Totals</t>
  </si>
  <si>
    <t>2007 Total</t>
  </si>
  <si>
    <t>2007 Totals</t>
  </si>
  <si>
    <t>2008 Total</t>
  </si>
  <si>
    <t>2008 Totals</t>
  </si>
  <si>
    <t>Qrt 4</t>
  </si>
  <si>
    <t>Other</t>
  </si>
  <si>
    <r>
      <t>Source:  PricewaterhouseCoopers/National Venture Capital Association MoneyTree™ Repor</t>
    </r>
    <r>
      <rPr>
        <sz val="10"/>
        <rFont val="Times New Roman"/>
        <family val="1"/>
      </rPr>
      <t>t, Data:  Thomson Reuters</t>
    </r>
  </si>
  <si>
    <t>Source:  PricewaterhouseCoopers/National Venture Capital Association MoneyTree™ Report, Data:  Thomson Reuters</t>
  </si>
  <si>
    <t>First Sequence Financing</t>
  </si>
  <si>
    <t xml:space="preserve">MoneyTree™ Report, Data: Thomson Reuters </t>
  </si>
  <si>
    <t>MoneyTree™ Report, Data: Thomson Reuters</t>
  </si>
  <si>
    <t>MoneyTree™ Report. Data: Thomson Reuters</t>
  </si>
  <si>
    <t>2009 Total</t>
  </si>
  <si>
    <t>2010 Total</t>
  </si>
  <si>
    <t>Seed</t>
  </si>
  <si>
    <t>2011 Total</t>
  </si>
  <si>
    <t>2012 Total</t>
  </si>
  <si>
    <t>Total U.S. Investments by Year Q1 1995 - Q2 2012</t>
  </si>
  <si>
    <t>Investments by Stage of Development Q1 1995 - Q2 2012</t>
  </si>
  <si>
    <t>First Sequence Investments in Internet-Specific Companies Q1 1995 - Q2 2012</t>
  </si>
  <si>
    <t>Cleantech Sector Investments Q1 1995 - Q2 2012</t>
  </si>
  <si>
    <t>First Sequence Investments by Industry Q1 1995 - Q2 2012</t>
  </si>
  <si>
    <t>First Sequence Investments by Stage of Development Q1 1995 - Q2 2012</t>
  </si>
  <si>
    <t>Investments by Industry Q1 1995 - Q2 2012</t>
  </si>
</sst>
</file>

<file path=xl/styles.xml><?xml version="1.0" encoding="utf-8"?>
<styleSheet xmlns="http://schemas.openxmlformats.org/spreadsheetml/2006/main">
  <numFmts count="10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0.0%"/>
    <numFmt numFmtId="167" formatCode="_(&quot;$&quot;* #,##0_);_(&quot;$&quot;* \(#,##0\);_(&quot;$&quot;* &quot;-&quot;??_);_(@_)"/>
    <numFmt numFmtId="168" formatCode="mm/dd/yy;@"/>
  </numFmts>
  <fonts count="9">
    <font>
      <sz val="10"/>
      <name val="Times New Roman"/>
    </font>
    <font>
      <sz val="10"/>
      <name val="Times New Roman"/>
      <family val="1"/>
    </font>
    <font>
      <b/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sz val="10"/>
      <color indexed="8"/>
      <name val="Arial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B8C0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7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1" applyNumberFormat="1" applyFont="1"/>
    <xf numFmtId="164" fontId="4" fillId="0" borderId="0" xfId="1" applyNumberFormat="1" applyFont="1"/>
    <xf numFmtId="0" fontId="0" fillId="0" borderId="1" xfId="0" applyBorder="1"/>
    <xf numFmtId="164" fontId="1" fillId="0" borderId="0" xfId="1" applyNumberFormat="1"/>
    <xf numFmtId="0" fontId="0" fillId="0" borderId="0" xfId="0" applyFill="1"/>
    <xf numFmtId="0" fontId="2" fillId="0" borderId="0" xfId="0" applyFont="1" applyFill="1" applyAlignment="1">
      <alignment horizontal="center"/>
    </xf>
    <xf numFmtId="0" fontId="0" fillId="0" borderId="0" xfId="0" applyBorder="1"/>
    <xf numFmtId="165" fontId="0" fillId="0" borderId="0" xfId="0" applyNumberFormat="1"/>
    <xf numFmtId="0" fontId="0" fillId="0" borderId="0" xfId="0" applyNumberFormat="1" applyBorder="1"/>
    <xf numFmtId="42" fontId="0" fillId="0" borderId="0" xfId="0" applyNumberFormat="1"/>
    <xf numFmtId="42" fontId="0" fillId="0" borderId="0" xfId="1" applyNumberFormat="1" applyFont="1" applyBorder="1"/>
    <xf numFmtId="0" fontId="2" fillId="0" borderId="0" xfId="0" applyFont="1" applyFill="1"/>
    <xf numFmtId="42" fontId="0" fillId="0" borderId="0" xfId="0" applyNumberFormat="1" applyFill="1"/>
    <xf numFmtId="165" fontId="0" fillId="0" borderId="0" xfId="0" applyNumberFormat="1" applyFill="1"/>
    <xf numFmtId="41" fontId="0" fillId="0" borderId="0" xfId="0" applyNumberFormat="1" applyFill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42" fontId="0" fillId="0" borderId="0" xfId="0" applyNumberFormat="1" applyFill="1" applyBorder="1"/>
    <xf numFmtId="41" fontId="1" fillId="0" borderId="0" xfId="1" applyNumberFormat="1" applyBorder="1"/>
    <xf numFmtId="41" fontId="0" fillId="0" borderId="0" xfId="0" applyNumberFormat="1" applyFill="1" applyBorder="1"/>
    <xf numFmtId="42" fontId="0" fillId="0" borderId="2" xfId="0" applyNumberFormat="1" applyBorder="1"/>
    <xf numFmtId="0" fontId="0" fillId="0" borderId="0" xfId="0" applyFill="1" applyAlignment="1">
      <alignment horizontal="right"/>
    </xf>
    <xf numFmtId="6" fontId="0" fillId="0" borderId="0" xfId="0" applyNumberFormat="1" applyFill="1"/>
    <xf numFmtId="166" fontId="0" fillId="0" borderId="0" xfId="3" applyNumberFormat="1" applyFont="1" applyFill="1"/>
    <xf numFmtId="44" fontId="0" fillId="0" borderId="0" xfId="0" applyNumberFormat="1" applyFill="1"/>
    <xf numFmtId="44" fontId="0" fillId="0" borderId="0" xfId="2" applyFont="1" applyFill="1"/>
    <xf numFmtId="41" fontId="0" fillId="0" borderId="0" xfId="0" applyNumberFormat="1" applyBorder="1"/>
    <xf numFmtId="41" fontId="0" fillId="0" borderId="0" xfId="3" applyNumberFormat="1" applyFont="1" applyFill="1" applyBorder="1"/>
    <xf numFmtId="41" fontId="0" fillId="0" borderId="0" xfId="0" applyNumberFormat="1"/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2" fontId="0" fillId="0" borderId="5" xfId="0" applyNumberFormat="1" applyBorder="1"/>
    <xf numFmtId="165" fontId="0" fillId="0" borderId="0" xfId="0" applyNumberFormat="1" applyFill="1" applyBorder="1"/>
    <xf numFmtId="42" fontId="0" fillId="0" borderId="0" xfId="3" applyNumberFormat="1" applyFont="1" applyFill="1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0" xfId="0" applyBorder="1" applyAlignment="1">
      <alignment horizontal="center"/>
    </xf>
    <xf numFmtId="42" fontId="0" fillId="0" borderId="0" xfId="0" applyNumberFormat="1" applyBorder="1"/>
    <xf numFmtId="0" fontId="0" fillId="0" borderId="0" xfId="0" applyFill="1" applyBorder="1" applyAlignment="1">
      <alignment horizontal="center"/>
    </xf>
    <xf numFmtId="164" fontId="0" fillId="0" borderId="8" xfId="0" applyNumberFormat="1" applyBorder="1"/>
    <xf numFmtId="164" fontId="0" fillId="0" borderId="9" xfId="0" applyNumberFormat="1" applyBorder="1"/>
    <xf numFmtId="165" fontId="0" fillId="0" borderId="0" xfId="0" applyNumberFormat="1" applyBorder="1"/>
    <xf numFmtId="167" fontId="0" fillId="0" borderId="10" xfId="2" applyNumberFormat="1" applyFont="1" applyBorder="1"/>
    <xf numFmtId="167" fontId="0" fillId="0" borderId="0" xfId="2" applyNumberFormat="1" applyFont="1"/>
    <xf numFmtId="167" fontId="0" fillId="0" borderId="13" xfId="2" applyNumberFormat="1" applyFont="1" applyBorder="1"/>
    <xf numFmtId="167" fontId="0" fillId="0" borderId="14" xfId="2" applyNumberFormat="1" applyFont="1" applyBorder="1"/>
    <xf numFmtId="167" fontId="0" fillId="0" borderId="16" xfId="2" applyNumberFormat="1" applyFont="1" applyBorder="1"/>
    <xf numFmtId="167" fontId="0" fillId="0" borderId="17" xfId="2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 applyAlignment="1"/>
    <xf numFmtId="164" fontId="1" fillId="0" borderId="0" xfId="1" applyNumberFormat="1" applyAlignment="1">
      <alignment horizontal="center"/>
    </xf>
    <xf numFmtId="3" fontId="0" fillId="0" borderId="0" xfId="0" applyNumberFormat="1" applyFill="1"/>
    <xf numFmtId="3" fontId="0" fillId="0" borderId="2" xfId="0" applyNumberFormat="1" applyBorder="1"/>
    <xf numFmtId="3" fontId="0" fillId="0" borderId="5" xfId="0" applyNumberFormat="1" applyBorder="1"/>
    <xf numFmtId="3" fontId="0" fillId="0" borderId="0" xfId="0" applyNumberFormat="1" applyFill="1" applyBorder="1"/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right"/>
    </xf>
    <xf numFmtId="0" fontId="2" fillId="2" borderId="2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0" xfId="0" applyFont="1" applyFill="1" applyBorder="1"/>
    <xf numFmtId="0" fontId="2" fillId="2" borderId="24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167" fontId="0" fillId="0" borderId="0" xfId="0" applyNumberFormat="1" applyBorder="1"/>
    <xf numFmtId="167" fontId="0" fillId="0" borderId="13" xfId="0" applyNumberFormat="1" applyBorder="1"/>
    <xf numFmtId="4" fontId="7" fillId="0" borderId="0" xfId="0" applyNumberFormat="1" applyFont="1" applyFill="1" applyBorder="1" applyAlignment="1" applyProtection="1">
      <alignment horizontal="right"/>
    </xf>
    <xf numFmtId="0" fontId="2" fillId="2" borderId="28" xfId="0" applyFont="1" applyFill="1" applyBorder="1" applyAlignment="1">
      <alignment horizontal="center"/>
    </xf>
    <xf numFmtId="3" fontId="8" fillId="0" borderId="7" xfId="0" applyNumberFormat="1" applyFont="1" applyBorder="1"/>
    <xf numFmtId="3" fontId="8" fillId="0" borderId="0" xfId="0" applyNumberFormat="1" applyFont="1" applyBorder="1"/>
    <xf numFmtId="0" fontId="8" fillId="0" borderId="7" xfId="0" applyFont="1" applyBorder="1"/>
    <xf numFmtId="3" fontId="8" fillId="0" borderId="3" xfId="0" applyNumberFormat="1" applyFont="1" applyBorder="1"/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8" fillId="0" borderId="0" xfId="0" applyFont="1"/>
    <xf numFmtId="165" fontId="8" fillId="0" borderId="3" xfId="0" applyNumberFormat="1" applyFont="1" applyBorder="1"/>
    <xf numFmtId="3" fontId="8" fillId="0" borderId="34" xfId="0" applyNumberFormat="1" applyFont="1" applyBorder="1"/>
    <xf numFmtId="165" fontId="8" fillId="0" borderId="36" xfId="0" applyNumberFormat="1" applyFont="1" applyBorder="1"/>
    <xf numFmtId="3" fontId="8" fillId="0" borderId="38" xfId="0" applyNumberFormat="1" applyFont="1" applyBorder="1"/>
    <xf numFmtId="3" fontId="8" fillId="0" borderId="36" xfId="0" applyNumberFormat="1" applyFont="1" applyBorder="1"/>
    <xf numFmtId="0" fontId="8" fillId="0" borderId="39" xfId="0" applyFont="1" applyBorder="1"/>
    <xf numFmtId="3" fontId="8" fillId="0" borderId="39" xfId="0" applyNumberFormat="1" applyFont="1" applyBorder="1"/>
    <xf numFmtId="3" fontId="8" fillId="0" borderId="41" xfId="0" applyNumberFormat="1" applyFont="1" applyBorder="1"/>
    <xf numFmtId="0" fontId="8" fillId="0" borderId="41" xfId="0" applyFont="1" applyBorder="1"/>
    <xf numFmtId="165" fontId="2" fillId="2" borderId="23" xfId="0" applyNumberFormat="1" applyFont="1" applyFill="1" applyBorder="1" applyAlignment="1">
      <alignment horizontal="center"/>
    </xf>
    <xf numFmtId="165" fontId="2" fillId="2" borderId="30" xfId="0" applyNumberFormat="1" applyFont="1" applyFill="1" applyBorder="1" applyAlignment="1">
      <alignment horizontal="center"/>
    </xf>
    <xf numFmtId="165" fontId="2" fillId="2" borderId="27" xfId="0" applyNumberFormat="1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167" fontId="0" fillId="0" borderId="34" xfId="2" applyNumberFormat="1" applyFont="1" applyBorder="1"/>
    <xf numFmtId="167" fontId="0" fillId="0" borderId="36" xfId="2" applyNumberFormat="1" applyFont="1" applyBorder="1"/>
    <xf numFmtId="167" fontId="0" fillId="0" borderId="3" xfId="2" applyNumberFormat="1" applyFont="1" applyBorder="1"/>
    <xf numFmtId="167" fontId="0" fillId="0" borderId="44" xfId="2" applyNumberFormat="1" applyFont="1" applyBorder="1"/>
    <xf numFmtId="167" fontId="0" fillId="0" borderId="12" xfId="2" applyNumberFormat="1" applyFont="1" applyBorder="1"/>
    <xf numFmtId="3" fontId="0" fillId="0" borderId="36" xfId="0" applyNumberFormat="1" applyBorder="1"/>
    <xf numFmtId="3" fontId="0" fillId="0" borderId="3" xfId="0" applyNumberFormat="1" applyBorder="1"/>
    <xf numFmtId="3" fontId="0" fillId="0" borderId="9" xfId="0" applyNumberFormat="1" applyBorder="1"/>
    <xf numFmtId="3" fontId="0" fillId="0" borderId="44" xfId="0" applyNumberFormat="1" applyBorder="1"/>
    <xf numFmtId="3" fontId="0" fillId="0" borderId="12" xfId="0" applyNumberFormat="1" applyBorder="1"/>
    <xf numFmtId="167" fontId="0" fillId="0" borderId="20" xfId="2" applyNumberFormat="1" applyFont="1" applyBorder="1"/>
    <xf numFmtId="3" fontId="0" fillId="0" borderId="14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0" fillId="0" borderId="20" xfId="0" applyNumberFormat="1" applyBorder="1"/>
    <xf numFmtId="3" fontId="8" fillId="0" borderId="34" xfId="0" applyNumberFormat="1" applyFont="1" applyBorder="1" applyAlignment="1">
      <alignment horizontal="right"/>
    </xf>
    <xf numFmtId="3" fontId="8" fillId="0" borderId="40" xfId="0" applyNumberFormat="1" applyFont="1" applyBorder="1"/>
    <xf numFmtId="0" fontId="8" fillId="0" borderId="0" xfId="0" applyFont="1" applyBorder="1"/>
    <xf numFmtId="3" fontId="8" fillId="0" borderId="0" xfId="0" applyNumberFormat="1" applyFont="1" applyBorder="1" applyAlignment="1">
      <alignment horizontal="right"/>
    </xf>
    <xf numFmtId="3" fontId="8" fillId="0" borderId="32" xfId="0" applyNumberFormat="1" applyFont="1" applyBorder="1"/>
    <xf numFmtId="3" fontId="8" fillId="0" borderId="38" xfId="0" applyNumberFormat="1" applyFont="1" applyBorder="1" applyAlignment="1">
      <alignment horizontal="right"/>
    </xf>
    <xf numFmtId="3" fontId="8" fillId="0" borderId="35" xfId="0" applyNumberFormat="1" applyFont="1" applyBorder="1"/>
    <xf numFmtId="167" fontId="0" fillId="0" borderId="11" xfId="2" applyNumberFormat="1" applyFont="1" applyBorder="1"/>
    <xf numFmtId="3" fontId="8" fillId="0" borderId="44" xfId="0" applyNumberFormat="1" applyFont="1" applyBorder="1"/>
    <xf numFmtId="3" fontId="8" fillId="0" borderId="12" xfId="0" applyNumberFormat="1" applyFont="1" applyBorder="1"/>
    <xf numFmtId="0" fontId="7" fillId="0" borderId="0" xfId="0" applyNumberFormat="1" applyFont="1" applyFill="1" applyBorder="1" applyAlignment="1" applyProtection="1">
      <alignment wrapText="1"/>
    </xf>
    <xf numFmtId="164" fontId="0" fillId="0" borderId="45" xfId="0" applyNumberFormat="1" applyBorder="1"/>
    <xf numFmtId="164" fontId="0" fillId="0" borderId="15" xfId="0" applyNumberFormat="1" applyBorder="1"/>
    <xf numFmtId="164" fontId="0" fillId="0" borderId="19" xfId="0" applyNumberFormat="1" applyBorder="1"/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164" fontId="2" fillId="2" borderId="30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0" fillId="2" borderId="21" xfId="0" applyFill="1" applyBorder="1" applyAlignment="1"/>
    <xf numFmtId="0" fontId="0" fillId="2" borderId="22" xfId="0" applyFill="1" applyBorder="1" applyAlignment="1"/>
    <xf numFmtId="0" fontId="0" fillId="2" borderId="21" xfId="0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0" fillId="0" borderId="25" xfId="0" applyBorder="1" applyAlignment="1"/>
    <xf numFmtId="0" fontId="0" fillId="0" borderId="26" xfId="0" applyBorder="1" applyAlignment="1"/>
    <xf numFmtId="0" fontId="0" fillId="2" borderId="25" xfId="0" applyFill="1" applyBorder="1" applyAlignment="1"/>
    <xf numFmtId="0" fontId="0" fillId="2" borderId="25" xfId="0" applyFill="1" applyBorder="1" applyAlignment="1">
      <alignment horizontal="center"/>
    </xf>
    <xf numFmtId="0" fontId="0" fillId="0" borderId="21" xfId="0" applyBorder="1"/>
    <xf numFmtId="0" fontId="0" fillId="0" borderId="33" xfId="0" applyBorder="1"/>
    <xf numFmtId="0" fontId="0" fillId="0" borderId="22" xfId="0" applyBorder="1" applyAlignment="1"/>
    <xf numFmtId="164" fontId="2" fillId="2" borderId="19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right"/>
    </xf>
    <xf numFmtId="0" fontId="8" fillId="0" borderId="31" xfId="0" applyFont="1" applyBorder="1"/>
    <xf numFmtId="167" fontId="0" fillId="0" borderId="46" xfId="2" applyNumberFormat="1" applyFont="1" applyBorder="1"/>
    <xf numFmtId="167" fontId="0" fillId="0" borderId="2" xfId="2" applyNumberFormat="1" applyFont="1" applyBorder="1"/>
    <xf numFmtId="167" fontId="0" fillId="0" borderId="4" xfId="2" applyNumberFormat="1" applyFont="1" applyBorder="1"/>
    <xf numFmtId="167" fontId="0" fillId="0" borderId="1" xfId="2" applyNumberFormat="1" applyFont="1" applyBorder="1"/>
    <xf numFmtId="167" fontId="0" fillId="0" borderId="15" xfId="2" applyNumberFormat="1" applyFont="1" applyBorder="1"/>
    <xf numFmtId="167" fontId="0" fillId="0" borderId="9" xfId="2" applyNumberFormat="1" applyFont="1" applyBorder="1"/>
    <xf numFmtId="167" fontId="0" fillId="0" borderId="19" xfId="2" applyNumberFormat="1" applyFont="1" applyBorder="1"/>
    <xf numFmtId="3" fontId="0" fillId="0" borderId="46" xfId="0" applyNumberFormat="1" applyBorder="1"/>
    <xf numFmtId="3" fontId="0" fillId="0" borderId="4" xfId="0" applyNumberFormat="1" applyBorder="1"/>
    <xf numFmtId="3" fontId="0" fillId="0" borderId="1" xfId="0" applyNumberFormat="1" applyBorder="1"/>
    <xf numFmtId="3" fontId="0" fillId="0" borderId="45" xfId="0" applyNumberFormat="1" applyBorder="1"/>
    <xf numFmtId="3" fontId="0" fillId="0" borderId="15" xfId="0" applyNumberFormat="1" applyBorder="1"/>
    <xf numFmtId="3" fontId="0" fillId="0" borderId="19" xfId="0" applyNumberFormat="1" applyBorder="1"/>
    <xf numFmtId="0" fontId="8" fillId="0" borderId="46" xfId="0" applyFont="1" applyBorder="1"/>
    <xf numFmtId="0" fontId="8" fillId="0" borderId="2" xfId="0" applyFont="1" applyBorder="1"/>
    <xf numFmtId="165" fontId="8" fillId="0" borderId="46" xfId="0" applyNumberFormat="1" applyFont="1" applyBorder="1"/>
    <xf numFmtId="165" fontId="8" fillId="0" borderId="2" xfId="0" applyNumberFormat="1" applyFont="1" applyBorder="1"/>
    <xf numFmtId="165" fontId="8" fillId="0" borderId="45" xfId="0" applyNumberFormat="1" applyFont="1" applyBorder="1"/>
    <xf numFmtId="165" fontId="8" fillId="0" borderId="15" xfId="0" applyNumberFormat="1" applyFont="1" applyBorder="1"/>
    <xf numFmtId="165" fontId="8" fillId="0" borderId="1" xfId="0" applyNumberFormat="1" applyFont="1" applyBorder="1"/>
    <xf numFmtId="165" fontId="8" fillId="0" borderId="19" xfId="0" applyNumberFormat="1" applyFont="1" applyBorder="1"/>
    <xf numFmtId="165" fontId="8" fillId="0" borderId="12" xfId="0" applyNumberFormat="1" applyFont="1" applyBorder="1"/>
    <xf numFmtId="165" fontId="8" fillId="0" borderId="4" xfId="0" applyNumberFormat="1" applyFont="1" applyBorder="1"/>
    <xf numFmtId="165" fontId="8" fillId="0" borderId="9" xfId="0" applyNumberFormat="1" applyFont="1" applyBorder="1"/>
    <xf numFmtId="165" fontId="8" fillId="0" borderId="44" xfId="0" applyNumberFormat="1" applyFont="1" applyBorder="1"/>
    <xf numFmtId="3" fontId="8" fillId="0" borderId="46" xfId="0" applyNumberFormat="1" applyFont="1" applyBorder="1"/>
    <xf numFmtId="3" fontId="8" fillId="0" borderId="2" xfId="0" applyNumberFormat="1" applyFont="1" applyBorder="1"/>
    <xf numFmtId="3" fontId="8" fillId="0" borderId="4" xfId="0" applyNumberFormat="1" applyFont="1" applyBorder="1"/>
    <xf numFmtId="3" fontId="8" fillId="0" borderId="1" xfId="0" applyNumberFormat="1" applyFont="1" applyBorder="1"/>
    <xf numFmtId="3" fontId="8" fillId="0" borderId="14" xfId="0" applyNumberFormat="1" applyFont="1" applyBorder="1"/>
    <xf numFmtId="3" fontId="8" fillId="0" borderId="16" xfId="0" applyNumberFormat="1" applyFont="1" applyBorder="1"/>
    <xf numFmtId="3" fontId="8" fillId="0" borderId="17" xfId="0" applyNumberFormat="1" applyFont="1" applyBorder="1"/>
    <xf numFmtId="3" fontId="8" fillId="0" borderId="20" xfId="0" applyNumberFormat="1" applyFont="1" applyBorder="1"/>
    <xf numFmtId="3" fontId="8" fillId="0" borderId="45" xfId="0" applyNumberFormat="1" applyFont="1" applyBorder="1"/>
    <xf numFmtId="3" fontId="8" fillId="0" borderId="15" xfId="0" applyNumberFormat="1" applyFont="1" applyBorder="1"/>
    <xf numFmtId="3" fontId="8" fillId="0" borderId="9" xfId="0" applyNumberFormat="1" applyFont="1" applyBorder="1"/>
    <xf numFmtId="3" fontId="8" fillId="0" borderId="19" xfId="0" applyNumberFormat="1" applyFont="1" applyBorder="1"/>
    <xf numFmtId="3" fontId="8" fillId="0" borderId="53" xfId="0" applyNumberFormat="1" applyFont="1" applyBorder="1"/>
    <xf numFmtId="167" fontId="0" fillId="0" borderId="2" xfId="0" applyNumberFormat="1" applyBorder="1"/>
    <xf numFmtId="167" fontId="0" fillId="0" borderId="4" xfId="0" applyNumberFormat="1" applyBorder="1"/>
    <xf numFmtId="41" fontId="0" fillId="0" borderId="2" xfId="0" applyNumberFormat="1" applyBorder="1"/>
    <xf numFmtId="41" fontId="0" fillId="0" borderId="4" xfId="0" applyNumberFormat="1" applyBorder="1"/>
    <xf numFmtId="0" fontId="2" fillId="2" borderId="48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167" fontId="0" fillId="0" borderId="56" xfId="0" applyNumberFormat="1" applyBorder="1"/>
    <xf numFmtId="167" fontId="0" fillId="0" borderId="52" xfId="0" applyNumberFormat="1" applyBorder="1"/>
    <xf numFmtId="167" fontId="0" fillId="0" borderId="57" xfId="0" applyNumberFormat="1" applyBorder="1"/>
    <xf numFmtId="41" fontId="0" fillId="0" borderId="49" xfId="0" applyNumberFormat="1" applyBorder="1"/>
    <xf numFmtId="41" fontId="0" fillId="0" borderId="56" xfId="0" applyNumberFormat="1" applyBorder="1"/>
    <xf numFmtId="41" fontId="0" fillId="0" borderId="50" xfId="0" applyNumberFormat="1" applyBorder="1"/>
    <xf numFmtId="41" fontId="0" fillId="0" borderId="52" xfId="0" applyNumberFormat="1" applyBorder="1"/>
    <xf numFmtId="41" fontId="0" fillId="0" borderId="51" xfId="0" applyNumberFormat="1" applyBorder="1"/>
    <xf numFmtId="41" fontId="0" fillId="0" borderId="57" xfId="0" applyNumberFormat="1" applyBorder="1"/>
    <xf numFmtId="167" fontId="0" fillId="0" borderId="58" xfId="0" applyNumberFormat="1" applyBorder="1"/>
    <xf numFmtId="0" fontId="2" fillId="2" borderId="59" xfId="0" applyFont="1" applyFill="1" applyBorder="1" applyAlignment="1">
      <alignment horizontal="center"/>
    </xf>
    <xf numFmtId="0" fontId="0" fillId="0" borderId="59" xfId="0" applyBorder="1" applyAlignment="1"/>
    <xf numFmtId="0" fontId="0" fillId="0" borderId="47" xfId="0" applyBorder="1" applyAlignment="1"/>
    <xf numFmtId="0" fontId="2" fillId="2" borderId="60" xfId="0" applyFont="1" applyFill="1" applyBorder="1" applyAlignment="1">
      <alignment horizontal="center"/>
    </xf>
    <xf numFmtId="167" fontId="0" fillId="0" borderId="61" xfId="0" applyNumberFormat="1" applyBorder="1"/>
    <xf numFmtId="167" fontId="0" fillId="0" borderId="62" xfId="0" applyNumberFormat="1" applyBorder="1"/>
    <xf numFmtId="167" fontId="0" fillId="0" borderId="63" xfId="0" applyNumberFormat="1" applyBorder="1"/>
    <xf numFmtId="167" fontId="0" fillId="0" borderId="64" xfId="0" applyNumberFormat="1" applyBorder="1"/>
    <xf numFmtId="0" fontId="2" fillId="2" borderId="66" xfId="0" applyFont="1" applyFill="1" applyBorder="1" applyAlignment="1">
      <alignment horizontal="center"/>
    </xf>
    <xf numFmtId="0" fontId="2" fillId="2" borderId="67" xfId="0" applyFont="1" applyFill="1" applyBorder="1" applyAlignment="1">
      <alignment horizontal="center"/>
    </xf>
    <xf numFmtId="0" fontId="2" fillId="2" borderId="68" xfId="0" applyFont="1" applyFill="1" applyBorder="1" applyAlignment="1">
      <alignment horizontal="center"/>
    </xf>
    <xf numFmtId="0" fontId="0" fillId="2" borderId="68" xfId="0" applyFill="1" applyBorder="1" applyAlignment="1"/>
    <xf numFmtId="0" fontId="0" fillId="2" borderId="67" xfId="0" applyFill="1" applyBorder="1" applyAlignment="1"/>
    <xf numFmtId="164" fontId="2" fillId="2" borderId="29" xfId="1" applyNumberFormat="1" applyFont="1" applyFill="1" applyBorder="1" applyAlignment="1">
      <alignment horizontal="center" vertical="center"/>
    </xf>
    <xf numFmtId="164" fontId="2" fillId="2" borderId="69" xfId="1" applyNumberFormat="1" applyFont="1" applyFill="1" applyBorder="1" applyAlignment="1">
      <alignment horizontal="center" vertical="center"/>
    </xf>
    <xf numFmtId="3" fontId="0" fillId="0" borderId="70" xfId="0" applyNumberFormat="1" applyFill="1" applyBorder="1"/>
    <xf numFmtId="3" fontId="0" fillId="0" borderId="44" xfId="0" applyNumberFormat="1" applyFill="1" applyBorder="1"/>
    <xf numFmtId="0" fontId="0" fillId="0" borderId="37" xfId="0" applyBorder="1"/>
    <xf numFmtId="3" fontId="0" fillId="0" borderId="3" xfId="0" applyNumberFormat="1" applyFill="1" applyBorder="1"/>
    <xf numFmtId="41" fontId="0" fillId="0" borderId="61" xfId="0" applyNumberFormat="1" applyBorder="1"/>
    <xf numFmtId="41" fontId="0" fillId="0" borderId="62" xfId="0" applyNumberFormat="1" applyBorder="1"/>
    <xf numFmtId="41" fontId="0" fillId="0" borderId="63" xfId="0" applyNumberFormat="1" applyBorder="1"/>
    <xf numFmtId="41" fontId="0" fillId="0" borderId="64" xfId="0" applyNumberFormat="1" applyBorder="1"/>
    <xf numFmtId="41" fontId="0" fillId="0" borderId="65" xfId="0" applyNumberFormat="1" applyBorder="1"/>
    <xf numFmtId="0" fontId="0" fillId="2" borderId="67" xfId="0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142875</xdr:rowOff>
    </xdr:from>
    <xdr:to>
      <xdr:col>2</xdr:col>
      <xdr:colOff>1104900</xdr:colOff>
      <xdr:row>5</xdr:row>
      <xdr:rowOff>19050</xdr:rowOff>
    </xdr:to>
    <xdr:pic>
      <xdr:nvPicPr>
        <xdr:cNvPr id="1336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2575" y="1428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152400</xdr:colOff>
      <xdr:row>1</xdr:row>
      <xdr:rowOff>19050</xdr:rowOff>
    </xdr:from>
    <xdr:to>
      <xdr:col>9</xdr:col>
      <xdr:colOff>504825</xdr:colOff>
      <xdr:row>5</xdr:row>
      <xdr:rowOff>9525</xdr:rowOff>
    </xdr:to>
    <xdr:pic>
      <xdr:nvPicPr>
        <xdr:cNvPr id="1337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19925" y="1809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12</xdr:row>
      <xdr:rowOff>0</xdr:rowOff>
    </xdr:from>
    <xdr:to>
      <xdr:col>70</xdr:col>
      <xdr:colOff>0</xdr:colOff>
      <xdr:row>12</xdr:row>
      <xdr:rowOff>0</xdr:rowOff>
    </xdr:to>
    <xdr:sp macro="" textlink="">
      <xdr:nvSpPr>
        <xdr:cNvPr id="14412" name="Line 7"/>
        <xdr:cNvSpPr>
          <a:spLocks noChangeShapeType="1"/>
        </xdr:cNvSpPr>
      </xdr:nvSpPr>
      <xdr:spPr bwMode="auto">
        <a:xfrm>
          <a:off x="65951100" y="217170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4413" name="Line 16"/>
        <xdr:cNvSpPr>
          <a:spLocks noChangeShapeType="1"/>
        </xdr:cNvSpPr>
      </xdr:nvSpPr>
      <xdr:spPr bwMode="auto">
        <a:xfrm flipV="1">
          <a:off x="6880860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4" name="Line 17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19</xdr:row>
      <xdr:rowOff>161925</xdr:rowOff>
    </xdr:to>
    <xdr:sp macro="" textlink="">
      <xdr:nvSpPr>
        <xdr:cNvPr id="14415" name="Line 18"/>
        <xdr:cNvSpPr>
          <a:spLocks noChangeShapeType="1"/>
        </xdr:cNvSpPr>
      </xdr:nvSpPr>
      <xdr:spPr bwMode="auto">
        <a:xfrm>
          <a:off x="68808600" y="3533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6" name="Line 19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47625</xdr:colOff>
      <xdr:row>1</xdr:row>
      <xdr:rowOff>19050</xdr:rowOff>
    </xdr:from>
    <xdr:to>
      <xdr:col>2</xdr:col>
      <xdr:colOff>923925</xdr:colOff>
      <xdr:row>5</xdr:row>
      <xdr:rowOff>57150</xdr:rowOff>
    </xdr:to>
    <xdr:pic>
      <xdr:nvPicPr>
        <xdr:cNvPr id="14417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193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285750</xdr:colOff>
      <xdr:row>1</xdr:row>
      <xdr:rowOff>28575</xdr:rowOff>
    </xdr:from>
    <xdr:to>
      <xdr:col>10</xdr:col>
      <xdr:colOff>772064</xdr:colOff>
      <xdr:row>5</xdr:row>
      <xdr:rowOff>19050</xdr:rowOff>
    </xdr:to>
    <xdr:pic>
      <xdr:nvPicPr>
        <xdr:cNvPr id="1441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24950" y="19050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2" name="Line 10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11</xdr:row>
      <xdr:rowOff>161925</xdr:rowOff>
    </xdr:to>
    <xdr:sp macro="" textlink="">
      <xdr:nvSpPr>
        <xdr:cNvPr id="15433" name="Line 11"/>
        <xdr:cNvSpPr>
          <a:spLocks noChangeShapeType="1"/>
        </xdr:cNvSpPr>
      </xdr:nvSpPr>
      <xdr:spPr bwMode="auto">
        <a:xfrm>
          <a:off x="69437250" y="216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4" name="Line 12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33</xdr:row>
      <xdr:rowOff>161925</xdr:rowOff>
    </xdr:to>
    <xdr:sp macro="" textlink="">
      <xdr:nvSpPr>
        <xdr:cNvPr id="15435" name="Line 13"/>
        <xdr:cNvSpPr>
          <a:spLocks noChangeShapeType="1"/>
        </xdr:cNvSpPr>
      </xdr:nvSpPr>
      <xdr:spPr bwMode="auto">
        <a:xfrm>
          <a:off x="69437250" y="5810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35</xdr:row>
      <xdr:rowOff>9525</xdr:rowOff>
    </xdr:to>
    <xdr:sp macro="" textlink="">
      <xdr:nvSpPr>
        <xdr:cNvPr id="15436" name="Line 14"/>
        <xdr:cNvSpPr>
          <a:spLocks noChangeShapeType="1"/>
        </xdr:cNvSpPr>
      </xdr:nvSpPr>
      <xdr:spPr bwMode="auto">
        <a:xfrm flipV="1">
          <a:off x="69437250" y="58102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1</xdr:row>
      <xdr:rowOff>123825</xdr:rowOff>
    </xdr:from>
    <xdr:to>
      <xdr:col>2</xdr:col>
      <xdr:colOff>876300</xdr:colOff>
      <xdr:row>6</xdr:row>
      <xdr:rowOff>0</xdr:rowOff>
    </xdr:to>
    <xdr:pic>
      <xdr:nvPicPr>
        <xdr:cNvPr id="15437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0" y="2857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381000</xdr:colOff>
      <xdr:row>2</xdr:row>
      <xdr:rowOff>38100</xdr:rowOff>
    </xdr:from>
    <xdr:to>
      <xdr:col>10</xdr:col>
      <xdr:colOff>66675</xdr:colOff>
      <xdr:row>6</xdr:row>
      <xdr:rowOff>28575</xdr:rowOff>
    </xdr:to>
    <xdr:pic>
      <xdr:nvPicPr>
        <xdr:cNvPr id="1543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858250" y="3619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3</xdr:row>
      <xdr:rowOff>9525</xdr:rowOff>
    </xdr:from>
    <xdr:to>
      <xdr:col>2</xdr:col>
      <xdr:colOff>390525</xdr:colOff>
      <xdr:row>7</xdr:row>
      <xdr:rowOff>0</xdr:rowOff>
    </xdr:to>
    <xdr:pic>
      <xdr:nvPicPr>
        <xdr:cNvPr id="10558" name="Picture 4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24050" y="49530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657225</xdr:colOff>
      <xdr:row>2</xdr:row>
      <xdr:rowOff>47625</xdr:rowOff>
    </xdr:from>
    <xdr:to>
      <xdr:col>10</xdr:col>
      <xdr:colOff>342900</xdr:colOff>
      <xdr:row>6</xdr:row>
      <xdr:rowOff>38100</xdr:rowOff>
    </xdr:to>
    <xdr:pic>
      <xdr:nvPicPr>
        <xdr:cNvPr id="10559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82050" y="3714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1</xdr:row>
      <xdr:rowOff>0</xdr:rowOff>
    </xdr:from>
    <xdr:to>
      <xdr:col>3</xdr:col>
      <xdr:colOff>228600</xdr:colOff>
      <xdr:row>5</xdr:row>
      <xdr:rowOff>38100</xdr:rowOff>
    </xdr:to>
    <xdr:pic>
      <xdr:nvPicPr>
        <xdr:cNvPr id="11573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5900" y="16192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342900</xdr:colOff>
      <xdr:row>1</xdr:row>
      <xdr:rowOff>152400</xdr:rowOff>
    </xdr:from>
    <xdr:to>
      <xdr:col>10</xdr:col>
      <xdr:colOff>1076325</xdr:colOff>
      <xdr:row>5</xdr:row>
      <xdr:rowOff>142875</xdr:rowOff>
    </xdr:to>
    <xdr:pic>
      <xdr:nvPicPr>
        <xdr:cNvPr id="11574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86750" y="31432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10</xdr:row>
      <xdr:rowOff>0</xdr:rowOff>
    </xdr:from>
    <xdr:to>
      <xdr:col>69</xdr:col>
      <xdr:colOff>0</xdr:colOff>
      <xdr:row>11</xdr:row>
      <xdr:rowOff>0</xdr:rowOff>
    </xdr:to>
    <xdr:sp macro="" textlink="">
      <xdr:nvSpPr>
        <xdr:cNvPr id="12502" name="Line 6"/>
        <xdr:cNvSpPr>
          <a:spLocks noChangeShapeType="1"/>
        </xdr:cNvSpPr>
      </xdr:nvSpPr>
      <xdr:spPr bwMode="auto">
        <a:xfrm>
          <a:off x="659606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923925</xdr:colOff>
      <xdr:row>16</xdr:row>
      <xdr:rowOff>0</xdr:rowOff>
    </xdr:from>
    <xdr:to>
      <xdr:col>70</xdr:col>
      <xdr:colOff>0</xdr:colOff>
      <xdr:row>16</xdr:row>
      <xdr:rowOff>0</xdr:rowOff>
    </xdr:to>
    <xdr:sp macro="" textlink="">
      <xdr:nvSpPr>
        <xdr:cNvPr id="12503" name="Line 8"/>
        <xdr:cNvSpPr>
          <a:spLocks noChangeShapeType="1"/>
        </xdr:cNvSpPr>
      </xdr:nvSpPr>
      <xdr:spPr bwMode="auto">
        <a:xfrm>
          <a:off x="65932050" y="295275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933450</xdr:colOff>
      <xdr:row>20</xdr:row>
      <xdr:rowOff>0</xdr:rowOff>
    </xdr:from>
    <xdr:to>
      <xdr:col>70</xdr:col>
      <xdr:colOff>0</xdr:colOff>
      <xdr:row>20</xdr:row>
      <xdr:rowOff>0</xdr:rowOff>
    </xdr:to>
    <xdr:sp macro="" textlink="">
      <xdr:nvSpPr>
        <xdr:cNvPr id="12504" name="Line 9"/>
        <xdr:cNvSpPr>
          <a:spLocks noChangeShapeType="1"/>
        </xdr:cNvSpPr>
      </xdr:nvSpPr>
      <xdr:spPr bwMode="auto">
        <a:xfrm>
          <a:off x="65941575" y="3648075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876300</xdr:colOff>
      <xdr:row>25</xdr:row>
      <xdr:rowOff>0</xdr:rowOff>
    </xdr:from>
    <xdr:to>
      <xdr:col>70</xdr:col>
      <xdr:colOff>28575</xdr:colOff>
      <xdr:row>25</xdr:row>
      <xdr:rowOff>0</xdr:rowOff>
    </xdr:to>
    <xdr:sp macro="" textlink="">
      <xdr:nvSpPr>
        <xdr:cNvPr id="12505" name="Line 10"/>
        <xdr:cNvSpPr>
          <a:spLocks noChangeShapeType="1"/>
        </xdr:cNvSpPr>
      </xdr:nvSpPr>
      <xdr:spPr bwMode="auto">
        <a:xfrm>
          <a:off x="65884425" y="4486275"/>
          <a:ext cx="1057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0</xdr:rowOff>
    </xdr:from>
    <xdr:to>
      <xdr:col>72</xdr:col>
      <xdr:colOff>0</xdr:colOff>
      <xdr:row>11</xdr:row>
      <xdr:rowOff>0</xdr:rowOff>
    </xdr:to>
    <xdr:sp macro="" textlink="">
      <xdr:nvSpPr>
        <xdr:cNvPr id="12506" name="Line 11"/>
        <xdr:cNvSpPr>
          <a:spLocks noChangeShapeType="1"/>
        </xdr:cNvSpPr>
      </xdr:nvSpPr>
      <xdr:spPr bwMode="auto">
        <a:xfrm>
          <a:off x="688181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20</xdr:row>
      <xdr:rowOff>0</xdr:rowOff>
    </xdr:from>
    <xdr:to>
      <xdr:col>72</xdr:col>
      <xdr:colOff>0</xdr:colOff>
      <xdr:row>20</xdr:row>
      <xdr:rowOff>0</xdr:rowOff>
    </xdr:to>
    <xdr:sp macro="" textlink="">
      <xdr:nvSpPr>
        <xdr:cNvPr id="12507" name="Line 12"/>
        <xdr:cNvSpPr>
          <a:spLocks noChangeShapeType="1"/>
        </xdr:cNvSpPr>
      </xdr:nvSpPr>
      <xdr:spPr bwMode="auto">
        <a:xfrm>
          <a:off x="68818125" y="364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533400</xdr:colOff>
      <xdr:row>1</xdr:row>
      <xdr:rowOff>19050</xdr:rowOff>
    </xdr:from>
    <xdr:to>
      <xdr:col>2</xdr:col>
      <xdr:colOff>457200</xdr:colOff>
      <xdr:row>4</xdr:row>
      <xdr:rowOff>142875</xdr:rowOff>
    </xdr:to>
    <xdr:pic>
      <xdr:nvPicPr>
        <xdr:cNvPr id="12508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40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561975</xdr:colOff>
      <xdr:row>1</xdr:row>
      <xdr:rowOff>47625</xdr:rowOff>
    </xdr:from>
    <xdr:to>
      <xdr:col>10</xdr:col>
      <xdr:colOff>247650</xdr:colOff>
      <xdr:row>4</xdr:row>
      <xdr:rowOff>123825</xdr:rowOff>
    </xdr:to>
    <xdr:pic>
      <xdr:nvPicPr>
        <xdr:cNvPr id="12509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20100" y="2095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0</xdr:rowOff>
    </xdr:from>
    <xdr:to>
      <xdr:col>69</xdr:col>
      <xdr:colOff>0</xdr:colOff>
      <xdr:row>12</xdr:row>
      <xdr:rowOff>19050</xdr:rowOff>
    </xdr:to>
    <xdr:sp macro="" textlink="">
      <xdr:nvSpPr>
        <xdr:cNvPr id="13524" name="Line 5"/>
        <xdr:cNvSpPr>
          <a:spLocks noChangeShapeType="1"/>
        </xdr:cNvSpPr>
      </xdr:nvSpPr>
      <xdr:spPr bwMode="auto">
        <a:xfrm flipV="1">
          <a:off x="75504675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30</xdr:row>
      <xdr:rowOff>0</xdr:rowOff>
    </xdr:from>
    <xdr:to>
      <xdr:col>70</xdr:col>
      <xdr:colOff>57150</xdr:colOff>
      <xdr:row>30</xdr:row>
      <xdr:rowOff>0</xdr:rowOff>
    </xdr:to>
    <xdr:sp macro="" textlink="">
      <xdr:nvSpPr>
        <xdr:cNvPr id="13525" name="Line 6"/>
        <xdr:cNvSpPr>
          <a:spLocks noChangeShapeType="1"/>
        </xdr:cNvSpPr>
      </xdr:nvSpPr>
      <xdr:spPr bwMode="auto">
        <a:xfrm>
          <a:off x="75504675" y="5124450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1057275</xdr:colOff>
      <xdr:row>52</xdr:row>
      <xdr:rowOff>0</xdr:rowOff>
    </xdr:from>
    <xdr:to>
      <xdr:col>70</xdr:col>
      <xdr:colOff>238125</xdr:colOff>
      <xdr:row>52</xdr:row>
      <xdr:rowOff>0</xdr:rowOff>
    </xdr:to>
    <xdr:sp macro="" textlink="">
      <xdr:nvSpPr>
        <xdr:cNvPr id="13526" name="Line 7"/>
        <xdr:cNvSpPr>
          <a:spLocks noChangeShapeType="1"/>
        </xdr:cNvSpPr>
      </xdr:nvSpPr>
      <xdr:spPr bwMode="auto">
        <a:xfrm>
          <a:off x="75457050" y="8763000"/>
          <a:ext cx="1390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32</xdr:row>
      <xdr:rowOff>161925</xdr:rowOff>
    </xdr:from>
    <xdr:to>
      <xdr:col>69</xdr:col>
      <xdr:colOff>0</xdr:colOff>
      <xdr:row>34</xdr:row>
      <xdr:rowOff>0</xdr:rowOff>
    </xdr:to>
    <xdr:sp macro="" textlink="">
      <xdr:nvSpPr>
        <xdr:cNvPr id="13527" name="Line 9"/>
        <xdr:cNvSpPr>
          <a:spLocks noChangeShapeType="1"/>
        </xdr:cNvSpPr>
      </xdr:nvSpPr>
      <xdr:spPr bwMode="auto">
        <a:xfrm flipV="1">
          <a:off x="75504675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19050</xdr:rowOff>
    </xdr:to>
    <xdr:sp macro="" textlink="">
      <xdr:nvSpPr>
        <xdr:cNvPr id="13528" name="Line 10"/>
        <xdr:cNvSpPr>
          <a:spLocks noChangeShapeType="1"/>
        </xdr:cNvSpPr>
      </xdr:nvSpPr>
      <xdr:spPr bwMode="auto">
        <a:xfrm flipV="1">
          <a:off x="78809850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32</xdr:row>
      <xdr:rowOff>161925</xdr:rowOff>
    </xdr:from>
    <xdr:to>
      <xdr:col>72</xdr:col>
      <xdr:colOff>0</xdr:colOff>
      <xdr:row>34</xdr:row>
      <xdr:rowOff>0</xdr:rowOff>
    </xdr:to>
    <xdr:sp macro="" textlink="">
      <xdr:nvSpPr>
        <xdr:cNvPr id="13529" name="Line 11"/>
        <xdr:cNvSpPr>
          <a:spLocks noChangeShapeType="1"/>
        </xdr:cNvSpPr>
      </xdr:nvSpPr>
      <xdr:spPr bwMode="auto">
        <a:xfrm flipV="1">
          <a:off x="78809850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962025</xdr:colOff>
      <xdr:row>1</xdr:row>
      <xdr:rowOff>19050</xdr:rowOff>
    </xdr:from>
    <xdr:to>
      <xdr:col>2</xdr:col>
      <xdr:colOff>800100</xdr:colOff>
      <xdr:row>5</xdr:row>
      <xdr:rowOff>9525</xdr:rowOff>
    </xdr:to>
    <xdr:pic>
      <xdr:nvPicPr>
        <xdr:cNvPr id="13530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1350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28575</xdr:colOff>
      <xdr:row>1</xdr:row>
      <xdr:rowOff>85725</xdr:rowOff>
    </xdr:from>
    <xdr:to>
      <xdr:col>9</xdr:col>
      <xdr:colOff>561975</xdr:colOff>
      <xdr:row>5</xdr:row>
      <xdr:rowOff>28575</xdr:rowOff>
    </xdr:to>
    <xdr:pic>
      <xdr:nvPicPr>
        <xdr:cNvPr id="13531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91675" y="2476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zoomScaleNormal="100" workbookViewId="0">
      <pane xSplit="1" topLeftCell="B1" activePane="topRight" state="frozen"/>
      <selection pane="topRight"/>
    </sheetView>
  </sheetViews>
  <sheetFormatPr defaultRowHeight="12.75"/>
  <cols>
    <col min="1" max="1" width="12" customWidth="1"/>
    <col min="2" max="2" width="11.1640625" bestFit="1" customWidth="1"/>
    <col min="3" max="3" width="20.1640625" bestFit="1" customWidth="1"/>
    <col min="4" max="4" width="11.1640625" bestFit="1" customWidth="1"/>
    <col min="5" max="5" width="21.1640625" bestFit="1" customWidth="1"/>
    <col min="6" max="6" width="11.83203125" customWidth="1"/>
    <col min="7" max="7" width="21.33203125" bestFit="1" customWidth="1"/>
    <col min="8" max="8" width="11.33203125" customWidth="1"/>
    <col min="9" max="9" width="21.6640625" bestFit="1" customWidth="1"/>
    <col min="10" max="10" width="12.33203125" customWidth="1"/>
    <col min="11" max="11" width="21.83203125" bestFit="1" customWidth="1"/>
    <col min="12" max="12" width="11.83203125" customWidth="1"/>
    <col min="13" max="13" width="22.33203125" bestFit="1" customWidth="1"/>
    <col min="14" max="14" width="12.1640625" customWidth="1"/>
    <col min="15" max="15" width="21" bestFit="1" customWidth="1"/>
    <col min="16" max="16" width="10.1640625" bestFit="1" customWidth="1"/>
    <col min="17" max="17" width="23.6640625" bestFit="1" customWidth="1"/>
    <col min="18" max="18" width="11.5" style="6" customWidth="1"/>
    <col min="19" max="19" width="23.5" style="6" customWidth="1"/>
    <col min="20" max="20" width="10.1640625" style="24" bestFit="1" customWidth="1"/>
    <col min="21" max="21" width="20.6640625" style="6" customWidth="1"/>
    <col min="22" max="22" width="10.33203125" style="6" bestFit="1" customWidth="1"/>
    <col min="23" max="23" width="23.5" style="6" bestFit="1" customWidth="1"/>
    <col min="24" max="24" width="9.5" style="6" customWidth="1"/>
    <col min="25" max="25" width="17.6640625" style="6" customWidth="1"/>
    <col min="26" max="26" width="9.33203125" style="6"/>
    <col min="27" max="27" width="17.83203125" style="6" customWidth="1"/>
    <col min="28" max="28" width="10.83203125" style="6" customWidth="1"/>
    <col min="29" max="29" width="17.1640625" style="6" customWidth="1"/>
    <col min="30" max="30" width="10.1640625" style="6" bestFit="1" customWidth="1"/>
    <col min="31" max="31" width="16.33203125" style="6" bestFit="1" customWidth="1"/>
    <col min="32" max="32" width="9.33203125" style="6"/>
    <col min="33" max="33" width="16.33203125" style="6" bestFit="1" customWidth="1"/>
    <col min="34" max="34" width="9.33203125" style="6"/>
    <col min="35" max="35" width="16.33203125" style="6" bestFit="1" customWidth="1"/>
    <col min="36" max="36" width="9.33203125" style="6"/>
    <col min="37" max="37" width="16.33203125" style="6" bestFit="1" customWidth="1"/>
    <col min="38" max="16384" width="9.33203125" style="6"/>
  </cols>
  <sheetData>
    <row r="1" spans="1:37">
      <c r="A1" s="6"/>
    </row>
    <row r="2" spans="1:37">
      <c r="A2" s="6"/>
    </row>
    <row r="3" spans="1:37">
      <c r="A3" s="6"/>
    </row>
    <row r="7" spans="1:37" ht="16.5">
      <c r="F7" s="1" t="s">
        <v>44</v>
      </c>
    </row>
    <row r="8" spans="1:37" ht="16.5">
      <c r="F8" s="1" t="s">
        <v>57</v>
      </c>
    </row>
    <row r="9" spans="1:37" ht="16.5">
      <c r="F9" s="1" t="s">
        <v>65</v>
      </c>
    </row>
    <row r="10" spans="1:37" ht="15.75">
      <c r="F10" s="53"/>
    </row>
    <row r="12" spans="1:37" s="7" customFormat="1">
      <c r="A12" s="143" t="s">
        <v>5</v>
      </c>
      <c r="B12" s="142">
        <v>1995</v>
      </c>
      <c r="C12" s="146"/>
      <c r="D12" s="145">
        <v>1996</v>
      </c>
      <c r="E12" s="146"/>
      <c r="F12" s="142">
        <v>1997</v>
      </c>
      <c r="G12" s="142"/>
      <c r="H12" s="145">
        <v>1998</v>
      </c>
      <c r="I12" s="146"/>
      <c r="J12" s="142">
        <v>1999</v>
      </c>
      <c r="K12" s="142"/>
      <c r="L12" s="145">
        <v>2000</v>
      </c>
      <c r="M12" s="146"/>
      <c r="N12" s="142">
        <v>2001</v>
      </c>
      <c r="O12" s="146"/>
      <c r="P12" s="145">
        <v>2002</v>
      </c>
      <c r="Q12" s="146"/>
      <c r="R12" s="145">
        <v>2003</v>
      </c>
      <c r="S12" s="146"/>
      <c r="T12" s="145">
        <v>2004</v>
      </c>
      <c r="U12" s="147"/>
      <c r="V12" s="145">
        <v>2005</v>
      </c>
      <c r="W12" s="142"/>
      <c r="X12" s="145">
        <v>2006</v>
      </c>
      <c r="Y12" s="146"/>
      <c r="Z12" s="145">
        <v>2007</v>
      </c>
      <c r="AA12" s="146"/>
      <c r="AB12" s="145">
        <v>2008</v>
      </c>
      <c r="AC12" s="142"/>
      <c r="AD12" s="145">
        <v>2009</v>
      </c>
      <c r="AE12" s="146"/>
      <c r="AF12" s="145">
        <v>2010</v>
      </c>
      <c r="AG12" s="146"/>
      <c r="AH12" s="145">
        <v>2011</v>
      </c>
      <c r="AI12" s="146"/>
      <c r="AJ12" s="145">
        <v>2012</v>
      </c>
      <c r="AK12" s="146"/>
    </row>
    <row r="13" spans="1:37" s="7" customFormat="1">
      <c r="A13" s="144"/>
      <c r="B13" s="140" t="s">
        <v>6</v>
      </c>
      <c r="C13" s="61" t="s">
        <v>7</v>
      </c>
      <c r="D13" s="62" t="s">
        <v>6</v>
      </c>
      <c r="E13" s="61" t="s">
        <v>7</v>
      </c>
      <c r="F13" s="60" t="s">
        <v>6</v>
      </c>
      <c r="G13" s="60" t="s">
        <v>7</v>
      </c>
      <c r="H13" s="62" t="s">
        <v>6</v>
      </c>
      <c r="I13" s="61" t="s">
        <v>7</v>
      </c>
      <c r="J13" s="60" t="s">
        <v>6</v>
      </c>
      <c r="K13" s="60" t="s">
        <v>7</v>
      </c>
      <c r="L13" s="63" t="s">
        <v>6</v>
      </c>
      <c r="M13" s="61" t="s">
        <v>7</v>
      </c>
      <c r="N13" s="64" t="s">
        <v>6</v>
      </c>
      <c r="O13" s="61" t="s">
        <v>7</v>
      </c>
      <c r="P13" s="60" t="s">
        <v>6</v>
      </c>
      <c r="Q13" s="61" t="s">
        <v>7</v>
      </c>
      <c r="R13" s="60" t="s">
        <v>6</v>
      </c>
      <c r="S13" s="61" t="s">
        <v>7</v>
      </c>
      <c r="T13" s="65" t="s">
        <v>6</v>
      </c>
      <c r="U13" s="66" t="s">
        <v>7</v>
      </c>
      <c r="V13" s="67" t="s">
        <v>6</v>
      </c>
      <c r="W13" s="67" t="s">
        <v>7</v>
      </c>
      <c r="X13" s="68" t="s">
        <v>6</v>
      </c>
      <c r="Y13" s="69" t="s">
        <v>7</v>
      </c>
      <c r="Z13" s="68" t="s">
        <v>6</v>
      </c>
      <c r="AA13" s="69" t="s">
        <v>7</v>
      </c>
      <c r="AB13" s="68" t="s">
        <v>6</v>
      </c>
      <c r="AC13" s="67" t="s">
        <v>7</v>
      </c>
      <c r="AD13" s="68" t="s">
        <v>6</v>
      </c>
      <c r="AE13" s="69" t="s">
        <v>7</v>
      </c>
      <c r="AF13" s="68" t="s">
        <v>6</v>
      </c>
      <c r="AG13" s="69" t="s">
        <v>7</v>
      </c>
      <c r="AH13" s="68" t="s">
        <v>6</v>
      </c>
      <c r="AI13" s="69" t="s">
        <v>7</v>
      </c>
      <c r="AJ13" s="91" t="s">
        <v>6</v>
      </c>
      <c r="AK13" s="69" t="s">
        <v>7</v>
      </c>
    </row>
    <row r="14" spans="1:37" s="124" customFormat="1">
      <c r="A14" s="164">
        <v>1</v>
      </c>
      <c r="B14" s="122">
        <v>505</v>
      </c>
      <c r="C14" s="122">
        <v>1694965500</v>
      </c>
      <c r="D14" s="99">
        <v>586</v>
      </c>
      <c r="E14" s="94">
        <v>2425297000</v>
      </c>
      <c r="F14" s="99">
        <v>774</v>
      </c>
      <c r="G14" s="94">
        <v>3060385300</v>
      </c>
      <c r="H14" s="99">
        <v>868</v>
      </c>
      <c r="I14" s="94">
        <v>4107451800</v>
      </c>
      <c r="J14" s="99">
        <v>936</v>
      </c>
      <c r="K14" s="94">
        <v>6634578200</v>
      </c>
      <c r="L14" s="99">
        <v>2164</v>
      </c>
      <c r="M14" s="94">
        <v>28451890600</v>
      </c>
      <c r="N14" s="99">
        <v>1319</v>
      </c>
      <c r="O14" s="94">
        <v>13090361600</v>
      </c>
      <c r="P14" s="99">
        <v>862</v>
      </c>
      <c r="Q14" s="94">
        <v>6992071900</v>
      </c>
      <c r="R14" s="99">
        <v>721</v>
      </c>
      <c r="S14" s="94">
        <v>4388797800</v>
      </c>
      <c r="T14" s="99">
        <v>738</v>
      </c>
      <c r="U14" s="94">
        <v>5393442900</v>
      </c>
      <c r="V14" s="99">
        <v>759</v>
      </c>
      <c r="W14" s="94">
        <v>5230669900</v>
      </c>
      <c r="X14" s="99">
        <v>901</v>
      </c>
      <c r="Y14" s="94">
        <v>6633648600</v>
      </c>
      <c r="Z14" s="99">
        <v>904</v>
      </c>
      <c r="AA14" s="94">
        <v>7542866700</v>
      </c>
      <c r="AB14" s="99">
        <v>1054</v>
      </c>
      <c r="AC14" s="94">
        <v>8133170500</v>
      </c>
      <c r="AD14" s="99">
        <v>673</v>
      </c>
      <c r="AE14" s="94">
        <v>3862052900</v>
      </c>
      <c r="AF14" s="99">
        <v>809</v>
      </c>
      <c r="AG14" s="94">
        <v>5195519900</v>
      </c>
      <c r="AH14" s="99">
        <v>885</v>
      </c>
      <c r="AI14" s="94">
        <v>6737897100</v>
      </c>
      <c r="AJ14" s="99">
        <v>809</v>
      </c>
      <c r="AK14" s="123">
        <v>6043837500</v>
      </c>
    </row>
    <row r="15" spans="1:37" s="124" customFormat="1">
      <c r="A15" s="164">
        <v>2</v>
      </c>
      <c r="B15" s="125">
        <v>467</v>
      </c>
      <c r="C15" s="125">
        <v>2547130400</v>
      </c>
      <c r="D15" s="83">
        <v>676</v>
      </c>
      <c r="E15" s="84">
        <v>3116130000</v>
      </c>
      <c r="F15" s="83">
        <v>779</v>
      </c>
      <c r="G15" s="84">
        <v>3672377200</v>
      </c>
      <c r="H15" s="83">
        <v>911</v>
      </c>
      <c r="I15" s="84">
        <v>5585528500</v>
      </c>
      <c r="J15" s="83">
        <v>1332</v>
      </c>
      <c r="K15" s="84">
        <v>11079996300</v>
      </c>
      <c r="L15" s="83">
        <v>2139</v>
      </c>
      <c r="M15" s="84">
        <v>28018271200</v>
      </c>
      <c r="N15" s="83">
        <v>1238</v>
      </c>
      <c r="O15" s="84">
        <v>11519497200</v>
      </c>
      <c r="P15" s="83">
        <v>879</v>
      </c>
      <c r="Q15" s="84">
        <v>6121167200</v>
      </c>
      <c r="R15" s="83">
        <v>753</v>
      </c>
      <c r="S15" s="84">
        <v>4986775200</v>
      </c>
      <c r="T15" s="83">
        <v>876</v>
      </c>
      <c r="U15" s="84">
        <v>6346478300</v>
      </c>
      <c r="V15" s="83">
        <v>857</v>
      </c>
      <c r="W15" s="84">
        <v>6405585600</v>
      </c>
      <c r="X15" s="83">
        <v>1004</v>
      </c>
      <c r="Y15" s="84">
        <v>7299809200</v>
      </c>
      <c r="Z15" s="83">
        <v>1098</v>
      </c>
      <c r="AA15" s="84">
        <v>7751026700</v>
      </c>
      <c r="AB15" s="83">
        <v>1104</v>
      </c>
      <c r="AC15" s="84">
        <v>8057896700</v>
      </c>
      <c r="AD15" s="83">
        <v>758</v>
      </c>
      <c r="AE15" s="84">
        <v>5053775500</v>
      </c>
      <c r="AF15" s="83">
        <v>1015</v>
      </c>
      <c r="AG15" s="84">
        <v>7131867500</v>
      </c>
      <c r="AH15" s="83">
        <v>1057</v>
      </c>
      <c r="AI15" s="84">
        <v>8006233900</v>
      </c>
      <c r="AJ15" s="83">
        <v>898</v>
      </c>
      <c r="AK15" s="126">
        <v>7044491600</v>
      </c>
    </row>
    <row r="16" spans="1:37" s="124" customFormat="1">
      <c r="A16" s="164">
        <v>3</v>
      </c>
      <c r="B16" s="125">
        <v>434</v>
      </c>
      <c r="C16" s="125">
        <v>1698397600</v>
      </c>
      <c r="D16" s="83">
        <v>603</v>
      </c>
      <c r="E16" s="84">
        <v>2597618300</v>
      </c>
      <c r="F16" s="83">
        <v>758</v>
      </c>
      <c r="G16" s="84">
        <v>3723336700</v>
      </c>
      <c r="H16" s="83">
        <v>924</v>
      </c>
      <c r="I16" s="84">
        <v>5366262700</v>
      </c>
      <c r="J16" s="83">
        <v>1441</v>
      </c>
      <c r="K16" s="84">
        <v>13588246100</v>
      </c>
      <c r="L16" s="83">
        <v>1954</v>
      </c>
      <c r="M16" s="84">
        <v>26620563100</v>
      </c>
      <c r="N16" s="83">
        <v>1029</v>
      </c>
      <c r="O16" s="84">
        <v>8282787700</v>
      </c>
      <c r="P16" s="83">
        <v>708</v>
      </c>
      <c r="Q16" s="84">
        <v>4539744000</v>
      </c>
      <c r="R16" s="83">
        <v>728</v>
      </c>
      <c r="S16" s="84">
        <v>4625901800</v>
      </c>
      <c r="T16" s="83">
        <v>716</v>
      </c>
      <c r="U16" s="84">
        <v>5043657200</v>
      </c>
      <c r="V16" s="83">
        <v>810</v>
      </c>
      <c r="W16" s="84">
        <v>6090314200</v>
      </c>
      <c r="X16" s="83">
        <v>948</v>
      </c>
      <c r="Y16" s="84">
        <v>6854617700</v>
      </c>
      <c r="Z16" s="83">
        <v>1041</v>
      </c>
      <c r="AA16" s="84">
        <v>8222747300</v>
      </c>
      <c r="AB16" s="83">
        <v>1045</v>
      </c>
      <c r="AC16" s="84">
        <v>7658925200</v>
      </c>
      <c r="AD16" s="83">
        <v>749</v>
      </c>
      <c r="AE16" s="84">
        <v>5361794000</v>
      </c>
      <c r="AF16" s="83">
        <v>879</v>
      </c>
      <c r="AG16" s="84">
        <v>5436289400</v>
      </c>
      <c r="AH16" s="83">
        <v>971</v>
      </c>
      <c r="AI16" s="84">
        <v>7692064300</v>
      </c>
      <c r="AJ16" s="83"/>
      <c r="AK16" s="126"/>
    </row>
    <row r="17" spans="1:37" s="124" customFormat="1">
      <c r="A17" s="164">
        <v>4</v>
      </c>
      <c r="B17" s="125">
        <v>490</v>
      </c>
      <c r="C17" s="125">
        <v>2060607900</v>
      </c>
      <c r="D17" s="83">
        <v>774</v>
      </c>
      <c r="E17" s="84">
        <v>3212194800</v>
      </c>
      <c r="F17" s="83">
        <v>914</v>
      </c>
      <c r="G17" s="84">
        <v>4460510000</v>
      </c>
      <c r="H17" s="83">
        <v>1024</v>
      </c>
      <c r="I17" s="84">
        <v>6162725800</v>
      </c>
      <c r="J17" s="83">
        <v>1888</v>
      </c>
      <c r="K17" s="84">
        <v>23374735200</v>
      </c>
      <c r="L17" s="83">
        <v>1777</v>
      </c>
      <c r="M17" s="84">
        <v>22117901300</v>
      </c>
      <c r="N17" s="83">
        <v>1002</v>
      </c>
      <c r="O17" s="84">
        <v>8134282200</v>
      </c>
      <c r="P17" s="83">
        <v>752</v>
      </c>
      <c r="Q17" s="84">
        <v>4561934100</v>
      </c>
      <c r="R17" s="83">
        <v>805</v>
      </c>
      <c r="S17" s="84">
        <v>5648620100</v>
      </c>
      <c r="T17" s="83">
        <v>868</v>
      </c>
      <c r="U17" s="84">
        <v>6451200700</v>
      </c>
      <c r="V17" s="83">
        <v>859</v>
      </c>
      <c r="W17" s="84">
        <v>5863149300</v>
      </c>
      <c r="X17" s="83">
        <v>1005</v>
      </c>
      <c r="Y17" s="84">
        <v>6765723000</v>
      </c>
      <c r="Z17" s="83">
        <v>1137</v>
      </c>
      <c r="AA17" s="84">
        <v>8440870000</v>
      </c>
      <c r="AB17" s="83">
        <v>953</v>
      </c>
      <c r="AC17" s="84">
        <v>6201113000</v>
      </c>
      <c r="AD17" s="83">
        <v>929</v>
      </c>
      <c r="AE17" s="84">
        <v>5877908800</v>
      </c>
      <c r="AF17" s="83">
        <v>895</v>
      </c>
      <c r="AG17" s="84">
        <v>5620433600</v>
      </c>
      <c r="AH17" s="83">
        <v>921</v>
      </c>
      <c r="AI17" s="84">
        <v>7094213400</v>
      </c>
      <c r="AJ17" s="83"/>
      <c r="AK17" s="126"/>
    </row>
    <row r="18" spans="1:37" s="124" customFormat="1">
      <c r="A18" s="165" t="s">
        <v>4</v>
      </c>
      <c r="B18" s="127">
        <v>1896</v>
      </c>
      <c r="C18" s="127">
        <v>8001101400</v>
      </c>
      <c r="D18" s="100">
        <v>2639</v>
      </c>
      <c r="E18" s="96">
        <v>11351240100</v>
      </c>
      <c r="F18" s="100">
        <v>3225</v>
      </c>
      <c r="G18" s="96">
        <v>14916609200</v>
      </c>
      <c r="H18" s="100">
        <v>3727</v>
      </c>
      <c r="I18" s="96">
        <v>21221968800</v>
      </c>
      <c r="J18" s="100">
        <v>5597</v>
      </c>
      <c r="K18" s="96">
        <v>54677555800</v>
      </c>
      <c r="L18" s="100">
        <v>8034</v>
      </c>
      <c r="M18" s="96">
        <v>105208626200</v>
      </c>
      <c r="N18" s="100">
        <v>4588</v>
      </c>
      <c r="O18" s="96">
        <v>41026928700</v>
      </c>
      <c r="P18" s="100">
        <v>3201</v>
      </c>
      <c r="Q18" s="96">
        <v>22214917200</v>
      </c>
      <c r="R18" s="100">
        <v>3007</v>
      </c>
      <c r="S18" s="96">
        <v>19650094900</v>
      </c>
      <c r="T18" s="100">
        <v>3198</v>
      </c>
      <c r="U18" s="96">
        <v>23234779100</v>
      </c>
      <c r="V18" s="100">
        <v>3285</v>
      </c>
      <c r="W18" s="96">
        <v>23589719000</v>
      </c>
      <c r="X18" s="100">
        <v>3858</v>
      </c>
      <c r="Y18" s="96">
        <v>27553798500</v>
      </c>
      <c r="Z18" s="100">
        <v>4180</v>
      </c>
      <c r="AA18" s="96">
        <v>31957510700</v>
      </c>
      <c r="AB18" s="100">
        <v>4156</v>
      </c>
      <c r="AC18" s="96">
        <v>30051105400</v>
      </c>
      <c r="AD18" s="100">
        <v>3109</v>
      </c>
      <c r="AE18" s="96">
        <v>20155531200</v>
      </c>
      <c r="AF18" s="100">
        <v>3598</v>
      </c>
      <c r="AG18" s="96">
        <v>23384110400</v>
      </c>
      <c r="AH18" s="100">
        <v>3834</v>
      </c>
      <c r="AI18" s="96">
        <v>29530408700</v>
      </c>
      <c r="AJ18" s="100">
        <v>1707</v>
      </c>
      <c r="AK18" s="128">
        <v>13088329100</v>
      </c>
    </row>
    <row r="19" spans="1:37">
      <c r="S19" s="25"/>
    </row>
    <row r="20" spans="1:37">
      <c r="B20" t="s">
        <v>54</v>
      </c>
      <c r="V20"/>
      <c r="W20"/>
      <c r="X20"/>
      <c r="Z20"/>
      <c r="AA20"/>
      <c r="AB20"/>
    </row>
    <row r="21" spans="1:37">
      <c r="AJ21" s="132"/>
      <c r="AK21" s="81"/>
    </row>
    <row r="22" spans="1:37">
      <c r="AJ22" s="132"/>
      <c r="AK22" s="81"/>
    </row>
  </sheetData>
  <mergeCells count="19">
    <mergeCell ref="AJ12:AK12"/>
    <mergeCell ref="AH12:AI12"/>
    <mergeCell ref="L12:M12"/>
    <mergeCell ref="AD12:AE12"/>
    <mergeCell ref="AB12:AC12"/>
    <mergeCell ref="V12:W12"/>
    <mergeCell ref="T12:U12"/>
    <mergeCell ref="Z12:AA12"/>
    <mergeCell ref="X12:Y12"/>
    <mergeCell ref="AF12:AG12"/>
    <mergeCell ref="R12:S12"/>
    <mergeCell ref="P12:Q12"/>
    <mergeCell ref="N12:O12"/>
    <mergeCell ref="J12:K12"/>
    <mergeCell ref="A12:A13"/>
    <mergeCell ref="H12:I12"/>
    <mergeCell ref="F12:G12"/>
    <mergeCell ref="D12:E12"/>
    <mergeCell ref="B12:C12"/>
  </mergeCells>
  <phoneticPr fontId="2" type="noConversion"/>
  <printOptions horizontalCentered="1"/>
  <pageMargins left="0.25" right="0.25" top="0.5" bottom="0.5" header="0.5" footer="0.5"/>
  <pageSetup paperSize="5" scale="79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1" manualBreakCount="1">
    <brk id="29" max="1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CK28"/>
  <sheetViews>
    <sheetView zoomScaleNormal="100" workbookViewId="0">
      <pane xSplit="1" topLeftCell="B1" activePane="topRight" state="frozen"/>
      <selection pane="topRight"/>
    </sheetView>
  </sheetViews>
  <sheetFormatPr defaultColWidth="16.6640625" defaultRowHeight="12.75"/>
  <cols>
    <col min="1" max="1" width="24.33203125" bestFit="1" customWidth="1"/>
    <col min="2" max="2" width="16.6640625" customWidth="1"/>
    <col min="3" max="3" width="19.83203125" bestFit="1" customWidth="1"/>
    <col min="4" max="4" width="19.6640625" bestFit="1" customWidth="1"/>
    <col min="5" max="5" width="20.1640625" bestFit="1" customWidth="1"/>
    <col min="6" max="6" width="20" bestFit="1" customWidth="1"/>
    <col min="7" max="7" width="22.33203125" customWidth="1"/>
    <col min="8" max="8" width="19.83203125" bestFit="1" customWidth="1"/>
    <col min="9" max="9" width="20.33203125" bestFit="1" customWidth="1"/>
    <col min="10" max="10" width="19.5" bestFit="1" customWidth="1"/>
    <col min="11" max="11" width="20.83203125" bestFit="1" customWidth="1"/>
    <col min="12" max="12" width="20.1640625" bestFit="1" customWidth="1"/>
    <col min="13" max="13" width="19.6640625" bestFit="1" customWidth="1"/>
    <col min="14" max="15" width="16.83203125" bestFit="1" customWidth="1"/>
    <col min="16" max="16" width="18" bestFit="1" customWidth="1"/>
    <col min="17" max="20" width="16.83203125" bestFit="1" customWidth="1"/>
    <col min="21" max="21" width="18" bestFit="1" customWidth="1"/>
    <col min="22" max="22" width="16.83203125" bestFit="1" customWidth="1"/>
    <col min="23" max="33" width="18" bestFit="1" customWidth="1"/>
    <col min="34" max="35" width="16.83203125" bestFit="1" customWidth="1"/>
    <col min="36" max="36" width="18" bestFit="1" customWidth="1"/>
    <col min="37" max="39" width="16.83203125" bestFit="1" customWidth="1"/>
    <col min="40" max="40" width="16.83203125" style="6" bestFit="1" customWidth="1"/>
    <col min="41" max="41" width="18" style="6" bestFit="1" customWidth="1"/>
    <col min="42" max="45" width="16.83203125" style="6" bestFit="1" customWidth="1"/>
    <col min="46" max="46" width="18" style="6" bestFit="1" customWidth="1"/>
    <col min="47" max="50" width="16.83203125" style="6" bestFit="1" customWidth="1"/>
    <col min="51" max="51" width="18" style="6" bestFit="1" customWidth="1"/>
    <col min="52" max="55" width="16.83203125" style="6" bestFit="1" customWidth="1"/>
    <col min="56" max="56" width="18" style="6" bestFit="1" customWidth="1"/>
    <col min="57" max="60" width="16.83203125" style="6" bestFit="1" customWidth="1"/>
    <col min="61" max="61" width="18" style="6" bestFit="1" customWidth="1"/>
    <col min="62" max="65" width="16.83203125" style="6" bestFit="1" customWidth="1"/>
    <col min="66" max="66" width="18" style="6" bestFit="1" customWidth="1"/>
    <col min="67" max="70" width="16.83203125" style="6" bestFit="1" customWidth="1"/>
    <col min="71" max="71" width="18" style="6" bestFit="1" customWidth="1"/>
    <col min="72" max="75" width="16.83203125" style="6" bestFit="1" customWidth="1"/>
    <col min="76" max="76" width="18" style="6" bestFit="1" customWidth="1"/>
    <col min="77" max="80" width="16.83203125" style="6" bestFit="1" customWidth="1"/>
    <col min="81" max="81" width="18" style="6" bestFit="1" customWidth="1"/>
    <col min="82" max="83" width="16.83203125" style="6" bestFit="1" customWidth="1"/>
    <col min="84" max="84" width="18" style="6" bestFit="1" customWidth="1"/>
    <col min="85" max="85" width="16.6640625" style="6"/>
    <col min="86" max="86" width="18" style="6" bestFit="1" customWidth="1"/>
    <col min="87" max="16384" width="16.6640625" style="6"/>
  </cols>
  <sheetData>
    <row r="2" spans="1:89">
      <c r="A2" s="8"/>
      <c r="B2" s="8"/>
      <c r="C2" s="8"/>
      <c r="D2" s="8"/>
    </row>
    <row r="3" spans="1:89">
      <c r="A3" s="8"/>
      <c r="B3" s="8"/>
      <c r="C3" s="8"/>
      <c r="D3" s="8"/>
    </row>
    <row r="4" spans="1:89">
      <c r="A4" s="8"/>
      <c r="B4" s="8"/>
      <c r="C4" s="8" t="s">
        <v>38</v>
      </c>
      <c r="D4" s="8"/>
    </row>
    <row r="5" spans="1:89">
      <c r="A5" s="8"/>
      <c r="B5" s="8"/>
      <c r="C5" s="8"/>
      <c r="D5" s="8"/>
    </row>
    <row r="6" spans="1:89" ht="16.5">
      <c r="D6" s="54"/>
      <c r="E6" s="6"/>
      <c r="F6" s="6"/>
      <c r="G6" s="1" t="s">
        <v>45</v>
      </c>
      <c r="H6" s="54"/>
      <c r="I6" s="1"/>
    </row>
    <row r="7" spans="1:89" ht="16.5">
      <c r="D7" s="54"/>
      <c r="E7" s="6"/>
      <c r="F7" s="6"/>
      <c r="G7" s="1" t="s">
        <v>58</v>
      </c>
      <c r="H7" s="54"/>
      <c r="I7" s="1"/>
      <c r="J7" s="1"/>
    </row>
    <row r="8" spans="1:89" ht="16.5">
      <c r="A8" s="2"/>
      <c r="B8" s="2"/>
      <c r="D8" s="54"/>
      <c r="E8" s="6"/>
      <c r="F8" s="6"/>
      <c r="G8" s="1" t="s">
        <v>66</v>
      </c>
      <c r="H8" s="54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89" ht="15.75">
      <c r="A9" s="2"/>
      <c r="B9" s="2"/>
      <c r="C9" s="2"/>
      <c r="D9" s="2"/>
      <c r="E9" s="6"/>
      <c r="F9" s="6"/>
      <c r="G9" s="5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89" ht="15.75">
      <c r="A10" s="3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89" s="13" customFormat="1" ht="13.5" thickBot="1">
      <c r="A11" s="148" t="s">
        <v>36</v>
      </c>
      <c r="B11" s="155">
        <v>1995</v>
      </c>
      <c r="C11" s="151"/>
      <c r="D11" s="151"/>
      <c r="E11" s="151"/>
      <c r="F11" s="147"/>
      <c r="G11" s="150">
        <v>1996</v>
      </c>
      <c r="H11" s="151"/>
      <c r="I11" s="151"/>
      <c r="J11" s="151"/>
      <c r="K11" s="147"/>
      <c r="L11" s="150">
        <v>1997</v>
      </c>
      <c r="M11" s="151"/>
      <c r="N11" s="151"/>
      <c r="O11" s="151"/>
      <c r="P11" s="147"/>
      <c r="Q11" s="150">
        <v>1998</v>
      </c>
      <c r="R11" s="151"/>
      <c r="S11" s="151"/>
      <c r="T11" s="151"/>
      <c r="U11" s="147"/>
      <c r="V11" s="150">
        <v>1999</v>
      </c>
      <c r="W11" s="151"/>
      <c r="X11" s="151"/>
      <c r="Y11" s="151"/>
      <c r="Z11" s="147"/>
      <c r="AA11" s="150">
        <v>2000</v>
      </c>
      <c r="AB11" s="155"/>
      <c r="AC11" s="155"/>
      <c r="AD11" s="155"/>
      <c r="AE11" s="147"/>
      <c r="AF11" s="150">
        <v>2001</v>
      </c>
      <c r="AG11" s="155"/>
      <c r="AH11" s="155"/>
      <c r="AI11" s="155"/>
      <c r="AJ11" s="147"/>
      <c r="AK11" s="150">
        <v>2002</v>
      </c>
      <c r="AL11" s="151"/>
      <c r="AM11" s="151"/>
      <c r="AN11" s="151"/>
      <c r="AO11" s="147"/>
      <c r="AP11" s="150">
        <v>2003</v>
      </c>
      <c r="AQ11" s="151"/>
      <c r="AR11" s="151"/>
      <c r="AS11" s="151"/>
      <c r="AT11" s="147"/>
      <c r="AU11" s="150">
        <v>2004</v>
      </c>
      <c r="AV11" s="151"/>
      <c r="AW11" s="151"/>
      <c r="AX11" s="151"/>
      <c r="AY11" s="147"/>
      <c r="AZ11" s="150">
        <v>2005</v>
      </c>
      <c r="BA11" s="151"/>
      <c r="BB11" s="151"/>
      <c r="BC11" s="151"/>
      <c r="BD11" s="147"/>
      <c r="BE11" s="150">
        <v>2006</v>
      </c>
      <c r="BF11" s="151"/>
      <c r="BG11" s="151"/>
      <c r="BH11" s="151"/>
      <c r="BI11" s="147"/>
      <c r="BJ11" s="150">
        <v>2007</v>
      </c>
      <c r="BK11" s="151"/>
      <c r="BL11" s="151"/>
      <c r="BM11" s="151"/>
      <c r="BN11" s="147"/>
      <c r="BO11" s="150">
        <v>2008</v>
      </c>
      <c r="BP11" s="151"/>
      <c r="BQ11" s="151"/>
      <c r="BR11" s="151"/>
      <c r="BS11" s="147"/>
      <c r="BT11" s="150">
        <v>2009</v>
      </c>
      <c r="BU11" s="151"/>
      <c r="BV11" s="151"/>
      <c r="BW11" s="151"/>
      <c r="BX11" s="147"/>
      <c r="BY11" s="150">
        <v>2010</v>
      </c>
      <c r="BZ11" s="151"/>
      <c r="CA11" s="151"/>
      <c r="CB11" s="151"/>
      <c r="CC11" s="147"/>
      <c r="CD11" s="145">
        <v>2011</v>
      </c>
      <c r="CE11" s="142"/>
      <c r="CF11" s="142"/>
      <c r="CG11" s="156"/>
      <c r="CH11" s="156"/>
      <c r="CI11" s="145">
        <v>2012</v>
      </c>
      <c r="CJ11" s="142"/>
      <c r="CK11" s="147"/>
    </row>
    <row r="12" spans="1:89" s="7" customFormat="1">
      <c r="A12" s="149"/>
      <c r="B12" s="141" t="s">
        <v>0</v>
      </c>
      <c r="C12" s="141" t="s">
        <v>1</v>
      </c>
      <c r="D12" s="141" t="s">
        <v>2</v>
      </c>
      <c r="E12" s="136" t="s">
        <v>3</v>
      </c>
      <c r="F12" s="72" t="s">
        <v>8</v>
      </c>
      <c r="G12" s="141" t="s">
        <v>0</v>
      </c>
      <c r="H12" s="141" t="s">
        <v>1</v>
      </c>
      <c r="I12" s="141" t="s">
        <v>2</v>
      </c>
      <c r="J12" s="136" t="s">
        <v>3</v>
      </c>
      <c r="K12" s="72" t="s">
        <v>9</v>
      </c>
      <c r="L12" s="141" t="s">
        <v>0</v>
      </c>
      <c r="M12" s="141" t="s">
        <v>1</v>
      </c>
      <c r="N12" s="141" t="s">
        <v>2</v>
      </c>
      <c r="O12" s="136" t="s">
        <v>3</v>
      </c>
      <c r="P12" s="72" t="s">
        <v>10</v>
      </c>
      <c r="Q12" s="141" t="s">
        <v>0</v>
      </c>
      <c r="R12" s="141" t="s">
        <v>1</v>
      </c>
      <c r="S12" s="141" t="s">
        <v>2</v>
      </c>
      <c r="T12" s="136" t="s">
        <v>3</v>
      </c>
      <c r="U12" s="72" t="s">
        <v>11</v>
      </c>
      <c r="V12" s="141" t="s">
        <v>0</v>
      </c>
      <c r="W12" s="141" t="s">
        <v>1</v>
      </c>
      <c r="X12" s="141" t="s">
        <v>2</v>
      </c>
      <c r="Y12" s="136" t="s">
        <v>3</v>
      </c>
      <c r="Z12" s="72" t="s">
        <v>12</v>
      </c>
      <c r="AA12" s="141" t="s">
        <v>0</v>
      </c>
      <c r="AB12" s="141" t="s">
        <v>1</v>
      </c>
      <c r="AC12" s="141" t="s">
        <v>2</v>
      </c>
      <c r="AD12" s="136" t="s">
        <v>3</v>
      </c>
      <c r="AE12" s="72" t="s">
        <v>13</v>
      </c>
      <c r="AF12" s="141" t="s">
        <v>0</v>
      </c>
      <c r="AG12" s="141" t="s">
        <v>1</v>
      </c>
      <c r="AH12" s="141" t="s">
        <v>2</v>
      </c>
      <c r="AI12" s="136" t="s">
        <v>3</v>
      </c>
      <c r="AJ12" s="72" t="s">
        <v>14</v>
      </c>
      <c r="AK12" s="141" t="s">
        <v>0</v>
      </c>
      <c r="AL12" s="141" t="s">
        <v>1</v>
      </c>
      <c r="AM12" s="141" t="s">
        <v>2</v>
      </c>
      <c r="AN12" s="136" t="s">
        <v>3</v>
      </c>
      <c r="AO12" s="72" t="s">
        <v>37</v>
      </c>
      <c r="AP12" s="141" t="s">
        <v>0</v>
      </c>
      <c r="AQ12" s="141" t="s">
        <v>1</v>
      </c>
      <c r="AR12" s="141" t="s">
        <v>2</v>
      </c>
      <c r="AS12" s="136" t="s">
        <v>3</v>
      </c>
      <c r="AT12" s="72" t="s">
        <v>39</v>
      </c>
      <c r="AU12" s="141" t="s">
        <v>0</v>
      </c>
      <c r="AV12" s="141" t="s">
        <v>1</v>
      </c>
      <c r="AW12" s="141" t="s">
        <v>2</v>
      </c>
      <c r="AX12" s="136" t="s">
        <v>3</v>
      </c>
      <c r="AY12" s="72" t="s">
        <v>40</v>
      </c>
      <c r="AZ12" s="141" t="s">
        <v>0</v>
      </c>
      <c r="BA12" s="141" t="s">
        <v>1</v>
      </c>
      <c r="BB12" s="141" t="s">
        <v>2</v>
      </c>
      <c r="BC12" s="136" t="s">
        <v>3</v>
      </c>
      <c r="BD12" s="72" t="s">
        <v>41</v>
      </c>
      <c r="BE12" s="141" t="s">
        <v>0</v>
      </c>
      <c r="BF12" s="141" t="s">
        <v>1</v>
      </c>
      <c r="BG12" s="141" t="s">
        <v>2</v>
      </c>
      <c r="BH12" s="136" t="s">
        <v>3</v>
      </c>
      <c r="BI12" s="72" t="s">
        <v>46</v>
      </c>
      <c r="BJ12" s="141" t="s">
        <v>0</v>
      </c>
      <c r="BK12" s="141" t="s">
        <v>1</v>
      </c>
      <c r="BL12" s="141" t="s">
        <v>2</v>
      </c>
      <c r="BM12" s="136" t="s">
        <v>3</v>
      </c>
      <c r="BN12" s="72" t="s">
        <v>48</v>
      </c>
      <c r="BO12" s="141" t="s">
        <v>0</v>
      </c>
      <c r="BP12" s="141" t="s">
        <v>1</v>
      </c>
      <c r="BQ12" s="141" t="s">
        <v>2</v>
      </c>
      <c r="BR12" s="136" t="s">
        <v>3</v>
      </c>
      <c r="BS12" s="72" t="s">
        <v>50</v>
      </c>
      <c r="BT12" s="141" t="s">
        <v>0</v>
      </c>
      <c r="BU12" s="141" t="s">
        <v>1</v>
      </c>
      <c r="BV12" s="141" t="s">
        <v>2</v>
      </c>
      <c r="BW12" s="136" t="s">
        <v>3</v>
      </c>
      <c r="BX12" s="72" t="s">
        <v>60</v>
      </c>
      <c r="BY12" s="141" t="s">
        <v>0</v>
      </c>
      <c r="BZ12" s="141" t="s">
        <v>1</v>
      </c>
      <c r="CA12" s="141" t="s">
        <v>2</v>
      </c>
      <c r="CB12" s="136" t="s">
        <v>3</v>
      </c>
      <c r="CC12" s="72" t="s">
        <v>61</v>
      </c>
      <c r="CD12" s="141" t="s">
        <v>0</v>
      </c>
      <c r="CE12" s="141" t="s">
        <v>1</v>
      </c>
      <c r="CF12" s="141" t="s">
        <v>2</v>
      </c>
      <c r="CG12" s="136" t="s">
        <v>3</v>
      </c>
      <c r="CH12" s="72" t="s">
        <v>63</v>
      </c>
      <c r="CI12" s="137" t="s">
        <v>0</v>
      </c>
      <c r="CJ12" s="136" t="s">
        <v>1</v>
      </c>
      <c r="CK12" s="72" t="s">
        <v>64</v>
      </c>
    </row>
    <row r="13" spans="1:89">
      <c r="A13" s="23" t="s">
        <v>62</v>
      </c>
      <c r="B13" s="166">
        <v>312888600</v>
      </c>
      <c r="C13" s="166">
        <v>397360500</v>
      </c>
      <c r="D13" s="166">
        <v>229865000</v>
      </c>
      <c r="E13" s="170">
        <v>329758500</v>
      </c>
      <c r="F13" s="108">
        <v>1269872600</v>
      </c>
      <c r="G13" s="166">
        <v>322706900</v>
      </c>
      <c r="H13" s="166">
        <v>431946600</v>
      </c>
      <c r="I13" s="166">
        <v>200618600</v>
      </c>
      <c r="J13" s="170">
        <v>316454900</v>
      </c>
      <c r="K13" s="108">
        <v>1271727000</v>
      </c>
      <c r="L13" s="166">
        <v>400584900</v>
      </c>
      <c r="M13" s="166">
        <v>330828800</v>
      </c>
      <c r="N13" s="166">
        <v>323323300</v>
      </c>
      <c r="O13" s="170">
        <v>319500100</v>
      </c>
      <c r="P13" s="108">
        <v>1374237100</v>
      </c>
      <c r="Q13" s="166">
        <v>402564100</v>
      </c>
      <c r="R13" s="166">
        <v>426424500</v>
      </c>
      <c r="S13" s="166">
        <v>459900600</v>
      </c>
      <c r="T13" s="170">
        <v>478584200</v>
      </c>
      <c r="U13" s="108">
        <v>1767473400</v>
      </c>
      <c r="V13" s="166">
        <v>591538500</v>
      </c>
      <c r="W13" s="166">
        <v>840442200</v>
      </c>
      <c r="X13" s="166">
        <v>981810300</v>
      </c>
      <c r="Y13" s="170">
        <v>1244526000</v>
      </c>
      <c r="Z13" s="108">
        <v>3658317000</v>
      </c>
      <c r="AA13" s="166">
        <v>806969400</v>
      </c>
      <c r="AB13" s="166">
        <v>984135300</v>
      </c>
      <c r="AC13" s="166">
        <v>878262600</v>
      </c>
      <c r="AD13" s="170">
        <v>486770300</v>
      </c>
      <c r="AE13" s="108">
        <v>3156137600</v>
      </c>
      <c r="AF13" s="166">
        <v>256618000</v>
      </c>
      <c r="AG13" s="166">
        <v>265258000</v>
      </c>
      <c r="AH13" s="166">
        <v>128532700</v>
      </c>
      <c r="AI13" s="170">
        <v>150318800</v>
      </c>
      <c r="AJ13" s="108">
        <v>800727500</v>
      </c>
      <c r="AK13" s="166">
        <v>76447000</v>
      </c>
      <c r="AL13" s="166">
        <v>93461200</v>
      </c>
      <c r="AM13" s="166">
        <v>84173000</v>
      </c>
      <c r="AN13" s="170">
        <v>86078200</v>
      </c>
      <c r="AO13" s="108">
        <v>340159400</v>
      </c>
      <c r="AP13" s="166">
        <v>84506000</v>
      </c>
      <c r="AQ13" s="166">
        <v>95165000</v>
      </c>
      <c r="AR13" s="166">
        <v>100280200</v>
      </c>
      <c r="AS13" s="170">
        <v>86279300</v>
      </c>
      <c r="AT13" s="108">
        <v>366230500</v>
      </c>
      <c r="AU13" s="166">
        <v>104750100</v>
      </c>
      <c r="AV13" s="166">
        <v>124314200</v>
      </c>
      <c r="AW13" s="166">
        <v>168029400</v>
      </c>
      <c r="AX13" s="170">
        <v>554531100</v>
      </c>
      <c r="AY13" s="108">
        <v>951624800</v>
      </c>
      <c r="AZ13" s="166">
        <v>148537900</v>
      </c>
      <c r="BA13" s="166">
        <v>532473700</v>
      </c>
      <c r="BB13" s="166">
        <v>160231600</v>
      </c>
      <c r="BC13" s="170">
        <v>162737300</v>
      </c>
      <c r="BD13" s="108">
        <v>1003980500</v>
      </c>
      <c r="BE13" s="166">
        <v>243742100</v>
      </c>
      <c r="BF13" s="166">
        <v>374019000</v>
      </c>
      <c r="BG13" s="166">
        <v>364600400</v>
      </c>
      <c r="BH13" s="170">
        <v>306201400</v>
      </c>
      <c r="BI13" s="108">
        <v>1288562900</v>
      </c>
      <c r="BJ13" s="166">
        <v>315840600</v>
      </c>
      <c r="BK13" s="166">
        <v>483232300</v>
      </c>
      <c r="BL13" s="166">
        <v>457029600</v>
      </c>
      <c r="BM13" s="170">
        <v>562474600</v>
      </c>
      <c r="BN13" s="108">
        <v>1818577100</v>
      </c>
      <c r="BO13" s="166">
        <v>458551400</v>
      </c>
      <c r="BP13" s="166">
        <v>535831500</v>
      </c>
      <c r="BQ13" s="166">
        <v>557882500</v>
      </c>
      <c r="BR13" s="170">
        <v>364854100</v>
      </c>
      <c r="BS13" s="108">
        <v>1917119500</v>
      </c>
      <c r="BT13" s="166">
        <v>312685200</v>
      </c>
      <c r="BU13" s="166">
        <v>608750500</v>
      </c>
      <c r="BV13" s="166">
        <v>525975300</v>
      </c>
      <c r="BW13" s="170">
        <v>360957800</v>
      </c>
      <c r="BX13" s="108">
        <v>1808368800</v>
      </c>
      <c r="BY13" s="166">
        <v>411176400</v>
      </c>
      <c r="BZ13" s="166">
        <v>690103800</v>
      </c>
      <c r="CA13" s="166">
        <v>342952000</v>
      </c>
      <c r="CB13" s="170">
        <v>236133900</v>
      </c>
      <c r="CC13" s="108">
        <v>1680366100</v>
      </c>
      <c r="CD13" s="166">
        <v>223040900</v>
      </c>
      <c r="CE13" s="166">
        <v>422808000</v>
      </c>
      <c r="CF13" s="166">
        <v>217977800</v>
      </c>
      <c r="CG13" s="170">
        <v>185937100</v>
      </c>
      <c r="CH13" s="108">
        <v>1049763800</v>
      </c>
      <c r="CI13" s="51">
        <v>149558400</v>
      </c>
      <c r="CJ13" s="170">
        <v>199446100</v>
      </c>
      <c r="CK13" s="108">
        <v>349004500</v>
      </c>
    </row>
    <row r="14" spans="1:89">
      <c r="A14" s="23" t="s">
        <v>33</v>
      </c>
      <c r="B14" s="167">
        <v>409044000</v>
      </c>
      <c r="C14" s="167">
        <v>393640100</v>
      </c>
      <c r="D14" s="167">
        <v>366833200</v>
      </c>
      <c r="E14" s="170">
        <v>564068400</v>
      </c>
      <c r="F14" s="109">
        <v>1733585700</v>
      </c>
      <c r="G14" s="167">
        <v>597800100</v>
      </c>
      <c r="H14" s="167">
        <v>713956500</v>
      </c>
      <c r="I14" s="167">
        <v>574605400</v>
      </c>
      <c r="J14" s="170">
        <v>753884700</v>
      </c>
      <c r="K14" s="109">
        <v>2640246700</v>
      </c>
      <c r="L14" s="167">
        <v>769491400</v>
      </c>
      <c r="M14" s="167">
        <v>846833700</v>
      </c>
      <c r="N14" s="167">
        <v>760053700</v>
      </c>
      <c r="O14" s="170">
        <v>1044092700</v>
      </c>
      <c r="P14" s="109">
        <v>3420471500</v>
      </c>
      <c r="Q14" s="167">
        <v>1133106100</v>
      </c>
      <c r="R14" s="167">
        <v>1014452100</v>
      </c>
      <c r="S14" s="167">
        <v>1290595400</v>
      </c>
      <c r="T14" s="170">
        <v>1990618000</v>
      </c>
      <c r="U14" s="109">
        <v>5428771600</v>
      </c>
      <c r="V14" s="167">
        <v>1238438900</v>
      </c>
      <c r="W14" s="167">
        <v>1991817500</v>
      </c>
      <c r="X14" s="167">
        <v>2661840500</v>
      </c>
      <c r="Y14" s="170">
        <v>5490380100</v>
      </c>
      <c r="Z14" s="109">
        <v>11382477000</v>
      </c>
      <c r="AA14" s="167">
        <v>7150955800</v>
      </c>
      <c r="AB14" s="167">
        <v>6932392500</v>
      </c>
      <c r="AC14" s="167">
        <v>5920250400</v>
      </c>
      <c r="AD14" s="170">
        <v>5358480000</v>
      </c>
      <c r="AE14" s="109">
        <v>25362078700</v>
      </c>
      <c r="AF14" s="167">
        <v>3461456000</v>
      </c>
      <c r="AG14" s="167">
        <v>2103299600</v>
      </c>
      <c r="AH14" s="167">
        <v>1702071200</v>
      </c>
      <c r="AI14" s="170">
        <v>1332535000</v>
      </c>
      <c r="AJ14" s="109">
        <v>8599361800</v>
      </c>
      <c r="AK14" s="167">
        <v>1181566000</v>
      </c>
      <c r="AL14" s="167">
        <v>1133638100</v>
      </c>
      <c r="AM14" s="167">
        <v>849274100</v>
      </c>
      <c r="AN14" s="170">
        <v>797960600</v>
      </c>
      <c r="AO14" s="109">
        <v>3962438800</v>
      </c>
      <c r="AP14" s="167">
        <v>691031100</v>
      </c>
      <c r="AQ14" s="167">
        <v>1017873000</v>
      </c>
      <c r="AR14" s="167">
        <v>811802000</v>
      </c>
      <c r="AS14" s="170">
        <v>1095971400</v>
      </c>
      <c r="AT14" s="109">
        <v>3616677500</v>
      </c>
      <c r="AU14" s="167">
        <v>912798400</v>
      </c>
      <c r="AV14" s="167">
        <v>1025831300</v>
      </c>
      <c r="AW14" s="167">
        <v>1026623000</v>
      </c>
      <c r="AX14" s="170">
        <v>1086586500</v>
      </c>
      <c r="AY14" s="109">
        <v>4051839200</v>
      </c>
      <c r="AZ14" s="167">
        <v>862366200</v>
      </c>
      <c r="BA14" s="167">
        <v>1001579500</v>
      </c>
      <c r="BB14" s="167">
        <v>1204804800</v>
      </c>
      <c r="BC14" s="170">
        <v>994815800</v>
      </c>
      <c r="BD14" s="109">
        <v>4063566300</v>
      </c>
      <c r="BE14" s="167">
        <v>896748300</v>
      </c>
      <c r="BF14" s="167">
        <v>949207500</v>
      </c>
      <c r="BG14" s="167">
        <v>1101808700</v>
      </c>
      <c r="BH14" s="170">
        <v>1683575900</v>
      </c>
      <c r="BI14" s="109">
        <v>4631340400</v>
      </c>
      <c r="BJ14" s="167">
        <v>1325733300</v>
      </c>
      <c r="BK14" s="167">
        <v>1666925400</v>
      </c>
      <c r="BL14" s="167">
        <v>1283258100</v>
      </c>
      <c r="BM14" s="170">
        <v>1774206100</v>
      </c>
      <c r="BN14" s="109">
        <v>6050122900</v>
      </c>
      <c r="BO14" s="167">
        <v>1387969600</v>
      </c>
      <c r="BP14" s="167">
        <v>1481699600</v>
      </c>
      <c r="BQ14" s="167">
        <v>1376727400</v>
      </c>
      <c r="BR14" s="170">
        <v>1455483600</v>
      </c>
      <c r="BS14" s="109">
        <v>5701880200</v>
      </c>
      <c r="BT14" s="167">
        <v>753901500</v>
      </c>
      <c r="BU14" s="167">
        <v>1167541900</v>
      </c>
      <c r="BV14" s="167">
        <v>1201690900</v>
      </c>
      <c r="BW14" s="170">
        <v>1753442200</v>
      </c>
      <c r="BX14" s="109">
        <v>4876576500</v>
      </c>
      <c r="BY14" s="167">
        <v>1141067600</v>
      </c>
      <c r="BZ14" s="167">
        <v>1741043900</v>
      </c>
      <c r="CA14" s="167">
        <v>1385446400</v>
      </c>
      <c r="CB14" s="170">
        <v>1548854300</v>
      </c>
      <c r="CC14" s="109">
        <v>5816412200</v>
      </c>
      <c r="CD14" s="167">
        <v>1823065100</v>
      </c>
      <c r="CE14" s="167">
        <v>2228766600</v>
      </c>
      <c r="CF14" s="167">
        <v>2479974800</v>
      </c>
      <c r="CG14" s="170">
        <v>2359061200</v>
      </c>
      <c r="CH14" s="109">
        <v>8890867700</v>
      </c>
      <c r="CI14" s="51">
        <v>1813136800</v>
      </c>
      <c r="CJ14" s="170">
        <v>2137166200</v>
      </c>
      <c r="CK14" s="109">
        <v>3950303000</v>
      </c>
    </row>
    <row r="15" spans="1:89">
      <c r="A15" s="23" t="s">
        <v>34</v>
      </c>
      <c r="B15" s="167">
        <v>634821400</v>
      </c>
      <c r="C15" s="167">
        <v>1328157300</v>
      </c>
      <c r="D15" s="167">
        <v>805709800</v>
      </c>
      <c r="E15" s="170">
        <v>805673100</v>
      </c>
      <c r="F15" s="109">
        <v>3574361600</v>
      </c>
      <c r="G15" s="167">
        <v>1162745500</v>
      </c>
      <c r="H15" s="167">
        <v>1509945500</v>
      </c>
      <c r="I15" s="167">
        <v>1276969600</v>
      </c>
      <c r="J15" s="170">
        <v>1605362200</v>
      </c>
      <c r="K15" s="109">
        <v>5555022800</v>
      </c>
      <c r="L15" s="167">
        <v>1373721200</v>
      </c>
      <c r="M15" s="167">
        <v>1963106000</v>
      </c>
      <c r="N15" s="167">
        <v>1983642300</v>
      </c>
      <c r="O15" s="170">
        <v>2300969000</v>
      </c>
      <c r="P15" s="109">
        <v>7621438500</v>
      </c>
      <c r="Q15" s="167">
        <v>1728634200</v>
      </c>
      <c r="R15" s="167">
        <v>3167586800</v>
      </c>
      <c r="S15" s="167">
        <v>2703687900</v>
      </c>
      <c r="T15" s="170">
        <v>2563663100</v>
      </c>
      <c r="U15" s="109">
        <v>10163572000</v>
      </c>
      <c r="V15" s="167">
        <v>3210399100</v>
      </c>
      <c r="W15" s="167">
        <v>5498545400</v>
      </c>
      <c r="X15" s="167">
        <v>7347055900</v>
      </c>
      <c r="Y15" s="170">
        <v>13411447600</v>
      </c>
      <c r="Z15" s="109">
        <v>29467448000</v>
      </c>
      <c r="AA15" s="167">
        <v>16111094600</v>
      </c>
      <c r="AB15" s="167">
        <v>15762482000</v>
      </c>
      <c r="AC15" s="167">
        <v>15229075000</v>
      </c>
      <c r="AD15" s="170">
        <v>11994577500</v>
      </c>
      <c r="AE15" s="109">
        <v>59097229100</v>
      </c>
      <c r="AF15" s="167">
        <v>6913556100</v>
      </c>
      <c r="AG15" s="167">
        <v>6638331300</v>
      </c>
      <c r="AH15" s="167">
        <v>4561768400</v>
      </c>
      <c r="AI15" s="170">
        <v>4748062700</v>
      </c>
      <c r="AJ15" s="109">
        <v>22861718500</v>
      </c>
      <c r="AK15" s="167">
        <v>3803575300</v>
      </c>
      <c r="AL15" s="167">
        <v>3552284300</v>
      </c>
      <c r="AM15" s="167">
        <v>2496280800</v>
      </c>
      <c r="AN15" s="170">
        <v>2318467900</v>
      </c>
      <c r="AO15" s="109">
        <v>12170608300</v>
      </c>
      <c r="AP15" s="167">
        <v>2463709700</v>
      </c>
      <c r="AQ15" s="167">
        <v>2486886400</v>
      </c>
      <c r="AR15" s="167">
        <v>2197805800</v>
      </c>
      <c r="AS15" s="170">
        <v>2607723000</v>
      </c>
      <c r="AT15" s="109">
        <v>9756124900</v>
      </c>
      <c r="AU15" s="167">
        <v>2063318900</v>
      </c>
      <c r="AV15" s="167">
        <v>2730003900</v>
      </c>
      <c r="AW15" s="167">
        <v>2032119800</v>
      </c>
      <c r="AX15" s="170">
        <v>2269714800</v>
      </c>
      <c r="AY15" s="109">
        <v>9095157400</v>
      </c>
      <c r="AZ15" s="167">
        <v>2139054300</v>
      </c>
      <c r="BA15" s="167">
        <v>2365404100</v>
      </c>
      <c r="BB15" s="167">
        <v>1759258500</v>
      </c>
      <c r="BC15" s="170">
        <v>2370052500</v>
      </c>
      <c r="BD15" s="109">
        <v>8633769400</v>
      </c>
      <c r="BE15" s="167">
        <v>2622921700</v>
      </c>
      <c r="BF15" s="167">
        <v>3194816700</v>
      </c>
      <c r="BG15" s="167">
        <v>2858967600</v>
      </c>
      <c r="BH15" s="170">
        <v>2508382700</v>
      </c>
      <c r="BI15" s="109">
        <v>11185088700</v>
      </c>
      <c r="BJ15" s="167">
        <v>2794974200</v>
      </c>
      <c r="BK15" s="167">
        <v>2352389800</v>
      </c>
      <c r="BL15" s="167">
        <v>3116096300</v>
      </c>
      <c r="BM15" s="170">
        <v>3010354500</v>
      </c>
      <c r="BN15" s="109">
        <v>11273814800</v>
      </c>
      <c r="BO15" s="167">
        <v>3450383700</v>
      </c>
      <c r="BP15" s="167">
        <v>2722284400</v>
      </c>
      <c r="BQ15" s="167">
        <v>2564310100</v>
      </c>
      <c r="BR15" s="170">
        <v>2145544500</v>
      </c>
      <c r="BS15" s="109">
        <v>10882522700</v>
      </c>
      <c r="BT15" s="167">
        <v>1202474800</v>
      </c>
      <c r="BU15" s="167">
        <v>1784047300</v>
      </c>
      <c r="BV15" s="167">
        <v>1820428400</v>
      </c>
      <c r="BW15" s="170">
        <v>1953767200</v>
      </c>
      <c r="BX15" s="109">
        <v>6760717700</v>
      </c>
      <c r="BY15" s="167">
        <v>1884937900</v>
      </c>
      <c r="BZ15" s="167">
        <v>2809006900</v>
      </c>
      <c r="CA15" s="167">
        <v>1695503400</v>
      </c>
      <c r="CB15" s="170">
        <v>2416717900</v>
      </c>
      <c r="CC15" s="109">
        <v>8806166100</v>
      </c>
      <c r="CD15" s="167">
        <v>2275522800</v>
      </c>
      <c r="CE15" s="167">
        <v>2382303100</v>
      </c>
      <c r="CF15" s="167">
        <v>2548745200</v>
      </c>
      <c r="CG15" s="170">
        <v>2524059500</v>
      </c>
      <c r="CH15" s="109">
        <v>9730630600</v>
      </c>
      <c r="CI15" s="51">
        <v>1764092800</v>
      </c>
      <c r="CJ15" s="170">
        <v>2621532500</v>
      </c>
      <c r="CK15" s="109">
        <v>4385625300</v>
      </c>
    </row>
    <row r="16" spans="1:89" ht="13.5" thickBot="1">
      <c r="A16" s="23" t="s">
        <v>35</v>
      </c>
      <c r="B16" s="168">
        <v>338211500</v>
      </c>
      <c r="C16" s="168">
        <v>427972500</v>
      </c>
      <c r="D16" s="168">
        <v>295989600</v>
      </c>
      <c r="E16" s="171">
        <v>361107900</v>
      </c>
      <c r="F16" s="110">
        <v>1423281500</v>
      </c>
      <c r="G16" s="168">
        <v>342044500</v>
      </c>
      <c r="H16" s="168">
        <v>460281400</v>
      </c>
      <c r="I16" s="168">
        <v>545424700</v>
      </c>
      <c r="J16" s="171">
        <v>536493000</v>
      </c>
      <c r="K16" s="110">
        <v>1884243600</v>
      </c>
      <c r="L16" s="168">
        <v>516587800</v>
      </c>
      <c r="M16" s="168">
        <v>531608700</v>
      </c>
      <c r="N16" s="168">
        <v>656317400</v>
      </c>
      <c r="O16" s="171">
        <v>795948200</v>
      </c>
      <c r="P16" s="110">
        <v>2500462100</v>
      </c>
      <c r="Q16" s="168">
        <v>843147400</v>
      </c>
      <c r="R16" s="168">
        <v>977065100</v>
      </c>
      <c r="S16" s="168">
        <v>912078800</v>
      </c>
      <c r="T16" s="171">
        <v>1129860500</v>
      </c>
      <c r="U16" s="110">
        <v>3862151800</v>
      </c>
      <c r="V16" s="168">
        <v>1594201700</v>
      </c>
      <c r="W16" s="168">
        <v>2749191200</v>
      </c>
      <c r="X16" s="168">
        <v>2597539400</v>
      </c>
      <c r="Y16" s="171">
        <v>3228381500</v>
      </c>
      <c r="Z16" s="110">
        <v>10169313800</v>
      </c>
      <c r="AA16" s="168">
        <v>4382870800</v>
      </c>
      <c r="AB16" s="168">
        <v>4339261400</v>
      </c>
      <c r="AC16" s="168">
        <v>4592975100</v>
      </c>
      <c r="AD16" s="171">
        <v>4278073500</v>
      </c>
      <c r="AE16" s="110">
        <v>17593180800</v>
      </c>
      <c r="AF16" s="168">
        <v>2458731500</v>
      </c>
      <c r="AG16" s="168">
        <v>2512608300</v>
      </c>
      <c r="AH16" s="168">
        <v>1890415400</v>
      </c>
      <c r="AI16" s="171">
        <v>1903365700</v>
      </c>
      <c r="AJ16" s="110">
        <v>8765120900</v>
      </c>
      <c r="AK16" s="168">
        <v>1930483600</v>
      </c>
      <c r="AL16" s="168">
        <v>1341783600</v>
      </c>
      <c r="AM16" s="168">
        <v>1110016100</v>
      </c>
      <c r="AN16" s="171">
        <v>1359427400</v>
      </c>
      <c r="AO16" s="110">
        <v>5741710700</v>
      </c>
      <c r="AP16" s="168">
        <v>1149551000</v>
      </c>
      <c r="AQ16" s="168">
        <v>1386850800</v>
      </c>
      <c r="AR16" s="168">
        <v>1516013800</v>
      </c>
      <c r="AS16" s="171">
        <v>1858646400</v>
      </c>
      <c r="AT16" s="110">
        <v>5911062000</v>
      </c>
      <c r="AU16" s="168">
        <v>2312575500</v>
      </c>
      <c r="AV16" s="168">
        <v>2466328900</v>
      </c>
      <c r="AW16" s="168">
        <v>1816885000</v>
      </c>
      <c r="AX16" s="171">
        <v>2540368300</v>
      </c>
      <c r="AY16" s="110">
        <v>9136157700</v>
      </c>
      <c r="AZ16" s="168">
        <v>2080711500</v>
      </c>
      <c r="BA16" s="168">
        <v>2506128300</v>
      </c>
      <c r="BB16" s="168">
        <v>2966019300</v>
      </c>
      <c r="BC16" s="171">
        <v>2335543700</v>
      </c>
      <c r="BD16" s="110">
        <v>9888402800</v>
      </c>
      <c r="BE16" s="168">
        <v>2870236500</v>
      </c>
      <c r="BF16" s="168">
        <v>2781766000</v>
      </c>
      <c r="BG16" s="168">
        <v>2529241000</v>
      </c>
      <c r="BH16" s="171">
        <v>2267563000</v>
      </c>
      <c r="BI16" s="110">
        <v>10448806500</v>
      </c>
      <c r="BJ16" s="168">
        <v>3106318600</v>
      </c>
      <c r="BK16" s="168">
        <v>3248479200</v>
      </c>
      <c r="BL16" s="168">
        <v>3366363300</v>
      </c>
      <c r="BM16" s="171">
        <v>3093834800</v>
      </c>
      <c r="BN16" s="110">
        <v>12814995900</v>
      </c>
      <c r="BO16" s="168">
        <v>2836265800</v>
      </c>
      <c r="BP16" s="168">
        <v>3318081200</v>
      </c>
      <c r="BQ16" s="168">
        <v>3160005200</v>
      </c>
      <c r="BR16" s="171">
        <v>2235230800</v>
      </c>
      <c r="BS16" s="110">
        <v>11549583000</v>
      </c>
      <c r="BT16" s="168">
        <v>1592991400</v>
      </c>
      <c r="BU16" s="168">
        <v>1493435800</v>
      </c>
      <c r="BV16" s="168">
        <v>1813699400</v>
      </c>
      <c r="BW16" s="171">
        <v>1809741600</v>
      </c>
      <c r="BX16" s="110">
        <v>6709868200</v>
      </c>
      <c r="BY16" s="168">
        <v>1758338000</v>
      </c>
      <c r="BZ16" s="168">
        <v>1891712900</v>
      </c>
      <c r="CA16" s="168">
        <v>2012387600</v>
      </c>
      <c r="CB16" s="171">
        <v>1418727500</v>
      </c>
      <c r="CC16" s="110">
        <v>7081166000</v>
      </c>
      <c r="CD16" s="168">
        <v>2416268300</v>
      </c>
      <c r="CE16" s="168">
        <v>2972356200</v>
      </c>
      <c r="CF16" s="168">
        <v>2445366500</v>
      </c>
      <c r="CG16" s="171">
        <v>2025155600</v>
      </c>
      <c r="CH16" s="110">
        <v>9859146600</v>
      </c>
      <c r="CI16" s="52">
        <v>2317049500</v>
      </c>
      <c r="CJ16" s="171">
        <v>2086346800</v>
      </c>
      <c r="CK16" s="110">
        <v>4403396300</v>
      </c>
    </row>
    <row r="17" spans="1:89" ht="14.25" thickTop="1" thickBot="1">
      <c r="A17" s="36" t="s">
        <v>4</v>
      </c>
      <c r="B17" s="169">
        <v>1694965500</v>
      </c>
      <c r="C17" s="169">
        <v>2547130400</v>
      </c>
      <c r="D17" s="169">
        <v>1698397600</v>
      </c>
      <c r="E17" s="172">
        <v>2060607900</v>
      </c>
      <c r="F17" s="111">
        <v>8001101400</v>
      </c>
      <c r="G17" s="169">
        <v>2425297000</v>
      </c>
      <c r="H17" s="169">
        <v>3116130000</v>
      </c>
      <c r="I17" s="169">
        <v>2597618300</v>
      </c>
      <c r="J17" s="172">
        <v>3212194800</v>
      </c>
      <c r="K17" s="111">
        <v>11351240100</v>
      </c>
      <c r="L17" s="169">
        <v>3060385300</v>
      </c>
      <c r="M17" s="169">
        <v>3672377200</v>
      </c>
      <c r="N17" s="169">
        <v>3723336700</v>
      </c>
      <c r="O17" s="172">
        <v>4460510000</v>
      </c>
      <c r="P17" s="111">
        <v>14916609200</v>
      </c>
      <c r="Q17" s="169">
        <v>4107451800</v>
      </c>
      <c r="R17" s="169">
        <v>5585528500</v>
      </c>
      <c r="S17" s="169">
        <v>5366262700</v>
      </c>
      <c r="T17" s="172">
        <v>6162725800</v>
      </c>
      <c r="U17" s="111">
        <v>21221968800</v>
      </c>
      <c r="V17" s="169">
        <v>6634578200</v>
      </c>
      <c r="W17" s="169">
        <v>11079996300</v>
      </c>
      <c r="X17" s="169">
        <v>13588246100</v>
      </c>
      <c r="Y17" s="172">
        <v>23374735200</v>
      </c>
      <c r="Z17" s="111">
        <v>54677555800</v>
      </c>
      <c r="AA17" s="169">
        <v>28451890600</v>
      </c>
      <c r="AB17" s="169">
        <v>28018271200</v>
      </c>
      <c r="AC17" s="169">
        <v>26620563100</v>
      </c>
      <c r="AD17" s="172">
        <v>22117901300</v>
      </c>
      <c r="AE17" s="111">
        <v>105208626200</v>
      </c>
      <c r="AF17" s="169">
        <v>13090361600</v>
      </c>
      <c r="AG17" s="169">
        <v>11519497200</v>
      </c>
      <c r="AH17" s="169">
        <v>8282787700</v>
      </c>
      <c r="AI17" s="172">
        <v>8134282200</v>
      </c>
      <c r="AJ17" s="111">
        <v>41026928700</v>
      </c>
      <c r="AK17" s="169">
        <v>6992071900</v>
      </c>
      <c r="AL17" s="169">
        <v>6121167200</v>
      </c>
      <c r="AM17" s="169">
        <v>4539744000</v>
      </c>
      <c r="AN17" s="172">
        <v>4561934100</v>
      </c>
      <c r="AO17" s="111">
        <v>22214917200</v>
      </c>
      <c r="AP17" s="169">
        <v>4388797800</v>
      </c>
      <c r="AQ17" s="169">
        <v>4986775200</v>
      </c>
      <c r="AR17" s="169">
        <v>4625901800</v>
      </c>
      <c r="AS17" s="172">
        <v>5648620100</v>
      </c>
      <c r="AT17" s="111">
        <v>19650094900</v>
      </c>
      <c r="AU17" s="169">
        <v>5393442900</v>
      </c>
      <c r="AV17" s="169">
        <v>6346478300</v>
      </c>
      <c r="AW17" s="169">
        <v>5043657200</v>
      </c>
      <c r="AX17" s="172">
        <v>6451200700</v>
      </c>
      <c r="AY17" s="111">
        <v>23234779100</v>
      </c>
      <c r="AZ17" s="169">
        <v>5230669900</v>
      </c>
      <c r="BA17" s="169">
        <v>6405585600</v>
      </c>
      <c r="BB17" s="169">
        <v>6090314200</v>
      </c>
      <c r="BC17" s="172">
        <v>5863149300</v>
      </c>
      <c r="BD17" s="111">
        <v>23589719000</v>
      </c>
      <c r="BE17" s="169">
        <v>6633648600</v>
      </c>
      <c r="BF17" s="169">
        <v>7299809200</v>
      </c>
      <c r="BG17" s="169">
        <v>6854617700</v>
      </c>
      <c r="BH17" s="172">
        <v>6765723000</v>
      </c>
      <c r="BI17" s="111">
        <v>27553798500</v>
      </c>
      <c r="BJ17" s="169">
        <v>7542866700</v>
      </c>
      <c r="BK17" s="169">
        <v>7751026700</v>
      </c>
      <c r="BL17" s="169">
        <v>8222747300</v>
      </c>
      <c r="BM17" s="172">
        <v>8440870000</v>
      </c>
      <c r="BN17" s="111">
        <v>31957510700</v>
      </c>
      <c r="BO17" s="169">
        <v>8133170500</v>
      </c>
      <c r="BP17" s="169">
        <v>8057896700</v>
      </c>
      <c r="BQ17" s="169">
        <v>7658925200</v>
      </c>
      <c r="BR17" s="172">
        <v>6201113000</v>
      </c>
      <c r="BS17" s="111">
        <v>30051105400</v>
      </c>
      <c r="BT17" s="169">
        <v>3862052900</v>
      </c>
      <c r="BU17" s="169">
        <v>5053775500</v>
      </c>
      <c r="BV17" s="169">
        <v>5361794000</v>
      </c>
      <c r="BW17" s="172">
        <v>5877908800</v>
      </c>
      <c r="BX17" s="111">
        <v>20155531200</v>
      </c>
      <c r="BY17" s="169">
        <v>5195519900</v>
      </c>
      <c r="BZ17" s="169">
        <v>7131867500</v>
      </c>
      <c r="CA17" s="169">
        <v>5436289400</v>
      </c>
      <c r="CB17" s="172">
        <v>5620433600</v>
      </c>
      <c r="CC17" s="111">
        <v>23384110400</v>
      </c>
      <c r="CD17" s="169">
        <v>6737897100</v>
      </c>
      <c r="CE17" s="169">
        <v>8006233900</v>
      </c>
      <c r="CF17" s="169">
        <v>7692064300</v>
      </c>
      <c r="CG17" s="172">
        <v>7094213400</v>
      </c>
      <c r="CH17" s="111">
        <v>29530408700</v>
      </c>
      <c r="CI17" s="117">
        <v>6043837500</v>
      </c>
      <c r="CJ17" s="172">
        <v>7044491600</v>
      </c>
      <c r="CK17" s="111">
        <v>13088329100</v>
      </c>
    </row>
    <row r="18" spans="1:89">
      <c r="AE18" s="11"/>
      <c r="AX18" s="27"/>
      <c r="AY18" s="26"/>
      <c r="BB18" s="14"/>
      <c r="BC18" s="14"/>
    </row>
    <row r="19" spans="1:89" ht="15.75">
      <c r="A19" s="3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W19" s="15"/>
      <c r="AX19" s="15"/>
      <c r="AY19" s="26"/>
      <c r="AZ19" s="15"/>
      <c r="BA19" s="15"/>
      <c r="BB19" s="14"/>
      <c r="BC19" s="14"/>
    </row>
    <row r="20" spans="1:89" s="13" customFormat="1" ht="13.5" thickBot="1">
      <c r="A20" s="148" t="s">
        <v>36</v>
      </c>
      <c r="B20" s="155">
        <v>1995</v>
      </c>
      <c r="C20" s="151"/>
      <c r="D20" s="151"/>
      <c r="E20" s="151"/>
      <c r="F20" s="147"/>
      <c r="G20" s="150">
        <v>1996</v>
      </c>
      <c r="H20" s="151"/>
      <c r="I20" s="151"/>
      <c r="J20" s="151"/>
      <c r="K20" s="147" t="s">
        <v>9</v>
      </c>
      <c r="L20" s="150">
        <v>1997</v>
      </c>
      <c r="M20" s="151"/>
      <c r="N20" s="151"/>
      <c r="O20" s="151"/>
      <c r="P20" s="147" t="s">
        <v>10</v>
      </c>
      <c r="Q20" s="150">
        <v>1998</v>
      </c>
      <c r="R20" s="151"/>
      <c r="S20" s="151"/>
      <c r="T20" s="151"/>
      <c r="U20" s="147" t="s">
        <v>11</v>
      </c>
      <c r="V20" s="150">
        <v>1999</v>
      </c>
      <c r="W20" s="151"/>
      <c r="X20" s="151"/>
      <c r="Y20" s="151"/>
      <c r="Z20" s="147" t="s">
        <v>12</v>
      </c>
      <c r="AA20" s="150">
        <v>2000</v>
      </c>
      <c r="AB20" s="151"/>
      <c r="AC20" s="151"/>
      <c r="AD20" s="151"/>
      <c r="AE20" s="147" t="s">
        <v>13</v>
      </c>
      <c r="AF20" s="150">
        <v>2001</v>
      </c>
      <c r="AG20" s="151"/>
      <c r="AH20" s="151"/>
      <c r="AI20" s="151"/>
      <c r="AJ20" s="147" t="s">
        <v>14</v>
      </c>
      <c r="AK20" s="150">
        <v>2002</v>
      </c>
      <c r="AL20" s="154"/>
      <c r="AM20" s="152"/>
      <c r="AN20" s="152"/>
      <c r="AO20" s="153"/>
      <c r="AP20" s="150">
        <v>2003</v>
      </c>
      <c r="AQ20" s="154"/>
      <c r="AR20" s="152"/>
      <c r="AS20" s="152"/>
      <c r="AT20" s="152"/>
      <c r="AU20" s="150">
        <v>2004</v>
      </c>
      <c r="AV20" s="151"/>
      <c r="AW20" s="151"/>
      <c r="AX20" s="152"/>
      <c r="AY20" s="153"/>
      <c r="AZ20" s="150">
        <v>2005</v>
      </c>
      <c r="BA20" s="151"/>
      <c r="BB20" s="151"/>
      <c r="BC20" s="152"/>
      <c r="BD20" s="152"/>
      <c r="BE20" s="150">
        <v>2006</v>
      </c>
      <c r="BF20" s="151"/>
      <c r="BG20" s="151"/>
      <c r="BH20" s="151"/>
      <c r="BI20" s="147"/>
      <c r="BJ20" s="150">
        <v>2007</v>
      </c>
      <c r="BK20" s="151"/>
      <c r="BL20" s="151"/>
      <c r="BM20" s="151"/>
      <c r="BN20" s="147"/>
      <c r="BO20" s="150">
        <v>2008</v>
      </c>
      <c r="BP20" s="151"/>
      <c r="BQ20" s="151"/>
      <c r="BR20" s="151"/>
      <c r="BS20" s="147"/>
      <c r="BT20" s="150">
        <v>2009</v>
      </c>
      <c r="BU20" s="151"/>
      <c r="BV20" s="151"/>
      <c r="BW20" s="151"/>
      <c r="BX20" s="147"/>
      <c r="BY20" s="150">
        <v>2010</v>
      </c>
      <c r="BZ20" s="151"/>
      <c r="CA20" s="151"/>
      <c r="CB20" s="151"/>
      <c r="CC20" s="151"/>
      <c r="CD20" s="145">
        <v>2011</v>
      </c>
      <c r="CE20" s="142"/>
      <c r="CF20" s="156"/>
      <c r="CG20" s="156"/>
      <c r="CH20" s="157"/>
      <c r="CI20" s="145">
        <v>2012</v>
      </c>
      <c r="CJ20" s="142"/>
      <c r="CK20" s="147"/>
    </row>
    <row r="21" spans="1:89" s="7" customFormat="1">
      <c r="A21" s="149"/>
      <c r="B21" s="141" t="s">
        <v>0</v>
      </c>
      <c r="C21" s="141" t="s">
        <v>1</v>
      </c>
      <c r="D21" s="141" t="s">
        <v>2</v>
      </c>
      <c r="E21" s="136" t="s">
        <v>3</v>
      </c>
      <c r="F21" s="72" t="s">
        <v>8</v>
      </c>
      <c r="G21" s="141" t="s">
        <v>0</v>
      </c>
      <c r="H21" s="141" t="s">
        <v>1</v>
      </c>
      <c r="I21" s="141" t="s">
        <v>2</v>
      </c>
      <c r="J21" s="136" t="s">
        <v>3</v>
      </c>
      <c r="K21" s="72" t="s">
        <v>9</v>
      </c>
      <c r="L21" s="141" t="s">
        <v>0</v>
      </c>
      <c r="M21" s="141" t="s">
        <v>1</v>
      </c>
      <c r="N21" s="141" t="s">
        <v>2</v>
      </c>
      <c r="O21" s="136" t="s">
        <v>3</v>
      </c>
      <c r="P21" s="72" t="s">
        <v>10</v>
      </c>
      <c r="Q21" s="141" t="s">
        <v>0</v>
      </c>
      <c r="R21" s="141" t="s">
        <v>1</v>
      </c>
      <c r="S21" s="141" t="s">
        <v>2</v>
      </c>
      <c r="T21" s="136" t="s">
        <v>3</v>
      </c>
      <c r="U21" s="72" t="s">
        <v>11</v>
      </c>
      <c r="V21" s="141" t="s">
        <v>0</v>
      </c>
      <c r="W21" s="141" t="s">
        <v>1</v>
      </c>
      <c r="X21" s="141" t="s">
        <v>2</v>
      </c>
      <c r="Y21" s="136" t="s">
        <v>3</v>
      </c>
      <c r="Z21" s="72" t="s">
        <v>12</v>
      </c>
      <c r="AA21" s="141" t="s">
        <v>0</v>
      </c>
      <c r="AB21" s="141" t="s">
        <v>1</v>
      </c>
      <c r="AC21" s="141" t="s">
        <v>2</v>
      </c>
      <c r="AD21" s="136" t="s">
        <v>3</v>
      </c>
      <c r="AE21" s="72" t="s">
        <v>13</v>
      </c>
      <c r="AF21" s="141" t="s">
        <v>0</v>
      </c>
      <c r="AG21" s="141" t="s">
        <v>1</v>
      </c>
      <c r="AH21" s="141" t="s">
        <v>2</v>
      </c>
      <c r="AI21" s="136" t="s">
        <v>3</v>
      </c>
      <c r="AJ21" s="72" t="s">
        <v>14</v>
      </c>
      <c r="AK21" s="141" t="s">
        <v>0</v>
      </c>
      <c r="AL21" s="141" t="s">
        <v>1</v>
      </c>
      <c r="AM21" s="141" t="s">
        <v>2</v>
      </c>
      <c r="AN21" s="136" t="s">
        <v>3</v>
      </c>
      <c r="AO21" s="72" t="s">
        <v>37</v>
      </c>
      <c r="AP21" s="141" t="s">
        <v>0</v>
      </c>
      <c r="AQ21" s="141" t="s">
        <v>1</v>
      </c>
      <c r="AR21" s="141" t="s">
        <v>2</v>
      </c>
      <c r="AS21" s="136" t="s">
        <v>3</v>
      </c>
      <c r="AT21" s="72" t="s">
        <v>39</v>
      </c>
      <c r="AU21" s="141" t="s">
        <v>0</v>
      </c>
      <c r="AV21" s="141" t="s">
        <v>1</v>
      </c>
      <c r="AW21" s="141" t="s">
        <v>2</v>
      </c>
      <c r="AX21" s="136" t="s">
        <v>3</v>
      </c>
      <c r="AY21" s="72" t="s">
        <v>40</v>
      </c>
      <c r="AZ21" s="141" t="s">
        <v>0</v>
      </c>
      <c r="BA21" s="141" t="s">
        <v>1</v>
      </c>
      <c r="BB21" s="141" t="s">
        <v>2</v>
      </c>
      <c r="BC21" s="136" t="s">
        <v>3</v>
      </c>
      <c r="BD21" s="72" t="s">
        <v>41</v>
      </c>
      <c r="BE21" s="141" t="s">
        <v>0</v>
      </c>
      <c r="BF21" s="141" t="s">
        <v>1</v>
      </c>
      <c r="BG21" s="141" t="s">
        <v>2</v>
      </c>
      <c r="BH21" s="136" t="s">
        <v>3</v>
      </c>
      <c r="BI21" s="72" t="s">
        <v>47</v>
      </c>
      <c r="BJ21" s="141" t="s">
        <v>0</v>
      </c>
      <c r="BK21" s="141" t="s">
        <v>1</v>
      </c>
      <c r="BL21" s="141" t="s">
        <v>2</v>
      </c>
      <c r="BM21" s="136" t="s">
        <v>3</v>
      </c>
      <c r="BN21" s="72" t="s">
        <v>49</v>
      </c>
      <c r="BO21" s="141" t="s">
        <v>0</v>
      </c>
      <c r="BP21" s="141" t="s">
        <v>1</v>
      </c>
      <c r="BQ21" s="141" t="s">
        <v>2</v>
      </c>
      <c r="BR21" s="136" t="s">
        <v>3</v>
      </c>
      <c r="BS21" s="72" t="s">
        <v>50</v>
      </c>
      <c r="BT21" s="141" t="s">
        <v>0</v>
      </c>
      <c r="BU21" s="141" t="s">
        <v>1</v>
      </c>
      <c r="BV21" s="141" t="s">
        <v>2</v>
      </c>
      <c r="BW21" s="136" t="s">
        <v>3</v>
      </c>
      <c r="BX21" s="72" t="s">
        <v>60</v>
      </c>
      <c r="BY21" s="141" t="s">
        <v>0</v>
      </c>
      <c r="BZ21" s="141" t="s">
        <v>1</v>
      </c>
      <c r="CA21" s="141" t="s">
        <v>2</v>
      </c>
      <c r="CB21" s="136" t="s">
        <v>3</v>
      </c>
      <c r="CC21" s="72" t="s">
        <v>61</v>
      </c>
      <c r="CD21" s="141" t="s">
        <v>0</v>
      </c>
      <c r="CE21" s="141" t="s">
        <v>1</v>
      </c>
      <c r="CF21" s="141" t="s">
        <v>2</v>
      </c>
      <c r="CG21" s="136" t="s">
        <v>3</v>
      </c>
      <c r="CH21" s="72" t="s">
        <v>63</v>
      </c>
      <c r="CI21" s="137" t="s">
        <v>0</v>
      </c>
      <c r="CJ21" s="136" t="s">
        <v>1</v>
      </c>
      <c r="CK21" s="72" t="s">
        <v>64</v>
      </c>
    </row>
    <row r="22" spans="1:89" s="56" customFormat="1">
      <c r="A22" s="57" t="s">
        <v>62</v>
      </c>
      <c r="B22" s="173">
        <v>126</v>
      </c>
      <c r="C22" s="173">
        <v>96</v>
      </c>
      <c r="D22" s="173">
        <v>95</v>
      </c>
      <c r="E22" s="176">
        <v>116</v>
      </c>
      <c r="F22" s="112">
        <v>433</v>
      </c>
      <c r="G22" s="173">
        <v>130</v>
      </c>
      <c r="H22" s="173">
        <v>140</v>
      </c>
      <c r="I22" s="173">
        <v>97</v>
      </c>
      <c r="J22" s="176">
        <v>136</v>
      </c>
      <c r="K22" s="112">
        <v>503</v>
      </c>
      <c r="L22" s="173">
        <v>163</v>
      </c>
      <c r="M22" s="173">
        <v>120</v>
      </c>
      <c r="N22" s="173">
        <v>120</v>
      </c>
      <c r="O22" s="176">
        <v>139</v>
      </c>
      <c r="P22" s="112">
        <v>542</v>
      </c>
      <c r="Q22" s="173">
        <v>152</v>
      </c>
      <c r="R22" s="173">
        <v>162</v>
      </c>
      <c r="S22" s="173">
        <v>164</v>
      </c>
      <c r="T22" s="176">
        <v>193</v>
      </c>
      <c r="U22" s="112">
        <v>671</v>
      </c>
      <c r="V22" s="173">
        <v>166</v>
      </c>
      <c r="W22" s="173">
        <v>211</v>
      </c>
      <c r="X22" s="173">
        <v>248</v>
      </c>
      <c r="Y22" s="176">
        <v>185</v>
      </c>
      <c r="Z22" s="112">
        <v>810</v>
      </c>
      <c r="AA22" s="173">
        <v>196</v>
      </c>
      <c r="AB22" s="173">
        <v>197</v>
      </c>
      <c r="AC22" s="173">
        <v>172</v>
      </c>
      <c r="AD22" s="176">
        <v>136</v>
      </c>
      <c r="AE22" s="112">
        <v>701</v>
      </c>
      <c r="AF22" s="173">
        <v>80</v>
      </c>
      <c r="AG22" s="173">
        <v>73</v>
      </c>
      <c r="AH22" s="173">
        <v>68</v>
      </c>
      <c r="AI22" s="176">
        <v>58</v>
      </c>
      <c r="AJ22" s="112">
        <v>279</v>
      </c>
      <c r="AK22" s="173">
        <v>47</v>
      </c>
      <c r="AL22" s="173">
        <v>53</v>
      </c>
      <c r="AM22" s="173">
        <v>40</v>
      </c>
      <c r="AN22" s="176">
        <v>41</v>
      </c>
      <c r="AO22" s="112">
        <v>181</v>
      </c>
      <c r="AP22" s="173">
        <v>56</v>
      </c>
      <c r="AQ22" s="173">
        <v>60</v>
      </c>
      <c r="AR22" s="173">
        <v>43</v>
      </c>
      <c r="AS22" s="176">
        <v>54</v>
      </c>
      <c r="AT22" s="112">
        <v>213</v>
      </c>
      <c r="AU22" s="173">
        <v>46</v>
      </c>
      <c r="AV22" s="173">
        <v>75</v>
      </c>
      <c r="AW22" s="173">
        <v>45</v>
      </c>
      <c r="AX22" s="176">
        <v>66</v>
      </c>
      <c r="AY22" s="112">
        <v>232</v>
      </c>
      <c r="AZ22" s="173">
        <v>52</v>
      </c>
      <c r="BA22" s="173">
        <v>69</v>
      </c>
      <c r="BB22" s="173">
        <v>66</v>
      </c>
      <c r="BC22" s="176">
        <v>76</v>
      </c>
      <c r="BD22" s="112">
        <v>263</v>
      </c>
      <c r="BE22" s="173">
        <v>81</v>
      </c>
      <c r="BF22" s="173">
        <v>93</v>
      </c>
      <c r="BG22" s="173">
        <v>120</v>
      </c>
      <c r="BH22" s="176">
        <v>100</v>
      </c>
      <c r="BI22" s="112">
        <v>394</v>
      </c>
      <c r="BJ22" s="173">
        <v>89</v>
      </c>
      <c r="BK22" s="173">
        <v>139</v>
      </c>
      <c r="BL22" s="173">
        <v>136</v>
      </c>
      <c r="BM22" s="176">
        <v>159</v>
      </c>
      <c r="BN22" s="112">
        <v>523</v>
      </c>
      <c r="BO22" s="173">
        <v>135</v>
      </c>
      <c r="BP22" s="173">
        <v>135</v>
      </c>
      <c r="BQ22" s="173">
        <v>156</v>
      </c>
      <c r="BR22" s="176">
        <v>110</v>
      </c>
      <c r="BS22" s="112">
        <v>536</v>
      </c>
      <c r="BT22" s="173">
        <v>69</v>
      </c>
      <c r="BU22" s="173">
        <v>86</v>
      </c>
      <c r="BV22" s="173">
        <v>100</v>
      </c>
      <c r="BW22" s="176">
        <v>117</v>
      </c>
      <c r="BX22" s="112">
        <v>372</v>
      </c>
      <c r="BY22" s="173">
        <v>91</v>
      </c>
      <c r="BZ22" s="173">
        <v>118</v>
      </c>
      <c r="CA22" s="173">
        <v>100</v>
      </c>
      <c r="CB22" s="176">
        <v>96</v>
      </c>
      <c r="CC22" s="112">
        <v>405</v>
      </c>
      <c r="CD22" s="173">
        <v>91</v>
      </c>
      <c r="CE22" s="173">
        <v>130</v>
      </c>
      <c r="CF22" s="173">
        <v>109</v>
      </c>
      <c r="CG22" s="176">
        <v>101</v>
      </c>
      <c r="CH22" s="112">
        <v>431</v>
      </c>
      <c r="CI22" s="118">
        <v>55</v>
      </c>
      <c r="CJ22" s="176">
        <v>63</v>
      </c>
      <c r="CK22" s="112">
        <v>118</v>
      </c>
    </row>
    <row r="23" spans="1:89" s="56" customFormat="1">
      <c r="A23" s="57" t="s">
        <v>33</v>
      </c>
      <c r="B23" s="57">
        <v>131</v>
      </c>
      <c r="C23" s="57">
        <v>137</v>
      </c>
      <c r="D23" s="57">
        <v>116</v>
      </c>
      <c r="E23" s="177">
        <v>137</v>
      </c>
      <c r="F23" s="113">
        <v>521</v>
      </c>
      <c r="G23" s="57">
        <v>148</v>
      </c>
      <c r="H23" s="57">
        <v>206</v>
      </c>
      <c r="I23" s="57">
        <v>175</v>
      </c>
      <c r="J23" s="177">
        <v>223</v>
      </c>
      <c r="K23" s="113">
        <v>752</v>
      </c>
      <c r="L23" s="57">
        <v>201</v>
      </c>
      <c r="M23" s="57">
        <v>208</v>
      </c>
      <c r="N23" s="57">
        <v>228</v>
      </c>
      <c r="O23" s="177">
        <v>258</v>
      </c>
      <c r="P23" s="113">
        <v>895</v>
      </c>
      <c r="Q23" s="57">
        <v>243</v>
      </c>
      <c r="R23" s="57">
        <v>221</v>
      </c>
      <c r="S23" s="57">
        <v>243</v>
      </c>
      <c r="T23" s="177">
        <v>312</v>
      </c>
      <c r="U23" s="113">
        <v>1019</v>
      </c>
      <c r="V23" s="57">
        <v>248</v>
      </c>
      <c r="W23" s="57">
        <v>380</v>
      </c>
      <c r="X23" s="57">
        <v>448</v>
      </c>
      <c r="Y23" s="177">
        <v>659</v>
      </c>
      <c r="Z23" s="113">
        <v>1735</v>
      </c>
      <c r="AA23" s="57">
        <v>766</v>
      </c>
      <c r="AB23" s="57">
        <v>791</v>
      </c>
      <c r="AC23" s="57">
        <v>681</v>
      </c>
      <c r="AD23" s="177">
        <v>620</v>
      </c>
      <c r="AE23" s="113">
        <v>2858</v>
      </c>
      <c r="AF23" s="57">
        <v>435</v>
      </c>
      <c r="AG23" s="57">
        <v>339</v>
      </c>
      <c r="AH23" s="57">
        <v>270</v>
      </c>
      <c r="AI23" s="177">
        <v>255</v>
      </c>
      <c r="AJ23" s="113">
        <v>1299</v>
      </c>
      <c r="AK23" s="57">
        <v>246</v>
      </c>
      <c r="AL23" s="57">
        <v>242</v>
      </c>
      <c r="AM23" s="57">
        <v>193</v>
      </c>
      <c r="AN23" s="177">
        <v>194</v>
      </c>
      <c r="AO23" s="113">
        <v>875</v>
      </c>
      <c r="AP23" s="57">
        <v>189</v>
      </c>
      <c r="AQ23" s="57">
        <v>216</v>
      </c>
      <c r="AR23" s="57">
        <v>186</v>
      </c>
      <c r="AS23" s="177">
        <v>211</v>
      </c>
      <c r="AT23" s="113">
        <v>802</v>
      </c>
      <c r="AU23" s="57">
        <v>207</v>
      </c>
      <c r="AV23" s="57">
        <v>236</v>
      </c>
      <c r="AW23" s="57">
        <v>219</v>
      </c>
      <c r="AX23" s="177">
        <v>228</v>
      </c>
      <c r="AY23" s="113">
        <v>890</v>
      </c>
      <c r="AZ23" s="57">
        <v>211</v>
      </c>
      <c r="BA23" s="57">
        <v>218</v>
      </c>
      <c r="BB23" s="57">
        <v>217</v>
      </c>
      <c r="BC23" s="177">
        <v>210</v>
      </c>
      <c r="BD23" s="113">
        <v>856</v>
      </c>
      <c r="BE23" s="57">
        <v>203</v>
      </c>
      <c r="BF23" s="57">
        <v>242</v>
      </c>
      <c r="BG23" s="57">
        <v>235</v>
      </c>
      <c r="BH23" s="177">
        <v>315</v>
      </c>
      <c r="BI23" s="113">
        <v>995</v>
      </c>
      <c r="BJ23" s="57">
        <v>254</v>
      </c>
      <c r="BK23" s="57">
        <v>317</v>
      </c>
      <c r="BL23" s="57">
        <v>250</v>
      </c>
      <c r="BM23" s="177">
        <v>283</v>
      </c>
      <c r="BN23" s="113">
        <v>1104</v>
      </c>
      <c r="BO23" s="57">
        <v>263</v>
      </c>
      <c r="BP23" s="57">
        <v>297</v>
      </c>
      <c r="BQ23" s="57">
        <v>279</v>
      </c>
      <c r="BR23" s="177">
        <v>285</v>
      </c>
      <c r="BS23" s="113">
        <v>1124</v>
      </c>
      <c r="BT23" s="57">
        <v>193</v>
      </c>
      <c r="BU23" s="57">
        <v>213</v>
      </c>
      <c r="BV23" s="57">
        <v>238</v>
      </c>
      <c r="BW23" s="177">
        <v>320</v>
      </c>
      <c r="BX23" s="113">
        <v>964</v>
      </c>
      <c r="BY23" s="57">
        <v>263</v>
      </c>
      <c r="BZ23" s="57">
        <v>360</v>
      </c>
      <c r="CA23" s="57">
        <v>305</v>
      </c>
      <c r="CB23" s="177">
        <v>331</v>
      </c>
      <c r="CC23" s="113">
        <v>1259</v>
      </c>
      <c r="CD23" s="57">
        <v>335</v>
      </c>
      <c r="CE23" s="57">
        <v>381</v>
      </c>
      <c r="CF23" s="57">
        <v>381</v>
      </c>
      <c r="CG23" s="177">
        <v>398</v>
      </c>
      <c r="CH23" s="113">
        <v>1495</v>
      </c>
      <c r="CI23" s="119">
        <v>321</v>
      </c>
      <c r="CJ23" s="177">
        <v>410</v>
      </c>
      <c r="CK23" s="113">
        <v>731</v>
      </c>
    </row>
    <row r="24" spans="1:89" s="56" customFormat="1">
      <c r="A24" s="57" t="s">
        <v>34</v>
      </c>
      <c r="B24" s="57">
        <v>188</v>
      </c>
      <c r="C24" s="57">
        <v>179</v>
      </c>
      <c r="D24" s="57">
        <v>166</v>
      </c>
      <c r="E24" s="177">
        <v>175</v>
      </c>
      <c r="F24" s="113">
        <v>708</v>
      </c>
      <c r="G24" s="57">
        <v>237</v>
      </c>
      <c r="H24" s="57">
        <v>247</v>
      </c>
      <c r="I24" s="57">
        <v>245</v>
      </c>
      <c r="J24" s="177">
        <v>320</v>
      </c>
      <c r="K24" s="113">
        <v>1049</v>
      </c>
      <c r="L24" s="57">
        <v>312</v>
      </c>
      <c r="M24" s="57">
        <v>364</v>
      </c>
      <c r="N24" s="57">
        <v>321</v>
      </c>
      <c r="O24" s="177">
        <v>411</v>
      </c>
      <c r="P24" s="113">
        <v>1408</v>
      </c>
      <c r="Q24" s="57">
        <v>365</v>
      </c>
      <c r="R24" s="57">
        <v>406</v>
      </c>
      <c r="S24" s="57">
        <v>405</v>
      </c>
      <c r="T24" s="177">
        <v>396</v>
      </c>
      <c r="U24" s="113">
        <v>1572</v>
      </c>
      <c r="V24" s="57">
        <v>384</v>
      </c>
      <c r="W24" s="57">
        <v>568</v>
      </c>
      <c r="X24" s="57">
        <v>595</v>
      </c>
      <c r="Y24" s="177">
        <v>901</v>
      </c>
      <c r="Z24" s="113">
        <v>2448</v>
      </c>
      <c r="AA24" s="57">
        <v>1010</v>
      </c>
      <c r="AB24" s="57">
        <v>981</v>
      </c>
      <c r="AC24" s="57">
        <v>895</v>
      </c>
      <c r="AD24" s="177">
        <v>815</v>
      </c>
      <c r="AE24" s="113">
        <v>3701</v>
      </c>
      <c r="AF24" s="57">
        <v>650</v>
      </c>
      <c r="AG24" s="57">
        <v>671</v>
      </c>
      <c r="AH24" s="57">
        <v>542</v>
      </c>
      <c r="AI24" s="177">
        <v>529</v>
      </c>
      <c r="AJ24" s="113">
        <v>2392</v>
      </c>
      <c r="AK24" s="57">
        <v>409</v>
      </c>
      <c r="AL24" s="57">
        <v>448</v>
      </c>
      <c r="AM24" s="57">
        <v>346</v>
      </c>
      <c r="AN24" s="177">
        <v>379</v>
      </c>
      <c r="AO24" s="113">
        <v>1582</v>
      </c>
      <c r="AP24" s="57">
        <v>345</v>
      </c>
      <c r="AQ24" s="57">
        <v>317</v>
      </c>
      <c r="AR24" s="57">
        <v>334</v>
      </c>
      <c r="AS24" s="177">
        <v>349</v>
      </c>
      <c r="AT24" s="113">
        <v>1345</v>
      </c>
      <c r="AU24" s="57">
        <v>280</v>
      </c>
      <c r="AV24" s="57">
        <v>350</v>
      </c>
      <c r="AW24" s="57">
        <v>260</v>
      </c>
      <c r="AX24" s="177">
        <v>310</v>
      </c>
      <c r="AY24" s="113">
        <v>1200</v>
      </c>
      <c r="AZ24" s="57">
        <v>274</v>
      </c>
      <c r="BA24" s="57">
        <v>295</v>
      </c>
      <c r="BB24" s="57">
        <v>242</v>
      </c>
      <c r="BC24" s="177">
        <v>302</v>
      </c>
      <c r="BD24" s="113">
        <v>1113</v>
      </c>
      <c r="BE24" s="57">
        <v>328</v>
      </c>
      <c r="BF24" s="57">
        <v>355</v>
      </c>
      <c r="BG24" s="57">
        <v>340</v>
      </c>
      <c r="BH24" s="177">
        <v>339</v>
      </c>
      <c r="BI24" s="113">
        <v>1362</v>
      </c>
      <c r="BJ24" s="57">
        <v>280</v>
      </c>
      <c r="BK24" s="57">
        <v>321</v>
      </c>
      <c r="BL24" s="57">
        <v>321</v>
      </c>
      <c r="BM24" s="177">
        <v>360</v>
      </c>
      <c r="BN24" s="113">
        <v>1282</v>
      </c>
      <c r="BO24" s="57">
        <v>345</v>
      </c>
      <c r="BP24" s="57">
        <v>333</v>
      </c>
      <c r="BQ24" s="57">
        <v>282</v>
      </c>
      <c r="BR24" s="177">
        <v>282</v>
      </c>
      <c r="BS24" s="113">
        <v>1242</v>
      </c>
      <c r="BT24" s="57">
        <v>180</v>
      </c>
      <c r="BU24" s="57">
        <v>218</v>
      </c>
      <c r="BV24" s="57">
        <v>218</v>
      </c>
      <c r="BW24" s="177">
        <v>266</v>
      </c>
      <c r="BX24" s="113">
        <v>882</v>
      </c>
      <c r="BY24" s="57">
        <v>251</v>
      </c>
      <c r="BZ24" s="57">
        <v>299</v>
      </c>
      <c r="CA24" s="57">
        <v>243</v>
      </c>
      <c r="CB24" s="177">
        <v>277</v>
      </c>
      <c r="CC24" s="113">
        <v>1070</v>
      </c>
      <c r="CD24" s="57">
        <v>223</v>
      </c>
      <c r="CE24" s="57">
        <v>272</v>
      </c>
      <c r="CF24" s="57">
        <v>274</v>
      </c>
      <c r="CG24" s="177">
        <v>239</v>
      </c>
      <c r="CH24" s="113">
        <v>1008</v>
      </c>
      <c r="CI24" s="119">
        <v>217</v>
      </c>
      <c r="CJ24" s="177">
        <v>232</v>
      </c>
      <c r="CK24" s="113">
        <v>449</v>
      </c>
    </row>
    <row r="25" spans="1:89" s="56" customFormat="1" ht="13.5" thickBot="1">
      <c r="A25" s="57" t="s">
        <v>35</v>
      </c>
      <c r="B25" s="174">
        <v>60</v>
      </c>
      <c r="C25" s="174">
        <v>55</v>
      </c>
      <c r="D25" s="174">
        <v>57</v>
      </c>
      <c r="E25" s="114">
        <v>62</v>
      </c>
      <c r="F25" s="115">
        <v>234</v>
      </c>
      <c r="G25" s="174">
        <v>71</v>
      </c>
      <c r="H25" s="174">
        <v>83</v>
      </c>
      <c r="I25" s="174">
        <v>86</v>
      </c>
      <c r="J25" s="114">
        <v>95</v>
      </c>
      <c r="K25" s="115">
        <v>335</v>
      </c>
      <c r="L25" s="174">
        <v>98</v>
      </c>
      <c r="M25" s="174">
        <v>87</v>
      </c>
      <c r="N25" s="174">
        <v>89</v>
      </c>
      <c r="O25" s="114">
        <v>106</v>
      </c>
      <c r="P25" s="115">
        <v>380</v>
      </c>
      <c r="Q25" s="174">
        <v>108</v>
      </c>
      <c r="R25" s="174">
        <v>122</v>
      </c>
      <c r="S25" s="174">
        <v>112</v>
      </c>
      <c r="T25" s="114">
        <v>123</v>
      </c>
      <c r="U25" s="115">
        <v>465</v>
      </c>
      <c r="V25" s="174">
        <v>138</v>
      </c>
      <c r="W25" s="174">
        <v>173</v>
      </c>
      <c r="X25" s="174">
        <v>150</v>
      </c>
      <c r="Y25" s="114">
        <v>143</v>
      </c>
      <c r="Z25" s="115">
        <v>604</v>
      </c>
      <c r="AA25" s="174">
        <v>192</v>
      </c>
      <c r="AB25" s="174">
        <v>170</v>
      </c>
      <c r="AC25" s="174">
        <v>206</v>
      </c>
      <c r="AD25" s="114">
        <v>206</v>
      </c>
      <c r="AE25" s="115">
        <v>774</v>
      </c>
      <c r="AF25" s="174">
        <v>154</v>
      </c>
      <c r="AG25" s="174">
        <v>155</v>
      </c>
      <c r="AH25" s="174">
        <v>149</v>
      </c>
      <c r="AI25" s="114">
        <v>160</v>
      </c>
      <c r="AJ25" s="115">
        <v>618</v>
      </c>
      <c r="AK25" s="174">
        <v>160</v>
      </c>
      <c r="AL25" s="174">
        <v>136</v>
      </c>
      <c r="AM25" s="174">
        <v>129</v>
      </c>
      <c r="AN25" s="114">
        <v>138</v>
      </c>
      <c r="AO25" s="115">
        <v>563</v>
      </c>
      <c r="AP25" s="174">
        <v>131</v>
      </c>
      <c r="AQ25" s="174">
        <v>160</v>
      </c>
      <c r="AR25" s="174">
        <v>165</v>
      </c>
      <c r="AS25" s="114">
        <v>191</v>
      </c>
      <c r="AT25" s="115">
        <v>647</v>
      </c>
      <c r="AU25" s="174">
        <v>205</v>
      </c>
      <c r="AV25" s="174">
        <v>215</v>
      </c>
      <c r="AW25" s="174">
        <v>192</v>
      </c>
      <c r="AX25" s="114">
        <v>264</v>
      </c>
      <c r="AY25" s="115">
        <v>876</v>
      </c>
      <c r="AZ25" s="174">
        <v>222</v>
      </c>
      <c r="BA25" s="174">
        <v>275</v>
      </c>
      <c r="BB25" s="174">
        <v>285</v>
      </c>
      <c r="BC25" s="114">
        <v>271</v>
      </c>
      <c r="BD25" s="115">
        <v>1053</v>
      </c>
      <c r="BE25" s="174">
        <v>289</v>
      </c>
      <c r="BF25" s="174">
        <v>314</v>
      </c>
      <c r="BG25" s="174">
        <v>253</v>
      </c>
      <c r="BH25" s="114">
        <v>251</v>
      </c>
      <c r="BI25" s="115">
        <v>1107</v>
      </c>
      <c r="BJ25" s="174">
        <v>281</v>
      </c>
      <c r="BK25" s="174">
        <v>321</v>
      </c>
      <c r="BL25" s="174">
        <v>334</v>
      </c>
      <c r="BM25" s="114">
        <v>335</v>
      </c>
      <c r="BN25" s="115">
        <v>1271</v>
      </c>
      <c r="BO25" s="174">
        <v>311</v>
      </c>
      <c r="BP25" s="174">
        <v>339</v>
      </c>
      <c r="BQ25" s="174">
        <v>328</v>
      </c>
      <c r="BR25" s="114">
        <v>276</v>
      </c>
      <c r="BS25" s="115">
        <v>1254</v>
      </c>
      <c r="BT25" s="174">
        <v>231</v>
      </c>
      <c r="BU25" s="174">
        <v>241</v>
      </c>
      <c r="BV25" s="174">
        <v>193</v>
      </c>
      <c r="BW25" s="114">
        <v>226</v>
      </c>
      <c r="BX25" s="115">
        <v>891</v>
      </c>
      <c r="BY25" s="174">
        <v>204</v>
      </c>
      <c r="BZ25" s="174">
        <v>238</v>
      </c>
      <c r="CA25" s="174">
        <v>231</v>
      </c>
      <c r="CB25" s="114">
        <v>191</v>
      </c>
      <c r="CC25" s="115">
        <v>864</v>
      </c>
      <c r="CD25" s="174">
        <v>236</v>
      </c>
      <c r="CE25" s="174">
        <v>274</v>
      </c>
      <c r="CF25" s="174">
        <v>207</v>
      </c>
      <c r="CG25" s="114">
        <v>183</v>
      </c>
      <c r="CH25" s="115">
        <v>900</v>
      </c>
      <c r="CI25" s="120">
        <v>216</v>
      </c>
      <c r="CJ25" s="114">
        <v>193</v>
      </c>
      <c r="CK25" s="115">
        <v>409</v>
      </c>
    </row>
    <row r="26" spans="1:89" s="56" customFormat="1" ht="14.25" thickTop="1" thickBot="1">
      <c r="A26" s="58" t="s">
        <v>4</v>
      </c>
      <c r="B26" s="175">
        <v>505</v>
      </c>
      <c r="C26" s="175">
        <v>467</v>
      </c>
      <c r="D26" s="175">
        <v>434</v>
      </c>
      <c r="E26" s="178">
        <v>490</v>
      </c>
      <c r="F26" s="116">
        <v>1896</v>
      </c>
      <c r="G26" s="175">
        <v>586</v>
      </c>
      <c r="H26" s="175">
        <v>676</v>
      </c>
      <c r="I26" s="175">
        <v>603</v>
      </c>
      <c r="J26" s="178">
        <v>774</v>
      </c>
      <c r="K26" s="116">
        <v>2639</v>
      </c>
      <c r="L26" s="175">
        <v>774</v>
      </c>
      <c r="M26" s="175">
        <v>779</v>
      </c>
      <c r="N26" s="175">
        <v>758</v>
      </c>
      <c r="O26" s="178">
        <v>914</v>
      </c>
      <c r="P26" s="116">
        <v>3225</v>
      </c>
      <c r="Q26" s="175">
        <v>868</v>
      </c>
      <c r="R26" s="175">
        <v>911</v>
      </c>
      <c r="S26" s="175">
        <v>924</v>
      </c>
      <c r="T26" s="178">
        <v>1024</v>
      </c>
      <c r="U26" s="116">
        <v>3727</v>
      </c>
      <c r="V26" s="175">
        <v>936</v>
      </c>
      <c r="W26" s="175">
        <v>1332</v>
      </c>
      <c r="X26" s="175">
        <v>1441</v>
      </c>
      <c r="Y26" s="178">
        <v>1888</v>
      </c>
      <c r="Z26" s="116">
        <v>5597</v>
      </c>
      <c r="AA26" s="175">
        <v>2164</v>
      </c>
      <c r="AB26" s="175">
        <v>2139</v>
      </c>
      <c r="AC26" s="175">
        <v>1954</v>
      </c>
      <c r="AD26" s="178">
        <v>1777</v>
      </c>
      <c r="AE26" s="116">
        <v>8034</v>
      </c>
      <c r="AF26" s="175">
        <v>1319</v>
      </c>
      <c r="AG26" s="175">
        <v>1238</v>
      </c>
      <c r="AH26" s="175">
        <v>1029</v>
      </c>
      <c r="AI26" s="178">
        <v>1002</v>
      </c>
      <c r="AJ26" s="116">
        <v>4588</v>
      </c>
      <c r="AK26" s="175">
        <v>862</v>
      </c>
      <c r="AL26" s="175">
        <v>879</v>
      </c>
      <c r="AM26" s="175">
        <v>708</v>
      </c>
      <c r="AN26" s="178">
        <v>752</v>
      </c>
      <c r="AO26" s="116">
        <v>3201</v>
      </c>
      <c r="AP26" s="175">
        <v>721</v>
      </c>
      <c r="AQ26" s="175">
        <v>753</v>
      </c>
      <c r="AR26" s="175">
        <v>728</v>
      </c>
      <c r="AS26" s="178">
        <v>805</v>
      </c>
      <c r="AT26" s="116">
        <v>3007</v>
      </c>
      <c r="AU26" s="175">
        <v>738</v>
      </c>
      <c r="AV26" s="175">
        <v>876</v>
      </c>
      <c r="AW26" s="175">
        <v>716</v>
      </c>
      <c r="AX26" s="178">
        <v>868</v>
      </c>
      <c r="AY26" s="116">
        <v>3198</v>
      </c>
      <c r="AZ26" s="175">
        <v>759</v>
      </c>
      <c r="BA26" s="175">
        <v>857</v>
      </c>
      <c r="BB26" s="175">
        <v>810</v>
      </c>
      <c r="BC26" s="178">
        <v>859</v>
      </c>
      <c r="BD26" s="116">
        <v>3285</v>
      </c>
      <c r="BE26" s="175">
        <v>901</v>
      </c>
      <c r="BF26" s="175">
        <v>1004</v>
      </c>
      <c r="BG26" s="175">
        <v>948</v>
      </c>
      <c r="BH26" s="178">
        <v>1005</v>
      </c>
      <c r="BI26" s="116">
        <v>3858</v>
      </c>
      <c r="BJ26" s="175">
        <v>904</v>
      </c>
      <c r="BK26" s="175">
        <v>1098</v>
      </c>
      <c r="BL26" s="175">
        <v>1041</v>
      </c>
      <c r="BM26" s="178">
        <v>1137</v>
      </c>
      <c r="BN26" s="116">
        <v>4180</v>
      </c>
      <c r="BO26" s="175">
        <v>1054</v>
      </c>
      <c r="BP26" s="175">
        <v>1104</v>
      </c>
      <c r="BQ26" s="175">
        <v>1045</v>
      </c>
      <c r="BR26" s="178">
        <v>953</v>
      </c>
      <c r="BS26" s="116">
        <v>4156</v>
      </c>
      <c r="BT26" s="175">
        <v>673</v>
      </c>
      <c r="BU26" s="175">
        <v>758</v>
      </c>
      <c r="BV26" s="175">
        <v>749</v>
      </c>
      <c r="BW26" s="178">
        <v>929</v>
      </c>
      <c r="BX26" s="116">
        <v>3109</v>
      </c>
      <c r="BY26" s="175">
        <v>809</v>
      </c>
      <c r="BZ26" s="175">
        <v>1015</v>
      </c>
      <c r="CA26" s="175">
        <v>879</v>
      </c>
      <c r="CB26" s="178">
        <v>895</v>
      </c>
      <c r="CC26" s="116">
        <v>3598</v>
      </c>
      <c r="CD26" s="175">
        <v>885</v>
      </c>
      <c r="CE26" s="175">
        <v>1057</v>
      </c>
      <c r="CF26" s="175">
        <v>971</v>
      </c>
      <c r="CG26" s="178">
        <v>921</v>
      </c>
      <c r="CH26" s="116">
        <v>3834</v>
      </c>
      <c r="CI26" s="121">
        <v>809</v>
      </c>
      <c r="CJ26" s="178">
        <v>898</v>
      </c>
      <c r="CK26" s="116">
        <v>1707</v>
      </c>
    </row>
    <row r="27" spans="1:89">
      <c r="A27" s="29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2"/>
      <c r="AO27" s="22"/>
      <c r="AP27" s="21"/>
      <c r="AQ27" s="21"/>
      <c r="AR27" s="21"/>
      <c r="AS27" s="22"/>
      <c r="AT27" s="22"/>
      <c r="AU27" s="22"/>
      <c r="AV27" s="22"/>
      <c r="AW27" s="22"/>
      <c r="AX27" s="22"/>
      <c r="AY27" s="30"/>
      <c r="AZ27" s="22"/>
      <c r="BA27" s="22"/>
      <c r="BB27" s="22"/>
      <c r="BC27" s="20"/>
    </row>
    <row r="28" spans="1:89">
      <c r="B28" t="s">
        <v>54</v>
      </c>
    </row>
  </sheetData>
  <mergeCells count="38">
    <mergeCell ref="CI11:CK11"/>
    <mergeCell ref="CI20:CK20"/>
    <mergeCell ref="CD11:CH11"/>
    <mergeCell ref="CD20:CH20"/>
    <mergeCell ref="BT11:BX11"/>
    <mergeCell ref="BT20:BX20"/>
    <mergeCell ref="BY11:CC11"/>
    <mergeCell ref="A11:A12"/>
    <mergeCell ref="AP11:AT11"/>
    <mergeCell ref="V11:Z11"/>
    <mergeCell ref="Q11:U11"/>
    <mergeCell ref="G11:K11"/>
    <mergeCell ref="B11:F11"/>
    <mergeCell ref="L11:P11"/>
    <mergeCell ref="AF11:AJ11"/>
    <mergeCell ref="AA11:AE11"/>
    <mergeCell ref="AU11:AY11"/>
    <mergeCell ref="AK11:AO11"/>
    <mergeCell ref="BY20:CC20"/>
    <mergeCell ref="BO11:BS11"/>
    <mergeCell ref="BO20:BS20"/>
    <mergeCell ref="AP20:AT20"/>
    <mergeCell ref="A20:A21"/>
    <mergeCell ref="B20:F20"/>
    <mergeCell ref="G20:K20"/>
    <mergeCell ref="BJ11:BN11"/>
    <mergeCell ref="BE11:BI11"/>
    <mergeCell ref="AZ11:BD11"/>
    <mergeCell ref="BJ20:BN20"/>
    <mergeCell ref="AZ20:BD20"/>
    <mergeCell ref="BE20:BI20"/>
    <mergeCell ref="L20:P20"/>
    <mergeCell ref="AU20:AY20"/>
    <mergeCell ref="Q20:U20"/>
    <mergeCell ref="V20:Z20"/>
    <mergeCell ref="AK20:AO20"/>
    <mergeCell ref="AA20:AE20"/>
    <mergeCell ref="AF20:AJ20"/>
  </mergeCells>
  <phoneticPr fontId="2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5" manualBreakCount="5">
    <brk id="16" max="1048575" man="1"/>
    <brk id="31" max="1048575" man="1"/>
    <brk id="46" max="1048575" man="1"/>
    <brk id="61" max="28" man="1"/>
    <brk id="76" max="2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7:FL1054"/>
  <sheetViews>
    <sheetView zoomScaleNormal="100" workbookViewId="0">
      <pane xSplit="1" topLeftCell="B1" activePane="topRight" state="frozen"/>
      <selection activeCell="A7" sqref="A7"/>
      <selection pane="topRight"/>
    </sheetView>
  </sheetViews>
  <sheetFormatPr defaultColWidth="16.6640625" defaultRowHeight="12.75"/>
  <cols>
    <col min="1" max="1" width="31.6640625" customWidth="1"/>
    <col min="2" max="39" width="16.6640625" customWidth="1"/>
    <col min="40" max="51" width="16.6640625" style="6" customWidth="1"/>
    <col min="52" max="53" width="16.6640625" style="14" customWidth="1"/>
    <col min="54" max="73" width="16.6640625" style="6" customWidth="1"/>
    <col min="74" max="74" width="15.1640625" bestFit="1" customWidth="1"/>
    <col min="75" max="16384" width="16.6640625" style="6"/>
  </cols>
  <sheetData>
    <row r="7" spans="1:89" ht="16.5">
      <c r="F7" s="1" t="s">
        <v>45</v>
      </c>
    </row>
    <row r="8" spans="1:89" ht="16.5">
      <c r="F8" s="1" t="s">
        <v>57</v>
      </c>
    </row>
    <row r="9" spans="1:89" ht="16.5">
      <c r="F9" s="1" t="s">
        <v>71</v>
      </c>
    </row>
    <row r="10" spans="1:89" ht="15.75">
      <c r="A10" s="2"/>
      <c r="B10" s="2"/>
      <c r="C10" s="2"/>
      <c r="D10" s="2"/>
      <c r="E10" s="2"/>
      <c r="F10" s="5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89" ht="15.75">
      <c r="A11" s="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BW11"/>
    </row>
    <row r="12" spans="1:89" s="13" customFormat="1" ht="13.5" thickBot="1">
      <c r="A12" s="148" t="s">
        <v>16</v>
      </c>
      <c r="B12" s="142">
        <v>1995</v>
      </c>
      <c r="C12" s="142"/>
      <c r="D12" s="142"/>
      <c r="E12" s="142"/>
      <c r="F12" s="147"/>
      <c r="G12" s="145">
        <v>1996</v>
      </c>
      <c r="H12" s="142"/>
      <c r="I12" s="142"/>
      <c r="J12" s="142"/>
      <c r="K12" s="147" t="s">
        <v>9</v>
      </c>
      <c r="L12" s="145">
        <v>1997</v>
      </c>
      <c r="M12" s="142"/>
      <c r="N12" s="142"/>
      <c r="O12" s="142"/>
      <c r="P12" s="147" t="s">
        <v>10</v>
      </c>
      <c r="Q12" s="145">
        <v>1998</v>
      </c>
      <c r="R12" s="142"/>
      <c r="S12" s="142"/>
      <c r="T12" s="142"/>
      <c r="U12" s="147" t="s">
        <v>11</v>
      </c>
      <c r="V12" s="145">
        <v>1999</v>
      </c>
      <c r="W12" s="142"/>
      <c r="X12" s="142"/>
      <c r="Y12" s="142"/>
      <c r="Z12" s="147" t="s">
        <v>12</v>
      </c>
      <c r="AA12" s="145">
        <v>2000</v>
      </c>
      <c r="AB12" s="142"/>
      <c r="AC12" s="142"/>
      <c r="AD12" s="142"/>
      <c r="AE12" s="147" t="s">
        <v>13</v>
      </c>
      <c r="AF12" s="145">
        <v>2001</v>
      </c>
      <c r="AG12" s="142"/>
      <c r="AH12" s="142"/>
      <c r="AI12" s="142"/>
      <c r="AJ12" s="147" t="s">
        <v>14</v>
      </c>
      <c r="AK12" s="145">
        <v>2002</v>
      </c>
      <c r="AL12" s="159"/>
      <c r="AM12" s="158"/>
      <c r="AN12" s="158"/>
      <c r="AO12" s="153"/>
      <c r="AP12" s="145">
        <v>2003</v>
      </c>
      <c r="AQ12" s="142"/>
      <c r="AR12" s="142"/>
      <c r="AS12" s="158"/>
      <c r="AT12" s="152"/>
      <c r="AU12" s="145">
        <v>2004</v>
      </c>
      <c r="AV12" s="142"/>
      <c r="AW12" s="142"/>
      <c r="AX12" s="158"/>
      <c r="AY12" s="152"/>
      <c r="AZ12" s="145">
        <v>2005</v>
      </c>
      <c r="BA12" s="142"/>
      <c r="BB12" s="142"/>
      <c r="BC12" s="158"/>
      <c r="BD12" s="152"/>
      <c r="BE12" s="145">
        <v>2006</v>
      </c>
      <c r="BF12" s="142"/>
      <c r="BG12" s="142"/>
      <c r="BH12" s="142"/>
      <c r="BI12" s="147"/>
      <c r="BJ12" s="145">
        <v>2007</v>
      </c>
      <c r="BK12" s="142"/>
      <c r="BL12" s="142"/>
      <c r="BM12" s="142"/>
      <c r="BN12" s="147"/>
      <c r="BO12" s="150">
        <v>2008</v>
      </c>
      <c r="BP12" s="151"/>
      <c r="BQ12" s="151"/>
      <c r="BR12" s="151"/>
      <c r="BS12" s="147"/>
      <c r="BT12" s="150">
        <v>2009</v>
      </c>
      <c r="BU12" s="151"/>
      <c r="BV12" s="151"/>
      <c r="BW12" s="151"/>
      <c r="BX12" s="147"/>
      <c r="BY12" s="145">
        <v>2010</v>
      </c>
      <c r="BZ12" s="142"/>
      <c r="CA12" s="142"/>
      <c r="CB12" s="142"/>
      <c r="CC12" s="147"/>
      <c r="CD12" s="145">
        <v>2011</v>
      </c>
      <c r="CE12" s="142"/>
      <c r="CF12" s="156"/>
      <c r="CG12" s="156"/>
      <c r="CH12" s="157"/>
      <c r="CI12" s="145">
        <v>2012</v>
      </c>
      <c r="CJ12" s="142"/>
      <c r="CK12" s="147"/>
    </row>
    <row r="13" spans="1:89" s="7" customFormat="1">
      <c r="A13" s="149"/>
      <c r="B13" s="103" t="s">
        <v>0</v>
      </c>
      <c r="C13" s="103" t="s">
        <v>1</v>
      </c>
      <c r="D13" s="103" t="s">
        <v>2</v>
      </c>
      <c r="E13" s="102" t="s">
        <v>3</v>
      </c>
      <c r="F13" s="104" t="s">
        <v>8</v>
      </c>
      <c r="G13" s="103" t="s">
        <v>0</v>
      </c>
      <c r="H13" s="103" t="s">
        <v>1</v>
      </c>
      <c r="I13" s="103" t="s">
        <v>2</v>
      </c>
      <c r="J13" s="102" t="s">
        <v>3</v>
      </c>
      <c r="K13" s="104" t="s">
        <v>9</v>
      </c>
      <c r="L13" s="103" t="s">
        <v>0</v>
      </c>
      <c r="M13" s="103" t="s">
        <v>1</v>
      </c>
      <c r="N13" s="103" t="s">
        <v>2</v>
      </c>
      <c r="O13" s="102" t="s">
        <v>3</v>
      </c>
      <c r="P13" s="104" t="s">
        <v>10</v>
      </c>
      <c r="Q13" s="103" t="s">
        <v>0</v>
      </c>
      <c r="R13" s="103" t="s">
        <v>1</v>
      </c>
      <c r="S13" s="103" t="s">
        <v>2</v>
      </c>
      <c r="T13" s="102" t="s">
        <v>3</v>
      </c>
      <c r="U13" s="104" t="s">
        <v>11</v>
      </c>
      <c r="V13" s="103" t="s">
        <v>0</v>
      </c>
      <c r="W13" s="103" t="s">
        <v>1</v>
      </c>
      <c r="X13" s="103" t="s">
        <v>2</v>
      </c>
      <c r="Y13" s="102" t="s">
        <v>3</v>
      </c>
      <c r="Z13" s="104" t="s">
        <v>12</v>
      </c>
      <c r="AA13" s="103" t="s">
        <v>0</v>
      </c>
      <c r="AB13" s="103" t="s">
        <v>1</v>
      </c>
      <c r="AC13" s="103" t="s">
        <v>2</v>
      </c>
      <c r="AD13" s="102" t="s">
        <v>3</v>
      </c>
      <c r="AE13" s="104" t="s">
        <v>13</v>
      </c>
      <c r="AF13" s="103" t="s">
        <v>0</v>
      </c>
      <c r="AG13" s="103" t="s">
        <v>1</v>
      </c>
      <c r="AH13" s="103" t="s">
        <v>2</v>
      </c>
      <c r="AI13" s="102" t="s">
        <v>3</v>
      </c>
      <c r="AJ13" s="104" t="s">
        <v>14</v>
      </c>
      <c r="AK13" s="103" t="s">
        <v>0</v>
      </c>
      <c r="AL13" s="103" t="s">
        <v>1</v>
      </c>
      <c r="AM13" s="103" t="s">
        <v>2</v>
      </c>
      <c r="AN13" s="102" t="s">
        <v>3</v>
      </c>
      <c r="AO13" s="104" t="s">
        <v>37</v>
      </c>
      <c r="AP13" s="103" t="s">
        <v>0</v>
      </c>
      <c r="AQ13" s="103" t="s">
        <v>1</v>
      </c>
      <c r="AR13" s="103" t="s">
        <v>2</v>
      </c>
      <c r="AS13" s="102" t="s">
        <v>3</v>
      </c>
      <c r="AT13" s="104" t="s">
        <v>39</v>
      </c>
      <c r="AU13" s="103" t="s">
        <v>0</v>
      </c>
      <c r="AV13" s="103" t="s">
        <v>1</v>
      </c>
      <c r="AW13" s="103" t="s">
        <v>2</v>
      </c>
      <c r="AX13" s="102" t="s">
        <v>3</v>
      </c>
      <c r="AY13" s="104" t="s">
        <v>40</v>
      </c>
      <c r="AZ13" s="103" t="s">
        <v>0</v>
      </c>
      <c r="BA13" s="103" t="s">
        <v>1</v>
      </c>
      <c r="BB13" s="103" t="s">
        <v>2</v>
      </c>
      <c r="BC13" s="102" t="s">
        <v>3</v>
      </c>
      <c r="BD13" s="104" t="s">
        <v>41</v>
      </c>
      <c r="BE13" s="103" t="s">
        <v>0</v>
      </c>
      <c r="BF13" s="103" t="s">
        <v>1</v>
      </c>
      <c r="BG13" s="103" t="s">
        <v>2</v>
      </c>
      <c r="BH13" s="102" t="s">
        <v>3</v>
      </c>
      <c r="BI13" s="104" t="s">
        <v>47</v>
      </c>
      <c r="BJ13" s="103" t="s">
        <v>0</v>
      </c>
      <c r="BK13" s="103" t="s">
        <v>1</v>
      </c>
      <c r="BL13" s="103" t="s">
        <v>2</v>
      </c>
      <c r="BM13" s="102" t="s">
        <v>52</v>
      </c>
      <c r="BN13" s="104" t="s">
        <v>49</v>
      </c>
      <c r="BO13" s="103" t="s">
        <v>0</v>
      </c>
      <c r="BP13" s="103" t="s">
        <v>1</v>
      </c>
      <c r="BQ13" s="103" t="s">
        <v>2</v>
      </c>
      <c r="BR13" s="102" t="s">
        <v>3</v>
      </c>
      <c r="BS13" s="104" t="s">
        <v>51</v>
      </c>
      <c r="BT13" s="103" t="s">
        <v>0</v>
      </c>
      <c r="BU13" s="103" t="s">
        <v>1</v>
      </c>
      <c r="BV13" s="103" t="s">
        <v>2</v>
      </c>
      <c r="BW13" s="102" t="s">
        <v>3</v>
      </c>
      <c r="BX13" s="104" t="s">
        <v>60</v>
      </c>
      <c r="BY13" s="103" t="s">
        <v>0</v>
      </c>
      <c r="BZ13" s="103" t="s">
        <v>1</v>
      </c>
      <c r="CA13" s="103" t="s">
        <v>2</v>
      </c>
      <c r="CB13" s="102" t="s">
        <v>3</v>
      </c>
      <c r="CC13" s="104" t="s">
        <v>61</v>
      </c>
      <c r="CD13" s="103" t="s">
        <v>0</v>
      </c>
      <c r="CE13" s="103" t="s">
        <v>1</v>
      </c>
      <c r="CF13" s="103" t="s">
        <v>2</v>
      </c>
      <c r="CG13" s="102" t="s">
        <v>3</v>
      </c>
      <c r="CH13" s="104" t="s">
        <v>63</v>
      </c>
      <c r="CI13" s="137" t="s">
        <v>0</v>
      </c>
      <c r="CJ13" s="136" t="s">
        <v>1</v>
      </c>
      <c r="CK13" s="70" t="s">
        <v>64</v>
      </c>
    </row>
    <row r="14" spans="1:89" s="14" customFormat="1">
      <c r="A14" s="179" t="s">
        <v>17</v>
      </c>
      <c r="B14" s="181">
        <v>247354900</v>
      </c>
      <c r="C14" s="181">
        <v>148597900</v>
      </c>
      <c r="D14" s="181">
        <v>182814100</v>
      </c>
      <c r="E14" s="183">
        <v>252963700</v>
      </c>
      <c r="F14" s="95">
        <v>831730600</v>
      </c>
      <c r="G14" s="181">
        <v>307574200</v>
      </c>
      <c r="H14" s="181">
        <v>349654600</v>
      </c>
      <c r="I14" s="181">
        <v>141993500</v>
      </c>
      <c r="J14" s="183">
        <v>387160100</v>
      </c>
      <c r="K14" s="95">
        <v>1186382400</v>
      </c>
      <c r="L14" s="181">
        <v>276463700</v>
      </c>
      <c r="M14" s="181">
        <v>325024300</v>
      </c>
      <c r="N14" s="181">
        <v>271911700</v>
      </c>
      <c r="O14" s="183">
        <v>503259600</v>
      </c>
      <c r="P14" s="95">
        <v>1376659300</v>
      </c>
      <c r="Q14" s="181">
        <v>388771600</v>
      </c>
      <c r="R14" s="181">
        <v>304111200</v>
      </c>
      <c r="S14" s="181">
        <v>349376400</v>
      </c>
      <c r="T14" s="183">
        <v>490941100</v>
      </c>
      <c r="U14" s="95">
        <v>1533200300</v>
      </c>
      <c r="V14" s="181">
        <v>498520100</v>
      </c>
      <c r="W14" s="181">
        <v>460484700</v>
      </c>
      <c r="X14" s="181">
        <v>365827600</v>
      </c>
      <c r="Y14" s="183">
        <v>765236100</v>
      </c>
      <c r="Z14" s="95">
        <v>2090068500</v>
      </c>
      <c r="AA14" s="181">
        <v>1097314500</v>
      </c>
      <c r="AB14" s="181">
        <v>748970400</v>
      </c>
      <c r="AC14" s="181">
        <v>1337696000</v>
      </c>
      <c r="AD14" s="183">
        <v>1115805600</v>
      </c>
      <c r="AE14" s="95">
        <v>4299786500</v>
      </c>
      <c r="AF14" s="181">
        <v>751005400</v>
      </c>
      <c r="AG14" s="181">
        <v>971037800</v>
      </c>
      <c r="AH14" s="181">
        <v>764884600</v>
      </c>
      <c r="AI14" s="183">
        <v>993218300</v>
      </c>
      <c r="AJ14" s="95">
        <v>3480146100</v>
      </c>
      <c r="AK14" s="181">
        <v>1103905400</v>
      </c>
      <c r="AL14" s="181">
        <v>1067799800</v>
      </c>
      <c r="AM14" s="181">
        <v>437003600</v>
      </c>
      <c r="AN14" s="183">
        <v>706083500</v>
      </c>
      <c r="AO14" s="95">
        <v>3314792300</v>
      </c>
      <c r="AP14" s="181">
        <v>647078900</v>
      </c>
      <c r="AQ14" s="181">
        <v>736432400</v>
      </c>
      <c r="AR14" s="181">
        <v>1119160300</v>
      </c>
      <c r="AS14" s="183">
        <v>1228869000</v>
      </c>
      <c r="AT14" s="95">
        <v>3731540600</v>
      </c>
      <c r="AU14" s="181">
        <v>1074590200</v>
      </c>
      <c r="AV14" s="181">
        <v>1150091900</v>
      </c>
      <c r="AW14" s="181">
        <v>902344800</v>
      </c>
      <c r="AX14" s="183">
        <v>1272308900</v>
      </c>
      <c r="AY14" s="95">
        <v>4399335800</v>
      </c>
      <c r="AZ14" s="181">
        <v>783522000</v>
      </c>
      <c r="BA14" s="181">
        <v>1119538300</v>
      </c>
      <c r="BB14" s="181">
        <v>1025432300</v>
      </c>
      <c r="BC14" s="183">
        <v>1011229500</v>
      </c>
      <c r="BD14" s="95">
        <v>3939722100</v>
      </c>
      <c r="BE14" s="181">
        <v>944824800</v>
      </c>
      <c r="BF14" s="181">
        <v>1403059900</v>
      </c>
      <c r="BG14" s="181">
        <v>1144828200</v>
      </c>
      <c r="BH14" s="183">
        <v>1268245600</v>
      </c>
      <c r="BI14" s="95">
        <v>4760958500</v>
      </c>
      <c r="BJ14" s="181">
        <v>1437478600</v>
      </c>
      <c r="BK14" s="181">
        <v>1473288000</v>
      </c>
      <c r="BL14" s="181">
        <v>1256781200</v>
      </c>
      <c r="BM14" s="183">
        <v>1473500800</v>
      </c>
      <c r="BN14" s="95">
        <v>5641048600</v>
      </c>
      <c r="BO14" s="181">
        <v>1167977700</v>
      </c>
      <c r="BP14" s="181">
        <v>1125113700</v>
      </c>
      <c r="BQ14" s="181">
        <v>1424893800</v>
      </c>
      <c r="BR14" s="183">
        <v>1188680000</v>
      </c>
      <c r="BS14" s="95">
        <v>4906665200</v>
      </c>
      <c r="BT14" s="181">
        <v>732483800</v>
      </c>
      <c r="BU14" s="181">
        <v>952077900</v>
      </c>
      <c r="BV14" s="181">
        <v>920551300</v>
      </c>
      <c r="BW14" s="183">
        <v>1276179500</v>
      </c>
      <c r="BX14" s="95">
        <v>3881292500</v>
      </c>
      <c r="BY14" s="181">
        <v>812592000</v>
      </c>
      <c r="BZ14" s="181">
        <v>1307926100</v>
      </c>
      <c r="CA14" s="181">
        <v>873708300</v>
      </c>
      <c r="CB14" s="183">
        <v>889173300</v>
      </c>
      <c r="CC14" s="95">
        <v>3883399700</v>
      </c>
      <c r="CD14" s="181">
        <v>914390800</v>
      </c>
      <c r="CE14" s="181">
        <v>1439889300</v>
      </c>
      <c r="CF14" s="181">
        <v>1149351200</v>
      </c>
      <c r="CG14" s="183">
        <v>1317541100</v>
      </c>
      <c r="CH14" s="95">
        <v>4821172400</v>
      </c>
      <c r="CI14" s="195">
        <v>840113000</v>
      </c>
      <c r="CJ14" s="199">
        <v>696770700</v>
      </c>
      <c r="CK14" s="97">
        <v>1536883700</v>
      </c>
    </row>
    <row r="15" spans="1:89" s="14" customFormat="1">
      <c r="A15" s="180" t="s">
        <v>18</v>
      </c>
      <c r="B15" s="182">
        <v>66557900</v>
      </c>
      <c r="C15" s="182">
        <v>24553000</v>
      </c>
      <c r="D15" s="182">
        <v>51588100</v>
      </c>
      <c r="E15" s="184">
        <v>23432900</v>
      </c>
      <c r="F15" s="93">
        <v>166131900</v>
      </c>
      <c r="G15" s="182">
        <v>55683000</v>
      </c>
      <c r="H15" s="182">
        <v>164386300</v>
      </c>
      <c r="I15" s="182">
        <v>65014400</v>
      </c>
      <c r="J15" s="184">
        <v>85389200</v>
      </c>
      <c r="K15" s="93">
        <v>370472900</v>
      </c>
      <c r="L15" s="182">
        <v>162592600</v>
      </c>
      <c r="M15" s="182">
        <v>84695100</v>
      </c>
      <c r="N15" s="182">
        <v>86216300</v>
      </c>
      <c r="O15" s="184">
        <v>100482000</v>
      </c>
      <c r="P15" s="93">
        <v>433986000</v>
      </c>
      <c r="Q15" s="182">
        <v>100839300</v>
      </c>
      <c r="R15" s="182">
        <v>198094900</v>
      </c>
      <c r="S15" s="182">
        <v>189837000</v>
      </c>
      <c r="T15" s="184">
        <v>223742700</v>
      </c>
      <c r="U15" s="93">
        <v>712513900</v>
      </c>
      <c r="V15" s="182">
        <v>223011900</v>
      </c>
      <c r="W15" s="182">
        <v>533348000</v>
      </c>
      <c r="X15" s="182">
        <v>576757500</v>
      </c>
      <c r="Y15" s="184">
        <v>1266835800</v>
      </c>
      <c r="Z15" s="93">
        <v>2599953200</v>
      </c>
      <c r="AA15" s="182">
        <v>1367700200</v>
      </c>
      <c r="AB15" s="182">
        <v>1017010500</v>
      </c>
      <c r="AC15" s="182">
        <v>1676628200</v>
      </c>
      <c r="AD15" s="184">
        <v>641694700</v>
      </c>
      <c r="AE15" s="93">
        <v>4703033600</v>
      </c>
      <c r="AF15" s="182">
        <v>347319800</v>
      </c>
      <c r="AG15" s="182">
        <v>405072600</v>
      </c>
      <c r="AH15" s="182">
        <v>164889200</v>
      </c>
      <c r="AI15" s="184">
        <v>162524100</v>
      </c>
      <c r="AJ15" s="93">
        <v>1079805700</v>
      </c>
      <c r="AK15" s="182">
        <v>173360500</v>
      </c>
      <c r="AL15" s="182">
        <v>100330900</v>
      </c>
      <c r="AM15" s="182">
        <v>121726100</v>
      </c>
      <c r="AN15" s="184">
        <v>82217300</v>
      </c>
      <c r="AO15" s="93">
        <v>477634800</v>
      </c>
      <c r="AP15" s="182">
        <v>173072600</v>
      </c>
      <c r="AQ15" s="182">
        <v>217494000</v>
      </c>
      <c r="AR15" s="182">
        <v>121111900</v>
      </c>
      <c r="AS15" s="184">
        <v>160172400</v>
      </c>
      <c r="AT15" s="93">
        <v>671850900</v>
      </c>
      <c r="AU15" s="182">
        <v>70642800</v>
      </c>
      <c r="AV15" s="182">
        <v>153226200</v>
      </c>
      <c r="AW15" s="182">
        <v>178890200</v>
      </c>
      <c r="AX15" s="184">
        <v>57023200</v>
      </c>
      <c r="AY15" s="93">
        <v>459782400</v>
      </c>
      <c r="AZ15" s="182">
        <v>54452200</v>
      </c>
      <c r="BA15" s="182">
        <v>127788000</v>
      </c>
      <c r="BB15" s="182">
        <v>122500200</v>
      </c>
      <c r="BC15" s="184">
        <v>87525200</v>
      </c>
      <c r="BD15" s="93">
        <v>392265600</v>
      </c>
      <c r="BE15" s="182">
        <v>120690300</v>
      </c>
      <c r="BF15" s="182">
        <v>250734300</v>
      </c>
      <c r="BG15" s="182">
        <v>109630000</v>
      </c>
      <c r="BH15" s="184">
        <v>108667700</v>
      </c>
      <c r="BI15" s="93">
        <v>589722300</v>
      </c>
      <c r="BJ15" s="182">
        <v>158920100</v>
      </c>
      <c r="BK15" s="182">
        <v>142942800</v>
      </c>
      <c r="BL15" s="182">
        <v>171406700</v>
      </c>
      <c r="BM15" s="184">
        <v>154420200</v>
      </c>
      <c r="BN15" s="93">
        <v>627689800</v>
      </c>
      <c r="BO15" s="182">
        <v>157993600</v>
      </c>
      <c r="BP15" s="182">
        <v>214481600</v>
      </c>
      <c r="BQ15" s="182">
        <v>55758300</v>
      </c>
      <c r="BR15" s="184">
        <v>70867100</v>
      </c>
      <c r="BS15" s="93">
        <v>499100600</v>
      </c>
      <c r="BT15" s="182">
        <v>87175200</v>
      </c>
      <c r="BU15" s="182">
        <v>33099900</v>
      </c>
      <c r="BV15" s="182">
        <v>87180300</v>
      </c>
      <c r="BW15" s="184">
        <v>60543900</v>
      </c>
      <c r="BX15" s="93">
        <v>267999300</v>
      </c>
      <c r="BY15" s="182">
        <v>166194900</v>
      </c>
      <c r="BZ15" s="182">
        <v>124349200</v>
      </c>
      <c r="CA15" s="182">
        <v>130161000</v>
      </c>
      <c r="CB15" s="184">
        <v>75807100</v>
      </c>
      <c r="CC15" s="93">
        <v>496512200</v>
      </c>
      <c r="CD15" s="182">
        <v>17471100</v>
      </c>
      <c r="CE15" s="182">
        <v>101009000</v>
      </c>
      <c r="CF15" s="182">
        <v>56633200</v>
      </c>
      <c r="CG15" s="184">
        <v>29576000</v>
      </c>
      <c r="CH15" s="93">
        <v>204689300</v>
      </c>
      <c r="CI15" s="196">
        <v>32991200</v>
      </c>
      <c r="CJ15" s="200">
        <v>5205400</v>
      </c>
      <c r="CK15" s="86">
        <v>38196600</v>
      </c>
    </row>
    <row r="16" spans="1:89" s="14" customFormat="1">
      <c r="A16" s="180" t="s">
        <v>19</v>
      </c>
      <c r="B16" s="182">
        <v>58922600</v>
      </c>
      <c r="C16" s="182">
        <v>125533300</v>
      </c>
      <c r="D16" s="182">
        <v>69737100</v>
      </c>
      <c r="E16" s="184">
        <v>66892100</v>
      </c>
      <c r="F16" s="93">
        <v>321085100</v>
      </c>
      <c r="G16" s="182">
        <v>82497800</v>
      </c>
      <c r="H16" s="182">
        <v>102076000</v>
      </c>
      <c r="I16" s="182">
        <v>76957400</v>
      </c>
      <c r="J16" s="184">
        <v>145890600</v>
      </c>
      <c r="K16" s="93">
        <v>407421800</v>
      </c>
      <c r="L16" s="182">
        <v>86429000</v>
      </c>
      <c r="M16" s="182">
        <v>49991900</v>
      </c>
      <c r="N16" s="182">
        <v>108042300</v>
      </c>
      <c r="O16" s="184">
        <v>161491800</v>
      </c>
      <c r="P16" s="93">
        <v>405955000</v>
      </c>
      <c r="Q16" s="182">
        <v>110281900</v>
      </c>
      <c r="R16" s="182">
        <v>101775000</v>
      </c>
      <c r="S16" s="182">
        <v>81238100</v>
      </c>
      <c r="T16" s="184">
        <v>89520000</v>
      </c>
      <c r="U16" s="93">
        <v>382815000</v>
      </c>
      <c r="V16" s="182">
        <v>176718400</v>
      </c>
      <c r="W16" s="182">
        <v>167628700</v>
      </c>
      <c r="X16" s="182">
        <v>303410100</v>
      </c>
      <c r="Y16" s="184">
        <v>291418600</v>
      </c>
      <c r="Z16" s="93">
        <v>939175800</v>
      </c>
      <c r="AA16" s="182">
        <v>331355800</v>
      </c>
      <c r="AB16" s="182">
        <v>275694300</v>
      </c>
      <c r="AC16" s="182">
        <v>413950700</v>
      </c>
      <c r="AD16" s="184">
        <v>653166300</v>
      </c>
      <c r="AE16" s="93">
        <v>1674167100</v>
      </c>
      <c r="AF16" s="182">
        <v>239113200</v>
      </c>
      <c r="AG16" s="182">
        <v>163244100</v>
      </c>
      <c r="AH16" s="182">
        <v>245212200</v>
      </c>
      <c r="AI16" s="184">
        <v>65662000</v>
      </c>
      <c r="AJ16" s="93">
        <v>713231500</v>
      </c>
      <c r="AK16" s="182">
        <v>148385000</v>
      </c>
      <c r="AL16" s="182">
        <v>158705100</v>
      </c>
      <c r="AM16" s="182">
        <v>68832000</v>
      </c>
      <c r="AN16" s="184">
        <v>86348900</v>
      </c>
      <c r="AO16" s="93">
        <v>462271000</v>
      </c>
      <c r="AP16" s="182">
        <v>89489700</v>
      </c>
      <c r="AQ16" s="182">
        <v>97500000</v>
      </c>
      <c r="AR16" s="182">
        <v>131480400</v>
      </c>
      <c r="AS16" s="184">
        <v>78934200</v>
      </c>
      <c r="AT16" s="93">
        <v>397404300</v>
      </c>
      <c r="AU16" s="182">
        <v>152450800</v>
      </c>
      <c r="AV16" s="182">
        <v>200603700</v>
      </c>
      <c r="AW16" s="182">
        <v>139727900</v>
      </c>
      <c r="AX16" s="184">
        <v>91078200</v>
      </c>
      <c r="AY16" s="93">
        <v>583860600</v>
      </c>
      <c r="AZ16" s="182">
        <v>139110900</v>
      </c>
      <c r="BA16" s="182">
        <v>136785400</v>
      </c>
      <c r="BB16" s="182">
        <v>185819000</v>
      </c>
      <c r="BC16" s="184">
        <v>146473000</v>
      </c>
      <c r="BD16" s="93">
        <v>608188300</v>
      </c>
      <c r="BE16" s="182">
        <v>113263500</v>
      </c>
      <c r="BF16" s="182">
        <v>78138200</v>
      </c>
      <c r="BG16" s="182">
        <v>132117200</v>
      </c>
      <c r="BH16" s="184">
        <v>84925000</v>
      </c>
      <c r="BI16" s="93">
        <v>408443900</v>
      </c>
      <c r="BJ16" s="182">
        <v>64465100</v>
      </c>
      <c r="BK16" s="182">
        <v>103919300</v>
      </c>
      <c r="BL16" s="182">
        <v>126811900</v>
      </c>
      <c r="BM16" s="184">
        <v>254547000</v>
      </c>
      <c r="BN16" s="93">
        <v>549743300</v>
      </c>
      <c r="BO16" s="182">
        <v>98689600</v>
      </c>
      <c r="BP16" s="182">
        <v>157511100</v>
      </c>
      <c r="BQ16" s="182">
        <v>129929300</v>
      </c>
      <c r="BR16" s="184">
        <v>84288000</v>
      </c>
      <c r="BS16" s="93">
        <v>470418000</v>
      </c>
      <c r="BT16" s="182">
        <v>77873200</v>
      </c>
      <c r="BU16" s="182">
        <v>111047000</v>
      </c>
      <c r="BV16" s="182">
        <v>73121000</v>
      </c>
      <c r="BW16" s="184">
        <v>85141100</v>
      </c>
      <c r="BX16" s="93">
        <v>347182300</v>
      </c>
      <c r="BY16" s="182">
        <v>98056900</v>
      </c>
      <c r="BZ16" s="182">
        <v>80687300</v>
      </c>
      <c r="CA16" s="182">
        <v>93941900</v>
      </c>
      <c r="CB16" s="184">
        <v>121731900</v>
      </c>
      <c r="CC16" s="93">
        <v>394418000</v>
      </c>
      <c r="CD16" s="182">
        <v>44480100</v>
      </c>
      <c r="CE16" s="182">
        <v>129949400</v>
      </c>
      <c r="CF16" s="182">
        <v>59735000</v>
      </c>
      <c r="CG16" s="184">
        <v>170756600</v>
      </c>
      <c r="CH16" s="93">
        <v>404921100</v>
      </c>
      <c r="CI16" s="196">
        <v>60962300</v>
      </c>
      <c r="CJ16" s="200">
        <v>71499000</v>
      </c>
      <c r="CK16" s="86">
        <v>132461300</v>
      </c>
    </row>
    <row r="17" spans="1:89" s="14" customFormat="1">
      <c r="A17" s="180" t="s">
        <v>20</v>
      </c>
      <c r="B17" s="182">
        <v>147883100</v>
      </c>
      <c r="C17" s="182">
        <v>126617000</v>
      </c>
      <c r="D17" s="182">
        <v>160351000</v>
      </c>
      <c r="E17" s="184">
        <v>99622000</v>
      </c>
      <c r="F17" s="93">
        <v>534473100</v>
      </c>
      <c r="G17" s="182">
        <v>163630000</v>
      </c>
      <c r="H17" s="182">
        <v>130522800</v>
      </c>
      <c r="I17" s="182">
        <v>102075100</v>
      </c>
      <c r="J17" s="184">
        <v>115326000</v>
      </c>
      <c r="K17" s="93">
        <v>511553900</v>
      </c>
      <c r="L17" s="182">
        <v>156440400</v>
      </c>
      <c r="M17" s="182">
        <v>163866900</v>
      </c>
      <c r="N17" s="182">
        <v>239102000</v>
      </c>
      <c r="O17" s="184">
        <v>192615100</v>
      </c>
      <c r="P17" s="93">
        <v>752024400</v>
      </c>
      <c r="Q17" s="182">
        <v>90556000</v>
      </c>
      <c r="R17" s="182">
        <v>233522000</v>
      </c>
      <c r="S17" s="182">
        <v>225217000</v>
      </c>
      <c r="T17" s="184">
        <v>130529700</v>
      </c>
      <c r="U17" s="93">
        <v>679824700</v>
      </c>
      <c r="V17" s="182">
        <v>298327900</v>
      </c>
      <c r="W17" s="182">
        <v>543550500</v>
      </c>
      <c r="X17" s="182">
        <v>688213100</v>
      </c>
      <c r="Y17" s="184">
        <v>1184306300</v>
      </c>
      <c r="Z17" s="93">
        <v>2714397800</v>
      </c>
      <c r="AA17" s="182">
        <v>1269440100</v>
      </c>
      <c r="AB17" s="182">
        <v>1069531900</v>
      </c>
      <c r="AC17" s="182">
        <v>502089900</v>
      </c>
      <c r="AD17" s="184">
        <v>326463700</v>
      </c>
      <c r="AE17" s="93">
        <v>3167525600</v>
      </c>
      <c r="AF17" s="182">
        <v>314191100</v>
      </c>
      <c r="AG17" s="182">
        <v>131807900</v>
      </c>
      <c r="AH17" s="182">
        <v>70556000</v>
      </c>
      <c r="AI17" s="184">
        <v>173887300</v>
      </c>
      <c r="AJ17" s="93">
        <v>690442300</v>
      </c>
      <c r="AK17" s="182">
        <v>78033100</v>
      </c>
      <c r="AL17" s="182">
        <v>61542000</v>
      </c>
      <c r="AM17" s="182">
        <v>44399800</v>
      </c>
      <c r="AN17" s="184">
        <v>72204200</v>
      </c>
      <c r="AO17" s="93">
        <v>256179100</v>
      </c>
      <c r="AP17" s="182">
        <v>24930000</v>
      </c>
      <c r="AQ17" s="182">
        <v>36221000</v>
      </c>
      <c r="AR17" s="182">
        <v>53512900</v>
      </c>
      <c r="AS17" s="184">
        <v>42391000</v>
      </c>
      <c r="AT17" s="93">
        <v>157054900</v>
      </c>
      <c r="AU17" s="182">
        <v>67925000</v>
      </c>
      <c r="AV17" s="182">
        <v>27669100</v>
      </c>
      <c r="AW17" s="182">
        <v>143151000</v>
      </c>
      <c r="AX17" s="184">
        <v>83754000</v>
      </c>
      <c r="AY17" s="93">
        <v>322499100</v>
      </c>
      <c r="AZ17" s="182">
        <v>126169600</v>
      </c>
      <c r="BA17" s="182">
        <v>62485000</v>
      </c>
      <c r="BB17" s="182">
        <v>84181900</v>
      </c>
      <c r="BC17" s="184">
        <v>86155200</v>
      </c>
      <c r="BD17" s="93">
        <v>358991700</v>
      </c>
      <c r="BE17" s="182">
        <v>117615800</v>
      </c>
      <c r="BF17" s="182">
        <v>64702100</v>
      </c>
      <c r="BG17" s="182">
        <v>54420900</v>
      </c>
      <c r="BH17" s="184">
        <v>176034800</v>
      </c>
      <c r="BI17" s="93">
        <v>412773600</v>
      </c>
      <c r="BJ17" s="182">
        <v>68860000</v>
      </c>
      <c r="BK17" s="182">
        <v>124634300</v>
      </c>
      <c r="BL17" s="182">
        <v>85139000</v>
      </c>
      <c r="BM17" s="184">
        <v>176460800</v>
      </c>
      <c r="BN17" s="93">
        <v>455094100</v>
      </c>
      <c r="BO17" s="182">
        <v>102009200</v>
      </c>
      <c r="BP17" s="182">
        <v>132316300</v>
      </c>
      <c r="BQ17" s="182">
        <v>130847000</v>
      </c>
      <c r="BR17" s="184">
        <v>67959200</v>
      </c>
      <c r="BS17" s="93">
        <v>433131700</v>
      </c>
      <c r="BT17" s="182">
        <v>71705200</v>
      </c>
      <c r="BU17" s="182">
        <v>115540000</v>
      </c>
      <c r="BV17" s="182">
        <v>151229100</v>
      </c>
      <c r="BW17" s="184">
        <v>152420200</v>
      </c>
      <c r="BX17" s="93">
        <v>490894500</v>
      </c>
      <c r="BY17" s="182">
        <v>123805900</v>
      </c>
      <c r="BZ17" s="182">
        <v>200128100</v>
      </c>
      <c r="CA17" s="182">
        <v>119452500</v>
      </c>
      <c r="CB17" s="184">
        <v>133031900</v>
      </c>
      <c r="CC17" s="93">
        <v>576418400</v>
      </c>
      <c r="CD17" s="182">
        <v>291372700</v>
      </c>
      <c r="CE17" s="182">
        <v>427378000</v>
      </c>
      <c r="CF17" s="182">
        <v>322121100</v>
      </c>
      <c r="CG17" s="184">
        <v>273948000</v>
      </c>
      <c r="CH17" s="93">
        <v>1314819800</v>
      </c>
      <c r="CI17" s="196">
        <v>417014900</v>
      </c>
      <c r="CJ17" s="200">
        <v>198707000</v>
      </c>
      <c r="CK17" s="86">
        <v>615721900</v>
      </c>
    </row>
    <row r="18" spans="1:89" s="14" customFormat="1" ht="13.5" customHeight="1">
      <c r="A18" s="180" t="s">
        <v>21</v>
      </c>
      <c r="B18" s="182">
        <v>26338000</v>
      </c>
      <c r="C18" s="182">
        <v>70422900</v>
      </c>
      <c r="D18" s="182">
        <v>20116200</v>
      </c>
      <c r="E18" s="184">
        <v>37010000</v>
      </c>
      <c r="F18" s="93">
        <v>153887100</v>
      </c>
      <c r="G18" s="182">
        <v>41095200</v>
      </c>
      <c r="H18" s="182">
        <v>75871300</v>
      </c>
      <c r="I18" s="182">
        <v>58885000</v>
      </c>
      <c r="J18" s="184">
        <v>35330200</v>
      </c>
      <c r="K18" s="93">
        <v>211181700</v>
      </c>
      <c r="L18" s="182">
        <v>43950300</v>
      </c>
      <c r="M18" s="182">
        <v>115013100</v>
      </c>
      <c r="N18" s="182">
        <v>50749000</v>
      </c>
      <c r="O18" s="184">
        <v>112256000</v>
      </c>
      <c r="P18" s="93">
        <v>321968400</v>
      </c>
      <c r="Q18" s="182">
        <v>41996000</v>
      </c>
      <c r="R18" s="182">
        <v>67435000</v>
      </c>
      <c r="S18" s="182">
        <v>86979600</v>
      </c>
      <c r="T18" s="184">
        <v>39093000</v>
      </c>
      <c r="U18" s="93">
        <v>235503600</v>
      </c>
      <c r="V18" s="182">
        <v>67018000</v>
      </c>
      <c r="W18" s="182">
        <v>43415000</v>
      </c>
      <c r="X18" s="182">
        <v>78980100</v>
      </c>
      <c r="Y18" s="184">
        <v>85313200</v>
      </c>
      <c r="Z18" s="93">
        <v>274726300</v>
      </c>
      <c r="AA18" s="182">
        <v>186988600</v>
      </c>
      <c r="AB18" s="182">
        <v>131889300</v>
      </c>
      <c r="AC18" s="182">
        <v>283923100</v>
      </c>
      <c r="AD18" s="184">
        <v>218914800</v>
      </c>
      <c r="AE18" s="93">
        <v>821715800</v>
      </c>
      <c r="AF18" s="182">
        <v>69919900</v>
      </c>
      <c r="AG18" s="182">
        <v>114667900</v>
      </c>
      <c r="AH18" s="182">
        <v>146264000</v>
      </c>
      <c r="AI18" s="184">
        <v>116795000</v>
      </c>
      <c r="AJ18" s="93">
        <v>447646800</v>
      </c>
      <c r="AK18" s="182">
        <v>119149000</v>
      </c>
      <c r="AL18" s="182">
        <v>113944800</v>
      </c>
      <c r="AM18" s="182">
        <v>50621100</v>
      </c>
      <c r="AN18" s="184">
        <v>62513300</v>
      </c>
      <c r="AO18" s="93">
        <v>346228200</v>
      </c>
      <c r="AP18" s="182">
        <v>30650000</v>
      </c>
      <c r="AQ18" s="182">
        <v>57210000</v>
      </c>
      <c r="AR18" s="182">
        <v>82978300</v>
      </c>
      <c r="AS18" s="184">
        <v>72985600</v>
      </c>
      <c r="AT18" s="93">
        <v>243823900</v>
      </c>
      <c r="AU18" s="182">
        <v>80176100</v>
      </c>
      <c r="AV18" s="182">
        <v>130396900</v>
      </c>
      <c r="AW18" s="182">
        <v>99089800</v>
      </c>
      <c r="AX18" s="184">
        <v>135372100</v>
      </c>
      <c r="AY18" s="93">
        <v>445034900</v>
      </c>
      <c r="AZ18" s="182">
        <v>126665100</v>
      </c>
      <c r="BA18" s="182">
        <v>72542300</v>
      </c>
      <c r="BB18" s="182">
        <v>167480200</v>
      </c>
      <c r="BC18" s="184">
        <v>117371200</v>
      </c>
      <c r="BD18" s="93">
        <v>484058800</v>
      </c>
      <c r="BE18" s="182">
        <v>205943900</v>
      </c>
      <c r="BF18" s="182">
        <v>263475400</v>
      </c>
      <c r="BG18" s="182">
        <v>128730500</v>
      </c>
      <c r="BH18" s="184">
        <v>171337600</v>
      </c>
      <c r="BI18" s="93">
        <v>769487400</v>
      </c>
      <c r="BJ18" s="182">
        <v>259469200</v>
      </c>
      <c r="BK18" s="182">
        <v>146131800</v>
      </c>
      <c r="BL18" s="182">
        <v>121902600</v>
      </c>
      <c r="BM18" s="184">
        <v>155153600</v>
      </c>
      <c r="BN18" s="93">
        <v>682657200</v>
      </c>
      <c r="BO18" s="182">
        <v>175934600</v>
      </c>
      <c r="BP18" s="182">
        <v>185816300</v>
      </c>
      <c r="BQ18" s="182">
        <v>175923800</v>
      </c>
      <c r="BR18" s="184">
        <v>205495000</v>
      </c>
      <c r="BS18" s="93">
        <v>743169700</v>
      </c>
      <c r="BT18" s="182">
        <v>80392100</v>
      </c>
      <c r="BU18" s="182">
        <v>79939000</v>
      </c>
      <c r="BV18" s="182">
        <v>98670300</v>
      </c>
      <c r="BW18" s="184">
        <v>70869100</v>
      </c>
      <c r="BX18" s="93">
        <v>329870500</v>
      </c>
      <c r="BY18" s="182">
        <v>98109300</v>
      </c>
      <c r="BZ18" s="182">
        <v>185232700</v>
      </c>
      <c r="CA18" s="182">
        <v>78589000</v>
      </c>
      <c r="CB18" s="184">
        <v>97293800</v>
      </c>
      <c r="CC18" s="93">
        <v>459224800</v>
      </c>
      <c r="CD18" s="182">
        <v>314661100</v>
      </c>
      <c r="CE18" s="182">
        <v>131574800</v>
      </c>
      <c r="CF18" s="182">
        <v>142477100</v>
      </c>
      <c r="CG18" s="184">
        <v>90609800</v>
      </c>
      <c r="CH18" s="93">
        <v>679322800</v>
      </c>
      <c r="CI18" s="196">
        <v>42958000</v>
      </c>
      <c r="CJ18" s="200">
        <v>34744100</v>
      </c>
      <c r="CK18" s="86">
        <v>77702100</v>
      </c>
    </row>
    <row r="19" spans="1:89" s="14" customFormat="1">
      <c r="A19" s="180" t="s">
        <v>22</v>
      </c>
      <c r="B19" s="182">
        <v>61471900</v>
      </c>
      <c r="C19" s="182">
        <v>11319000</v>
      </c>
      <c r="D19" s="182">
        <v>45760000</v>
      </c>
      <c r="E19" s="184">
        <v>62225100</v>
      </c>
      <c r="F19" s="93">
        <v>180776000</v>
      </c>
      <c r="G19" s="182">
        <v>144359000</v>
      </c>
      <c r="H19" s="182">
        <v>66662000</v>
      </c>
      <c r="I19" s="182">
        <v>30784000</v>
      </c>
      <c r="J19" s="184">
        <v>81369100</v>
      </c>
      <c r="K19" s="93">
        <v>323174100</v>
      </c>
      <c r="L19" s="182">
        <v>54952000</v>
      </c>
      <c r="M19" s="182">
        <v>111557800</v>
      </c>
      <c r="N19" s="182">
        <v>159432000</v>
      </c>
      <c r="O19" s="184">
        <v>59431000</v>
      </c>
      <c r="P19" s="93">
        <v>385372800</v>
      </c>
      <c r="Q19" s="182">
        <v>146754000</v>
      </c>
      <c r="R19" s="182">
        <v>255588300</v>
      </c>
      <c r="S19" s="182">
        <v>173481100</v>
      </c>
      <c r="T19" s="184">
        <v>267154500</v>
      </c>
      <c r="U19" s="93">
        <v>842977900</v>
      </c>
      <c r="V19" s="182">
        <v>363083000</v>
      </c>
      <c r="W19" s="182">
        <v>472227500</v>
      </c>
      <c r="X19" s="182">
        <v>586808400</v>
      </c>
      <c r="Y19" s="184">
        <v>793155700</v>
      </c>
      <c r="Z19" s="93">
        <v>2215274600</v>
      </c>
      <c r="AA19" s="182">
        <v>1365914900</v>
      </c>
      <c r="AB19" s="182">
        <v>1179234900</v>
      </c>
      <c r="AC19" s="182">
        <v>903106300</v>
      </c>
      <c r="AD19" s="184">
        <v>697633100</v>
      </c>
      <c r="AE19" s="93">
        <v>4145889200</v>
      </c>
      <c r="AF19" s="182">
        <v>576287400</v>
      </c>
      <c r="AG19" s="182">
        <v>265420200</v>
      </c>
      <c r="AH19" s="182">
        <v>185932300</v>
      </c>
      <c r="AI19" s="184">
        <v>229149200</v>
      </c>
      <c r="AJ19" s="93">
        <v>1256789100</v>
      </c>
      <c r="AK19" s="182">
        <v>144365900</v>
      </c>
      <c r="AL19" s="182">
        <v>71675000</v>
      </c>
      <c r="AM19" s="182">
        <v>65139000</v>
      </c>
      <c r="AN19" s="184">
        <v>52774800</v>
      </c>
      <c r="AO19" s="93">
        <v>333954700</v>
      </c>
      <c r="AP19" s="182">
        <v>66450000</v>
      </c>
      <c r="AQ19" s="182">
        <v>81164000</v>
      </c>
      <c r="AR19" s="182">
        <v>24561000</v>
      </c>
      <c r="AS19" s="184">
        <v>240551000</v>
      </c>
      <c r="AT19" s="93">
        <v>412726000</v>
      </c>
      <c r="AU19" s="182">
        <v>106587200</v>
      </c>
      <c r="AV19" s="182">
        <v>172068600</v>
      </c>
      <c r="AW19" s="182">
        <v>75729600</v>
      </c>
      <c r="AX19" s="184">
        <v>172022200</v>
      </c>
      <c r="AY19" s="93">
        <v>526407600</v>
      </c>
      <c r="AZ19" s="182">
        <v>169562000</v>
      </c>
      <c r="BA19" s="182">
        <v>425815200</v>
      </c>
      <c r="BB19" s="182">
        <v>162953100</v>
      </c>
      <c r="BC19" s="184">
        <v>144763000</v>
      </c>
      <c r="BD19" s="93">
        <v>903093300</v>
      </c>
      <c r="BE19" s="182">
        <v>212145600</v>
      </c>
      <c r="BF19" s="182">
        <v>77049100</v>
      </c>
      <c r="BG19" s="182">
        <v>80091700</v>
      </c>
      <c r="BH19" s="184">
        <v>146537700</v>
      </c>
      <c r="BI19" s="93">
        <v>515824100</v>
      </c>
      <c r="BJ19" s="182">
        <v>42620000</v>
      </c>
      <c r="BK19" s="182">
        <v>111936000</v>
      </c>
      <c r="BL19" s="182">
        <v>220977900</v>
      </c>
      <c r="BM19" s="184">
        <v>175832200</v>
      </c>
      <c r="BN19" s="93">
        <v>551366100</v>
      </c>
      <c r="BO19" s="182">
        <v>144201400</v>
      </c>
      <c r="BP19" s="182">
        <v>109671200</v>
      </c>
      <c r="BQ19" s="182">
        <v>137859900</v>
      </c>
      <c r="BR19" s="184">
        <v>69458200</v>
      </c>
      <c r="BS19" s="93">
        <v>461190700</v>
      </c>
      <c r="BT19" s="182">
        <v>102790400</v>
      </c>
      <c r="BU19" s="182">
        <v>14491000</v>
      </c>
      <c r="BV19" s="182">
        <v>103785000</v>
      </c>
      <c r="BW19" s="184">
        <v>182600100</v>
      </c>
      <c r="BX19" s="93">
        <v>403666500</v>
      </c>
      <c r="BY19" s="182">
        <v>216133000</v>
      </c>
      <c r="BZ19" s="182">
        <v>127895400</v>
      </c>
      <c r="CA19" s="182">
        <v>71149000</v>
      </c>
      <c r="CB19" s="184">
        <v>84793900</v>
      </c>
      <c r="CC19" s="93">
        <v>499971300</v>
      </c>
      <c r="CD19" s="182">
        <v>81322100</v>
      </c>
      <c r="CE19" s="182">
        <v>94696700</v>
      </c>
      <c r="CF19" s="182">
        <v>80463900</v>
      </c>
      <c r="CG19" s="184">
        <v>133064000</v>
      </c>
      <c r="CH19" s="93">
        <v>389546700</v>
      </c>
      <c r="CI19" s="196">
        <v>55341000</v>
      </c>
      <c r="CJ19" s="200">
        <v>43287800</v>
      </c>
      <c r="CK19" s="86">
        <v>98628800</v>
      </c>
    </row>
    <row r="20" spans="1:89" s="14" customFormat="1">
      <c r="A20" s="180" t="s">
        <v>23</v>
      </c>
      <c r="B20" s="182">
        <v>67183900</v>
      </c>
      <c r="C20" s="182">
        <v>200895900</v>
      </c>
      <c r="D20" s="182">
        <v>57090000</v>
      </c>
      <c r="E20" s="184">
        <v>134569800</v>
      </c>
      <c r="F20" s="93">
        <v>459739600</v>
      </c>
      <c r="G20" s="182">
        <v>120755000</v>
      </c>
      <c r="H20" s="182">
        <v>190330100</v>
      </c>
      <c r="I20" s="182">
        <v>195471900</v>
      </c>
      <c r="J20" s="184">
        <v>227801200</v>
      </c>
      <c r="K20" s="93">
        <v>734358200</v>
      </c>
      <c r="L20" s="182">
        <v>220269800</v>
      </c>
      <c r="M20" s="182">
        <v>294353900</v>
      </c>
      <c r="N20" s="182">
        <v>155578100</v>
      </c>
      <c r="O20" s="184">
        <v>268482300</v>
      </c>
      <c r="P20" s="93">
        <v>938684100</v>
      </c>
      <c r="Q20" s="182">
        <v>241295800</v>
      </c>
      <c r="R20" s="182">
        <v>213814200</v>
      </c>
      <c r="S20" s="182">
        <v>308754100</v>
      </c>
      <c r="T20" s="184">
        <v>200996200</v>
      </c>
      <c r="U20" s="93">
        <v>964860300</v>
      </c>
      <c r="V20" s="182">
        <v>270050400</v>
      </c>
      <c r="W20" s="182">
        <v>346370900</v>
      </c>
      <c r="X20" s="182">
        <v>326648300</v>
      </c>
      <c r="Y20" s="184">
        <v>559680900</v>
      </c>
      <c r="Z20" s="93">
        <v>1502750500</v>
      </c>
      <c r="AA20" s="182">
        <v>511322200</v>
      </c>
      <c r="AB20" s="182">
        <v>371611000</v>
      </c>
      <c r="AC20" s="182">
        <v>270131300</v>
      </c>
      <c r="AD20" s="184">
        <v>240750800</v>
      </c>
      <c r="AE20" s="93">
        <v>1393815300</v>
      </c>
      <c r="AF20" s="182">
        <v>155789200</v>
      </c>
      <c r="AG20" s="182">
        <v>229602900</v>
      </c>
      <c r="AH20" s="182">
        <v>71907600</v>
      </c>
      <c r="AI20" s="184">
        <v>94392200</v>
      </c>
      <c r="AJ20" s="93">
        <v>551691900</v>
      </c>
      <c r="AK20" s="182">
        <v>56779000</v>
      </c>
      <c r="AL20" s="182">
        <v>112154100</v>
      </c>
      <c r="AM20" s="182">
        <v>111669900</v>
      </c>
      <c r="AN20" s="184">
        <v>107572000</v>
      </c>
      <c r="AO20" s="93">
        <v>388175000</v>
      </c>
      <c r="AP20" s="182">
        <v>71940200</v>
      </c>
      <c r="AQ20" s="182">
        <v>38044000</v>
      </c>
      <c r="AR20" s="182">
        <v>46444000</v>
      </c>
      <c r="AS20" s="184">
        <v>81277300</v>
      </c>
      <c r="AT20" s="93">
        <v>237705500</v>
      </c>
      <c r="AU20" s="182">
        <v>38809000</v>
      </c>
      <c r="AV20" s="182">
        <v>182395700</v>
      </c>
      <c r="AW20" s="182">
        <v>76788600</v>
      </c>
      <c r="AX20" s="184">
        <v>90836100</v>
      </c>
      <c r="AY20" s="93">
        <v>388829400</v>
      </c>
      <c r="AZ20" s="182">
        <v>48552900</v>
      </c>
      <c r="BA20" s="182">
        <v>113537000</v>
      </c>
      <c r="BB20" s="182">
        <v>61313100</v>
      </c>
      <c r="BC20" s="184">
        <v>145723900</v>
      </c>
      <c r="BD20" s="93">
        <v>369126900</v>
      </c>
      <c r="BE20" s="182">
        <v>179170800</v>
      </c>
      <c r="BF20" s="182">
        <v>80252900</v>
      </c>
      <c r="BG20" s="182">
        <v>56060000</v>
      </c>
      <c r="BH20" s="184">
        <v>100914900</v>
      </c>
      <c r="BI20" s="93">
        <v>416398600</v>
      </c>
      <c r="BJ20" s="182">
        <v>37409800</v>
      </c>
      <c r="BK20" s="182">
        <v>55004100</v>
      </c>
      <c r="BL20" s="182">
        <v>125385000</v>
      </c>
      <c r="BM20" s="184">
        <v>82416100</v>
      </c>
      <c r="BN20" s="93">
        <v>300215000</v>
      </c>
      <c r="BO20" s="182">
        <v>46280000</v>
      </c>
      <c r="BP20" s="182">
        <v>22730000</v>
      </c>
      <c r="BQ20" s="182">
        <v>39220300</v>
      </c>
      <c r="BR20" s="184">
        <v>41940900</v>
      </c>
      <c r="BS20" s="93">
        <v>150171200</v>
      </c>
      <c r="BT20" s="182">
        <v>63574800</v>
      </c>
      <c r="BU20" s="182">
        <v>16800000</v>
      </c>
      <c r="BV20" s="182">
        <v>15387900</v>
      </c>
      <c r="BW20" s="184">
        <v>39097000</v>
      </c>
      <c r="BX20" s="93">
        <v>134859700</v>
      </c>
      <c r="BY20" s="182">
        <v>15479100</v>
      </c>
      <c r="BZ20" s="182">
        <v>60139100</v>
      </c>
      <c r="CA20" s="182">
        <v>136067200</v>
      </c>
      <c r="CB20" s="184">
        <v>49367000</v>
      </c>
      <c r="CC20" s="93">
        <v>261052400</v>
      </c>
      <c r="CD20" s="182">
        <v>72616000</v>
      </c>
      <c r="CE20" s="182">
        <v>56199900</v>
      </c>
      <c r="CF20" s="182">
        <v>179201000</v>
      </c>
      <c r="CG20" s="184">
        <v>59598000</v>
      </c>
      <c r="CH20" s="93">
        <v>367614900</v>
      </c>
      <c r="CI20" s="196">
        <v>20913900</v>
      </c>
      <c r="CJ20" s="200">
        <v>66700000</v>
      </c>
      <c r="CK20" s="86">
        <v>87613900</v>
      </c>
    </row>
    <row r="21" spans="1:89" s="14" customFormat="1">
      <c r="A21" s="180" t="s">
        <v>24</v>
      </c>
      <c r="B21" s="182">
        <v>171514200</v>
      </c>
      <c r="C21" s="182">
        <v>134992800</v>
      </c>
      <c r="D21" s="182">
        <v>95536700</v>
      </c>
      <c r="E21" s="184">
        <v>125355900</v>
      </c>
      <c r="F21" s="93">
        <v>527399600</v>
      </c>
      <c r="G21" s="182">
        <v>97805000</v>
      </c>
      <c r="H21" s="182">
        <v>159271200</v>
      </c>
      <c r="I21" s="182">
        <v>119348200</v>
      </c>
      <c r="J21" s="184">
        <v>121546700</v>
      </c>
      <c r="K21" s="93">
        <v>497971100</v>
      </c>
      <c r="L21" s="182">
        <v>105407700</v>
      </c>
      <c r="M21" s="182">
        <v>229462000</v>
      </c>
      <c r="N21" s="182">
        <v>242989000</v>
      </c>
      <c r="O21" s="184">
        <v>129159100</v>
      </c>
      <c r="P21" s="93">
        <v>707017800</v>
      </c>
      <c r="Q21" s="182">
        <v>215798100</v>
      </c>
      <c r="R21" s="182">
        <v>470178100</v>
      </c>
      <c r="S21" s="182">
        <v>306943500</v>
      </c>
      <c r="T21" s="184">
        <v>381309900</v>
      </c>
      <c r="U21" s="93">
        <v>1374229600</v>
      </c>
      <c r="V21" s="182">
        <v>75452900</v>
      </c>
      <c r="W21" s="182">
        <v>168593200</v>
      </c>
      <c r="X21" s="182">
        <v>337343000</v>
      </c>
      <c r="Y21" s="184">
        <v>878534900</v>
      </c>
      <c r="Z21" s="93">
        <v>1459924000</v>
      </c>
      <c r="AA21" s="182">
        <v>736032500</v>
      </c>
      <c r="AB21" s="182">
        <v>556477600</v>
      </c>
      <c r="AC21" s="182">
        <v>734431900</v>
      </c>
      <c r="AD21" s="184">
        <v>585210000</v>
      </c>
      <c r="AE21" s="93">
        <v>2612152000</v>
      </c>
      <c r="AF21" s="182">
        <v>517953000</v>
      </c>
      <c r="AG21" s="182">
        <v>324628300</v>
      </c>
      <c r="AH21" s="182">
        <v>169848000</v>
      </c>
      <c r="AI21" s="184">
        <v>199459100</v>
      </c>
      <c r="AJ21" s="93">
        <v>1211888400</v>
      </c>
      <c r="AK21" s="182">
        <v>394034100</v>
      </c>
      <c r="AL21" s="182">
        <v>145226100</v>
      </c>
      <c r="AM21" s="182">
        <v>113030100</v>
      </c>
      <c r="AN21" s="184">
        <v>136729300</v>
      </c>
      <c r="AO21" s="93">
        <v>789019600</v>
      </c>
      <c r="AP21" s="182">
        <v>164934100</v>
      </c>
      <c r="AQ21" s="182">
        <v>143104000</v>
      </c>
      <c r="AR21" s="182">
        <v>220887000</v>
      </c>
      <c r="AS21" s="184">
        <v>180429800</v>
      </c>
      <c r="AT21" s="93">
        <v>709354900</v>
      </c>
      <c r="AU21" s="182">
        <v>188263000</v>
      </c>
      <c r="AV21" s="182">
        <v>189786500</v>
      </c>
      <c r="AW21" s="182">
        <v>176756100</v>
      </c>
      <c r="AX21" s="184">
        <v>257618600</v>
      </c>
      <c r="AY21" s="93">
        <v>812424200</v>
      </c>
      <c r="AZ21" s="182">
        <v>272540300</v>
      </c>
      <c r="BA21" s="182">
        <v>293817000</v>
      </c>
      <c r="BB21" s="182">
        <v>278894000</v>
      </c>
      <c r="BC21" s="184">
        <v>256348100</v>
      </c>
      <c r="BD21" s="93">
        <v>1101599400</v>
      </c>
      <c r="BE21" s="182">
        <v>328142700</v>
      </c>
      <c r="BF21" s="182">
        <v>567710500</v>
      </c>
      <c r="BG21" s="182">
        <v>582832100</v>
      </c>
      <c r="BH21" s="184">
        <v>543992700</v>
      </c>
      <c r="BI21" s="93">
        <v>2022678000</v>
      </c>
      <c r="BJ21" s="182">
        <v>487853300</v>
      </c>
      <c r="BK21" s="182">
        <v>591185100</v>
      </c>
      <c r="BL21" s="182">
        <v>1205897700</v>
      </c>
      <c r="BM21" s="184">
        <v>942782900</v>
      </c>
      <c r="BN21" s="93">
        <v>3227719000</v>
      </c>
      <c r="BO21" s="182">
        <v>1314242100</v>
      </c>
      <c r="BP21" s="182">
        <v>1284888900</v>
      </c>
      <c r="BQ21" s="182">
        <v>1262240100</v>
      </c>
      <c r="BR21" s="184">
        <v>851376900</v>
      </c>
      <c r="BS21" s="93">
        <v>4712748000</v>
      </c>
      <c r="BT21" s="182">
        <v>447696100</v>
      </c>
      <c r="BU21" s="182">
        <v>647982500</v>
      </c>
      <c r="BV21" s="182">
        <v>1028698700</v>
      </c>
      <c r="BW21" s="184">
        <v>558236700</v>
      </c>
      <c r="BX21" s="93">
        <v>2682614000</v>
      </c>
      <c r="BY21" s="182">
        <v>773110600</v>
      </c>
      <c r="BZ21" s="182">
        <v>1391157900</v>
      </c>
      <c r="CA21" s="182">
        <v>432558400</v>
      </c>
      <c r="CB21" s="184">
        <v>808593200</v>
      </c>
      <c r="CC21" s="93">
        <v>3405420100</v>
      </c>
      <c r="CD21" s="182">
        <v>1068176800</v>
      </c>
      <c r="CE21" s="182">
        <v>759299900</v>
      </c>
      <c r="CF21" s="182">
        <v>1148110900</v>
      </c>
      <c r="CG21" s="184">
        <v>920396800</v>
      </c>
      <c r="CH21" s="93">
        <v>3895984400</v>
      </c>
      <c r="CI21" s="196">
        <v>792468400</v>
      </c>
      <c r="CJ21" s="200">
        <v>914101000</v>
      </c>
      <c r="CK21" s="86">
        <v>1706569400</v>
      </c>
    </row>
    <row r="22" spans="1:89" s="14" customFormat="1">
      <c r="A22" s="180" t="s">
        <v>25</v>
      </c>
      <c r="B22" s="182">
        <v>84604100</v>
      </c>
      <c r="C22" s="182">
        <v>24803000</v>
      </c>
      <c r="D22" s="182">
        <v>29949100</v>
      </c>
      <c r="E22" s="184">
        <v>41175500</v>
      </c>
      <c r="F22" s="93">
        <v>180531700</v>
      </c>
      <c r="G22" s="182">
        <v>48732900</v>
      </c>
      <c r="H22" s="182">
        <v>97020000</v>
      </c>
      <c r="I22" s="182">
        <v>123699200</v>
      </c>
      <c r="J22" s="184">
        <v>172148200</v>
      </c>
      <c r="K22" s="93">
        <v>441600300</v>
      </c>
      <c r="L22" s="182">
        <v>136310100</v>
      </c>
      <c r="M22" s="182">
        <v>158010800</v>
      </c>
      <c r="N22" s="182">
        <v>115886100</v>
      </c>
      <c r="O22" s="184">
        <v>229724900</v>
      </c>
      <c r="P22" s="93">
        <v>639931900</v>
      </c>
      <c r="Q22" s="182">
        <v>168252500</v>
      </c>
      <c r="R22" s="182">
        <v>254657500</v>
      </c>
      <c r="S22" s="182">
        <v>300878300</v>
      </c>
      <c r="T22" s="184">
        <v>381846100</v>
      </c>
      <c r="U22" s="93">
        <v>1105634400</v>
      </c>
      <c r="V22" s="182">
        <v>498016000</v>
      </c>
      <c r="W22" s="182">
        <v>795861300</v>
      </c>
      <c r="X22" s="182">
        <v>1256158100</v>
      </c>
      <c r="Y22" s="184">
        <v>1801738800</v>
      </c>
      <c r="Z22" s="93">
        <v>4351774200</v>
      </c>
      <c r="AA22" s="182">
        <v>2808609000</v>
      </c>
      <c r="AB22" s="182">
        <v>2587506600</v>
      </c>
      <c r="AC22" s="182">
        <v>2036755900</v>
      </c>
      <c r="AD22" s="184">
        <v>1520492600</v>
      </c>
      <c r="AE22" s="93">
        <v>8953364100</v>
      </c>
      <c r="AF22" s="182">
        <v>527266000</v>
      </c>
      <c r="AG22" s="182">
        <v>1008238500</v>
      </c>
      <c r="AH22" s="182">
        <v>552198500</v>
      </c>
      <c r="AI22" s="184">
        <v>396901500</v>
      </c>
      <c r="AJ22" s="93">
        <v>2484604500</v>
      </c>
      <c r="AK22" s="182">
        <v>204620200</v>
      </c>
      <c r="AL22" s="182">
        <v>318461200</v>
      </c>
      <c r="AM22" s="182">
        <v>225863300</v>
      </c>
      <c r="AN22" s="184">
        <v>281904100</v>
      </c>
      <c r="AO22" s="93">
        <v>1030848800</v>
      </c>
      <c r="AP22" s="182">
        <v>178957900</v>
      </c>
      <c r="AQ22" s="182">
        <v>180521900</v>
      </c>
      <c r="AR22" s="182">
        <v>145110000</v>
      </c>
      <c r="AS22" s="184">
        <v>246984100</v>
      </c>
      <c r="AT22" s="93">
        <v>751573900</v>
      </c>
      <c r="AU22" s="182">
        <v>178917200</v>
      </c>
      <c r="AV22" s="182">
        <v>136331900</v>
      </c>
      <c r="AW22" s="182">
        <v>241653000</v>
      </c>
      <c r="AX22" s="184">
        <v>188356100</v>
      </c>
      <c r="AY22" s="93">
        <v>745258200</v>
      </c>
      <c r="AZ22" s="182">
        <v>315538100</v>
      </c>
      <c r="BA22" s="182">
        <v>252409300</v>
      </c>
      <c r="BB22" s="182">
        <v>211067100</v>
      </c>
      <c r="BC22" s="184">
        <v>294157300</v>
      </c>
      <c r="BD22" s="93">
        <v>1073171800</v>
      </c>
      <c r="BE22" s="182">
        <v>427956800</v>
      </c>
      <c r="BF22" s="182">
        <v>308039100</v>
      </c>
      <c r="BG22" s="182">
        <v>376346500</v>
      </c>
      <c r="BH22" s="184">
        <v>403226500</v>
      </c>
      <c r="BI22" s="93">
        <v>1515568900</v>
      </c>
      <c r="BJ22" s="182">
        <v>474355000</v>
      </c>
      <c r="BK22" s="182">
        <v>393273400</v>
      </c>
      <c r="BL22" s="182">
        <v>556611500</v>
      </c>
      <c r="BM22" s="184">
        <v>503105500</v>
      </c>
      <c r="BN22" s="93">
        <v>1927345400</v>
      </c>
      <c r="BO22" s="182">
        <v>555889000</v>
      </c>
      <c r="BP22" s="182">
        <v>578617800</v>
      </c>
      <c r="BQ22" s="182">
        <v>615518800</v>
      </c>
      <c r="BR22" s="184">
        <v>361316600</v>
      </c>
      <c r="BS22" s="93">
        <v>2111342200</v>
      </c>
      <c r="BT22" s="182">
        <v>297847300</v>
      </c>
      <c r="BU22" s="182">
        <v>313805400</v>
      </c>
      <c r="BV22" s="182">
        <v>226415500</v>
      </c>
      <c r="BW22" s="184">
        <v>370416400</v>
      </c>
      <c r="BX22" s="93">
        <v>1208484600</v>
      </c>
      <c r="BY22" s="182">
        <v>381066800</v>
      </c>
      <c r="BZ22" s="182">
        <v>363051800</v>
      </c>
      <c r="CA22" s="182">
        <v>518090300</v>
      </c>
      <c r="CB22" s="184">
        <v>433559500</v>
      </c>
      <c r="CC22" s="93">
        <v>1695768400</v>
      </c>
      <c r="CD22" s="182">
        <v>665876200</v>
      </c>
      <c r="CE22" s="182">
        <v>774249600</v>
      </c>
      <c r="CF22" s="182">
        <v>555656300</v>
      </c>
      <c r="CG22" s="184">
        <v>456431700</v>
      </c>
      <c r="CH22" s="93">
        <v>2452213800</v>
      </c>
      <c r="CI22" s="196">
        <v>487654600</v>
      </c>
      <c r="CJ22" s="200">
        <v>547686300</v>
      </c>
      <c r="CK22" s="86">
        <v>1035340900</v>
      </c>
    </row>
    <row r="23" spans="1:89" s="14" customFormat="1">
      <c r="A23" s="180" t="s">
        <v>26</v>
      </c>
      <c r="B23" s="182">
        <v>43652000</v>
      </c>
      <c r="C23" s="182">
        <v>709067100</v>
      </c>
      <c r="D23" s="182">
        <v>90427900</v>
      </c>
      <c r="E23" s="184">
        <v>101772000</v>
      </c>
      <c r="F23" s="93">
        <v>944919000</v>
      </c>
      <c r="G23" s="182">
        <v>358396700</v>
      </c>
      <c r="H23" s="182">
        <v>244858700</v>
      </c>
      <c r="I23" s="182">
        <v>288750900</v>
      </c>
      <c r="J23" s="184">
        <v>262861300</v>
      </c>
      <c r="K23" s="93">
        <v>1154867600</v>
      </c>
      <c r="L23" s="182">
        <v>249045900</v>
      </c>
      <c r="M23" s="182">
        <v>207534000</v>
      </c>
      <c r="N23" s="182">
        <v>241792800</v>
      </c>
      <c r="O23" s="184">
        <v>309305300</v>
      </c>
      <c r="P23" s="93">
        <v>1007678000</v>
      </c>
      <c r="Q23" s="182">
        <v>363719100</v>
      </c>
      <c r="R23" s="182">
        <v>443798800</v>
      </c>
      <c r="S23" s="182">
        <v>369123200</v>
      </c>
      <c r="T23" s="184">
        <v>697972000</v>
      </c>
      <c r="U23" s="93">
        <v>1874613100</v>
      </c>
      <c r="V23" s="182">
        <v>531687500</v>
      </c>
      <c r="W23" s="182">
        <v>1579842200</v>
      </c>
      <c r="X23" s="182">
        <v>1945838400</v>
      </c>
      <c r="Y23" s="184">
        <v>3109677800</v>
      </c>
      <c r="Z23" s="93">
        <v>7167045900</v>
      </c>
      <c r="AA23" s="182">
        <v>3913165900</v>
      </c>
      <c r="AB23" s="182">
        <v>2894692900</v>
      </c>
      <c r="AC23" s="182">
        <v>2053794300</v>
      </c>
      <c r="AD23" s="184">
        <v>1794484000</v>
      </c>
      <c r="AE23" s="93">
        <v>10656137100</v>
      </c>
      <c r="AF23" s="182">
        <v>902208500</v>
      </c>
      <c r="AG23" s="182">
        <v>615792800</v>
      </c>
      <c r="AH23" s="182">
        <v>572663300</v>
      </c>
      <c r="AI23" s="184">
        <v>270382900</v>
      </c>
      <c r="AJ23" s="93">
        <v>2361047500</v>
      </c>
      <c r="AK23" s="182">
        <v>245811800</v>
      </c>
      <c r="AL23" s="182">
        <v>227164100</v>
      </c>
      <c r="AM23" s="182">
        <v>171296000</v>
      </c>
      <c r="AN23" s="184">
        <v>139174000</v>
      </c>
      <c r="AO23" s="93">
        <v>783445900</v>
      </c>
      <c r="AP23" s="182">
        <v>161237000</v>
      </c>
      <c r="AQ23" s="182">
        <v>164966400</v>
      </c>
      <c r="AR23" s="182">
        <v>187605400</v>
      </c>
      <c r="AS23" s="184">
        <v>154659200</v>
      </c>
      <c r="AT23" s="93">
        <v>668468000</v>
      </c>
      <c r="AU23" s="182">
        <v>144080200</v>
      </c>
      <c r="AV23" s="182">
        <v>392620900</v>
      </c>
      <c r="AW23" s="182">
        <v>141942900</v>
      </c>
      <c r="AX23" s="184">
        <v>730928600</v>
      </c>
      <c r="AY23" s="93">
        <v>1409572600</v>
      </c>
      <c r="AZ23" s="182">
        <v>344307000</v>
      </c>
      <c r="BA23" s="182">
        <v>294591500</v>
      </c>
      <c r="BB23" s="182">
        <v>268478500</v>
      </c>
      <c r="BC23" s="184">
        <v>288886200</v>
      </c>
      <c r="BD23" s="93">
        <v>1196263200</v>
      </c>
      <c r="BE23" s="182">
        <v>525588600</v>
      </c>
      <c r="BF23" s="182">
        <v>379479100</v>
      </c>
      <c r="BG23" s="182">
        <v>476642900</v>
      </c>
      <c r="BH23" s="184">
        <v>492961100</v>
      </c>
      <c r="BI23" s="93">
        <v>1874671700</v>
      </c>
      <c r="BJ23" s="182">
        <v>481888600</v>
      </c>
      <c r="BK23" s="182">
        <v>506767100</v>
      </c>
      <c r="BL23" s="182">
        <v>504844800</v>
      </c>
      <c r="BM23" s="184">
        <v>565488600</v>
      </c>
      <c r="BN23" s="93">
        <v>2058989100</v>
      </c>
      <c r="BO23" s="182">
        <v>551077900</v>
      </c>
      <c r="BP23" s="182">
        <v>560958700</v>
      </c>
      <c r="BQ23" s="182">
        <v>357100900</v>
      </c>
      <c r="BR23" s="184">
        <v>350801500</v>
      </c>
      <c r="BS23" s="93">
        <v>1819939000</v>
      </c>
      <c r="BT23" s="182">
        <v>224722400</v>
      </c>
      <c r="BU23" s="182">
        <v>340099900</v>
      </c>
      <c r="BV23" s="182">
        <v>400784400</v>
      </c>
      <c r="BW23" s="184">
        <v>535461900</v>
      </c>
      <c r="BX23" s="93">
        <v>1501068600</v>
      </c>
      <c r="BY23" s="182">
        <v>317325800</v>
      </c>
      <c r="BZ23" s="182">
        <v>301417200</v>
      </c>
      <c r="CA23" s="182">
        <v>342439500</v>
      </c>
      <c r="CB23" s="184">
        <v>575222200</v>
      </c>
      <c r="CC23" s="93">
        <v>1536404700</v>
      </c>
      <c r="CD23" s="182">
        <v>560488700</v>
      </c>
      <c r="CE23" s="182">
        <v>730616500</v>
      </c>
      <c r="CF23" s="182">
        <v>580017000</v>
      </c>
      <c r="CG23" s="184">
        <v>387281000</v>
      </c>
      <c r="CH23" s="93">
        <v>2258403200</v>
      </c>
      <c r="CI23" s="196">
        <v>415135100</v>
      </c>
      <c r="CJ23" s="200">
        <v>671441400</v>
      </c>
      <c r="CK23" s="86">
        <v>1086576500</v>
      </c>
    </row>
    <row r="24" spans="1:89" s="14" customFormat="1">
      <c r="A24" s="180" t="s">
        <v>27</v>
      </c>
      <c r="B24" s="182">
        <v>170005000</v>
      </c>
      <c r="C24" s="182">
        <v>198825400</v>
      </c>
      <c r="D24" s="182">
        <v>169772200</v>
      </c>
      <c r="E24" s="184">
        <v>119335900</v>
      </c>
      <c r="F24" s="93">
        <v>657938500</v>
      </c>
      <c r="G24" s="182">
        <v>114998000</v>
      </c>
      <c r="H24" s="182">
        <v>181151200</v>
      </c>
      <c r="I24" s="182">
        <v>114919400</v>
      </c>
      <c r="J24" s="184">
        <v>206278000</v>
      </c>
      <c r="K24" s="93">
        <v>617346600</v>
      </c>
      <c r="L24" s="182">
        <v>192171700</v>
      </c>
      <c r="M24" s="182">
        <v>270888000</v>
      </c>
      <c r="N24" s="182">
        <v>238776000</v>
      </c>
      <c r="O24" s="184">
        <v>315592200</v>
      </c>
      <c r="P24" s="93">
        <v>1017427900</v>
      </c>
      <c r="Q24" s="182">
        <v>275857800</v>
      </c>
      <c r="R24" s="182">
        <v>287275800</v>
      </c>
      <c r="S24" s="182">
        <v>320123100</v>
      </c>
      <c r="T24" s="184">
        <v>355143700</v>
      </c>
      <c r="U24" s="93">
        <v>1238400400</v>
      </c>
      <c r="V24" s="182">
        <v>288499600</v>
      </c>
      <c r="W24" s="182">
        <v>374677200</v>
      </c>
      <c r="X24" s="182">
        <v>342871800</v>
      </c>
      <c r="Y24" s="184">
        <v>568057300</v>
      </c>
      <c r="Z24" s="93">
        <v>1574105900</v>
      </c>
      <c r="AA24" s="182">
        <v>422383400</v>
      </c>
      <c r="AB24" s="182">
        <v>471937900</v>
      </c>
      <c r="AC24" s="182">
        <v>718540600</v>
      </c>
      <c r="AD24" s="184">
        <v>803348900</v>
      </c>
      <c r="AE24" s="93">
        <v>2416210800</v>
      </c>
      <c r="AF24" s="182">
        <v>563822600</v>
      </c>
      <c r="AG24" s="182">
        <v>621875500</v>
      </c>
      <c r="AH24" s="182">
        <v>430610000</v>
      </c>
      <c r="AI24" s="184">
        <v>429699100</v>
      </c>
      <c r="AJ24" s="93">
        <v>2046007200</v>
      </c>
      <c r="AK24" s="182">
        <v>370715700</v>
      </c>
      <c r="AL24" s="182">
        <v>625879700</v>
      </c>
      <c r="AM24" s="182">
        <v>456495100</v>
      </c>
      <c r="AN24" s="184">
        <v>411221000</v>
      </c>
      <c r="AO24" s="93">
        <v>1864311500</v>
      </c>
      <c r="AP24" s="182">
        <v>361555000</v>
      </c>
      <c r="AQ24" s="182">
        <v>433622500</v>
      </c>
      <c r="AR24" s="182">
        <v>307747900</v>
      </c>
      <c r="AS24" s="184">
        <v>512380900</v>
      </c>
      <c r="AT24" s="93">
        <v>1615306300</v>
      </c>
      <c r="AU24" s="182">
        <v>337140400</v>
      </c>
      <c r="AV24" s="182">
        <v>518247600</v>
      </c>
      <c r="AW24" s="182">
        <v>515101800</v>
      </c>
      <c r="AX24" s="184">
        <v>576512700</v>
      </c>
      <c r="AY24" s="93">
        <v>1947002500</v>
      </c>
      <c r="AZ24" s="182">
        <v>461921400</v>
      </c>
      <c r="BA24" s="182">
        <v>442898500</v>
      </c>
      <c r="BB24" s="182">
        <v>664694500</v>
      </c>
      <c r="BC24" s="184">
        <v>667369400</v>
      </c>
      <c r="BD24" s="93">
        <v>2236883800</v>
      </c>
      <c r="BE24" s="182">
        <v>684021800</v>
      </c>
      <c r="BF24" s="182">
        <v>632724200</v>
      </c>
      <c r="BG24" s="182">
        <v>762756300</v>
      </c>
      <c r="BH24" s="184">
        <v>717304200</v>
      </c>
      <c r="BI24" s="93">
        <v>2796806500</v>
      </c>
      <c r="BJ24" s="182">
        <v>1232827300</v>
      </c>
      <c r="BK24" s="182">
        <v>906388200</v>
      </c>
      <c r="BL24" s="182">
        <v>804122900</v>
      </c>
      <c r="BM24" s="184">
        <v>918230300</v>
      </c>
      <c r="BN24" s="93">
        <v>3861568700</v>
      </c>
      <c r="BO24" s="182">
        <v>1061012400</v>
      </c>
      <c r="BP24" s="182">
        <v>974398300</v>
      </c>
      <c r="BQ24" s="182">
        <v>954780800</v>
      </c>
      <c r="BR24" s="184">
        <v>647904300</v>
      </c>
      <c r="BS24" s="93">
        <v>3638095800</v>
      </c>
      <c r="BT24" s="182">
        <v>491818600</v>
      </c>
      <c r="BU24" s="182">
        <v>743036700</v>
      </c>
      <c r="BV24" s="182">
        <v>677990200</v>
      </c>
      <c r="BW24" s="184">
        <v>658759300</v>
      </c>
      <c r="BX24" s="93">
        <v>2571604800</v>
      </c>
      <c r="BY24" s="182">
        <v>523765000</v>
      </c>
      <c r="BZ24" s="182">
        <v>780418600</v>
      </c>
      <c r="CA24" s="182">
        <v>617717600</v>
      </c>
      <c r="CB24" s="184">
        <v>483426800</v>
      </c>
      <c r="CC24" s="93">
        <v>2405328000</v>
      </c>
      <c r="CD24" s="182">
        <v>694136800</v>
      </c>
      <c r="CE24" s="182">
        <v>846588600</v>
      </c>
      <c r="CF24" s="182">
        <v>747958300</v>
      </c>
      <c r="CG24" s="184">
        <v>530339800</v>
      </c>
      <c r="CH24" s="93">
        <v>2819023500</v>
      </c>
      <c r="CI24" s="196">
        <v>697461800</v>
      </c>
      <c r="CJ24" s="200">
        <v>699531800</v>
      </c>
      <c r="CK24" s="86">
        <v>1396993600</v>
      </c>
    </row>
    <row r="25" spans="1:89" s="14" customFormat="1">
      <c r="A25" s="180" t="s">
        <v>28</v>
      </c>
      <c r="B25" s="182">
        <v>75230000</v>
      </c>
      <c r="C25" s="182">
        <v>66101100</v>
      </c>
      <c r="D25" s="182">
        <v>55444000</v>
      </c>
      <c r="E25" s="184">
        <v>169284200</v>
      </c>
      <c r="F25" s="93">
        <v>366059300</v>
      </c>
      <c r="G25" s="182">
        <v>103371100</v>
      </c>
      <c r="H25" s="182">
        <v>199646400</v>
      </c>
      <c r="I25" s="182">
        <v>117120200</v>
      </c>
      <c r="J25" s="184">
        <v>210509100</v>
      </c>
      <c r="K25" s="93">
        <v>630646800</v>
      </c>
      <c r="L25" s="182">
        <v>145019400</v>
      </c>
      <c r="M25" s="182">
        <v>232621800</v>
      </c>
      <c r="N25" s="182">
        <v>280792000</v>
      </c>
      <c r="O25" s="184">
        <v>303300700</v>
      </c>
      <c r="P25" s="93">
        <v>961733900</v>
      </c>
      <c r="Q25" s="182">
        <v>288186100</v>
      </c>
      <c r="R25" s="182">
        <v>360845300</v>
      </c>
      <c r="S25" s="182">
        <v>344227000</v>
      </c>
      <c r="T25" s="184">
        <v>464077400</v>
      </c>
      <c r="U25" s="93">
        <v>1457335800</v>
      </c>
      <c r="V25" s="182">
        <v>716882700</v>
      </c>
      <c r="W25" s="182">
        <v>540879900</v>
      </c>
      <c r="X25" s="182">
        <v>1179245200</v>
      </c>
      <c r="Y25" s="184">
        <v>2229654000</v>
      </c>
      <c r="Z25" s="93">
        <v>4666661800</v>
      </c>
      <c r="AA25" s="182">
        <v>2109407500</v>
      </c>
      <c r="AB25" s="182">
        <v>3056400800</v>
      </c>
      <c r="AC25" s="182">
        <v>3604238100</v>
      </c>
      <c r="AD25" s="184">
        <v>3050655900</v>
      </c>
      <c r="AE25" s="93">
        <v>11820702300</v>
      </c>
      <c r="AF25" s="182">
        <v>1762769500</v>
      </c>
      <c r="AG25" s="182">
        <v>1503212200</v>
      </c>
      <c r="AH25" s="182">
        <v>1377402500</v>
      </c>
      <c r="AI25" s="184">
        <v>1163875700</v>
      </c>
      <c r="AJ25" s="93">
        <v>5807259900</v>
      </c>
      <c r="AK25" s="182">
        <v>1074379700</v>
      </c>
      <c r="AL25" s="182">
        <v>594888700</v>
      </c>
      <c r="AM25" s="182">
        <v>421640700</v>
      </c>
      <c r="AN25" s="184">
        <v>580208100</v>
      </c>
      <c r="AO25" s="93">
        <v>2671117200</v>
      </c>
      <c r="AP25" s="182">
        <v>317020600</v>
      </c>
      <c r="AQ25" s="182">
        <v>502818600</v>
      </c>
      <c r="AR25" s="182">
        <v>385762900</v>
      </c>
      <c r="AS25" s="184">
        <v>533064900</v>
      </c>
      <c r="AT25" s="93">
        <v>1738667000</v>
      </c>
      <c r="AU25" s="182">
        <v>351566100</v>
      </c>
      <c r="AV25" s="182">
        <v>521291600</v>
      </c>
      <c r="AW25" s="182">
        <v>360904200</v>
      </c>
      <c r="AX25" s="184">
        <v>318914600</v>
      </c>
      <c r="AY25" s="93">
        <v>1552676500</v>
      </c>
      <c r="AZ25" s="182">
        <v>401983200</v>
      </c>
      <c r="BA25" s="182">
        <v>558046900</v>
      </c>
      <c r="BB25" s="182">
        <v>443231500</v>
      </c>
      <c r="BC25" s="184">
        <v>239772900</v>
      </c>
      <c r="BD25" s="93">
        <v>1643034500</v>
      </c>
      <c r="BE25" s="182">
        <v>276134500</v>
      </c>
      <c r="BF25" s="182">
        <v>326299700</v>
      </c>
      <c r="BG25" s="182">
        <v>323709100</v>
      </c>
      <c r="BH25" s="184">
        <v>314708900</v>
      </c>
      <c r="BI25" s="93">
        <v>1240852200</v>
      </c>
      <c r="BJ25" s="182">
        <v>305097000</v>
      </c>
      <c r="BK25" s="182">
        <v>415268500</v>
      </c>
      <c r="BL25" s="182">
        <v>484616900</v>
      </c>
      <c r="BM25" s="184">
        <v>267023900</v>
      </c>
      <c r="BN25" s="93">
        <v>1472006300</v>
      </c>
      <c r="BO25" s="182">
        <v>210627400</v>
      </c>
      <c r="BP25" s="182">
        <v>192810400</v>
      </c>
      <c r="BQ25" s="182">
        <v>163755300</v>
      </c>
      <c r="BR25" s="184">
        <v>191600600</v>
      </c>
      <c r="BS25" s="93">
        <v>758793700</v>
      </c>
      <c r="BT25" s="182">
        <v>95177100</v>
      </c>
      <c r="BU25" s="182">
        <v>252317600</v>
      </c>
      <c r="BV25" s="182">
        <v>295538100</v>
      </c>
      <c r="BW25" s="184">
        <v>153107200</v>
      </c>
      <c r="BX25" s="93">
        <v>796140000</v>
      </c>
      <c r="BY25" s="182">
        <v>161971100</v>
      </c>
      <c r="BZ25" s="182">
        <v>273773300</v>
      </c>
      <c r="CA25" s="182">
        <v>86138100</v>
      </c>
      <c r="CB25" s="184">
        <v>135908800</v>
      </c>
      <c r="CC25" s="93">
        <v>657791300</v>
      </c>
      <c r="CD25" s="182">
        <v>102757200</v>
      </c>
      <c r="CE25" s="182">
        <v>110113100</v>
      </c>
      <c r="CF25" s="182">
        <v>51773100</v>
      </c>
      <c r="CG25" s="184">
        <v>63435000</v>
      </c>
      <c r="CH25" s="93">
        <v>328078400</v>
      </c>
      <c r="CI25" s="196">
        <v>65363400</v>
      </c>
      <c r="CJ25" s="200">
        <v>90426700</v>
      </c>
      <c r="CK25" s="86">
        <v>155790100</v>
      </c>
    </row>
    <row r="26" spans="1:89" s="14" customFormat="1">
      <c r="A26" s="180" t="s">
        <v>53</v>
      </c>
      <c r="B26" s="182">
        <v>5039000</v>
      </c>
      <c r="C26" s="182">
        <v>9999900</v>
      </c>
      <c r="D26" s="182">
        <v>4591000</v>
      </c>
      <c r="E26" s="184">
        <v>17135000</v>
      </c>
      <c r="F26" s="93">
        <v>36764900</v>
      </c>
      <c r="G26" s="182">
        <v>5143000</v>
      </c>
      <c r="H26" s="182">
        <v>3553000</v>
      </c>
      <c r="I26" s="182">
        <v>2500000</v>
      </c>
      <c r="J26" s="184">
        <v>10077000</v>
      </c>
      <c r="K26" s="93">
        <v>21273000</v>
      </c>
      <c r="L26" s="182">
        <v>1129000</v>
      </c>
      <c r="M26" s="182">
        <v>770000</v>
      </c>
      <c r="N26" s="182">
        <v>29625200</v>
      </c>
      <c r="O26" s="184">
        <v>39967000</v>
      </c>
      <c r="P26" s="93">
        <v>71491200</v>
      </c>
      <c r="Q26" s="182"/>
      <c r="R26" s="182">
        <v>4034000</v>
      </c>
      <c r="S26" s="182">
        <v>32000000</v>
      </c>
      <c r="T26" s="184">
        <v>65938000</v>
      </c>
      <c r="U26" s="93">
        <v>101972000</v>
      </c>
      <c r="V26" s="182">
        <v>6753000</v>
      </c>
      <c r="W26" s="182">
        <v>29800000</v>
      </c>
      <c r="X26" s="182">
        <v>24913000</v>
      </c>
      <c r="Y26" s="184">
        <v>163218000</v>
      </c>
      <c r="Z26" s="93">
        <v>224684000</v>
      </c>
      <c r="AA26" s="182">
        <v>21499900</v>
      </c>
      <c r="AB26" s="182">
        <v>24357000</v>
      </c>
      <c r="AC26" s="182">
        <v>3244000</v>
      </c>
      <c r="AD26" s="184">
        <v>10634000</v>
      </c>
      <c r="AE26" s="93">
        <v>59734900</v>
      </c>
      <c r="AF26" s="182">
        <v>10103000</v>
      </c>
      <c r="AG26" s="182">
        <v>6957000</v>
      </c>
      <c r="AH26" s="182">
        <v>9840000</v>
      </c>
      <c r="AI26" s="184">
        <v>27800000</v>
      </c>
      <c r="AJ26" s="93">
        <v>54700000</v>
      </c>
      <c r="AK26" s="182">
        <v>17000000</v>
      </c>
      <c r="AL26" s="182">
        <v>0</v>
      </c>
      <c r="AM26" s="182"/>
      <c r="AN26" s="184"/>
      <c r="AO26" s="93">
        <v>17000000</v>
      </c>
      <c r="AP26" s="182"/>
      <c r="AQ26" s="182"/>
      <c r="AR26" s="182"/>
      <c r="AS26" s="184"/>
      <c r="AT26" s="93"/>
      <c r="AU26" s="182"/>
      <c r="AV26" s="182">
        <v>0</v>
      </c>
      <c r="AW26" s="182"/>
      <c r="AX26" s="184">
        <v>400000</v>
      </c>
      <c r="AY26" s="93">
        <v>400000</v>
      </c>
      <c r="AZ26" s="182">
        <v>0</v>
      </c>
      <c r="BA26" s="182"/>
      <c r="BB26" s="182"/>
      <c r="BC26" s="184">
        <v>0</v>
      </c>
      <c r="BD26" s="93">
        <v>0</v>
      </c>
      <c r="BE26" s="182"/>
      <c r="BF26" s="182"/>
      <c r="BG26" s="182"/>
      <c r="BH26" s="184">
        <v>0</v>
      </c>
      <c r="BI26" s="93">
        <v>0</v>
      </c>
      <c r="BJ26" s="182">
        <v>0</v>
      </c>
      <c r="BK26" s="182">
        <v>13200000</v>
      </c>
      <c r="BL26" s="182">
        <v>2000000</v>
      </c>
      <c r="BM26" s="184">
        <v>2699000</v>
      </c>
      <c r="BN26" s="93">
        <v>17899000</v>
      </c>
      <c r="BO26" s="182">
        <v>35000000</v>
      </c>
      <c r="BP26" s="182">
        <v>0</v>
      </c>
      <c r="BQ26" s="182"/>
      <c r="BR26" s="184">
        <v>0</v>
      </c>
      <c r="BS26" s="93">
        <v>35000000</v>
      </c>
      <c r="BT26" s="182">
        <v>24300000</v>
      </c>
      <c r="BU26" s="182">
        <v>240000</v>
      </c>
      <c r="BV26" s="182">
        <v>3000000</v>
      </c>
      <c r="BW26" s="184">
        <v>28593000</v>
      </c>
      <c r="BX26" s="93">
        <v>56133000</v>
      </c>
      <c r="BY26" s="182">
        <v>80000</v>
      </c>
      <c r="BZ26" s="182">
        <v>4304000</v>
      </c>
      <c r="CA26" s="182">
        <v>4114000</v>
      </c>
      <c r="CB26" s="184">
        <v>1530000</v>
      </c>
      <c r="CC26" s="93">
        <v>10028000</v>
      </c>
      <c r="CD26" s="182">
        <v>19325100</v>
      </c>
      <c r="CE26" s="182">
        <v>10638000</v>
      </c>
      <c r="CF26" s="182">
        <v>6740000</v>
      </c>
      <c r="CG26" s="184">
        <v>2005000</v>
      </c>
      <c r="CH26" s="93">
        <v>38708100</v>
      </c>
      <c r="CI26" s="196">
        <v>10750000</v>
      </c>
      <c r="CJ26" s="200">
        <v>7200000</v>
      </c>
      <c r="CK26" s="86">
        <v>17950000</v>
      </c>
    </row>
    <row r="27" spans="1:89" s="14" customFormat="1">
      <c r="A27" s="180" t="s">
        <v>29</v>
      </c>
      <c r="B27" s="182">
        <v>56648000</v>
      </c>
      <c r="C27" s="182">
        <v>68627300</v>
      </c>
      <c r="D27" s="182">
        <v>99171000</v>
      </c>
      <c r="E27" s="184">
        <v>92991200</v>
      </c>
      <c r="F27" s="93">
        <v>317437500</v>
      </c>
      <c r="G27" s="182">
        <v>21197000</v>
      </c>
      <c r="H27" s="182">
        <v>139665100</v>
      </c>
      <c r="I27" s="182">
        <v>61110200</v>
      </c>
      <c r="J27" s="184">
        <v>46877200</v>
      </c>
      <c r="K27" s="93">
        <v>268849500</v>
      </c>
      <c r="L27" s="182">
        <v>59752900</v>
      </c>
      <c r="M27" s="182">
        <v>140173200</v>
      </c>
      <c r="N27" s="182">
        <v>44502100</v>
      </c>
      <c r="O27" s="184">
        <v>78628800</v>
      </c>
      <c r="P27" s="93">
        <v>323057000</v>
      </c>
      <c r="Q27" s="182">
        <v>94969200</v>
      </c>
      <c r="R27" s="182">
        <v>172144000</v>
      </c>
      <c r="S27" s="182">
        <v>236240900</v>
      </c>
      <c r="T27" s="184">
        <v>142850800</v>
      </c>
      <c r="U27" s="93">
        <v>646204900</v>
      </c>
      <c r="V27" s="182">
        <v>227180300</v>
      </c>
      <c r="W27" s="182">
        <v>570062900</v>
      </c>
      <c r="X27" s="182">
        <v>846860500</v>
      </c>
      <c r="Y27" s="184">
        <v>1191494600</v>
      </c>
      <c r="Z27" s="93">
        <v>2835598300</v>
      </c>
      <c r="AA27" s="182">
        <v>1184230400</v>
      </c>
      <c r="AB27" s="182">
        <v>818183400</v>
      </c>
      <c r="AC27" s="182">
        <v>639278500</v>
      </c>
      <c r="AD27" s="184">
        <v>550695400</v>
      </c>
      <c r="AE27" s="93">
        <v>3192387700</v>
      </c>
      <c r="AF27" s="182">
        <v>175847200</v>
      </c>
      <c r="AG27" s="182">
        <v>72037200</v>
      </c>
      <c r="AH27" s="182">
        <v>53247100</v>
      </c>
      <c r="AI27" s="184">
        <v>36568000</v>
      </c>
      <c r="AJ27" s="93">
        <v>337699500</v>
      </c>
      <c r="AK27" s="182">
        <v>12471100</v>
      </c>
      <c r="AL27" s="182">
        <v>38952900</v>
      </c>
      <c r="AM27" s="182">
        <v>55670000</v>
      </c>
      <c r="AN27" s="184">
        <v>31150000</v>
      </c>
      <c r="AO27" s="93">
        <v>138244000</v>
      </c>
      <c r="AP27" s="182">
        <v>11876000</v>
      </c>
      <c r="AQ27" s="182">
        <v>28291000</v>
      </c>
      <c r="AR27" s="182">
        <v>13619000</v>
      </c>
      <c r="AS27" s="184">
        <v>10015000</v>
      </c>
      <c r="AT27" s="93">
        <v>63801000</v>
      </c>
      <c r="AU27" s="182">
        <v>68200100</v>
      </c>
      <c r="AV27" s="182">
        <v>53500000</v>
      </c>
      <c r="AW27" s="182">
        <v>11830000</v>
      </c>
      <c r="AX27" s="184">
        <v>78999900</v>
      </c>
      <c r="AY27" s="93">
        <v>212530000</v>
      </c>
      <c r="AZ27" s="182">
        <v>39023900</v>
      </c>
      <c r="BA27" s="182">
        <v>67604000</v>
      </c>
      <c r="BB27" s="182">
        <v>104858200</v>
      </c>
      <c r="BC27" s="184">
        <v>42928000</v>
      </c>
      <c r="BD27" s="93">
        <v>254414100</v>
      </c>
      <c r="BE27" s="182">
        <v>28599900</v>
      </c>
      <c r="BF27" s="182">
        <v>29024000</v>
      </c>
      <c r="BG27" s="182">
        <v>72646000</v>
      </c>
      <c r="BH27" s="184">
        <v>71086000</v>
      </c>
      <c r="BI27" s="93">
        <v>201355900</v>
      </c>
      <c r="BJ27" s="182">
        <v>93514700</v>
      </c>
      <c r="BK27" s="182">
        <v>113384800</v>
      </c>
      <c r="BL27" s="182">
        <v>31575100</v>
      </c>
      <c r="BM27" s="184">
        <v>131684000</v>
      </c>
      <c r="BN27" s="93">
        <v>370158600</v>
      </c>
      <c r="BO27" s="182">
        <v>44885000</v>
      </c>
      <c r="BP27" s="182">
        <v>99367500</v>
      </c>
      <c r="BQ27" s="182">
        <v>67300100</v>
      </c>
      <c r="BR27" s="184">
        <v>10800000</v>
      </c>
      <c r="BS27" s="93">
        <v>222352600</v>
      </c>
      <c r="BT27" s="182">
        <v>24494000</v>
      </c>
      <c r="BU27" s="182">
        <v>66940000</v>
      </c>
      <c r="BV27" s="182">
        <v>39116000</v>
      </c>
      <c r="BW27" s="184">
        <v>23325000</v>
      </c>
      <c r="BX27" s="93">
        <v>153875000</v>
      </c>
      <c r="BY27" s="182">
        <v>43623100</v>
      </c>
      <c r="BZ27" s="182">
        <v>52670100</v>
      </c>
      <c r="CA27" s="182">
        <v>18312100</v>
      </c>
      <c r="CB27" s="184">
        <v>38733000</v>
      </c>
      <c r="CC27" s="93">
        <v>153338300</v>
      </c>
      <c r="CD27" s="182">
        <v>25127000</v>
      </c>
      <c r="CE27" s="182">
        <v>155604500</v>
      </c>
      <c r="CF27" s="182">
        <v>115607500</v>
      </c>
      <c r="CG27" s="184">
        <v>136769400</v>
      </c>
      <c r="CH27" s="93">
        <v>433108400</v>
      </c>
      <c r="CI27" s="196">
        <v>47588100</v>
      </c>
      <c r="CJ27" s="200">
        <v>102052300</v>
      </c>
      <c r="CK27" s="86">
        <v>149640400</v>
      </c>
    </row>
    <row r="28" spans="1:89" s="14" customFormat="1">
      <c r="A28" s="180" t="s">
        <v>30</v>
      </c>
      <c r="B28" s="182">
        <v>44636100</v>
      </c>
      <c r="C28" s="182">
        <v>65346200</v>
      </c>
      <c r="D28" s="182">
        <v>48644900</v>
      </c>
      <c r="E28" s="184">
        <v>50336200</v>
      </c>
      <c r="F28" s="93">
        <v>208963400</v>
      </c>
      <c r="G28" s="182">
        <v>84903800</v>
      </c>
      <c r="H28" s="182">
        <v>68505200</v>
      </c>
      <c r="I28" s="182">
        <v>90417700</v>
      </c>
      <c r="J28" s="184">
        <v>74253100</v>
      </c>
      <c r="K28" s="93">
        <v>318079800</v>
      </c>
      <c r="L28" s="182">
        <v>132872300</v>
      </c>
      <c r="M28" s="182">
        <v>126815700</v>
      </c>
      <c r="N28" s="182">
        <v>209004100</v>
      </c>
      <c r="O28" s="184">
        <v>116281900</v>
      </c>
      <c r="P28" s="93">
        <v>584974000</v>
      </c>
      <c r="Q28" s="182">
        <v>124725000</v>
      </c>
      <c r="R28" s="182">
        <v>188857200</v>
      </c>
      <c r="S28" s="182">
        <v>147939400</v>
      </c>
      <c r="T28" s="184">
        <v>184931900</v>
      </c>
      <c r="U28" s="93">
        <v>646453500</v>
      </c>
      <c r="V28" s="182">
        <v>194118200</v>
      </c>
      <c r="W28" s="182">
        <v>226241300</v>
      </c>
      <c r="X28" s="182">
        <v>389353700</v>
      </c>
      <c r="Y28" s="184">
        <v>574092000</v>
      </c>
      <c r="Z28" s="93">
        <v>1383805200</v>
      </c>
      <c r="AA28" s="182">
        <v>533551300</v>
      </c>
      <c r="AB28" s="182">
        <v>949306700</v>
      </c>
      <c r="AC28" s="182">
        <v>1122260200</v>
      </c>
      <c r="AD28" s="184">
        <v>1117767600</v>
      </c>
      <c r="AE28" s="93">
        <v>3722885800</v>
      </c>
      <c r="AF28" s="182">
        <v>659058500</v>
      </c>
      <c r="AG28" s="182">
        <v>628761900</v>
      </c>
      <c r="AH28" s="182">
        <v>572554400</v>
      </c>
      <c r="AI28" s="184">
        <v>563919200</v>
      </c>
      <c r="AJ28" s="93">
        <v>2424294000</v>
      </c>
      <c r="AK28" s="182">
        <v>518241200</v>
      </c>
      <c r="AL28" s="182">
        <v>468125100</v>
      </c>
      <c r="AM28" s="182">
        <v>431805800</v>
      </c>
      <c r="AN28" s="184">
        <v>279622900</v>
      </c>
      <c r="AO28" s="93">
        <v>1697795000</v>
      </c>
      <c r="AP28" s="182">
        <v>490565600</v>
      </c>
      <c r="AQ28" s="182">
        <v>463043100</v>
      </c>
      <c r="AR28" s="182">
        <v>350312100</v>
      </c>
      <c r="AS28" s="184">
        <v>494371700</v>
      </c>
      <c r="AT28" s="93">
        <v>1798292500</v>
      </c>
      <c r="AU28" s="182">
        <v>571660900</v>
      </c>
      <c r="AV28" s="182">
        <v>634066100</v>
      </c>
      <c r="AW28" s="182">
        <v>379604800</v>
      </c>
      <c r="AX28" s="184">
        <v>587096700</v>
      </c>
      <c r="AY28" s="93">
        <v>2172428500</v>
      </c>
      <c r="AZ28" s="182">
        <v>401356700</v>
      </c>
      <c r="BA28" s="182">
        <v>503138400</v>
      </c>
      <c r="BB28" s="182">
        <v>493860600</v>
      </c>
      <c r="BC28" s="184">
        <v>494321000</v>
      </c>
      <c r="BD28" s="93">
        <v>1892676700</v>
      </c>
      <c r="BE28" s="182">
        <v>526616300</v>
      </c>
      <c r="BF28" s="182">
        <v>688948300</v>
      </c>
      <c r="BG28" s="182">
        <v>587971100</v>
      </c>
      <c r="BH28" s="184">
        <v>475775100</v>
      </c>
      <c r="BI28" s="93">
        <v>2279310800</v>
      </c>
      <c r="BJ28" s="182">
        <v>375086500</v>
      </c>
      <c r="BK28" s="182">
        <v>472339400</v>
      </c>
      <c r="BL28" s="182">
        <v>646613400</v>
      </c>
      <c r="BM28" s="184">
        <v>534525100</v>
      </c>
      <c r="BN28" s="93">
        <v>2028564400</v>
      </c>
      <c r="BO28" s="182">
        <v>563719600</v>
      </c>
      <c r="BP28" s="182">
        <v>296911000</v>
      </c>
      <c r="BQ28" s="182">
        <v>406480500</v>
      </c>
      <c r="BR28" s="184">
        <v>379982600</v>
      </c>
      <c r="BS28" s="93">
        <v>1647093700</v>
      </c>
      <c r="BT28" s="182">
        <v>109460800</v>
      </c>
      <c r="BU28" s="182">
        <v>146629100</v>
      </c>
      <c r="BV28" s="182">
        <v>238213500</v>
      </c>
      <c r="BW28" s="184">
        <v>246679700</v>
      </c>
      <c r="BX28" s="93">
        <v>740983100</v>
      </c>
      <c r="BY28" s="182">
        <v>338472800</v>
      </c>
      <c r="BZ28" s="182">
        <v>319097900</v>
      </c>
      <c r="CA28" s="182">
        <v>298688200</v>
      </c>
      <c r="CB28" s="184">
        <v>148960100</v>
      </c>
      <c r="CC28" s="93">
        <v>1105219000</v>
      </c>
      <c r="CD28" s="182">
        <v>392428300</v>
      </c>
      <c r="CE28" s="182">
        <v>355693800</v>
      </c>
      <c r="CF28" s="182">
        <v>253447800</v>
      </c>
      <c r="CG28" s="184">
        <v>366169900</v>
      </c>
      <c r="CH28" s="93">
        <v>1367739800</v>
      </c>
      <c r="CI28" s="196">
        <v>209282900</v>
      </c>
      <c r="CJ28" s="200">
        <v>341419800</v>
      </c>
      <c r="CK28" s="86">
        <v>550702700</v>
      </c>
    </row>
    <row r="29" spans="1:89" s="14" customFormat="1">
      <c r="A29" s="180" t="s">
        <v>31</v>
      </c>
      <c r="B29" s="182">
        <v>214933900</v>
      </c>
      <c r="C29" s="182">
        <v>362068600</v>
      </c>
      <c r="D29" s="182">
        <v>243630900</v>
      </c>
      <c r="E29" s="184">
        <v>367425300</v>
      </c>
      <c r="F29" s="93">
        <v>1188058700</v>
      </c>
      <c r="G29" s="182">
        <v>450735100</v>
      </c>
      <c r="H29" s="182">
        <v>647670500</v>
      </c>
      <c r="I29" s="182">
        <v>530488000</v>
      </c>
      <c r="J29" s="184">
        <v>705746100</v>
      </c>
      <c r="K29" s="93">
        <v>2334639700</v>
      </c>
      <c r="L29" s="182">
        <v>773682800</v>
      </c>
      <c r="M29" s="182">
        <v>854591300</v>
      </c>
      <c r="N29" s="182">
        <v>949988700</v>
      </c>
      <c r="O29" s="184">
        <v>866045700</v>
      </c>
      <c r="P29" s="93">
        <v>3444308500</v>
      </c>
      <c r="Q29" s="182">
        <v>1031613400</v>
      </c>
      <c r="R29" s="182">
        <v>1214320200</v>
      </c>
      <c r="S29" s="182">
        <v>1031423600</v>
      </c>
      <c r="T29" s="184">
        <v>1342119800</v>
      </c>
      <c r="U29" s="93">
        <v>4619477000</v>
      </c>
      <c r="V29" s="182">
        <v>1315263000</v>
      </c>
      <c r="W29" s="182">
        <v>2569734200</v>
      </c>
      <c r="X29" s="182">
        <v>2658317000</v>
      </c>
      <c r="Y29" s="184">
        <v>4133233400</v>
      </c>
      <c r="Z29" s="93">
        <v>10676547600</v>
      </c>
      <c r="AA29" s="182">
        <v>6493327700</v>
      </c>
      <c r="AB29" s="182">
        <v>7035193800</v>
      </c>
      <c r="AC29" s="182">
        <v>6078286300</v>
      </c>
      <c r="AD29" s="184">
        <v>5421480100</v>
      </c>
      <c r="AE29" s="93">
        <v>25028287900</v>
      </c>
      <c r="AF29" s="182">
        <v>3659898400</v>
      </c>
      <c r="AG29" s="182">
        <v>3070527300</v>
      </c>
      <c r="AH29" s="182">
        <v>1876347500</v>
      </c>
      <c r="AI29" s="184">
        <v>2251721300</v>
      </c>
      <c r="AJ29" s="93">
        <v>10858494500</v>
      </c>
      <c r="AK29" s="182">
        <v>1531103500</v>
      </c>
      <c r="AL29" s="182">
        <v>1487142800</v>
      </c>
      <c r="AM29" s="182">
        <v>1320632100</v>
      </c>
      <c r="AN29" s="184">
        <v>1162265700</v>
      </c>
      <c r="AO29" s="93">
        <v>5501144100</v>
      </c>
      <c r="AP29" s="182">
        <v>1149116100</v>
      </c>
      <c r="AQ29" s="182">
        <v>1207145100</v>
      </c>
      <c r="AR29" s="182">
        <v>1132252000</v>
      </c>
      <c r="AS29" s="184">
        <v>1282236100</v>
      </c>
      <c r="AT29" s="93">
        <v>4770749300</v>
      </c>
      <c r="AU29" s="182">
        <v>1464874400</v>
      </c>
      <c r="AV29" s="182">
        <v>1478627500</v>
      </c>
      <c r="AW29" s="182">
        <v>1107179500</v>
      </c>
      <c r="AX29" s="184">
        <v>1390075900</v>
      </c>
      <c r="AY29" s="93">
        <v>5440757300</v>
      </c>
      <c r="AZ29" s="182">
        <v>1248661500</v>
      </c>
      <c r="BA29" s="182">
        <v>1252683600</v>
      </c>
      <c r="BB29" s="182">
        <v>1172255500</v>
      </c>
      <c r="BC29" s="184">
        <v>1300985900</v>
      </c>
      <c r="BD29" s="93">
        <v>4974586500</v>
      </c>
      <c r="BE29" s="182">
        <v>1354605300</v>
      </c>
      <c r="BF29" s="182">
        <v>1506676800</v>
      </c>
      <c r="BG29" s="182">
        <v>1180600800</v>
      </c>
      <c r="BH29" s="184">
        <v>1301285500</v>
      </c>
      <c r="BI29" s="93">
        <v>5343168400</v>
      </c>
      <c r="BJ29" s="182">
        <v>1406112500</v>
      </c>
      <c r="BK29" s="182">
        <v>1639963900</v>
      </c>
      <c r="BL29" s="182">
        <v>1289502400</v>
      </c>
      <c r="BM29" s="184">
        <v>1628918700</v>
      </c>
      <c r="BN29" s="93">
        <v>5964497500</v>
      </c>
      <c r="BO29" s="182">
        <v>1503945500</v>
      </c>
      <c r="BP29" s="182">
        <v>1679886900</v>
      </c>
      <c r="BQ29" s="182">
        <v>1447906900</v>
      </c>
      <c r="BR29" s="184">
        <v>1270422300</v>
      </c>
      <c r="BS29" s="93">
        <v>5902161600</v>
      </c>
      <c r="BT29" s="182">
        <v>789351400</v>
      </c>
      <c r="BU29" s="182">
        <v>948314300</v>
      </c>
      <c r="BV29" s="182">
        <v>917473400</v>
      </c>
      <c r="BW29" s="184">
        <v>1271051100</v>
      </c>
      <c r="BX29" s="93">
        <v>3926190200</v>
      </c>
      <c r="BY29" s="182">
        <v>992551200</v>
      </c>
      <c r="BZ29" s="182">
        <v>1365184800</v>
      </c>
      <c r="CA29" s="182">
        <v>1183199800</v>
      </c>
      <c r="CB29" s="184">
        <v>1412125900</v>
      </c>
      <c r="CC29" s="93">
        <v>4953061700</v>
      </c>
      <c r="CD29" s="182">
        <v>1235319800</v>
      </c>
      <c r="CE29" s="182">
        <v>1686432800</v>
      </c>
      <c r="CF29" s="182">
        <v>2100905000</v>
      </c>
      <c r="CG29" s="184">
        <v>2015081300</v>
      </c>
      <c r="CH29" s="93">
        <v>7037738900</v>
      </c>
      <c r="CI29" s="196">
        <v>1675646700</v>
      </c>
      <c r="CJ29" s="200">
        <v>2306073000</v>
      </c>
      <c r="CK29" s="86">
        <v>3981719700</v>
      </c>
    </row>
    <row r="30" spans="1:89" s="14" customFormat="1" ht="13.5" thickBot="1">
      <c r="A30" s="180" t="s">
        <v>32</v>
      </c>
      <c r="B30" s="188">
        <v>152990900</v>
      </c>
      <c r="C30" s="188">
        <v>199360000</v>
      </c>
      <c r="D30" s="188">
        <v>273773400</v>
      </c>
      <c r="E30" s="189">
        <v>299081100</v>
      </c>
      <c r="F30" s="190">
        <v>925205400</v>
      </c>
      <c r="G30" s="188">
        <v>224420200</v>
      </c>
      <c r="H30" s="188">
        <v>295285600</v>
      </c>
      <c r="I30" s="188">
        <v>478083200</v>
      </c>
      <c r="J30" s="189">
        <v>323631700</v>
      </c>
      <c r="K30" s="190">
        <v>1321420700</v>
      </c>
      <c r="L30" s="188">
        <v>263895700</v>
      </c>
      <c r="M30" s="188">
        <v>307007400</v>
      </c>
      <c r="N30" s="188">
        <v>298949300</v>
      </c>
      <c r="O30" s="189">
        <v>674486600</v>
      </c>
      <c r="P30" s="190">
        <v>1544339000</v>
      </c>
      <c r="Q30" s="188">
        <v>423836000</v>
      </c>
      <c r="R30" s="188">
        <v>815077000</v>
      </c>
      <c r="S30" s="188">
        <v>862480400</v>
      </c>
      <c r="T30" s="189">
        <v>704559000</v>
      </c>
      <c r="U30" s="190">
        <v>2805952400</v>
      </c>
      <c r="V30" s="188">
        <v>883995300</v>
      </c>
      <c r="W30" s="188">
        <v>1657278800</v>
      </c>
      <c r="X30" s="188">
        <v>1680700300</v>
      </c>
      <c r="Y30" s="189">
        <v>3779087800</v>
      </c>
      <c r="Z30" s="190">
        <v>8001062200</v>
      </c>
      <c r="AA30" s="188">
        <v>4099646700</v>
      </c>
      <c r="AB30" s="188">
        <v>4830272200</v>
      </c>
      <c r="AC30" s="188">
        <v>4242207800</v>
      </c>
      <c r="AD30" s="189">
        <v>3368703800</v>
      </c>
      <c r="AE30" s="190">
        <v>16540830500</v>
      </c>
      <c r="AF30" s="188">
        <v>1857808900</v>
      </c>
      <c r="AG30" s="188">
        <v>1386613100</v>
      </c>
      <c r="AH30" s="188">
        <v>1018430500</v>
      </c>
      <c r="AI30" s="189">
        <v>958327300</v>
      </c>
      <c r="AJ30" s="190">
        <v>5221179800</v>
      </c>
      <c r="AK30" s="188">
        <v>799716700</v>
      </c>
      <c r="AL30" s="188">
        <v>529174900</v>
      </c>
      <c r="AM30" s="188">
        <v>443919400</v>
      </c>
      <c r="AN30" s="189">
        <v>369945000</v>
      </c>
      <c r="AO30" s="190">
        <v>2142756000</v>
      </c>
      <c r="AP30" s="188">
        <v>449924100</v>
      </c>
      <c r="AQ30" s="188">
        <v>599197200</v>
      </c>
      <c r="AR30" s="188">
        <v>303356700</v>
      </c>
      <c r="AS30" s="189">
        <v>329297900</v>
      </c>
      <c r="AT30" s="190">
        <v>1681775900</v>
      </c>
      <c r="AU30" s="188">
        <v>497559500</v>
      </c>
      <c r="AV30" s="188">
        <v>405554100</v>
      </c>
      <c r="AW30" s="188">
        <v>492963000</v>
      </c>
      <c r="AX30" s="189">
        <v>419902900</v>
      </c>
      <c r="AY30" s="190">
        <v>1815979500</v>
      </c>
      <c r="AZ30" s="188">
        <v>297303100</v>
      </c>
      <c r="BA30" s="188">
        <v>681905200</v>
      </c>
      <c r="BB30" s="188">
        <v>643294500</v>
      </c>
      <c r="BC30" s="189">
        <v>539139500</v>
      </c>
      <c r="BD30" s="190">
        <v>2161642300</v>
      </c>
      <c r="BE30" s="188">
        <v>588328000</v>
      </c>
      <c r="BF30" s="188">
        <v>643495600</v>
      </c>
      <c r="BG30" s="188">
        <v>785234400</v>
      </c>
      <c r="BH30" s="189">
        <v>388719700</v>
      </c>
      <c r="BI30" s="190">
        <v>2405777700</v>
      </c>
      <c r="BJ30" s="188">
        <v>616909000</v>
      </c>
      <c r="BK30" s="188">
        <v>541400000</v>
      </c>
      <c r="BL30" s="188">
        <v>588558300</v>
      </c>
      <c r="BM30" s="189">
        <v>474081300</v>
      </c>
      <c r="BN30" s="190">
        <v>2220948600</v>
      </c>
      <c r="BO30" s="188">
        <v>399685500</v>
      </c>
      <c r="BP30" s="188">
        <v>442417000</v>
      </c>
      <c r="BQ30" s="188">
        <v>289409400</v>
      </c>
      <c r="BR30" s="189">
        <v>408219800</v>
      </c>
      <c r="BS30" s="190">
        <v>1539731700</v>
      </c>
      <c r="BT30" s="188">
        <v>141190500</v>
      </c>
      <c r="BU30" s="188">
        <v>271415200</v>
      </c>
      <c r="BV30" s="188">
        <v>84639300</v>
      </c>
      <c r="BW30" s="189">
        <v>165427600</v>
      </c>
      <c r="BX30" s="190">
        <v>662672600</v>
      </c>
      <c r="BY30" s="188">
        <v>133182400</v>
      </c>
      <c r="BZ30" s="188">
        <v>194434000</v>
      </c>
      <c r="CA30" s="188">
        <v>431962500</v>
      </c>
      <c r="CB30" s="189">
        <v>131175200</v>
      </c>
      <c r="CC30" s="190">
        <v>890754100</v>
      </c>
      <c r="CD30" s="188">
        <v>237947300</v>
      </c>
      <c r="CE30" s="188">
        <v>196300000</v>
      </c>
      <c r="CF30" s="188">
        <v>141865900</v>
      </c>
      <c r="CG30" s="189">
        <v>141210000</v>
      </c>
      <c r="CH30" s="190">
        <v>717323200</v>
      </c>
      <c r="CI30" s="197">
        <v>172192200</v>
      </c>
      <c r="CJ30" s="201">
        <v>247645300</v>
      </c>
      <c r="CK30" s="130">
        <v>419837500</v>
      </c>
    </row>
    <row r="31" spans="1:89" s="14" customFormat="1" ht="14.25" thickTop="1" thickBot="1">
      <c r="A31" s="165" t="s">
        <v>4</v>
      </c>
      <c r="B31" s="185">
        <v>1694965500</v>
      </c>
      <c r="C31" s="185">
        <v>2547130400</v>
      </c>
      <c r="D31" s="185">
        <v>1698397600</v>
      </c>
      <c r="E31" s="186">
        <v>2060607900</v>
      </c>
      <c r="F31" s="187">
        <v>8001101400</v>
      </c>
      <c r="G31" s="185">
        <v>2425297000</v>
      </c>
      <c r="H31" s="185">
        <v>3116130000</v>
      </c>
      <c r="I31" s="185">
        <v>2597618300</v>
      </c>
      <c r="J31" s="186">
        <v>3212194800</v>
      </c>
      <c r="K31" s="187">
        <v>11351240100</v>
      </c>
      <c r="L31" s="185">
        <v>3060385300</v>
      </c>
      <c r="M31" s="185">
        <v>3672377200</v>
      </c>
      <c r="N31" s="185">
        <v>3723336700</v>
      </c>
      <c r="O31" s="186">
        <v>4460510000</v>
      </c>
      <c r="P31" s="187">
        <v>14916609200</v>
      </c>
      <c r="Q31" s="185">
        <v>4107451800</v>
      </c>
      <c r="R31" s="185">
        <v>5585528500</v>
      </c>
      <c r="S31" s="185">
        <v>5366262700</v>
      </c>
      <c r="T31" s="186">
        <v>6162725800</v>
      </c>
      <c r="U31" s="187">
        <v>21221968800</v>
      </c>
      <c r="V31" s="185">
        <v>6634578200</v>
      </c>
      <c r="W31" s="185">
        <v>11079996300</v>
      </c>
      <c r="X31" s="185">
        <v>13588246100</v>
      </c>
      <c r="Y31" s="186">
        <v>23374735200</v>
      </c>
      <c r="Z31" s="187">
        <v>54677555800</v>
      </c>
      <c r="AA31" s="185">
        <v>28451890600</v>
      </c>
      <c r="AB31" s="185">
        <v>28018271200</v>
      </c>
      <c r="AC31" s="185">
        <v>26620563100</v>
      </c>
      <c r="AD31" s="186">
        <v>22117901300</v>
      </c>
      <c r="AE31" s="187">
        <v>105208626200</v>
      </c>
      <c r="AF31" s="185">
        <v>13090361600</v>
      </c>
      <c r="AG31" s="185">
        <v>11519497200</v>
      </c>
      <c r="AH31" s="185">
        <v>8282787700</v>
      </c>
      <c r="AI31" s="186">
        <v>8134282200</v>
      </c>
      <c r="AJ31" s="187">
        <v>41026928700</v>
      </c>
      <c r="AK31" s="185">
        <v>6992071900</v>
      </c>
      <c r="AL31" s="185">
        <v>6121167200</v>
      </c>
      <c r="AM31" s="185">
        <v>4539744000</v>
      </c>
      <c r="AN31" s="186">
        <v>4561934100</v>
      </c>
      <c r="AO31" s="187">
        <v>22214917200</v>
      </c>
      <c r="AP31" s="185">
        <v>4388797800</v>
      </c>
      <c r="AQ31" s="185">
        <v>4986775200</v>
      </c>
      <c r="AR31" s="185">
        <v>4625901800</v>
      </c>
      <c r="AS31" s="186">
        <v>5648620100</v>
      </c>
      <c r="AT31" s="187">
        <v>19650094900</v>
      </c>
      <c r="AU31" s="185">
        <v>5393442900</v>
      </c>
      <c r="AV31" s="185">
        <v>6346478300</v>
      </c>
      <c r="AW31" s="185">
        <v>5043657200</v>
      </c>
      <c r="AX31" s="186">
        <v>6451200700</v>
      </c>
      <c r="AY31" s="187">
        <v>23234779100</v>
      </c>
      <c r="AZ31" s="185">
        <v>5230669900</v>
      </c>
      <c r="BA31" s="185">
        <v>6405585600</v>
      </c>
      <c r="BB31" s="185">
        <v>6090314200</v>
      </c>
      <c r="BC31" s="186">
        <v>5863149300</v>
      </c>
      <c r="BD31" s="187">
        <v>23589719000</v>
      </c>
      <c r="BE31" s="185">
        <v>6633648600</v>
      </c>
      <c r="BF31" s="185">
        <v>7299809200</v>
      </c>
      <c r="BG31" s="185">
        <v>6854617700</v>
      </c>
      <c r="BH31" s="186">
        <v>6765723000</v>
      </c>
      <c r="BI31" s="187">
        <v>27553798500</v>
      </c>
      <c r="BJ31" s="185">
        <v>7542866700</v>
      </c>
      <c r="BK31" s="185">
        <v>7751026700</v>
      </c>
      <c r="BL31" s="185">
        <v>8222747300</v>
      </c>
      <c r="BM31" s="186">
        <v>8440870000</v>
      </c>
      <c r="BN31" s="187">
        <v>31957510700</v>
      </c>
      <c r="BO31" s="185">
        <v>8133170500</v>
      </c>
      <c r="BP31" s="185">
        <v>8057896700</v>
      </c>
      <c r="BQ31" s="185">
        <v>7658925200</v>
      </c>
      <c r="BR31" s="186">
        <v>6201113000</v>
      </c>
      <c r="BS31" s="187">
        <v>30051105400</v>
      </c>
      <c r="BT31" s="185">
        <v>3862052900</v>
      </c>
      <c r="BU31" s="185">
        <v>5053775500</v>
      </c>
      <c r="BV31" s="185">
        <v>5361794000</v>
      </c>
      <c r="BW31" s="186">
        <v>5877908800</v>
      </c>
      <c r="BX31" s="187">
        <v>20155531200</v>
      </c>
      <c r="BY31" s="185">
        <v>5195519900</v>
      </c>
      <c r="BZ31" s="185">
        <v>7131867500</v>
      </c>
      <c r="CA31" s="185">
        <v>5436289400</v>
      </c>
      <c r="CB31" s="186">
        <v>5620433600</v>
      </c>
      <c r="CC31" s="187">
        <v>23384110400</v>
      </c>
      <c r="CD31" s="185">
        <v>6737897100</v>
      </c>
      <c r="CE31" s="185">
        <v>8006233900</v>
      </c>
      <c r="CF31" s="185">
        <v>7692064300</v>
      </c>
      <c r="CG31" s="186">
        <v>7094213400</v>
      </c>
      <c r="CH31" s="187">
        <v>29530408700</v>
      </c>
      <c r="CI31" s="198">
        <v>6043837500</v>
      </c>
      <c r="CJ31" s="202">
        <v>7044491600</v>
      </c>
      <c r="CK31" s="131">
        <v>13088329100</v>
      </c>
    </row>
    <row r="32" spans="1:89" s="20" customForma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X32" s="37"/>
      <c r="AY32" s="38"/>
      <c r="BC32" s="37"/>
      <c r="BD32" s="38"/>
    </row>
    <row r="33" spans="1:168" ht="15.75">
      <c r="A33" s="3" t="s">
        <v>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BV33" s="6"/>
    </row>
    <row r="34" spans="1:168" s="13" customFormat="1" ht="13.5" thickBot="1">
      <c r="A34" s="148" t="s">
        <v>16</v>
      </c>
      <c r="B34" s="145">
        <v>1995</v>
      </c>
      <c r="C34" s="142"/>
      <c r="D34" s="142"/>
      <c r="E34" s="142"/>
      <c r="F34" s="147"/>
      <c r="G34" s="145">
        <v>1996</v>
      </c>
      <c r="H34" s="142"/>
      <c r="I34" s="142"/>
      <c r="J34" s="142"/>
      <c r="K34" s="147" t="s">
        <v>9</v>
      </c>
      <c r="L34" s="145">
        <v>1997</v>
      </c>
      <c r="M34" s="142"/>
      <c r="N34" s="142"/>
      <c r="O34" s="142"/>
      <c r="P34" s="147" t="s">
        <v>10</v>
      </c>
      <c r="Q34" s="145">
        <v>1998</v>
      </c>
      <c r="R34" s="142"/>
      <c r="S34" s="142"/>
      <c r="T34" s="142"/>
      <c r="U34" s="147" t="s">
        <v>11</v>
      </c>
      <c r="V34" s="150">
        <v>1999</v>
      </c>
      <c r="W34" s="151"/>
      <c r="X34" s="151"/>
      <c r="Y34" s="151"/>
      <c r="Z34" s="147"/>
      <c r="AA34" s="145">
        <v>2000</v>
      </c>
      <c r="AB34" s="142"/>
      <c r="AC34" s="142"/>
      <c r="AD34" s="142"/>
      <c r="AE34" s="147" t="s">
        <v>13</v>
      </c>
      <c r="AF34" s="145">
        <v>2001</v>
      </c>
      <c r="AG34" s="142"/>
      <c r="AH34" s="142"/>
      <c r="AI34" s="142"/>
      <c r="AJ34" s="147" t="s">
        <v>14</v>
      </c>
      <c r="AK34" s="145">
        <v>2002</v>
      </c>
      <c r="AL34" s="159"/>
      <c r="AM34" s="158"/>
      <c r="AN34" s="158"/>
      <c r="AO34" s="152"/>
      <c r="AP34" s="145">
        <v>2003</v>
      </c>
      <c r="AQ34" s="142"/>
      <c r="AR34" s="142"/>
      <c r="AS34" s="158"/>
      <c r="AT34" s="153"/>
      <c r="AU34" s="145">
        <v>2004</v>
      </c>
      <c r="AV34" s="142"/>
      <c r="AW34" s="142"/>
      <c r="AX34" s="158"/>
      <c r="AY34" s="152"/>
      <c r="AZ34" s="145">
        <v>2005</v>
      </c>
      <c r="BA34" s="142"/>
      <c r="BB34" s="142"/>
      <c r="BC34" s="158"/>
      <c r="BD34" s="152"/>
      <c r="BE34" s="150">
        <v>2006</v>
      </c>
      <c r="BF34" s="151"/>
      <c r="BG34" s="151"/>
      <c r="BH34" s="151"/>
      <c r="BI34" s="147"/>
      <c r="BJ34" s="145">
        <v>2007</v>
      </c>
      <c r="BK34" s="142"/>
      <c r="BL34" s="142"/>
      <c r="BM34" s="142"/>
      <c r="BN34" s="147"/>
      <c r="BO34" s="150">
        <v>2008</v>
      </c>
      <c r="BP34" s="151"/>
      <c r="BQ34" s="151"/>
      <c r="BR34" s="151"/>
      <c r="BS34" s="147"/>
      <c r="BT34" s="150">
        <v>2009</v>
      </c>
      <c r="BU34" s="151"/>
      <c r="BV34" s="151"/>
      <c r="BW34" s="151"/>
      <c r="BX34" s="147"/>
      <c r="BY34" s="145">
        <v>2010</v>
      </c>
      <c r="BZ34" s="142"/>
      <c r="CA34" s="142"/>
      <c r="CB34" s="142"/>
      <c r="CC34" s="147"/>
      <c r="CD34" s="145">
        <v>2011</v>
      </c>
      <c r="CE34" s="142"/>
      <c r="CF34" s="156"/>
      <c r="CG34" s="156"/>
      <c r="CH34" s="157"/>
      <c r="CI34" s="145">
        <v>2012</v>
      </c>
      <c r="CJ34" s="142"/>
      <c r="CK34" s="147"/>
    </row>
    <row r="35" spans="1:168" s="7" customFormat="1">
      <c r="A35" s="163"/>
      <c r="B35" s="73" t="s">
        <v>0</v>
      </c>
      <c r="C35" s="73" t="s">
        <v>1</v>
      </c>
      <c r="D35" s="73" t="s">
        <v>2</v>
      </c>
      <c r="E35" s="139" t="s">
        <v>3</v>
      </c>
      <c r="F35" s="70" t="s">
        <v>8</v>
      </c>
      <c r="G35" s="73" t="s">
        <v>0</v>
      </c>
      <c r="H35" s="73" t="s">
        <v>1</v>
      </c>
      <c r="I35" s="73" t="s">
        <v>2</v>
      </c>
      <c r="J35" s="139" t="s">
        <v>3</v>
      </c>
      <c r="K35" s="70" t="s">
        <v>9</v>
      </c>
      <c r="L35" s="73" t="s">
        <v>0</v>
      </c>
      <c r="M35" s="73" t="s">
        <v>1</v>
      </c>
      <c r="N35" s="73" t="s">
        <v>2</v>
      </c>
      <c r="O35" s="139" t="s">
        <v>3</v>
      </c>
      <c r="P35" s="70" t="s">
        <v>10</v>
      </c>
      <c r="Q35" s="73" t="s">
        <v>0</v>
      </c>
      <c r="R35" s="73" t="s">
        <v>1</v>
      </c>
      <c r="S35" s="73" t="s">
        <v>2</v>
      </c>
      <c r="T35" s="139" t="s">
        <v>3</v>
      </c>
      <c r="U35" s="70" t="s">
        <v>11</v>
      </c>
      <c r="V35" s="73" t="s">
        <v>0</v>
      </c>
      <c r="W35" s="73" t="s">
        <v>1</v>
      </c>
      <c r="X35" s="73" t="s">
        <v>2</v>
      </c>
      <c r="Y35" s="139" t="s">
        <v>3</v>
      </c>
      <c r="Z35" s="70" t="s">
        <v>12</v>
      </c>
      <c r="AA35" s="73" t="s">
        <v>0</v>
      </c>
      <c r="AB35" s="73" t="s">
        <v>1</v>
      </c>
      <c r="AC35" s="73" t="s">
        <v>2</v>
      </c>
      <c r="AD35" s="139" t="s">
        <v>3</v>
      </c>
      <c r="AE35" s="70" t="s">
        <v>13</v>
      </c>
      <c r="AF35" s="73" t="s">
        <v>0</v>
      </c>
      <c r="AG35" s="73" t="s">
        <v>1</v>
      </c>
      <c r="AH35" s="73" t="s">
        <v>2</v>
      </c>
      <c r="AI35" s="139" t="s">
        <v>3</v>
      </c>
      <c r="AJ35" s="70" t="s">
        <v>14</v>
      </c>
      <c r="AK35" s="73" t="s">
        <v>0</v>
      </c>
      <c r="AL35" s="73" t="s">
        <v>1</v>
      </c>
      <c r="AM35" s="73" t="s">
        <v>2</v>
      </c>
      <c r="AN35" s="139" t="s">
        <v>3</v>
      </c>
      <c r="AO35" s="70" t="s">
        <v>37</v>
      </c>
      <c r="AP35" s="73" t="s">
        <v>0</v>
      </c>
      <c r="AQ35" s="73" t="s">
        <v>1</v>
      </c>
      <c r="AR35" s="73" t="s">
        <v>2</v>
      </c>
      <c r="AS35" s="139" t="s">
        <v>3</v>
      </c>
      <c r="AT35" s="70" t="s">
        <v>39</v>
      </c>
      <c r="AU35" s="73" t="s">
        <v>0</v>
      </c>
      <c r="AV35" s="73" t="s">
        <v>1</v>
      </c>
      <c r="AW35" s="73" t="s">
        <v>2</v>
      </c>
      <c r="AX35" s="139" t="s">
        <v>3</v>
      </c>
      <c r="AY35" s="70" t="s">
        <v>40</v>
      </c>
      <c r="AZ35" s="73" t="s">
        <v>0</v>
      </c>
      <c r="BA35" s="73" t="s">
        <v>1</v>
      </c>
      <c r="BB35" s="73" t="s">
        <v>2</v>
      </c>
      <c r="BC35" s="139" t="s">
        <v>3</v>
      </c>
      <c r="BD35" s="70" t="s">
        <v>41</v>
      </c>
      <c r="BE35" s="73" t="s">
        <v>0</v>
      </c>
      <c r="BF35" s="73" t="s">
        <v>1</v>
      </c>
      <c r="BG35" s="73" t="s">
        <v>2</v>
      </c>
      <c r="BH35" s="139" t="s">
        <v>3</v>
      </c>
      <c r="BI35" s="70" t="s">
        <v>47</v>
      </c>
      <c r="BJ35" s="73" t="s">
        <v>0</v>
      </c>
      <c r="BK35" s="73" t="s">
        <v>1</v>
      </c>
      <c r="BL35" s="73" t="s">
        <v>2</v>
      </c>
      <c r="BM35" s="139" t="s">
        <v>52</v>
      </c>
      <c r="BN35" s="70" t="s">
        <v>49</v>
      </c>
      <c r="BO35" s="73" t="s">
        <v>0</v>
      </c>
      <c r="BP35" s="73" t="s">
        <v>1</v>
      </c>
      <c r="BQ35" s="73" t="s">
        <v>2</v>
      </c>
      <c r="BR35" s="139" t="s">
        <v>3</v>
      </c>
      <c r="BS35" s="70" t="s">
        <v>51</v>
      </c>
      <c r="BT35" s="73" t="s">
        <v>0</v>
      </c>
      <c r="BU35" s="73" t="s">
        <v>1</v>
      </c>
      <c r="BV35" s="73" t="s">
        <v>2</v>
      </c>
      <c r="BW35" s="139" t="s">
        <v>3</v>
      </c>
      <c r="BX35" s="70" t="s">
        <v>60</v>
      </c>
      <c r="BY35" s="73" t="s">
        <v>0</v>
      </c>
      <c r="BZ35" s="73" t="s">
        <v>1</v>
      </c>
      <c r="CA35" s="73" t="s">
        <v>2</v>
      </c>
      <c r="CB35" s="139" t="s">
        <v>3</v>
      </c>
      <c r="CC35" s="70" t="s">
        <v>61</v>
      </c>
      <c r="CD35" s="73" t="s">
        <v>0</v>
      </c>
      <c r="CE35" s="73" t="s">
        <v>1</v>
      </c>
      <c r="CF35" s="73" t="s">
        <v>2</v>
      </c>
      <c r="CG35" s="139" t="s">
        <v>3</v>
      </c>
      <c r="CH35" s="70" t="s">
        <v>63</v>
      </c>
      <c r="CI35" s="69" t="s">
        <v>0</v>
      </c>
      <c r="CJ35" s="69" t="s">
        <v>1</v>
      </c>
      <c r="CK35" s="70" t="s">
        <v>64</v>
      </c>
    </row>
    <row r="36" spans="1:168" s="92" customFormat="1">
      <c r="A36" s="98" t="s">
        <v>17</v>
      </c>
      <c r="B36" s="191">
        <v>44</v>
      </c>
      <c r="C36" s="191">
        <v>39</v>
      </c>
      <c r="D36" s="191">
        <v>39</v>
      </c>
      <c r="E36" s="199">
        <v>54</v>
      </c>
      <c r="F36" s="97">
        <v>176</v>
      </c>
      <c r="G36" s="191">
        <v>65</v>
      </c>
      <c r="H36" s="191">
        <v>62</v>
      </c>
      <c r="I36" s="191">
        <v>42</v>
      </c>
      <c r="J36" s="199">
        <v>66</v>
      </c>
      <c r="K36" s="97">
        <v>235</v>
      </c>
      <c r="L36" s="191">
        <v>54</v>
      </c>
      <c r="M36" s="191">
        <v>60</v>
      </c>
      <c r="N36" s="191">
        <v>55</v>
      </c>
      <c r="O36" s="199">
        <v>75</v>
      </c>
      <c r="P36" s="97">
        <v>244</v>
      </c>
      <c r="Q36" s="191">
        <v>76</v>
      </c>
      <c r="R36" s="191">
        <v>50</v>
      </c>
      <c r="S36" s="191">
        <v>72</v>
      </c>
      <c r="T36" s="199">
        <v>77</v>
      </c>
      <c r="U36" s="97">
        <v>275</v>
      </c>
      <c r="V36" s="191">
        <v>59</v>
      </c>
      <c r="W36" s="191">
        <v>73</v>
      </c>
      <c r="X36" s="191">
        <v>50</v>
      </c>
      <c r="Y36" s="199">
        <v>78</v>
      </c>
      <c r="Z36" s="97">
        <v>260</v>
      </c>
      <c r="AA36" s="191">
        <v>94</v>
      </c>
      <c r="AB36" s="191">
        <v>83</v>
      </c>
      <c r="AC36" s="191">
        <v>88</v>
      </c>
      <c r="AD36" s="199">
        <v>91</v>
      </c>
      <c r="AE36" s="97">
        <v>356</v>
      </c>
      <c r="AF36" s="191">
        <v>76</v>
      </c>
      <c r="AG36" s="191">
        <v>87</v>
      </c>
      <c r="AH36" s="191">
        <v>78</v>
      </c>
      <c r="AI36" s="199">
        <v>96</v>
      </c>
      <c r="AJ36" s="97">
        <v>337</v>
      </c>
      <c r="AK36" s="191">
        <v>96</v>
      </c>
      <c r="AL36" s="191">
        <v>94</v>
      </c>
      <c r="AM36" s="191">
        <v>55</v>
      </c>
      <c r="AN36" s="199">
        <v>81</v>
      </c>
      <c r="AO36" s="97">
        <v>326</v>
      </c>
      <c r="AP36" s="191">
        <v>68</v>
      </c>
      <c r="AQ36" s="191">
        <v>84</v>
      </c>
      <c r="AR36" s="191">
        <v>91</v>
      </c>
      <c r="AS36" s="199">
        <v>116</v>
      </c>
      <c r="AT36" s="97">
        <v>359</v>
      </c>
      <c r="AU36" s="191">
        <v>91</v>
      </c>
      <c r="AV36" s="191">
        <v>107</v>
      </c>
      <c r="AW36" s="191">
        <v>91</v>
      </c>
      <c r="AX36" s="199">
        <v>114</v>
      </c>
      <c r="AY36" s="97">
        <v>403</v>
      </c>
      <c r="AZ36" s="191">
        <v>88</v>
      </c>
      <c r="BA36" s="191">
        <v>107</v>
      </c>
      <c r="BB36" s="191">
        <v>101</v>
      </c>
      <c r="BC36" s="199">
        <v>109</v>
      </c>
      <c r="BD36" s="97">
        <v>405</v>
      </c>
      <c r="BE36" s="191">
        <v>99</v>
      </c>
      <c r="BF36" s="191">
        <v>136</v>
      </c>
      <c r="BG36" s="191">
        <v>109</v>
      </c>
      <c r="BH36" s="199">
        <v>135</v>
      </c>
      <c r="BI36" s="97">
        <v>479</v>
      </c>
      <c r="BJ36" s="191">
        <v>109</v>
      </c>
      <c r="BK36" s="191">
        <v>147</v>
      </c>
      <c r="BL36" s="191">
        <v>120</v>
      </c>
      <c r="BM36" s="199">
        <v>145</v>
      </c>
      <c r="BN36" s="97">
        <v>521</v>
      </c>
      <c r="BO36" s="191">
        <v>132</v>
      </c>
      <c r="BP36" s="191">
        <v>128</v>
      </c>
      <c r="BQ36" s="191">
        <v>136</v>
      </c>
      <c r="BR36" s="199">
        <v>130</v>
      </c>
      <c r="BS36" s="97">
        <v>526</v>
      </c>
      <c r="BT36" s="191">
        <v>95</v>
      </c>
      <c r="BU36" s="191">
        <v>104</v>
      </c>
      <c r="BV36" s="191">
        <v>122</v>
      </c>
      <c r="BW36" s="199">
        <v>132</v>
      </c>
      <c r="BX36" s="97">
        <v>453</v>
      </c>
      <c r="BY36" s="191">
        <v>115</v>
      </c>
      <c r="BZ36" s="191">
        <v>152</v>
      </c>
      <c r="CA36" s="191">
        <v>114</v>
      </c>
      <c r="CB36" s="199">
        <v>114</v>
      </c>
      <c r="CC36" s="97">
        <v>495</v>
      </c>
      <c r="CD36" s="191">
        <v>107</v>
      </c>
      <c r="CE36" s="191">
        <v>129</v>
      </c>
      <c r="CF36" s="191">
        <v>105</v>
      </c>
      <c r="CG36" s="199">
        <v>121</v>
      </c>
      <c r="CH36" s="97">
        <v>462</v>
      </c>
      <c r="CI36" s="119">
        <v>109</v>
      </c>
      <c r="CJ36" s="119">
        <v>90</v>
      </c>
      <c r="CK36" s="112">
        <v>199</v>
      </c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</row>
    <row r="37" spans="1:168" s="92" customFormat="1">
      <c r="A37" s="85" t="s">
        <v>18</v>
      </c>
      <c r="B37" s="192">
        <v>15</v>
      </c>
      <c r="C37" s="192">
        <v>10</v>
      </c>
      <c r="D37" s="192">
        <v>14</v>
      </c>
      <c r="E37" s="200">
        <v>9</v>
      </c>
      <c r="F37" s="86">
        <v>48</v>
      </c>
      <c r="G37" s="192">
        <v>14</v>
      </c>
      <c r="H37" s="192">
        <v>17</v>
      </c>
      <c r="I37" s="192">
        <v>18</v>
      </c>
      <c r="J37" s="200">
        <v>21</v>
      </c>
      <c r="K37" s="86">
        <v>70</v>
      </c>
      <c r="L37" s="192">
        <v>22</v>
      </c>
      <c r="M37" s="192">
        <v>21</v>
      </c>
      <c r="N37" s="192">
        <v>20</v>
      </c>
      <c r="O37" s="200">
        <v>31</v>
      </c>
      <c r="P37" s="86">
        <v>94</v>
      </c>
      <c r="Q37" s="192">
        <v>26</v>
      </c>
      <c r="R37" s="192">
        <v>35</v>
      </c>
      <c r="S37" s="192">
        <v>32</v>
      </c>
      <c r="T37" s="200">
        <v>44</v>
      </c>
      <c r="U37" s="86">
        <v>137</v>
      </c>
      <c r="V37" s="192">
        <v>32</v>
      </c>
      <c r="W37" s="192">
        <v>60</v>
      </c>
      <c r="X37" s="192">
        <v>69</v>
      </c>
      <c r="Y37" s="200">
        <v>117</v>
      </c>
      <c r="Z37" s="86">
        <v>278</v>
      </c>
      <c r="AA37" s="192">
        <v>140</v>
      </c>
      <c r="AB37" s="192">
        <v>98</v>
      </c>
      <c r="AC37" s="192">
        <v>135</v>
      </c>
      <c r="AD37" s="200">
        <v>86</v>
      </c>
      <c r="AE37" s="86">
        <v>459</v>
      </c>
      <c r="AF37" s="192">
        <v>58</v>
      </c>
      <c r="AG37" s="192">
        <v>50</v>
      </c>
      <c r="AH37" s="192">
        <v>36</v>
      </c>
      <c r="AI37" s="200">
        <v>31</v>
      </c>
      <c r="AJ37" s="86">
        <v>175</v>
      </c>
      <c r="AK37" s="192">
        <v>23</v>
      </c>
      <c r="AL37" s="192">
        <v>30</v>
      </c>
      <c r="AM37" s="192">
        <v>22</v>
      </c>
      <c r="AN37" s="200">
        <v>25</v>
      </c>
      <c r="AO37" s="86">
        <v>100</v>
      </c>
      <c r="AP37" s="192">
        <v>28</v>
      </c>
      <c r="AQ37" s="192">
        <v>21</v>
      </c>
      <c r="AR37" s="192">
        <v>23</v>
      </c>
      <c r="AS37" s="200">
        <v>22</v>
      </c>
      <c r="AT37" s="86">
        <v>94</v>
      </c>
      <c r="AU37" s="192">
        <v>17</v>
      </c>
      <c r="AV37" s="192">
        <v>27</v>
      </c>
      <c r="AW37" s="192">
        <v>21</v>
      </c>
      <c r="AX37" s="200">
        <v>17</v>
      </c>
      <c r="AY37" s="86">
        <v>82</v>
      </c>
      <c r="AZ37" s="192">
        <v>15</v>
      </c>
      <c r="BA37" s="192">
        <v>22</v>
      </c>
      <c r="BB37" s="192">
        <v>25</v>
      </c>
      <c r="BC37" s="200">
        <v>19</v>
      </c>
      <c r="BD37" s="86">
        <v>81</v>
      </c>
      <c r="BE37" s="192">
        <v>20</v>
      </c>
      <c r="BF37" s="192">
        <v>31</v>
      </c>
      <c r="BG37" s="192">
        <v>27</v>
      </c>
      <c r="BH37" s="200">
        <v>23</v>
      </c>
      <c r="BI37" s="86">
        <v>101</v>
      </c>
      <c r="BJ37" s="192">
        <v>16</v>
      </c>
      <c r="BK37" s="192">
        <v>36</v>
      </c>
      <c r="BL37" s="192">
        <v>25</v>
      </c>
      <c r="BM37" s="200">
        <v>35</v>
      </c>
      <c r="BN37" s="86">
        <v>112</v>
      </c>
      <c r="BO37" s="192">
        <v>31</v>
      </c>
      <c r="BP37" s="192">
        <v>36</v>
      </c>
      <c r="BQ37" s="192">
        <v>28</v>
      </c>
      <c r="BR37" s="200">
        <v>27</v>
      </c>
      <c r="BS37" s="86">
        <v>122</v>
      </c>
      <c r="BT37" s="192">
        <v>22</v>
      </c>
      <c r="BU37" s="192">
        <v>18</v>
      </c>
      <c r="BV37" s="192">
        <v>20</v>
      </c>
      <c r="BW37" s="200">
        <v>15</v>
      </c>
      <c r="BX37" s="86">
        <v>75</v>
      </c>
      <c r="BY37" s="192">
        <v>17</v>
      </c>
      <c r="BZ37" s="192">
        <v>25</v>
      </c>
      <c r="CA37" s="192">
        <v>20</v>
      </c>
      <c r="CB37" s="200">
        <v>17</v>
      </c>
      <c r="CC37" s="86">
        <v>79</v>
      </c>
      <c r="CD37" s="192">
        <v>16</v>
      </c>
      <c r="CE37" s="192">
        <v>26</v>
      </c>
      <c r="CF37" s="192">
        <v>15</v>
      </c>
      <c r="CG37" s="200">
        <v>10</v>
      </c>
      <c r="CH37" s="86">
        <v>67</v>
      </c>
      <c r="CI37" s="119">
        <v>13</v>
      </c>
      <c r="CJ37" s="119">
        <v>6</v>
      </c>
      <c r="CK37" s="113">
        <v>19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</row>
    <row r="38" spans="1:168" s="92" customFormat="1">
      <c r="A38" s="85" t="s">
        <v>19</v>
      </c>
      <c r="B38" s="192">
        <v>24</v>
      </c>
      <c r="C38" s="192">
        <v>30</v>
      </c>
      <c r="D38" s="192">
        <v>22</v>
      </c>
      <c r="E38" s="200">
        <v>17</v>
      </c>
      <c r="F38" s="86">
        <v>93</v>
      </c>
      <c r="G38" s="192">
        <v>23</v>
      </c>
      <c r="H38" s="192">
        <v>25</v>
      </c>
      <c r="I38" s="192">
        <v>21</v>
      </c>
      <c r="J38" s="200">
        <v>30</v>
      </c>
      <c r="K38" s="86">
        <v>99</v>
      </c>
      <c r="L38" s="192">
        <v>29</v>
      </c>
      <c r="M38" s="192">
        <v>20</v>
      </c>
      <c r="N38" s="192">
        <v>29</v>
      </c>
      <c r="O38" s="200">
        <v>37</v>
      </c>
      <c r="P38" s="86">
        <v>115</v>
      </c>
      <c r="Q38" s="192">
        <v>31</v>
      </c>
      <c r="R38" s="192">
        <v>21</v>
      </c>
      <c r="S38" s="192">
        <v>19</v>
      </c>
      <c r="T38" s="200">
        <v>21</v>
      </c>
      <c r="U38" s="86">
        <v>92</v>
      </c>
      <c r="V38" s="192">
        <v>18</v>
      </c>
      <c r="W38" s="192">
        <v>22</v>
      </c>
      <c r="X38" s="192">
        <v>28</v>
      </c>
      <c r="Y38" s="200">
        <v>37</v>
      </c>
      <c r="Z38" s="86">
        <v>105</v>
      </c>
      <c r="AA38" s="192">
        <v>36</v>
      </c>
      <c r="AB38" s="192">
        <v>31</v>
      </c>
      <c r="AC38" s="192">
        <v>28</v>
      </c>
      <c r="AD38" s="200">
        <v>39</v>
      </c>
      <c r="AE38" s="86">
        <v>134</v>
      </c>
      <c r="AF38" s="192">
        <v>27</v>
      </c>
      <c r="AG38" s="192">
        <v>19</v>
      </c>
      <c r="AH38" s="192">
        <v>25</v>
      </c>
      <c r="AI38" s="200">
        <v>13</v>
      </c>
      <c r="AJ38" s="86">
        <v>84</v>
      </c>
      <c r="AK38" s="192">
        <v>15</v>
      </c>
      <c r="AL38" s="192">
        <v>20</v>
      </c>
      <c r="AM38" s="192">
        <v>15</v>
      </c>
      <c r="AN38" s="200">
        <v>10</v>
      </c>
      <c r="AO38" s="86">
        <v>60</v>
      </c>
      <c r="AP38" s="192">
        <v>23</v>
      </c>
      <c r="AQ38" s="192">
        <v>9</v>
      </c>
      <c r="AR38" s="192">
        <v>14</v>
      </c>
      <c r="AS38" s="200">
        <v>12</v>
      </c>
      <c r="AT38" s="86">
        <v>58</v>
      </c>
      <c r="AU38" s="192">
        <v>12</v>
      </c>
      <c r="AV38" s="192">
        <v>20</v>
      </c>
      <c r="AW38" s="192">
        <v>15</v>
      </c>
      <c r="AX38" s="200">
        <v>15</v>
      </c>
      <c r="AY38" s="86">
        <v>62</v>
      </c>
      <c r="AZ38" s="192">
        <v>15</v>
      </c>
      <c r="BA38" s="192">
        <v>22</v>
      </c>
      <c r="BB38" s="192">
        <v>17</v>
      </c>
      <c r="BC38" s="200">
        <v>13</v>
      </c>
      <c r="BD38" s="86">
        <v>67</v>
      </c>
      <c r="BE38" s="192">
        <v>17</v>
      </c>
      <c r="BF38" s="192">
        <v>13</v>
      </c>
      <c r="BG38" s="192">
        <v>20</v>
      </c>
      <c r="BH38" s="200">
        <v>11</v>
      </c>
      <c r="BI38" s="86">
        <v>61</v>
      </c>
      <c r="BJ38" s="192">
        <v>13</v>
      </c>
      <c r="BK38" s="192">
        <v>15</v>
      </c>
      <c r="BL38" s="192">
        <v>16</v>
      </c>
      <c r="BM38" s="200">
        <v>26</v>
      </c>
      <c r="BN38" s="86">
        <v>70</v>
      </c>
      <c r="BO38" s="192">
        <v>17</v>
      </c>
      <c r="BP38" s="192">
        <v>19</v>
      </c>
      <c r="BQ38" s="192">
        <v>18</v>
      </c>
      <c r="BR38" s="200">
        <v>10</v>
      </c>
      <c r="BS38" s="86">
        <v>64</v>
      </c>
      <c r="BT38" s="192">
        <v>14</v>
      </c>
      <c r="BU38" s="192">
        <v>12</v>
      </c>
      <c r="BV38" s="192">
        <v>12</v>
      </c>
      <c r="BW38" s="200">
        <v>16</v>
      </c>
      <c r="BX38" s="86">
        <v>54</v>
      </c>
      <c r="BY38" s="192">
        <v>12</v>
      </c>
      <c r="BZ38" s="192">
        <v>16</v>
      </c>
      <c r="CA38" s="192">
        <v>12</v>
      </c>
      <c r="CB38" s="200">
        <v>16</v>
      </c>
      <c r="CC38" s="86">
        <v>56</v>
      </c>
      <c r="CD38" s="192">
        <v>9</v>
      </c>
      <c r="CE38" s="192">
        <v>16</v>
      </c>
      <c r="CF38" s="192">
        <v>11</v>
      </c>
      <c r="CG38" s="200">
        <v>17</v>
      </c>
      <c r="CH38" s="86">
        <v>53</v>
      </c>
      <c r="CI38" s="119">
        <v>10</v>
      </c>
      <c r="CJ38" s="119">
        <v>10</v>
      </c>
      <c r="CK38" s="113">
        <v>20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</row>
    <row r="39" spans="1:168" s="92" customFormat="1">
      <c r="A39" s="85" t="s">
        <v>20</v>
      </c>
      <c r="B39" s="192">
        <v>36</v>
      </c>
      <c r="C39" s="192">
        <v>22</v>
      </c>
      <c r="D39" s="192">
        <v>31</v>
      </c>
      <c r="E39" s="200">
        <v>25</v>
      </c>
      <c r="F39" s="86">
        <v>114</v>
      </c>
      <c r="G39" s="192">
        <v>27</v>
      </c>
      <c r="H39" s="192">
        <v>35</v>
      </c>
      <c r="I39" s="192">
        <v>31</v>
      </c>
      <c r="J39" s="200">
        <v>40</v>
      </c>
      <c r="K39" s="86">
        <v>133</v>
      </c>
      <c r="L39" s="192">
        <v>48</v>
      </c>
      <c r="M39" s="192">
        <v>38</v>
      </c>
      <c r="N39" s="192">
        <v>32</v>
      </c>
      <c r="O39" s="200">
        <v>45</v>
      </c>
      <c r="P39" s="86">
        <v>163</v>
      </c>
      <c r="Q39" s="192">
        <v>41</v>
      </c>
      <c r="R39" s="192">
        <v>42</v>
      </c>
      <c r="S39" s="192">
        <v>44</v>
      </c>
      <c r="T39" s="200">
        <v>37</v>
      </c>
      <c r="U39" s="86">
        <v>164</v>
      </c>
      <c r="V39" s="192">
        <v>46</v>
      </c>
      <c r="W39" s="192">
        <v>68</v>
      </c>
      <c r="X39" s="192">
        <v>82</v>
      </c>
      <c r="Y39" s="200">
        <v>89</v>
      </c>
      <c r="Z39" s="86">
        <v>285</v>
      </c>
      <c r="AA39" s="192">
        <v>91</v>
      </c>
      <c r="AB39" s="192">
        <v>85</v>
      </c>
      <c r="AC39" s="192">
        <v>57</v>
      </c>
      <c r="AD39" s="200">
        <v>47</v>
      </c>
      <c r="AE39" s="86">
        <v>280</v>
      </c>
      <c r="AF39" s="192">
        <v>35</v>
      </c>
      <c r="AG39" s="192">
        <v>31</v>
      </c>
      <c r="AH39" s="192">
        <v>27</v>
      </c>
      <c r="AI39" s="200">
        <v>24</v>
      </c>
      <c r="AJ39" s="86">
        <v>117</v>
      </c>
      <c r="AK39" s="192">
        <v>17</v>
      </c>
      <c r="AL39" s="192">
        <v>20</v>
      </c>
      <c r="AM39" s="192">
        <v>14</v>
      </c>
      <c r="AN39" s="200">
        <v>21</v>
      </c>
      <c r="AO39" s="86">
        <v>72</v>
      </c>
      <c r="AP39" s="192">
        <v>5</v>
      </c>
      <c r="AQ39" s="192">
        <v>13</v>
      </c>
      <c r="AR39" s="192">
        <v>14</v>
      </c>
      <c r="AS39" s="200">
        <v>14</v>
      </c>
      <c r="AT39" s="86">
        <v>46</v>
      </c>
      <c r="AU39" s="192">
        <v>14</v>
      </c>
      <c r="AV39" s="192">
        <v>11</v>
      </c>
      <c r="AW39" s="192">
        <v>22</v>
      </c>
      <c r="AX39" s="200">
        <v>18</v>
      </c>
      <c r="AY39" s="86">
        <v>65</v>
      </c>
      <c r="AZ39" s="192">
        <v>14</v>
      </c>
      <c r="BA39" s="192">
        <v>21</v>
      </c>
      <c r="BB39" s="192">
        <v>21</v>
      </c>
      <c r="BC39" s="200">
        <v>21</v>
      </c>
      <c r="BD39" s="86">
        <v>77</v>
      </c>
      <c r="BE39" s="192">
        <v>13</v>
      </c>
      <c r="BF39" s="192">
        <v>17</v>
      </c>
      <c r="BG39" s="192">
        <v>21</v>
      </c>
      <c r="BH39" s="200">
        <v>25</v>
      </c>
      <c r="BI39" s="86">
        <v>76</v>
      </c>
      <c r="BJ39" s="192">
        <v>15</v>
      </c>
      <c r="BK39" s="192">
        <v>27</v>
      </c>
      <c r="BL39" s="192">
        <v>24</v>
      </c>
      <c r="BM39" s="200">
        <v>43</v>
      </c>
      <c r="BN39" s="86">
        <v>109</v>
      </c>
      <c r="BO39" s="192">
        <v>23</v>
      </c>
      <c r="BP39" s="192">
        <v>33</v>
      </c>
      <c r="BQ39" s="192">
        <v>21</v>
      </c>
      <c r="BR39" s="200">
        <v>27</v>
      </c>
      <c r="BS39" s="86">
        <v>104</v>
      </c>
      <c r="BT39" s="192">
        <v>17</v>
      </c>
      <c r="BU39" s="192">
        <v>22</v>
      </c>
      <c r="BV39" s="192">
        <v>23</v>
      </c>
      <c r="BW39" s="200">
        <v>25</v>
      </c>
      <c r="BX39" s="86">
        <v>87</v>
      </c>
      <c r="BY39" s="192">
        <v>27</v>
      </c>
      <c r="BZ39" s="192">
        <v>35</v>
      </c>
      <c r="CA39" s="192">
        <v>21</v>
      </c>
      <c r="CB39" s="200">
        <v>29</v>
      </c>
      <c r="CC39" s="86">
        <v>112</v>
      </c>
      <c r="CD39" s="192">
        <v>34</v>
      </c>
      <c r="CE39" s="192">
        <v>38</v>
      </c>
      <c r="CF39" s="192">
        <v>28</v>
      </c>
      <c r="CG39" s="200">
        <v>27</v>
      </c>
      <c r="CH39" s="86">
        <v>127</v>
      </c>
      <c r="CI39" s="119">
        <v>34</v>
      </c>
      <c r="CJ39" s="119">
        <v>37</v>
      </c>
      <c r="CK39" s="113">
        <v>71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</row>
    <row r="40" spans="1:168" s="92" customFormat="1">
      <c r="A40" s="85" t="s">
        <v>21</v>
      </c>
      <c r="B40" s="192">
        <v>16</v>
      </c>
      <c r="C40" s="192">
        <v>14</v>
      </c>
      <c r="D40" s="192">
        <v>11</v>
      </c>
      <c r="E40" s="200">
        <v>10</v>
      </c>
      <c r="F40" s="86">
        <v>51</v>
      </c>
      <c r="G40" s="192">
        <v>10</v>
      </c>
      <c r="H40" s="192">
        <v>12</v>
      </c>
      <c r="I40" s="192">
        <v>12</v>
      </c>
      <c r="J40" s="200">
        <v>13</v>
      </c>
      <c r="K40" s="86">
        <v>47</v>
      </c>
      <c r="L40" s="192">
        <v>9</v>
      </c>
      <c r="M40" s="192">
        <v>17</v>
      </c>
      <c r="N40" s="192">
        <v>12</v>
      </c>
      <c r="O40" s="200">
        <v>17</v>
      </c>
      <c r="P40" s="86">
        <v>55</v>
      </c>
      <c r="Q40" s="192">
        <v>14</v>
      </c>
      <c r="R40" s="192">
        <v>15</v>
      </c>
      <c r="S40" s="192">
        <v>16</v>
      </c>
      <c r="T40" s="200">
        <v>14</v>
      </c>
      <c r="U40" s="86">
        <v>59</v>
      </c>
      <c r="V40" s="192">
        <v>14</v>
      </c>
      <c r="W40" s="192">
        <v>14</v>
      </c>
      <c r="X40" s="192">
        <v>12</v>
      </c>
      <c r="Y40" s="200">
        <v>14</v>
      </c>
      <c r="Z40" s="86">
        <v>54</v>
      </c>
      <c r="AA40" s="192">
        <v>14</v>
      </c>
      <c r="AB40" s="192">
        <v>21</v>
      </c>
      <c r="AC40" s="192">
        <v>27</v>
      </c>
      <c r="AD40" s="200">
        <v>18</v>
      </c>
      <c r="AE40" s="86">
        <v>80</v>
      </c>
      <c r="AF40" s="192">
        <v>14</v>
      </c>
      <c r="AG40" s="192">
        <v>14</v>
      </c>
      <c r="AH40" s="192">
        <v>15</v>
      </c>
      <c r="AI40" s="200">
        <v>20</v>
      </c>
      <c r="AJ40" s="86">
        <v>63</v>
      </c>
      <c r="AK40" s="192">
        <v>19</v>
      </c>
      <c r="AL40" s="192">
        <v>17</v>
      </c>
      <c r="AM40" s="192">
        <v>15</v>
      </c>
      <c r="AN40" s="200">
        <v>17</v>
      </c>
      <c r="AO40" s="86">
        <v>68</v>
      </c>
      <c r="AP40" s="192">
        <v>8</v>
      </c>
      <c r="AQ40" s="192">
        <v>17</v>
      </c>
      <c r="AR40" s="192">
        <v>16</v>
      </c>
      <c r="AS40" s="200">
        <v>23</v>
      </c>
      <c r="AT40" s="86">
        <v>64</v>
      </c>
      <c r="AU40" s="192">
        <v>11</v>
      </c>
      <c r="AV40" s="192">
        <v>23</v>
      </c>
      <c r="AW40" s="192">
        <v>20</v>
      </c>
      <c r="AX40" s="200">
        <v>20</v>
      </c>
      <c r="AY40" s="86">
        <v>74</v>
      </c>
      <c r="AZ40" s="192">
        <v>29</v>
      </c>
      <c r="BA40" s="192">
        <v>19</v>
      </c>
      <c r="BB40" s="192">
        <v>20</v>
      </c>
      <c r="BC40" s="200">
        <v>23</v>
      </c>
      <c r="BD40" s="86">
        <v>91</v>
      </c>
      <c r="BE40" s="192">
        <v>23</v>
      </c>
      <c r="BF40" s="192">
        <v>30</v>
      </c>
      <c r="BG40" s="192">
        <v>22</v>
      </c>
      <c r="BH40" s="200">
        <v>27</v>
      </c>
      <c r="BI40" s="86">
        <v>102</v>
      </c>
      <c r="BJ40" s="192">
        <v>19</v>
      </c>
      <c r="BK40" s="192">
        <v>36</v>
      </c>
      <c r="BL40" s="192">
        <v>22</v>
      </c>
      <c r="BM40" s="200">
        <v>20</v>
      </c>
      <c r="BN40" s="86">
        <v>97</v>
      </c>
      <c r="BO40" s="192">
        <v>25</v>
      </c>
      <c r="BP40" s="192">
        <v>28</v>
      </c>
      <c r="BQ40" s="192">
        <v>26</v>
      </c>
      <c r="BR40" s="200">
        <v>24</v>
      </c>
      <c r="BS40" s="86">
        <v>103</v>
      </c>
      <c r="BT40" s="192">
        <v>14</v>
      </c>
      <c r="BU40" s="192">
        <v>16</v>
      </c>
      <c r="BV40" s="192">
        <v>18</v>
      </c>
      <c r="BW40" s="200">
        <v>16</v>
      </c>
      <c r="BX40" s="86">
        <v>64</v>
      </c>
      <c r="BY40" s="192">
        <v>21</v>
      </c>
      <c r="BZ40" s="192">
        <v>19</v>
      </c>
      <c r="CA40" s="192">
        <v>18</v>
      </c>
      <c r="CB40" s="200">
        <v>16</v>
      </c>
      <c r="CC40" s="86">
        <v>74</v>
      </c>
      <c r="CD40" s="192">
        <v>18</v>
      </c>
      <c r="CE40" s="192">
        <v>19</v>
      </c>
      <c r="CF40" s="192">
        <v>17</v>
      </c>
      <c r="CG40" s="200">
        <v>11</v>
      </c>
      <c r="CH40" s="86">
        <v>65</v>
      </c>
      <c r="CI40" s="119">
        <v>13</v>
      </c>
      <c r="CJ40" s="119">
        <v>12</v>
      </c>
      <c r="CK40" s="113">
        <v>25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</row>
    <row r="41" spans="1:168" s="92" customFormat="1">
      <c r="A41" s="85" t="s">
        <v>22</v>
      </c>
      <c r="B41" s="192">
        <v>19</v>
      </c>
      <c r="C41" s="192">
        <v>5</v>
      </c>
      <c r="D41" s="192">
        <v>11</v>
      </c>
      <c r="E41" s="200">
        <v>12</v>
      </c>
      <c r="F41" s="86">
        <v>47</v>
      </c>
      <c r="G41" s="192">
        <v>16</v>
      </c>
      <c r="H41" s="192">
        <v>18</v>
      </c>
      <c r="I41" s="192">
        <v>9</v>
      </c>
      <c r="J41" s="200">
        <v>18</v>
      </c>
      <c r="K41" s="86">
        <v>61</v>
      </c>
      <c r="L41" s="192">
        <v>29</v>
      </c>
      <c r="M41" s="192">
        <v>26</v>
      </c>
      <c r="N41" s="192">
        <v>16</v>
      </c>
      <c r="O41" s="200">
        <v>20</v>
      </c>
      <c r="P41" s="86">
        <v>91</v>
      </c>
      <c r="Q41" s="192">
        <v>26</v>
      </c>
      <c r="R41" s="192">
        <v>34</v>
      </c>
      <c r="S41" s="192">
        <v>22</v>
      </c>
      <c r="T41" s="200">
        <v>33</v>
      </c>
      <c r="U41" s="86">
        <v>115</v>
      </c>
      <c r="V41" s="192">
        <v>32</v>
      </c>
      <c r="W41" s="192">
        <v>52</v>
      </c>
      <c r="X41" s="192">
        <v>45</v>
      </c>
      <c r="Y41" s="200">
        <v>60</v>
      </c>
      <c r="Z41" s="86">
        <v>189</v>
      </c>
      <c r="AA41" s="192">
        <v>89</v>
      </c>
      <c r="AB41" s="192">
        <v>89</v>
      </c>
      <c r="AC41" s="192">
        <v>84</v>
      </c>
      <c r="AD41" s="200">
        <v>72</v>
      </c>
      <c r="AE41" s="86">
        <v>334</v>
      </c>
      <c r="AF41" s="192">
        <v>49</v>
      </c>
      <c r="AG41" s="192">
        <v>37</v>
      </c>
      <c r="AH41" s="192">
        <v>30</v>
      </c>
      <c r="AI41" s="200">
        <v>25</v>
      </c>
      <c r="AJ41" s="86">
        <v>141</v>
      </c>
      <c r="AK41" s="192">
        <v>26</v>
      </c>
      <c r="AL41" s="192">
        <v>18</v>
      </c>
      <c r="AM41" s="192">
        <v>18</v>
      </c>
      <c r="AN41" s="200">
        <v>15</v>
      </c>
      <c r="AO41" s="86">
        <v>77</v>
      </c>
      <c r="AP41" s="192">
        <v>15</v>
      </c>
      <c r="AQ41" s="192">
        <v>19</v>
      </c>
      <c r="AR41" s="192">
        <v>12</v>
      </c>
      <c r="AS41" s="200">
        <v>18</v>
      </c>
      <c r="AT41" s="86">
        <v>64</v>
      </c>
      <c r="AU41" s="192">
        <v>11</v>
      </c>
      <c r="AV41" s="192">
        <v>19</v>
      </c>
      <c r="AW41" s="192">
        <v>12</v>
      </c>
      <c r="AX41" s="200">
        <v>24</v>
      </c>
      <c r="AY41" s="86">
        <v>66</v>
      </c>
      <c r="AZ41" s="192">
        <v>22</v>
      </c>
      <c r="BA41" s="192">
        <v>14</v>
      </c>
      <c r="BB41" s="192">
        <v>8</v>
      </c>
      <c r="BC41" s="200">
        <v>18</v>
      </c>
      <c r="BD41" s="86">
        <v>62</v>
      </c>
      <c r="BE41" s="192">
        <v>27</v>
      </c>
      <c r="BF41" s="192">
        <v>17</v>
      </c>
      <c r="BG41" s="192">
        <v>22</v>
      </c>
      <c r="BH41" s="200">
        <v>21</v>
      </c>
      <c r="BI41" s="86">
        <v>87</v>
      </c>
      <c r="BJ41" s="192">
        <v>12</v>
      </c>
      <c r="BK41" s="192">
        <v>18</v>
      </c>
      <c r="BL41" s="192">
        <v>29</v>
      </c>
      <c r="BM41" s="200">
        <v>21</v>
      </c>
      <c r="BN41" s="86">
        <v>80</v>
      </c>
      <c r="BO41" s="192">
        <v>16</v>
      </c>
      <c r="BP41" s="192">
        <v>22</v>
      </c>
      <c r="BQ41" s="192">
        <v>21</v>
      </c>
      <c r="BR41" s="200">
        <v>12</v>
      </c>
      <c r="BS41" s="86">
        <v>71</v>
      </c>
      <c r="BT41" s="192">
        <v>16</v>
      </c>
      <c r="BU41" s="192">
        <v>11</v>
      </c>
      <c r="BV41" s="192">
        <v>10</v>
      </c>
      <c r="BW41" s="200">
        <v>18</v>
      </c>
      <c r="BX41" s="86">
        <v>55</v>
      </c>
      <c r="BY41" s="192">
        <v>25</v>
      </c>
      <c r="BZ41" s="192">
        <v>19</v>
      </c>
      <c r="CA41" s="192">
        <v>19</v>
      </c>
      <c r="CB41" s="200">
        <v>14</v>
      </c>
      <c r="CC41" s="86">
        <v>77</v>
      </c>
      <c r="CD41" s="192">
        <v>13</v>
      </c>
      <c r="CE41" s="192">
        <v>21</v>
      </c>
      <c r="CF41" s="192">
        <v>13</v>
      </c>
      <c r="CG41" s="200">
        <v>18</v>
      </c>
      <c r="CH41" s="86">
        <v>65</v>
      </c>
      <c r="CI41" s="119">
        <v>10</v>
      </c>
      <c r="CJ41" s="119">
        <v>7</v>
      </c>
      <c r="CK41" s="113">
        <v>17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</row>
    <row r="42" spans="1:168" s="92" customFormat="1">
      <c r="A42" s="85" t="s">
        <v>23</v>
      </c>
      <c r="B42" s="192">
        <v>20</v>
      </c>
      <c r="C42" s="192">
        <v>19</v>
      </c>
      <c r="D42" s="192">
        <v>17</v>
      </c>
      <c r="E42" s="200">
        <v>17</v>
      </c>
      <c r="F42" s="86">
        <v>73</v>
      </c>
      <c r="G42" s="192">
        <v>24</v>
      </c>
      <c r="H42" s="192">
        <v>33</v>
      </c>
      <c r="I42" s="192">
        <v>33</v>
      </c>
      <c r="J42" s="200">
        <v>49</v>
      </c>
      <c r="K42" s="86">
        <v>139</v>
      </c>
      <c r="L42" s="192">
        <v>38</v>
      </c>
      <c r="M42" s="192">
        <v>34</v>
      </c>
      <c r="N42" s="192">
        <v>33</v>
      </c>
      <c r="O42" s="200">
        <v>47</v>
      </c>
      <c r="P42" s="86">
        <v>152</v>
      </c>
      <c r="Q42" s="192">
        <v>41</v>
      </c>
      <c r="R42" s="192">
        <v>33</v>
      </c>
      <c r="S42" s="192">
        <v>44</v>
      </c>
      <c r="T42" s="200">
        <v>38</v>
      </c>
      <c r="U42" s="86">
        <v>156</v>
      </c>
      <c r="V42" s="192">
        <v>38</v>
      </c>
      <c r="W42" s="192">
        <v>35</v>
      </c>
      <c r="X42" s="192">
        <v>39</v>
      </c>
      <c r="Y42" s="200">
        <v>49</v>
      </c>
      <c r="Z42" s="86">
        <v>161</v>
      </c>
      <c r="AA42" s="192">
        <v>60</v>
      </c>
      <c r="AB42" s="192">
        <v>42</v>
      </c>
      <c r="AC42" s="192">
        <v>36</v>
      </c>
      <c r="AD42" s="200">
        <v>30</v>
      </c>
      <c r="AE42" s="86">
        <v>168</v>
      </c>
      <c r="AF42" s="192">
        <v>37</v>
      </c>
      <c r="AG42" s="192">
        <v>33</v>
      </c>
      <c r="AH42" s="192">
        <v>16</v>
      </c>
      <c r="AI42" s="200">
        <v>23</v>
      </c>
      <c r="AJ42" s="86">
        <v>109</v>
      </c>
      <c r="AK42" s="192">
        <v>18</v>
      </c>
      <c r="AL42" s="192">
        <v>17</v>
      </c>
      <c r="AM42" s="192">
        <v>16</v>
      </c>
      <c r="AN42" s="200">
        <v>20</v>
      </c>
      <c r="AO42" s="86">
        <v>71</v>
      </c>
      <c r="AP42" s="192">
        <v>17</v>
      </c>
      <c r="AQ42" s="192">
        <v>15</v>
      </c>
      <c r="AR42" s="192">
        <v>19</v>
      </c>
      <c r="AS42" s="200">
        <v>20</v>
      </c>
      <c r="AT42" s="86">
        <v>71</v>
      </c>
      <c r="AU42" s="192">
        <v>13</v>
      </c>
      <c r="AV42" s="192">
        <v>19</v>
      </c>
      <c r="AW42" s="192">
        <v>16</v>
      </c>
      <c r="AX42" s="200">
        <v>17</v>
      </c>
      <c r="AY42" s="86">
        <v>65</v>
      </c>
      <c r="AZ42" s="192">
        <v>12</v>
      </c>
      <c r="BA42" s="192">
        <v>20</v>
      </c>
      <c r="BB42" s="192">
        <v>14</v>
      </c>
      <c r="BC42" s="200">
        <v>21</v>
      </c>
      <c r="BD42" s="86">
        <v>67</v>
      </c>
      <c r="BE42" s="192">
        <v>21</v>
      </c>
      <c r="BF42" s="192">
        <v>11</v>
      </c>
      <c r="BG42" s="192">
        <v>7</v>
      </c>
      <c r="BH42" s="200">
        <v>14</v>
      </c>
      <c r="BI42" s="86">
        <v>53</v>
      </c>
      <c r="BJ42" s="192">
        <v>9</v>
      </c>
      <c r="BK42" s="192">
        <v>13</v>
      </c>
      <c r="BL42" s="192">
        <v>20</v>
      </c>
      <c r="BM42" s="200">
        <v>13</v>
      </c>
      <c r="BN42" s="86">
        <v>55</v>
      </c>
      <c r="BO42" s="192">
        <v>9</v>
      </c>
      <c r="BP42" s="192">
        <v>12</v>
      </c>
      <c r="BQ42" s="192">
        <v>15</v>
      </c>
      <c r="BR42" s="200">
        <v>17</v>
      </c>
      <c r="BS42" s="86">
        <v>53</v>
      </c>
      <c r="BT42" s="192">
        <v>12</v>
      </c>
      <c r="BU42" s="192">
        <v>8</v>
      </c>
      <c r="BV42" s="192">
        <v>10</v>
      </c>
      <c r="BW42" s="200">
        <v>9</v>
      </c>
      <c r="BX42" s="86">
        <v>39</v>
      </c>
      <c r="BY42" s="192">
        <v>8</v>
      </c>
      <c r="BZ42" s="192">
        <v>9</v>
      </c>
      <c r="CA42" s="192">
        <v>14</v>
      </c>
      <c r="CB42" s="200">
        <v>12</v>
      </c>
      <c r="CC42" s="86">
        <v>43</v>
      </c>
      <c r="CD42" s="192">
        <v>15</v>
      </c>
      <c r="CE42" s="192">
        <v>6</v>
      </c>
      <c r="CF42" s="192">
        <v>11</v>
      </c>
      <c r="CG42" s="200">
        <v>13</v>
      </c>
      <c r="CH42" s="86">
        <v>45</v>
      </c>
      <c r="CI42" s="119">
        <v>7</v>
      </c>
      <c r="CJ42" s="119">
        <v>11</v>
      </c>
      <c r="CK42" s="113">
        <v>18</v>
      </c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</row>
    <row r="43" spans="1:168" s="92" customFormat="1">
      <c r="A43" s="85" t="s">
        <v>24</v>
      </c>
      <c r="B43" s="192">
        <v>39</v>
      </c>
      <c r="C43" s="192">
        <v>30</v>
      </c>
      <c r="D43" s="192">
        <v>29</v>
      </c>
      <c r="E43" s="200">
        <v>30</v>
      </c>
      <c r="F43" s="86">
        <v>128</v>
      </c>
      <c r="G43" s="192">
        <v>35</v>
      </c>
      <c r="H43" s="192">
        <v>34</v>
      </c>
      <c r="I43" s="192">
        <v>35</v>
      </c>
      <c r="J43" s="200">
        <v>52</v>
      </c>
      <c r="K43" s="86">
        <v>156</v>
      </c>
      <c r="L43" s="192">
        <v>46</v>
      </c>
      <c r="M43" s="192">
        <v>57</v>
      </c>
      <c r="N43" s="192">
        <v>59</v>
      </c>
      <c r="O43" s="200">
        <v>52</v>
      </c>
      <c r="P43" s="86">
        <v>214</v>
      </c>
      <c r="Q43" s="192">
        <v>51</v>
      </c>
      <c r="R43" s="192">
        <v>42</v>
      </c>
      <c r="S43" s="192">
        <v>44</v>
      </c>
      <c r="T43" s="200">
        <v>50</v>
      </c>
      <c r="U43" s="86">
        <v>187</v>
      </c>
      <c r="V43" s="192">
        <v>31</v>
      </c>
      <c r="W43" s="192">
        <v>41</v>
      </c>
      <c r="X43" s="192">
        <v>52</v>
      </c>
      <c r="Y43" s="200">
        <v>79</v>
      </c>
      <c r="Z43" s="86">
        <v>203</v>
      </c>
      <c r="AA43" s="192">
        <v>63</v>
      </c>
      <c r="AB43" s="192">
        <v>53</v>
      </c>
      <c r="AC43" s="192">
        <v>65</v>
      </c>
      <c r="AD43" s="200">
        <v>71</v>
      </c>
      <c r="AE43" s="86">
        <v>252</v>
      </c>
      <c r="AF43" s="192">
        <v>72</v>
      </c>
      <c r="AG43" s="192">
        <v>51</v>
      </c>
      <c r="AH43" s="192">
        <v>40</v>
      </c>
      <c r="AI43" s="200">
        <v>41</v>
      </c>
      <c r="AJ43" s="86">
        <v>204</v>
      </c>
      <c r="AK43" s="192">
        <v>35</v>
      </c>
      <c r="AL43" s="192">
        <v>38</v>
      </c>
      <c r="AM43" s="192">
        <v>21</v>
      </c>
      <c r="AN43" s="200">
        <v>35</v>
      </c>
      <c r="AO43" s="86">
        <v>129</v>
      </c>
      <c r="AP43" s="192">
        <v>34</v>
      </c>
      <c r="AQ43" s="192">
        <v>28</v>
      </c>
      <c r="AR43" s="192">
        <v>36</v>
      </c>
      <c r="AS43" s="200">
        <v>38</v>
      </c>
      <c r="AT43" s="86">
        <v>136</v>
      </c>
      <c r="AU43" s="192">
        <v>41</v>
      </c>
      <c r="AV43" s="192">
        <v>42</v>
      </c>
      <c r="AW43" s="192">
        <v>28</v>
      </c>
      <c r="AX43" s="200">
        <v>45</v>
      </c>
      <c r="AY43" s="86">
        <v>156</v>
      </c>
      <c r="AZ43" s="192">
        <v>34</v>
      </c>
      <c r="BA43" s="192">
        <v>33</v>
      </c>
      <c r="BB43" s="192">
        <v>37</v>
      </c>
      <c r="BC43" s="200">
        <v>49</v>
      </c>
      <c r="BD43" s="86">
        <v>153</v>
      </c>
      <c r="BE43" s="192">
        <v>48</v>
      </c>
      <c r="BF43" s="192">
        <v>58</v>
      </c>
      <c r="BG43" s="192">
        <v>56</v>
      </c>
      <c r="BH43" s="200">
        <v>62</v>
      </c>
      <c r="BI43" s="86">
        <v>224</v>
      </c>
      <c r="BJ43" s="192">
        <v>58</v>
      </c>
      <c r="BK43" s="192">
        <v>64</v>
      </c>
      <c r="BL43" s="192">
        <v>92</v>
      </c>
      <c r="BM43" s="200">
        <v>98</v>
      </c>
      <c r="BN43" s="86">
        <v>312</v>
      </c>
      <c r="BO43" s="192">
        <v>77</v>
      </c>
      <c r="BP43" s="192">
        <v>92</v>
      </c>
      <c r="BQ43" s="192">
        <v>108</v>
      </c>
      <c r="BR43" s="200">
        <v>88</v>
      </c>
      <c r="BS43" s="86">
        <v>365</v>
      </c>
      <c r="BT43" s="192">
        <v>53</v>
      </c>
      <c r="BU43" s="192">
        <v>66</v>
      </c>
      <c r="BV43" s="192">
        <v>64</v>
      </c>
      <c r="BW43" s="200">
        <v>78</v>
      </c>
      <c r="BX43" s="86">
        <v>261</v>
      </c>
      <c r="BY43" s="192">
        <v>79</v>
      </c>
      <c r="BZ43" s="192">
        <v>84</v>
      </c>
      <c r="CA43" s="192">
        <v>65</v>
      </c>
      <c r="CB43" s="200">
        <v>75</v>
      </c>
      <c r="CC43" s="86">
        <v>303</v>
      </c>
      <c r="CD43" s="192">
        <v>81</v>
      </c>
      <c r="CE43" s="192">
        <v>87</v>
      </c>
      <c r="CF43" s="192">
        <v>73</v>
      </c>
      <c r="CG43" s="200">
        <v>66</v>
      </c>
      <c r="CH43" s="86">
        <v>307</v>
      </c>
      <c r="CI43" s="119">
        <v>62</v>
      </c>
      <c r="CJ43" s="119">
        <v>55</v>
      </c>
      <c r="CK43" s="113">
        <v>117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</row>
    <row r="44" spans="1:168" s="92" customFormat="1">
      <c r="A44" s="85" t="s">
        <v>25</v>
      </c>
      <c r="B44" s="192">
        <v>23</v>
      </c>
      <c r="C44" s="192">
        <v>11</v>
      </c>
      <c r="D44" s="192">
        <v>8</v>
      </c>
      <c r="E44" s="200">
        <v>20</v>
      </c>
      <c r="F44" s="86">
        <v>62</v>
      </c>
      <c r="G44" s="192">
        <v>25</v>
      </c>
      <c r="H44" s="192">
        <v>26</v>
      </c>
      <c r="I44" s="192">
        <v>32</v>
      </c>
      <c r="J44" s="200">
        <v>43</v>
      </c>
      <c r="K44" s="86">
        <v>126</v>
      </c>
      <c r="L44" s="192">
        <v>43</v>
      </c>
      <c r="M44" s="192">
        <v>35</v>
      </c>
      <c r="N44" s="192">
        <v>29</v>
      </c>
      <c r="O44" s="200">
        <v>55</v>
      </c>
      <c r="P44" s="86">
        <v>162</v>
      </c>
      <c r="Q44" s="192">
        <v>44</v>
      </c>
      <c r="R44" s="192">
        <v>61</v>
      </c>
      <c r="S44" s="192">
        <v>43</v>
      </c>
      <c r="T44" s="200">
        <v>63</v>
      </c>
      <c r="U44" s="86">
        <v>211</v>
      </c>
      <c r="V44" s="192">
        <v>75</v>
      </c>
      <c r="W44" s="192">
        <v>89</v>
      </c>
      <c r="X44" s="192">
        <v>124</v>
      </c>
      <c r="Y44" s="200">
        <v>166</v>
      </c>
      <c r="Z44" s="86">
        <v>454</v>
      </c>
      <c r="AA44" s="192">
        <v>186</v>
      </c>
      <c r="AB44" s="192">
        <v>201</v>
      </c>
      <c r="AC44" s="192">
        <v>154</v>
      </c>
      <c r="AD44" s="200">
        <v>148</v>
      </c>
      <c r="AE44" s="86">
        <v>689</v>
      </c>
      <c r="AF44" s="192">
        <v>85</v>
      </c>
      <c r="AG44" s="192">
        <v>99</v>
      </c>
      <c r="AH44" s="192">
        <v>80</v>
      </c>
      <c r="AI44" s="200">
        <v>59</v>
      </c>
      <c r="AJ44" s="86">
        <v>323</v>
      </c>
      <c r="AK44" s="192">
        <v>42</v>
      </c>
      <c r="AL44" s="192">
        <v>50</v>
      </c>
      <c r="AM44" s="192">
        <v>45</v>
      </c>
      <c r="AN44" s="200">
        <v>34</v>
      </c>
      <c r="AO44" s="86">
        <v>171</v>
      </c>
      <c r="AP44" s="192">
        <v>39</v>
      </c>
      <c r="AQ44" s="192">
        <v>34</v>
      </c>
      <c r="AR44" s="192">
        <v>34</v>
      </c>
      <c r="AS44" s="200">
        <v>41</v>
      </c>
      <c r="AT44" s="86">
        <v>148</v>
      </c>
      <c r="AU44" s="192">
        <v>36</v>
      </c>
      <c r="AV44" s="192">
        <v>30</v>
      </c>
      <c r="AW44" s="192">
        <v>40</v>
      </c>
      <c r="AX44" s="200">
        <v>44</v>
      </c>
      <c r="AY44" s="86">
        <v>150</v>
      </c>
      <c r="AZ44" s="192">
        <v>41</v>
      </c>
      <c r="BA44" s="192">
        <v>47</v>
      </c>
      <c r="BB44" s="192">
        <v>36</v>
      </c>
      <c r="BC44" s="200">
        <v>45</v>
      </c>
      <c r="BD44" s="86">
        <v>169</v>
      </c>
      <c r="BE44" s="192">
        <v>61</v>
      </c>
      <c r="BF44" s="192">
        <v>52</v>
      </c>
      <c r="BG44" s="192">
        <v>54</v>
      </c>
      <c r="BH44" s="200">
        <v>67</v>
      </c>
      <c r="BI44" s="86">
        <v>234</v>
      </c>
      <c r="BJ44" s="192">
        <v>68</v>
      </c>
      <c r="BK44" s="192">
        <v>65</v>
      </c>
      <c r="BL44" s="192">
        <v>69</v>
      </c>
      <c r="BM44" s="200">
        <v>77</v>
      </c>
      <c r="BN44" s="86">
        <v>279</v>
      </c>
      <c r="BO44" s="192">
        <v>71</v>
      </c>
      <c r="BP44" s="192">
        <v>75</v>
      </c>
      <c r="BQ44" s="192">
        <v>83</v>
      </c>
      <c r="BR44" s="200">
        <v>60</v>
      </c>
      <c r="BS44" s="86">
        <v>289</v>
      </c>
      <c r="BT44" s="192">
        <v>50</v>
      </c>
      <c r="BU44" s="192">
        <v>52</v>
      </c>
      <c r="BV44" s="192">
        <v>50</v>
      </c>
      <c r="BW44" s="200">
        <v>67</v>
      </c>
      <c r="BX44" s="86">
        <v>219</v>
      </c>
      <c r="BY44" s="192">
        <v>64</v>
      </c>
      <c r="BZ44" s="192">
        <v>81</v>
      </c>
      <c r="CA44" s="192">
        <v>82</v>
      </c>
      <c r="CB44" s="200">
        <v>73</v>
      </c>
      <c r="CC44" s="86">
        <v>300</v>
      </c>
      <c r="CD44" s="192">
        <v>93</v>
      </c>
      <c r="CE44" s="192">
        <v>91</v>
      </c>
      <c r="CF44" s="192">
        <v>86</v>
      </c>
      <c r="CG44" s="200">
        <v>96</v>
      </c>
      <c r="CH44" s="86">
        <v>366</v>
      </c>
      <c r="CI44" s="119">
        <v>74</v>
      </c>
      <c r="CJ44" s="119">
        <v>90</v>
      </c>
      <c r="CK44" s="113">
        <v>164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</row>
    <row r="45" spans="1:168" s="92" customFormat="1">
      <c r="A45" s="85" t="s">
        <v>26</v>
      </c>
      <c r="B45" s="192">
        <v>29</v>
      </c>
      <c r="C45" s="192">
        <v>44</v>
      </c>
      <c r="D45" s="192">
        <v>36</v>
      </c>
      <c r="E45" s="200">
        <v>31</v>
      </c>
      <c r="F45" s="86">
        <v>140</v>
      </c>
      <c r="G45" s="192">
        <v>43</v>
      </c>
      <c r="H45" s="192">
        <v>52</v>
      </c>
      <c r="I45" s="192">
        <v>40</v>
      </c>
      <c r="J45" s="200">
        <v>57</v>
      </c>
      <c r="K45" s="86">
        <v>192</v>
      </c>
      <c r="L45" s="192">
        <v>51</v>
      </c>
      <c r="M45" s="192">
        <v>48</v>
      </c>
      <c r="N45" s="192">
        <v>50</v>
      </c>
      <c r="O45" s="200">
        <v>71</v>
      </c>
      <c r="P45" s="86">
        <v>220</v>
      </c>
      <c r="Q45" s="192">
        <v>59</v>
      </c>
      <c r="R45" s="192">
        <v>59</v>
      </c>
      <c r="S45" s="192">
        <v>64</v>
      </c>
      <c r="T45" s="200">
        <v>85</v>
      </c>
      <c r="U45" s="86">
        <v>267</v>
      </c>
      <c r="V45" s="192">
        <v>97</v>
      </c>
      <c r="W45" s="192">
        <v>166</v>
      </c>
      <c r="X45" s="192">
        <v>187</v>
      </c>
      <c r="Y45" s="200">
        <v>254</v>
      </c>
      <c r="Z45" s="86">
        <v>704</v>
      </c>
      <c r="AA45" s="192">
        <v>300</v>
      </c>
      <c r="AB45" s="192">
        <v>291</v>
      </c>
      <c r="AC45" s="192">
        <v>184</v>
      </c>
      <c r="AD45" s="200">
        <v>171</v>
      </c>
      <c r="AE45" s="86">
        <v>946</v>
      </c>
      <c r="AF45" s="192">
        <v>125</v>
      </c>
      <c r="AG45" s="192">
        <v>113</v>
      </c>
      <c r="AH45" s="192">
        <v>79</v>
      </c>
      <c r="AI45" s="200">
        <v>51</v>
      </c>
      <c r="AJ45" s="86">
        <v>368</v>
      </c>
      <c r="AK45" s="192">
        <v>50</v>
      </c>
      <c r="AL45" s="192">
        <v>43</v>
      </c>
      <c r="AM45" s="192">
        <v>39</v>
      </c>
      <c r="AN45" s="200">
        <v>36</v>
      </c>
      <c r="AO45" s="86">
        <v>168</v>
      </c>
      <c r="AP45" s="192">
        <v>25</v>
      </c>
      <c r="AQ45" s="192">
        <v>37</v>
      </c>
      <c r="AR45" s="192">
        <v>39</v>
      </c>
      <c r="AS45" s="200">
        <v>27</v>
      </c>
      <c r="AT45" s="86">
        <v>128</v>
      </c>
      <c r="AU45" s="192">
        <v>25</v>
      </c>
      <c r="AV45" s="192">
        <v>48</v>
      </c>
      <c r="AW45" s="192">
        <v>28</v>
      </c>
      <c r="AX45" s="200">
        <v>39</v>
      </c>
      <c r="AY45" s="86">
        <v>140</v>
      </c>
      <c r="AZ45" s="192">
        <v>44</v>
      </c>
      <c r="BA45" s="192">
        <v>53</v>
      </c>
      <c r="BB45" s="192">
        <v>49</v>
      </c>
      <c r="BC45" s="200">
        <v>60</v>
      </c>
      <c r="BD45" s="86">
        <v>206</v>
      </c>
      <c r="BE45" s="192">
        <v>72</v>
      </c>
      <c r="BF45" s="192">
        <v>79</v>
      </c>
      <c r="BG45" s="192">
        <v>91</v>
      </c>
      <c r="BH45" s="200">
        <v>82</v>
      </c>
      <c r="BI45" s="86">
        <v>324</v>
      </c>
      <c r="BJ45" s="192">
        <v>78</v>
      </c>
      <c r="BK45" s="192">
        <v>97</v>
      </c>
      <c r="BL45" s="192">
        <v>108</v>
      </c>
      <c r="BM45" s="200">
        <v>106</v>
      </c>
      <c r="BN45" s="86">
        <v>389</v>
      </c>
      <c r="BO45" s="192">
        <v>114</v>
      </c>
      <c r="BP45" s="192">
        <v>118</v>
      </c>
      <c r="BQ45" s="192">
        <v>99</v>
      </c>
      <c r="BR45" s="200">
        <v>74</v>
      </c>
      <c r="BS45" s="86">
        <v>405</v>
      </c>
      <c r="BT45" s="192">
        <v>46</v>
      </c>
      <c r="BU45" s="192">
        <v>64</v>
      </c>
      <c r="BV45" s="192">
        <v>71</v>
      </c>
      <c r="BW45" s="200">
        <v>85</v>
      </c>
      <c r="BX45" s="86">
        <v>266</v>
      </c>
      <c r="BY45" s="192">
        <v>79</v>
      </c>
      <c r="BZ45" s="192">
        <v>100</v>
      </c>
      <c r="CA45" s="192">
        <v>75</v>
      </c>
      <c r="CB45" s="200">
        <v>86</v>
      </c>
      <c r="CC45" s="86">
        <v>340</v>
      </c>
      <c r="CD45" s="192">
        <v>86</v>
      </c>
      <c r="CE45" s="192">
        <v>133</v>
      </c>
      <c r="CF45" s="192">
        <v>124</v>
      </c>
      <c r="CG45" s="200">
        <v>98</v>
      </c>
      <c r="CH45" s="86">
        <v>441</v>
      </c>
      <c r="CI45" s="119">
        <v>81</v>
      </c>
      <c r="CJ45" s="119">
        <v>104</v>
      </c>
      <c r="CK45" s="113">
        <v>185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</row>
    <row r="46" spans="1:168" s="92" customFormat="1">
      <c r="A46" s="85" t="s">
        <v>27</v>
      </c>
      <c r="B46" s="192">
        <v>51</v>
      </c>
      <c r="C46" s="192">
        <v>45</v>
      </c>
      <c r="D46" s="192">
        <v>41</v>
      </c>
      <c r="E46" s="200">
        <v>42</v>
      </c>
      <c r="F46" s="86">
        <v>179</v>
      </c>
      <c r="G46" s="192">
        <v>51</v>
      </c>
      <c r="H46" s="192">
        <v>55</v>
      </c>
      <c r="I46" s="192">
        <v>44</v>
      </c>
      <c r="J46" s="200">
        <v>61</v>
      </c>
      <c r="K46" s="86">
        <v>211</v>
      </c>
      <c r="L46" s="192">
        <v>56</v>
      </c>
      <c r="M46" s="192">
        <v>68</v>
      </c>
      <c r="N46" s="192">
        <v>67</v>
      </c>
      <c r="O46" s="200">
        <v>79</v>
      </c>
      <c r="P46" s="86">
        <v>270</v>
      </c>
      <c r="Q46" s="192">
        <v>69</v>
      </c>
      <c r="R46" s="192">
        <v>71</v>
      </c>
      <c r="S46" s="192">
        <v>69</v>
      </c>
      <c r="T46" s="200">
        <v>82</v>
      </c>
      <c r="U46" s="86">
        <v>291</v>
      </c>
      <c r="V46" s="192">
        <v>55</v>
      </c>
      <c r="W46" s="192">
        <v>84</v>
      </c>
      <c r="X46" s="192">
        <v>74</v>
      </c>
      <c r="Y46" s="200">
        <v>73</v>
      </c>
      <c r="Z46" s="86">
        <v>286</v>
      </c>
      <c r="AA46" s="192">
        <v>63</v>
      </c>
      <c r="AB46" s="192">
        <v>66</v>
      </c>
      <c r="AC46" s="192">
        <v>89</v>
      </c>
      <c r="AD46" s="200">
        <v>74</v>
      </c>
      <c r="AE46" s="86">
        <v>292</v>
      </c>
      <c r="AF46" s="192">
        <v>61</v>
      </c>
      <c r="AG46" s="192">
        <v>73</v>
      </c>
      <c r="AH46" s="192">
        <v>60</v>
      </c>
      <c r="AI46" s="200">
        <v>62</v>
      </c>
      <c r="AJ46" s="86">
        <v>256</v>
      </c>
      <c r="AK46" s="192">
        <v>48</v>
      </c>
      <c r="AL46" s="192">
        <v>79</v>
      </c>
      <c r="AM46" s="192">
        <v>50</v>
      </c>
      <c r="AN46" s="200">
        <v>56</v>
      </c>
      <c r="AO46" s="86">
        <v>233</v>
      </c>
      <c r="AP46" s="192">
        <v>57</v>
      </c>
      <c r="AQ46" s="192">
        <v>55</v>
      </c>
      <c r="AR46" s="192">
        <v>63</v>
      </c>
      <c r="AS46" s="200">
        <v>66</v>
      </c>
      <c r="AT46" s="86">
        <v>241</v>
      </c>
      <c r="AU46" s="192">
        <v>59</v>
      </c>
      <c r="AV46" s="192">
        <v>77</v>
      </c>
      <c r="AW46" s="192">
        <v>60</v>
      </c>
      <c r="AX46" s="200">
        <v>80</v>
      </c>
      <c r="AY46" s="86">
        <v>276</v>
      </c>
      <c r="AZ46" s="192">
        <v>64</v>
      </c>
      <c r="BA46" s="192">
        <v>68</v>
      </c>
      <c r="BB46" s="192">
        <v>76</v>
      </c>
      <c r="BC46" s="200">
        <v>78</v>
      </c>
      <c r="BD46" s="86">
        <v>286</v>
      </c>
      <c r="BE46" s="192">
        <v>83</v>
      </c>
      <c r="BF46" s="192">
        <v>89</v>
      </c>
      <c r="BG46" s="192">
        <v>93</v>
      </c>
      <c r="BH46" s="200">
        <v>94</v>
      </c>
      <c r="BI46" s="86">
        <v>359</v>
      </c>
      <c r="BJ46" s="192">
        <v>104</v>
      </c>
      <c r="BK46" s="192">
        <v>108</v>
      </c>
      <c r="BL46" s="192">
        <v>94</v>
      </c>
      <c r="BM46" s="200">
        <v>98</v>
      </c>
      <c r="BN46" s="86">
        <v>404</v>
      </c>
      <c r="BO46" s="192">
        <v>111</v>
      </c>
      <c r="BP46" s="192">
        <v>112</v>
      </c>
      <c r="BQ46" s="192">
        <v>91</v>
      </c>
      <c r="BR46" s="200">
        <v>84</v>
      </c>
      <c r="BS46" s="86">
        <v>398</v>
      </c>
      <c r="BT46" s="192">
        <v>65</v>
      </c>
      <c r="BU46" s="192">
        <v>96</v>
      </c>
      <c r="BV46" s="192">
        <v>82</v>
      </c>
      <c r="BW46" s="200">
        <v>96</v>
      </c>
      <c r="BX46" s="86">
        <v>339</v>
      </c>
      <c r="BY46" s="192">
        <v>69</v>
      </c>
      <c r="BZ46" s="192">
        <v>104</v>
      </c>
      <c r="CA46" s="192">
        <v>92</v>
      </c>
      <c r="CB46" s="200">
        <v>85</v>
      </c>
      <c r="CC46" s="86">
        <v>350</v>
      </c>
      <c r="CD46" s="192">
        <v>93</v>
      </c>
      <c r="CE46" s="192">
        <v>94</v>
      </c>
      <c r="CF46" s="192">
        <v>88</v>
      </c>
      <c r="CG46" s="200">
        <v>79</v>
      </c>
      <c r="CH46" s="86">
        <v>354</v>
      </c>
      <c r="CI46" s="119">
        <v>76</v>
      </c>
      <c r="CJ46" s="119">
        <v>84</v>
      </c>
      <c r="CK46" s="113">
        <v>160</v>
      </c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</row>
    <row r="47" spans="1:168" s="92" customFormat="1">
      <c r="A47" s="85" t="s">
        <v>28</v>
      </c>
      <c r="B47" s="192">
        <v>26</v>
      </c>
      <c r="C47" s="192">
        <v>14</v>
      </c>
      <c r="D47" s="192">
        <v>17</v>
      </c>
      <c r="E47" s="200">
        <v>24</v>
      </c>
      <c r="F47" s="86">
        <v>81</v>
      </c>
      <c r="G47" s="192">
        <v>27</v>
      </c>
      <c r="H47" s="192">
        <v>35</v>
      </c>
      <c r="I47" s="192">
        <v>28</v>
      </c>
      <c r="J47" s="200">
        <v>32</v>
      </c>
      <c r="K47" s="86">
        <v>122</v>
      </c>
      <c r="L47" s="192">
        <v>26</v>
      </c>
      <c r="M47" s="192">
        <v>40</v>
      </c>
      <c r="N47" s="192">
        <v>36</v>
      </c>
      <c r="O47" s="200">
        <v>38</v>
      </c>
      <c r="P47" s="86">
        <v>140</v>
      </c>
      <c r="Q47" s="192">
        <v>48</v>
      </c>
      <c r="R47" s="192">
        <v>54</v>
      </c>
      <c r="S47" s="192">
        <v>55</v>
      </c>
      <c r="T47" s="200">
        <v>56</v>
      </c>
      <c r="U47" s="86">
        <v>213</v>
      </c>
      <c r="V47" s="192">
        <v>54</v>
      </c>
      <c r="W47" s="192">
        <v>64</v>
      </c>
      <c r="X47" s="192">
        <v>72</v>
      </c>
      <c r="Y47" s="200">
        <v>93</v>
      </c>
      <c r="Z47" s="86">
        <v>283</v>
      </c>
      <c r="AA47" s="192">
        <v>108</v>
      </c>
      <c r="AB47" s="192">
        <v>123</v>
      </c>
      <c r="AC47" s="192">
        <v>124</v>
      </c>
      <c r="AD47" s="200">
        <v>130</v>
      </c>
      <c r="AE47" s="86">
        <v>485</v>
      </c>
      <c r="AF47" s="192">
        <v>98</v>
      </c>
      <c r="AG47" s="192">
        <v>77</v>
      </c>
      <c r="AH47" s="192">
        <v>73</v>
      </c>
      <c r="AI47" s="200">
        <v>88</v>
      </c>
      <c r="AJ47" s="86">
        <v>336</v>
      </c>
      <c r="AK47" s="192">
        <v>76</v>
      </c>
      <c r="AL47" s="192">
        <v>57</v>
      </c>
      <c r="AM47" s="192">
        <v>43</v>
      </c>
      <c r="AN47" s="200">
        <v>55</v>
      </c>
      <c r="AO47" s="86">
        <v>231</v>
      </c>
      <c r="AP47" s="192">
        <v>36</v>
      </c>
      <c r="AQ47" s="192">
        <v>56</v>
      </c>
      <c r="AR47" s="192">
        <v>45</v>
      </c>
      <c r="AS47" s="200">
        <v>49</v>
      </c>
      <c r="AT47" s="86">
        <v>186</v>
      </c>
      <c r="AU47" s="192">
        <v>49</v>
      </c>
      <c r="AV47" s="192">
        <v>50</v>
      </c>
      <c r="AW47" s="192">
        <v>51</v>
      </c>
      <c r="AX47" s="200">
        <v>42</v>
      </c>
      <c r="AY47" s="86">
        <v>192</v>
      </c>
      <c r="AZ47" s="192">
        <v>47</v>
      </c>
      <c r="BA47" s="192">
        <v>62</v>
      </c>
      <c r="BB47" s="192">
        <v>41</v>
      </c>
      <c r="BC47" s="200">
        <v>37</v>
      </c>
      <c r="BD47" s="86">
        <v>187</v>
      </c>
      <c r="BE47" s="192">
        <v>33</v>
      </c>
      <c r="BF47" s="192">
        <v>41</v>
      </c>
      <c r="BG47" s="192">
        <v>36</v>
      </c>
      <c r="BH47" s="200">
        <v>27</v>
      </c>
      <c r="BI47" s="86">
        <v>137</v>
      </c>
      <c r="BJ47" s="192">
        <v>31</v>
      </c>
      <c r="BK47" s="192">
        <v>41</v>
      </c>
      <c r="BL47" s="192">
        <v>38</v>
      </c>
      <c r="BM47" s="200">
        <v>37</v>
      </c>
      <c r="BN47" s="86">
        <v>147</v>
      </c>
      <c r="BO47" s="192">
        <v>28</v>
      </c>
      <c r="BP47" s="192">
        <v>30</v>
      </c>
      <c r="BQ47" s="192">
        <v>19</v>
      </c>
      <c r="BR47" s="200">
        <v>29</v>
      </c>
      <c r="BS47" s="86">
        <v>106</v>
      </c>
      <c r="BT47" s="192">
        <v>18</v>
      </c>
      <c r="BU47" s="192">
        <v>32</v>
      </c>
      <c r="BV47" s="192">
        <v>29</v>
      </c>
      <c r="BW47" s="200">
        <v>27</v>
      </c>
      <c r="BX47" s="86">
        <v>106</v>
      </c>
      <c r="BY47" s="192">
        <v>15</v>
      </c>
      <c r="BZ47" s="192">
        <v>20</v>
      </c>
      <c r="CA47" s="192">
        <v>13</v>
      </c>
      <c r="CB47" s="200">
        <v>15</v>
      </c>
      <c r="CC47" s="86">
        <v>63</v>
      </c>
      <c r="CD47" s="192">
        <v>15</v>
      </c>
      <c r="CE47" s="192">
        <v>21</v>
      </c>
      <c r="CF47" s="192">
        <v>6</v>
      </c>
      <c r="CG47" s="200">
        <v>6</v>
      </c>
      <c r="CH47" s="86">
        <v>48</v>
      </c>
      <c r="CI47" s="119">
        <v>10</v>
      </c>
      <c r="CJ47" s="119">
        <v>13</v>
      </c>
      <c r="CK47" s="113">
        <v>23</v>
      </c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</row>
    <row r="48" spans="1:168" s="92" customFormat="1">
      <c r="A48" s="85" t="s">
        <v>53</v>
      </c>
      <c r="B48" s="192">
        <v>3</v>
      </c>
      <c r="C48" s="192">
        <v>1</v>
      </c>
      <c r="D48" s="192">
        <v>2</v>
      </c>
      <c r="E48" s="200">
        <v>3</v>
      </c>
      <c r="F48" s="86">
        <v>9</v>
      </c>
      <c r="G48" s="192">
        <v>1</v>
      </c>
      <c r="H48" s="192">
        <v>3</v>
      </c>
      <c r="I48" s="192">
        <v>1</v>
      </c>
      <c r="J48" s="200">
        <v>4</v>
      </c>
      <c r="K48" s="86">
        <v>9</v>
      </c>
      <c r="L48" s="192">
        <v>5</v>
      </c>
      <c r="M48" s="192">
        <v>1</v>
      </c>
      <c r="N48" s="192">
        <v>4</v>
      </c>
      <c r="O48" s="200">
        <v>2</v>
      </c>
      <c r="P48" s="86">
        <v>12</v>
      </c>
      <c r="Q48" s="192"/>
      <c r="R48" s="192">
        <v>1</v>
      </c>
      <c r="S48" s="192">
        <v>3</v>
      </c>
      <c r="T48" s="200">
        <v>6</v>
      </c>
      <c r="U48" s="86">
        <v>10</v>
      </c>
      <c r="V48" s="192">
        <v>3</v>
      </c>
      <c r="W48" s="192">
        <v>5</v>
      </c>
      <c r="X48" s="192">
        <v>5</v>
      </c>
      <c r="Y48" s="200">
        <v>8</v>
      </c>
      <c r="Z48" s="86">
        <v>21</v>
      </c>
      <c r="AA48" s="192">
        <v>1</v>
      </c>
      <c r="AB48" s="192">
        <v>5</v>
      </c>
      <c r="AC48" s="192">
        <v>3</v>
      </c>
      <c r="AD48" s="200">
        <v>3</v>
      </c>
      <c r="AE48" s="86">
        <v>12</v>
      </c>
      <c r="AF48" s="192">
        <v>2</v>
      </c>
      <c r="AG48" s="192">
        <v>5</v>
      </c>
      <c r="AH48" s="192">
        <v>2</v>
      </c>
      <c r="AI48" s="200">
        <v>2</v>
      </c>
      <c r="AJ48" s="86">
        <v>11</v>
      </c>
      <c r="AK48" s="192">
        <v>2</v>
      </c>
      <c r="AL48" s="192">
        <v>1</v>
      </c>
      <c r="AM48" s="192"/>
      <c r="AN48" s="200"/>
      <c r="AO48" s="86">
        <v>3</v>
      </c>
      <c r="AP48" s="192"/>
      <c r="AQ48" s="192"/>
      <c r="AR48" s="192"/>
      <c r="AS48" s="200"/>
      <c r="AT48" s="86"/>
      <c r="AU48" s="192"/>
      <c r="AV48" s="192">
        <v>1</v>
      </c>
      <c r="AW48" s="192"/>
      <c r="AX48" s="200">
        <v>1</v>
      </c>
      <c r="AY48" s="86">
        <v>2</v>
      </c>
      <c r="AZ48" s="192">
        <v>1</v>
      </c>
      <c r="BA48" s="192"/>
      <c r="BB48" s="192"/>
      <c r="BC48" s="200">
        <v>1</v>
      </c>
      <c r="BD48" s="86">
        <v>2</v>
      </c>
      <c r="BE48" s="192"/>
      <c r="BF48" s="192"/>
      <c r="BG48" s="192"/>
      <c r="BH48" s="200">
        <v>1</v>
      </c>
      <c r="BI48" s="86">
        <v>1</v>
      </c>
      <c r="BJ48" s="192">
        <v>2</v>
      </c>
      <c r="BK48" s="192">
        <v>2</v>
      </c>
      <c r="BL48" s="192">
        <v>3</v>
      </c>
      <c r="BM48" s="200">
        <v>4</v>
      </c>
      <c r="BN48" s="86">
        <v>11</v>
      </c>
      <c r="BO48" s="192">
        <v>2</v>
      </c>
      <c r="BP48" s="192">
        <v>2</v>
      </c>
      <c r="BQ48" s="192"/>
      <c r="BR48" s="200">
        <v>1</v>
      </c>
      <c r="BS48" s="86">
        <v>5</v>
      </c>
      <c r="BT48" s="192">
        <v>1</v>
      </c>
      <c r="BU48" s="192">
        <v>2</v>
      </c>
      <c r="BV48" s="192">
        <v>1</v>
      </c>
      <c r="BW48" s="200">
        <v>4</v>
      </c>
      <c r="BX48" s="86">
        <v>8</v>
      </c>
      <c r="BY48" s="192">
        <v>4</v>
      </c>
      <c r="BZ48" s="192">
        <v>1</v>
      </c>
      <c r="CA48" s="192">
        <v>4</v>
      </c>
      <c r="CB48" s="200">
        <v>3</v>
      </c>
      <c r="CC48" s="86">
        <v>12</v>
      </c>
      <c r="CD48" s="192">
        <v>3</v>
      </c>
      <c r="CE48" s="192">
        <v>2</v>
      </c>
      <c r="CF48" s="192">
        <v>10</v>
      </c>
      <c r="CG48" s="200">
        <v>4</v>
      </c>
      <c r="CH48" s="86">
        <v>19</v>
      </c>
      <c r="CI48" s="119">
        <v>4</v>
      </c>
      <c r="CJ48" s="119">
        <v>7</v>
      </c>
      <c r="CK48" s="113">
        <v>11</v>
      </c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</row>
    <row r="49" spans="1:168" s="92" customFormat="1">
      <c r="A49" s="85" t="s">
        <v>29</v>
      </c>
      <c r="B49" s="192">
        <v>16</v>
      </c>
      <c r="C49" s="192">
        <v>11</v>
      </c>
      <c r="D49" s="192">
        <v>7</v>
      </c>
      <c r="E49" s="200">
        <v>21</v>
      </c>
      <c r="F49" s="86">
        <v>55</v>
      </c>
      <c r="G49" s="192">
        <v>13</v>
      </c>
      <c r="H49" s="192">
        <v>18</v>
      </c>
      <c r="I49" s="192">
        <v>22</v>
      </c>
      <c r="J49" s="200">
        <v>17</v>
      </c>
      <c r="K49" s="86">
        <v>70</v>
      </c>
      <c r="L49" s="192">
        <v>22</v>
      </c>
      <c r="M49" s="192">
        <v>32</v>
      </c>
      <c r="N49" s="192">
        <v>12</v>
      </c>
      <c r="O49" s="200">
        <v>26</v>
      </c>
      <c r="P49" s="86">
        <v>92</v>
      </c>
      <c r="Q49" s="192">
        <v>24</v>
      </c>
      <c r="R49" s="192">
        <v>31</v>
      </c>
      <c r="S49" s="192">
        <v>39</v>
      </c>
      <c r="T49" s="200">
        <v>27</v>
      </c>
      <c r="U49" s="86">
        <v>121</v>
      </c>
      <c r="V49" s="192">
        <v>33</v>
      </c>
      <c r="W49" s="192">
        <v>50</v>
      </c>
      <c r="X49" s="192">
        <v>52</v>
      </c>
      <c r="Y49" s="200">
        <v>95</v>
      </c>
      <c r="Z49" s="86">
        <v>230</v>
      </c>
      <c r="AA49" s="192">
        <v>82</v>
      </c>
      <c r="AB49" s="192">
        <v>75</v>
      </c>
      <c r="AC49" s="192">
        <v>72</v>
      </c>
      <c r="AD49" s="200">
        <v>51</v>
      </c>
      <c r="AE49" s="86">
        <v>280</v>
      </c>
      <c r="AF49" s="192">
        <v>32</v>
      </c>
      <c r="AG49" s="192">
        <v>14</v>
      </c>
      <c r="AH49" s="192">
        <v>22</v>
      </c>
      <c r="AI49" s="200">
        <v>14</v>
      </c>
      <c r="AJ49" s="86">
        <v>82</v>
      </c>
      <c r="AK49" s="192">
        <v>10</v>
      </c>
      <c r="AL49" s="192">
        <v>14</v>
      </c>
      <c r="AM49" s="192">
        <v>14</v>
      </c>
      <c r="AN49" s="200">
        <v>10</v>
      </c>
      <c r="AO49" s="86">
        <v>48</v>
      </c>
      <c r="AP49" s="192">
        <v>9</v>
      </c>
      <c r="AQ49" s="192">
        <v>8</v>
      </c>
      <c r="AR49" s="192">
        <v>8</v>
      </c>
      <c r="AS49" s="200">
        <v>6</v>
      </c>
      <c r="AT49" s="86">
        <v>31</v>
      </c>
      <c r="AU49" s="192">
        <v>10</v>
      </c>
      <c r="AV49" s="192">
        <v>10</v>
      </c>
      <c r="AW49" s="192">
        <v>7</v>
      </c>
      <c r="AX49" s="200">
        <v>10</v>
      </c>
      <c r="AY49" s="86">
        <v>37</v>
      </c>
      <c r="AZ49" s="192">
        <v>10</v>
      </c>
      <c r="BA49" s="192">
        <v>8</v>
      </c>
      <c r="BB49" s="192">
        <v>10</v>
      </c>
      <c r="BC49" s="200">
        <v>12</v>
      </c>
      <c r="BD49" s="86">
        <v>40</v>
      </c>
      <c r="BE49" s="192">
        <v>9</v>
      </c>
      <c r="BF49" s="192">
        <v>5</v>
      </c>
      <c r="BG49" s="192">
        <v>12</v>
      </c>
      <c r="BH49" s="200">
        <v>13</v>
      </c>
      <c r="BI49" s="86">
        <v>39</v>
      </c>
      <c r="BJ49" s="192">
        <v>12</v>
      </c>
      <c r="BK49" s="192">
        <v>13</v>
      </c>
      <c r="BL49" s="192">
        <v>10</v>
      </c>
      <c r="BM49" s="200">
        <v>8</v>
      </c>
      <c r="BN49" s="86">
        <v>43</v>
      </c>
      <c r="BO49" s="192">
        <v>10</v>
      </c>
      <c r="BP49" s="192">
        <v>16</v>
      </c>
      <c r="BQ49" s="192">
        <v>10</v>
      </c>
      <c r="BR49" s="200">
        <v>6</v>
      </c>
      <c r="BS49" s="86">
        <v>42</v>
      </c>
      <c r="BT49" s="192">
        <v>8</v>
      </c>
      <c r="BU49" s="192">
        <v>8</v>
      </c>
      <c r="BV49" s="192">
        <v>9</v>
      </c>
      <c r="BW49" s="200">
        <v>12</v>
      </c>
      <c r="BX49" s="86">
        <v>37</v>
      </c>
      <c r="BY49" s="192">
        <v>5</v>
      </c>
      <c r="BZ49" s="192">
        <v>7</v>
      </c>
      <c r="CA49" s="192">
        <v>9</v>
      </c>
      <c r="CB49" s="200">
        <v>9</v>
      </c>
      <c r="CC49" s="86">
        <v>30</v>
      </c>
      <c r="CD49" s="192">
        <v>10</v>
      </c>
      <c r="CE49" s="192">
        <v>23</v>
      </c>
      <c r="CF49" s="192">
        <v>15</v>
      </c>
      <c r="CG49" s="200">
        <v>13</v>
      </c>
      <c r="CH49" s="86">
        <v>61</v>
      </c>
      <c r="CI49" s="119">
        <v>7</v>
      </c>
      <c r="CJ49" s="119">
        <v>15</v>
      </c>
      <c r="CK49" s="113">
        <v>22</v>
      </c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</row>
    <row r="50" spans="1:168" s="92" customFormat="1">
      <c r="A50" s="85" t="s">
        <v>30</v>
      </c>
      <c r="B50" s="192">
        <v>16</v>
      </c>
      <c r="C50" s="192">
        <v>16</v>
      </c>
      <c r="D50" s="192">
        <v>15</v>
      </c>
      <c r="E50" s="200">
        <v>15</v>
      </c>
      <c r="F50" s="86">
        <v>62</v>
      </c>
      <c r="G50" s="192">
        <v>19</v>
      </c>
      <c r="H50" s="192">
        <v>15</v>
      </c>
      <c r="I50" s="192">
        <v>18</v>
      </c>
      <c r="J50" s="200">
        <v>19</v>
      </c>
      <c r="K50" s="86">
        <v>71</v>
      </c>
      <c r="L50" s="192">
        <v>25</v>
      </c>
      <c r="M50" s="192">
        <v>22</v>
      </c>
      <c r="N50" s="192">
        <v>37</v>
      </c>
      <c r="O50" s="200">
        <v>31</v>
      </c>
      <c r="P50" s="86">
        <v>115</v>
      </c>
      <c r="Q50" s="192">
        <v>27</v>
      </c>
      <c r="R50" s="192">
        <v>29</v>
      </c>
      <c r="S50" s="192">
        <v>33</v>
      </c>
      <c r="T50" s="200">
        <v>33</v>
      </c>
      <c r="U50" s="86">
        <v>122</v>
      </c>
      <c r="V50" s="192">
        <v>29</v>
      </c>
      <c r="W50" s="192">
        <v>32</v>
      </c>
      <c r="X50" s="192">
        <v>39</v>
      </c>
      <c r="Y50" s="200">
        <v>50</v>
      </c>
      <c r="Z50" s="86">
        <v>150</v>
      </c>
      <c r="AA50" s="192">
        <v>53</v>
      </c>
      <c r="AB50" s="192">
        <v>63</v>
      </c>
      <c r="AC50" s="192">
        <v>67</v>
      </c>
      <c r="AD50" s="200">
        <v>71</v>
      </c>
      <c r="AE50" s="86">
        <v>254</v>
      </c>
      <c r="AF50" s="192">
        <v>52</v>
      </c>
      <c r="AG50" s="192">
        <v>56</v>
      </c>
      <c r="AH50" s="192">
        <v>53</v>
      </c>
      <c r="AI50" s="200">
        <v>47</v>
      </c>
      <c r="AJ50" s="86">
        <v>208</v>
      </c>
      <c r="AK50" s="192">
        <v>46</v>
      </c>
      <c r="AL50" s="192">
        <v>46</v>
      </c>
      <c r="AM50" s="192">
        <v>44</v>
      </c>
      <c r="AN50" s="200">
        <v>36</v>
      </c>
      <c r="AO50" s="86">
        <v>172</v>
      </c>
      <c r="AP50" s="192">
        <v>52</v>
      </c>
      <c r="AQ50" s="192">
        <v>51</v>
      </c>
      <c r="AR50" s="192">
        <v>49</v>
      </c>
      <c r="AS50" s="200">
        <v>61</v>
      </c>
      <c r="AT50" s="86">
        <v>213</v>
      </c>
      <c r="AU50" s="192">
        <v>65</v>
      </c>
      <c r="AV50" s="192">
        <v>78</v>
      </c>
      <c r="AW50" s="192">
        <v>42</v>
      </c>
      <c r="AX50" s="200">
        <v>73</v>
      </c>
      <c r="AY50" s="86">
        <v>258</v>
      </c>
      <c r="AZ50" s="192">
        <v>52</v>
      </c>
      <c r="BA50" s="192">
        <v>58</v>
      </c>
      <c r="BB50" s="192">
        <v>57</v>
      </c>
      <c r="BC50" s="200">
        <v>54</v>
      </c>
      <c r="BD50" s="86">
        <v>221</v>
      </c>
      <c r="BE50" s="192">
        <v>66</v>
      </c>
      <c r="BF50" s="192">
        <v>66</v>
      </c>
      <c r="BG50" s="192">
        <v>68</v>
      </c>
      <c r="BH50" s="200">
        <v>63</v>
      </c>
      <c r="BI50" s="86">
        <v>263</v>
      </c>
      <c r="BJ50" s="192">
        <v>50</v>
      </c>
      <c r="BK50" s="192">
        <v>59</v>
      </c>
      <c r="BL50" s="192">
        <v>58</v>
      </c>
      <c r="BM50" s="200">
        <v>54</v>
      </c>
      <c r="BN50" s="86">
        <v>221</v>
      </c>
      <c r="BO50" s="192">
        <v>57</v>
      </c>
      <c r="BP50" s="192">
        <v>47</v>
      </c>
      <c r="BQ50" s="192">
        <v>60</v>
      </c>
      <c r="BR50" s="200">
        <v>42</v>
      </c>
      <c r="BS50" s="86">
        <v>206</v>
      </c>
      <c r="BT50" s="192">
        <v>22</v>
      </c>
      <c r="BU50" s="192">
        <v>27</v>
      </c>
      <c r="BV50" s="192">
        <v>32</v>
      </c>
      <c r="BW50" s="200">
        <v>44</v>
      </c>
      <c r="BX50" s="86">
        <v>125</v>
      </c>
      <c r="BY50" s="192">
        <v>36</v>
      </c>
      <c r="BZ50" s="192">
        <v>36</v>
      </c>
      <c r="CA50" s="192">
        <v>43</v>
      </c>
      <c r="CB50" s="200">
        <v>23</v>
      </c>
      <c r="CC50" s="86">
        <v>138</v>
      </c>
      <c r="CD50" s="192">
        <v>25</v>
      </c>
      <c r="CE50" s="192">
        <v>32</v>
      </c>
      <c r="CF50" s="192">
        <v>37</v>
      </c>
      <c r="CG50" s="200">
        <v>36</v>
      </c>
      <c r="CH50" s="86">
        <v>130</v>
      </c>
      <c r="CI50" s="119">
        <v>27</v>
      </c>
      <c r="CJ50" s="119">
        <v>31</v>
      </c>
      <c r="CK50" s="113">
        <v>58</v>
      </c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</row>
    <row r="51" spans="1:168" s="92" customFormat="1">
      <c r="A51" s="85" t="s">
        <v>31</v>
      </c>
      <c r="B51" s="192">
        <v>101</v>
      </c>
      <c r="C51" s="192">
        <v>119</v>
      </c>
      <c r="D51" s="192">
        <v>95</v>
      </c>
      <c r="E51" s="200">
        <v>122</v>
      </c>
      <c r="F51" s="86">
        <v>437</v>
      </c>
      <c r="G51" s="192">
        <v>148</v>
      </c>
      <c r="H51" s="192">
        <v>182</v>
      </c>
      <c r="I51" s="192">
        <v>163</v>
      </c>
      <c r="J51" s="200">
        <v>195</v>
      </c>
      <c r="K51" s="86">
        <v>688</v>
      </c>
      <c r="L51" s="192">
        <v>205</v>
      </c>
      <c r="M51" s="192">
        <v>196</v>
      </c>
      <c r="N51" s="192">
        <v>205</v>
      </c>
      <c r="O51" s="200">
        <v>213</v>
      </c>
      <c r="P51" s="86">
        <v>819</v>
      </c>
      <c r="Q51" s="192">
        <v>224</v>
      </c>
      <c r="R51" s="192">
        <v>251</v>
      </c>
      <c r="S51" s="192">
        <v>226</v>
      </c>
      <c r="T51" s="200">
        <v>269</v>
      </c>
      <c r="U51" s="86">
        <v>970</v>
      </c>
      <c r="V51" s="192">
        <v>229</v>
      </c>
      <c r="W51" s="192">
        <v>355</v>
      </c>
      <c r="X51" s="192">
        <v>380</v>
      </c>
      <c r="Y51" s="200">
        <v>444</v>
      </c>
      <c r="Z51" s="86">
        <v>1408</v>
      </c>
      <c r="AA51" s="192">
        <v>556</v>
      </c>
      <c r="AB51" s="192">
        <v>597</v>
      </c>
      <c r="AC51" s="192">
        <v>523</v>
      </c>
      <c r="AD51" s="200">
        <v>476</v>
      </c>
      <c r="AE51" s="86">
        <v>2152</v>
      </c>
      <c r="AF51" s="192">
        <v>347</v>
      </c>
      <c r="AG51" s="192">
        <v>359</v>
      </c>
      <c r="AH51" s="192">
        <v>284</v>
      </c>
      <c r="AI51" s="200">
        <v>300</v>
      </c>
      <c r="AJ51" s="86">
        <v>1290</v>
      </c>
      <c r="AK51" s="192">
        <v>254</v>
      </c>
      <c r="AL51" s="192">
        <v>268</v>
      </c>
      <c r="AM51" s="192">
        <v>237</v>
      </c>
      <c r="AN51" s="200">
        <v>239</v>
      </c>
      <c r="AO51" s="86">
        <v>998</v>
      </c>
      <c r="AP51" s="192">
        <v>246</v>
      </c>
      <c r="AQ51" s="192">
        <v>250</v>
      </c>
      <c r="AR51" s="192">
        <v>213</v>
      </c>
      <c r="AS51" s="200">
        <v>243</v>
      </c>
      <c r="AT51" s="86">
        <v>952</v>
      </c>
      <c r="AU51" s="192">
        <v>224</v>
      </c>
      <c r="AV51" s="192">
        <v>263</v>
      </c>
      <c r="AW51" s="192">
        <v>205</v>
      </c>
      <c r="AX51" s="200">
        <v>252</v>
      </c>
      <c r="AY51" s="86">
        <v>944</v>
      </c>
      <c r="AZ51" s="192">
        <v>228</v>
      </c>
      <c r="BA51" s="192">
        <v>242</v>
      </c>
      <c r="BB51" s="192">
        <v>237</v>
      </c>
      <c r="BC51" s="200">
        <v>230</v>
      </c>
      <c r="BD51" s="86">
        <v>937</v>
      </c>
      <c r="BE51" s="192">
        <v>241</v>
      </c>
      <c r="BF51" s="192">
        <v>279</v>
      </c>
      <c r="BG51" s="192">
        <v>230</v>
      </c>
      <c r="BH51" s="200">
        <v>261</v>
      </c>
      <c r="BI51" s="86">
        <v>1011</v>
      </c>
      <c r="BJ51" s="192">
        <v>243</v>
      </c>
      <c r="BK51" s="192">
        <v>279</v>
      </c>
      <c r="BL51" s="192">
        <v>233</v>
      </c>
      <c r="BM51" s="200">
        <v>290</v>
      </c>
      <c r="BN51" s="86">
        <v>1045</v>
      </c>
      <c r="BO51" s="192">
        <v>276</v>
      </c>
      <c r="BP51" s="192">
        <v>268</v>
      </c>
      <c r="BQ51" s="192">
        <v>262</v>
      </c>
      <c r="BR51" s="200">
        <v>260</v>
      </c>
      <c r="BS51" s="86">
        <v>1066</v>
      </c>
      <c r="BT51" s="192">
        <v>188</v>
      </c>
      <c r="BU51" s="192">
        <v>184</v>
      </c>
      <c r="BV51" s="192">
        <v>171</v>
      </c>
      <c r="BW51" s="200">
        <v>242</v>
      </c>
      <c r="BX51" s="86">
        <v>785</v>
      </c>
      <c r="BY51" s="192">
        <v>200</v>
      </c>
      <c r="BZ51" s="192">
        <v>278</v>
      </c>
      <c r="CA51" s="192">
        <v>239</v>
      </c>
      <c r="CB51" s="200">
        <v>275</v>
      </c>
      <c r="CC51" s="86">
        <v>992</v>
      </c>
      <c r="CD51" s="192">
        <v>233</v>
      </c>
      <c r="CE51" s="192">
        <v>290</v>
      </c>
      <c r="CF51" s="192">
        <v>296</v>
      </c>
      <c r="CG51" s="200">
        <v>272</v>
      </c>
      <c r="CH51" s="86">
        <v>1091</v>
      </c>
      <c r="CI51" s="119">
        <v>251</v>
      </c>
      <c r="CJ51" s="119">
        <v>290</v>
      </c>
      <c r="CK51" s="113">
        <v>541</v>
      </c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</row>
    <row r="52" spans="1:168" s="92" customFormat="1" ht="13.5" thickBot="1">
      <c r="A52" s="85" t="s">
        <v>32</v>
      </c>
      <c r="B52" s="193">
        <v>27</v>
      </c>
      <c r="C52" s="193">
        <v>37</v>
      </c>
      <c r="D52" s="193">
        <v>39</v>
      </c>
      <c r="E52" s="201">
        <v>38</v>
      </c>
      <c r="F52" s="130">
        <v>141</v>
      </c>
      <c r="G52" s="193">
        <v>45</v>
      </c>
      <c r="H52" s="193">
        <v>54</v>
      </c>
      <c r="I52" s="193">
        <v>54</v>
      </c>
      <c r="J52" s="201">
        <v>57</v>
      </c>
      <c r="K52" s="130">
        <v>210</v>
      </c>
      <c r="L52" s="193">
        <v>66</v>
      </c>
      <c r="M52" s="193">
        <v>64</v>
      </c>
      <c r="N52" s="193">
        <v>62</v>
      </c>
      <c r="O52" s="201">
        <v>75</v>
      </c>
      <c r="P52" s="130">
        <v>267</v>
      </c>
      <c r="Q52" s="193">
        <v>67</v>
      </c>
      <c r="R52" s="193">
        <v>82</v>
      </c>
      <c r="S52" s="193">
        <v>99</v>
      </c>
      <c r="T52" s="201">
        <v>89</v>
      </c>
      <c r="U52" s="130">
        <v>337</v>
      </c>
      <c r="V52" s="193">
        <v>91</v>
      </c>
      <c r="W52" s="193">
        <v>122</v>
      </c>
      <c r="X52" s="193">
        <v>131</v>
      </c>
      <c r="Y52" s="201">
        <v>182</v>
      </c>
      <c r="Z52" s="130">
        <v>526</v>
      </c>
      <c r="AA52" s="193">
        <v>228</v>
      </c>
      <c r="AB52" s="193">
        <v>216</v>
      </c>
      <c r="AC52" s="193">
        <v>218</v>
      </c>
      <c r="AD52" s="201">
        <v>199</v>
      </c>
      <c r="AE52" s="130">
        <v>861</v>
      </c>
      <c r="AF52" s="193">
        <v>149</v>
      </c>
      <c r="AG52" s="193">
        <v>120</v>
      </c>
      <c r="AH52" s="193">
        <v>109</v>
      </c>
      <c r="AI52" s="201">
        <v>106</v>
      </c>
      <c r="AJ52" s="130">
        <v>484</v>
      </c>
      <c r="AK52" s="193">
        <v>85</v>
      </c>
      <c r="AL52" s="193">
        <v>67</v>
      </c>
      <c r="AM52" s="193">
        <v>60</v>
      </c>
      <c r="AN52" s="201">
        <v>62</v>
      </c>
      <c r="AO52" s="130">
        <v>274</v>
      </c>
      <c r="AP52" s="193">
        <v>59</v>
      </c>
      <c r="AQ52" s="193">
        <v>56</v>
      </c>
      <c r="AR52" s="193">
        <v>52</v>
      </c>
      <c r="AS52" s="201">
        <v>49</v>
      </c>
      <c r="AT52" s="130">
        <v>216</v>
      </c>
      <c r="AU52" s="193">
        <v>60</v>
      </c>
      <c r="AV52" s="193">
        <v>51</v>
      </c>
      <c r="AW52" s="193">
        <v>58</v>
      </c>
      <c r="AX52" s="201">
        <v>57</v>
      </c>
      <c r="AY52" s="130">
        <v>226</v>
      </c>
      <c r="AZ52" s="193">
        <v>43</v>
      </c>
      <c r="BA52" s="193">
        <v>61</v>
      </c>
      <c r="BB52" s="193">
        <v>61</v>
      </c>
      <c r="BC52" s="201">
        <v>69</v>
      </c>
      <c r="BD52" s="130">
        <v>234</v>
      </c>
      <c r="BE52" s="193">
        <v>68</v>
      </c>
      <c r="BF52" s="193">
        <v>80</v>
      </c>
      <c r="BG52" s="193">
        <v>80</v>
      </c>
      <c r="BH52" s="201">
        <v>79</v>
      </c>
      <c r="BI52" s="130">
        <v>307</v>
      </c>
      <c r="BJ52" s="193">
        <v>65</v>
      </c>
      <c r="BK52" s="193">
        <v>78</v>
      </c>
      <c r="BL52" s="193">
        <v>80</v>
      </c>
      <c r="BM52" s="201">
        <v>62</v>
      </c>
      <c r="BN52" s="130">
        <v>285</v>
      </c>
      <c r="BO52" s="193">
        <v>55</v>
      </c>
      <c r="BP52" s="193">
        <v>66</v>
      </c>
      <c r="BQ52" s="193">
        <v>48</v>
      </c>
      <c r="BR52" s="201">
        <v>62</v>
      </c>
      <c r="BS52" s="130">
        <v>231</v>
      </c>
      <c r="BT52" s="193">
        <v>32</v>
      </c>
      <c r="BU52" s="193">
        <v>36</v>
      </c>
      <c r="BV52" s="193">
        <v>25</v>
      </c>
      <c r="BW52" s="201">
        <v>43</v>
      </c>
      <c r="BX52" s="130">
        <v>136</v>
      </c>
      <c r="BY52" s="193">
        <v>33</v>
      </c>
      <c r="BZ52" s="193">
        <v>29</v>
      </c>
      <c r="CA52" s="193">
        <v>39</v>
      </c>
      <c r="CB52" s="201">
        <v>33</v>
      </c>
      <c r="CC52" s="130">
        <v>134</v>
      </c>
      <c r="CD52" s="193">
        <v>34</v>
      </c>
      <c r="CE52" s="193">
        <v>29</v>
      </c>
      <c r="CF52" s="193">
        <v>36</v>
      </c>
      <c r="CG52" s="201">
        <v>34</v>
      </c>
      <c r="CH52" s="130">
        <v>133</v>
      </c>
      <c r="CI52" s="120">
        <v>21</v>
      </c>
      <c r="CJ52" s="120">
        <v>36</v>
      </c>
      <c r="CK52" s="115">
        <v>57</v>
      </c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</row>
    <row r="53" spans="1:168" s="92" customFormat="1" ht="14.25" thickTop="1" thickBot="1">
      <c r="A53" s="101" t="s">
        <v>4</v>
      </c>
      <c r="B53" s="194">
        <v>505</v>
      </c>
      <c r="C53" s="194">
        <v>467</v>
      </c>
      <c r="D53" s="194">
        <v>434</v>
      </c>
      <c r="E53" s="202">
        <v>490</v>
      </c>
      <c r="F53" s="131">
        <v>1896</v>
      </c>
      <c r="G53" s="194">
        <v>586</v>
      </c>
      <c r="H53" s="194">
        <v>676</v>
      </c>
      <c r="I53" s="194">
        <v>603</v>
      </c>
      <c r="J53" s="202">
        <v>774</v>
      </c>
      <c r="K53" s="131">
        <v>2639</v>
      </c>
      <c r="L53" s="194">
        <v>774</v>
      </c>
      <c r="M53" s="194">
        <v>779</v>
      </c>
      <c r="N53" s="194">
        <v>758</v>
      </c>
      <c r="O53" s="202">
        <v>914</v>
      </c>
      <c r="P53" s="131">
        <v>3225</v>
      </c>
      <c r="Q53" s="194">
        <v>868</v>
      </c>
      <c r="R53" s="194">
        <v>911</v>
      </c>
      <c r="S53" s="194">
        <v>924</v>
      </c>
      <c r="T53" s="202">
        <v>1024</v>
      </c>
      <c r="U53" s="131">
        <v>3727</v>
      </c>
      <c r="V53" s="194">
        <v>936</v>
      </c>
      <c r="W53" s="194">
        <v>1332</v>
      </c>
      <c r="X53" s="194">
        <v>1441</v>
      </c>
      <c r="Y53" s="202">
        <v>1888</v>
      </c>
      <c r="Z53" s="131">
        <v>5597</v>
      </c>
      <c r="AA53" s="194">
        <v>2164</v>
      </c>
      <c r="AB53" s="194">
        <v>2139</v>
      </c>
      <c r="AC53" s="194">
        <v>1954</v>
      </c>
      <c r="AD53" s="202">
        <v>1777</v>
      </c>
      <c r="AE53" s="131">
        <v>8034</v>
      </c>
      <c r="AF53" s="194">
        <v>1319</v>
      </c>
      <c r="AG53" s="194">
        <v>1238</v>
      </c>
      <c r="AH53" s="194">
        <v>1029</v>
      </c>
      <c r="AI53" s="202">
        <v>1002</v>
      </c>
      <c r="AJ53" s="131">
        <v>4588</v>
      </c>
      <c r="AK53" s="194">
        <v>862</v>
      </c>
      <c r="AL53" s="194">
        <v>879</v>
      </c>
      <c r="AM53" s="194">
        <v>708</v>
      </c>
      <c r="AN53" s="202">
        <v>752</v>
      </c>
      <c r="AO53" s="131">
        <v>3201</v>
      </c>
      <c r="AP53" s="194">
        <v>721</v>
      </c>
      <c r="AQ53" s="194">
        <v>753</v>
      </c>
      <c r="AR53" s="194">
        <v>728</v>
      </c>
      <c r="AS53" s="202">
        <v>805</v>
      </c>
      <c r="AT53" s="131">
        <v>3007</v>
      </c>
      <c r="AU53" s="194">
        <v>738</v>
      </c>
      <c r="AV53" s="194">
        <v>876</v>
      </c>
      <c r="AW53" s="194">
        <v>716</v>
      </c>
      <c r="AX53" s="202">
        <v>868</v>
      </c>
      <c r="AY53" s="131">
        <v>3198</v>
      </c>
      <c r="AZ53" s="194">
        <v>759</v>
      </c>
      <c r="BA53" s="194">
        <v>857</v>
      </c>
      <c r="BB53" s="194">
        <v>810</v>
      </c>
      <c r="BC53" s="202">
        <v>859</v>
      </c>
      <c r="BD53" s="131">
        <v>3285</v>
      </c>
      <c r="BE53" s="194">
        <v>901</v>
      </c>
      <c r="BF53" s="194">
        <v>1004</v>
      </c>
      <c r="BG53" s="194">
        <v>948</v>
      </c>
      <c r="BH53" s="202">
        <v>1005</v>
      </c>
      <c r="BI53" s="131">
        <v>3858</v>
      </c>
      <c r="BJ53" s="194">
        <v>904</v>
      </c>
      <c r="BK53" s="194">
        <v>1098</v>
      </c>
      <c r="BL53" s="194">
        <v>1041</v>
      </c>
      <c r="BM53" s="202">
        <v>1137</v>
      </c>
      <c r="BN53" s="131">
        <v>4180</v>
      </c>
      <c r="BO53" s="194">
        <v>1054</v>
      </c>
      <c r="BP53" s="194">
        <v>1104</v>
      </c>
      <c r="BQ53" s="194">
        <v>1045</v>
      </c>
      <c r="BR53" s="202">
        <v>953</v>
      </c>
      <c r="BS53" s="131">
        <v>4156</v>
      </c>
      <c r="BT53" s="194">
        <v>673</v>
      </c>
      <c r="BU53" s="194">
        <v>758</v>
      </c>
      <c r="BV53" s="194">
        <v>749</v>
      </c>
      <c r="BW53" s="202">
        <v>929</v>
      </c>
      <c r="BX53" s="131">
        <v>3109</v>
      </c>
      <c r="BY53" s="194">
        <v>809</v>
      </c>
      <c r="BZ53" s="194">
        <v>1015</v>
      </c>
      <c r="CA53" s="194">
        <v>879</v>
      </c>
      <c r="CB53" s="202">
        <v>895</v>
      </c>
      <c r="CC53" s="131">
        <v>3598</v>
      </c>
      <c r="CD53" s="194">
        <v>885</v>
      </c>
      <c r="CE53" s="194">
        <v>1057</v>
      </c>
      <c r="CF53" s="194">
        <v>971</v>
      </c>
      <c r="CG53" s="202">
        <v>921</v>
      </c>
      <c r="CH53" s="131">
        <v>3834</v>
      </c>
      <c r="CI53" s="203">
        <v>809</v>
      </c>
      <c r="CJ53" s="203">
        <v>898</v>
      </c>
      <c r="CK53" s="131">
        <v>1707</v>
      </c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</row>
    <row r="54" spans="1:168">
      <c r="BV54" s="6"/>
    </row>
    <row r="55" spans="1:168">
      <c r="B55" t="s">
        <v>55</v>
      </c>
      <c r="BV55" s="6"/>
    </row>
    <row r="56" spans="1:168">
      <c r="BV56" s="6"/>
    </row>
    <row r="57" spans="1:168" s="17" customFormat="1">
      <c r="A57" s="8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8"/>
      <c r="AZ57" s="20"/>
      <c r="BA57" s="20"/>
    </row>
    <row r="58" spans="1:168" s="17" customForma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Z58" s="20"/>
      <c r="BA58" s="20"/>
    </row>
    <row r="59" spans="1:168" s="17" customForma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Z59" s="20"/>
      <c r="BA59" s="20"/>
    </row>
    <row r="60" spans="1:168" s="17" customForma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Z60" s="20"/>
      <c r="BA60" s="20"/>
    </row>
    <row r="61" spans="1:168" s="17" customForma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Z61" s="20"/>
      <c r="BA61" s="20"/>
    </row>
    <row r="62" spans="1:168" s="17" customForma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Z62" s="20"/>
      <c r="BA62" s="20"/>
    </row>
    <row r="63" spans="1:168" s="17" customForma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Z63" s="20"/>
      <c r="BA63" s="20"/>
    </row>
    <row r="64" spans="1:168" s="17" customForma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Z64" s="20"/>
      <c r="BA64" s="20"/>
    </row>
    <row r="65" spans="1:53" s="17" customForma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Z65" s="20"/>
      <c r="BA65" s="20"/>
    </row>
    <row r="66" spans="1:53" s="17" customForma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Z66" s="20"/>
      <c r="BA66" s="20"/>
    </row>
    <row r="67" spans="1:53" s="17" customForma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Z67" s="20"/>
      <c r="BA67" s="20"/>
    </row>
    <row r="68" spans="1:53" s="17" customForma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Z68" s="20"/>
      <c r="BA68" s="20"/>
    </row>
    <row r="69" spans="1:53" s="17" customForma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Z69" s="20"/>
      <c r="BA69" s="20"/>
    </row>
    <row r="70" spans="1:53" s="17" customForma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Z70" s="20"/>
      <c r="BA70" s="20"/>
    </row>
    <row r="71" spans="1:53" s="17" customForma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Z71" s="20"/>
      <c r="BA71" s="20"/>
    </row>
    <row r="72" spans="1:53" s="17" customForma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Z72" s="20"/>
      <c r="BA72" s="20"/>
    </row>
    <row r="73" spans="1:53" s="17" customForma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Z73" s="20"/>
      <c r="BA73" s="20"/>
    </row>
    <row r="74" spans="1:53" s="17" customForma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Z74" s="20"/>
      <c r="BA74" s="20"/>
    </row>
    <row r="75" spans="1:53" s="17" customForma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Z75" s="20"/>
      <c r="BA75" s="20"/>
    </row>
    <row r="76" spans="1:53" s="17" customForma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Z76" s="20"/>
      <c r="BA76" s="20"/>
    </row>
    <row r="77" spans="1:53" s="17" customForma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Z77" s="20"/>
      <c r="BA77" s="20"/>
    </row>
    <row r="78" spans="1:53" s="17" customForma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Z78" s="20"/>
      <c r="BA78" s="20"/>
    </row>
    <row r="79" spans="1:53" s="17" customForma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Z79" s="20"/>
      <c r="BA79" s="20"/>
    </row>
    <row r="80" spans="1:53" s="17" customForma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Z80" s="20"/>
      <c r="BA80" s="20"/>
    </row>
    <row r="81" spans="1:53" s="17" customForma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Z81" s="20"/>
      <c r="BA81" s="20"/>
    </row>
    <row r="82" spans="1:53" s="17" customForma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Z82" s="20"/>
      <c r="BA82" s="20"/>
    </row>
    <row r="83" spans="1:53" s="17" customForma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Z83" s="20"/>
      <c r="BA83" s="20"/>
    </row>
    <row r="84" spans="1:53" s="17" customForma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Z84" s="20"/>
      <c r="BA84" s="20"/>
    </row>
    <row r="85" spans="1:53" s="17" customForma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Z85" s="20"/>
      <c r="BA85" s="20"/>
    </row>
    <row r="86" spans="1:53" s="17" customForma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Z86" s="20"/>
      <c r="BA86" s="20"/>
    </row>
    <row r="87" spans="1:53" s="17" customForma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Z87" s="20"/>
      <c r="BA87" s="20"/>
    </row>
    <row r="88" spans="1:53" s="17" customForma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Z88" s="20"/>
      <c r="BA88" s="20"/>
    </row>
    <row r="89" spans="1:53" s="17" customForma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Z89" s="20"/>
      <c r="BA89" s="20"/>
    </row>
    <row r="90" spans="1:53" s="17" customForma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Z90" s="20"/>
      <c r="BA90" s="20"/>
    </row>
    <row r="91" spans="1:53" s="17" customForma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Z91" s="20"/>
      <c r="BA91" s="20"/>
    </row>
    <row r="92" spans="1:53" s="17" customForma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Z92" s="20"/>
      <c r="BA92" s="20"/>
    </row>
    <row r="93" spans="1:53" s="17" customForma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Z93" s="20"/>
      <c r="BA93" s="20"/>
    </row>
    <row r="94" spans="1:53" s="17" customForma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Z94" s="20"/>
      <c r="BA94" s="20"/>
    </row>
    <row r="95" spans="1:53" s="17" customForma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Z95" s="20"/>
      <c r="BA95" s="20"/>
    </row>
    <row r="96" spans="1:53" s="17" customForma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Z96" s="20"/>
      <c r="BA96" s="20"/>
    </row>
    <row r="97" spans="1:53" s="17" customForma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Z97" s="20"/>
      <c r="BA97" s="20"/>
    </row>
    <row r="98" spans="1:53" s="17" customForma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Z98" s="20"/>
      <c r="BA98" s="20"/>
    </row>
    <row r="99" spans="1:53" s="17" customForma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Z99" s="20"/>
      <c r="BA99" s="20"/>
    </row>
    <row r="100" spans="1:53" s="17" customForma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Z100" s="20"/>
      <c r="BA100" s="20"/>
    </row>
    <row r="101" spans="1:53" s="17" customForma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Z101" s="20"/>
      <c r="BA101" s="20"/>
    </row>
    <row r="102" spans="1:53" s="17" customForma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Z102" s="20"/>
      <c r="BA102" s="20"/>
    </row>
    <row r="103" spans="1:53" s="17" customForma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Z103" s="20"/>
      <c r="BA103" s="20"/>
    </row>
    <row r="104" spans="1:53" s="17" customForma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Z104" s="20"/>
      <c r="BA104" s="20"/>
    </row>
    <row r="105" spans="1:53" s="17" customForma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Z105" s="20"/>
      <c r="BA105" s="20"/>
    </row>
    <row r="106" spans="1:53" s="17" customForma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Z106" s="20"/>
      <c r="BA106" s="20"/>
    </row>
    <row r="107" spans="1:53" s="17" customForma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Z107" s="20"/>
      <c r="BA107" s="20"/>
    </row>
    <row r="108" spans="1:53" s="17" customForma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Z108" s="20"/>
      <c r="BA108" s="20"/>
    </row>
    <row r="109" spans="1:53" s="17" customForma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Z109" s="20"/>
      <c r="BA109" s="20"/>
    </row>
    <row r="110" spans="1:53" s="17" customForma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Z110" s="20"/>
      <c r="BA110" s="20"/>
    </row>
    <row r="111" spans="1:53" s="17" customForma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Z111" s="20"/>
      <c r="BA111" s="20"/>
    </row>
    <row r="112" spans="1:53" s="17" customForma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Z112" s="20"/>
      <c r="BA112" s="20"/>
    </row>
    <row r="113" spans="1:53" s="17" customForma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Z113" s="20"/>
      <c r="BA113" s="20"/>
    </row>
    <row r="114" spans="1:53" s="17" customForma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Z114" s="20"/>
      <c r="BA114" s="20"/>
    </row>
    <row r="115" spans="1:53" s="17" customForma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Z115" s="20"/>
      <c r="BA115" s="20"/>
    </row>
    <row r="116" spans="1:53" s="17" customForma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Z116" s="20"/>
      <c r="BA116" s="20"/>
    </row>
    <row r="117" spans="1:53" s="17" customForma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Z117" s="20"/>
      <c r="BA117" s="20"/>
    </row>
    <row r="118" spans="1:53" s="17" customForma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Z118" s="20"/>
      <c r="BA118" s="20"/>
    </row>
    <row r="119" spans="1:53" s="17" customForma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Z119" s="20"/>
      <c r="BA119" s="20"/>
    </row>
    <row r="120" spans="1:53" s="17" customForma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Z120" s="20"/>
      <c r="BA120" s="20"/>
    </row>
    <row r="121" spans="1:53" s="17" customForma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Z121" s="20"/>
      <c r="BA121" s="20"/>
    </row>
    <row r="122" spans="1:53" s="17" customForma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Z122" s="20"/>
      <c r="BA122" s="20"/>
    </row>
    <row r="123" spans="1:53" s="17" customForma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Z123" s="20"/>
      <c r="BA123" s="20"/>
    </row>
    <row r="124" spans="1:53" s="17" customForma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Z124" s="20"/>
      <c r="BA124" s="20"/>
    </row>
    <row r="125" spans="1:53" s="17" customForma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Z125" s="20"/>
      <c r="BA125" s="20"/>
    </row>
    <row r="126" spans="1:53" s="17" customForma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Z126" s="20"/>
      <c r="BA126" s="20"/>
    </row>
    <row r="127" spans="1:53" s="17" customForma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Z127" s="20"/>
      <c r="BA127" s="20"/>
    </row>
    <row r="128" spans="1:53" s="17" customForma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Z128" s="20"/>
      <c r="BA128" s="20"/>
    </row>
    <row r="129" spans="1:53" s="17" customForma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Z129" s="20"/>
      <c r="BA129" s="20"/>
    </row>
    <row r="130" spans="1:53" s="17" customForma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Z130" s="20"/>
      <c r="BA130" s="20"/>
    </row>
    <row r="131" spans="1:53" s="17" customForma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Z131" s="20"/>
      <c r="BA131" s="20"/>
    </row>
    <row r="132" spans="1:53" s="17" customForma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Z132" s="20"/>
      <c r="BA132" s="20"/>
    </row>
    <row r="133" spans="1:53" s="17" customForma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Z133" s="20"/>
      <c r="BA133" s="20"/>
    </row>
    <row r="134" spans="1:53" s="17" customForma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Z134" s="20"/>
      <c r="BA134" s="20"/>
    </row>
    <row r="135" spans="1:53" s="17" customForma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Z135" s="20"/>
      <c r="BA135" s="20"/>
    </row>
    <row r="136" spans="1:53" s="17" customForma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Z136" s="20"/>
      <c r="BA136" s="20"/>
    </row>
    <row r="137" spans="1:53" s="17" customForma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Z137" s="20"/>
      <c r="BA137" s="20"/>
    </row>
    <row r="138" spans="1:53" s="17" customForma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Z138" s="20"/>
      <c r="BA138" s="20"/>
    </row>
    <row r="139" spans="1:53" s="17" customForma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Z139" s="20"/>
      <c r="BA139" s="20"/>
    </row>
    <row r="140" spans="1:53" s="17" customForma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Z140" s="20"/>
      <c r="BA140" s="20"/>
    </row>
    <row r="141" spans="1:53" s="17" customForma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Z141" s="20"/>
      <c r="BA141" s="20"/>
    </row>
    <row r="142" spans="1:53" s="17" customForma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Z142" s="20"/>
      <c r="BA142" s="20"/>
    </row>
    <row r="143" spans="1:53" s="17" customForma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Z143" s="20"/>
      <c r="BA143" s="20"/>
    </row>
    <row r="144" spans="1:53" s="17" customForma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Z144" s="20"/>
      <c r="BA144" s="20"/>
    </row>
    <row r="145" spans="1:53" s="17" customForma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Z145" s="20"/>
      <c r="BA145" s="20"/>
    </row>
    <row r="146" spans="1:53" s="17" customForma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Z146" s="20"/>
      <c r="BA146" s="20"/>
    </row>
    <row r="147" spans="1:53" s="17" customForma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Z147" s="20"/>
      <c r="BA147" s="20"/>
    </row>
    <row r="148" spans="1:53" s="17" customForma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Z148" s="20"/>
      <c r="BA148" s="20"/>
    </row>
    <row r="149" spans="1:53" s="17" customForma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Z149" s="20"/>
      <c r="BA149" s="20"/>
    </row>
    <row r="150" spans="1:53" s="17" customForma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Z150" s="20"/>
      <c r="BA150" s="20"/>
    </row>
    <row r="151" spans="1:53" s="17" customForma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Z151" s="20"/>
      <c r="BA151" s="20"/>
    </row>
    <row r="152" spans="1:53" s="17" customForma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Z152" s="20"/>
      <c r="BA152" s="20"/>
    </row>
    <row r="153" spans="1:53" s="17" customForma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Z153" s="20"/>
      <c r="BA153" s="20"/>
    </row>
    <row r="154" spans="1:53" s="17" customForma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Z154" s="20"/>
      <c r="BA154" s="20"/>
    </row>
    <row r="155" spans="1:53" s="17" customForma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Z155" s="20"/>
      <c r="BA155" s="20"/>
    </row>
    <row r="156" spans="1:53" s="17" customForma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Z156" s="20"/>
      <c r="BA156" s="20"/>
    </row>
    <row r="157" spans="1:53" s="17" customForma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Z157" s="20"/>
      <c r="BA157" s="20"/>
    </row>
    <row r="158" spans="1:53" s="17" customForma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Z158" s="20"/>
      <c r="BA158" s="20"/>
    </row>
    <row r="159" spans="1:53" s="17" customForma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Z159" s="20"/>
      <c r="BA159" s="20"/>
    </row>
    <row r="160" spans="1:53" s="17" customForma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Z160" s="20"/>
      <c r="BA160" s="20"/>
    </row>
    <row r="161" spans="1:53" s="17" customForma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Z161" s="20"/>
      <c r="BA161" s="20"/>
    </row>
    <row r="162" spans="1:53" s="17" customForma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Z162" s="20"/>
      <c r="BA162" s="20"/>
    </row>
    <row r="163" spans="1:53" s="17" customForma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Z163" s="20"/>
      <c r="BA163" s="20"/>
    </row>
    <row r="164" spans="1:53" s="17" customForma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Z164" s="20"/>
      <c r="BA164" s="20"/>
    </row>
    <row r="165" spans="1:53" s="17" customForma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Z165" s="20"/>
      <c r="BA165" s="20"/>
    </row>
    <row r="166" spans="1:53" s="17" customForma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Z166" s="20"/>
      <c r="BA166" s="20"/>
    </row>
    <row r="167" spans="1:53" s="17" customForma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Z167" s="20"/>
      <c r="BA167" s="20"/>
    </row>
    <row r="168" spans="1:53" s="17" customForma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Z168" s="20"/>
      <c r="BA168" s="20"/>
    </row>
    <row r="169" spans="1:53" s="17" customForma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Z169" s="20"/>
      <c r="BA169" s="20"/>
    </row>
    <row r="170" spans="1:53" s="17" customForma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Z170" s="20"/>
      <c r="BA170" s="20"/>
    </row>
    <row r="171" spans="1:53" s="17" customForma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Z171" s="20"/>
      <c r="BA171" s="20"/>
    </row>
    <row r="172" spans="1:53" s="17" customForma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Z172" s="20"/>
      <c r="BA172" s="20"/>
    </row>
    <row r="173" spans="1:53" s="17" customForma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Z173" s="20"/>
      <c r="BA173" s="20"/>
    </row>
    <row r="174" spans="1:53" s="17" customForma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Z174" s="20"/>
      <c r="BA174" s="20"/>
    </row>
    <row r="175" spans="1:53" s="17" customForma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Z175" s="20"/>
      <c r="BA175" s="20"/>
    </row>
    <row r="176" spans="1:53" s="17" customForma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Z176" s="20"/>
      <c r="BA176" s="20"/>
    </row>
    <row r="177" spans="1:53" s="17" customForma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Z177" s="20"/>
      <c r="BA177" s="20"/>
    </row>
    <row r="178" spans="1:53" s="17" customForma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Z178" s="20"/>
      <c r="BA178" s="20"/>
    </row>
    <row r="179" spans="1:53" s="17" customForma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Z179" s="20"/>
      <c r="BA179" s="20"/>
    </row>
    <row r="180" spans="1:53" s="17" customForma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Z180" s="20"/>
      <c r="BA180" s="20"/>
    </row>
    <row r="181" spans="1:53" s="17" customForma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Z181" s="20"/>
      <c r="BA181" s="20"/>
    </row>
    <row r="182" spans="1:53" s="17" customForma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Z182" s="20"/>
      <c r="BA182" s="20"/>
    </row>
    <row r="183" spans="1:53" s="17" customForma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Z183" s="20"/>
      <c r="BA183" s="20"/>
    </row>
    <row r="184" spans="1:53" s="17" customForma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Z184" s="20"/>
      <c r="BA184" s="20"/>
    </row>
    <row r="185" spans="1:53" s="17" customForma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Z185" s="20"/>
      <c r="BA185" s="20"/>
    </row>
    <row r="186" spans="1:53" s="17" customForma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Z186" s="20"/>
      <c r="BA186" s="20"/>
    </row>
    <row r="187" spans="1:53" s="17" customForma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Z187" s="20"/>
      <c r="BA187" s="20"/>
    </row>
    <row r="188" spans="1:53" s="17" customForma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Z188" s="20"/>
      <c r="BA188" s="20"/>
    </row>
    <row r="189" spans="1:53" s="17" customForma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Z189" s="20"/>
      <c r="BA189" s="20"/>
    </row>
    <row r="190" spans="1:53" s="17" customForma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Z190" s="20"/>
      <c r="BA190" s="20"/>
    </row>
    <row r="191" spans="1:53" s="17" customForma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Z191" s="20"/>
      <c r="BA191" s="20"/>
    </row>
    <row r="192" spans="1:53" s="17" customForma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Z192" s="20"/>
      <c r="BA192" s="20"/>
    </row>
    <row r="193" spans="1:53" s="17" customForma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Z193" s="20"/>
      <c r="BA193" s="20"/>
    </row>
    <row r="194" spans="1:53" s="17" customForma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Z194" s="20"/>
      <c r="BA194" s="20"/>
    </row>
    <row r="195" spans="1:53" s="17" customForma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Z195" s="20"/>
      <c r="BA195" s="20"/>
    </row>
    <row r="196" spans="1:53" s="17" customForma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Z196" s="20"/>
      <c r="BA196" s="20"/>
    </row>
    <row r="197" spans="1:53" s="17" customForma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Z197" s="20"/>
      <c r="BA197" s="20"/>
    </row>
    <row r="198" spans="1:53" s="17" customForma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Z198" s="20"/>
      <c r="BA198" s="20"/>
    </row>
    <row r="199" spans="1:53" s="17" customForma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Z199" s="20"/>
      <c r="BA199" s="20"/>
    </row>
    <row r="200" spans="1:53" s="17" customForma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Z200" s="20"/>
      <c r="BA200" s="20"/>
    </row>
    <row r="201" spans="1:53" s="17" customForma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Z201" s="20"/>
      <c r="BA201" s="20"/>
    </row>
    <row r="202" spans="1:53" s="17" customForma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Z202" s="20"/>
      <c r="BA202" s="20"/>
    </row>
    <row r="203" spans="1:53" s="17" customForma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Z203" s="20"/>
      <c r="BA203" s="20"/>
    </row>
    <row r="204" spans="1:53" s="17" customForma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Z204" s="20"/>
      <c r="BA204" s="20"/>
    </row>
    <row r="205" spans="1:53" s="17" customForma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Z205" s="20"/>
      <c r="BA205" s="20"/>
    </row>
    <row r="206" spans="1:53" s="17" customForma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Z206" s="20"/>
      <c r="BA206" s="20"/>
    </row>
    <row r="207" spans="1:53" s="17" customForma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Z207" s="20"/>
      <c r="BA207" s="20"/>
    </row>
    <row r="208" spans="1:53" s="17" customForma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Z208" s="20"/>
      <c r="BA208" s="20"/>
    </row>
    <row r="209" spans="1:53" s="17" customForma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Z209" s="20"/>
      <c r="BA209" s="20"/>
    </row>
    <row r="210" spans="1:53" s="17" customForma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Z210" s="20"/>
      <c r="BA210" s="20"/>
    </row>
    <row r="211" spans="1:53" s="17" customForma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Z211" s="20"/>
      <c r="BA211" s="20"/>
    </row>
    <row r="212" spans="1:53" s="17" customForma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Z212" s="20"/>
      <c r="BA212" s="20"/>
    </row>
    <row r="213" spans="1:53" s="17" customForma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Z213" s="20"/>
      <c r="BA213" s="20"/>
    </row>
    <row r="214" spans="1:53" s="17" customForma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Z214" s="20"/>
      <c r="BA214" s="20"/>
    </row>
    <row r="215" spans="1:53" s="17" customForma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Z215" s="20"/>
      <c r="BA215" s="20"/>
    </row>
    <row r="216" spans="1:53" s="17" customForma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Z216" s="20"/>
      <c r="BA216" s="20"/>
    </row>
    <row r="217" spans="1:53" s="17" customForma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Z217" s="20"/>
      <c r="BA217" s="20"/>
    </row>
    <row r="218" spans="1:53" s="17" customForma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Z218" s="20"/>
      <c r="BA218" s="20"/>
    </row>
    <row r="219" spans="1:53" s="17" customForma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Z219" s="20"/>
      <c r="BA219" s="20"/>
    </row>
    <row r="220" spans="1:53" s="17" customForma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Z220" s="20"/>
      <c r="BA220" s="20"/>
    </row>
    <row r="221" spans="1:53" s="17" customForma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Z221" s="20"/>
      <c r="BA221" s="20"/>
    </row>
    <row r="222" spans="1:53" s="17" customForma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Z222" s="20"/>
      <c r="BA222" s="20"/>
    </row>
    <row r="223" spans="1:53" s="17" customForma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Z223" s="20"/>
      <c r="BA223" s="20"/>
    </row>
    <row r="224" spans="1:53" s="17" customForma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Z224" s="20"/>
      <c r="BA224" s="20"/>
    </row>
    <row r="225" spans="1:53" s="17" customForma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Z225" s="20"/>
      <c r="BA225" s="20"/>
    </row>
    <row r="226" spans="1:53" s="17" customForma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Z226" s="20"/>
      <c r="BA226" s="20"/>
    </row>
    <row r="227" spans="1:53" s="17" customForma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Z227" s="20"/>
      <c r="BA227" s="20"/>
    </row>
    <row r="228" spans="1:53" s="17" customForma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Z228" s="20"/>
      <c r="BA228" s="20"/>
    </row>
    <row r="229" spans="1:53" s="17" customForma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Z229" s="20"/>
      <c r="BA229" s="20"/>
    </row>
    <row r="230" spans="1:53" s="17" customForma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Z230" s="20"/>
      <c r="BA230" s="20"/>
    </row>
    <row r="231" spans="1:53" s="17" customForma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Z231" s="20"/>
      <c r="BA231" s="20"/>
    </row>
    <row r="232" spans="1:53" s="17" customForma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Z232" s="20"/>
      <c r="BA232" s="20"/>
    </row>
    <row r="233" spans="1:53" s="17" customForma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Z233" s="20"/>
      <c r="BA233" s="20"/>
    </row>
    <row r="234" spans="1:53" s="17" customForma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Z234" s="20"/>
      <c r="BA234" s="20"/>
    </row>
    <row r="235" spans="1:53" s="17" customForma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Z235" s="20"/>
      <c r="BA235" s="20"/>
    </row>
    <row r="236" spans="1:53" s="17" customForma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Z236" s="20"/>
      <c r="BA236" s="20"/>
    </row>
    <row r="237" spans="1:53" s="17" customForma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Z237" s="20"/>
      <c r="BA237" s="20"/>
    </row>
    <row r="238" spans="1:53" s="17" customForma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Z238" s="20"/>
      <c r="BA238" s="20"/>
    </row>
    <row r="239" spans="1:53" s="17" customForma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Z239" s="20"/>
      <c r="BA239" s="20"/>
    </row>
    <row r="240" spans="1:53" s="17" customForma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Z240" s="20"/>
      <c r="BA240" s="20"/>
    </row>
    <row r="241" spans="1:53" s="17" customForma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Z241" s="20"/>
      <c r="BA241" s="20"/>
    </row>
    <row r="242" spans="1:53" s="17" customForma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Z242" s="20"/>
      <c r="BA242" s="20"/>
    </row>
    <row r="243" spans="1:53" s="17" customForma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Z243" s="20"/>
      <c r="BA243" s="20"/>
    </row>
    <row r="244" spans="1:53" s="17" customForma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Z244" s="20"/>
      <c r="BA244" s="20"/>
    </row>
    <row r="245" spans="1:53" s="17" customForma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Z245" s="20"/>
      <c r="BA245" s="20"/>
    </row>
    <row r="246" spans="1:53" s="17" customForma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Z246" s="20"/>
      <c r="BA246" s="20"/>
    </row>
    <row r="247" spans="1:53" s="17" customForma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Z247" s="20"/>
      <c r="BA247" s="20"/>
    </row>
    <row r="248" spans="1:53" s="17" customForma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Z248" s="20"/>
      <c r="BA248" s="20"/>
    </row>
    <row r="249" spans="1:53" s="17" customForma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Z249" s="20"/>
      <c r="BA249" s="20"/>
    </row>
    <row r="250" spans="1:53" s="17" customForma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Z250" s="20"/>
      <c r="BA250" s="20"/>
    </row>
    <row r="251" spans="1:53" s="17" customForma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Z251" s="20"/>
      <c r="BA251" s="20"/>
    </row>
    <row r="252" spans="1:53" s="17" customForma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Z252" s="20"/>
      <c r="BA252" s="20"/>
    </row>
    <row r="253" spans="1:53" s="17" customForma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Z253" s="20"/>
      <c r="BA253" s="20"/>
    </row>
    <row r="254" spans="1:53" s="17" customForma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Z254" s="20"/>
      <c r="BA254" s="20"/>
    </row>
    <row r="255" spans="1:53" s="17" customForma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Z255" s="20"/>
      <c r="BA255" s="20"/>
    </row>
    <row r="256" spans="1:53" s="17" customForma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Z256" s="20"/>
      <c r="BA256" s="20"/>
    </row>
    <row r="257" spans="1:53" s="17" customForma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Z257" s="20"/>
      <c r="BA257" s="20"/>
    </row>
    <row r="258" spans="1:53" s="17" customForma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Z258" s="20"/>
      <c r="BA258" s="20"/>
    </row>
    <row r="259" spans="1:53" s="17" customForma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Z259" s="20"/>
      <c r="BA259" s="20"/>
    </row>
    <row r="260" spans="1:53" s="17" customForma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Z260" s="20"/>
      <c r="BA260" s="20"/>
    </row>
    <row r="261" spans="1:53" s="17" customForma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Z261" s="20"/>
      <c r="BA261" s="20"/>
    </row>
    <row r="262" spans="1:53" s="17" customForma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Z262" s="20"/>
      <c r="BA262" s="20"/>
    </row>
    <row r="263" spans="1:53" s="17" customForma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Z263" s="20"/>
      <c r="BA263" s="20"/>
    </row>
    <row r="264" spans="1:53" s="17" customForma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Z264" s="20"/>
      <c r="BA264" s="20"/>
    </row>
    <row r="265" spans="1:53" s="17" customForma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Z265" s="20"/>
      <c r="BA265" s="20"/>
    </row>
    <row r="266" spans="1:53" s="17" customForma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Z266" s="20"/>
      <c r="BA266" s="20"/>
    </row>
    <row r="267" spans="1:53" s="17" customForma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Z267" s="20"/>
      <c r="BA267" s="20"/>
    </row>
    <row r="268" spans="1:53" s="17" customForma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Z268" s="20"/>
      <c r="BA268" s="20"/>
    </row>
    <row r="269" spans="1:53" s="17" customForma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Z269" s="20"/>
      <c r="BA269" s="20"/>
    </row>
    <row r="270" spans="1:53" s="17" customForma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Z270" s="20"/>
      <c r="BA270" s="20"/>
    </row>
    <row r="271" spans="1:53" s="17" customForma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Z271" s="20"/>
      <c r="BA271" s="20"/>
    </row>
    <row r="272" spans="1:53" s="17" customForma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Z272" s="20"/>
      <c r="BA272" s="20"/>
    </row>
    <row r="273" spans="1:53" s="17" customForma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Z273" s="20"/>
      <c r="BA273" s="20"/>
    </row>
    <row r="274" spans="1:53" s="17" customForma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Z274" s="20"/>
      <c r="BA274" s="20"/>
    </row>
    <row r="275" spans="1:53" s="17" customForma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Z275" s="20"/>
      <c r="BA275" s="20"/>
    </row>
    <row r="276" spans="1:53" s="17" customForma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Z276" s="20"/>
      <c r="BA276" s="20"/>
    </row>
    <row r="277" spans="1:53" s="17" customForma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Z277" s="20"/>
      <c r="BA277" s="20"/>
    </row>
    <row r="278" spans="1:53" s="17" customForma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Z278" s="20"/>
      <c r="BA278" s="20"/>
    </row>
    <row r="279" spans="1:53" s="17" customForma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Z279" s="20"/>
      <c r="BA279" s="20"/>
    </row>
    <row r="280" spans="1:53" s="17" customForma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Z280" s="20"/>
      <c r="BA280" s="20"/>
    </row>
    <row r="281" spans="1:53" s="17" customForma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Z281" s="20"/>
      <c r="BA281" s="20"/>
    </row>
    <row r="282" spans="1:53" s="17" customForma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Z282" s="20"/>
      <c r="BA282" s="20"/>
    </row>
    <row r="283" spans="1:53" s="17" customForma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Z283" s="20"/>
      <c r="BA283" s="20"/>
    </row>
    <row r="284" spans="1:53" s="17" customForma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Z284" s="20"/>
      <c r="BA284" s="20"/>
    </row>
    <row r="285" spans="1:53" s="17" customForma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Z285" s="20"/>
      <c r="BA285" s="20"/>
    </row>
    <row r="286" spans="1:53" s="17" customForma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Z286" s="20"/>
      <c r="BA286" s="20"/>
    </row>
    <row r="287" spans="1:53" s="17" customForma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Z287" s="20"/>
      <c r="BA287" s="20"/>
    </row>
    <row r="288" spans="1:53" s="17" customForma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Z288" s="20"/>
      <c r="BA288" s="20"/>
    </row>
    <row r="289" spans="1:53" s="17" customForma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Z289" s="20"/>
      <c r="BA289" s="20"/>
    </row>
    <row r="290" spans="1:53" s="17" customForma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Z290" s="20"/>
      <c r="BA290" s="20"/>
    </row>
    <row r="291" spans="1:53" s="17" customForma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Z291" s="20"/>
      <c r="BA291" s="20"/>
    </row>
    <row r="292" spans="1:53" s="17" customForma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Z292" s="20"/>
      <c r="BA292" s="20"/>
    </row>
    <row r="293" spans="1:53" s="17" customForma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Z293" s="20"/>
      <c r="BA293" s="20"/>
    </row>
    <row r="294" spans="1:53" s="17" customForma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Z294" s="20"/>
      <c r="BA294" s="20"/>
    </row>
    <row r="295" spans="1:53" s="17" customForma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Z295" s="20"/>
      <c r="BA295" s="20"/>
    </row>
    <row r="296" spans="1:53" s="17" customForma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Z296" s="20"/>
      <c r="BA296" s="20"/>
    </row>
    <row r="297" spans="1:53" s="17" customForma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Z297" s="20"/>
      <c r="BA297" s="20"/>
    </row>
    <row r="298" spans="1:53" s="17" customForma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Z298" s="20"/>
      <c r="BA298" s="20"/>
    </row>
    <row r="299" spans="1:53" s="17" customForma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Z299" s="20"/>
      <c r="BA299" s="20"/>
    </row>
    <row r="300" spans="1:53" s="17" customForma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Z300" s="20"/>
      <c r="BA300" s="20"/>
    </row>
    <row r="301" spans="1:53" s="17" customForma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Z301" s="20"/>
      <c r="BA301" s="20"/>
    </row>
    <row r="302" spans="1:53" s="17" customForma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Z302" s="20"/>
      <c r="BA302" s="20"/>
    </row>
    <row r="303" spans="1:53" s="17" customForma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Z303" s="20"/>
      <c r="BA303" s="20"/>
    </row>
    <row r="304" spans="1:53" s="17" customForma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Z304" s="20"/>
      <c r="BA304" s="20"/>
    </row>
    <row r="305" spans="1:53" s="17" customForma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Z305" s="20"/>
      <c r="BA305" s="20"/>
    </row>
    <row r="306" spans="1:53" s="17" customForma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Z306" s="20"/>
      <c r="BA306" s="20"/>
    </row>
    <row r="307" spans="1:53" s="17" customForma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Z307" s="20"/>
      <c r="BA307" s="20"/>
    </row>
    <row r="308" spans="1:53" s="17" customForma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Z308" s="20"/>
      <c r="BA308" s="20"/>
    </row>
    <row r="309" spans="1:53" s="17" customForma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Z309" s="20"/>
      <c r="BA309" s="20"/>
    </row>
    <row r="310" spans="1:53" s="17" customForma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Z310" s="20"/>
      <c r="BA310" s="20"/>
    </row>
    <row r="311" spans="1:53" s="17" customForma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Z311" s="20"/>
      <c r="BA311" s="20"/>
    </row>
    <row r="312" spans="1:53" s="17" customForma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Z312" s="20"/>
      <c r="BA312" s="20"/>
    </row>
    <row r="313" spans="1:53" s="17" customForma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Z313" s="20"/>
      <c r="BA313" s="20"/>
    </row>
    <row r="314" spans="1:53" s="17" customForma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Z314" s="20"/>
      <c r="BA314" s="20"/>
    </row>
    <row r="315" spans="1:53" s="17" customForma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Z315" s="20"/>
      <c r="BA315" s="20"/>
    </row>
    <row r="316" spans="1:53" s="17" customForma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Z316" s="20"/>
      <c r="BA316" s="20"/>
    </row>
    <row r="317" spans="1:53" s="17" customForma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Z317" s="20"/>
      <c r="BA317" s="20"/>
    </row>
    <row r="318" spans="1:53" s="17" customForma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Z318" s="20"/>
      <c r="BA318" s="20"/>
    </row>
    <row r="319" spans="1:53" s="17" customForma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Z319" s="20"/>
      <c r="BA319" s="20"/>
    </row>
    <row r="320" spans="1:53" s="17" customForma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Z320" s="20"/>
      <c r="BA320" s="20"/>
    </row>
    <row r="321" spans="1:53" s="17" customForma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Z321" s="20"/>
      <c r="BA321" s="20"/>
    </row>
    <row r="322" spans="1:53" s="17" customForma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Z322" s="20"/>
      <c r="BA322" s="20"/>
    </row>
    <row r="323" spans="1:53" s="17" customForma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Z323" s="20"/>
      <c r="BA323" s="20"/>
    </row>
    <row r="324" spans="1:53" s="17" customForma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Z324" s="20"/>
      <c r="BA324" s="20"/>
    </row>
    <row r="325" spans="1:53" s="17" customForma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Z325" s="20"/>
      <c r="BA325" s="20"/>
    </row>
    <row r="326" spans="1:53" s="17" customForma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Z326" s="20"/>
      <c r="BA326" s="20"/>
    </row>
    <row r="327" spans="1:53" s="17" customForma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Z327" s="20"/>
      <c r="BA327" s="20"/>
    </row>
    <row r="328" spans="1:53" s="17" customForma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Z328" s="20"/>
      <c r="BA328" s="20"/>
    </row>
    <row r="329" spans="1:53" s="17" customForma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Z329" s="20"/>
      <c r="BA329" s="20"/>
    </row>
    <row r="330" spans="1:53" s="17" customForma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Z330" s="20"/>
      <c r="BA330" s="20"/>
    </row>
    <row r="331" spans="1:53" s="17" customForma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Z331" s="20"/>
      <c r="BA331" s="20"/>
    </row>
    <row r="332" spans="1:53" s="17" customForma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Z332" s="20"/>
      <c r="BA332" s="20"/>
    </row>
    <row r="333" spans="1:53" s="17" customForma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Z333" s="20"/>
      <c r="BA333" s="20"/>
    </row>
    <row r="334" spans="1:53" s="17" customForma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Z334" s="20"/>
      <c r="BA334" s="20"/>
    </row>
    <row r="335" spans="1:53" s="17" customForma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Z335" s="20"/>
      <c r="BA335" s="20"/>
    </row>
    <row r="336" spans="1:53" s="17" customForma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Z336" s="20"/>
      <c r="BA336" s="20"/>
    </row>
    <row r="337" spans="1:53" s="17" customForma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Z337" s="20"/>
      <c r="BA337" s="20"/>
    </row>
    <row r="338" spans="1:53" s="17" customForma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Z338" s="20"/>
      <c r="BA338" s="20"/>
    </row>
    <row r="339" spans="1:53" s="17" customForma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Z339" s="20"/>
      <c r="BA339" s="20"/>
    </row>
    <row r="340" spans="1:53" s="17" customForma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Z340" s="20"/>
      <c r="BA340" s="20"/>
    </row>
    <row r="341" spans="1:53" s="17" customForma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Z341" s="20"/>
      <c r="BA341" s="20"/>
    </row>
    <row r="342" spans="1:53" s="17" customForma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Z342" s="20"/>
      <c r="BA342" s="20"/>
    </row>
    <row r="343" spans="1:53" s="17" customForma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Z343" s="20"/>
      <c r="BA343" s="20"/>
    </row>
    <row r="344" spans="1:53" s="17" customForma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Z344" s="20"/>
      <c r="BA344" s="20"/>
    </row>
    <row r="345" spans="1:53" s="17" customForma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Z345" s="20"/>
      <c r="BA345" s="20"/>
    </row>
    <row r="346" spans="1:53" s="17" customForma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Z346" s="20"/>
      <c r="BA346" s="20"/>
    </row>
    <row r="347" spans="1:53" s="17" customForma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Z347" s="20"/>
      <c r="BA347" s="20"/>
    </row>
    <row r="348" spans="1:53" s="17" customForma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Z348" s="20"/>
      <c r="BA348" s="20"/>
    </row>
    <row r="349" spans="1:53" s="17" customForma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Z349" s="20"/>
      <c r="BA349" s="20"/>
    </row>
    <row r="350" spans="1:53" s="17" customForma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Z350" s="20"/>
      <c r="BA350" s="20"/>
    </row>
    <row r="351" spans="1:53" s="17" customForma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Z351" s="20"/>
      <c r="BA351" s="20"/>
    </row>
    <row r="352" spans="1:53" s="17" customForma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Z352" s="20"/>
      <c r="BA352" s="20"/>
    </row>
    <row r="353" spans="1:53" s="17" customForma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Z353" s="20"/>
      <c r="BA353" s="20"/>
    </row>
    <row r="354" spans="1:53" s="17" customForma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Z354" s="20"/>
      <c r="BA354" s="20"/>
    </row>
    <row r="355" spans="1:53" s="17" customForma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Z355" s="20"/>
      <c r="BA355" s="20"/>
    </row>
    <row r="356" spans="1:53" s="17" customForma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Z356" s="20"/>
      <c r="BA356" s="20"/>
    </row>
    <row r="357" spans="1:53" s="17" customForma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Z357" s="20"/>
      <c r="BA357" s="20"/>
    </row>
    <row r="358" spans="1:53" s="17" customForma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Z358" s="20"/>
      <c r="BA358" s="20"/>
    </row>
    <row r="359" spans="1:53" s="17" customForma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Z359" s="20"/>
      <c r="BA359" s="20"/>
    </row>
    <row r="360" spans="1:53" s="17" customForma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Z360" s="20"/>
      <c r="BA360" s="20"/>
    </row>
    <row r="361" spans="1:53" s="17" customForma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Z361" s="20"/>
      <c r="BA361" s="20"/>
    </row>
    <row r="362" spans="1:53" s="17" customForma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Z362" s="20"/>
      <c r="BA362" s="20"/>
    </row>
    <row r="363" spans="1:53" s="17" customForma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Z363" s="20"/>
      <c r="BA363" s="20"/>
    </row>
    <row r="364" spans="1:53" s="17" customForma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Z364" s="20"/>
      <c r="BA364" s="20"/>
    </row>
    <row r="365" spans="1:53" s="17" customForma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Z365" s="20"/>
      <c r="BA365" s="20"/>
    </row>
    <row r="366" spans="1:53" s="17" customForma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Z366" s="20"/>
      <c r="BA366" s="20"/>
    </row>
    <row r="367" spans="1:53" s="17" customForma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Z367" s="20"/>
      <c r="BA367" s="20"/>
    </row>
    <row r="368" spans="1:53" s="17" customForma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Z368" s="20"/>
      <c r="BA368" s="20"/>
    </row>
    <row r="369" spans="1:53" s="17" customForma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Z369" s="20"/>
      <c r="BA369" s="20"/>
    </row>
    <row r="370" spans="1:53" s="17" customForma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Z370" s="20"/>
      <c r="BA370" s="20"/>
    </row>
    <row r="371" spans="1:53" s="17" customForma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Z371" s="20"/>
      <c r="BA371" s="20"/>
    </row>
    <row r="372" spans="1:53" s="17" customForma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Z372" s="20"/>
      <c r="BA372" s="20"/>
    </row>
    <row r="373" spans="1:53" s="17" customForma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Z373" s="20"/>
      <c r="BA373" s="20"/>
    </row>
    <row r="374" spans="1:53" s="17" customForma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Z374" s="20"/>
      <c r="BA374" s="20"/>
    </row>
    <row r="375" spans="1:53" s="17" customForma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Z375" s="20"/>
      <c r="BA375" s="20"/>
    </row>
    <row r="376" spans="1:53" s="17" customForma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Z376" s="20"/>
      <c r="BA376" s="20"/>
    </row>
    <row r="377" spans="1:53" s="17" customForma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Z377" s="20"/>
      <c r="BA377" s="20"/>
    </row>
    <row r="378" spans="1:53" s="17" customForma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Z378" s="20"/>
      <c r="BA378" s="20"/>
    </row>
    <row r="379" spans="1:53" s="17" customForma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Z379" s="20"/>
      <c r="BA379" s="20"/>
    </row>
    <row r="380" spans="1:53" s="17" customForma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Z380" s="20"/>
      <c r="BA380" s="20"/>
    </row>
    <row r="381" spans="1:53" s="17" customForma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Z381" s="20"/>
      <c r="BA381" s="20"/>
    </row>
    <row r="382" spans="1:53" s="17" customForma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Z382" s="20"/>
      <c r="BA382" s="20"/>
    </row>
    <row r="383" spans="1:53" s="17" customForma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Z383" s="20"/>
      <c r="BA383" s="20"/>
    </row>
    <row r="384" spans="1:53" s="17" customForma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Z384" s="20"/>
      <c r="BA384" s="20"/>
    </row>
    <row r="385" spans="1:53" s="17" customForma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Z385" s="20"/>
      <c r="BA385" s="20"/>
    </row>
    <row r="386" spans="1:53" s="17" customForma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Z386" s="20"/>
      <c r="BA386" s="20"/>
    </row>
    <row r="387" spans="1:53" s="17" customForma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Z387" s="20"/>
      <c r="BA387" s="20"/>
    </row>
    <row r="388" spans="1:53" s="17" customForma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Z388" s="20"/>
      <c r="BA388" s="20"/>
    </row>
    <row r="389" spans="1:53" s="17" customForma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Z389" s="20"/>
      <c r="BA389" s="20"/>
    </row>
    <row r="390" spans="1:53" s="17" customForma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Z390" s="20"/>
      <c r="BA390" s="20"/>
    </row>
    <row r="391" spans="1:53" s="17" customForma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Z391" s="20"/>
      <c r="BA391" s="20"/>
    </row>
    <row r="392" spans="1:53" s="17" customForma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Z392" s="20"/>
      <c r="BA392" s="20"/>
    </row>
    <row r="393" spans="1:53" s="17" customForma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Z393" s="20"/>
      <c r="BA393" s="20"/>
    </row>
    <row r="394" spans="1:53" s="17" customForma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Z394" s="20"/>
      <c r="BA394" s="20"/>
    </row>
    <row r="395" spans="1:53" s="17" customForma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Z395" s="20"/>
      <c r="BA395" s="20"/>
    </row>
    <row r="396" spans="1:53" s="17" customForma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Z396" s="20"/>
      <c r="BA396" s="20"/>
    </row>
    <row r="397" spans="1:53" s="17" customForma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Z397" s="20"/>
      <c r="BA397" s="20"/>
    </row>
    <row r="398" spans="1:53" s="17" customForma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Z398" s="20"/>
      <c r="BA398" s="20"/>
    </row>
    <row r="399" spans="1:53" s="17" customForma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Z399" s="20"/>
      <c r="BA399" s="20"/>
    </row>
    <row r="400" spans="1:53" s="17" customForma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Z400" s="20"/>
      <c r="BA400" s="20"/>
    </row>
    <row r="401" spans="1:53" s="17" customForma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Z401" s="20"/>
      <c r="BA401" s="20"/>
    </row>
    <row r="402" spans="1:53" s="17" customForma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Z402" s="20"/>
      <c r="BA402" s="20"/>
    </row>
    <row r="403" spans="1:53" s="17" customForma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Z403" s="20"/>
      <c r="BA403" s="20"/>
    </row>
    <row r="404" spans="1:53" s="17" customForma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Z404" s="20"/>
      <c r="BA404" s="20"/>
    </row>
    <row r="405" spans="1:53" s="17" customForma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Z405" s="20"/>
      <c r="BA405" s="20"/>
    </row>
    <row r="406" spans="1:53" s="17" customForma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Z406" s="20"/>
      <c r="BA406" s="20"/>
    </row>
    <row r="407" spans="1:53" s="17" customForma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Z407" s="20"/>
      <c r="BA407" s="20"/>
    </row>
    <row r="408" spans="1:53" s="17" customForma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Z408" s="20"/>
      <c r="BA408" s="20"/>
    </row>
    <row r="409" spans="1:53" s="17" customForma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Z409" s="20"/>
      <c r="BA409" s="20"/>
    </row>
    <row r="410" spans="1:53" s="17" customForma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Z410" s="20"/>
      <c r="BA410" s="20"/>
    </row>
    <row r="411" spans="1:53" s="17" customForma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Z411" s="20"/>
      <c r="BA411" s="20"/>
    </row>
    <row r="412" spans="1:53" s="17" customForma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Z412" s="20"/>
      <c r="BA412" s="20"/>
    </row>
    <row r="413" spans="1:53" s="17" customForma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Z413" s="20"/>
      <c r="BA413" s="20"/>
    </row>
    <row r="414" spans="1:53" s="17" customForma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Z414" s="20"/>
      <c r="BA414" s="20"/>
    </row>
    <row r="415" spans="1:53" s="17" customForma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Z415" s="20"/>
      <c r="BA415" s="20"/>
    </row>
    <row r="416" spans="1:53" s="17" customForma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Z416" s="20"/>
      <c r="BA416" s="20"/>
    </row>
    <row r="417" spans="1:53" s="17" customForma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Z417" s="20"/>
      <c r="BA417" s="20"/>
    </row>
    <row r="418" spans="1:53" s="17" customForma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Z418" s="20"/>
      <c r="BA418" s="20"/>
    </row>
    <row r="419" spans="1:53" s="17" customForma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Z419" s="20"/>
      <c r="BA419" s="20"/>
    </row>
    <row r="420" spans="1:53" s="17" customForma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Z420" s="20"/>
      <c r="BA420" s="20"/>
    </row>
    <row r="421" spans="1:53" s="17" customForma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Z421" s="20"/>
      <c r="BA421" s="20"/>
    </row>
    <row r="422" spans="1:53" s="17" customForma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Z422" s="20"/>
      <c r="BA422" s="20"/>
    </row>
    <row r="423" spans="1:53" s="17" customForma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Z423" s="20"/>
      <c r="BA423" s="20"/>
    </row>
    <row r="424" spans="1:53" s="17" customForma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Z424" s="20"/>
      <c r="BA424" s="20"/>
    </row>
    <row r="425" spans="1:53" s="17" customForma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Z425" s="20"/>
      <c r="BA425" s="20"/>
    </row>
    <row r="426" spans="1:53" s="17" customForma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Z426" s="20"/>
      <c r="BA426" s="20"/>
    </row>
    <row r="427" spans="1:53" s="17" customForma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Z427" s="20"/>
      <c r="BA427" s="20"/>
    </row>
    <row r="428" spans="1:53" s="17" customForma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Z428" s="20"/>
      <c r="BA428" s="20"/>
    </row>
    <row r="429" spans="1:53" s="17" customForma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Z429" s="20"/>
      <c r="BA429" s="20"/>
    </row>
    <row r="430" spans="1:53" s="17" customForma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Z430" s="20"/>
      <c r="BA430" s="20"/>
    </row>
    <row r="431" spans="1:53" s="17" customForma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Z431" s="20"/>
      <c r="BA431" s="20"/>
    </row>
    <row r="432" spans="1:53" s="17" customForma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Z432" s="20"/>
      <c r="BA432" s="20"/>
    </row>
    <row r="433" spans="1:53" s="17" customForma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Z433" s="20"/>
      <c r="BA433" s="20"/>
    </row>
    <row r="434" spans="1:53" s="17" customForma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Z434" s="20"/>
      <c r="BA434" s="20"/>
    </row>
    <row r="435" spans="1:53" s="17" customForma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Z435" s="20"/>
      <c r="BA435" s="20"/>
    </row>
    <row r="436" spans="1:53" s="17" customForma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Z436" s="20"/>
      <c r="BA436" s="20"/>
    </row>
    <row r="437" spans="1:53" s="17" customForma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Z437" s="20"/>
      <c r="BA437" s="20"/>
    </row>
    <row r="438" spans="1:53" s="17" customForma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Z438" s="20"/>
      <c r="BA438" s="20"/>
    </row>
    <row r="439" spans="1:53" s="17" customForma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Z439" s="20"/>
      <c r="BA439" s="20"/>
    </row>
    <row r="440" spans="1:53" s="17" customForma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Z440" s="20"/>
      <c r="BA440" s="20"/>
    </row>
    <row r="441" spans="1:53" s="17" customForma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Z441" s="20"/>
      <c r="BA441" s="20"/>
    </row>
    <row r="442" spans="1:53" s="17" customForma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Z442" s="20"/>
      <c r="BA442" s="20"/>
    </row>
    <row r="443" spans="1:53" s="17" customForma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Z443" s="20"/>
      <c r="BA443" s="20"/>
    </row>
    <row r="444" spans="1:53" s="17" customForma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Z444" s="20"/>
      <c r="BA444" s="20"/>
    </row>
    <row r="445" spans="1:53" s="17" customForma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Z445" s="20"/>
      <c r="BA445" s="20"/>
    </row>
    <row r="446" spans="1:53" s="17" customForma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Z446" s="20"/>
      <c r="BA446" s="20"/>
    </row>
    <row r="447" spans="1:53" s="17" customForma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Z447" s="20"/>
      <c r="BA447" s="20"/>
    </row>
    <row r="448" spans="1:53" s="17" customForma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Z448" s="20"/>
      <c r="BA448" s="20"/>
    </row>
    <row r="449" spans="1:53" s="17" customForma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Z449" s="20"/>
      <c r="BA449" s="20"/>
    </row>
    <row r="450" spans="1:53" s="17" customForma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Z450" s="20"/>
      <c r="BA450" s="20"/>
    </row>
    <row r="451" spans="1:53" s="17" customForma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Z451" s="20"/>
      <c r="BA451" s="20"/>
    </row>
    <row r="452" spans="1:53" s="17" customForma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Z452" s="20"/>
      <c r="BA452" s="20"/>
    </row>
    <row r="453" spans="1:53" s="17" customForma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Z453" s="20"/>
      <c r="BA453" s="20"/>
    </row>
    <row r="454" spans="1:53" s="17" customForma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Z454" s="20"/>
      <c r="BA454" s="20"/>
    </row>
    <row r="455" spans="1:53" s="17" customForma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Z455" s="20"/>
      <c r="BA455" s="20"/>
    </row>
    <row r="456" spans="1:53" s="17" customForma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Z456" s="20"/>
      <c r="BA456" s="20"/>
    </row>
    <row r="457" spans="1:53" s="17" customForma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Z457" s="20"/>
      <c r="BA457" s="20"/>
    </row>
    <row r="458" spans="1:53" s="17" customForma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Z458" s="20"/>
      <c r="BA458" s="20"/>
    </row>
    <row r="459" spans="1:53" s="17" customForma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Z459" s="20"/>
      <c r="BA459" s="20"/>
    </row>
    <row r="460" spans="1:53" s="17" customForma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Z460" s="20"/>
      <c r="BA460" s="20"/>
    </row>
    <row r="461" spans="1:53" s="17" customForma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Z461" s="20"/>
      <c r="BA461" s="20"/>
    </row>
    <row r="462" spans="1:53" s="17" customForma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Z462" s="20"/>
      <c r="BA462" s="20"/>
    </row>
    <row r="463" spans="1:53" s="17" customForma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Z463" s="20"/>
      <c r="BA463" s="20"/>
    </row>
    <row r="464" spans="1:53" s="17" customForma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Z464" s="20"/>
      <c r="BA464" s="20"/>
    </row>
    <row r="465" spans="1:53" s="17" customForma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Z465" s="20"/>
      <c r="BA465" s="20"/>
    </row>
    <row r="466" spans="1:53" s="17" customForma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Z466" s="20"/>
      <c r="BA466" s="20"/>
    </row>
    <row r="467" spans="1:53" s="17" customForma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Z467" s="20"/>
      <c r="BA467" s="20"/>
    </row>
    <row r="468" spans="1:53" s="17" customForma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Z468" s="20"/>
      <c r="BA468" s="20"/>
    </row>
    <row r="469" spans="1:53" s="17" customForma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Z469" s="20"/>
      <c r="BA469" s="20"/>
    </row>
    <row r="470" spans="1:53" s="17" customForma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Z470" s="20"/>
      <c r="BA470" s="20"/>
    </row>
    <row r="471" spans="1:53" s="17" customForma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Z471" s="20"/>
      <c r="BA471" s="20"/>
    </row>
    <row r="472" spans="1:53" s="17" customForma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Z472" s="20"/>
      <c r="BA472" s="20"/>
    </row>
    <row r="473" spans="1:53" s="17" customForma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Z473" s="20"/>
      <c r="BA473" s="20"/>
    </row>
    <row r="474" spans="1:53" s="17" customForma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Z474" s="20"/>
      <c r="BA474" s="20"/>
    </row>
    <row r="475" spans="1:53" s="17" customForma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Z475" s="20"/>
      <c r="BA475" s="20"/>
    </row>
    <row r="476" spans="1:53" s="17" customForma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Z476" s="20"/>
      <c r="BA476" s="20"/>
    </row>
    <row r="477" spans="1:53" s="17" customForma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Z477" s="20"/>
      <c r="BA477" s="20"/>
    </row>
    <row r="478" spans="1:53" s="17" customForma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Z478" s="20"/>
      <c r="BA478" s="20"/>
    </row>
    <row r="479" spans="1:53" s="17" customForma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Z479" s="20"/>
      <c r="BA479" s="20"/>
    </row>
    <row r="480" spans="1:53" s="17" customForma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Z480" s="20"/>
      <c r="BA480" s="20"/>
    </row>
    <row r="481" spans="1:53" s="17" customForma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Z481" s="20"/>
      <c r="BA481" s="20"/>
    </row>
    <row r="482" spans="1:53" s="17" customForma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Z482" s="20"/>
      <c r="BA482" s="20"/>
    </row>
    <row r="483" spans="1:53" s="17" customForma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Z483" s="20"/>
      <c r="BA483" s="20"/>
    </row>
    <row r="484" spans="1:53" s="17" customForma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Z484" s="20"/>
      <c r="BA484" s="20"/>
    </row>
    <row r="485" spans="1:53" s="17" customForma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Z485" s="20"/>
      <c r="BA485" s="20"/>
    </row>
    <row r="486" spans="1:53" s="17" customForma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Z486" s="20"/>
      <c r="BA486" s="20"/>
    </row>
    <row r="487" spans="1:53" s="17" customForma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Z487" s="20"/>
      <c r="BA487" s="20"/>
    </row>
    <row r="488" spans="1:53" s="17" customForma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Z488" s="20"/>
      <c r="BA488" s="20"/>
    </row>
    <row r="489" spans="1:53" s="17" customForma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Z489" s="20"/>
      <c r="BA489" s="20"/>
    </row>
    <row r="490" spans="1:53" s="17" customForma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Z490" s="20"/>
      <c r="BA490" s="20"/>
    </row>
    <row r="491" spans="1:53" s="17" customForma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Z491" s="20"/>
      <c r="BA491" s="20"/>
    </row>
    <row r="492" spans="1:53" s="17" customForma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Z492" s="20"/>
      <c r="BA492" s="20"/>
    </row>
    <row r="493" spans="1:53" s="17" customForma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Z493" s="20"/>
      <c r="BA493" s="20"/>
    </row>
    <row r="494" spans="1:53" s="17" customForma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Z494" s="20"/>
      <c r="BA494" s="20"/>
    </row>
    <row r="495" spans="1:53" s="17" customForma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Z495" s="20"/>
      <c r="BA495" s="20"/>
    </row>
    <row r="496" spans="1:53" s="17" customForma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Z496" s="20"/>
      <c r="BA496" s="20"/>
    </row>
    <row r="497" spans="1:53" s="17" customForma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Z497" s="20"/>
      <c r="BA497" s="20"/>
    </row>
    <row r="498" spans="1:53" s="17" customForma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Z498" s="20"/>
      <c r="BA498" s="20"/>
    </row>
    <row r="499" spans="1:53" s="17" customForma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Z499" s="20"/>
      <c r="BA499" s="20"/>
    </row>
    <row r="500" spans="1:53" s="17" customForma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Z500" s="20"/>
      <c r="BA500" s="20"/>
    </row>
    <row r="501" spans="1:53" s="17" customForma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Z501" s="20"/>
      <c r="BA501" s="20"/>
    </row>
    <row r="502" spans="1:53" s="17" customForma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Z502" s="20"/>
      <c r="BA502" s="20"/>
    </row>
    <row r="503" spans="1:53" s="17" customForma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Z503" s="20"/>
      <c r="BA503" s="20"/>
    </row>
    <row r="504" spans="1:53" s="17" customForma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Z504" s="20"/>
      <c r="BA504" s="20"/>
    </row>
    <row r="505" spans="1:53" s="17" customForma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Z505" s="20"/>
      <c r="BA505" s="20"/>
    </row>
    <row r="506" spans="1:53" s="17" customForma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Z506" s="20"/>
      <c r="BA506" s="20"/>
    </row>
    <row r="507" spans="1:53" s="17" customForma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Z507" s="20"/>
      <c r="BA507" s="20"/>
    </row>
    <row r="508" spans="1:53" s="17" customForma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Z508" s="20"/>
      <c r="BA508" s="20"/>
    </row>
    <row r="509" spans="1:53" s="17" customForma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Z509" s="20"/>
      <c r="BA509" s="20"/>
    </row>
    <row r="510" spans="1:53" s="17" customForma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Z510" s="20"/>
      <c r="BA510" s="20"/>
    </row>
    <row r="511" spans="1:53" s="17" customForma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Z511" s="20"/>
      <c r="BA511" s="20"/>
    </row>
    <row r="512" spans="1:53" s="17" customForma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Z512" s="20"/>
      <c r="BA512" s="20"/>
    </row>
    <row r="513" spans="1:53" s="17" customForma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Z513" s="20"/>
      <c r="BA513" s="20"/>
    </row>
    <row r="514" spans="1:53" s="17" customForma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Z514" s="20"/>
      <c r="BA514" s="20"/>
    </row>
    <row r="515" spans="1:53" s="17" customForma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Z515" s="20"/>
      <c r="BA515" s="20"/>
    </row>
    <row r="516" spans="1:53" s="17" customForma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Z516" s="20"/>
      <c r="BA516" s="20"/>
    </row>
    <row r="517" spans="1:53" s="17" customForma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Z517" s="20"/>
      <c r="BA517" s="20"/>
    </row>
    <row r="518" spans="1:53" s="17" customForma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Z518" s="20"/>
      <c r="BA518" s="20"/>
    </row>
    <row r="519" spans="1:53" s="17" customForma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Z519" s="20"/>
      <c r="BA519" s="20"/>
    </row>
    <row r="520" spans="1:53" s="17" customForma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Z520" s="20"/>
      <c r="BA520" s="20"/>
    </row>
    <row r="521" spans="1:53" s="17" customForma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Z521" s="20"/>
      <c r="BA521" s="20"/>
    </row>
    <row r="522" spans="1:53" s="17" customForma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Z522" s="20"/>
      <c r="BA522" s="20"/>
    </row>
    <row r="523" spans="1:53" s="17" customForma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Z523" s="20"/>
      <c r="BA523" s="20"/>
    </row>
    <row r="524" spans="1:53" s="17" customForma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Z524" s="20"/>
      <c r="BA524" s="20"/>
    </row>
    <row r="525" spans="1:53" s="17" customForma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Z525" s="20"/>
      <c r="BA525" s="20"/>
    </row>
    <row r="526" spans="1:53" s="17" customForma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Z526" s="20"/>
      <c r="BA526" s="20"/>
    </row>
    <row r="527" spans="1:53" s="17" customForma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Z527" s="20"/>
      <c r="BA527" s="20"/>
    </row>
    <row r="528" spans="1:53" s="17" customForma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Z528" s="20"/>
      <c r="BA528" s="20"/>
    </row>
    <row r="529" spans="1:53" s="17" customForma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Z529" s="20"/>
      <c r="BA529" s="20"/>
    </row>
    <row r="530" spans="1:53" s="17" customForma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Z530" s="20"/>
      <c r="BA530" s="20"/>
    </row>
    <row r="531" spans="1:53" s="17" customForma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Z531" s="20"/>
      <c r="BA531" s="20"/>
    </row>
    <row r="532" spans="1:53" s="17" customForma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Z532" s="20"/>
      <c r="BA532" s="20"/>
    </row>
    <row r="533" spans="1:53" s="17" customForma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Z533" s="20"/>
      <c r="BA533" s="20"/>
    </row>
    <row r="534" spans="1:53" s="17" customForma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Z534" s="20"/>
      <c r="BA534" s="20"/>
    </row>
    <row r="535" spans="1:53" s="17" customForma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Z535" s="20"/>
      <c r="BA535" s="20"/>
    </row>
    <row r="536" spans="1:53" s="17" customForma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Z536" s="20"/>
      <c r="BA536" s="20"/>
    </row>
    <row r="537" spans="1:53" s="17" customForma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Z537" s="20"/>
      <c r="BA537" s="20"/>
    </row>
    <row r="538" spans="1:53" s="17" customForma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Z538" s="20"/>
      <c r="BA538" s="20"/>
    </row>
    <row r="539" spans="1:53" s="17" customForma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Z539" s="20"/>
      <c r="BA539" s="20"/>
    </row>
    <row r="540" spans="1:53" s="17" customForma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Z540" s="20"/>
      <c r="BA540" s="20"/>
    </row>
    <row r="541" spans="1:53" s="17" customForma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Z541" s="20"/>
      <c r="BA541" s="20"/>
    </row>
    <row r="542" spans="1:53" s="17" customForma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Z542" s="20"/>
      <c r="BA542" s="20"/>
    </row>
    <row r="543" spans="1:53" s="17" customForma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Z543" s="20"/>
      <c r="BA543" s="20"/>
    </row>
    <row r="544" spans="1:53" s="17" customForma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Z544" s="20"/>
      <c r="BA544" s="20"/>
    </row>
    <row r="545" spans="1:53" s="17" customForma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Z545" s="20"/>
      <c r="BA545" s="20"/>
    </row>
    <row r="546" spans="1:53" s="17" customForma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Z546" s="20"/>
      <c r="BA546" s="20"/>
    </row>
    <row r="547" spans="1:53" s="17" customForma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Z547" s="20"/>
      <c r="BA547" s="20"/>
    </row>
    <row r="548" spans="1:53" s="17" customForma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Z548" s="20"/>
      <c r="BA548" s="20"/>
    </row>
    <row r="549" spans="1:53" s="17" customForma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Z549" s="20"/>
      <c r="BA549" s="20"/>
    </row>
    <row r="550" spans="1:53" s="17" customForma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Z550" s="20"/>
      <c r="BA550" s="20"/>
    </row>
    <row r="551" spans="1:53" s="17" customForma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Z551" s="20"/>
      <c r="BA551" s="20"/>
    </row>
    <row r="552" spans="1:53" s="17" customForma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Z552" s="20"/>
      <c r="BA552" s="20"/>
    </row>
    <row r="553" spans="1:53" s="17" customForma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Z553" s="20"/>
      <c r="BA553" s="20"/>
    </row>
    <row r="554" spans="1:53" s="17" customForma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Z554" s="20"/>
      <c r="BA554" s="20"/>
    </row>
    <row r="555" spans="1:53" s="17" customForma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Z555" s="20"/>
      <c r="BA555" s="20"/>
    </row>
    <row r="556" spans="1:53" s="17" customForma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Z556" s="20"/>
      <c r="BA556" s="20"/>
    </row>
    <row r="557" spans="1:53" s="17" customForma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Z557" s="20"/>
      <c r="BA557" s="20"/>
    </row>
    <row r="558" spans="1:53" s="17" customForma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Z558" s="20"/>
      <c r="BA558" s="20"/>
    </row>
    <row r="559" spans="1:53" s="17" customForma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Z559" s="20"/>
      <c r="BA559" s="20"/>
    </row>
    <row r="560" spans="1:53" s="17" customForma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Z560" s="20"/>
      <c r="BA560" s="20"/>
    </row>
    <row r="561" spans="1:53" s="17" customForma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Z561" s="20"/>
      <c r="BA561" s="20"/>
    </row>
    <row r="562" spans="1:53" s="17" customForma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Z562" s="20"/>
      <c r="BA562" s="20"/>
    </row>
    <row r="563" spans="1:53" s="17" customForma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Z563" s="20"/>
      <c r="BA563" s="20"/>
    </row>
    <row r="564" spans="1:53" s="17" customForma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Z564" s="20"/>
      <c r="BA564" s="20"/>
    </row>
    <row r="565" spans="1:53" s="17" customForma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Z565" s="20"/>
      <c r="BA565" s="20"/>
    </row>
    <row r="566" spans="1:53" s="17" customForma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Z566" s="20"/>
      <c r="BA566" s="20"/>
    </row>
    <row r="567" spans="1:53" s="17" customForma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Z567" s="20"/>
      <c r="BA567" s="20"/>
    </row>
    <row r="568" spans="1:53" s="17" customForma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Z568" s="20"/>
      <c r="BA568" s="20"/>
    </row>
    <row r="569" spans="1:53" s="17" customForma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Z569" s="20"/>
      <c r="BA569" s="20"/>
    </row>
    <row r="570" spans="1:53" s="17" customForma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Z570" s="20"/>
      <c r="BA570" s="20"/>
    </row>
    <row r="571" spans="1:53" s="17" customForma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Z571" s="20"/>
      <c r="BA571" s="20"/>
    </row>
    <row r="572" spans="1:53" s="17" customForma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Z572" s="20"/>
      <c r="BA572" s="20"/>
    </row>
    <row r="573" spans="1:53" s="17" customForma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Z573" s="20"/>
      <c r="BA573" s="20"/>
    </row>
    <row r="574" spans="1:53" s="17" customForma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Z574" s="20"/>
      <c r="BA574" s="20"/>
    </row>
    <row r="575" spans="1:53" s="17" customForma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Z575" s="20"/>
      <c r="BA575" s="20"/>
    </row>
    <row r="576" spans="1:53" s="17" customForma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Z576" s="20"/>
      <c r="BA576" s="20"/>
    </row>
    <row r="577" spans="1:53" s="17" customForma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Z577" s="20"/>
      <c r="BA577" s="20"/>
    </row>
    <row r="578" spans="1:53" s="17" customForma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Z578" s="20"/>
      <c r="BA578" s="20"/>
    </row>
    <row r="579" spans="1:53" s="17" customForma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Z579" s="20"/>
      <c r="BA579" s="20"/>
    </row>
    <row r="580" spans="1:53" s="17" customForma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Z580" s="20"/>
      <c r="BA580" s="20"/>
    </row>
    <row r="581" spans="1:53" s="17" customForma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Z581" s="20"/>
      <c r="BA581" s="20"/>
    </row>
    <row r="582" spans="1:53" s="17" customForma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Z582" s="20"/>
      <c r="BA582" s="20"/>
    </row>
    <row r="583" spans="1:53" s="17" customForma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Z583" s="20"/>
      <c r="BA583" s="20"/>
    </row>
    <row r="584" spans="1:53" s="17" customForma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Z584" s="20"/>
      <c r="BA584" s="20"/>
    </row>
    <row r="585" spans="1:53" s="17" customForma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Z585" s="20"/>
      <c r="BA585" s="20"/>
    </row>
    <row r="586" spans="1:53" s="17" customForma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Z586" s="20"/>
      <c r="BA586" s="20"/>
    </row>
    <row r="587" spans="1:53" s="17" customForma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Z587" s="20"/>
      <c r="BA587" s="20"/>
    </row>
    <row r="588" spans="1:53" s="17" customForma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Z588" s="20"/>
      <c r="BA588" s="20"/>
    </row>
    <row r="589" spans="1:53" s="17" customForma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Z589" s="20"/>
      <c r="BA589" s="20"/>
    </row>
    <row r="590" spans="1:53" s="17" customForma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Z590" s="20"/>
      <c r="BA590" s="20"/>
    </row>
    <row r="591" spans="1:53" s="17" customForma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Z591" s="20"/>
      <c r="BA591" s="20"/>
    </row>
    <row r="592" spans="1:53" s="17" customForma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Z592" s="20"/>
      <c r="BA592" s="20"/>
    </row>
    <row r="593" spans="1:53" s="17" customForma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Z593" s="20"/>
      <c r="BA593" s="20"/>
    </row>
    <row r="594" spans="1:53" s="17" customForma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Z594" s="20"/>
      <c r="BA594" s="20"/>
    </row>
    <row r="595" spans="1:53" s="17" customForma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Z595" s="20"/>
      <c r="BA595" s="20"/>
    </row>
    <row r="596" spans="1:53" s="17" customForma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Z596" s="20"/>
      <c r="BA596" s="20"/>
    </row>
    <row r="597" spans="1:53" s="17" customForma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Z597" s="20"/>
      <c r="BA597" s="20"/>
    </row>
    <row r="598" spans="1:53" s="17" customForma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Z598" s="20"/>
      <c r="BA598" s="20"/>
    </row>
    <row r="599" spans="1:53" s="17" customForma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Z599" s="20"/>
      <c r="BA599" s="20"/>
    </row>
    <row r="600" spans="1:53" s="17" customForma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Z600" s="20"/>
      <c r="BA600" s="20"/>
    </row>
    <row r="601" spans="1:53" s="17" customForma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Z601" s="20"/>
      <c r="BA601" s="20"/>
    </row>
    <row r="602" spans="1:53" s="17" customForma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Z602" s="20"/>
      <c r="BA602" s="20"/>
    </row>
    <row r="603" spans="1:53" s="17" customForma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Z603" s="20"/>
      <c r="BA603" s="20"/>
    </row>
    <row r="604" spans="1:53" s="17" customForma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Z604" s="20"/>
      <c r="BA604" s="20"/>
    </row>
    <row r="605" spans="1:53" s="17" customForma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Z605" s="20"/>
      <c r="BA605" s="20"/>
    </row>
    <row r="606" spans="1:53" s="17" customForma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Z606" s="20"/>
      <c r="BA606" s="20"/>
    </row>
    <row r="607" spans="1:53" s="17" customForma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Z607" s="20"/>
      <c r="BA607" s="20"/>
    </row>
    <row r="608" spans="1:53" s="17" customForma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Z608" s="20"/>
      <c r="BA608" s="20"/>
    </row>
    <row r="609" spans="1:53" s="17" customForma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Z609" s="20"/>
      <c r="BA609" s="20"/>
    </row>
    <row r="610" spans="1:53" s="17" customForma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Z610" s="20"/>
      <c r="BA610" s="20"/>
    </row>
    <row r="611" spans="1:53" s="17" customForma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Z611" s="20"/>
      <c r="BA611" s="20"/>
    </row>
    <row r="612" spans="1:53" s="17" customForma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Z612" s="20"/>
      <c r="BA612" s="20"/>
    </row>
    <row r="613" spans="1:53" s="17" customForma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Z613" s="20"/>
      <c r="BA613" s="20"/>
    </row>
    <row r="614" spans="1:53" s="17" customForma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Z614" s="20"/>
      <c r="BA614" s="20"/>
    </row>
    <row r="615" spans="1:53" s="17" customForma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Z615" s="20"/>
      <c r="BA615" s="20"/>
    </row>
    <row r="616" spans="1:53" s="17" customForma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Z616" s="20"/>
      <c r="BA616" s="20"/>
    </row>
    <row r="617" spans="1:53" s="17" customForma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Z617" s="20"/>
      <c r="BA617" s="20"/>
    </row>
    <row r="618" spans="1:53" s="17" customForma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Z618" s="20"/>
      <c r="BA618" s="20"/>
    </row>
    <row r="619" spans="1:53" s="17" customForma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Z619" s="20"/>
      <c r="BA619" s="20"/>
    </row>
    <row r="620" spans="1:53" s="17" customForma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Z620" s="20"/>
      <c r="BA620" s="20"/>
    </row>
    <row r="621" spans="1:53" s="17" customForma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Z621" s="20"/>
      <c r="BA621" s="20"/>
    </row>
    <row r="622" spans="1:53" s="17" customForma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Z622" s="20"/>
      <c r="BA622" s="20"/>
    </row>
    <row r="623" spans="1:53" s="17" customForma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Z623" s="20"/>
      <c r="BA623" s="20"/>
    </row>
    <row r="624" spans="1:53" s="17" customForma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Z624" s="20"/>
      <c r="BA624" s="20"/>
    </row>
    <row r="625" spans="1:53" s="17" customForma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Z625" s="20"/>
      <c r="BA625" s="20"/>
    </row>
    <row r="626" spans="1:53" s="17" customForma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Z626" s="20"/>
      <c r="BA626" s="20"/>
    </row>
    <row r="627" spans="1:53" s="17" customForma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Z627" s="20"/>
      <c r="BA627" s="20"/>
    </row>
    <row r="628" spans="1:53" s="17" customForma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Z628" s="20"/>
      <c r="BA628" s="20"/>
    </row>
    <row r="629" spans="1:53" s="17" customForma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Z629" s="20"/>
      <c r="BA629" s="20"/>
    </row>
    <row r="630" spans="1:53" s="17" customForma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Z630" s="20"/>
      <c r="BA630" s="20"/>
    </row>
    <row r="631" spans="1:53" s="17" customForma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Z631" s="20"/>
      <c r="BA631" s="20"/>
    </row>
    <row r="632" spans="1:53" s="17" customForma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Z632" s="20"/>
      <c r="BA632" s="20"/>
    </row>
    <row r="633" spans="1:53" s="17" customForma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Z633" s="20"/>
      <c r="BA633" s="20"/>
    </row>
    <row r="634" spans="1:53" s="17" customForma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Z634" s="20"/>
      <c r="BA634" s="20"/>
    </row>
    <row r="635" spans="1:53" s="17" customForma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Z635" s="20"/>
      <c r="BA635" s="20"/>
    </row>
    <row r="636" spans="1:53" s="17" customForma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Z636" s="20"/>
      <c r="BA636" s="20"/>
    </row>
    <row r="637" spans="1:53" s="17" customForma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Z637" s="20"/>
      <c r="BA637" s="20"/>
    </row>
    <row r="638" spans="1:53" s="17" customForma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Z638" s="20"/>
      <c r="BA638" s="20"/>
    </row>
    <row r="639" spans="1:53" s="17" customForma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Z639" s="20"/>
      <c r="BA639" s="20"/>
    </row>
    <row r="640" spans="1:53" s="17" customForma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Z640" s="20"/>
      <c r="BA640" s="20"/>
    </row>
    <row r="641" spans="1:53" s="17" customForma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Z641" s="20"/>
      <c r="BA641" s="20"/>
    </row>
    <row r="642" spans="1:53" s="17" customForma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Z642" s="20"/>
      <c r="BA642" s="20"/>
    </row>
    <row r="643" spans="1:53" s="17" customForma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Z643" s="20"/>
      <c r="BA643" s="20"/>
    </row>
    <row r="644" spans="1:53" s="17" customForma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Z644" s="20"/>
      <c r="BA644" s="20"/>
    </row>
    <row r="645" spans="1:53" s="17" customForma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Z645" s="20"/>
      <c r="BA645" s="20"/>
    </row>
    <row r="646" spans="1:53" s="17" customForma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Z646" s="20"/>
      <c r="BA646" s="20"/>
    </row>
    <row r="647" spans="1:53" s="17" customForma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Z647" s="20"/>
      <c r="BA647" s="20"/>
    </row>
    <row r="648" spans="1:53" s="17" customForma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Z648" s="20"/>
      <c r="BA648" s="20"/>
    </row>
    <row r="649" spans="1:53" s="17" customForma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Z649" s="20"/>
      <c r="BA649" s="20"/>
    </row>
    <row r="650" spans="1:53" s="17" customForma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Z650" s="20"/>
      <c r="BA650" s="20"/>
    </row>
    <row r="651" spans="1:53" s="17" customForma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Z651" s="20"/>
      <c r="BA651" s="20"/>
    </row>
    <row r="652" spans="1:53" s="17" customForma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Z652" s="20"/>
      <c r="BA652" s="20"/>
    </row>
    <row r="653" spans="1:53" s="17" customForma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Z653" s="20"/>
      <c r="BA653" s="20"/>
    </row>
    <row r="654" spans="1:53" s="17" customForma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Z654" s="20"/>
      <c r="BA654" s="20"/>
    </row>
    <row r="655" spans="1:53" s="17" customForma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Z655" s="20"/>
      <c r="BA655" s="20"/>
    </row>
    <row r="656" spans="1:53" s="17" customForma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Z656" s="20"/>
      <c r="BA656" s="20"/>
    </row>
    <row r="657" spans="1:53" s="17" customForma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Z657" s="20"/>
      <c r="BA657" s="20"/>
    </row>
    <row r="658" spans="1:53" s="17" customForma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Z658" s="20"/>
      <c r="BA658" s="20"/>
    </row>
    <row r="659" spans="1:53" s="17" customForma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Z659" s="20"/>
      <c r="BA659" s="20"/>
    </row>
    <row r="660" spans="1:53" s="17" customForma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Z660" s="20"/>
      <c r="BA660" s="20"/>
    </row>
    <row r="661" spans="1:53" s="17" customForma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Z661" s="20"/>
      <c r="BA661" s="20"/>
    </row>
    <row r="662" spans="1:53" s="17" customForma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Z662" s="20"/>
      <c r="BA662" s="20"/>
    </row>
    <row r="663" spans="1:53" s="17" customForma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Z663" s="20"/>
      <c r="BA663" s="20"/>
    </row>
    <row r="664" spans="1:53" s="17" customForma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Z664" s="20"/>
      <c r="BA664" s="20"/>
    </row>
    <row r="665" spans="1:53" s="17" customForma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Z665" s="20"/>
      <c r="BA665" s="20"/>
    </row>
    <row r="666" spans="1:53" s="17" customForma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Z666" s="20"/>
      <c r="BA666" s="20"/>
    </row>
    <row r="667" spans="1:53" s="17" customForma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Z667" s="20"/>
      <c r="BA667" s="20"/>
    </row>
    <row r="668" spans="1:53" s="17" customForma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Z668" s="20"/>
      <c r="BA668" s="20"/>
    </row>
    <row r="669" spans="1:53" s="17" customForma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Z669" s="20"/>
      <c r="BA669" s="20"/>
    </row>
    <row r="670" spans="1:53" s="17" customForma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Z670" s="20"/>
      <c r="BA670" s="20"/>
    </row>
    <row r="671" spans="1:53" s="17" customForma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Z671" s="20"/>
      <c r="BA671" s="20"/>
    </row>
    <row r="672" spans="1:53" s="17" customForma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Z672" s="20"/>
      <c r="BA672" s="20"/>
    </row>
    <row r="673" spans="1:53" s="17" customForma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Z673" s="20"/>
      <c r="BA673" s="20"/>
    </row>
    <row r="674" spans="1:53" s="17" customForma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Z674" s="20"/>
      <c r="BA674" s="20"/>
    </row>
    <row r="675" spans="1:53" s="17" customForma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Z675" s="20"/>
      <c r="BA675" s="20"/>
    </row>
    <row r="676" spans="1:53" s="17" customForma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Z676" s="20"/>
      <c r="BA676" s="20"/>
    </row>
    <row r="677" spans="1:53" s="17" customForma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Z677" s="20"/>
      <c r="BA677" s="20"/>
    </row>
    <row r="678" spans="1:53" s="17" customForma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Z678" s="20"/>
      <c r="BA678" s="20"/>
    </row>
    <row r="679" spans="1:53" s="17" customForma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Z679" s="20"/>
      <c r="BA679" s="20"/>
    </row>
    <row r="680" spans="1:53" s="17" customForma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Z680" s="20"/>
      <c r="BA680" s="20"/>
    </row>
    <row r="681" spans="1:53" s="17" customForma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Z681" s="20"/>
      <c r="BA681" s="20"/>
    </row>
    <row r="682" spans="1:53" s="17" customForma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Z682" s="20"/>
      <c r="BA682" s="20"/>
    </row>
    <row r="683" spans="1:53" s="17" customForma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Z683" s="20"/>
      <c r="BA683" s="20"/>
    </row>
    <row r="684" spans="1:53" s="17" customForma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Z684" s="20"/>
      <c r="BA684" s="20"/>
    </row>
    <row r="685" spans="1:53" s="17" customForma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Z685" s="20"/>
      <c r="BA685" s="20"/>
    </row>
    <row r="686" spans="1:53" s="17" customForma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Z686" s="20"/>
      <c r="BA686" s="20"/>
    </row>
    <row r="687" spans="1:53" s="17" customForma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Z687" s="20"/>
      <c r="BA687" s="20"/>
    </row>
    <row r="688" spans="1:53" s="17" customForma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Z688" s="20"/>
      <c r="BA688" s="20"/>
    </row>
    <row r="689" spans="1:53" s="17" customForma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Z689" s="20"/>
      <c r="BA689" s="20"/>
    </row>
    <row r="690" spans="1:53" s="17" customForma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Z690" s="20"/>
      <c r="BA690" s="20"/>
    </row>
    <row r="691" spans="1:53" s="17" customForma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Z691" s="20"/>
      <c r="BA691" s="20"/>
    </row>
    <row r="692" spans="1:53" s="17" customForma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Z692" s="20"/>
      <c r="BA692" s="20"/>
    </row>
    <row r="693" spans="1:53" s="17" customForma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Z693" s="20"/>
      <c r="BA693" s="20"/>
    </row>
    <row r="694" spans="1:53" s="17" customForma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Z694" s="20"/>
      <c r="BA694" s="20"/>
    </row>
    <row r="695" spans="1:53" s="17" customForma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Z695" s="20"/>
      <c r="BA695" s="20"/>
    </row>
    <row r="696" spans="1:53" s="17" customForma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Z696" s="20"/>
      <c r="BA696" s="20"/>
    </row>
    <row r="697" spans="1:53" s="17" customForma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Z697" s="20"/>
      <c r="BA697" s="20"/>
    </row>
    <row r="698" spans="1:53" s="17" customForma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Z698" s="20"/>
      <c r="BA698" s="20"/>
    </row>
    <row r="699" spans="1:53" s="17" customForma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Z699" s="20"/>
      <c r="BA699" s="20"/>
    </row>
    <row r="700" spans="1:53" s="17" customForma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Z700" s="20"/>
      <c r="BA700" s="20"/>
    </row>
    <row r="701" spans="1:53" s="17" customForma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Z701" s="20"/>
      <c r="BA701" s="20"/>
    </row>
    <row r="702" spans="1:53" s="17" customForma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Z702" s="20"/>
      <c r="BA702" s="20"/>
    </row>
    <row r="703" spans="1:53" s="17" customForma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Z703" s="20"/>
      <c r="BA703" s="20"/>
    </row>
    <row r="704" spans="1:53" s="17" customForma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Z704" s="20"/>
      <c r="BA704" s="20"/>
    </row>
    <row r="705" spans="1:53" s="17" customForma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Z705" s="20"/>
      <c r="BA705" s="20"/>
    </row>
    <row r="706" spans="1:53" s="17" customForma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Z706" s="20"/>
      <c r="BA706" s="20"/>
    </row>
    <row r="707" spans="1:53" s="17" customForma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Z707" s="20"/>
      <c r="BA707" s="20"/>
    </row>
    <row r="708" spans="1:53" s="17" customForma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Z708" s="20"/>
      <c r="BA708" s="20"/>
    </row>
    <row r="709" spans="1:53" s="17" customForma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Z709" s="20"/>
      <c r="BA709" s="20"/>
    </row>
    <row r="710" spans="1:53" s="17" customForma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Z710" s="20"/>
      <c r="BA710" s="20"/>
    </row>
    <row r="711" spans="1:53" s="17" customForma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Z711" s="20"/>
      <c r="BA711" s="20"/>
    </row>
    <row r="712" spans="1:53" s="17" customForma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Z712" s="20"/>
      <c r="BA712" s="20"/>
    </row>
    <row r="713" spans="1:53" s="17" customForma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Z713" s="20"/>
      <c r="BA713" s="20"/>
    </row>
    <row r="714" spans="1:53" s="17" customForma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Z714" s="20"/>
      <c r="BA714" s="20"/>
    </row>
    <row r="715" spans="1:53" s="17" customForma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Z715" s="20"/>
      <c r="BA715" s="20"/>
    </row>
    <row r="716" spans="1:53" s="17" customForma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Z716" s="20"/>
      <c r="BA716" s="20"/>
    </row>
    <row r="717" spans="1:53" s="17" customForma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Z717" s="20"/>
      <c r="BA717" s="20"/>
    </row>
    <row r="718" spans="1:53" s="17" customForma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Z718" s="20"/>
      <c r="BA718" s="20"/>
    </row>
    <row r="719" spans="1:53" s="17" customForma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Z719" s="20"/>
      <c r="BA719" s="20"/>
    </row>
    <row r="720" spans="1:53" s="17" customForma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Z720" s="20"/>
      <c r="BA720" s="20"/>
    </row>
    <row r="721" spans="1:53" s="17" customForma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Z721" s="20"/>
      <c r="BA721" s="20"/>
    </row>
    <row r="722" spans="1:53" s="17" customForma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Z722" s="20"/>
      <c r="BA722" s="20"/>
    </row>
    <row r="723" spans="1:53" s="17" customForma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Z723" s="20"/>
      <c r="BA723" s="20"/>
    </row>
    <row r="724" spans="1:53" s="17" customForma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Z724" s="20"/>
      <c r="BA724" s="20"/>
    </row>
    <row r="725" spans="1:53" s="17" customForma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Z725" s="20"/>
      <c r="BA725" s="20"/>
    </row>
    <row r="726" spans="1:53" s="17" customForma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Z726" s="20"/>
      <c r="BA726" s="20"/>
    </row>
    <row r="727" spans="1:53" s="17" customForma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Z727" s="20"/>
      <c r="BA727" s="20"/>
    </row>
    <row r="728" spans="1:53" s="17" customForma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Z728" s="20"/>
      <c r="BA728" s="20"/>
    </row>
    <row r="729" spans="1:53" s="17" customForma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Z729" s="20"/>
      <c r="BA729" s="20"/>
    </row>
    <row r="730" spans="1:53" s="17" customForma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Z730" s="20"/>
      <c r="BA730" s="20"/>
    </row>
    <row r="731" spans="1:53" s="17" customForma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Z731" s="20"/>
      <c r="BA731" s="20"/>
    </row>
    <row r="732" spans="1:53" s="17" customForma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Z732" s="20"/>
      <c r="BA732" s="20"/>
    </row>
    <row r="733" spans="1:53" s="17" customForma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Z733" s="20"/>
      <c r="BA733" s="20"/>
    </row>
    <row r="734" spans="1:53" s="17" customForma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Z734" s="20"/>
      <c r="BA734" s="20"/>
    </row>
    <row r="735" spans="1:53" s="17" customForma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Z735" s="20"/>
      <c r="BA735" s="20"/>
    </row>
    <row r="736" spans="1:53" s="17" customForma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Z736" s="20"/>
      <c r="BA736" s="20"/>
    </row>
    <row r="737" spans="1:53" s="17" customForma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Z737" s="20"/>
      <c r="BA737" s="20"/>
    </row>
    <row r="738" spans="1:53" s="17" customForma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Z738" s="20"/>
      <c r="BA738" s="20"/>
    </row>
    <row r="739" spans="1:53" s="17" customForma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Z739" s="20"/>
      <c r="BA739" s="20"/>
    </row>
    <row r="740" spans="1:53" s="17" customForma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Z740" s="20"/>
      <c r="BA740" s="20"/>
    </row>
    <row r="741" spans="1:53" s="17" customForma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Z741" s="20"/>
      <c r="BA741" s="20"/>
    </row>
    <row r="742" spans="1:53" s="17" customForma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Z742" s="20"/>
      <c r="BA742" s="20"/>
    </row>
    <row r="743" spans="1:53" s="17" customForma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Z743" s="20"/>
      <c r="BA743" s="20"/>
    </row>
    <row r="744" spans="1:53" s="17" customForma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Z744" s="20"/>
      <c r="BA744" s="20"/>
    </row>
    <row r="745" spans="1:53" s="17" customForma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Z745" s="20"/>
      <c r="BA745" s="20"/>
    </row>
    <row r="746" spans="1:53" s="17" customForma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Z746" s="20"/>
      <c r="BA746" s="20"/>
    </row>
    <row r="747" spans="1:53" s="17" customForma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Z747" s="20"/>
      <c r="BA747" s="20"/>
    </row>
    <row r="748" spans="1:53" s="17" customForma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Z748" s="20"/>
      <c r="BA748" s="20"/>
    </row>
    <row r="749" spans="1:53" s="17" customForma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Z749" s="20"/>
      <c r="BA749" s="20"/>
    </row>
    <row r="750" spans="1:53" s="17" customForma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Z750" s="20"/>
      <c r="BA750" s="20"/>
    </row>
    <row r="751" spans="1:53" s="17" customForma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Z751" s="20"/>
      <c r="BA751" s="20"/>
    </row>
    <row r="752" spans="1:53" s="17" customForma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Z752" s="20"/>
      <c r="BA752" s="20"/>
    </row>
    <row r="753" spans="1:53" s="17" customForma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Z753" s="20"/>
      <c r="BA753" s="20"/>
    </row>
    <row r="754" spans="1:53" s="17" customForma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Z754" s="20"/>
      <c r="BA754" s="20"/>
    </row>
    <row r="755" spans="1:53" s="17" customForma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Z755" s="20"/>
      <c r="BA755" s="20"/>
    </row>
    <row r="756" spans="1:53" s="17" customForma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Z756" s="20"/>
      <c r="BA756" s="20"/>
    </row>
    <row r="757" spans="1:53" s="17" customForma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Z757" s="20"/>
      <c r="BA757" s="20"/>
    </row>
    <row r="758" spans="1:53" s="17" customForma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Z758" s="20"/>
      <c r="BA758" s="20"/>
    </row>
    <row r="759" spans="1:53" s="17" customForma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Z759" s="20"/>
      <c r="BA759" s="20"/>
    </row>
    <row r="760" spans="1:53" s="17" customForma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Z760" s="20"/>
      <c r="BA760" s="20"/>
    </row>
    <row r="761" spans="1:53" s="17" customForma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Z761" s="20"/>
      <c r="BA761" s="20"/>
    </row>
    <row r="762" spans="1:53" s="17" customForma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Z762" s="20"/>
      <c r="BA762" s="20"/>
    </row>
    <row r="763" spans="1:53" s="17" customForma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Z763" s="20"/>
      <c r="BA763" s="20"/>
    </row>
    <row r="764" spans="1:53" s="17" customForma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Z764" s="20"/>
      <c r="BA764" s="20"/>
    </row>
    <row r="765" spans="1:53" s="17" customForma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Z765" s="20"/>
      <c r="BA765" s="20"/>
    </row>
    <row r="766" spans="1:53" s="17" customForma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Z766" s="20"/>
      <c r="BA766" s="20"/>
    </row>
    <row r="767" spans="1:53" s="17" customForma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Z767" s="20"/>
      <c r="BA767" s="20"/>
    </row>
    <row r="768" spans="1:53" s="17" customForma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Z768" s="20"/>
      <c r="BA768" s="20"/>
    </row>
    <row r="769" spans="1:53" s="17" customForma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Z769" s="20"/>
      <c r="BA769" s="20"/>
    </row>
    <row r="770" spans="1:53" s="17" customForma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Z770" s="20"/>
      <c r="BA770" s="20"/>
    </row>
    <row r="771" spans="1:53" s="17" customForma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Z771" s="20"/>
      <c r="BA771" s="20"/>
    </row>
    <row r="772" spans="1:53" s="17" customForma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Z772" s="20"/>
      <c r="BA772" s="20"/>
    </row>
    <row r="773" spans="1:53" s="17" customForma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Z773" s="20"/>
      <c r="BA773" s="20"/>
    </row>
    <row r="774" spans="1:53" s="17" customForma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Z774" s="20"/>
      <c r="BA774" s="20"/>
    </row>
    <row r="775" spans="1:53" s="17" customForma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Z775" s="20"/>
      <c r="BA775" s="20"/>
    </row>
    <row r="776" spans="1:53" s="17" customForma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Z776" s="20"/>
      <c r="BA776" s="20"/>
    </row>
    <row r="777" spans="1:53" s="17" customForma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Z777" s="20"/>
      <c r="BA777" s="20"/>
    </row>
    <row r="778" spans="1:53" s="17" customForma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Z778" s="20"/>
      <c r="BA778" s="20"/>
    </row>
    <row r="779" spans="1:53" s="17" customForma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Z779" s="20"/>
      <c r="BA779" s="20"/>
    </row>
    <row r="780" spans="1:53" s="17" customForma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Z780" s="20"/>
      <c r="BA780" s="20"/>
    </row>
    <row r="781" spans="1:53" s="17" customForma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Z781" s="20"/>
      <c r="BA781" s="20"/>
    </row>
    <row r="782" spans="1:53" s="17" customForma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Z782" s="20"/>
      <c r="BA782" s="20"/>
    </row>
    <row r="783" spans="1:53" s="17" customForma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Z783" s="20"/>
      <c r="BA783" s="20"/>
    </row>
    <row r="784" spans="1:53" s="17" customForma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Z784" s="20"/>
      <c r="BA784" s="20"/>
    </row>
    <row r="785" spans="1:53" s="17" customForma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Z785" s="20"/>
      <c r="BA785" s="20"/>
    </row>
    <row r="786" spans="1:53" s="17" customForma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Z786" s="20"/>
      <c r="BA786" s="20"/>
    </row>
    <row r="787" spans="1:53" s="17" customForma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Z787" s="20"/>
      <c r="BA787" s="20"/>
    </row>
    <row r="788" spans="1:53" s="17" customForma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Z788" s="20"/>
      <c r="BA788" s="20"/>
    </row>
    <row r="789" spans="1:53" s="17" customForma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Z789" s="20"/>
      <c r="BA789" s="20"/>
    </row>
    <row r="790" spans="1:53" s="17" customForma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Z790" s="20"/>
      <c r="BA790" s="20"/>
    </row>
    <row r="791" spans="1:53" s="17" customForma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Z791" s="20"/>
      <c r="BA791" s="20"/>
    </row>
    <row r="792" spans="1:53" s="17" customForma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Z792" s="20"/>
      <c r="BA792" s="20"/>
    </row>
    <row r="793" spans="1:53" s="17" customForma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Z793" s="20"/>
      <c r="BA793" s="20"/>
    </row>
    <row r="794" spans="1:53" s="17" customForma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Z794" s="20"/>
      <c r="BA794" s="20"/>
    </row>
    <row r="795" spans="1:53" s="17" customForma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Z795" s="20"/>
      <c r="BA795" s="20"/>
    </row>
    <row r="796" spans="1:53" s="17" customForma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Z796" s="20"/>
      <c r="BA796" s="20"/>
    </row>
    <row r="797" spans="1:53" s="17" customForma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Z797" s="20"/>
      <c r="BA797" s="20"/>
    </row>
    <row r="798" spans="1:53" s="17" customForma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Z798" s="20"/>
      <c r="BA798" s="20"/>
    </row>
    <row r="799" spans="1:53" s="17" customForma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Z799" s="20"/>
      <c r="BA799" s="20"/>
    </row>
    <row r="800" spans="1:53" s="17" customForma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Z800" s="20"/>
      <c r="BA800" s="20"/>
    </row>
    <row r="801" spans="1:53" s="17" customForma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Z801" s="20"/>
      <c r="BA801" s="20"/>
    </row>
    <row r="802" spans="1:53" s="17" customForma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Z802" s="20"/>
      <c r="BA802" s="20"/>
    </row>
    <row r="803" spans="1:53" s="17" customForma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Z803" s="20"/>
      <c r="BA803" s="20"/>
    </row>
    <row r="804" spans="1:53" s="17" customForma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Z804" s="20"/>
      <c r="BA804" s="20"/>
    </row>
    <row r="805" spans="1:53" s="17" customForma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Z805" s="20"/>
      <c r="BA805" s="20"/>
    </row>
    <row r="806" spans="1:53" s="17" customForma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Z806" s="20"/>
      <c r="BA806" s="20"/>
    </row>
    <row r="807" spans="1:53" s="17" customForma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Z807" s="20"/>
      <c r="BA807" s="20"/>
    </row>
    <row r="808" spans="1:53" s="17" customForma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Z808" s="20"/>
      <c r="BA808" s="20"/>
    </row>
    <row r="809" spans="1:53" s="17" customForma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Z809" s="20"/>
      <c r="BA809" s="20"/>
    </row>
    <row r="810" spans="1:53" s="17" customForma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Z810" s="20"/>
      <c r="BA810" s="20"/>
    </row>
    <row r="811" spans="1:53" s="17" customForma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Z811" s="20"/>
      <c r="BA811" s="20"/>
    </row>
    <row r="812" spans="1:53" s="17" customForma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Z812" s="20"/>
      <c r="BA812" s="20"/>
    </row>
    <row r="813" spans="1:53" s="17" customForma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Z813" s="20"/>
      <c r="BA813" s="20"/>
    </row>
    <row r="814" spans="1:53" s="17" customForma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Z814" s="20"/>
      <c r="BA814" s="20"/>
    </row>
    <row r="815" spans="1:53" s="17" customForma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Z815" s="20"/>
      <c r="BA815" s="20"/>
    </row>
    <row r="816" spans="1:53" s="17" customForma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Z816" s="20"/>
      <c r="BA816" s="20"/>
    </row>
    <row r="817" spans="1:53" s="17" customForma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Z817" s="20"/>
      <c r="BA817" s="20"/>
    </row>
    <row r="818" spans="1:53" s="17" customForma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Z818" s="20"/>
      <c r="BA818" s="20"/>
    </row>
    <row r="819" spans="1:53" s="17" customForma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Z819" s="20"/>
      <c r="BA819" s="20"/>
    </row>
    <row r="820" spans="1:53" s="17" customForma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Z820" s="20"/>
      <c r="BA820" s="20"/>
    </row>
    <row r="821" spans="1:53" s="17" customForma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Z821" s="20"/>
      <c r="BA821" s="20"/>
    </row>
    <row r="822" spans="1:53" s="17" customForma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Z822" s="20"/>
      <c r="BA822" s="20"/>
    </row>
    <row r="823" spans="1:53" s="17" customForma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Z823" s="20"/>
      <c r="BA823" s="20"/>
    </row>
    <row r="824" spans="1:53" s="17" customForma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Z824" s="20"/>
      <c r="BA824" s="20"/>
    </row>
    <row r="825" spans="1:53" s="17" customForma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Z825" s="20"/>
      <c r="BA825" s="20"/>
    </row>
    <row r="826" spans="1:53" s="17" customForma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Z826" s="20"/>
      <c r="BA826" s="20"/>
    </row>
    <row r="827" spans="1:53" s="17" customForma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Z827" s="20"/>
      <c r="BA827" s="20"/>
    </row>
    <row r="828" spans="1:53" s="17" customForma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Z828" s="20"/>
      <c r="BA828" s="20"/>
    </row>
    <row r="829" spans="1:53" s="17" customForma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Z829" s="20"/>
      <c r="BA829" s="20"/>
    </row>
    <row r="830" spans="1:53" s="17" customForma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Z830" s="20"/>
      <c r="BA830" s="20"/>
    </row>
    <row r="831" spans="1:53" s="17" customForma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Z831" s="20"/>
      <c r="BA831" s="20"/>
    </row>
    <row r="832" spans="1:53" s="17" customForma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Z832" s="20"/>
      <c r="BA832" s="20"/>
    </row>
    <row r="833" spans="1:53" s="17" customForma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Z833" s="20"/>
      <c r="BA833" s="20"/>
    </row>
    <row r="834" spans="1:53" s="17" customForma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Z834" s="20"/>
      <c r="BA834" s="20"/>
    </row>
    <row r="835" spans="1:53" s="17" customForma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Z835" s="20"/>
      <c r="BA835" s="20"/>
    </row>
    <row r="836" spans="1:53" s="17" customForma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Z836" s="20"/>
      <c r="BA836" s="20"/>
    </row>
    <row r="837" spans="1:53" s="17" customForma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Z837" s="20"/>
      <c r="BA837" s="20"/>
    </row>
    <row r="838" spans="1:53" s="17" customForma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Z838" s="20"/>
      <c r="BA838" s="20"/>
    </row>
    <row r="839" spans="1:53" s="17" customForma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Z839" s="20"/>
      <c r="BA839" s="20"/>
    </row>
    <row r="840" spans="1:53" s="17" customForma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Z840" s="20"/>
      <c r="BA840" s="20"/>
    </row>
    <row r="841" spans="1:53" s="17" customForma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Z841" s="20"/>
      <c r="BA841" s="20"/>
    </row>
    <row r="842" spans="1:53" s="17" customForma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Z842" s="20"/>
      <c r="BA842" s="20"/>
    </row>
    <row r="843" spans="1:53" s="17" customForma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Z843" s="20"/>
      <c r="BA843" s="20"/>
    </row>
    <row r="844" spans="1:53" s="17" customForma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Z844" s="20"/>
      <c r="BA844" s="20"/>
    </row>
    <row r="845" spans="1:53" s="17" customForma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Z845" s="20"/>
      <c r="BA845" s="20"/>
    </row>
    <row r="846" spans="1:53" s="17" customForma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Z846" s="20"/>
      <c r="BA846" s="20"/>
    </row>
    <row r="847" spans="1:53" s="17" customForma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Z847" s="20"/>
      <c r="BA847" s="20"/>
    </row>
    <row r="848" spans="1:53" s="17" customForma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Z848" s="20"/>
      <c r="BA848" s="20"/>
    </row>
    <row r="849" spans="1:53" s="17" customForma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Z849" s="20"/>
      <c r="BA849" s="20"/>
    </row>
    <row r="850" spans="1:53" s="17" customForma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Z850" s="20"/>
      <c r="BA850" s="20"/>
    </row>
    <row r="851" spans="1:53" s="17" customForma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Z851" s="20"/>
      <c r="BA851" s="20"/>
    </row>
    <row r="852" spans="1:53" s="17" customForma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Z852" s="20"/>
      <c r="BA852" s="20"/>
    </row>
    <row r="853" spans="1:53" s="17" customForma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Z853" s="20"/>
      <c r="BA853" s="20"/>
    </row>
    <row r="854" spans="1:53" s="17" customForma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Z854" s="20"/>
      <c r="BA854" s="20"/>
    </row>
    <row r="855" spans="1:53" s="17" customForma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Z855" s="20"/>
      <c r="BA855" s="20"/>
    </row>
    <row r="856" spans="1:53" s="17" customForma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Z856" s="20"/>
      <c r="BA856" s="20"/>
    </row>
    <row r="857" spans="1:53" s="17" customForma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Z857" s="20"/>
      <c r="BA857" s="20"/>
    </row>
    <row r="858" spans="1:53" s="17" customForma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Z858" s="20"/>
      <c r="BA858" s="20"/>
    </row>
    <row r="859" spans="1:53" s="17" customForma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Z859" s="20"/>
      <c r="BA859" s="20"/>
    </row>
    <row r="860" spans="1:53" s="17" customForma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Z860" s="20"/>
      <c r="BA860" s="20"/>
    </row>
    <row r="861" spans="1:53" s="17" customForma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Z861" s="20"/>
      <c r="BA861" s="20"/>
    </row>
    <row r="862" spans="1:53" s="17" customForma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Z862" s="20"/>
      <c r="BA862" s="20"/>
    </row>
    <row r="863" spans="1:53" s="17" customForma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Z863" s="20"/>
      <c r="BA863" s="20"/>
    </row>
    <row r="864" spans="1:53" s="17" customForma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Z864" s="20"/>
      <c r="BA864" s="20"/>
    </row>
    <row r="865" spans="1:53" s="17" customForma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Z865" s="20"/>
      <c r="BA865" s="20"/>
    </row>
    <row r="866" spans="1:53" s="17" customForma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Z866" s="20"/>
      <c r="BA866" s="20"/>
    </row>
    <row r="867" spans="1:53" s="17" customForma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Z867" s="20"/>
      <c r="BA867" s="20"/>
    </row>
    <row r="868" spans="1:53" s="17" customForma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Z868" s="20"/>
      <c r="BA868" s="20"/>
    </row>
    <row r="869" spans="1:53" s="17" customForma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Z869" s="20"/>
      <c r="BA869" s="20"/>
    </row>
    <row r="870" spans="1:53" s="17" customForma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Z870" s="20"/>
      <c r="BA870" s="20"/>
    </row>
    <row r="871" spans="1:53" s="17" customForma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Z871" s="20"/>
      <c r="BA871" s="20"/>
    </row>
    <row r="872" spans="1:53" s="17" customForma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Z872" s="20"/>
      <c r="BA872" s="20"/>
    </row>
    <row r="873" spans="1:53" s="17" customForma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Z873" s="20"/>
      <c r="BA873" s="20"/>
    </row>
    <row r="874" spans="1:53" s="17" customForma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Z874" s="20"/>
      <c r="BA874" s="20"/>
    </row>
    <row r="875" spans="1:53" s="17" customForma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Z875" s="20"/>
      <c r="BA875" s="20"/>
    </row>
    <row r="876" spans="1:53" s="17" customForma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Z876" s="20"/>
      <c r="BA876" s="20"/>
    </row>
    <row r="877" spans="1:53" s="17" customForma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Z877" s="20"/>
      <c r="BA877" s="20"/>
    </row>
    <row r="878" spans="1:53" s="17" customForma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Z878" s="20"/>
      <c r="BA878" s="20"/>
    </row>
    <row r="879" spans="1:53" s="17" customForma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Z879" s="20"/>
      <c r="BA879" s="20"/>
    </row>
    <row r="880" spans="1:53" s="17" customForma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Z880" s="20"/>
      <c r="BA880" s="20"/>
    </row>
    <row r="881" spans="1:53" s="17" customForma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Z881" s="20"/>
      <c r="BA881" s="20"/>
    </row>
    <row r="882" spans="1:53" s="17" customForma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Z882" s="20"/>
      <c r="BA882" s="20"/>
    </row>
    <row r="883" spans="1:53" s="17" customForma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Z883" s="20"/>
      <c r="BA883" s="20"/>
    </row>
    <row r="884" spans="1:53" s="17" customForma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Z884" s="20"/>
      <c r="BA884" s="20"/>
    </row>
    <row r="885" spans="1:53" s="17" customForma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Z885" s="20"/>
      <c r="BA885" s="20"/>
    </row>
    <row r="886" spans="1:53" s="17" customForma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Z886" s="20"/>
      <c r="BA886" s="20"/>
    </row>
    <row r="887" spans="1:53" s="17" customForma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Z887" s="20"/>
      <c r="BA887" s="20"/>
    </row>
    <row r="888" spans="1:53" s="17" customForma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Z888" s="20"/>
      <c r="BA888" s="20"/>
    </row>
    <row r="889" spans="1:53" s="17" customForma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Z889" s="20"/>
      <c r="BA889" s="20"/>
    </row>
    <row r="890" spans="1:53" s="17" customForma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Z890" s="20"/>
      <c r="BA890" s="20"/>
    </row>
    <row r="891" spans="1:53" s="17" customForma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Z891" s="20"/>
      <c r="BA891" s="20"/>
    </row>
    <row r="892" spans="1:53" s="17" customForma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Z892" s="20"/>
      <c r="BA892" s="20"/>
    </row>
    <row r="893" spans="1:53" s="17" customForma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Z893" s="20"/>
      <c r="BA893" s="20"/>
    </row>
    <row r="894" spans="1:53" s="17" customForma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Z894" s="20"/>
      <c r="BA894" s="20"/>
    </row>
    <row r="895" spans="1:53" s="17" customForma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Z895" s="20"/>
      <c r="BA895" s="20"/>
    </row>
    <row r="896" spans="1:53" s="17" customForma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Z896" s="20"/>
      <c r="BA896" s="20"/>
    </row>
    <row r="897" spans="1:53" s="17" customForma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Z897" s="20"/>
      <c r="BA897" s="20"/>
    </row>
    <row r="898" spans="1:53" s="17" customForma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Z898" s="20"/>
      <c r="BA898" s="20"/>
    </row>
    <row r="899" spans="1:53" s="17" customForma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Z899" s="20"/>
      <c r="BA899" s="20"/>
    </row>
    <row r="900" spans="1:53" s="17" customForma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Z900" s="20"/>
      <c r="BA900" s="20"/>
    </row>
    <row r="901" spans="1:53" s="17" customForma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Z901" s="20"/>
      <c r="BA901" s="20"/>
    </row>
    <row r="902" spans="1:53" s="17" customForma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Z902" s="20"/>
      <c r="BA902" s="20"/>
    </row>
    <row r="903" spans="1:53" s="17" customForma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Z903" s="20"/>
      <c r="BA903" s="20"/>
    </row>
    <row r="904" spans="1:53" s="17" customForma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Z904" s="20"/>
      <c r="BA904" s="20"/>
    </row>
    <row r="905" spans="1:53" s="17" customForma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Z905" s="20"/>
      <c r="BA905" s="20"/>
    </row>
    <row r="906" spans="1:53" s="17" customForma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Z906" s="20"/>
      <c r="BA906" s="20"/>
    </row>
    <row r="907" spans="1:53" s="17" customForma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Z907" s="20"/>
      <c r="BA907" s="20"/>
    </row>
    <row r="908" spans="1:53" s="17" customForma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Z908" s="20"/>
      <c r="BA908" s="20"/>
    </row>
    <row r="909" spans="1:53" s="17" customForma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Z909" s="20"/>
      <c r="BA909" s="20"/>
    </row>
    <row r="910" spans="1:53" s="17" customForma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Z910" s="20"/>
      <c r="BA910" s="20"/>
    </row>
    <row r="911" spans="1:53" s="17" customForma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Z911" s="20"/>
      <c r="BA911" s="20"/>
    </row>
    <row r="912" spans="1:53" s="17" customForma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Z912" s="20"/>
      <c r="BA912" s="20"/>
    </row>
    <row r="913" spans="1:53" s="17" customForma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Z913" s="20"/>
      <c r="BA913" s="20"/>
    </row>
    <row r="914" spans="1:53" s="17" customForma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Z914" s="20"/>
      <c r="BA914" s="20"/>
    </row>
    <row r="915" spans="1:53" s="17" customForma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Z915" s="20"/>
      <c r="BA915" s="20"/>
    </row>
    <row r="916" spans="1:53" s="17" customForma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Z916" s="20"/>
      <c r="BA916" s="20"/>
    </row>
    <row r="917" spans="1:53" s="17" customForma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Z917" s="20"/>
      <c r="BA917" s="20"/>
    </row>
    <row r="918" spans="1:53" s="17" customForma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Z918" s="20"/>
      <c r="BA918" s="20"/>
    </row>
    <row r="919" spans="1:53" s="17" customForma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Z919" s="20"/>
      <c r="BA919" s="20"/>
    </row>
    <row r="920" spans="1:53" s="17" customForma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Z920" s="20"/>
      <c r="BA920" s="20"/>
    </row>
    <row r="921" spans="1:53" s="17" customForma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Z921" s="20"/>
      <c r="BA921" s="20"/>
    </row>
    <row r="922" spans="1:53" s="17" customForma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Z922" s="20"/>
      <c r="BA922" s="20"/>
    </row>
    <row r="923" spans="1:53" s="17" customForma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Z923" s="20"/>
      <c r="BA923" s="20"/>
    </row>
    <row r="924" spans="1:53" s="17" customForma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Z924" s="20"/>
      <c r="BA924" s="20"/>
    </row>
    <row r="925" spans="1:53" s="17" customForma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Z925" s="20"/>
      <c r="BA925" s="20"/>
    </row>
    <row r="926" spans="1:53" s="17" customForma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Z926" s="20"/>
      <c r="BA926" s="20"/>
    </row>
    <row r="927" spans="1:53" s="17" customForma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Z927" s="20"/>
      <c r="BA927" s="20"/>
    </row>
    <row r="928" spans="1:53" s="17" customForma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Z928" s="20"/>
      <c r="BA928" s="20"/>
    </row>
    <row r="929" spans="1:53" s="17" customForma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Z929" s="20"/>
      <c r="BA929" s="20"/>
    </row>
    <row r="930" spans="1:53" s="17" customForma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Z930" s="20"/>
      <c r="BA930" s="20"/>
    </row>
    <row r="931" spans="1:53" s="17" customForma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Z931" s="20"/>
      <c r="BA931" s="20"/>
    </row>
    <row r="932" spans="1:53" s="17" customForma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Z932" s="20"/>
      <c r="BA932" s="20"/>
    </row>
    <row r="933" spans="1:53" s="17" customForma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Z933" s="20"/>
      <c r="BA933" s="20"/>
    </row>
    <row r="934" spans="1:53" s="17" customForma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Z934" s="20"/>
      <c r="BA934" s="20"/>
    </row>
    <row r="935" spans="1:53" s="17" customForma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Z935" s="20"/>
      <c r="BA935" s="20"/>
    </row>
    <row r="936" spans="1:53" s="17" customForma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Z936" s="20"/>
      <c r="BA936" s="20"/>
    </row>
    <row r="937" spans="1:53" s="17" customForma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Z937" s="20"/>
      <c r="BA937" s="20"/>
    </row>
    <row r="938" spans="1:53" s="17" customForma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Z938" s="20"/>
      <c r="BA938" s="20"/>
    </row>
    <row r="939" spans="1:53" s="17" customForma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Z939" s="20"/>
      <c r="BA939" s="20"/>
    </row>
    <row r="940" spans="1:53" s="17" customForma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Z940" s="20"/>
      <c r="BA940" s="20"/>
    </row>
    <row r="941" spans="1:53" s="17" customForma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Z941" s="20"/>
      <c r="BA941" s="20"/>
    </row>
    <row r="942" spans="1:53" s="17" customForma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Z942" s="20"/>
      <c r="BA942" s="20"/>
    </row>
    <row r="943" spans="1:53" s="17" customForma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Z943" s="20"/>
      <c r="BA943" s="20"/>
    </row>
    <row r="944" spans="1:53" s="17" customForma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Z944" s="20"/>
      <c r="BA944" s="20"/>
    </row>
    <row r="945" spans="1:53" s="17" customForma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Z945" s="20"/>
      <c r="BA945" s="20"/>
    </row>
    <row r="946" spans="1:53" s="17" customForma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Z946" s="20"/>
      <c r="BA946" s="20"/>
    </row>
    <row r="947" spans="1:53" s="17" customForma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Z947" s="20"/>
      <c r="BA947" s="20"/>
    </row>
    <row r="948" spans="1:53" s="17" customForma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Z948" s="20"/>
      <c r="BA948" s="20"/>
    </row>
    <row r="949" spans="1:53" s="17" customForma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Z949" s="20"/>
      <c r="BA949" s="20"/>
    </row>
    <row r="950" spans="1:53" s="17" customForma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Z950" s="20"/>
      <c r="BA950" s="20"/>
    </row>
    <row r="951" spans="1:53" s="17" customForma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Z951" s="20"/>
      <c r="BA951" s="20"/>
    </row>
    <row r="952" spans="1:53" s="17" customForma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Z952" s="20"/>
      <c r="BA952" s="20"/>
    </row>
    <row r="953" spans="1:53" s="17" customForma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Z953" s="20"/>
      <c r="BA953" s="20"/>
    </row>
    <row r="954" spans="1:53" s="17" customForma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Z954" s="20"/>
      <c r="BA954" s="20"/>
    </row>
    <row r="955" spans="1:53" s="17" customForma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Z955" s="20"/>
      <c r="BA955" s="20"/>
    </row>
    <row r="956" spans="1:53" s="17" customForma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Z956" s="20"/>
      <c r="BA956" s="20"/>
    </row>
    <row r="957" spans="1:53" s="17" customForma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Z957" s="20"/>
      <c r="BA957" s="20"/>
    </row>
    <row r="958" spans="1:53" s="17" customForma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Z958" s="20"/>
      <c r="BA958" s="20"/>
    </row>
    <row r="959" spans="1:53" s="17" customForma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Z959" s="20"/>
      <c r="BA959" s="20"/>
    </row>
    <row r="960" spans="1:53" s="17" customForma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Z960" s="20"/>
      <c r="BA960" s="20"/>
    </row>
    <row r="961" spans="1:53" s="17" customForma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Z961" s="20"/>
      <c r="BA961" s="20"/>
    </row>
    <row r="962" spans="1:53" s="17" customForma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Z962" s="20"/>
      <c r="BA962" s="20"/>
    </row>
    <row r="963" spans="1:53" s="17" customForma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Z963" s="20"/>
      <c r="BA963" s="20"/>
    </row>
    <row r="964" spans="1:53" s="17" customForma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Z964" s="20"/>
      <c r="BA964" s="20"/>
    </row>
    <row r="965" spans="1:53" s="17" customForma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Z965" s="20"/>
      <c r="BA965" s="20"/>
    </row>
    <row r="966" spans="1:53" s="17" customForma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Z966" s="20"/>
      <c r="BA966" s="20"/>
    </row>
    <row r="967" spans="1:53" s="17" customForma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Z967" s="20"/>
      <c r="BA967" s="20"/>
    </row>
    <row r="968" spans="1:53" s="17" customForma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Z968" s="20"/>
      <c r="BA968" s="20"/>
    </row>
    <row r="969" spans="1:53" s="17" customForma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Z969" s="20"/>
      <c r="BA969" s="20"/>
    </row>
    <row r="970" spans="1:53" s="17" customForma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Z970" s="20"/>
      <c r="BA970" s="20"/>
    </row>
    <row r="971" spans="1:53" s="17" customForma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Z971" s="20"/>
      <c r="BA971" s="20"/>
    </row>
    <row r="972" spans="1:53" s="17" customForma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Z972" s="20"/>
      <c r="BA972" s="20"/>
    </row>
    <row r="973" spans="1:53" s="17" customForma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Z973" s="20"/>
      <c r="BA973" s="20"/>
    </row>
    <row r="974" spans="1:53" s="17" customForma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Z974" s="20"/>
      <c r="BA974" s="20"/>
    </row>
    <row r="975" spans="1:53" s="17" customForma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Z975" s="20"/>
      <c r="BA975" s="20"/>
    </row>
    <row r="976" spans="1:53" s="17" customForma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Z976" s="20"/>
      <c r="BA976" s="20"/>
    </row>
    <row r="977" spans="1:53" s="17" customForma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Z977" s="20"/>
      <c r="BA977" s="20"/>
    </row>
    <row r="978" spans="1:53" s="17" customForma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Z978" s="20"/>
      <c r="BA978" s="20"/>
    </row>
    <row r="979" spans="1:53" s="17" customForma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Z979" s="20"/>
      <c r="BA979" s="20"/>
    </row>
    <row r="980" spans="1:53" s="17" customForma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Z980" s="20"/>
      <c r="BA980" s="20"/>
    </row>
    <row r="981" spans="1:53" s="17" customForma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Z981" s="20"/>
      <c r="BA981" s="20"/>
    </row>
    <row r="982" spans="1:53" s="17" customForma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Z982" s="20"/>
      <c r="BA982" s="20"/>
    </row>
    <row r="983" spans="1:53" s="17" customForma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Z983" s="20"/>
      <c r="BA983" s="20"/>
    </row>
    <row r="984" spans="1:53" s="17" customForma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Z984" s="20"/>
      <c r="BA984" s="20"/>
    </row>
    <row r="985" spans="1:53" s="17" customForma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Z985" s="20"/>
      <c r="BA985" s="20"/>
    </row>
    <row r="986" spans="1:53" s="17" customForma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Z986" s="20"/>
      <c r="BA986" s="20"/>
    </row>
    <row r="987" spans="1:53" s="17" customForma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Z987" s="20"/>
      <c r="BA987" s="20"/>
    </row>
    <row r="988" spans="1:53" s="17" customForma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Z988" s="20"/>
      <c r="BA988" s="20"/>
    </row>
    <row r="989" spans="1:53" s="17" customForma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Z989" s="20"/>
      <c r="BA989" s="20"/>
    </row>
    <row r="990" spans="1:53" s="17" customForma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Z990" s="20"/>
      <c r="BA990" s="20"/>
    </row>
    <row r="991" spans="1:53" s="17" customForma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Z991" s="20"/>
      <c r="BA991" s="20"/>
    </row>
    <row r="992" spans="1:53" s="17" customForma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Z992" s="20"/>
      <c r="BA992" s="20"/>
    </row>
    <row r="993" spans="1:53" s="17" customForma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Z993" s="20"/>
      <c r="BA993" s="20"/>
    </row>
    <row r="994" spans="1:53" s="17" customForma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Z994" s="20"/>
      <c r="BA994" s="20"/>
    </row>
    <row r="995" spans="1:53" s="17" customForma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Z995" s="20"/>
      <c r="BA995" s="20"/>
    </row>
    <row r="996" spans="1:53" s="17" customForma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Z996" s="20"/>
      <c r="BA996" s="20"/>
    </row>
    <row r="997" spans="1:53" s="17" customForma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Z997" s="20"/>
      <c r="BA997" s="20"/>
    </row>
    <row r="998" spans="1:53" s="17" customForma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Z998" s="20"/>
      <c r="BA998" s="20"/>
    </row>
    <row r="999" spans="1:53" s="17" customForma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Z999" s="20"/>
      <c r="BA999" s="20"/>
    </row>
    <row r="1000" spans="1:53" s="17" customForma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Z1000" s="20"/>
      <c r="BA1000" s="20"/>
    </row>
    <row r="1001" spans="1:53" s="17" customForma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Z1001" s="20"/>
      <c r="BA1001" s="20"/>
    </row>
    <row r="1002" spans="1:53" s="17" customForma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Z1002" s="20"/>
      <c r="BA1002" s="20"/>
    </row>
    <row r="1003" spans="1:53" s="17" customForma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Z1003" s="20"/>
      <c r="BA1003" s="20"/>
    </row>
    <row r="1004" spans="1:53" s="17" customForma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Z1004" s="20"/>
      <c r="BA1004" s="20"/>
    </row>
    <row r="1005" spans="1:53" s="17" customForma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Z1005" s="20"/>
      <c r="BA1005" s="20"/>
    </row>
    <row r="1006" spans="1:53" s="17" customForma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Z1006" s="20"/>
      <c r="BA1006" s="20"/>
    </row>
    <row r="1007" spans="1:53" s="17" customForma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Z1007" s="20"/>
      <c r="BA1007" s="20"/>
    </row>
    <row r="1008" spans="1:53" s="17" customForma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Z1008" s="20"/>
      <c r="BA1008" s="20"/>
    </row>
    <row r="1009" spans="1:53" s="17" customForma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Z1009" s="20"/>
      <c r="BA1009" s="20"/>
    </row>
    <row r="1010" spans="1:53" s="17" customForma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Z1010" s="20"/>
      <c r="BA1010" s="20"/>
    </row>
    <row r="1011" spans="1:53" s="17" customForma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Z1011" s="20"/>
      <c r="BA1011" s="20"/>
    </row>
    <row r="1012" spans="1:53" s="17" customForma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Z1012" s="20"/>
      <c r="BA1012" s="20"/>
    </row>
    <row r="1013" spans="1:53" s="17" customForma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Z1013" s="20"/>
      <c r="BA1013" s="20"/>
    </row>
    <row r="1014" spans="1:53" s="17" customForma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Z1014" s="20"/>
      <c r="BA1014" s="20"/>
    </row>
    <row r="1015" spans="1:53" s="17" customForma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Z1015" s="20"/>
      <c r="BA1015" s="20"/>
    </row>
    <row r="1016" spans="1:53" s="17" customForma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Z1016" s="20"/>
      <c r="BA1016" s="20"/>
    </row>
    <row r="1017" spans="1:53" s="17" customForma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Z1017" s="20"/>
      <c r="BA1017" s="20"/>
    </row>
    <row r="1018" spans="1:53" s="17" customForma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Z1018" s="20"/>
      <c r="BA1018" s="20"/>
    </row>
    <row r="1019" spans="1:53" s="17" customForma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Z1019" s="20"/>
      <c r="BA1019" s="20"/>
    </row>
    <row r="1020" spans="1:53" s="17" customForma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Z1020" s="20"/>
      <c r="BA1020" s="20"/>
    </row>
    <row r="1021" spans="1:53" s="17" customForma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Z1021" s="20"/>
      <c r="BA1021" s="20"/>
    </row>
    <row r="1022" spans="1:53" s="17" customForma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Z1022" s="20"/>
      <c r="BA1022" s="20"/>
    </row>
    <row r="1023" spans="1:53" s="17" customForma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Z1023" s="20"/>
      <c r="BA1023" s="20"/>
    </row>
    <row r="1024" spans="1:53" s="17" customForma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Z1024" s="20"/>
      <c r="BA1024" s="20"/>
    </row>
    <row r="1025" spans="1:53" s="17" customForma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Z1025" s="20"/>
      <c r="BA1025" s="20"/>
    </row>
    <row r="1026" spans="1:53" s="17" customForma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Z1026" s="20"/>
      <c r="BA1026" s="20"/>
    </row>
    <row r="1027" spans="1:53" s="17" customForma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Z1027" s="20"/>
      <c r="BA1027" s="20"/>
    </row>
    <row r="1028" spans="1:53" s="17" customForma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Z1028" s="20"/>
      <c r="BA1028" s="20"/>
    </row>
    <row r="1029" spans="1:53" s="17" customForma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Z1029" s="20"/>
      <c r="BA1029" s="20"/>
    </row>
    <row r="1030" spans="1:53" s="17" customForma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Z1030" s="20"/>
      <c r="BA1030" s="20"/>
    </row>
    <row r="1031" spans="1:53" s="17" customForma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Z1031" s="20"/>
      <c r="BA1031" s="20"/>
    </row>
    <row r="1032" spans="1:53" s="17" customForma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Z1032" s="20"/>
      <c r="BA1032" s="20"/>
    </row>
    <row r="1033" spans="1:53" s="17" customForma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Z1033" s="20"/>
      <c r="BA1033" s="20"/>
    </row>
    <row r="1034" spans="1:53" s="17" customForma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Z1034" s="20"/>
      <c r="BA1034" s="20"/>
    </row>
    <row r="1035" spans="1:53" s="17" customForma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Z1035" s="20"/>
      <c r="BA1035" s="20"/>
    </row>
    <row r="1036" spans="1:53" s="17" customForma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Z1036" s="20"/>
      <c r="BA1036" s="20"/>
    </row>
    <row r="1037" spans="1:53" s="17" customForma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Z1037" s="20"/>
      <c r="BA1037" s="20"/>
    </row>
    <row r="1038" spans="1:53" s="17" customForma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Z1038" s="20"/>
      <c r="BA1038" s="20"/>
    </row>
    <row r="1039" spans="1:53" s="17" customForma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Z1039" s="20"/>
      <c r="BA1039" s="20"/>
    </row>
    <row r="1040" spans="1:53" s="17" customForma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Z1040" s="20"/>
      <c r="BA1040" s="20"/>
    </row>
    <row r="1041" spans="1:53" s="17" customForma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Z1041" s="20"/>
      <c r="BA1041" s="20"/>
    </row>
    <row r="1042" spans="1:53" s="17" customForma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Z1042" s="20"/>
      <c r="BA1042" s="20"/>
    </row>
    <row r="1043" spans="1:53" s="17" customForma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Z1043" s="20"/>
      <c r="BA1043" s="20"/>
    </row>
    <row r="1044" spans="1:53" s="17" customForma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Z1044" s="20"/>
      <c r="BA1044" s="20"/>
    </row>
    <row r="1045" spans="1:53" s="17" customForma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Z1045" s="20"/>
      <c r="BA1045" s="20"/>
    </row>
    <row r="1046" spans="1:53" s="17" customForma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Z1046" s="20"/>
      <c r="BA1046" s="20"/>
    </row>
    <row r="1047" spans="1:53" s="17" customForma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Z1047" s="20"/>
      <c r="BA1047" s="20"/>
    </row>
    <row r="1048" spans="1:53" s="17" customForma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Z1048" s="20"/>
      <c r="BA1048" s="20"/>
    </row>
    <row r="1049" spans="1:53" s="17" customForma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Z1049" s="20"/>
      <c r="BA1049" s="20"/>
    </row>
    <row r="1050" spans="1:53" s="17" customForma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Z1050" s="20"/>
      <c r="BA1050" s="20"/>
    </row>
    <row r="1051" spans="1:53" s="17" customForma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Z1051" s="20"/>
      <c r="BA1051" s="20"/>
    </row>
    <row r="1052" spans="1:53" s="17" customForma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Z1052" s="20"/>
      <c r="BA1052" s="20"/>
    </row>
    <row r="1053" spans="1:53" s="17" customForma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Z1053" s="20"/>
      <c r="BA1053" s="20"/>
    </row>
    <row r="1054" spans="1:53" s="17" customForma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Z1054" s="20"/>
      <c r="BA1054" s="20"/>
    </row>
  </sheetData>
  <mergeCells count="38">
    <mergeCell ref="AK12:AO12"/>
    <mergeCell ref="AK34:AO34"/>
    <mergeCell ref="A34:A35"/>
    <mergeCell ref="B34:F34"/>
    <mergeCell ref="G34:K34"/>
    <mergeCell ref="L34:P34"/>
    <mergeCell ref="A12:A13"/>
    <mergeCell ref="B12:F12"/>
    <mergeCell ref="G12:K12"/>
    <mergeCell ref="L12:P12"/>
    <mergeCell ref="AA34:AE34"/>
    <mergeCell ref="AF34:AJ34"/>
    <mergeCell ref="Q12:U12"/>
    <mergeCell ref="V12:Z12"/>
    <mergeCell ref="AA12:AE12"/>
    <mergeCell ref="AF12:AJ12"/>
    <mergeCell ref="Q34:U34"/>
    <mergeCell ref="V34:Z34"/>
    <mergeCell ref="BO34:BS34"/>
    <mergeCell ref="BT34:BX34"/>
    <mergeCell ref="BT12:BX12"/>
    <mergeCell ref="BE34:BI34"/>
    <mergeCell ref="BO12:BS12"/>
    <mergeCell ref="BE12:BI12"/>
    <mergeCell ref="AP12:AT12"/>
    <mergeCell ref="AP34:AT34"/>
    <mergeCell ref="AU12:AY12"/>
    <mergeCell ref="AU34:AY34"/>
    <mergeCell ref="BJ34:BN34"/>
    <mergeCell ref="AZ12:BD12"/>
    <mergeCell ref="BJ12:BN12"/>
    <mergeCell ref="AZ34:BD34"/>
    <mergeCell ref="CI12:CK12"/>
    <mergeCell ref="CI34:CK34"/>
    <mergeCell ref="CD12:CH12"/>
    <mergeCell ref="CD34:CH34"/>
    <mergeCell ref="BY12:CC12"/>
    <mergeCell ref="BY34:CC34"/>
  </mergeCells>
  <phoneticPr fontId="2" type="noConversion"/>
  <printOptions horizontalCentered="1"/>
  <pageMargins left="0.25" right="0.25" top="0.5" bottom="0.5" header="0.5" footer="0.5"/>
  <pageSetup paperSize="5" scale="65" fitToWidth="0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rowBreaks count="1" manualBreakCount="1">
    <brk id="32" max="16383" man="1"/>
  </rowBreaks>
  <colBreaks count="5" manualBreakCount="5">
    <brk id="11" max="1048575" man="1"/>
    <brk id="21" max="1048575" man="1"/>
    <brk id="36" max="1048575" man="1"/>
    <brk id="46" max="1048575" man="1"/>
    <brk id="5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7:II26"/>
  <sheetViews>
    <sheetView zoomScaleNormal="100" workbookViewId="0">
      <pane xSplit="1" topLeftCell="B1" activePane="topRight" state="frozen"/>
      <selection activeCell="A3" sqref="A3"/>
      <selection pane="topRight"/>
    </sheetView>
  </sheetViews>
  <sheetFormatPr defaultRowHeight="12.75"/>
  <cols>
    <col min="1" max="1" width="25.5" customWidth="1"/>
    <col min="2" max="32" width="16.6640625" customWidth="1"/>
    <col min="33" max="243" width="16.6640625" style="6" customWidth="1"/>
  </cols>
  <sheetData>
    <row r="7" spans="1:243" ht="16.5">
      <c r="F7" s="1" t="s">
        <v>45</v>
      </c>
    </row>
    <row r="8" spans="1:243" ht="16.5">
      <c r="F8" s="1" t="s">
        <v>58</v>
      </c>
    </row>
    <row r="9" spans="1:243" ht="16.5">
      <c r="F9" s="1" t="s">
        <v>67</v>
      </c>
    </row>
    <row r="10" spans="1:243" ht="15.75">
      <c r="A10" s="2"/>
      <c r="B10" s="2"/>
      <c r="C10" s="2"/>
      <c r="D10" s="2"/>
      <c r="F10" s="5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IF10"/>
      <c r="IG10"/>
      <c r="IH10"/>
      <c r="II10"/>
    </row>
    <row r="11" spans="1:24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IF11"/>
      <c r="IG11"/>
      <c r="IH11"/>
      <c r="II11"/>
    </row>
    <row r="12" spans="1:243" ht="16.5" thickBot="1">
      <c r="A12" s="3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IF12"/>
      <c r="IG12"/>
      <c r="IH12"/>
      <c r="II12"/>
    </row>
    <row r="13" spans="1:243">
      <c r="A13" s="235" t="s">
        <v>42</v>
      </c>
      <c r="B13" s="208">
        <v>1995</v>
      </c>
      <c r="C13" s="223"/>
      <c r="D13" s="223"/>
      <c r="E13" s="224"/>
      <c r="F13" s="230">
        <v>1996</v>
      </c>
      <c r="G13" s="231"/>
      <c r="H13" s="231"/>
      <c r="I13" s="232"/>
      <c r="J13" s="230">
        <v>1997</v>
      </c>
      <c r="K13" s="231"/>
      <c r="L13" s="231"/>
      <c r="M13" s="232"/>
      <c r="N13" s="230">
        <v>1998</v>
      </c>
      <c r="O13" s="231"/>
      <c r="P13" s="231"/>
      <c r="Q13" s="232"/>
      <c r="R13" s="230">
        <v>1999</v>
      </c>
      <c r="S13" s="231"/>
      <c r="T13" s="231"/>
      <c r="U13" s="232"/>
      <c r="V13" s="230">
        <v>2000</v>
      </c>
      <c r="W13" s="231"/>
      <c r="X13" s="231"/>
      <c r="Y13" s="232"/>
      <c r="Z13" s="230">
        <v>2001</v>
      </c>
      <c r="AA13" s="231"/>
      <c r="AB13" s="231"/>
      <c r="AC13" s="232"/>
      <c r="AD13" s="230">
        <v>2002</v>
      </c>
      <c r="AE13" s="234"/>
      <c r="AF13" s="234"/>
      <c r="AG13" s="233"/>
      <c r="AH13" s="230">
        <v>2003</v>
      </c>
      <c r="AI13" s="234"/>
      <c r="AJ13" s="234"/>
      <c r="AK13" s="233"/>
      <c r="AL13" s="230">
        <v>2004</v>
      </c>
      <c r="AM13" s="231"/>
      <c r="AN13" s="231"/>
      <c r="AO13" s="233"/>
      <c r="AP13" s="230">
        <v>2005</v>
      </c>
      <c r="AQ13" s="231"/>
      <c r="AR13" s="231"/>
      <c r="AS13" s="233"/>
      <c r="AT13" s="230">
        <v>2006</v>
      </c>
      <c r="AU13" s="231"/>
      <c r="AV13" s="231"/>
      <c r="AW13" s="232"/>
      <c r="AX13" s="208">
        <v>2007</v>
      </c>
      <c r="AY13" s="222"/>
      <c r="AZ13" s="222"/>
      <c r="BA13" s="209"/>
      <c r="BB13" s="208">
        <v>2008</v>
      </c>
      <c r="BC13" s="222"/>
      <c r="BD13" s="222"/>
      <c r="BE13" s="209"/>
      <c r="BF13" s="208">
        <v>2009</v>
      </c>
      <c r="BG13" s="222"/>
      <c r="BH13" s="222"/>
      <c r="BI13" s="209"/>
      <c r="BJ13" s="208">
        <v>2010</v>
      </c>
      <c r="BK13" s="222"/>
      <c r="BL13" s="222"/>
      <c r="BM13" s="209"/>
      <c r="BN13" s="208">
        <v>2011</v>
      </c>
      <c r="BO13" s="223"/>
      <c r="BP13" s="223"/>
      <c r="BQ13" s="224"/>
      <c r="BR13" s="222">
        <v>2012</v>
      </c>
      <c r="BS13" s="209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/>
      <c r="IC13"/>
      <c r="ID13"/>
      <c r="IE13"/>
      <c r="IF13"/>
      <c r="IG13"/>
      <c r="IH13"/>
      <c r="II13"/>
    </row>
    <row r="14" spans="1:243">
      <c r="A14" s="236"/>
      <c r="B14" s="225" t="s">
        <v>0</v>
      </c>
      <c r="C14" s="141" t="s">
        <v>1</v>
      </c>
      <c r="D14" s="141" t="s">
        <v>2</v>
      </c>
      <c r="E14" s="211" t="s">
        <v>3</v>
      </c>
      <c r="F14" s="225" t="s">
        <v>0</v>
      </c>
      <c r="G14" s="141" t="s">
        <v>1</v>
      </c>
      <c r="H14" s="141" t="s">
        <v>2</v>
      </c>
      <c r="I14" s="211" t="s">
        <v>3</v>
      </c>
      <c r="J14" s="225" t="s">
        <v>0</v>
      </c>
      <c r="K14" s="141" t="s">
        <v>1</v>
      </c>
      <c r="L14" s="141" t="s">
        <v>2</v>
      </c>
      <c r="M14" s="211" t="s">
        <v>3</v>
      </c>
      <c r="N14" s="225" t="s">
        <v>0</v>
      </c>
      <c r="O14" s="141" t="s">
        <v>1</v>
      </c>
      <c r="P14" s="141" t="s">
        <v>2</v>
      </c>
      <c r="Q14" s="211" t="s">
        <v>3</v>
      </c>
      <c r="R14" s="225" t="s">
        <v>0</v>
      </c>
      <c r="S14" s="141" t="s">
        <v>1</v>
      </c>
      <c r="T14" s="141" t="s">
        <v>2</v>
      </c>
      <c r="U14" s="211" t="s">
        <v>3</v>
      </c>
      <c r="V14" s="225" t="s">
        <v>0</v>
      </c>
      <c r="W14" s="141" t="s">
        <v>1</v>
      </c>
      <c r="X14" s="141" t="s">
        <v>2</v>
      </c>
      <c r="Y14" s="211" t="s">
        <v>3</v>
      </c>
      <c r="Z14" s="225" t="s">
        <v>0</v>
      </c>
      <c r="AA14" s="141" t="s">
        <v>1</v>
      </c>
      <c r="AB14" s="141" t="s">
        <v>2</v>
      </c>
      <c r="AC14" s="211" t="s">
        <v>3</v>
      </c>
      <c r="AD14" s="225" t="s">
        <v>0</v>
      </c>
      <c r="AE14" s="141" t="s">
        <v>1</v>
      </c>
      <c r="AF14" s="141" t="s">
        <v>2</v>
      </c>
      <c r="AG14" s="211" t="s">
        <v>3</v>
      </c>
      <c r="AH14" s="225" t="s">
        <v>0</v>
      </c>
      <c r="AI14" s="141" t="s">
        <v>1</v>
      </c>
      <c r="AJ14" s="141" t="s">
        <v>2</v>
      </c>
      <c r="AK14" s="211" t="s">
        <v>3</v>
      </c>
      <c r="AL14" s="225" t="s">
        <v>0</v>
      </c>
      <c r="AM14" s="141" t="s">
        <v>1</v>
      </c>
      <c r="AN14" s="141" t="s">
        <v>2</v>
      </c>
      <c r="AO14" s="211" t="s">
        <v>3</v>
      </c>
      <c r="AP14" s="225" t="s">
        <v>0</v>
      </c>
      <c r="AQ14" s="141" t="s">
        <v>1</v>
      </c>
      <c r="AR14" s="141" t="s">
        <v>2</v>
      </c>
      <c r="AS14" s="211" t="s">
        <v>3</v>
      </c>
      <c r="AT14" s="225" t="s">
        <v>0</v>
      </c>
      <c r="AU14" s="141" t="s">
        <v>1</v>
      </c>
      <c r="AV14" s="141" t="s">
        <v>2</v>
      </c>
      <c r="AW14" s="211" t="s">
        <v>3</v>
      </c>
      <c r="AX14" s="225" t="s">
        <v>0</v>
      </c>
      <c r="AY14" s="141" t="s">
        <v>1</v>
      </c>
      <c r="AZ14" s="141" t="s">
        <v>2</v>
      </c>
      <c r="BA14" s="211" t="s">
        <v>3</v>
      </c>
      <c r="BB14" s="225" t="s">
        <v>0</v>
      </c>
      <c r="BC14" s="141" t="s">
        <v>1</v>
      </c>
      <c r="BD14" s="141" t="s">
        <v>2</v>
      </c>
      <c r="BE14" s="211" t="s">
        <v>3</v>
      </c>
      <c r="BF14" s="225" t="s">
        <v>0</v>
      </c>
      <c r="BG14" s="141" t="s">
        <v>1</v>
      </c>
      <c r="BH14" s="141" t="s">
        <v>2</v>
      </c>
      <c r="BI14" s="211" t="s">
        <v>3</v>
      </c>
      <c r="BJ14" s="225" t="s">
        <v>0</v>
      </c>
      <c r="BK14" s="141" t="s">
        <v>1</v>
      </c>
      <c r="BL14" s="141" t="s">
        <v>2</v>
      </c>
      <c r="BM14" s="211" t="s">
        <v>3</v>
      </c>
      <c r="BN14" s="225" t="s">
        <v>0</v>
      </c>
      <c r="BO14" s="141" t="s">
        <v>1</v>
      </c>
      <c r="BP14" s="141" t="s">
        <v>2</v>
      </c>
      <c r="BQ14" s="211" t="s">
        <v>3</v>
      </c>
      <c r="BR14" s="138" t="s">
        <v>0</v>
      </c>
      <c r="BS14" s="211" t="s">
        <v>1</v>
      </c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/>
      <c r="IB14"/>
      <c r="IC14"/>
      <c r="ID14"/>
      <c r="IE14"/>
      <c r="IF14"/>
      <c r="IG14"/>
      <c r="IH14"/>
      <c r="II14"/>
    </row>
    <row r="15" spans="1:243" s="6" customFormat="1">
      <c r="A15" s="237" t="s">
        <v>56</v>
      </c>
      <c r="B15" s="226">
        <v>24764000</v>
      </c>
      <c r="C15" s="204">
        <v>54914000</v>
      </c>
      <c r="D15" s="204">
        <v>90691900</v>
      </c>
      <c r="E15" s="212">
        <v>79792200</v>
      </c>
      <c r="F15" s="226">
        <v>75001900</v>
      </c>
      <c r="G15" s="204">
        <v>222585300</v>
      </c>
      <c r="H15" s="204">
        <v>134959900</v>
      </c>
      <c r="I15" s="212">
        <v>117759900</v>
      </c>
      <c r="J15" s="226">
        <v>110962000</v>
      </c>
      <c r="K15" s="204">
        <v>222310700</v>
      </c>
      <c r="L15" s="204">
        <v>93771900</v>
      </c>
      <c r="M15" s="212">
        <v>200509900</v>
      </c>
      <c r="N15" s="226">
        <v>186740300</v>
      </c>
      <c r="O15" s="204">
        <v>265817500</v>
      </c>
      <c r="P15" s="204">
        <v>391225400</v>
      </c>
      <c r="Q15" s="212">
        <v>463440200</v>
      </c>
      <c r="R15" s="226">
        <v>539217500</v>
      </c>
      <c r="S15" s="204">
        <v>1444145500</v>
      </c>
      <c r="T15" s="204">
        <v>2062229300</v>
      </c>
      <c r="U15" s="212">
        <v>3420572800</v>
      </c>
      <c r="V15" s="226">
        <v>4428818500</v>
      </c>
      <c r="W15" s="204">
        <v>3562583500</v>
      </c>
      <c r="X15" s="204">
        <v>1986704300</v>
      </c>
      <c r="Y15" s="212">
        <v>1361022400</v>
      </c>
      <c r="Z15" s="226">
        <v>543197200</v>
      </c>
      <c r="AA15" s="204">
        <v>343862900</v>
      </c>
      <c r="AB15" s="204">
        <v>165769000</v>
      </c>
      <c r="AC15" s="212">
        <v>99125700</v>
      </c>
      <c r="AD15" s="226">
        <v>112908800</v>
      </c>
      <c r="AE15" s="204">
        <v>54519800</v>
      </c>
      <c r="AF15" s="204">
        <v>90620200</v>
      </c>
      <c r="AG15" s="212">
        <v>69583800</v>
      </c>
      <c r="AH15" s="226">
        <v>90701000</v>
      </c>
      <c r="AI15" s="204">
        <v>89608000</v>
      </c>
      <c r="AJ15" s="204">
        <v>103114900</v>
      </c>
      <c r="AK15" s="212">
        <v>119660000</v>
      </c>
      <c r="AL15" s="226">
        <v>127981100</v>
      </c>
      <c r="AM15" s="204">
        <v>90245700</v>
      </c>
      <c r="AN15" s="204">
        <v>110171000</v>
      </c>
      <c r="AO15" s="212">
        <v>148914000</v>
      </c>
      <c r="AP15" s="226">
        <v>347053000</v>
      </c>
      <c r="AQ15" s="204">
        <v>212762200</v>
      </c>
      <c r="AR15" s="204">
        <v>278887200</v>
      </c>
      <c r="AS15" s="212">
        <v>226498200</v>
      </c>
      <c r="AT15" s="226">
        <v>271510100</v>
      </c>
      <c r="AU15" s="204">
        <v>249526200</v>
      </c>
      <c r="AV15" s="204">
        <v>362978000</v>
      </c>
      <c r="AW15" s="212">
        <v>284320400</v>
      </c>
      <c r="AX15" s="226">
        <v>323018000</v>
      </c>
      <c r="AY15" s="204">
        <v>375365900</v>
      </c>
      <c r="AZ15" s="204">
        <v>305441200</v>
      </c>
      <c r="BA15" s="212">
        <v>411060200</v>
      </c>
      <c r="BB15" s="226">
        <v>480419200</v>
      </c>
      <c r="BC15" s="204">
        <v>408627300</v>
      </c>
      <c r="BD15" s="204">
        <v>316661600</v>
      </c>
      <c r="BE15" s="212">
        <v>248667300</v>
      </c>
      <c r="BF15" s="226">
        <v>190743100</v>
      </c>
      <c r="BG15" s="204">
        <v>130520800</v>
      </c>
      <c r="BH15" s="204">
        <v>101235100</v>
      </c>
      <c r="BI15" s="212">
        <v>209770700</v>
      </c>
      <c r="BJ15" s="226">
        <v>190231200</v>
      </c>
      <c r="BK15" s="204">
        <v>170228200</v>
      </c>
      <c r="BL15" s="204">
        <v>309960200</v>
      </c>
      <c r="BM15" s="212">
        <v>231618700</v>
      </c>
      <c r="BN15" s="226">
        <v>352177100</v>
      </c>
      <c r="BO15" s="204">
        <v>481571200</v>
      </c>
      <c r="BP15" s="204">
        <v>326355400</v>
      </c>
      <c r="BQ15" s="212">
        <v>178748000</v>
      </c>
      <c r="BR15" s="79">
        <v>244227100</v>
      </c>
      <c r="BS15" s="212">
        <v>406624700</v>
      </c>
    </row>
    <row r="16" spans="1:243" s="6" customFormat="1" ht="13.5" thickBot="1">
      <c r="A16" s="238" t="s">
        <v>43</v>
      </c>
      <c r="B16" s="227">
        <v>35734000</v>
      </c>
      <c r="C16" s="205">
        <v>31011100</v>
      </c>
      <c r="D16" s="205">
        <v>78958900</v>
      </c>
      <c r="E16" s="213">
        <v>126761500</v>
      </c>
      <c r="F16" s="227">
        <v>223263800</v>
      </c>
      <c r="G16" s="205">
        <v>279451500</v>
      </c>
      <c r="H16" s="205">
        <v>309921300</v>
      </c>
      <c r="I16" s="213">
        <v>286873100</v>
      </c>
      <c r="J16" s="227">
        <v>327360400</v>
      </c>
      <c r="K16" s="205">
        <v>402760100</v>
      </c>
      <c r="L16" s="205">
        <v>504107200</v>
      </c>
      <c r="M16" s="213">
        <v>562283700</v>
      </c>
      <c r="N16" s="227">
        <v>548327200</v>
      </c>
      <c r="O16" s="205">
        <v>996771100</v>
      </c>
      <c r="P16" s="205">
        <v>876879400</v>
      </c>
      <c r="Q16" s="213">
        <v>1064886300</v>
      </c>
      <c r="R16" s="227">
        <v>1628516300</v>
      </c>
      <c r="S16" s="205">
        <v>3378510300</v>
      </c>
      <c r="T16" s="205">
        <v>4038844000</v>
      </c>
      <c r="U16" s="213">
        <v>7419997500</v>
      </c>
      <c r="V16" s="227">
        <v>9492649000</v>
      </c>
      <c r="W16" s="205">
        <v>8157020600</v>
      </c>
      <c r="X16" s="205">
        <v>7649010000</v>
      </c>
      <c r="Y16" s="213">
        <v>5393073000</v>
      </c>
      <c r="Z16" s="227">
        <v>3155888800</v>
      </c>
      <c r="AA16" s="205">
        <v>2478251500</v>
      </c>
      <c r="AB16" s="205">
        <v>1655573800</v>
      </c>
      <c r="AC16" s="213">
        <v>1400057500</v>
      </c>
      <c r="AD16" s="227">
        <v>1202182700</v>
      </c>
      <c r="AE16" s="205">
        <v>844494800</v>
      </c>
      <c r="AF16" s="205">
        <v>602359200</v>
      </c>
      <c r="AG16" s="213">
        <v>650089400</v>
      </c>
      <c r="AH16" s="227">
        <v>551373600</v>
      </c>
      <c r="AI16" s="205">
        <v>615136400</v>
      </c>
      <c r="AJ16" s="205">
        <v>380781900</v>
      </c>
      <c r="AK16" s="213">
        <v>466813100</v>
      </c>
      <c r="AL16" s="227">
        <v>434564200</v>
      </c>
      <c r="AM16" s="205">
        <v>640674400</v>
      </c>
      <c r="AN16" s="205">
        <v>461998400</v>
      </c>
      <c r="AO16" s="213">
        <v>662677300</v>
      </c>
      <c r="AP16" s="227">
        <v>442320100</v>
      </c>
      <c r="AQ16" s="205">
        <v>439236900</v>
      </c>
      <c r="AR16" s="205">
        <v>592632600</v>
      </c>
      <c r="AS16" s="213">
        <v>705112100</v>
      </c>
      <c r="AT16" s="227">
        <v>846857400</v>
      </c>
      <c r="AU16" s="205">
        <v>744760600</v>
      </c>
      <c r="AV16" s="205">
        <v>870091500</v>
      </c>
      <c r="AW16" s="213">
        <v>847159800</v>
      </c>
      <c r="AX16" s="227">
        <v>945839700</v>
      </c>
      <c r="AY16" s="205">
        <v>822373900</v>
      </c>
      <c r="AZ16" s="205">
        <v>1038925400</v>
      </c>
      <c r="BA16" s="213">
        <v>1071023600</v>
      </c>
      <c r="BB16" s="227">
        <v>1086562100</v>
      </c>
      <c r="BC16" s="205">
        <v>1171739600</v>
      </c>
      <c r="BD16" s="205">
        <v>783032200</v>
      </c>
      <c r="BE16" s="213">
        <v>691408600</v>
      </c>
      <c r="BF16" s="227">
        <v>507205600</v>
      </c>
      <c r="BG16" s="205">
        <v>753825800</v>
      </c>
      <c r="BH16" s="205">
        <v>640051100</v>
      </c>
      <c r="BI16" s="213">
        <v>930391500</v>
      </c>
      <c r="BJ16" s="227">
        <v>658013600</v>
      </c>
      <c r="BK16" s="205">
        <v>841561700</v>
      </c>
      <c r="BL16" s="205">
        <v>786559100</v>
      </c>
      <c r="BM16" s="213">
        <v>1059984600</v>
      </c>
      <c r="BN16" s="227">
        <v>1243435200</v>
      </c>
      <c r="BO16" s="205">
        <v>1879242900</v>
      </c>
      <c r="BP16" s="205">
        <v>1385686700</v>
      </c>
      <c r="BQ16" s="213">
        <v>1252071100</v>
      </c>
      <c r="BR16" s="80">
        <v>1265018200</v>
      </c>
      <c r="BS16" s="213">
        <v>1436487100</v>
      </c>
    </row>
    <row r="17" spans="1:243" s="6" customFormat="1" ht="14.25" thickTop="1" thickBot="1">
      <c r="A17" s="239" t="s">
        <v>4</v>
      </c>
      <c r="B17" s="228">
        <v>60498000</v>
      </c>
      <c r="C17" s="229">
        <v>85925100</v>
      </c>
      <c r="D17" s="229">
        <v>169650800</v>
      </c>
      <c r="E17" s="214">
        <v>206553700</v>
      </c>
      <c r="F17" s="228">
        <v>298265700</v>
      </c>
      <c r="G17" s="229">
        <v>502036800</v>
      </c>
      <c r="H17" s="229">
        <v>444881200</v>
      </c>
      <c r="I17" s="214">
        <v>404633000</v>
      </c>
      <c r="J17" s="228">
        <v>438322400</v>
      </c>
      <c r="K17" s="229">
        <v>625070800</v>
      </c>
      <c r="L17" s="229">
        <v>597879100</v>
      </c>
      <c r="M17" s="214">
        <v>762793600</v>
      </c>
      <c r="N17" s="228">
        <v>735067500</v>
      </c>
      <c r="O17" s="229">
        <v>1262588600</v>
      </c>
      <c r="P17" s="229">
        <v>1268104800</v>
      </c>
      <c r="Q17" s="214">
        <v>1528326500</v>
      </c>
      <c r="R17" s="228">
        <v>2167733800</v>
      </c>
      <c r="S17" s="229">
        <v>4822655800</v>
      </c>
      <c r="T17" s="229">
        <v>6101073300</v>
      </c>
      <c r="U17" s="214">
        <v>10840570300</v>
      </c>
      <c r="V17" s="228">
        <v>13921467500</v>
      </c>
      <c r="W17" s="229">
        <v>11719604100</v>
      </c>
      <c r="X17" s="229">
        <v>9635714300</v>
      </c>
      <c r="Y17" s="214">
        <v>6754095400</v>
      </c>
      <c r="Z17" s="228">
        <v>3699086000</v>
      </c>
      <c r="AA17" s="229">
        <v>2822114400</v>
      </c>
      <c r="AB17" s="229">
        <v>1821342800</v>
      </c>
      <c r="AC17" s="214">
        <v>1499183200</v>
      </c>
      <c r="AD17" s="228">
        <v>1315091500</v>
      </c>
      <c r="AE17" s="229">
        <v>899014600</v>
      </c>
      <c r="AF17" s="229">
        <v>692979400</v>
      </c>
      <c r="AG17" s="214">
        <v>719673200</v>
      </c>
      <c r="AH17" s="228">
        <v>642074600</v>
      </c>
      <c r="AI17" s="229">
        <v>704744400</v>
      </c>
      <c r="AJ17" s="229">
        <v>483896800</v>
      </c>
      <c r="AK17" s="214">
        <v>586473100</v>
      </c>
      <c r="AL17" s="228">
        <v>562545300</v>
      </c>
      <c r="AM17" s="229">
        <v>730920100</v>
      </c>
      <c r="AN17" s="229">
        <v>572169400</v>
      </c>
      <c r="AO17" s="214">
        <v>811591300</v>
      </c>
      <c r="AP17" s="228">
        <v>789373100</v>
      </c>
      <c r="AQ17" s="229">
        <v>651999100</v>
      </c>
      <c r="AR17" s="229">
        <v>871519800</v>
      </c>
      <c r="AS17" s="214">
        <v>931610300</v>
      </c>
      <c r="AT17" s="228">
        <v>1118367500</v>
      </c>
      <c r="AU17" s="229">
        <v>994286800</v>
      </c>
      <c r="AV17" s="229">
        <v>1233069500</v>
      </c>
      <c r="AW17" s="214">
        <v>1131480200</v>
      </c>
      <c r="AX17" s="228">
        <v>1268857700</v>
      </c>
      <c r="AY17" s="229">
        <v>1197739800</v>
      </c>
      <c r="AZ17" s="229">
        <v>1344366600</v>
      </c>
      <c r="BA17" s="214">
        <v>1482083800</v>
      </c>
      <c r="BB17" s="228">
        <v>1566981300</v>
      </c>
      <c r="BC17" s="229">
        <v>1580366900</v>
      </c>
      <c r="BD17" s="229">
        <v>1099693800</v>
      </c>
      <c r="BE17" s="214">
        <v>940075900</v>
      </c>
      <c r="BF17" s="228">
        <v>697948700</v>
      </c>
      <c r="BG17" s="229">
        <v>884346600</v>
      </c>
      <c r="BH17" s="229">
        <v>741286200</v>
      </c>
      <c r="BI17" s="214">
        <v>1140162200</v>
      </c>
      <c r="BJ17" s="228">
        <v>848244800</v>
      </c>
      <c r="BK17" s="229">
        <v>1011789900</v>
      </c>
      <c r="BL17" s="229">
        <v>1096519300</v>
      </c>
      <c r="BM17" s="214">
        <v>1291603300</v>
      </c>
      <c r="BN17" s="228">
        <v>1595612300</v>
      </c>
      <c r="BO17" s="229">
        <v>2360814100</v>
      </c>
      <c r="BP17" s="229">
        <v>1712042100</v>
      </c>
      <c r="BQ17" s="214">
        <v>1430819100</v>
      </c>
      <c r="BR17" s="221">
        <v>1509245300</v>
      </c>
      <c r="BS17" s="214">
        <v>1843111800</v>
      </c>
    </row>
    <row r="18" spans="1:24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BE18" s="17"/>
      <c r="BF18" s="17"/>
      <c r="IF18"/>
      <c r="IG18"/>
      <c r="IH18"/>
      <c r="II18"/>
    </row>
    <row r="19" spans="1:24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46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/>
      <c r="IH19"/>
      <c r="II19"/>
    </row>
    <row r="20" spans="1:243" ht="16.5" thickBot="1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N20" s="15"/>
      <c r="AO20" s="15"/>
      <c r="AP20" s="15"/>
      <c r="AQ20" s="15"/>
      <c r="AR20" s="14"/>
      <c r="AS20" s="14"/>
      <c r="IF20"/>
      <c r="IG20"/>
      <c r="IH20"/>
      <c r="II20"/>
    </row>
    <row r="21" spans="1:243">
      <c r="A21" s="235" t="s">
        <v>42</v>
      </c>
      <c r="B21" s="230">
        <v>1995</v>
      </c>
      <c r="C21" s="231"/>
      <c r="D21" s="231"/>
      <c r="E21" s="232"/>
      <c r="F21" s="230">
        <v>1996</v>
      </c>
      <c r="G21" s="231"/>
      <c r="H21" s="231"/>
      <c r="I21" s="232"/>
      <c r="J21" s="230">
        <v>1997</v>
      </c>
      <c r="K21" s="231"/>
      <c r="L21" s="231"/>
      <c r="M21" s="232"/>
      <c r="N21" s="230">
        <v>1998</v>
      </c>
      <c r="O21" s="231"/>
      <c r="P21" s="231"/>
      <c r="Q21" s="232"/>
      <c r="R21" s="230">
        <v>1999</v>
      </c>
      <c r="S21" s="231"/>
      <c r="T21" s="231"/>
      <c r="U21" s="232"/>
      <c r="V21" s="230">
        <v>2000</v>
      </c>
      <c r="W21" s="231"/>
      <c r="X21" s="231"/>
      <c r="Y21" s="232"/>
      <c r="Z21" s="230">
        <v>2001</v>
      </c>
      <c r="AA21" s="231"/>
      <c r="AB21" s="231"/>
      <c r="AC21" s="232"/>
      <c r="AD21" s="230">
        <v>2002</v>
      </c>
      <c r="AE21" s="246"/>
      <c r="AF21" s="234"/>
      <c r="AG21" s="233"/>
      <c r="AH21" s="230">
        <v>2003</v>
      </c>
      <c r="AI21" s="246"/>
      <c r="AJ21" s="234"/>
      <c r="AK21" s="233"/>
      <c r="AL21" s="230">
        <v>2004</v>
      </c>
      <c r="AM21" s="231"/>
      <c r="AN21" s="231"/>
      <c r="AO21" s="233"/>
      <c r="AP21" s="230">
        <v>2005</v>
      </c>
      <c r="AQ21" s="231"/>
      <c r="AR21" s="231"/>
      <c r="AS21" s="233"/>
      <c r="AT21" s="230">
        <v>2006</v>
      </c>
      <c r="AU21" s="231"/>
      <c r="AV21" s="231"/>
      <c r="AW21" s="232"/>
      <c r="AX21" s="208">
        <v>2007</v>
      </c>
      <c r="AY21" s="222"/>
      <c r="AZ21" s="222"/>
      <c r="BA21" s="209"/>
      <c r="BB21" s="208">
        <v>2008</v>
      </c>
      <c r="BC21" s="222"/>
      <c r="BD21" s="222"/>
      <c r="BE21" s="209"/>
      <c r="BF21" s="208">
        <v>2009</v>
      </c>
      <c r="BG21" s="222"/>
      <c r="BH21" s="222"/>
      <c r="BI21" s="209"/>
      <c r="BJ21" s="208">
        <v>2010</v>
      </c>
      <c r="BK21" s="222"/>
      <c r="BL21" s="222"/>
      <c r="BM21" s="209"/>
      <c r="BN21" s="208">
        <v>2011</v>
      </c>
      <c r="BO21" s="223"/>
      <c r="BP21" s="223"/>
      <c r="BQ21" s="224"/>
      <c r="BR21" s="208">
        <v>2012</v>
      </c>
      <c r="BS21" s="209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/>
      <c r="IB21"/>
      <c r="IC21"/>
      <c r="ID21"/>
      <c r="IE21"/>
      <c r="IF21"/>
      <c r="IG21"/>
      <c r="IH21"/>
      <c r="II21"/>
    </row>
    <row r="22" spans="1:243">
      <c r="A22" s="236"/>
      <c r="B22" s="225" t="s">
        <v>0</v>
      </c>
      <c r="C22" s="141" t="s">
        <v>1</v>
      </c>
      <c r="D22" s="141" t="s">
        <v>2</v>
      </c>
      <c r="E22" s="211" t="s">
        <v>3</v>
      </c>
      <c r="F22" s="225" t="s">
        <v>0</v>
      </c>
      <c r="G22" s="141" t="s">
        <v>1</v>
      </c>
      <c r="H22" s="141" t="s">
        <v>2</v>
      </c>
      <c r="I22" s="211" t="s">
        <v>3</v>
      </c>
      <c r="J22" s="225" t="s">
        <v>0</v>
      </c>
      <c r="K22" s="141" t="s">
        <v>1</v>
      </c>
      <c r="L22" s="141" t="s">
        <v>2</v>
      </c>
      <c r="M22" s="211" t="s">
        <v>3</v>
      </c>
      <c r="N22" s="225" t="s">
        <v>0</v>
      </c>
      <c r="O22" s="141" t="s">
        <v>1</v>
      </c>
      <c r="P22" s="141" t="s">
        <v>2</v>
      </c>
      <c r="Q22" s="211" t="s">
        <v>3</v>
      </c>
      <c r="R22" s="225" t="s">
        <v>0</v>
      </c>
      <c r="S22" s="141" t="s">
        <v>1</v>
      </c>
      <c r="T22" s="141" t="s">
        <v>2</v>
      </c>
      <c r="U22" s="211" t="s">
        <v>3</v>
      </c>
      <c r="V22" s="225" t="s">
        <v>0</v>
      </c>
      <c r="W22" s="141" t="s">
        <v>1</v>
      </c>
      <c r="X22" s="141" t="s">
        <v>2</v>
      </c>
      <c r="Y22" s="211" t="s">
        <v>3</v>
      </c>
      <c r="Z22" s="225" t="s">
        <v>0</v>
      </c>
      <c r="AA22" s="141" t="s">
        <v>1</v>
      </c>
      <c r="AB22" s="141" t="s">
        <v>2</v>
      </c>
      <c r="AC22" s="211" t="s">
        <v>3</v>
      </c>
      <c r="AD22" s="225" t="s">
        <v>0</v>
      </c>
      <c r="AE22" s="141" t="s">
        <v>1</v>
      </c>
      <c r="AF22" s="141" t="s">
        <v>2</v>
      </c>
      <c r="AG22" s="211" t="s">
        <v>3</v>
      </c>
      <c r="AH22" s="225" t="s">
        <v>0</v>
      </c>
      <c r="AI22" s="141" t="s">
        <v>1</v>
      </c>
      <c r="AJ22" s="141" t="s">
        <v>2</v>
      </c>
      <c r="AK22" s="211" t="s">
        <v>3</v>
      </c>
      <c r="AL22" s="225" t="s">
        <v>0</v>
      </c>
      <c r="AM22" s="141" t="s">
        <v>1</v>
      </c>
      <c r="AN22" s="141" t="s">
        <v>2</v>
      </c>
      <c r="AO22" s="211" t="s">
        <v>3</v>
      </c>
      <c r="AP22" s="225" t="s">
        <v>0</v>
      </c>
      <c r="AQ22" s="141" t="s">
        <v>1</v>
      </c>
      <c r="AR22" s="141" t="s">
        <v>2</v>
      </c>
      <c r="AS22" s="211" t="s">
        <v>3</v>
      </c>
      <c r="AT22" s="225" t="s">
        <v>0</v>
      </c>
      <c r="AU22" s="141" t="s">
        <v>1</v>
      </c>
      <c r="AV22" s="141" t="s">
        <v>2</v>
      </c>
      <c r="AW22" s="211" t="s">
        <v>3</v>
      </c>
      <c r="AX22" s="225" t="s">
        <v>0</v>
      </c>
      <c r="AY22" s="141" t="s">
        <v>1</v>
      </c>
      <c r="AZ22" s="141" t="s">
        <v>2</v>
      </c>
      <c r="BA22" s="211" t="s">
        <v>3</v>
      </c>
      <c r="BB22" s="225" t="s">
        <v>0</v>
      </c>
      <c r="BC22" s="141" t="s">
        <v>1</v>
      </c>
      <c r="BD22" s="141" t="s">
        <v>2</v>
      </c>
      <c r="BE22" s="211" t="s">
        <v>3</v>
      </c>
      <c r="BF22" s="225" t="s">
        <v>0</v>
      </c>
      <c r="BG22" s="141" t="s">
        <v>1</v>
      </c>
      <c r="BH22" s="141" t="s">
        <v>2</v>
      </c>
      <c r="BI22" s="211" t="s">
        <v>3</v>
      </c>
      <c r="BJ22" s="225" t="s">
        <v>0</v>
      </c>
      <c r="BK22" s="141" t="s">
        <v>1</v>
      </c>
      <c r="BL22" s="141" t="s">
        <v>2</v>
      </c>
      <c r="BM22" s="211" t="s">
        <v>3</v>
      </c>
      <c r="BN22" s="225" t="s">
        <v>0</v>
      </c>
      <c r="BO22" s="141" t="s">
        <v>1</v>
      </c>
      <c r="BP22" s="141" t="s">
        <v>2</v>
      </c>
      <c r="BQ22" s="211" t="s">
        <v>3</v>
      </c>
      <c r="BR22" s="210" t="s">
        <v>0</v>
      </c>
      <c r="BS22" s="211" t="s">
        <v>1</v>
      </c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/>
      <c r="IB22"/>
      <c r="IC22"/>
      <c r="ID22"/>
      <c r="IE22"/>
      <c r="IF22"/>
      <c r="IG22"/>
      <c r="IH22"/>
      <c r="II22"/>
    </row>
    <row r="23" spans="1:243" s="59" customFormat="1">
      <c r="A23" s="240" t="s">
        <v>56</v>
      </c>
      <c r="B23" s="241">
        <v>12</v>
      </c>
      <c r="C23" s="206">
        <v>21</v>
      </c>
      <c r="D23" s="206">
        <v>27</v>
      </c>
      <c r="E23" s="216">
        <v>39</v>
      </c>
      <c r="F23" s="241">
        <v>37</v>
      </c>
      <c r="G23" s="206">
        <v>58</v>
      </c>
      <c r="H23" s="206">
        <v>46</v>
      </c>
      <c r="I23" s="216">
        <v>55</v>
      </c>
      <c r="J23" s="241">
        <v>41</v>
      </c>
      <c r="K23" s="206">
        <v>50</v>
      </c>
      <c r="L23" s="206">
        <v>35</v>
      </c>
      <c r="M23" s="216">
        <v>61</v>
      </c>
      <c r="N23" s="241">
        <v>52</v>
      </c>
      <c r="O23" s="206">
        <v>69</v>
      </c>
      <c r="P23" s="206">
        <v>87</v>
      </c>
      <c r="Q23" s="216">
        <v>104</v>
      </c>
      <c r="R23" s="241">
        <v>138</v>
      </c>
      <c r="S23" s="206">
        <v>264</v>
      </c>
      <c r="T23" s="206">
        <v>354</v>
      </c>
      <c r="U23" s="216">
        <v>435</v>
      </c>
      <c r="V23" s="241">
        <v>486</v>
      </c>
      <c r="W23" s="206">
        <v>428</v>
      </c>
      <c r="X23" s="206">
        <v>280</v>
      </c>
      <c r="Y23" s="216">
        <v>204</v>
      </c>
      <c r="Z23" s="241">
        <v>89</v>
      </c>
      <c r="AA23" s="206">
        <v>53</v>
      </c>
      <c r="AB23" s="206">
        <v>47</v>
      </c>
      <c r="AC23" s="216">
        <v>34</v>
      </c>
      <c r="AD23" s="241">
        <v>25</v>
      </c>
      <c r="AE23" s="206">
        <v>19</v>
      </c>
      <c r="AF23" s="206">
        <v>24</v>
      </c>
      <c r="AG23" s="216">
        <v>15</v>
      </c>
      <c r="AH23" s="241">
        <v>21</v>
      </c>
      <c r="AI23" s="206">
        <v>16</v>
      </c>
      <c r="AJ23" s="206">
        <v>19</v>
      </c>
      <c r="AK23" s="216">
        <v>22</v>
      </c>
      <c r="AL23" s="241">
        <v>26</v>
      </c>
      <c r="AM23" s="206">
        <v>27</v>
      </c>
      <c r="AN23" s="206">
        <v>29</v>
      </c>
      <c r="AO23" s="216">
        <v>35</v>
      </c>
      <c r="AP23" s="241">
        <v>47</v>
      </c>
      <c r="AQ23" s="206">
        <v>51</v>
      </c>
      <c r="AR23" s="206">
        <v>53</v>
      </c>
      <c r="AS23" s="216">
        <v>60</v>
      </c>
      <c r="AT23" s="241">
        <v>71</v>
      </c>
      <c r="AU23" s="206">
        <v>72</v>
      </c>
      <c r="AV23" s="206">
        <v>82</v>
      </c>
      <c r="AW23" s="216">
        <v>79</v>
      </c>
      <c r="AX23" s="241">
        <v>70</v>
      </c>
      <c r="AY23" s="206">
        <v>87</v>
      </c>
      <c r="AZ23" s="206">
        <v>89</v>
      </c>
      <c r="BA23" s="216">
        <v>103</v>
      </c>
      <c r="BB23" s="241">
        <v>102</v>
      </c>
      <c r="BC23" s="206">
        <v>102</v>
      </c>
      <c r="BD23" s="206">
        <v>89</v>
      </c>
      <c r="BE23" s="216">
        <v>62</v>
      </c>
      <c r="BF23" s="241">
        <v>45</v>
      </c>
      <c r="BG23" s="206">
        <v>50</v>
      </c>
      <c r="BH23" s="206">
        <v>46</v>
      </c>
      <c r="BI23" s="216">
        <v>77</v>
      </c>
      <c r="BJ23" s="241">
        <v>59</v>
      </c>
      <c r="BK23" s="206">
        <v>81</v>
      </c>
      <c r="BL23" s="206">
        <v>72</v>
      </c>
      <c r="BM23" s="216">
        <v>86</v>
      </c>
      <c r="BN23" s="241">
        <v>87</v>
      </c>
      <c r="BO23" s="206">
        <v>117</v>
      </c>
      <c r="BP23" s="206">
        <v>120</v>
      </c>
      <c r="BQ23" s="216">
        <v>102</v>
      </c>
      <c r="BR23" s="215">
        <v>73</v>
      </c>
      <c r="BS23" s="216">
        <v>101</v>
      </c>
    </row>
    <row r="24" spans="1:243" s="56" customFormat="1" ht="13.5" thickBot="1">
      <c r="A24" s="238" t="s">
        <v>43</v>
      </c>
      <c r="B24" s="242">
        <v>7</v>
      </c>
      <c r="C24" s="207">
        <v>8</v>
      </c>
      <c r="D24" s="207">
        <v>18</v>
      </c>
      <c r="E24" s="218">
        <v>25</v>
      </c>
      <c r="F24" s="242">
        <v>37</v>
      </c>
      <c r="G24" s="207">
        <v>40</v>
      </c>
      <c r="H24" s="207">
        <v>48</v>
      </c>
      <c r="I24" s="218">
        <v>60</v>
      </c>
      <c r="J24" s="242">
        <v>62</v>
      </c>
      <c r="K24" s="207">
        <v>76</v>
      </c>
      <c r="L24" s="207">
        <v>83</v>
      </c>
      <c r="M24" s="218">
        <v>110</v>
      </c>
      <c r="N24" s="242">
        <v>89</v>
      </c>
      <c r="O24" s="207">
        <v>124</v>
      </c>
      <c r="P24" s="207">
        <v>118</v>
      </c>
      <c r="Q24" s="218">
        <v>129</v>
      </c>
      <c r="R24" s="242">
        <v>159</v>
      </c>
      <c r="S24" s="207">
        <v>235</v>
      </c>
      <c r="T24" s="207">
        <v>268</v>
      </c>
      <c r="U24" s="218">
        <v>386</v>
      </c>
      <c r="V24" s="242">
        <v>482</v>
      </c>
      <c r="W24" s="207">
        <v>468</v>
      </c>
      <c r="X24" s="207">
        <v>441</v>
      </c>
      <c r="Y24" s="218">
        <v>389</v>
      </c>
      <c r="Z24" s="242">
        <v>310</v>
      </c>
      <c r="AA24" s="207">
        <v>268</v>
      </c>
      <c r="AB24" s="207">
        <v>233</v>
      </c>
      <c r="AC24" s="218">
        <v>185</v>
      </c>
      <c r="AD24" s="242">
        <v>153</v>
      </c>
      <c r="AE24" s="207">
        <v>150</v>
      </c>
      <c r="AF24" s="207">
        <v>115</v>
      </c>
      <c r="AG24" s="218">
        <v>107</v>
      </c>
      <c r="AH24" s="242">
        <v>86</v>
      </c>
      <c r="AI24" s="207">
        <v>94</v>
      </c>
      <c r="AJ24" s="207">
        <v>96</v>
      </c>
      <c r="AK24" s="218">
        <v>90</v>
      </c>
      <c r="AL24" s="242">
        <v>72</v>
      </c>
      <c r="AM24" s="207">
        <v>92</v>
      </c>
      <c r="AN24" s="207">
        <v>73</v>
      </c>
      <c r="AO24" s="218">
        <v>83</v>
      </c>
      <c r="AP24" s="242">
        <v>71</v>
      </c>
      <c r="AQ24" s="207">
        <v>79</v>
      </c>
      <c r="AR24" s="207">
        <v>77</v>
      </c>
      <c r="AS24" s="218">
        <v>96</v>
      </c>
      <c r="AT24" s="242">
        <v>108</v>
      </c>
      <c r="AU24" s="207">
        <v>89</v>
      </c>
      <c r="AV24" s="207">
        <v>107</v>
      </c>
      <c r="AW24" s="218">
        <v>128</v>
      </c>
      <c r="AX24" s="242">
        <v>114</v>
      </c>
      <c r="AY24" s="207">
        <v>122</v>
      </c>
      <c r="AZ24" s="207">
        <v>144</v>
      </c>
      <c r="BA24" s="218">
        <v>133</v>
      </c>
      <c r="BB24" s="242">
        <v>135</v>
      </c>
      <c r="BC24" s="207">
        <v>153</v>
      </c>
      <c r="BD24" s="207">
        <v>135</v>
      </c>
      <c r="BE24" s="218">
        <v>127</v>
      </c>
      <c r="BF24" s="242">
        <v>99</v>
      </c>
      <c r="BG24" s="207">
        <v>109</v>
      </c>
      <c r="BH24" s="207">
        <v>112</v>
      </c>
      <c r="BI24" s="218">
        <v>130</v>
      </c>
      <c r="BJ24" s="243">
        <v>122</v>
      </c>
      <c r="BK24" s="244">
        <v>144</v>
      </c>
      <c r="BL24" s="244">
        <v>131</v>
      </c>
      <c r="BM24" s="220">
        <v>136</v>
      </c>
      <c r="BN24" s="242">
        <v>129</v>
      </c>
      <c r="BO24" s="207">
        <v>182</v>
      </c>
      <c r="BP24" s="207">
        <v>146</v>
      </c>
      <c r="BQ24" s="218">
        <v>148</v>
      </c>
      <c r="BR24" s="217">
        <v>126</v>
      </c>
      <c r="BS24" s="218">
        <v>160</v>
      </c>
    </row>
    <row r="25" spans="1:243" ht="14.25" thickTop="1" thickBot="1">
      <c r="A25" s="239" t="s">
        <v>4</v>
      </c>
      <c r="B25" s="243">
        <v>19</v>
      </c>
      <c r="C25" s="244">
        <v>29</v>
      </c>
      <c r="D25" s="244">
        <v>45</v>
      </c>
      <c r="E25" s="220">
        <v>64</v>
      </c>
      <c r="F25" s="243">
        <v>74</v>
      </c>
      <c r="G25" s="244">
        <v>98</v>
      </c>
      <c r="H25" s="244">
        <v>94</v>
      </c>
      <c r="I25" s="220">
        <v>115</v>
      </c>
      <c r="J25" s="243">
        <v>103</v>
      </c>
      <c r="K25" s="244">
        <v>126</v>
      </c>
      <c r="L25" s="244">
        <v>118</v>
      </c>
      <c r="M25" s="220">
        <v>171</v>
      </c>
      <c r="N25" s="243">
        <v>141</v>
      </c>
      <c r="O25" s="244">
        <v>193</v>
      </c>
      <c r="P25" s="244">
        <v>205</v>
      </c>
      <c r="Q25" s="220">
        <v>233</v>
      </c>
      <c r="R25" s="243">
        <v>297</v>
      </c>
      <c r="S25" s="244">
        <v>499</v>
      </c>
      <c r="T25" s="244">
        <v>622</v>
      </c>
      <c r="U25" s="220">
        <v>821</v>
      </c>
      <c r="V25" s="243">
        <v>968</v>
      </c>
      <c r="W25" s="244">
        <v>896</v>
      </c>
      <c r="X25" s="244">
        <v>721</v>
      </c>
      <c r="Y25" s="220">
        <v>593</v>
      </c>
      <c r="Z25" s="243">
        <v>399</v>
      </c>
      <c r="AA25" s="244">
        <v>321</v>
      </c>
      <c r="AB25" s="244">
        <v>280</v>
      </c>
      <c r="AC25" s="220">
        <v>219</v>
      </c>
      <c r="AD25" s="243">
        <v>178</v>
      </c>
      <c r="AE25" s="244">
        <v>169</v>
      </c>
      <c r="AF25" s="244">
        <v>139</v>
      </c>
      <c r="AG25" s="220">
        <v>122</v>
      </c>
      <c r="AH25" s="243">
        <v>107</v>
      </c>
      <c r="AI25" s="244">
        <v>110</v>
      </c>
      <c r="AJ25" s="244">
        <v>115</v>
      </c>
      <c r="AK25" s="220">
        <v>112</v>
      </c>
      <c r="AL25" s="243">
        <v>98</v>
      </c>
      <c r="AM25" s="244">
        <v>119</v>
      </c>
      <c r="AN25" s="244">
        <v>102</v>
      </c>
      <c r="AO25" s="220">
        <v>118</v>
      </c>
      <c r="AP25" s="243">
        <v>118</v>
      </c>
      <c r="AQ25" s="244">
        <v>130</v>
      </c>
      <c r="AR25" s="244">
        <v>130</v>
      </c>
      <c r="AS25" s="220">
        <v>156</v>
      </c>
      <c r="AT25" s="243">
        <v>179</v>
      </c>
      <c r="AU25" s="244">
        <v>161</v>
      </c>
      <c r="AV25" s="244">
        <v>189</v>
      </c>
      <c r="AW25" s="220">
        <v>207</v>
      </c>
      <c r="AX25" s="243">
        <v>184</v>
      </c>
      <c r="AY25" s="244">
        <v>209</v>
      </c>
      <c r="AZ25" s="244">
        <v>233</v>
      </c>
      <c r="BA25" s="220">
        <v>236</v>
      </c>
      <c r="BB25" s="243">
        <v>237</v>
      </c>
      <c r="BC25" s="244">
        <v>255</v>
      </c>
      <c r="BD25" s="244">
        <v>224</v>
      </c>
      <c r="BE25" s="220">
        <v>189</v>
      </c>
      <c r="BF25" s="243">
        <v>144</v>
      </c>
      <c r="BG25" s="244">
        <v>159</v>
      </c>
      <c r="BH25" s="244">
        <v>158</v>
      </c>
      <c r="BI25" s="220">
        <v>207</v>
      </c>
      <c r="BJ25" s="243">
        <v>181</v>
      </c>
      <c r="BK25" s="244">
        <v>225</v>
      </c>
      <c r="BL25" s="244">
        <v>203</v>
      </c>
      <c r="BM25" s="245">
        <v>222</v>
      </c>
      <c r="BN25" s="243">
        <v>216</v>
      </c>
      <c r="BO25" s="244">
        <v>299</v>
      </c>
      <c r="BP25" s="244">
        <v>266</v>
      </c>
      <c r="BQ25" s="220">
        <v>250</v>
      </c>
      <c r="BR25" s="219">
        <v>199</v>
      </c>
      <c r="BS25" s="220">
        <v>261</v>
      </c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</row>
    <row r="26" spans="1:243">
      <c r="B26" t="s">
        <v>55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AR26" s="16"/>
      <c r="AS26" s="14"/>
      <c r="IE26"/>
      <c r="IF26"/>
      <c r="IG26"/>
      <c r="IH26"/>
      <c r="II26"/>
    </row>
  </sheetData>
  <mergeCells count="38">
    <mergeCell ref="R21:U21"/>
    <mergeCell ref="R13:U13"/>
    <mergeCell ref="AT13:AW13"/>
    <mergeCell ref="AT21:AW21"/>
    <mergeCell ref="Z21:AC21"/>
    <mergeCell ref="V13:Y13"/>
    <mergeCell ref="A21:A22"/>
    <mergeCell ref="B21:E21"/>
    <mergeCell ref="F21:I21"/>
    <mergeCell ref="J21:M21"/>
    <mergeCell ref="AL13:AO13"/>
    <mergeCell ref="AD21:AG21"/>
    <mergeCell ref="AH21:AK21"/>
    <mergeCell ref="AL21:AO21"/>
    <mergeCell ref="A13:A14"/>
    <mergeCell ref="B13:E13"/>
    <mergeCell ref="F13:I13"/>
    <mergeCell ref="J13:M13"/>
    <mergeCell ref="N13:Q13"/>
    <mergeCell ref="V21:Y21"/>
    <mergeCell ref="Z13:AC13"/>
    <mergeCell ref="N21:Q21"/>
    <mergeCell ref="BR13:BS13"/>
    <mergeCell ref="BR21:BS21"/>
    <mergeCell ref="BN13:BQ13"/>
    <mergeCell ref="BN21:BQ21"/>
    <mergeCell ref="AD13:AG13"/>
    <mergeCell ref="AH13:AK13"/>
    <mergeCell ref="AP13:AS13"/>
    <mergeCell ref="AP21:AS21"/>
    <mergeCell ref="BB13:BE13"/>
    <mergeCell ref="BB21:BE21"/>
    <mergeCell ref="BF13:BI13"/>
    <mergeCell ref="BF21:BI21"/>
    <mergeCell ref="BJ13:BM13"/>
    <mergeCell ref="BJ21:BM21"/>
    <mergeCell ref="AX13:BA13"/>
    <mergeCell ref="AX21:BA21"/>
  </mergeCells>
  <phoneticPr fontId="5" type="noConversion"/>
  <printOptions horizontalCentered="1"/>
  <pageMargins left="0.25" right="0.25" top="0.5" bottom="0.5" header="0.5" footer="0.5"/>
  <pageSetup paperSize="5" scale="56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4" manualBreakCount="4">
    <brk id="13" max="26" man="1"/>
    <brk id="29" max="26" man="1"/>
    <brk id="45" max="26" man="1"/>
    <brk id="61" max="2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IR20"/>
  <sheetViews>
    <sheetView zoomScaleNormal="100" workbookViewId="0"/>
  </sheetViews>
  <sheetFormatPr defaultRowHeight="12.75"/>
  <cols>
    <col min="1" max="1" width="11.6640625" bestFit="1" customWidth="1"/>
    <col min="3" max="3" width="16.33203125" bestFit="1" customWidth="1"/>
    <col min="4" max="4" width="17.5" bestFit="1" customWidth="1"/>
    <col min="5" max="5" width="21" bestFit="1" customWidth="1"/>
    <col min="7" max="7" width="17.83203125" customWidth="1"/>
    <col min="8" max="8" width="15" bestFit="1" customWidth="1"/>
    <col min="9" max="9" width="21" bestFit="1" customWidth="1"/>
    <col min="10" max="10" width="15" bestFit="1" customWidth="1"/>
    <col min="11" max="11" width="21.1640625" customWidth="1"/>
    <col min="12" max="12" width="16.1640625" bestFit="1" customWidth="1"/>
    <col min="13" max="13" width="22.33203125" bestFit="1" customWidth="1"/>
    <col min="15" max="15" width="22.33203125" bestFit="1" customWidth="1"/>
    <col min="16" max="16" width="16.1640625" bestFit="1" customWidth="1"/>
    <col min="17" max="17" width="22.33203125" bestFit="1" customWidth="1"/>
    <col min="19" max="19" width="21" bestFit="1" customWidth="1"/>
    <col min="20" max="20" width="15" bestFit="1" customWidth="1"/>
    <col min="21" max="21" width="22.33203125" bestFit="1" customWidth="1"/>
    <col min="23" max="23" width="22.33203125" bestFit="1" customWidth="1"/>
    <col min="24" max="24" width="15" bestFit="1" customWidth="1"/>
    <col min="25" max="25" width="22.33203125" bestFit="1" customWidth="1"/>
    <col min="27" max="27" width="22.33203125" bestFit="1" customWidth="1"/>
    <col min="29" max="29" width="24.1640625" bestFit="1" customWidth="1"/>
    <col min="30" max="30" width="18.1640625" bestFit="1" customWidth="1"/>
    <col min="31" max="31" width="22.33203125" bestFit="1" customWidth="1"/>
    <col min="32" max="32" width="16.1640625" bestFit="1" customWidth="1"/>
    <col min="33" max="33" width="20.5" bestFit="1" customWidth="1"/>
    <col min="34" max="34" width="16.1640625" bestFit="1" customWidth="1"/>
    <col min="35" max="35" width="20.5" bestFit="1" customWidth="1"/>
    <col min="36" max="36" width="16.1640625" bestFit="1" customWidth="1"/>
    <col min="37" max="37" width="20.5" bestFit="1" customWidth="1"/>
    <col min="39" max="39" width="17.1640625" bestFit="1" customWidth="1"/>
  </cols>
  <sheetData>
    <row r="2" spans="1:252"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</row>
    <row r="3" spans="1:252"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</row>
    <row r="4" spans="1:252"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</row>
    <row r="5" spans="1:252"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</row>
    <row r="6" spans="1:252" ht="16.5">
      <c r="G6" s="1" t="s">
        <v>45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</row>
    <row r="7" spans="1:252" ht="16.5">
      <c r="G7" s="1" t="s">
        <v>58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</row>
    <row r="8" spans="1:252" ht="16.5">
      <c r="G8" s="1" t="s">
        <v>68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</row>
    <row r="9" spans="1:252" ht="15.75">
      <c r="C9" s="2"/>
      <c r="D9" s="2"/>
      <c r="E9" s="2"/>
      <c r="F9" s="2"/>
      <c r="G9" s="5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</row>
    <row r="12" spans="1:252" s="6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T12" s="24"/>
    </row>
    <row r="13" spans="1:252" s="7" customFormat="1">
      <c r="A13" s="143" t="s">
        <v>5</v>
      </c>
      <c r="B13" s="142">
        <v>1995</v>
      </c>
      <c r="C13" s="146"/>
      <c r="D13" s="145">
        <v>1996</v>
      </c>
      <c r="E13" s="146"/>
      <c r="F13" s="142">
        <v>1997</v>
      </c>
      <c r="G13" s="142"/>
      <c r="H13" s="145">
        <v>1998</v>
      </c>
      <c r="I13" s="146"/>
      <c r="J13" s="142">
        <v>1999</v>
      </c>
      <c r="K13" s="142"/>
      <c r="L13" s="145">
        <v>2000</v>
      </c>
      <c r="M13" s="146"/>
      <c r="N13" s="142">
        <v>2001</v>
      </c>
      <c r="O13" s="146"/>
      <c r="P13" s="145">
        <v>2002</v>
      </c>
      <c r="Q13" s="146"/>
      <c r="R13" s="145">
        <v>2003</v>
      </c>
      <c r="S13" s="146"/>
      <c r="T13" s="145">
        <v>2004</v>
      </c>
      <c r="U13" s="146"/>
      <c r="V13" s="145">
        <v>2005</v>
      </c>
      <c r="W13" s="142"/>
      <c r="X13" s="145">
        <v>2006</v>
      </c>
      <c r="Y13" s="146"/>
      <c r="Z13" s="145">
        <v>2007</v>
      </c>
      <c r="AA13" s="142"/>
      <c r="AB13" s="145">
        <v>2008</v>
      </c>
      <c r="AC13" s="142"/>
      <c r="AD13" s="145">
        <v>2009</v>
      </c>
      <c r="AE13" s="146"/>
      <c r="AF13" s="145">
        <v>2010</v>
      </c>
      <c r="AG13" s="146"/>
      <c r="AH13" s="145">
        <v>2011</v>
      </c>
      <c r="AI13" s="142"/>
      <c r="AJ13" s="145">
        <v>2012</v>
      </c>
      <c r="AK13" s="146"/>
    </row>
    <row r="14" spans="1:252" s="7" customFormat="1">
      <c r="A14" s="144"/>
      <c r="B14" s="64" t="s">
        <v>6</v>
      </c>
      <c r="C14" s="66" t="s">
        <v>7</v>
      </c>
      <c r="D14" s="63" t="s">
        <v>6</v>
      </c>
      <c r="E14" s="66" t="s">
        <v>7</v>
      </c>
      <c r="F14" s="60" t="s">
        <v>6</v>
      </c>
      <c r="G14" s="60" t="s">
        <v>7</v>
      </c>
      <c r="H14" s="62" t="s">
        <v>6</v>
      </c>
      <c r="I14" s="61" t="s">
        <v>7</v>
      </c>
      <c r="J14" s="60" t="s">
        <v>6</v>
      </c>
      <c r="K14" s="60" t="s">
        <v>7</v>
      </c>
      <c r="L14" s="63" t="s">
        <v>6</v>
      </c>
      <c r="M14" s="61" t="s">
        <v>7</v>
      </c>
      <c r="N14" s="64" t="s">
        <v>6</v>
      </c>
      <c r="O14" s="61" t="s">
        <v>7</v>
      </c>
      <c r="P14" s="60" t="s">
        <v>6</v>
      </c>
      <c r="Q14" s="61" t="s">
        <v>7</v>
      </c>
      <c r="R14" s="60" t="s">
        <v>6</v>
      </c>
      <c r="S14" s="61" t="s">
        <v>7</v>
      </c>
      <c r="T14" s="65" t="s">
        <v>6</v>
      </c>
      <c r="U14" s="66" t="s">
        <v>7</v>
      </c>
      <c r="V14" s="68" t="s">
        <v>6</v>
      </c>
      <c r="W14" s="67" t="s">
        <v>7</v>
      </c>
      <c r="X14" s="68" t="s">
        <v>6</v>
      </c>
      <c r="Y14" s="69" t="s">
        <v>7</v>
      </c>
      <c r="Z14" s="68" t="s">
        <v>6</v>
      </c>
      <c r="AA14" s="67" t="s">
        <v>7</v>
      </c>
      <c r="AB14" s="68" t="s">
        <v>6</v>
      </c>
      <c r="AC14" s="67" t="s">
        <v>7</v>
      </c>
      <c r="AD14" s="68" t="s">
        <v>6</v>
      </c>
      <c r="AE14" s="69" t="s">
        <v>7</v>
      </c>
      <c r="AF14" s="68" t="s">
        <v>6</v>
      </c>
      <c r="AG14" s="69" t="s">
        <v>7</v>
      </c>
      <c r="AH14" s="68" t="s">
        <v>6</v>
      </c>
      <c r="AI14" s="67" t="s">
        <v>7</v>
      </c>
      <c r="AJ14" s="91" t="s">
        <v>6</v>
      </c>
      <c r="AK14" s="69" t="s">
        <v>7</v>
      </c>
    </row>
    <row r="15" spans="1:252" s="6" customFormat="1">
      <c r="A15" s="34">
        <v>1</v>
      </c>
      <c r="B15" s="39">
        <v>10</v>
      </c>
      <c r="C15" s="47">
        <v>27734100</v>
      </c>
      <c r="D15" s="39">
        <v>13</v>
      </c>
      <c r="E15" s="47">
        <v>36796000</v>
      </c>
      <c r="F15" s="39">
        <v>14</v>
      </c>
      <c r="G15" s="47">
        <v>34275800</v>
      </c>
      <c r="H15" s="39">
        <v>12</v>
      </c>
      <c r="I15" s="47">
        <v>69708100</v>
      </c>
      <c r="J15" s="39">
        <v>13</v>
      </c>
      <c r="K15" s="47">
        <v>32049900</v>
      </c>
      <c r="L15" s="39">
        <v>16</v>
      </c>
      <c r="M15" s="47">
        <v>183284000</v>
      </c>
      <c r="N15" s="39">
        <v>24</v>
      </c>
      <c r="O15" s="47">
        <v>118531000</v>
      </c>
      <c r="P15" s="39">
        <v>11</v>
      </c>
      <c r="Q15" s="47">
        <v>92960000</v>
      </c>
      <c r="R15" s="39">
        <v>13</v>
      </c>
      <c r="S15" s="47">
        <v>60113900</v>
      </c>
      <c r="T15" s="39">
        <v>15</v>
      </c>
      <c r="U15" s="47">
        <v>34490000</v>
      </c>
      <c r="V15" s="39">
        <v>24</v>
      </c>
      <c r="W15" s="47">
        <v>180273100</v>
      </c>
      <c r="X15" s="39">
        <v>32</v>
      </c>
      <c r="Y15" s="47">
        <v>355541800</v>
      </c>
      <c r="Z15" s="39">
        <v>50</v>
      </c>
      <c r="AA15" s="47">
        <v>491028900</v>
      </c>
      <c r="AB15" s="39">
        <v>72</v>
      </c>
      <c r="AC15" s="47">
        <v>1243979700</v>
      </c>
      <c r="AD15" s="39">
        <v>48</v>
      </c>
      <c r="AE15" s="47">
        <v>419938000</v>
      </c>
      <c r="AF15" s="39">
        <v>94</v>
      </c>
      <c r="AG15" s="47">
        <v>935015800</v>
      </c>
      <c r="AH15" s="39">
        <v>84</v>
      </c>
      <c r="AI15" s="107">
        <v>1248176200</v>
      </c>
      <c r="AJ15" s="133">
        <v>76</v>
      </c>
      <c r="AK15" s="50">
        <v>962228900</v>
      </c>
    </row>
    <row r="16" spans="1:252" s="6" customFormat="1">
      <c r="A16" s="34">
        <v>2</v>
      </c>
      <c r="B16" s="40">
        <v>6</v>
      </c>
      <c r="C16" s="48">
        <v>16139000</v>
      </c>
      <c r="D16" s="40">
        <v>9</v>
      </c>
      <c r="E16" s="48">
        <v>62950100</v>
      </c>
      <c r="F16" s="40">
        <v>12</v>
      </c>
      <c r="G16" s="48">
        <v>34107100</v>
      </c>
      <c r="H16" s="40">
        <v>7</v>
      </c>
      <c r="I16" s="48">
        <v>27764000</v>
      </c>
      <c r="J16" s="40">
        <v>12</v>
      </c>
      <c r="K16" s="48">
        <v>56626000</v>
      </c>
      <c r="L16" s="40">
        <v>15</v>
      </c>
      <c r="M16" s="48">
        <v>248089600</v>
      </c>
      <c r="N16" s="40">
        <v>17</v>
      </c>
      <c r="O16" s="48">
        <v>147449300</v>
      </c>
      <c r="P16" s="40">
        <v>9</v>
      </c>
      <c r="Q16" s="48">
        <v>46570000</v>
      </c>
      <c r="R16" s="40">
        <v>12</v>
      </c>
      <c r="S16" s="48">
        <v>60181200</v>
      </c>
      <c r="T16" s="40">
        <v>24</v>
      </c>
      <c r="U16" s="48">
        <v>111333500</v>
      </c>
      <c r="V16" s="40">
        <v>27</v>
      </c>
      <c r="W16" s="48">
        <v>195360100</v>
      </c>
      <c r="X16" s="40">
        <v>45</v>
      </c>
      <c r="Y16" s="48">
        <v>536965200</v>
      </c>
      <c r="Z16" s="40">
        <v>62</v>
      </c>
      <c r="AA16" s="48">
        <v>580532700</v>
      </c>
      <c r="AB16" s="40">
        <v>76</v>
      </c>
      <c r="AC16" s="48">
        <v>937135800</v>
      </c>
      <c r="AD16" s="40">
        <v>53</v>
      </c>
      <c r="AE16" s="48">
        <v>576509800</v>
      </c>
      <c r="AF16" s="40">
        <v>86</v>
      </c>
      <c r="AG16" s="48">
        <v>1548001700</v>
      </c>
      <c r="AH16" s="40">
        <v>95</v>
      </c>
      <c r="AI16" s="48">
        <v>1165567800</v>
      </c>
      <c r="AJ16" s="134">
        <v>55</v>
      </c>
      <c r="AK16" s="51">
        <v>1041547800</v>
      </c>
    </row>
    <row r="17" spans="1:37" s="6" customFormat="1">
      <c r="A17" s="34">
        <v>3</v>
      </c>
      <c r="B17" s="40">
        <v>11</v>
      </c>
      <c r="C17" s="48">
        <v>21091100</v>
      </c>
      <c r="D17" s="40">
        <v>11</v>
      </c>
      <c r="E17" s="48">
        <v>16913300</v>
      </c>
      <c r="F17" s="40">
        <v>12</v>
      </c>
      <c r="G17" s="48">
        <v>43089000</v>
      </c>
      <c r="H17" s="40">
        <v>11</v>
      </c>
      <c r="I17" s="48">
        <v>20947400</v>
      </c>
      <c r="J17" s="40">
        <v>12</v>
      </c>
      <c r="K17" s="48">
        <v>57313100</v>
      </c>
      <c r="L17" s="40">
        <v>10</v>
      </c>
      <c r="M17" s="48">
        <v>73947300</v>
      </c>
      <c r="N17" s="40">
        <v>9</v>
      </c>
      <c r="O17" s="48">
        <v>21281900</v>
      </c>
      <c r="P17" s="40">
        <v>13</v>
      </c>
      <c r="Q17" s="48">
        <v>83081000</v>
      </c>
      <c r="R17" s="40">
        <v>13</v>
      </c>
      <c r="S17" s="48">
        <v>49968900</v>
      </c>
      <c r="T17" s="40">
        <v>20</v>
      </c>
      <c r="U17" s="48">
        <v>104260000</v>
      </c>
      <c r="V17" s="40">
        <v>20</v>
      </c>
      <c r="W17" s="48">
        <v>88211100</v>
      </c>
      <c r="X17" s="40">
        <v>38</v>
      </c>
      <c r="Y17" s="48">
        <v>512689900</v>
      </c>
      <c r="Z17" s="40">
        <v>77</v>
      </c>
      <c r="AA17" s="48">
        <v>1110868800</v>
      </c>
      <c r="AB17" s="40">
        <v>89</v>
      </c>
      <c r="AC17" s="48">
        <v>1153309300</v>
      </c>
      <c r="AD17" s="40">
        <v>68</v>
      </c>
      <c r="AE17" s="48">
        <v>1000344600</v>
      </c>
      <c r="AF17" s="40">
        <v>66</v>
      </c>
      <c r="AG17" s="48">
        <v>696974100</v>
      </c>
      <c r="AH17" s="40">
        <v>88</v>
      </c>
      <c r="AI17" s="48">
        <v>937649300</v>
      </c>
      <c r="AJ17" s="134"/>
      <c r="AK17" s="51"/>
    </row>
    <row r="18" spans="1:37" s="6" customFormat="1" ht="13.5" thickBot="1">
      <c r="A18" s="35">
        <v>4</v>
      </c>
      <c r="B18" s="45">
        <v>8</v>
      </c>
      <c r="C18" s="49">
        <v>12032000</v>
      </c>
      <c r="D18" s="45">
        <v>15</v>
      </c>
      <c r="E18" s="49">
        <v>46779900</v>
      </c>
      <c r="F18" s="45">
        <v>14</v>
      </c>
      <c r="G18" s="49">
        <v>68891000</v>
      </c>
      <c r="H18" s="45">
        <v>12</v>
      </c>
      <c r="I18" s="49">
        <v>65516900</v>
      </c>
      <c r="J18" s="45">
        <v>18</v>
      </c>
      <c r="K18" s="49">
        <v>162345700</v>
      </c>
      <c r="L18" s="45">
        <v>10</v>
      </c>
      <c r="M18" s="49">
        <v>109266400</v>
      </c>
      <c r="N18" s="45">
        <v>11</v>
      </c>
      <c r="O18" s="49">
        <v>55520100</v>
      </c>
      <c r="P18" s="45">
        <v>16</v>
      </c>
      <c r="Q18" s="49">
        <v>102192100</v>
      </c>
      <c r="R18" s="45">
        <v>17</v>
      </c>
      <c r="S18" s="49">
        <v>44706800</v>
      </c>
      <c r="T18" s="45">
        <v>23</v>
      </c>
      <c r="U18" s="49">
        <v>165997600</v>
      </c>
      <c r="V18" s="45">
        <v>25</v>
      </c>
      <c r="W18" s="49">
        <v>135641400</v>
      </c>
      <c r="X18" s="45">
        <v>38</v>
      </c>
      <c r="Y18" s="49">
        <v>387899700</v>
      </c>
      <c r="Z18" s="45">
        <v>77</v>
      </c>
      <c r="AA18" s="49">
        <v>1031520100</v>
      </c>
      <c r="AB18" s="45">
        <v>71</v>
      </c>
      <c r="AC18" s="49">
        <v>866535500</v>
      </c>
      <c r="AD18" s="45">
        <v>74</v>
      </c>
      <c r="AE18" s="49">
        <v>481777700</v>
      </c>
      <c r="AF18" s="45">
        <v>71</v>
      </c>
      <c r="AG18" s="49">
        <v>866211600</v>
      </c>
      <c r="AH18" s="45">
        <v>81</v>
      </c>
      <c r="AI18" s="49">
        <v>1306035900</v>
      </c>
      <c r="AJ18" s="45"/>
      <c r="AK18" s="52"/>
    </row>
    <row r="19" spans="1:37" s="6" customFormat="1" ht="13.5" thickTop="1">
      <c r="A19" s="4" t="s">
        <v>4</v>
      </c>
      <c r="B19" s="44">
        <f>SUM(B15:B18)</f>
        <v>35</v>
      </c>
      <c r="C19" s="129">
        <f>SUM(C15:C18)</f>
        <v>76996200</v>
      </c>
      <c r="D19" s="44">
        <f t="shared" ref="D19:AK19" si="0">SUM(D15:D18)</f>
        <v>48</v>
      </c>
      <c r="E19" s="129">
        <f t="shared" si="0"/>
        <v>163439300</v>
      </c>
      <c r="F19" s="44">
        <f>SUM(F15:F18)</f>
        <v>52</v>
      </c>
      <c r="G19" s="129">
        <f t="shared" si="0"/>
        <v>180362900</v>
      </c>
      <c r="H19" s="44">
        <f t="shared" si="0"/>
        <v>42</v>
      </c>
      <c r="I19" s="129">
        <f t="shared" si="0"/>
        <v>183936400</v>
      </c>
      <c r="J19" s="44">
        <f t="shared" si="0"/>
        <v>55</v>
      </c>
      <c r="K19" s="129">
        <f t="shared" si="0"/>
        <v>308334700</v>
      </c>
      <c r="L19" s="44">
        <f t="shared" si="0"/>
        <v>51</v>
      </c>
      <c r="M19" s="129">
        <f t="shared" si="0"/>
        <v>614587300</v>
      </c>
      <c r="N19" s="44">
        <f t="shared" si="0"/>
        <v>61</v>
      </c>
      <c r="O19" s="129">
        <f t="shared" si="0"/>
        <v>342782300</v>
      </c>
      <c r="P19" s="44">
        <f t="shared" si="0"/>
        <v>49</v>
      </c>
      <c r="Q19" s="129">
        <f t="shared" si="0"/>
        <v>324803100</v>
      </c>
      <c r="R19" s="44">
        <f t="shared" si="0"/>
        <v>55</v>
      </c>
      <c r="S19" s="129">
        <f t="shared" si="0"/>
        <v>214970800</v>
      </c>
      <c r="T19" s="44">
        <f t="shared" si="0"/>
        <v>82</v>
      </c>
      <c r="U19" s="129">
        <f t="shared" si="0"/>
        <v>416081100</v>
      </c>
      <c r="V19" s="44">
        <f t="shared" si="0"/>
        <v>96</v>
      </c>
      <c r="W19" s="129">
        <f t="shared" si="0"/>
        <v>599485700</v>
      </c>
      <c r="X19" s="44">
        <f t="shared" si="0"/>
        <v>153</v>
      </c>
      <c r="Y19" s="129">
        <f t="shared" si="0"/>
        <v>1793096600</v>
      </c>
      <c r="Z19" s="44">
        <f t="shared" si="0"/>
        <v>266</v>
      </c>
      <c r="AA19" s="129">
        <f t="shared" si="0"/>
        <v>3213950500</v>
      </c>
      <c r="AB19" s="44">
        <f t="shared" si="0"/>
        <v>308</v>
      </c>
      <c r="AC19" s="129">
        <f t="shared" si="0"/>
        <v>4200960300</v>
      </c>
      <c r="AD19" s="44">
        <f t="shared" si="0"/>
        <v>243</v>
      </c>
      <c r="AE19" s="129">
        <f t="shared" si="0"/>
        <v>2478570100</v>
      </c>
      <c r="AF19" s="44">
        <f t="shared" si="0"/>
        <v>317</v>
      </c>
      <c r="AG19" s="129">
        <f t="shared" si="0"/>
        <v>4046203200</v>
      </c>
      <c r="AH19" s="44">
        <f t="shared" si="0"/>
        <v>348</v>
      </c>
      <c r="AI19" s="129">
        <f t="shared" si="0"/>
        <v>4657429200</v>
      </c>
      <c r="AJ19" s="135">
        <f t="shared" si="0"/>
        <v>131</v>
      </c>
      <c r="AK19" s="117">
        <f t="shared" si="0"/>
        <v>2003776700</v>
      </c>
    </row>
    <row r="20" spans="1:37" s="6" customFormat="1">
      <c r="A20" s="8"/>
      <c r="B20" t="s">
        <v>55</v>
      </c>
      <c r="C20" s="81"/>
      <c r="D20"/>
      <c r="E20" s="81"/>
      <c r="F20" s="41"/>
      <c r="G20" s="42"/>
      <c r="H20" s="41"/>
      <c r="I20" s="42"/>
      <c r="J20" s="41"/>
      <c r="K20" s="42"/>
      <c r="L20" s="41"/>
      <c r="M20" s="42"/>
      <c r="N20" s="41"/>
      <c r="O20" s="42"/>
      <c r="P20" s="41"/>
      <c r="Q20" s="42"/>
      <c r="R20" s="43"/>
      <c r="S20" s="20"/>
      <c r="T20" s="43"/>
      <c r="U20" s="20"/>
      <c r="V20" s="43"/>
      <c r="W20" s="20"/>
      <c r="X20" s="43"/>
      <c r="Y20" s="20"/>
      <c r="Z20" s="43"/>
      <c r="AA20" s="20"/>
    </row>
  </sheetData>
  <mergeCells count="19">
    <mergeCell ref="AJ13:AK13"/>
    <mergeCell ref="AH13:AI13"/>
    <mergeCell ref="AB13:AC13"/>
    <mergeCell ref="L13:M13"/>
    <mergeCell ref="N13:O13"/>
    <mergeCell ref="P13:Q13"/>
    <mergeCell ref="R13:S13"/>
    <mergeCell ref="T13:U13"/>
    <mergeCell ref="V13:W13"/>
    <mergeCell ref="AF13:AG13"/>
    <mergeCell ref="AD13:AE13"/>
    <mergeCell ref="X13:Y13"/>
    <mergeCell ref="Z13:AA13"/>
    <mergeCell ref="J13:K13"/>
    <mergeCell ref="A13:A14"/>
    <mergeCell ref="B13:C13"/>
    <mergeCell ref="D13:E13"/>
    <mergeCell ref="F13:G13"/>
    <mergeCell ref="H13:I13"/>
  </mergeCells>
  <phoneticPr fontId="5" type="noConversion"/>
  <pageMargins left="0.75" right="0.75" top="1" bottom="1" header="0.5" footer="0.5"/>
  <pageSetup paperSize="5" scale="91" orientation="landscape" r:id="rId1"/>
  <headerFooter alignWithMargins="0">
    <oddHeader>&amp;CPricewaterhouseCoopers/National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3" manualBreakCount="3">
    <brk id="11" max="19" man="1"/>
    <brk id="19" max="19" man="1"/>
    <brk id="27" max="1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4:CK27"/>
  <sheetViews>
    <sheetView zoomScaleNormal="100" workbookViewId="0">
      <pane xSplit="1" topLeftCell="B1" activePane="topRight" state="frozen"/>
      <selection activeCell="A9" sqref="A9"/>
      <selection pane="topRight"/>
    </sheetView>
  </sheetViews>
  <sheetFormatPr defaultColWidth="16.6640625" defaultRowHeight="12.75"/>
  <cols>
    <col min="1" max="1" width="20.83203125" customWidth="1"/>
    <col min="2" max="39" width="16.6640625" customWidth="1"/>
    <col min="40" max="86" width="16.6640625" style="17"/>
    <col min="87" max="88" width="16.6640625" style="6"/>
    <col min="89" max="16384" width="16.6640625" style="17"/>
  </cols>
  <sheetData>
    <row r="4" spans="1:89" ht="18.75">
      <c r="A4" s="32"/>
    </row>
    <row r="5" spans="1:89" ht="18.75">
      <c r="A5" s="33"/>
      <c r="F5" s="1" t="s">
        <v>45</v>
      </c>
    </row>
    <row r="6" spans="1:89" ht="16.5">
      <c r="F6" s="1" t="s">
        <v>59</v>
      </c>
    </row>
    <row r="7" spans="1:89" ht="16.5">
      <c r="A7" t="s">
        <v>38</v>
      </c>
      <c r="F7" s="1" t="s">
        <v>70</v>
      </c>
    </row>
    <row r="8" spans="1:89" ht="15.75">
      <c r="F8" s="53"/>
    </row>
    <row r="9" spans="1:89" ht="15.75">
      <c r="A9" s="3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89" s="18" customFormat="1" ht="13.5" thickBot="1">
      <c r="A10" s="148" t="s">
        <v>36</v>
      </c>
      <c r="B10" s="145">
        <v>1995</v>
      </c>
      <c r="C10" s="142"/>
      <c r="D10" s="142"/>
      <c r="E10" s="142"/>
      <c r="F10" s="147"/>
      <c r="G10" s="145">
        <v>1996</v>
      </c>
      <c r="H10" s="142"/>
      <c r="I10" s="142"/>
      <c r="J10" s="142"/>
      <c r="K10" s="147" t="s">
        <v>9</v>
      </c>
      <c r="L10" s="145">
        <v>1997</v>
      </c>
      <c r="M10" s="142"/>
      <c r="N10" s="142"/>
      <c r="O10" s="142"/>
      <c r="P10" s="147" t="s">
        <v>10</v>
      </c>
      <c r="Q10" s="145">
        <v>1998</v>
      </c>
      <c r="R10" s="142"/>
      <c r="S10" s="142"/>
      <c r="T10" s="142"/>
      <c r="U10" s="147" t="s">
        <v>11</v>
      </c>
      <c r="V10" s="145">
        <v>1999</v>
      </c>
      <c r="W10" s="142"/>
      <c r="X10" s="142"/>
      <c r="Y10" s="142"/>
      <c r="Z10" s="147" t="s">
        <v>12</v>
      </c>
      <c r="AA10" s="145">
        <v>2000</v>
      </c>
      <c r="AB10" s="142"/>
      <c r="AC10" s="142"/>
      <c r="AD10" s="142"/>
      <c r="AE10" s="147" t="s">
        <v>13</v>
      </c>
      <c r="AF10" s="145">
        <v>2001</v>
      </c>
      <c r="AG10" s="142"/>
      <c r="AH10" s="142"/>
      <c r="AI10" s="142"/>
      <c r="AJ10" s="151" t="s">
        <v>14</v>
      </c>
      <c r="AK10" s="145">
        <v>2002</v>
      </c>
      <c r="AL10" s="159"/>
      <c r="AM10" s="158"/>
      <c r="AN10" s="158"/>
      <c r="AO10" s="152"/>
      <c r="AP10" s="145">
        <v>2003</v>
      </c>
      <c r="AQ10" s="159"/>
      <c r="AR10" s="158"/>
      <c r="AS10" s="158"/>
      <c r="AT10" s="152"/>
      <c r="AU10" s="145">
        <v>2004</v>
      </c>
      <c r="AV10" s="142"/>
      <c r="AW10" s="142"/>
      <c r="AX10" s="158"/>
      <c r="AY10" s="153"/>
      <c r="AZ10" s="145">
        <v>2005</v>
      </c>
      <c r="BA10" s="142"/>
      <c r="BB10" s="142"/>
      <c r="BC10" s="158"/>
      <c r="BD10" s="153"/>
      <c r="BE10" s="145">
        <v>2006</v>
      </c>
      <c r="BF10" s="142"/>
      <c r="BG10" s="142"/>
      <c r="BH10" s="146"/>
      <c r="BI10" s="76"/>
      <c r="BJ10" s="150">
        <v>2007</v>
      </c>
      <c r="BK10" s="151"/>
      <c r="BL10" s="151"/>
      <c r="BM10" s="151"/>
      <c r="BN10" s="147"/>
      <c r="BO10" s="145">
        <v>2008</v>
      </c>
      <c r="BP10" s="142"/>
      <c r="BQ10" s="142"/>
      <c r="BR10" s="142"/>
      <c r="BS10" s="147"/>
      <c r="BT10" s="145">
        <v>2009</v>
      </c>
      <c r="BU10" s="142"/>
      <c r="BV10" s="142"/>
      <c r="BW10" s="142"/>
      <c r="BX10" s="147"/>
      <c r="BY10" s="150">
        <v>2010</v>
      </c>
      <c r="BZ10" s="160"/>
      <c r="CA10" s="160"/>
      <c r="CB10" s="160"/>
      <c r="CC10" s="161"/>
      <c r="CD10" s="145">
        <v>2011</v>
      </c>
      <c r="CE10" s="156"/>
      <c r="CF10" s="156"/>
      <c r="CG10" s="156"/>
      <c r="CH10" s="162"/>
      <c r="CI10" s="145">
        <v>2012</v>
      </c>
      <c r="CJ10" s="142"/>
      <c r="CK10" s="147"/>
    </row>
    <row r="11" spans="1:89" s="19" customFormat="1">
      <c r="A11" s="149"/>
      <c r="B11" s="71" t="s">
        <v>0</v>
      </c>
      <c r="C11" s="71" t="s">
        <v>1</v>
      </c>
      <c r="D11" s="71" t="s">
        <v>2</v>
      </c>
      <c r="E11" s="63" t="s">
        <v>3</v>
      </c>
      <c r="F11" s="72" t="s">
        <v>8</v>
      </c>
      <c r="G11" s="66" t="s">
        <v>0</v>
      </c>
      <c r="H11" s="71" t="s">
        <v>1</v>
      </c>
      <c r="I11" s="71" t="s">
        <v>2</v>
      </c>
      <c r="J11" s="63" t="s">
        <v>3</v>
      </c>
      <c r="K11" s="72" t="s">
        <v>9</v>
      </c>
      <c r="L11" s="66" t="s">
        <v>0</v>
      </c>
      <c r="M11" s="71" t="s">
        <v>1</v>
      </c>
      <c r="N11" s="71" t="s">
        <v>2</v>
      </c>
      <c r="O11" s="63" t="s">
        <v>3</v>
      </c>
      <c r="P11" s="72" t="s">
        <v>10</v>
      </c>
      <c r="Q11" s="66" t="s">
        <v>0</v>
      </c>
      <c r="R11" s="71" t="s">
        <v>1</v>
      </c>
      <c r="S11" s="71" t="s">
        <v>2</v>
      </c>
      <c r="T11" s="63" t="s">
        <v>3</v>
      </c>
      <c r="U11" s="72" t="s">
        <v>11</v>
      </c>
      <c r="V11" s="64" t="s">
        <v>0</v>
      </c>
      <c r="W11" s="71" t="s">
        <v>1</v>
      </c>
      <c r="X11" s="71" t="s">
        <v>2</v>
      </c>
      <c r="Y11" s="64" t="s">
        <v>3</v>
      </c>
      <c r="Z11" s="72" t="s">
        <v>12</v>
      </c>
      <c r="AA11" s="64" t="s">
        <v>0</v>
      </c>
      <c r="AB11" s="71" t="s">
        <v>1</v>
      </c>
      <c r="AC11" s="71" t="s">
        <v>2</v>
      </c>
      <c r="AD11" s="64" t="s">
        <v>3</v>
      </c>
      <c r="AE11" s="72" t="s">
        <v>13</v>
      </c>
      <c r="AF11" s="66" t="s">
        <v>0</v>
      </c>
      <c r="AG11" s="71" t="s">
        <v>1</v>
      </c>
      <c r="AH11" s="71" t="s">
        <v>2</v>
      </c>
      <c r="AI11" s="63" t="s">
        <v>3</v>
      </c>
      <c r="AJ11" s="72" t="s">
        <v>14</v>
      </c>
      <c r="AK11" s="66" t="s">
        <v>0</v>
      </c>
      <c r="AL11" s="71" t="s">
        <v>1</v>
      </c>
      <c r="AM11" s="71" t="s">
        <v>2</v>
      </c>
      <c r="AN11" s="63" t="s">
        <v>3</v>
      </c>
      <c r="AO11" s="70" t="s">
        <v>37</v>
      </c>
      <c r="AP11" s="67" t="s">
        <v>0</v>
      </c>
      <c r="AQ11" s="75" t="s">
        <v>1</v>
      </c>
      <c r="AR11" s="69" t="s">
        <v>2</v>
      </c>
      <c r="AS11" s="63" t="s">
        <v>3</v>
      </c>
      <c r="AT11" s="72" t="s">
        <v>39</v>
      </c>
      <c r="AU11" s="66" t="s">
        <v>0</v>
      </c>
      <c r="AV11" s="71" t="s">
        <v>1</v>
      </c>
      <c r="AW11" s="71" t="s">
        <v>2</v>
      </c>
      <c r="AX11" s="63" t="s">
        <v>3</v>
      </c>
      <c r="AY11" s="72" t="s">
        <v>40</v>
      </c>
      <c r="AZ11" s="66" t="s">
        <v>0</v>
      </c>
      <c r="BA11" s="71" t="s">
        <v>1</v>
      </c>
      <c r="BB11" s="71" t="s">
        <v>2</v>
      </c>
      <c r="BC11" s="63" t="s">
        <v>3</v>
      </c>
      <c r="BD11" s="72" t="s">
        <v>41</v>
      </c>
      <c r="BE11" s="66" t="s">
        <v>0</v>
      </c>
      <c r="BF11" s="71" t="s">
        <v>1</v>
      </c>
      <c r="BG11" s="71" t="s">
        <v>2</v>
      </c>
      <c r="BH11" s="63" t="s">
        <v>3</v>
      </c>
      <c r="BI11" s="72" t="s">
        <v>47</v>
      </c>
      <c r="BJ11" s="66" t="s">
        <v>0</v>
      </c>
      <c r="BK11" s="71" t="s">
        <v>1</v>
      </c>
      <c r="BL11" s="71" t="s">
        <v>2</v>
      </c>
      <c r="BM11" s="63" t="s">
        <v>3</v>
      </c>
      <c r="BN11" s="72" t="s">
        <v>49</v>
      </c>
      <c r="BO11" s="69" t="s">
        <v>0</v>
      </c>
      <c r="BP11" s="71" t="s">
        <v>1</v>
      </c>
      <c r="BQ11" s="67" t="s">
        <v>2</v>
      </c>
      <c r="BR11" s="63" t="s">
        <v>3</v>
      </c>
      <c r="BS11" s="106" t="s">
        <v>51</v>
      </c>
      <c r="BT11" s="69" t="s">
        <v>0</v>
      </c>
      <c r="BU11" s="69" t="s">
        <v>1</v>
      </c>
      <c r="BV11" s="71" t="s">
        <v>2</v>
      </c>
      <c r="BW11" s="67" t="s">
        <v>3</v>
      </c>
      <c r="BX11" s="106" t="s">
        <v>60</v>
      </c>
      <c r="BY11" s="88" t="s">
        <v>0</v>
      </c>
      <c r="BZ11" s="78" t="s">
        <v>1</v>
      </c>
      <c r="CA11" s="78" t="s">
        <v>2</v>
      </c>
      <c r="CB11" s="87" t="s">
        <v>3</v>
      </c>
      <c r="CC11" s="106" t="s">
        <v>61</v>
      </c>
      <c r="CD11" s="69" t="s">
        <v>0</v>
      </c>
      <c r="CE11" s="75" t="s">
        <v>1</v>
      </c>
      <c r="CF11" s="91" t="s">
        <v>2</v>
      </c>
      <c r="CG11" s="91" t="s">
        <v>3</v>
      </c>
      <c r="CH11" s="105" t="s">
        <v>63</v>
      </c>
      <c r="CI11" s="69" t="s">
        <v>0</v>
      </c>
      <c r="CJ11" s="69" t="s">
        <v>1</v>
      </c>
      <c r="CK11" s="70" t="s">
        <v>64</v>
      </c>
    </row>
    <row r="12" spans="1:89" s="6" customFormat="1">
      <c r="A12" s="23" t="s">
        <v>62</v>
      </c>
      <c r="B12" s="166">
        <v>171274900</v>
      </c>
      <c r="C12" s="166">
        <v>252377600</v>
      </c>
      <c r="D12" s="166">
        <v>151059900</v>
      </c>
      <c r="E12" s="170">
        <v>163929200</v>
      </c>
      <c r="F12" s="108">
        <v>738641600</v>
      </c>
      <c r="G12" s="166">
        <v>127444000</v>
      </c>
      <c r="H12" s="166">
        <v>203656000</v>
      </c>
      <c r="I12" s="166">
        <v>132228700</v>
      </c>
      <c r="J12" s="170">
        <v>173528800</v>
      </c>
      <c r="K12" s="108">
        <v>636857500</v>
      </c>
      <c r="L12" s="166">
        <v>232281900</v>
      </c>
      <c r="M12" s="166">
        <v>205172100</v>
      </c>
      <c r="N12" s="166">
        <v>164028000</v>
      </c>
      <c r="O12" s="170">
        <v>203439400</v>
      </c>
      <c r="P12" s="108">
        <v>804921400</v>
      </c>
      <c r="Q12" s="166">
        <v>249699200</v>
      </c>
      <c r="R12" s="166">
        <v>231145300</v>
      </c>
      <c r="S12" s="166">
        <v>222665200</v>
      </c>
      <c r="T12" s="170">
        <v>301217100</v>
      </c>
      <c r="U12" s="108">
        <v>1004726800</v>
      </c>
      <c r="V12" s="166">
        <v>447506300</v>
      </c>
      <c r="W12" s="166">
        <v>569902200</v>
      </c>
      <c r="X12" s="166">
        <v>721016900</v>
      </c>
      <c r="Y12" s="170">
        <v>1051945800</v>
      </c>
      <c r="Z12" s="108">
        <v>2790371200</v>
      </c>
      <c r="AA12" s="166">
        <v>692890400</v>
      </c>
      <c r="AB12" s="166">
        <v>707463500</v>
      </c>
      <c r="AC12" s="166">
        <v>697579600</v>
      </c>
      <c r="AD12" s="170">
        <v>422688400</v>
      </c>
      <c r="AE12" s="108">
        <v>2520621900</v>
      </c>
      <c r="AF12" s="166">
        <v>204376000</v>
      </c>
      <c r="AG12" s="166">
        <v>201650000</v>
      </c>
      <c r="AH12" s="166">
        <v>118520700</v>
      </c>
      <c r="AI12" s="170">
        <v>107514800</v>
      </c>
      <c r="AJ12" s="108">
        <v>632061500</v>
      </c>
      <c r="AK12" s="166">
        <v>62319000</v>
      </c>
      <c r="AL12" s="166">
        <v>77855300</v>
      </c>
      <c r="AM12" s="166">
        <v>67835000</v>
      </c>
      <c r="AN12" s="170">
        <v>59073200</v>
      </c>
      <c r="AO12" s="108">
        <v>267082500</v>
      </c>
      <c r="AP12" s="166">
        <v>77273000</v>
      </c>
      <c r="AQ12" s="166">
        <v>77791000</v>
      </c>
      <c r="AR12" s="166">
        <v>91293200</v>
      </c>
      <c r="AS12" s="170">
        <v>59215300</v>
      </c>
      <c r="AT12" s="108">
        <v>305572500</v>
      </c>
      <c r="AU12" s="166">
        <v>81121100</v>
      </c>
      <c r="AV12" s="166">
        <v>85768100</v>
      </c>
      <c r="AW12" s="166">
        <v>146134300</v>
      </c>
      <c r="AX12" s="170">
        <v>515384100</v>
      </c>
      <c r="AY12" s="108">
        <v>828407600</v>
      </c>
      <c r="AZ12" s="166">
        <v>141085900</v>
      </c>
      <c r="BA12" s="166">
        <v>425356700</v>
      </c>
      <c r="BB12" s="166">
        <v>137194700</v>
      </c>
      <c r="BC12" s="170">
        <v>107873000</v>
      </c>
      <c r="BD12" s="108">
        <v>811510300</v>
      </c>
      <c r="BE12" s="166">
        <v>211551000</v>
      </c>
      <c r="BF12" s="166">
        <v>323180900</v>
      </c>
      <c r="BG12" s="166">
        <v>320205400</v>
      </c>
      <c r="BH12" s="170">
        <v>219936900</v>
      </c>
      <c r="BI12" s="108">
        <v>1074874200</v>
      </c>
      <c r="BJ12" s="166">
        <v>210983900</v>
      </c>
      <c r="BK12" s="166">
        <v>377796000</v>
      </c>
      <c r="BL12" s="166">
        <v>376530400</v>
      </c>
      <c r="BM12" s="170">
        <v>449958400</v>
      </c>
      <c r="BN12" s="108">
        <v>1415268700</v>
      </c>
      <c r="BO12" s="166">
        <v>322179200</v>
      </c>
      <c r="BP12" s="166">
        <v>419402600</v>
      </c>
      <c r="BQ12" s="166">
        <v>359539700</v>
      </c>
      <c r="BR12" s="170">
        <v>275381000</v>
      </c>
      <c r="BS12" s="108">
        <v>1376502500</v>
      </c>
      <c r="BT12" s="166">
        <v>155377700</v>
      </c>
      <c r="BU12" s="166">
        <v>434754500</v>
      </c>
      <c r="BV12" s="166">
        <v>176302900</v>
      </c>
      <c r="BW12" s="170">
        <v>196061300</v>
      </c>
      <c r="BX12" s="108">
        <v>962496400</v>
      </c>
      <c r="BY12" s="166">
        <v>206916900</v>
      </c>
      <c r="BZ12" s="166">
        <v>327847400</v>
      </c>
      <c r="CA12" s="166">
        <v>206584000</v>
      </c>
      <c r="CB12" s="170">
        <v>175860900</v>
      </c>
      <c r="CC12" s="108">
        <v>917209200</v>
      </c>
      <c r="CD12" s="166">
        <v>168290300</v>
      </c>
      <c r="CE12" s="166">
        <v>354230800</v>
      </c>
      <c r="CF12" s="166">
        <v>174499800</v>
      </c>
      <c r="CG12" s="170">
        <v>104218300</v>
      </c>
      <c r="CH12" s="108">
        <v>801239200</v>
      </c>
      <c r="CI12" s="51">
        <v>75563400</v>
      </c>
      <c r="CJ12" s="170">
        <v>146106700</v>
      </c>
      <c r="CK12" s="108">
        <v>221670100</v>
      </c>
    </row>
    <row r="13" spans="1:89" s="6" customFormat="1">
      <c r="A13" s="23" t="s">
        <v>33</v>
      </c>
      <c r="B13" s="167">
        <v>241837200</v>
      </c>
      <c r="C13" s="167">
        <v>197484200</v>
      </c>
      <c r="D13" s="167">
        <v>176323000</v>
      </c>
      <c r="E13" s="170">
        <v>282656200</v>
      </c>
      <c r="F13" s="109">
        <v>898300600</v>
      </c>
      <c r="G13" s="167">
        <v>345048000</v>
      </c>
      <c r="H13" s="167">
        <v>388199100</v>
      </c>
      <c r="I13" s="167">
        <v>251027500</v>
      </c>
      <c r="J13" s="170">
        <v>371912200</v>
      </c>
      <c r="K13" s="109">
        <v>1356186800</v>
      </c>
      <c r="L13" s="167">
        <v>387166800</v>
      </c>
      <c r="M13" s="167">
        <v>377904900</v>
      </c>
      <c r="N13" s="167">
        <v>363595800</v>
      </c>
      <c r="O13" s="170">
        <v>563092200</v>
      </c>
      <c r="P13" s="109">
        <v>1691759700</v>
      </c>
      <c r="Q13" s="167">
        <v>679682500</v>
      </c>
      <c r="R13" s="167">
        <v>398829900</v>
      </c>
      <c r="S13" s="167">
        <v>511146500</v>
      </c>
      <c r="T13" s="170">
        <v>1082875600</v>
      </c>
      <c r="U13" s="109">
        <v>2672534500</v>
      </c>
      <c r="V13" s="167">
        <v>606921700</v>
      </c>
      <c r="W13" s="167">
        <v>1170417800</v>
      </c>
      <c r="X13" s="167">
        <v>1325626400</v>
      </c>
      <c r="Y13" s="170">
        <v>3198975200</v>
      </c>
      <c r="Z13" s="109">
        <v>6301941100</v>
      </c>
      <c r="AA13" s="167">
        <v>4831743200</v>
      </c>
      <c r="AB13" s="167">
        <v>4797089600</v>
      </c>
      <c r="AC13" s="167">
        <v>3503409800</v>
      </c>
      <c r="AD13" s="170">
        <v>3352982600</v>
      </c>
      <c r="AE13" s="109">
        <v>16485225200</v>
      </c>
      <c r="AF13" s="167">
        <v>1851360600</v>
      </c>
      <c r="AG13" s="167">
        <v>1115165200</v>
      </c>
      <c r="AH13" s="167">
        <v>773382200</v>
      </c>
      <c r="AI13" s="170">
        <v>686708200</v>
      </c>
      <c r="AJ13" s="109">
        <v>4426616200</v>
      </c>
      <c r="AK13" s="167">
        <v>686565800</v>
      </c>
      <c r="AL13" s="167">
        <v>716344600</v>
      </c>
      <c r="AM13" s="167">
        <v>463840500</v>
      </c>
      <c r="AN13" s="170">
        <v>469750200</v>
      </c>
      <c r="AO13" s="109">
        <v>2336501100</v>
      </c>
      <c r="AP13" s="167">
        <v>359279100</v>
      </c>
      <c r="AQ13" s="167">
        <v>593131500</v>
      </c>
      <c r="AR13" s="167">
        <v>467221100</v>
      </c>
      <c r="AS13" s="170">
        <v>717548400</v>
      </c>
      <c r="AT13" s="109">
        <v>2137180100</v>
      </c>
      <c r="AU13" s="167">
        <v>544972300</v>
      </c>
      <c r="AV13" s="167">
        <v>672514800</v>
      </c>
      <c r="AW13" s="167">
        <v>643970900</v>
      </c>
      <c r="AX13" s="170">
        <v>747703100</v>
      </c>
      <c r="AY13" s="109">
        <v>2609161100</v>
      </c>
      <c r="AZ13" s="167">
        <v>631185200</v>
      </c>
      <c r="BA13" s="167">
        <v>621017500</v>
      </c>
      <c r="BB13" s="167">
        <v>830079400</v>
      </c>
      <c r="BC13" s="170">
        <v>582322200</v>
      </c>
      <c r="BD13" s="109">
        <v>2664604300</v>
      </c>
      <c r="BE13" s="167">
        <v>515655800</v>
      </c>
      <c r="BF13" s="167">
        <v>529484500</v>
      </c>
      <c r="BG13" s="167">
        <v>624310900</v>
      </c>
      <c r="BH13" s="170">
        <v>808842100</v>
      </c>
      <c r="BI13" s="109">
        <v>2478293300</v>
      </c>
      <c r="BJ13" s="167">
        <v>665392700</v>
      </c>
      <c r="BK13" s="167">
        <v>875841700</v>
      </c>
      <c r="BL13" s="167">
        <v>542154000</v>
      </c>
      <c r="BM13" s="170">
        <v>883412400</v>
      </c>
      <c r="BN13" s="109">
        <v>2966800800</v>
      </c>
      <c r="BO13" s="167">
        <v>661911400</v>
      </c>
      <c r="BP13" s="167">
        <v>647554400</v>
      </c>
      <c r="BQ13" s="167">
        <v>586224500</v>
      </c>
      <c r="BR13" s="170">
        <v>534339500</v>
      </c>
      <c r="BS13" s="109">
        <v>2430029800</v>
      </c>
      <c r="BT13" s="167">
        <v>270627100</v>
      </c>
      <c r="BU13" s="167">
        <v>268918700</v>
      </c>
      <c r="BV13" s="167">
        <v>277350200</v>
      </c>
      <c r="BW13" s="170">
        <v>520772900</v>
      </c>
      <c r="BX13" s="109">
        <v>1337668900</v>
      </c>
      <c r="BY13" s="167">
        <v>393098700</v>
      </c>
      <c r="BZ13" s="167">
        <v>373407100</v>
      </c>
      <c r="CA13" s="167">
        <v>537957700</v>
      </c>
      <c r="CB13" s="170">
        <v>435215600</v>
      </c>
      <c r="CC13" s="109">
        <v>1739679100</v>
      </c>
      <c r="CD13" s="167">
        <v>606169800</v>
      </c>
      <c r="CE13" s="167">
        <v>599656000</v>
      </c>
      <c r="CF13" s="167">
        <v>982084100</v>
      </c>
      <c r="CG13" s="170">
        <v>708680400</v>
      </c>
      <c r="CH13" s="109">
        <v>2896590300</v>
      </c>
      <c r="CI13" s="51">
        <v>487580700</v>
      </c>
      <c r="CJ13" s="170">
        <v>510584200</v>
      </c>
      <c r="CK13" s="109">
        <v>998164900</v>
      </c>
    </row>
    <row r="14" spans="1:89" s="6" customFormat="1">
      <c r="A14" s="23" t="s">
        <v>34</v>
      </c>
      <c r="B14" s="167">
        <v>249558700</v>
      </c>
      <c r="C14" s="167">
        <v>777106300</v>
      </c>
      <c r="D14" s="167">
        <v>411038800</v>
      </c>
      <c r="E14" s="170">
        <v>201358800</v>
      </c>
      <c r="F14" s="109">
        <v>1639062600</v>
      </c>
      <c r="G14" s="167">
        <v>478832000</v>
      </c>
      <c r="H14" s="167">
        <v>438184700</v>
      </c>
      <c r="I14" s="167">
        <v>335079600</v>
      </c>
      <c r="J14" s="170">
        <v>494402000</v>
      </c>
      <c r="K14" s="109">
        <v>1746498300</v>
      </c>
      <c r="L14" s="167">
        <v>306448000</v>
      </c>
      <c r="M14" s="167">
        <v>613041800</v>
      </c>
      <c r="N14" s="167">
        <v>482225900</v>
      </c>
      <c r="O14" s="170">
        <v>490360000</v>
      </c>
      <c r="P14" s="109">
        <v>1892075700</v>
      </c>
      <c r="Q14" s="167">
        <v>488719000</v>
      </c>
      <c r="R14" s="167">
        <v>1018598900</v>
      </c>
      <c r="S14" s="167">
        <v>740785400</v>
      </c>
      <c r="T14" s="170">
        <v>587745000</v>
      </c>
      <c r="U14" s="109">
        <v>2835848300</v>
      </c>
      <c r="V14" s="167">
        <v>855782000</v>
      </c>
      <c r="W14" s="167">
        <v>1060331200</v>
      </c>
      <c r="X14" s="167">
        <v>1501973800</v>
      </c>
      <c r="Y14" s="170">
        <v>2546329900</v>
      </c>
      <c r="Z14" s="109">
        <v>5964416900</v>
      </c>
      <c r="AA14" s="167">
        <v>2942782800</v>
      </c>
      <c r="AB14" s="167">
        <v>2652154300</v>
      </c>
      <c r="AC14" s="167">
        <v>1786792100</v>
      </c>
      <c r="AD14" s="170">
        <v>1414957100</v>
      </c>
      <c r="AE14" s="109">
        <v>8796686300</v>
      </c>
      <c r="AF14" s="167">
        <v>626396300</v>
      </c>
      <c r="AG14" s="167">
        <v>595740700</v>
      </c>
      <c r="AH14" s="167">
        <v>344416900</v>
      </c>
      <c r="AI14" s="170">
        <v>363860900</v>
      </c>
      <c r="AJ14" s="109">
        <v>1930414800</v>
      </c>
      <c r="AK14" s="167">
        <v>413531100</v>
      </c>
      <c r="AL14" s="167">
        <v>308431300</v>
      </c>
      <c r="AM14" s="167">
        <v>404842900</v>
      </c>
      <c r="AN14" s="170">
        <v>212315000</v>
      </c>
      <c r="AO14" s="109">
        <v>1339120300</v>
      </c>
      <c r="AP14" s="167">
        <v>286839600</v>
      </c>
      <c r="AQ14" s="167">
        <v>225849200</v>
      </c>
      <c r="AR14" s="167">
        <v>222378000</v>
      </c>
      <c r="AS14" s="170">
        <v>211787900</v>
      </c>
      <c r="AT14" s="109">
        <v>946854700</v>
      </c>
      <c r="AU14" s="167">
        <v>295110400</v>
      </c>
      <c r="AV14" s="167">
        <v>390921700</v>
      </c>
      <c r="AW14" s="167">
        <v>358355900</v>
      </c>
      <c r="AX14" s="170">
        <v>249940100</v>
      </c>
      <c r="AY14" s="109">
        <v>1294328100</v>
      </c>
      <c r="AZ14" s="167">
        <v>465542200</v>
      </c>
      <c r="BA14" s="167">
        <v>346349100</v>
      </c>
      <c r="BB14" s="167">
        <v>283162300</v>
      </c>
      <c r="BC14" s="170">
        <v>476366900</v>
      </c>
      <c r="BD14" s="109">
        <v>1571420500</v>
      </c>
      <c r="BE14" s="167">
        <v>541693700</v>
      </c>
      <c r="BF14" s="167">
        <v>601233200</v>
      </c>
      <c r="BG14" s="167">
        <v>435796500</v>
      </c>
      <c r="BH14" s="170">
        <v>361756800</v>
      </c>
      <c r="BI14" s="109">
        <v>1940480200</v>
      </c>
      <c r="BJ14" s="167">
        <v>523906100</v>
      </c>
      <c r="BK14" s="167">
        <v>538517800</v>
      </c>
      <c r="BL14" s="167">
        <v>796097900</v>
      </c>
      <c r="BM14" s="170">
        <v>626771500</v>
      </c>
      <c r="BN14" s="109">
        <v>2485293300</v>
      </c>
      <c r="BO14" s="167">
        <v>607039200</v>
      </c>
      <c r="BP14" s="167">
        <v>433162200</v>
      </c>
      <c r="BQ14" s="167">
        <v>457014900</v>
      </c>
      <c r="BR14" s="170">
        <v>262373100</v>
      </c>
      <c r="BS14" s="109">
        <v>1759589400</v>
      </c>
      <c r="BT14" s="167">
        <v>95274000</v>
      </c>
      <c r="BU14" s="167">
        <v>175410100</v>
      </c>
      <c r="BV14" s="167">
        <v>189020200</v>
      </c>
      <c r="BW14" s="170">
        <v>286130600</v>
      </c>
      <c r="BX14" s="109">
        <v>745834900</v>
      </c>
      <c r="BY14" s="167">
        <v>288897000</v>
      </c>
      <c r="BZ14" s="167">
        <v>274974200</v>
      </c>
      <c r="CA14" s="167">
        <v>246416600</v>
      </c>
      <c r="CB14" s="170">
        <v>237594200</v>
      </c>
      <c r="CC14" s="109">
        <v>1047882000</v>
      </c>
      <c r="CD14" s="167">
        <v>205457300</v>
      </c>
      <c r="CE14" s="167">
        <v>288092100</v>
      </c>
      <c r="CF14" s="167">
        <v>347890600</v>
      </c>
      <c r="CG14" s="170">
        <v>109403300</v>
      </c>
      <c r="CH14" s="109">
        <v>950843300</v>
      </c>
      <c r="CI14" s="51">
        <v>138820200</v>
      </c>
      <c r="CJ14" s="170">
        <v>206415900</v>
      </c>
      <c r="CK14" s="109">
        <v>345236100</v>
      </c>
    </row>
    <row r="15" spans="1:89" s="6" customFormat="1" ht="13.5" thickBot="1">
      <c r="A15" s="23" t="s">
        <v>35</v>
      </c>
      <c r="B15" s="168">
        <v>136256900</v>
      </c>
      <c r="C15" s="168">
        <v>242101000</v>
      </c>
      <c r="D15" s="168">
        <v>144088100</v>
      </c>
      <c r="E15" s="171">
        <v>162838100</v>
      </c>
      <c r="F15" s="110">
        <v>685284100</v>
      </c>
      <c r="G15" s="168">
        <v>86396900</v>
      </c>
      <c r="H15" s="168">
        <v>133503000</v>
      </c>
      <c r="I15" s="168">
        <v>104055900</v>
      </c>
      <c r="J15" s="171">
        <v>136702100</v>
      </c>
      <c r="K15" s="110">
        <v>460657900</v>
      </c>
      <c r="L15" s="168">
        <v>153333900</v>
      </c>
      <c r="M15" s="168">
        <v>79266100</v>
      </c>
      <c r="N15" s="168">
        <v>110746000</v>
      </c>
      <c r="O15" s="171">
        <v>143554900</v>
      </c>
      <c r="P15" s="110">
        <v>486900900</v>
      </c>
      <c r="Q15" s="168">
        <v>52299900</v>
      </c>
      <c r="R15" s="168">
        <v>308290400</v>
      </c>
      <c r="S15" s="168">
        <v>213519000</v>
      </c>
      <c r="T15" s="171">
        <v>59858800</v>
      </c>
      <c r="U15" s="110">
        <v>633968100</v>
      </c>
      <c r="V15" s="168">
        <v>64780000</v>
      </c>
      <c r="W15" s="168">
        <v>260430000</v>
      </c>
      <c r="X15" s="168">
        <v>536800000</v>
      </c>
      <c r="Y15" s="171">
        <v>191382100</v>
      </c>
      <c r="Z15" s="110">
        <v>1053392100</v>
      </c>
      <c r="AA15" s="168">
        <v>228931900</v>
      </c>
      <c r="AB15" s="168">
        <v>288073000</v>
      </c>
      <c r="AC15" s="168">
        <v>191328000</v>
      </c>
      <c r="AD15" s="171">
        <v>212352000</v>
      </c>
      <c r="AE15" s="110">
        <v>920684900</v>
      </c>
      <c r="AF15" s="168">
        <v>129798900</v>
      </c>
      <c r="AG15" s="168">
        <v>94602200</v>
      </c>
      <c r="AH15" s="168">
        <v>38899000</v>
      </c>
      <c r="AI15" s="171">
        <v>125062900</v>
      </c>
      <c r="AJ15" s="110">
        <v>388363000</v>
      </c>
      <c r="AK15" s="168">
        <v>119322000</v>
      </c>
      <c r="AL15" s="168">
        <v>131127900</v>
      </c>
      <c r="AM15" s="168">
        <v>50516900</v>
      </c>
      <c r="AN15" s="171">
        <v>83420000</v>
      </c>
      <c r="AO15" s="110">
        <v>384386800</v>
      </c>
      <c r="AP15" s="168">
        <v>40435000</v>
      </c>
      <c r="AQ15" s="168">
        <v>74109000</v>
      </c>
      <c r="AR15" s="168">
        <v>65490000</v>
      </c>
      <c r="AS15" s="171">
        <v>132954900</v>
      </c>
      <c r="AT15" s="110">
        <v>312988900</v>
      </c>
      <c r="AU15" s="168">
        <v>164897100</v>
      </c>
      <c r="AV15" s="168">
        <v>173600100</v>
      </c>
      <c r="AW15" s="168">
        <v>160253000</v>
      </c>
      <c r="AX15" s="171">
        <v>184098400</v>
      </c>
      <c r="AY15" s="110">
        <v>682848600</v>
      </c>
      <c r="AZ15" s="168">
        <v>259810000</v>
      </c>
      <c r="BA15" s="168">
        <v>178596200</v>
      </c>
      <c r="BB15" s="168">
        <v>255631000</v>
      </c>
      <c r="BC15" s="171">
        <v>223137800</v>
      </c>
      <c r="BD15" s="110">
        <v>917175000</v>
      </c>
      <c r="BE15" s="168">
        <v>193705300</v>
      </c>
      <c r="BF15" s="168">
        <v>156605100</v>
      </c>
      <c r="BG15" s="168">
        <v>296563000</v>
      </c>
      <c r="BH15" s="171">
        <v>184614000</v>
      </c>
      <c r="BI15" s="110">
        <v>831487400</v>
      </c>
      <c r="BJ15" s="168">
        <v>222400200</v>
      </c>
      <c r="BK15" s="168">
        <v>150945000</v>
      </c>
      <c r="BL15" s="168">
        <v>257716000</v>
      </c>
      <c r="BM15" s="171">
        <v>275568000</v>
      </c>
      <c r="BN15" s="110">
        <v>906629200</v>
      </c>
      <c r="BO15" s="168">
        <v>299215800</v>
      </c>
      <c r="BP15" s="168">
        <v>297136900</v>
      </c>
      <c r="BQ15" s="168">
        <v>277881000</v>
      </c>
      <c r="BR15" s="171">
        <v>205008300</v>
      </c>
      <c r="BS15" s="110">
        <v>1079242000</v>
      </c>
      <c r="BT15" s="168">
        <v>132513000</v>
      </c>
      <c r="BU15" s="168">
        <v>50610000</v>
      </c>
      <c r="BV15" s="168">
        <v>158135000</v>
      </c>
      <c r="BW15" s="171">
        <v>127176000</v>
      </c>
      <c r="BX15" s="110">
        <v>468434000</v>
      </c>
      <c r="BY15" s="168">
        <v>173939000</v>
      </c>
      <c r="BZ15" s="168">
        <v>167161000</v>
      </c>
      <c r="CA15" s="168">
        <v>301607000</v>
      </c>
      <c r="CB15" s="171">
        <v>53590000</v>
      </c>
      <c r="CC15" s="110">
        <v>696297000</v>
      </c>
      <c r="CD15" s="168">
        <v>296408000</v>
      </c>
      <c r="CE15" s="168">
        <v>298420000</v>
      </c>
      <c r="CF15" s="168">
        <v>165698200</v>
      </c>
      <c r="CG15" s="171">
        <v>143107000</v>
      </c>
      <c r="CH15" s="110">
        <v>903633200</v>
      </c>
      <c r="CI15" s="52">
        <v>146709000</v>
      </c>
      <c r="CJ15" s="171">
        <v>191062800</v>
      </c>
      <c r="CK15" s="110">
        <v>337771800</v>
      </c>
    </row>
    <row r="16" spans="1:89" s="6" customFormat="1" ht="14.25" thickTop="1" thickBot="1">
      <c r="A16" s="36" t="s">
        <v>4</v>
      </c>
      <c r="B16" s="169">
        <v>798927700</v>
      </c>
      <c r="C16" s="169">
        <v>1469069100</v>
      </c>
      <c r="D16" s="169">
        <v>882509800</v>
      </c>
      <c r="E16" s="172">
        <v>810782300</v>
      </c>
      <c r="F16" s="111">
        <v>3961288900</v>
      </c>
      <c r="G16" s="169">
        <v>1037720900</v>
      </c>
      <c r="H16" s="169">
        <v>1163542800</v>
      </c>
      <c r="I16" s="169">
        <v>822391700</v>
      </c>
      <c r="J16" s="172">
        <v>1176545100</v>
      </c>
      <c r="K16" s="111">
        <v>4200200500</v>
      </c>
      <c r="L16" s="169">
        <v>1079230600</v>
      </c>
      <c r="M16" s="169">
        <v>1275384900</v>
      </c>
      <c r="N16" s="169">
        <v>1120595700</v>
      </c>
      <c r="O16" s="172">
        <v>1400446500</v>
      </c>
      <c r="P16" s="111">
        <v>4875657700</v>
      </c>
      <c r="Q16" s="169">
        <v>1470400600</v>
      </c>
      <c r="R16" s="169">
        <v>1956864500</v>
      </c>
      <c r="S16" s="169">
        <v>1688116100</v>
      </c>
      <c r="T16" s="172">
        <v>2031696500</v>
      </c>
      <c r="U16" s="111">
        <v>7147077700</v>
      </c>
      <c r="V16" s="169">
        <v>1974990000</v>
      </c>
      <c r="W16" s="169">
        <v>3061081200</v>
      </c>
      <c r="X16" s="169">
        <v>4085417100</v>
      </c>
      <c r="Y16" s="172">
        <v>6988633000</v>
      </c>
      <c r="Z16" s="111">
        <v>16110121300</v>
      </c>
      <c r="AA16" s="169">
        <v>8696348300</v>
      </c>
      <c r="AB16" s="169">
        <v>8444780400</v>
      </c>
      <c r="AC16" s="169">
        <v>6179109500</v>
      </c>
      <c r="AD16" s="172">
        <v>5402980100</v>
      </c>
      <c r="AE16" s="111">
        <v>28723218300</v>
      </c>
      <c r="AF16" s="169">
        <v>2811931800</v>
      </c>
      <c r="AG16" s="169">
        <v>2007158100</v>
      </c>
      <c r="AH16" s="169">
        <v>1275218800</v>
      </c>
      <c r="AI16" s="172">
        <v>1283146800</v>
      </c>
      <c r="AJ16" s="111">
        <v>7377455500</v>
      </c>
      <c r="AK16" s="169">
        <v>1281737900</v>
      </c>
      <c r="AL16" s="169">
        <v>1233759100</v>
      </c>
      <c r="AM16" s="169">
        <v>987035300</v>
      </c>
      <c r="AN16" s="172">
        <v>824558400</v>
      </c>
      <c r="AO16" s="111">
        <v>4327090700</v>
      </c>
      <c r="AP16" s="169">
        <v>763826700</v>
      </c>
      <c r="AQ16" s="169">
        <v>970880700</v>
      </c>
      <c r="AR16" s="169">
        <v>846382300</v>
      </c>
      <c r="AS16" s="172">
        <v>1121506500</v>
      </c>
      <c r="AT16" s="111">
        <v>3702596200</v>
      </c>
      <c r="AU16" s="169">
        <v>1086100900</v>
      </c>
      <c r="AV16" s="169">
        <v>1322804700</v>
      </c>
      <c r="AW16" s="169">
        <v>1308714100</v>
      </c>
      <c r="AX16" s="172">
        <v>1697125700</v>
      </c>
      <c r="AY16" s="111">
        <v>5414745400</v>
      </c>
      <c r="AZ16" s="169">
        <v>1497623300</v>
      </c>
      <c r="BA16" s="169">
        <v>1571319500</v>
      </c>
      <c r="BB16" s="169">
        <v>1506067400</v>
      </c>
      <c r="BC16" s="172">
        <v>1389699900</v>
      </c>
      <c r="BD16" s="111">
        <v>5964710100</v>
      </c>
      <c r="BE16" s="169">
        <v>1462605800</v>
      </c>
      <c r="BF16" s="169">
        <v>1610503700</v>
      </c>
      <c r="BG16" s="169">
        <v>1676875800</v>
      </c>
      <c r="BH16" s="172">
        <v>1575149800</v>
      </c>
      <c r="BI16" s="111">
        <v>6325135100</v>
      </c>
      <c r="BJ16" s="169">
        <v>1622682900</v>
      </c>
      <c r="BK16" s="169">
        <v>1943100500</v>
      </c>
      <c r="BL16" s="169">
        <v>1972498300</v>
      </c>
      <c r="BM16" s="172">
        <v>2235710300</v>
      </c>
      <c r="BN16" s="111">
        <v>7773992000</v>
      </c>
      <c r="BO16" s="169">
        <v>1890345600</v>
      </c>
      <c r="BP16" s="169">
        <v>1797256100</v>
      </c>
      <c r="BQ16" s="169">
        <v>1680660100</v>
      </c>
      <c r="BR16" s="172">
        <v>1277101900</v>
      </c>
      <c r="BS16" s="111">
        <v>6645363700</v>
      </c>
      <c r="BT16" s="169">
        <v>653791800</v>
      </c>
      <c r="BU16" s="169">
        <v>929693300</v>
      </c>
      <c r="BV16" s="169">
        <v>800808300</v>
      </c>
      <c r="BW16" s="172">
        <v>1130140800</v>
      </c>
      <c r="BX16" s="111">
        <v>3514434200</v>
      </c>
      <c r="BY16" s="169">
        <v>1062851600</v>
      </c>
      <c r="BZ16" s="169">
        <v>1143389700</v>
      </c>
      <c r="CA16" s="169">
        <v>1292565300</v>
      </c>
      <c r="CB16" s="172">
        <v>902260700</v>
      </c>
      <c r="CC16" s="111">
        <v>4401067300</v>
      </c>
      <c r="CD16" s="169">
        <v>1276325400</v>
      </c>
      <c r="CE16" s="169">
        <v>1540398900</v>
      </c>
      <c r="CF16" s="169">
        <v>1670172700</v>
      </c>
      <c r="CG16" s="172">
        <v>1065409000</v>
      </c>
      <c r="CH16" s="111">
        <v>5552306000</v>
      </c>
      <c r="CI16" s="117">
        <v>848673300</v>
      </c>
      <c r="CJ16" s="172">
        <v>1054169600</v>
      </c>
      <c r="CK16" s="111">
        <v>1902842900</v>
      </c>
    </row>
    <row r="17" spans="1:89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</row>
    <row r="18" spans="1:89" ht="15.75">
      <c r="A18" s="3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89" s="18" customFormat="1" ht="13.5" thickBot="1">
      <c r="A19" s="148" t="s">
        <v>36</v>
      </c>
      <c r="B19" s="145">
        <v>1995</v>
      </c>
      <c r="C19" s="142"/>
      <c r="D19" s="142"/>
      <c r="E19" s="142"/>
      <c r="F19" s="147"/>
      <c r="G19" s="145">
        <v>1996</v>
      </c>
      <c r="H19" s="142"/>
      <c r="I19" s="142"/>
      <c r="J19" s="142"/>
      <c r="K19" s="147" t="s">
        <v>9</v>
      </c>
      <c r="L19" s="145">
        <v>1997</v>
      </c>
      <c r="M19" s="142"/>
      <c r="N19" s="142"/>
      <c r="O19" s="142"/>
      <c r="P19" s="147" t="s">
        <v>10</v>
      </c>
      <c r="Q19" s="145">
        <v>1998</v>
      </c>
      <c r="R19" s="142"/>
      <c r="S19" s="142"/>
      <c r="T19" s="142"/>
      <c r="U19" s="147" t="s">
        <v>11</v>
      </c>
      <c r="V19" s="145">
        <v>1999</v>
      </c>
      <c r="W19" s="142"/>
      <c r="X19" s="142"/>
      <c r="Y19" s="142"/>
      <c r="Z19" s="147" t="s">
        <v>12</v>
      </c>
      <c r="AA19" s="145">
        <v>2000</v>
      </c>
      <c r="AB19" s="142"/>
      <c r="AC19" s="142"/>
      <c r="AD19" s="142"/>
      <c r="AE19" s="147" t="s">
        <v>13</v>
      </c>
      <c r="AF19" s="145">
        <v>2001</v>
      </c>
      <c r="AG19" s="142"/>
      <c r="AH19" s="142"/>
      <c r="AI19" s="142"/>
      <c r="AJ19" s="151" t="s">
        <v>14</v>
      </c>
      <c r="AK19" s="145">
        <v>2002</v>
      </c>
      <c r="AL19" s="142"/>
      <c r="AM19" s="158"/>
      <c r="AN19" s="158"/>
      <c r="AO19" s="152"/>
      <c r="AP19" s="145">
        <v>2003</v>
      </c>
      <c r="AQ19" s="142"/>
      <c r="AR19" s="158"/>
      <c r="AS19" s="158"/>
      <c r="AT19" s="152"/>
      <c r="AU19" s="145">
        <v>2004</v>
      </c>
      <c r="AV19" s="142"/>
      <c r="AW19" s="142"/>
      <c r="AX19" s="158"/>
      <c r="AY19" s="153"/>
      <c r="AZ19" s="145">
        <v>2005</v>
      </c>
      <c r="BA19" s="142"/>
      <c r="BB19" s="142"/>
      <c r="BC19" s="158"/>
      <c r="BD19" s="152"/>
      <c r="BE19" s="145">
        <v>2006</v>
      </c>
      <c r="BF19" s="142"/>
      <c r="BG19" s="142"/>
      <c r="BH19" s="146"/>
      <c r="BI19" s="76"/>
      <c r="BJ19" s="150">
        <v>2007</v>
      </c>
      <c r="BK19" s="151"/>
      <c r="BL19" s="151"/>
      <c r="BM19" s="151"/>
      <c r="BN19" s="147"/>
      <c r="BO19" s="145">
        <v>2008</v>
      </c>
      <c r="BP19" s="142"/>
      <c r="BQ19" s="142"/>
      <c r="BR19" s="142"/>
      <c r="BS19" s="147"/>
      <c r="BT19" s="145">
        <v>2009</v>
      </c>
      <c r="BU19" s="142"/>
      <c r="BV19" s="142"/>
      <c r="BW19" s="142"/>
      <c r="BX19" s="147"/>
      <c r="BY19" s="150">
        <v>2010</v>
      </c>
      <c r="BZ19" s="151"/>
      <c r="CA19" s="151"/>
      <c r="CB19" s="151"/>
      <c r="CC19" s="147"/>
      <c r="CD19" s="145">
        <v>2011</v>
      </c>
      <c r="CE19" s="156"/>
      <c r="CF19" s="156"/>
      <c r="CG19" s="156"/>
      <c r="CH19" s="162"/>
      <c r="CI19" s="145">
        <v>2012</v>
      </c>
      <c r="CJ19" s="142"/>
      <c r="CK19" s="147"/>
    </row>
    <row r="20" spans="1:89" s="19" customFormat="1">
      <c r="A20" s="149"/>
      <c r="B20" s="71" t="s">
        <v>0</v>
      </c>
      <c r="C20" s="71" t="s">
        <v>1</v>
      </c>
      <c r="D20" s="71" t="s">
        <v>2</v>
      </c>
      <c r="E20" s="63" t="s">
        <v>3</v>
      </c>
      <c r="F20" s="72" t="s">
        <v>8</v>
      </c>
      <c r="G20" s="66" t="s">
        <v>0</v>
      </c>
      <c r="H20" s="71" t="s">
        <v>1</v>
      </c>
      <c r="I20" s="71" t="s">
        <v>2</v>
      </c>
      <c r="J20" s="63" t="s">
        <v>3</v>
      </c>
      <c r="K20" s="72" t="s">
        <v>9</v>
      </c>
      <c r="L20" s="66" t="s">
        <v>0</v>
      </c>
      <c r="M20" s="71" t="s">
        <v>1</v>
      </c>
      <c r="N20" s="71" t="s">
        <v>2</v>
      </c>
      <c r="O20" s="63" t="s">
        <v>3</v>
      </c>
      <c r="P20" s="72" t="s">
        <v>10</v>
      </c>
      <c r="Q20" s="66" t="s">
        <v>0</v>
      </c>
      <c r="R20" s="71" t="s">
        <v>1</v>
      </c>
      <c r="S20" s="71" t="s">
        <v>2</v>
      </c>
      <c r="T20" s="63" t="s">
        <v>3</v>
      </c>
      <c r="U20" s="72" t="s">
        <v>11</v>
      </c>
      <c r="V20" s="64" t="s">
        <v>0</v>
      </c>
      <c r="W20" s="71" t="s">
        <v>1</v>
      </c>
      <c r="X20" s="71" t="s">
        <v>2</v>
      </c>
      <c r="Y20" s="64" t="s">
        <v>3</v>
      </c>
      <c r="Z20" s="72" t="s">
        <v>12</v>
      </c>
      <c r="AA20" s="64" t="s">
        <v>0</v>
      </c>
      <c r="AB20" s="71" t="s">
        <v>1</v>
      </c>
      <c r="AC20" s="71" t="s">
        <v>2</v>
      </c>
      <c r="AD20" s="64" t="s">
        <v>3</v>
      </c>
      <c r="AE20" s="72" t="s">
        <v>13</v>
      </c>
      <c r="AF20" s="66" t="s">
        <v>0</v>
      </c>
      <c r="AG20" s="71" t="s">
        <v>1</v>
      </c>
      <c r="AH20" s="71" t="s">
        <v>2</v>
      </c>
      <c r="AI20" s="63" t="s">
        <v>3</v>
      </c>
      <c r="AJ20" s="72" t="s">
        <v>14</v>
      </c>
      <c r="AK20" s="66" t="s">
        <v>0</v>
      </c>
      <c r="AL20" s="71" t="s">
        <v>1</v>
      </c>
      <c r="AM20" s="71" t="s">
        <v>2</v>
      </c>
      <c r="AN20" s="63" t="s">
        <v>3</v>
      </c>
      <c r="AO20" s="70" t="s">
        <v>37</v>
      </c>
      <c r="AP20" s="67" t="s">
        <v>0</v>
      </c>
      <c r="AQ20" s="75" t="s">
        <v>1</v>
      </c>
      <c r="AR20" s="69" t="s">
        <v>2</v>
      </c>
      <c r="AS20" s="63" t="s">
        <v>3</v>
      </c>
      <c r="AT20" s="72" t="s">
        <v>39</v>
      </c>
      <c r="AU20" s="66" t="s">
        <v>0</v>
      </c>
      <c r="AV20" s="71" t="s">
        <v>1</v>
      </c>
      <c r="AW20" s="71" t="s">
        <v>2</v>
      </c>
      <c r="AX20" s="63" t="s">
        <v>3</v>
      </c>
      <c r="AY20" s="72" t="s">
        <v>40</v>
      </c>
      <c r="AZ20" s="66" t="s">
        <v>0</v>
      </c>
      <c r="BA20" s="71" t="s">
        <v>1</v>
      </c>
      <c r="BB20" s="71" t="s">
        <v>2</v>
      </c>
      <c r="BC20" s="63" t="s">
        <v>3</v>
      </c>
      <c r="BD20" s="72" t="s">
        <v>41</v>
      </c>
      <c r="BE20" s="66" t="s">
        <v>0</v>
      </c>
      <c r="BF20" s="71" t="s">
        <v>1</v>
      </c>
      <c r="BG20" s="71" t="s">
        <v>2</v>
      </c>
      <c r="BH20" s="63" t="s">
        <v>3</v>
      </c>
      <c r="BI20" s="72" t="s">
        <v>47</v>
      </c>
      <c r="BJ20" s="66" t="s">
        <v>0</v>
      </c>
      <c r="BK20" s="71" t="s">
        <v>1</v>
      </c>
      <c r="BL20" s="71" t="s">
        <v>2</v>
      </c>
      <c r="BM20" s="63" t="s">
        <v>3</v>
      </c>
      <c r="BN20" s="72" t="s">
        <v>49</v>
      </c>
      <c r="BO20" s="69" t="s">
        <v>0</v>
      </c>
      <c r="BP20" s="67" t="s">
        <v>1</v>
      </c>
      <c r="BQ20" s="75" t="s">
        <v>2</v>
      </c>
      <c r="BR20" s="74" t="s">
        <v>3</v>
      </c>
      <c r="BS20" s="106" t="s">
        <v>51</v>
      </c>
      <c r="BT20" s="69" t="s">
        <v>0</v>
      </c>
      <c r="BU20" s="69" t="s">
        <v>1</v>
      </c>
      <c r="BV20" s="71" t="s">
        <v>2</v>
      </c>
      <c r="BW20" s="67" t="s">
        <v>3</v>
      </c>
      <c r="BX20" s="106" t="s">
        <v>60</v>
      </c>
      <c r="BY20" s="89" t="s">
        <v>0</v>
      </c>
      <c r="BZ20" s="63" t="s">
        <v>1</v>
      </c>
      <c r="CA20" s="77" t="s">
        <v>2</v>
      </c>
      <c r="CB20" s="77" t="s">
        <v>3</v>
      </c>
      <c r="CC20" s="106" t="s">
        <v>61</v>
      </c>
      <c r="CD20" s="69" t="s">
        <v>0</v>
      </c>
      <c r="CE20" s="75" t="s">
        <v>1</v>
      </c>
      <c r="CF20" s="91" t="s">
        <v>2</v>
      </c>
      <c r="CG20" s="91" t="s">
        <v>3</v>
      </c>
      <c r="CH20" s="106" t="s">
        <v>63</v>
      </c>
      <c r="CI20" s="69" t="s">
        <v>0</v>
      </c>
      <c r="CJ20" s="69" t="s">
        <v>1</v>
      </c>
      <c r="CK20" s="72" t="s">
        <v>64</v>
      </c>
    </row>
    <row r="21" spans="1:89" s="56" customFormat="1">
      <c r="A21" s="57" t="s">
        <v>62</v>
      </c>
      <c r="B21" s="173">
        <v>78</v>
      </c>
      <c r="C21" s="173">
        <v>52</v>
      </c>
      <c r="D21" s="173">
        <v>64</v>
      </c>
      <c r="E21" s="176">
        <v>62</v>
      </c>
      <c r="F21" s="112">
        <v>256</v>
      </c>
      <c r="G21" s="173">
        <v>61</v>
      </c>
      <c r="H21" s="173">
        <v>90</v>
      </c>
      <c r="I21" s="173">
        <v>66</v>
      </c>
      <c r="J21" s="176">
        <v>92</v>
      </c>
      <c r="K21" s="112">
        <v>309</v>
      </c>
      <c r="L21" s="173">
        <v>110</v>
      </c>
      <c r="M21" s="173">
        <v>71</v>
      </c>
      <c r="N21" s="173">
        <v>71</v>
      </c>
      <c r="O21" s="176">
        <v>95</v>
      </c>
      <c r="P21" s="112">
        <v>347</v>
      </c>
      <c r="Q21" s="173">
        <v>105</v>
      </c>
      <c r="R21" s="173">
        <v>113</v>
      </c>
      <c r="S21" s="173">
        <v>112</v>
      </c>
      <c r="T21" s="176">
        <v>130</v>
      </c>
      <c r="U21" s="112">
        <v>460</v>
      </c>
      <c r="V21" s="173">
        <v>129</v>
      </c>
      <c r="W21" s="173">
        <v>170</v>
      </c>
      <c r="X21" s="173">
        <v>202</v>
      </c>
      <c r="Y21" s="176">
        <v>159</v>
      </c>
      <c r="Z21" s="112">
        <v>660</v>
      </c>
      <c r="AA21" s="173">
        <v>167</v>
      </c>
      <c r="AB21" s="173">
        <v>161</v>
      </c>
      <c r="AC21" s="173">
        <v>137</v>
      </c>
      <c r="AD21" s="176">
        <v>118</v>
      </c>
      <c r="AE21" s="112">
        <v>583</v>
      </c>
      <c r="AF21" s="173">
        <v>61</v>
      </c>
      <c r="AG21" s="173">
        <v>61</v>
      </c>
      <c r="AH21" s="173">
        <v>55</v>
      </c>
      <c r="AI21" s="176">
        <v>43</v>
      </c>
      <c r="AJ21" s="112">
        <v>220</v>
      </c>
      <c r="AK21" s="173">
        <v>33</v>
      </c>
      <c r="AL21" s="173">
        <v>39</v>
      </c>
      <c r="AM21" s="173">
        <v>29</v>
      </c>
      <c r="AN21" s="176">
        <v>30</v>
      </c>
      <c r="AO21" s="112">
        <v>131</v>
      </c>
      <c r="AP21" s="173">
        <v>43</v>
      </c>
      <c r="AQ21" s="173">
        <v>48</v>
      </c>
      <c r="AR21" s="173">
        <v>35</v>
      </c>
      <c r="AS21" s="176">
        <v>38</v>
      </c>
      <c r="AT21" s="112">
        <v>164</v>
      </c>
      <c r="AU21" s="173">
        <v>35</v>
      </c>
      <c r="AV21" s="173">
        <v>61</v>
      </c>
      <c r="AW21" s="173">
        <v>31</v>
      </c>
      <c r="AX21" s="176">
        <v>49</v>
      </c>
      <c r="AY21" s="112">
        <v>176</v>
      </c>
      <c r="AZ21" s="173">
        <v>44</v>
      </c>
      <c r="BA21" s="173">
        <v>51</v>
      </c>
      <c r="BB21" s="173">
        <v>54</v>
      </c>
      <c r="BC21" s="176">
        <v>61</v>
      </c>
      <c r="BD21" s="112">
        <v>210</v>
      </c>
      <c r="BE21" s="173">
        <v>67</v>
      </c>
      <c r="BF21" s="173">
        <v>78</v>
      </c>
      <c r="BG21" s="173">
        <v>104</v>
      </c>
      <c r="BH21" s="176">
        <v>72</v>
      </c>
      <c r="BI21" s="112">
        <v>321</v>
      </c>
      <c r="BJ21" s="173">
        <v>73</v>
      </c>
      <c r="BK21" s="173">
        <v>111</v>
      </c>
      <c r="BL21" s="173">
        <v>109</v>
      </c>
      <c r="BM21" s="176">
        <v>132</v>
      </c>
      <c r="BN21" s="112">
        <v>425</v>
      </c>
      <c r="BO21" s="173">
        <v>97</v>
      </c>
      <c r="BP21" s="173">
        <v>103</v>
      </c>
      <c r="BQ21" s="173">
        <v>101</v>
      </c>
      <c r="BR21" s="176">
        <v>82</v>
      </c>
      <c r="BS21" s="112">
        <v>383</v>
      </c>
      <c r="BT21" s="173">
        <v>46</v>
      </c>
      <c r="BU21" s="173">
        <v>61</v>
      </c>
      <c r="BV21" s="173">
        <v>45</v>
      </c>
      <c r="BW21" s="176">
        <v>72</v>
      </c>
      <c r="BX21" s="112">
        <v>224</v>
      </c>
      <c r="BY21" s="173">
        <v>53</v>
      </c>
      <c r="BZ21" s="173">
        <v>78</v>
      </c>
      <c r="CA21" s="173">
        <v>66</v>
      </c>
      <c r="CB21" s="176">
        <v>81</v>
      </c>
      <c r="CC21" s="112">
        <v>278</v>
      </c>
      <c r="CD21" s="173">
        <v>67</v>
      </c>
      <c r="CE21" s="173">
        <v>111</v>
      </c>
      <c r="CF21" s="173">
        <v>86</v>
      </c>
      <c r="CG21" s="176">
        <v>77</v>
      </c>
      <c r="CH21" s="112">
        <v>341</v>
      </c>
      <c r="CI21" s="118">
        <v>38</v>
      </c>
      <c r="CJ21" s="176">
        <v>44</v>
      </c>
      <c r="CK21" s="112">
        <v>82</v>
      </c>
    </row>
    <row r="22" spans="1:89" s="56" customFormat="1">
      <c r="A22" s="57" t="s">
        <v>33</v>
      </c>
      <c r="B22" s="57">
        <v>82</v>
      </c>
      <c r="C22" s="57">
        <v>70</v>
      </c>
      <c r="D22" s="57">
        <v>58</v>
      </c>
      <c r="E22" s="177">
        <v>72</v>
      </c>
      <c r="F22" s="113">
        <v>282</v>
      </c>
      <c r="G22" s="57">
        <v>66</v>
      </c>
      <c r="H22" s="57">
        <v>120</v>
      </c>
      <c r="I22" s="57">
        <v>84</v>
      </c>
      <c r="J22" s="177">
        <v>129</v>
      </c>
      <c r="K22" s="113">
        <v>399</v>
      </c>
      <c r="L22" s="57">
        <v>108</v>
      </c>
      <c r="M22" s="57">
        <v>100</v>
      </c>
      <c r="N22" s="57">
        <v>120</v>
      </c>
      <c r="O22" s="177">
        <v>141</v>
      </c>
      <c r="P22" s="113">
        <v>469</v>
      </c>
      <c r="Q22" s="57">
        <v>136</v>
      </c>
      <c r="R22" s="57">
        <v>97</v>
      </c>
      <c r="S22" s="57">
        <v>108</v>
      </c>
      <c r="T22" s="177">
        <v>155</v>
      </c>
      <c r="U22" s="113">
        <v>496</v>
      </c>
      <c r="V22" s="57">
        <v>132</v>
      </c>
      <c r="W22" s="57">
        <v>244</v>
      </c>
      <c r="X22" s="57">
        <v>281</v>
      </c>
      <c r="Y22" s="177">
        <v>459</v>
      </c>
      <c r="Z22" s="113">
        <v>1116</v>
      </c>
      <c r="AA22" s="57">
        <v>520</v>
      </c>
      <c r="AB22" s="57">
        <v>547</v>
      </c>
      <c r="AC22" s="57">
        <v>466</v>
      </c>
      <c r="AD22" s="177">
        <v>387</v>
      </c>
      <c r="AE22" s="113">
        <v>1920</v>
      </c>
      <c r="AF22" s="57">
        <v>236</v>
      </c>
      <c r="AG22" s="57">
        <v>183</v>
      </c>
      <c r="AH22" s="57">
        <v>142</v>
      </c>
      <c r="AI22" s="177">
        <v>132</v>
      </c>
      <c r="AJ22" s="113">
        <v>693</v>
      </c>
      <c r="AK22" s="57">
        <v>130</v>
      </c>
      <c r="AL22" s="57">
        <v>136</v>
      </c>
      <c r="AM22" s="57">
        <v>95</v>
      </c>
      <c r="AN22" s="177">
        <v>105</v>
      </c>
      <c r="AO22" s="113">
        <v>466</v>
      </c>
      <c r="AP22" s="57">
        <v>87</v>
      </c>
      <c r="AQ22" s="57">
        <v>104</v>
      </c>
      <c r="AR22" s="57">
        <v>103</v>
      </c>
      <c r="AS22" s="177">
        <v>127</v>
      </c>
      <c r="AT22" s="113">
        <v>421</v>
      </c>
      <c r="AU22" s="57">
        <v>121</v>
      </c>
      <c r="AV22" s="57">
        <v>134</v>
      </c>
      <c r="AW22" s="57">
        <v>133</v>
      </c>
      <c r="AX22" s="177">
        <v>143</v>
      </c>
      <c r="AY22" s="113">
        <v>531</v>
      </c>
      <c r="AZ22" s="57">
        <v>133</v>
      </c>
      <c r="BA22" s="57">
        <v>130</v>
      </c>
      <c r="BB22" s="57">
        <v>139</v>
      </c>
      <c r="BC22" s="177">
        <v>139</v>
      </c>
      <c r="BD22" s="113">
        <v>541</v>
      </c>
      <c r="BE22" s="57">
        <v>117</v>
      </c>
      <c r="BF22" s="57">
        <v>149</v>
      </c>
      <c r="BG22" s="57">
        <v>135</v>
      </c>
      <c r="BH22" s="177">
        <v>169</v>
      </c>
      <c r="BI22" s="113">
        <v>570</v>
      </c>
      <c r="BJ22" s="57">
        <v>130</v>
      </c>
      <c r="BK22" s="57">
        <v>168</v>
      </c>
      <c r="BL22" s="57">
        <v>129</v>
      </c>
      <c r="BM22" s="177">
        <v>147</v>
      </c>
      <c r="BN22" s="113">
        <v>574</v>
      </c>
      <c r="BO22" s="57">
        <v>137</v>
      </c>
      <c r="BP22" s="57">
        <v>157</v>
      </c>
      <c r="BQ22" s="57">
        <v>131</v>
      </c>
      <c r="BR22" s="177">
        <v>123</v>
      </c>
      <c r="BS22" s="113">
        <v>548</v>
      </c>
      <c r="BT22" s="57">
        <v>77</v>
      </c>
      <c r="BU22" s="57">
        <v>85</v>
      </c>
      <c r="BV22" s="57">
        <v>85</v>
      </c>
      <c r="BW22" s="177">
        <v>137</v>
      </c>
      <c r="BX22" s="113">
        <v>384</v>
      </c>
      <c r="BY22" s="57">
        <v>119</v>
      </c>
      <c r="BZ22" s="57">
        <v>136</v>
      </c>
      <c r="CA22" s="57">
        <v>146</v>
      </c>
      <c r="CB22" s="177">
        <v>133</v>
      </c>
      <c r="CC22" s="113">
        <v>534</v>
      </c>
      <c r="CD22" s="57">
        <v>159</v>
      </c>
      <c r="CE22" s="57">
        <v>154</v>
      </c>
      <c r="CF22" s="57">
        <v>157</v>
      </c>
      <c r="CG22" s="177">
        <v>166</v>
      </c>
      <c r="CH22" s="113">
        <v>636</v>
      </c>
      <c r="CI22" s="119">
        <v>139</v>
      </c>
      <c r="CJ22" s="177">
        <v>177</v>
      </c>
      <c r="CK22" s="113">
        <v>316</v>
      </c>
    </row>
    <row r="23" spans="1:89" s="56" customFormat="1">
      <c r="A23" s="57" t="s">
        <v>34</v>
      </c>
      <c r="B23" s="57">
        <v>87</v>
      </c>
      <c r="C23" s="57">
        <v>73</v>
      </c>
      <c r="D23" s="57">
        <v>74</v>
      </c>
      <c r="E23" s="177">
        <v>60</v>
      </c>
      <c r="F23" s="113">
        <v>294</v>
      </c>
      <c r="G23" s="57">
        <v>88</v>
      </c>
      <c r="H23" s="57">
        <v>69</v>
      </c>
      <c r="I23" s="57">
        <v>89</v>
      </c>
      <c r="J23" s="177">
        <v>116</v>
      </c>
      <c r="K23" s="113">
        <v>362</v>
      </c>
      <c r="L23" s="57">
        <v>99</v>
      </c>
      <c r="M23" s="57">
        <v>111</v>
      </c>
      <c r="N23" s="57">
        <v>94</v>
      </c>
      <c r="O23" s="177">
        <v>117</v>
      </c>
      <c r="P23" s="113">
        <v>421</v>
      </c>
      <c r="Q23" s="57">
        <v>103</v>
      </c>
      <c r="R23" s="57">
        <v>106</v>
      </c>
      <c r="S23" s="57">
        <v>99</v>
      </c>
      <c r="T23" s="177">
        <v>107</v>
      </c>
      <c r="U23" s="113">
        <v>415</v>
      </c>
      <c r="V23" s="57">
        <v>105</v>
      </c>
      <c r="W23" s="57">
        <v>137</v>
      </c>
      <c r="X23" s="57">
        <v>145</v>
      </c>
      <c r="Y23" s="177">
        <v>243</v>
      </c>
      <c r="Z23" s="113">
        <v>630</v>
      </c>
      <c r="AA23" s="57">
        <v>253</v>
      </c>
      <c r="AB23" s="57">
        <v>225</v>
      </c>
      <c r="AC23" s="57">
        <v>173</v>
      </c>
      <c r="AD23" s="177">
        <v>151</v>
      </c>
      <c r="AE23" s="113">
        <v>802</v>
      </c>
      <c r="AF23" s="57">
        <v>85</v>
      </c>
      <c r="AG23" s="57">
        <v>77</v>
      </c>
      <c r="AH23" s="57">
        <v>70</v>
      </c>
      <c r="AI23" s="177">
        <v>51</v>
      </c>
      <c r="AJ23" s="113">
        <v>283</v>
      </c>
      <c r="AK23" s="57">
        <v>50</v>
      </c>
      <c r="AL23" s="57">
        <v>51</v>
      </c>
      <c r="AM23" s="57">
        <v>49</v>
      </c>
      <c r="AN23" s="177">
        <v>52</v>
      </c>
      <c r="AO23" s="113">
        <v>202</v>
      </c>
      <c r="AP23" s="57">
        <v>43</v>
      </c>
      <c r="AQ23" s="57">
        <v>23</v>
      </c>
      <c r="AR23" s="57">
        <v>34</v>
      </c>
      <c r="AS23" s="177">
        <v>39</v>
      </c>
      <c r="AT23" s="113">
        <v>139</v>
      </c>
      <c r="AU23" s="57">
        <v>30</v>
      </c>
      <c r="AV23" s="57">
        <v>42</v>
      </c>
      <c r="AW23" s="57">
        <v>53</v>
      </c>
      <c r="AX23" s="177">
        <v>57</v>
      </c>
      <c r="AY23" s="113">
        <v>182</v>
      </c>
      <c r="AZ23" s="57">
        <v>52</v>
      </c>
      <c r="BA23" s="57">
        <v>66</v>
      </c>
      <c r="BB23" s="57">
        <v>56</v>
      </c>
      <c r="BC23" s="177">
        <v>77</v>
      </c>
      <c r="BD23" s="113">
        <v>251</v>
      </c>
      <c r="BE23" s="57">
        <v>80</v>
      </c>
      <c r="BF23" s="57">
        <v>76</v>
      </c>
      <c r="BG23" s="57">
        <v>63</v>
      </c>
      <c r="BH23" s="177">
        <v>51</v>
      </c>
      <c r="BI23" s="113">
        <v>270</v>
      </c>
      <c r="BJ23" s="57">
        <v>56</v>
      </c>
      <c r="BK23" s="57">
        <v>80</v>
      </c>
      <c r="BL23" s="57">
        <v>66</v>
      </c>
      <c r="BM23" s="177">
        <v>97</v>
      </c>
      <c r="BN23" s="113">
        <v>299</v>
      </c>
      <c r="BO23" s="57">
        <v>81</v>
      </c>
      <c r="BP23" s="57">
        <v>58</v>
      </c>
      <c r="BQ23" s="57">
        <v>50</v>
      </c>
      <c r="BR23" s="177">
        <v>45</v>
      </c>
      <c r="BS23" s="113">
        <v>234</v>
      </c>
      <c r="BT23" s="57">
        <v>22</v>
      </c>
      <c r="BU23" s="57">
        <v>37</v>
      </c>
      <c r="BV23" s="57">
        <v>35</v>
      </c>
      <c r="BW23" s="177">
        <v>44</v>
      </c>
      <c r="BX23" s="113">
        <v>138</v>
      </c>
      <c r="BY23" s="57">
        <v>39</v>
      </c>
      <c r="BZ23" s="57">
        <v>50</v>
      </c>
      <c r="CA23" s="57">
        <v>40</v>
      </c>
      <c r="CB23" s="177">
        <v>45</v>
      </c>
      <c r="CC23" s="113">
        <v>174</v>
      </c>
      <c r="CD23" s="57">
        <v>33</v>
      </c>
      <c r="CE23" s="57">
        <v>48</v>
      </c>
      <c r="CF23" s="57">
        <v>52</v>
      </c>
      <c r="CG23" s="177">
        <v>34</v>
      </c>
      <c r="CH23" s="113">
        <v>167</v>
      </c>
      <c r="CI23" s="119">
        <v>30</v>
      </c>
      <c r="CJ23" s="177">
        <v>36</v>
      </c>
      <c r="CK23" s="113">
        <v>66</v>
      </c>
    </row>
    <row r="24" spans="1:89" s="56" customFormat="1" ht="13.5" thickBot="1">
      <c r="A24" s="57" t="s">
        <v>35</v>
      </c>
      <c r="B24" s="174">
        <v>13</v>
      </c>
      <c r="C24" s="174">
        <v>14</v>
      </c>
      <c r="D24" s="174">
        <v>19</v>
      </c>
      <c r="E24" s="114">
        <v>22</v>
      </c>
      <c r="F24" s="115">
        <v>68</v>
      </c>
      <c r="G24" s="174">
        <v>20</v>
      </c>
      <c r="H24" s="174">
        <v>19</v>
      </c>
      <c r="I24" s="174">
        <v>15</v>
      </c>
      <c r="J24" s="114">
        <v>20</v>
      </c>
      <c r="K24" s="115">
        <v>74</v>
      </c>
      <c r="L24" s="174">
        <v>22</v>
      </c>
      <c r="M24" s="174">
        <v>15</v>
      </c>
      <c r="N24" s="174">
        <v>13</v>
      </c>
      <c r="O24" s="114">
        <v>19</v>
      </c>
      <c r="P24" s="115">
        <v>69</v>
      </c>
      <c r="Q24" s="174">
        <v>8</v>
      </c>
      <c r="R24" s="174">
        <v>22</v>
      </c>
      <c r="S24" s="174">
        <v>21</v>
      </c>
      <c r="T24" s="114">
        <v>14</v>
      </c>
      <c r="U24" s="115">
        <v>65</v>
      </c>
      <c r="V24" s="174">
        <v>9</v>
      </c>
      <c r="W24" s="174">
        <v>20</v>
      </c>
      <c r="X24" s="174">
        <v>20</v>
      </c>
      <c r="Y24" s="114">
        <v>11</v>
      </c>
      <c r="Z24" s="115">
        <v>60</v>
      </c>
      <c r="AA24" s="174">
        <v>23</v>
      </c>
      <c r="AB24" s="174">
        <v>24</v>
      </c>
      <c r="AC24" s="174">
        <v>20</v>
      </c>
      <c r="AD24" s="114">
        <v>21</v>
      </c>
      <c r="AE24" s="115">
        <v>88</v>
      </c>
      <c r="AF24" s="174">
        <v>10</v>
      </c>
      <c r="AG24" s="174">
        <v>8</v>
      </c>
      <c r="AH24" s="174">
        <v>10</v>
      </c>
      <c r="AI24" s="114">
        <v>17</v>
      </c>
      <c r="AJ24" s="115">
        <v>45</v>
      </c>
      <c r="AK24" s="174">
        <v>13</v>
      </c>
      <c r="AL24" s="174">
        <v>18</v>
      </c>
      <c r="AM24" s="174">
        <v>11</v>
      </c>
      <c r="AN24" s="114">
        <v>11</v>
      </c>
      <c r="AO24" s="115">
        <v>53</v>
      </c>
      <c r="AP24" s="174">
        <v>6</v>
      </c>
      <c r="AQ24" s="174">
        <v>10</v>
      </c>
      <c r="AR24" s="174">
        <v>11</v>
      </c>
      <c r="AS24" s="114">
        <v>17</v>
      </c>
      <c r="AT24" s="115">
        <v>44</v>
      </c>
      <c r="AU24" s="174">
        <v>17</v>
      </c>
      <c r="AV24" s="174">
        <v>20</v>
      </c>
      <c r="AW24" s="174">
        <v>14</v>
      </c>
      <c r="AX24" s="114">
        <v>18</v>
      </c>
      <c r="AY24" s="115">
        <v>69</v>
      </c>
      <c r="AZ24" s="174">
        <v>18</v>
      </c>
      <c r="BA24" s="174">
        <v>18</v>
      </c>
      <c r="BB24" s="174">
        <v>14</v>
      </c>
      <c r="BC24" s="114">
        <v>25</v>
      </c>
      <c r="BD24" s="115">
        <v>75</v>
      </c>
      <c r="BE24" s="174">
        <v>20</v>
      </c>
      <c r="BF24" s="174">
        <v>36</v>
      </c>
      <c r="BG24" s="174">
        <v>32</v>
      </c>
      <c r="BH24" s="114">
        <v>26</v>
      </c>
      <c r="BI24" s="115">
        <v>114</v>
      </c>
      <c r="BJ24" s="174">
        <v>22</v>
      </c>
      <c r="BK24" s="174">
        <v>23</v>
      </c>
      <c r="BL24" s="174">
        <v>28</v>
      </c>
      <c r="BM24" s="114">
        <v>28</v>
      </c>
      <c r="BN24" s="115">
        <v>101</v>
      </c>
      <c r="BO24" s="174">
        <v>35</v>
      </c>
      <c r="BP24" s="174">
        <v>37</v>
      </c>
      <c r="BQ24" s="174">
        <v>40</v>
      </c>
      <c r="BR24" s="114">
        <v>36</v>
      </c>
      <c r="BS24" s="115">
        <v>148</v>
      </c>
      <c r="BT24" s="174">
        <v>22</v>
      </c>
      <c r="BU24" s="174">
        <v>16</v>
      </c>
      <c r="BV24" s="174">
        <v>17</v>
      </c>
      <c r="BW24" s="114">
        <v>20</v>
      </c>
      <c r="BX24" s="115">
        <v>75</v>
      </c>
      <c r="BY24" s="174">
        <v>23</v>
      </c>
      <c r="BZ24" s="174">
        <v>29</v>
      </c>
      <c r="CA24" s="174">
        <v>25</v>
      </c>
      <c r="CB24" s="114">
        <v>21</v>
      </c>
      <c r="CC24" s="115">
        <v>98</v>
      </c>
      <c r="CD24" s="174">
        <v>33</v>
      </c>
      <c r="CE24" s="174">
        <v>32</v>
      </c>
      <c r="CF24" s="174">
        <v>25</v>
      </c>
      <c r="CG24" s="114">
        <v>17</v>
      </c>
      <c r="CH24" s="115">
        <v>107</v>
      </c>
      <c r="CI24" s="120">
        <v>15</v>
      </c>
      <c r="CJ24" s="114">
        <v>25</v>
      </c>
      <c r="CK24" s="115">
        <v>40</v>
      </c>
    </row>
    <row r="25" spans="1:89" s="56" customFormat="1" ht="14.25" thickTop="1" thickBot="1">
      <c r="A25" s="58" t="s">
        <v>4</v>
      </c>
      <c r="B25" s="175">
        <v>260</v>
      </c>
      <c r="C25" s="175">
        <v>209</v>
      </c>
      <c r="D25" s="175">
        <v>215</v>
      </c>
      <c r="E25" s="178">
        <v>216</v>
      </c>
      <c r="F25" s="116">
        <v>900</v>
      </c>
      <c r="G25" s="175">
        <v>235</v>
      </c>
      <c r="H25" s="175">
        <v>298</v>
      </c>
      <c r="I25" s="175">
        <v>254</v>
      </c>
      <c r="J25" s="178">
        <v>357</v>
      </c>
      <c r="K25" s="116">
        <v>1144</v>
      </c>
      <c r="L25" s="175">
        <v>339</v>
      </c>
      <c r="M25" s="175">
        <v>297</v>
      </c>
      <c r="N25" s="175">
        <v>298</v>
      </c>
      <c r="O25" s="178">
        <v>372</v>
      </c>
      <c r="P25" s="116">
        <v>1306</v>
      </c>
      <c r="Q25" s="175">
        <v>352</v>
      </c>
      <c r="R25" s="175">
        <v>338</v>
      </c>
      <c r="S25" s="175">
        <v>340</v>
      </c>
      <c r="T25" s="178">
        <v>406</v>
      </c>
      <c r="U25" s="116">
        <v>1436</v>
      </c>
      <c r="V25" s="175">
        <v>375</v>
      </c>
      <c r="W25" s="175">
        <v>571</v>
      </c>
      <c r="X25" s="175">
        <v>648</v>
      </c>
      <c r="Y25" s="178">
        <v>872</v>
      </c>
      <c r="Z25" s="116">
        <v>2466</v>
      </c>
      <c r="AA25" s="175">
        <v>963</v>
      </c>
      <c r="AB25" s="175">
        <v>957</v>
      </c>
      <c r="AC25" s="175">
        <v>796</v>
      </c>
      <c r="AD25" s="178">
        <v>677</v>
      </c>
      <c r="AE25" s="116">
        <v>3393</v>
      </c>
      <c r="AF25" s="175">
        <v>392</v>
      </c>
      <c r="AG25" s="175">
        <v>329</v>
      </c>
      <c r="AH25" s="175">
        <v>277</v>
      </c>
      <c r="AI25" s="178">
        <v>243</v>
      </c>
      <c r="AJ25" s="116">
        <v>1241</v>
      </c>
      <c r="AK25" s="175">
        <v>226</v>
      </c>
      <c r="AL25" s="175">
        <v>244</v>
      </c>
      <c r="AM25" s="175">
        <v>184</v>
      </c>
      <c r="AN25" s="178">
        <v>198</v>
      </c>
      <c r="AO25" s="116">
        <v>852</v>
      </c>
      <c r="AP25" s="175">
        <v>179</v>
      </c>
      <c r="AQ25" s="175">
        <v>185</v>
      </c>
      <c r="AR25" s="175">
        <v>183</v>
      </c>
      <c r="AS25" s="178">
        <v>221</v>
      </c>
      <c r="AT25" s="116">
        <v>768</v>
      </c>
      <c r="AU25" s="175">
        <v>203</v>
      </c>
      <c r="AV25" s="175">
        <v>257</v>
      </c>
      <c r="AW25" s="175">
        <v>231</v>
      </c>
      <c r="AX25" s="178">
        <v>267</v>
      </c>
      <c r="AY25" s="116">
        <v>958</v>
      </c>
      <c r="AZ25" s="175">
        <v>247</v>
      </c>
      <c r="BA25" s="175">
        <v>265</v>
      </c>
      <c r="BB25" s="175">
        <v>263</v>
      </c>
      <c r="BC25" s="178">
        <v>302</v>
      </c>
      <c r="BD25" s="116">
        <v>1077</v>
      </c>
      <c r="BE25" s="175">
        <v>284</v>
      </c>
      <c r="BF25" s="175">
        <v>339</v>
      </c>
      <c r="BG25" s="175">
        <v>334</v>
      </c>
      <c r="BH25" s="178">
        <v>318</v>
      </c>
      <c r="BI25" s="116">
        <v>1275</v>
      </c>
      <c r="BJ25" s="175">
        <v>281</v>
      </c>
      <c r="BK25" s="175">
        <v>382</v>
      </c>
      <c r="BL25" s="175">
        <v>332</v>
      </c>
      <c r="BM25" s="178">
        <v>404</v>
      </c>
      <c r="BN25" s="116">
        <v>1399</v>
      </c>
      <c r="BO25" s="175">
        <v>350</v>
      </c>
      <c r="BP25" s="175">
        <v>355</v>
      </c>
      <c r="BQ25" s="175">
        <v>322</v>
      </c>
      <c r="BR25" s="178">
        <v>286</v>
      </c>
      <c r="BS25" s="116">
        <v>1313</v>
      </c>
      <c r="BT25" s="175">
        <v>167</v>
      </c>
      <c r="BU25" s="175">
        <v>199</v>
      </c>
      <c r="BV25" s="175">
        <v>182</v>
      </c>
      <c r="BW25" s="178">
        <v>273</v>
      </c>
      <c r="BX25" s="116">
        <v>821</v>
      </c>
      <c r="BY25" s="175">
        <v>234</v>
      </c>
      <c r="BZ25" s="175">
        <v>293</v>
      </c>
      <c r="CA25" s="175">
        <v>277</v>
      </c>
      <c r="CB25" s="178">
        <v>280</v>
      </c>
      <c r="CC25" s="116">
        <v>1084</v>
      </c>
      <c r="CD25" s="175">
        <v>292</v>
      </c>
      <c r="CE25" s="175">
        <v>345</v>
      </c>
      <c r="CF25" s="175">
        <v>320</v>
      </c>
      <c r="CG25" s="178">
        <v>294</v>
      </c>
      <c r="CH25" s="116">
        <v>1251</v>
      </c>
      <c r="CI25" s="121">
        <v>222</v>
      </c>
      <c r="CJ25" s="178">
        <v>282</v>
      </c>
      <c r="CK25" s="116">
        <v>504</v>
      </c>
    </row>
    <row r="26" spans="1:89">
      <c r="AZ26" s="22"/>
      <c r="BA26" s="22"/>
    </row>
    <row r="27" spans="1:89">
      <c r="B27" t="s">
        <v>54</v>
      </c>
    </row>
  </sheetData>
  <mergeCells count="38">
    <mergeCell ref="BE10:BH10"/>
    <mergeCell ref="BE19:BH19"/>
    <mergeCell ref="AA10:AE10"/>
    <mergeCell ref="AP19:AT19"/>
    <mergeCell ref="AU10:AY10"/>
    <mergeCell ref="AF10:AJ10"/>
    <mergeCell ref="AZ19:BD19"/>
    <mergeCell ref="AK19:AO19"/>
    <mergeCell ref="AZ10:BD10"/>
    <mergeCell ref="AU19:AY19"/>
    <mergeCell ref="AP10:AT10"/>
    <mergeCell ref="AF19:AJ19"/>
    <mergeCell ref="AA19:AE19"/>
    <mergeCell ref="AK10:AO10"/>
    <mergeCell ref="A10:A11"/>
    <mergeCell ref="A19:A20"/>
    <mergeCell ref="B19:F19"/>
    <mergeCell ref="G19:K19"/>
    <mergeCell ref="V19:Z19"/>
    <mergeCell ref="B10:F10"/>
    <mergeCell ref="G10:K10"/>
    <mergeCell ref="L10:P10"/>
    <mergeCell ref="L19:P19"/>
    <mergeCell ref="Q19:U19"/>
    <mergeCell ref="Q10:U10"/>
    <mergeCell ref="V10:Z10"/>
    <mergeCell ref="BJ10:BN10"/>
    <mergeCell ref="BJ19:BN19"/>
    <mergeCell ref="BO10:BS10"/>
    <mergeCell ref="BO19:BS19"/>
    <mergeCell ref="BT10:BX10"/>
    <mergeCell ref="BT19:BX19"/>
    <mergeCell ref="CI19:CK19"/>
    <mergeCell ref="CI10:CK10"/>
    <mergeCell ref="BY10:CC10"/>
    <mergeCell ref="BY19:CC19"/>
    <mergeCell ref="CD10:CH10"/>
    <mergeCell ref="CD19:CH19"/>
  </mergeCells>
  <phoneticPr fontId="0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5" manualBreakCount="5">
    <brk id="16" max="1048575" man="1"/>
    <brk id="31" max="1048575" man="1"/>
    <brk id="46" max="1048575" man="1"/>
    <brk id="61" max="1048575" man="1"/>
    <brk id="76" max="2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5:FL1083"/>
  <sheetViews>
    <sheetView zoomScaleNormal="100" zoomScaleSheetLayoutView="50" workbookViewId="0">
      <pane xSplit="1" topLeftCell="B1" activePane="topRight" state="frozen"/>
      <selection pane="topRight"/>
    </sheetView>
  </sheetViews>
  <sheetFormatPr defaultColWidth="16.6640625" defaultRowHeight="12.75"/>
  <cols>
    <col min="1" max="1" width="38.83203125" customWidth="1"/>
    <col min="2" max="2" width="18.1640625" customWidth="1"/>
    <col min="3" max="3" width="20.1640625" bestFit="1" customWidth="1"/>
    <col min="4" max="4" width="16.6640625" customWidth="1"/>
    <col min="5" max="5" width="17.6640625" bestFit="1" customWidth="1"/>
    <col min="6" max="6" width="19.33203125" customWidth="1"/>
    <col min="7" max="7" width="19.83203125" bestFit="1" customWidth="1"/>
    <col min="8" max="8" width="16.6640625" customWidth="1"/>
    <col min="9" max="9" width="18.5" bestFit="1" customWidth="1"/>
    <col min="10" max="10" width="19.83203125" bestFit="1" customWidth="1"/>
    <col min="11" max="11" width="20.5" bestFit="1" customWidth="1"/>
    <col min="12" max="12" width="20.1640625" bestFit="1" customWidth="1"/>
    <col min="13" max="13" width="19.1640625" bestFit="1" customWidth="1"/>
    <col min="14" max="14" width="19.83203125" bestFit="1" customWidth="1"/>
    <col min="15" max="15" width="20.1640625" bestFit="1" customWidth="1"/>
    <col min="16" max="16" width="20.5" bestFit="1" customWidth="1"/>
    <col min="17" max="17" width="19.83203125" bestFit="1" customWidth="1"/>
    <col min="18" max="18" width="19.33203125" bestFit="1" customWidth="1"/>
    <col min="19" max="19" width="17.83203125" bestFit="1" customWidth="1"/>
    <col min="20" max="21" width="18.83203125" bestFit="1" customWidth="1"/>
    <col min="22" max="22" width="19.33203125" bestFit="1" customWidth="1"/>
    <col min="23" max="23" width="18.83203125" bestFit="1" customWidth="1"/>
    <col min="24" max="24" width="17.83203125" bestFit="1" customWidth="1"/>
    <col min="25" max="25" width="18.83203125" bestFit="1" customWidth="1"/>
    <col min="26" max="26" width="19.33203125" bestFit="1" customWidth="1"/>
    <col min="27" max="27" width="18.83203125" bestFit="1" customWidth="1"/>
    <col min="28" max="28" width="19.33203125" bestFit="1" customWidth="1"/>
    <col min="29" max="29" width="18.83203125" bestFit="1" customWidth="1"/>
    <col min="30" max="30" width="19.33203125" bestFit="1" customWidth="1"/>
    <col min="31" max="31" width="20.6640625" bestFit="1" customWidth="1"/>
    <col min="32" max="32" width="19.33203125" bestFit="1" customWidth="1"/>
    <col min="33" max="33" width="18.83203125" bestFit="1" customWidth="1"/>
    <col min="34" max="35" width="18.33203125" bestFit="1" customWidth="1"/>
    <col min="36" max="38" width="18.83203125" bestFit="1" customWidth="1"/>
    <col min="39" max="39" width="18.33203125" style="6" bestFit="1" customWidth="1"/>
    <col min="40" max="40" width="17.6640625" style="6" bestFit="1" customWidth="1"/>
    <col min="41" max="41" width="19.33203125" style="6" bestFit="1" customWidth="1"/>
    <col min="42" max="43" width="17.6640625" style="6" bestFit="1" customWidth="1"/>
    <col min="44" max="44" width="18.33203125" style="6" bestFit="1" customWidth="1"/>
    <col min="45" max="45" width="17.83203125" style="6" bestFit="1" customWidth="1"/>
    <col min="46" max="46" width="19.33203125" style="6" bestFit="1" customWidth="1"/>
    <col min="47" max="48" width="18.83203125" style="6" bestFit="1" customWidth="1"/>
    <col min="49" max="50" width="18.33203125" style="6" bestFit="1" customWidth="1"/>
    <col min="51" max="51" width="19.33203125" style="6" bestFit="1" customWidth="1"/>
    <col min="52" max="52" width="18.83203125" style="6" bestFit="1" customWidth="1"/>
    <col min="53" max="53" width="18.33203125" style="6" bestFit="1" customWidth="1"/>
    <col min="54" max="54" width="20.5" style="6" customWidth="1"/>
    <col min="55" max="55" width="18.33203125" style="6" bestFit="1" customWidth="1"/>
    <col min="56" max="58" width="18.83203125" style="6" bestFit="1" customWidth="1"/>
    <col min="59" max="59" width="17.83203125" style="6" bestFit="1" customWidth="1"/>
    <col min="60" max="64" width="18.83203125" style="6" bestFit="1" customWidth="1"/>
    <col min="65" max="65" width="18.33203125" style="6" bestFit="1" customWidth="1"/>
    <col min="66" max="67" width="18.83203125" style="6" bestFit="1" customWidth="1"/>
    <col min="68" max="68" width="18.33203125" style="6" bestFit="1" customWidth="1"/>
    <col min="69" max="69" width="19.33203125" style="6" bestFit="1" customWidth="1"/>
    <col min="70" max="70" width="19.33203125" style="6" customWidth="1"/>
    <col min="71" max="71" width="19.33203125" style="6" bestFit="1" customWidth="1"/>
    <col min="72" max="72" width="19.1640625" style="6" customWidth="1"/>
    <col min="73" max="74" width="23" style="6" bestFit="1" customWidth="1"/>
    <col min="75" max="80" width="16.6640625" style="6"/>
    <col min="81" max="81" width="16.6640625" style="6" customWidth="1"/>
    <col min="82" max="16384" width="16.6640625" style="6"/>
  </cols>
  <sheetData>
    <row r="5" spans="1:89" ht="16.5">
      <c r="F5" s="1" t="s">
        <v>45</v>
      </c>
    </row>
    <row r="6" spans="1:89" ht="16.5">
      <c r="F6" s="1" t="s">
        <v>57</v>
      </c>
    </row>
    <row r="7" spans="1:89" ht="16.5">
      <c r="F7" s="1" t="s">
        <v>69</v>
      </c>
    </row>
    <row r="8" spans="1:89" ht="15.75">
      <c r="A8" s="5"/>
      <c r="B8" s="5"/>
      <c r="C8" s="5"/>
      <c r="D8" s="5"/>
      <c r="E8" s="5"/>
      <c r="F8" s="5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89">
      <c r="A9" s="5"/>
      <c r="B9" s="5"/>
      <c r="C9" s="5"/>
      <c r="D9" s="5"/>
      <c r="E9" s="5"/>
      <c r="F9" s="5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89" ht="15.75">
      <c r="A10" s="3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89" s="13" customFormat="1" ht="13.5" thickBot="1">
      <c r="A11" s="148" t="s">
        <v>16</v>
      </c>
      <c r="B11" s="145">
        <v>1995</v>
      </c>
      <c r="C11" s="142"/>
      <c r="D11" s="142"/>
      <c r="E11" s="142"/>
      <c r="F11" s="147"/>
      <c r="G11" s="145">
        <v>1996</v>
      </c>
      <c r="H11" s="142"/>
      <c r="I11" s="142"/>
      <c r="J11" s="142"/>
      <c r="K11" s="147" t="s">
        <v>9</v>
      </c>
      <c r="L11" s="145">
        <v>1997</v>
      </c>
      <c r="M11" s="142"/>
      <c r="N11" s="142"/>
      <c r="O11" s="142"/>
      <c r="P11" s="147" t="s">
        <v>10</v>
      </c>
      <c r="Q11" s="145">
        <v>1998</v>
      </c>
      <c r="R11" s="142"/>
      <c r="S11" s="142"/>
      <c r="T11" s="142"/>
      <c r="U11" s="147" t="s">
        <v>11</v>
      </c>
      <c r="V11" s="145">
        <v>1999</v>
      </c>
      <c r="W11" s="142"/>
      <c r="X11" s="142"/>
      <c r="Y11" s="142"/>
      <c r="Z11" s="147" t="s">
        <v>12</v>
      </c>
      <c r="AA11" s="145">
        <v>2000</v>
      </c>
      <c r="AB11" s="142"/>
      <c r="AC11" s="142"/>
      <c r="AD11" s="142"/>
      <c r="AE11" s="147" t="s">
        <v>13</v>
      </c>
      <c r="AF11" s="145">
        <v>2001</v>
      </c>
      <c r="AG11" s="142"/>
      <c r="AH11" s="142"/>
      <c r="AI11" s="142"/>
      <c r="AJ11" s="147" t="s">
        <v>14</v>
      </c>
      <c r="AK11" s="145">
        <v>2002</v>
      </c>
      <c r="AL11" s="159"/>
      <c r="AM11" s="158"/>
      <c r="AN11" s="158"/>
      <c r="AO11" s="153"/>
      <c r="AP11" s="145">
        <v>2003</v>
      </c>
      <c r="AQ11" s="159"/>
      <c r="AR11" s="158"/>
      <c r="AS11" s="158"/>
      <c r="AT11" s="152"/>
      <c r="AU11" s="145">
        <v>2004</v>
      </c>
      <c r="AV11" s="142"/>
      <c r="AW11" s="142"/>
      <c r="AX11" s="158"/>
      <c r="AY11" s="153"/>
      <c r="AZ11" s="145">
        <v>2005</v>
      </c>
      <c r="BA11" s="142"/>
      <c r="BB11" s="142"/>
      <c r="BC11" s="158"/>
      <c r="BD11" s="152"/>
      <c r="BE11" s="145">
        <v>2006</v>
      </c>
      <c r="BF11" s="142"/>
      <c r="BG11" s="142"/>
      <c r="BH11" s="142"/>
      <c r="BI11" s="147"/>
      <c r="BJ11" s="145">
        <v>2007</v>
      </c>
      <c r="BK11" s="142"/>
      <c r="BL11" s="142"/>
      <c r="BM11" s="151"/>
      <c r="BN11" s="147"/>
      <c r="BO11" s="145">
        <v>2008</v>
      </c>
      <c r="BP11" s="142"/>
      <c r="BQ11" s="142"/>
      <c r="BR11" s="142"/>
      <c r="BS11" s="147"/>
      <c r="BT11" s="145">
        <v>2009</v>
      </c>
      <c r="BU11" s="142"/>
      <c r="BV11" s="142"/>
      <c r="BW11" s="142"/>
      <c r="BX11" s="147"/>
      <c r="BY11" s="145">
        <v>2010</v>
      </c>
      <c r="BZ11" s="142"/>
      <c r="CA11" s="142"/>
      <c r="CB11" s="142"/>
      <c r="CC11" s="147"/>
      <c r="CD11" s="145">
        <v>2011</v>
      </c>
      <c r="CE11" s="142"/>
      <c r="CF11" s="142"/>
      <c r="CG11" s="142"/>
      <c r="CH11" s="147"/>
      <c r="CI11" s="145">
        <v>2012</v>
      </c>
      <c r="CJ11" s="142"/>
      <c r="CK11" s="147"/>
    </row>
    <row r="12" spans="1:89" s="7" customFormat="1">
      <c r="A12" s="163"/>
      <c r="B12" s="71" t="s">
        <v>0</v>
      </c>
      <c r="C12" s="71" t="s">
        <v>1</v>
      </c>
      <c r="D12" s="71" t="s">
        <v>2</v>
      </c>
      <c r="E12" s="63" t="s">
        <v>3</v>
      </c>
      <c r="F12" s="72" t="s">
        <v>8</v>
      </c>
      <c r="G12" s="66" t="s">
        <v>0</v>
      </c>
      <c r="H12" s="71" t="s">
        <v>1</v>
      </c>
      <c r="I12" s="71" t="s">
        <v>2</v>
      </c>
      <c r="J12" s="63" t="s">
        <v>3</v>
      </c>
      <c r="K12" s="72" t="s">
        <v>9</v>
      </c>
      <c r="L12" s="64" t="s">
        <v>0</v>
      </c>
      <c r="M12" s="71" t="s">
        <v>1</v>
      </c>
      <c r="N12" s="71" t="s">
        <v>2</v>
      </c>
      <c r="O12" s="64" t="s">
        <v>3</v>
      </c>
      <c r="P12" s="72" t="s">
        <v>10</v>
      </c>
      <c r="Q12" s="64" t="s">
        <v>0</v>
      </c>
      <c r="R12" s="71" t="s">
        <v>1</v>
      </c>
      <c r="S12" s="71" t="s">
        <v>2</v>
      </c>
      <c r="T12" s="64" t="s">
        <v>3</v>
      </c>
      <c r="U12" s="72" t="s">
        <v>11</v>
      </c>
      <c r="V12" s="66" t="s">
        <v>0</v>
      </c>
      <c r="W12" s="71" t="s">
        <v>1</v>
      </c>
      <c r="X12" s="71" t="s">
        <v>2</v>
      </c>
      <c r="Y12" s="63" t="s">
        <v>3</v>
      </c>
      <c r="Z12" s="72" t="s">
        <v>12</v>
      </c>
      <c r="AA12" s="66" t="s">
        <v>0</v>
      </c>
      <c r="AB12" s="71" t="s">
        <v>1</v>
      </c>
      <c r="AC12" s="71" t="s">
        <v>2</v>
      </c>
      <c r="AD12" s="63" t="s">
        <v>3</v>
      </c>
      <c r="AE12" s="72" t="s">
        <v>13</v>
      </c>
      <c r="AF12" s="66" t="s">
        <v>0</v>
      </c>
      <c r="AG12" s="71" t="s">
        <v>1</v>
      </c>
      <c r="AH12" s="71" t="s">
        <v>2</v>
      </c>
      <c r="AI12" s="63" t="s">
        <v>3</v>
      </c>
      <c r="AJ12" s="72" t="s">
        <v>14</v>
      </c>
      <c r="AK12" s="66" t="s">
        <v>0</v>
      </c>
      <c r="AL12" s="71" t="s">
        <v>1</v>
      </c>
      <c r="AM12" s="71" t="s">
        <v>2</v>
      </c>
      <c r="AN12" s="68" t="s">
        <v>3</v>
      </c>
      <c r="AO12" s="72" t="s">
        <v>37</v>
      </c>
      <c r="AP12" s="69" t="s">
        <v>0</v>
      </c>
      <c r="AQ12" s="69" t="s">
        <v>1</v>
      </c>
      <c r="AR12" s="69" t="s">
        <v>2</v>
      </c>
      <c r="AS12" s="68" t="s">
        <v>3</v>
      </c>
      <c r="AT12" s="72" t="s">
        <v>39</v>
      </c>
      <c r="AU12" s="69" t="s">
        <v>0</v>
      </c>
      <c r="AV12" s="75" t="s">
        <v>1</v>
      </c>
      <c r="AW12" s="75" t="s">
        <v>2</v>
      </c>
      <c r="AX12" s="68" t="s">
        <v>3</v>
      </c>
      <c r="AY12" s="72" t="s">
        <v>40</v>
      </c>
      <c r="AZ12" s="69" t="s">
        <v>0</v>
      </c>
      <c r="BA12" s="69" t="s">
        <v>1</v>
      </c>
      <c r="BB12" s="69" t="s">
        <v>2</v>
      </c>
      <c r="BC12" s="62" t="s">
        <v>3</v>
      </c>
      <c r="BD12" s="72" t="s">
        <v>41</v>
      </c>
      <c r="BE12" s="64" t="s">
        <v>0</v>
      </c>
      <c r="BF12" s="71" t="s">
        <v>1</v>
      </c>
      <c r="BG12" s="71" t="s">
        <v>2</v>
      </c>
      <c r="BH12" s="64" t="s">
        <v>3</v>
      </c>
      <c r="BI12" s="72" t="s">
        <v>47</v>
      </c>
      <c r="BJ12" s="66" t="s">
        <v>0</v>
      </c>
      <c r="BK12" s="68" t="s">
        <v>1</v>
      </c>
      <c r="BL12" s="68" t="s">
        <v>2</v>
      </c>
      <c r="BM12" s="63" t="s">
        <v>3</v>
      </c>
      <c r="BN12" s="72" t="s">
        <v>49</v>
      </c>
      <c r="BO12" s="67" t="s">
        <v>0</v>
      </c>
      <c r="BP12" s="68" t="s">
        <v>1</v>
      </c>
      <c r="BQ12" s="68" t="s">
        <v>2</v>
      </c>
      <c r="BR12" s="67" t="s">
        <v>3</v>
      </c>
      <c r="BS12" s="72" t="s">
        <v>51</v>
      </c>
      <c r="BT12" s="69" t="s">
        <v>0</v>
      </c>
      <c r="BU12" s="68" t="s">
        <v>1</v>
      </c>
      <c r="BV12" s="68" t="s">
        <v>2</v>
      </c>
      <c r="BW12" s="68" t="s">
        <v>3</v>
      </c>
      <c r="BX12" s="72" t="s">
        <v>60</v>
      </c>
      <c r="BY12" s="67" t="s">
        <v>0</v>
      </c>
      <c r="BZ12" s="68" t="s">
        <v>1</v>
      </c>
      <c r="CA12" s="68" t="s">
        <v>2</v>
      </c>
      <c r="CB12" s="68" t="s">
        <v>3</v>
      </c>
      <c r="CC12" s="72" t="s">
        <v>61</v>
      </c>
      <c r="CD12" s="88" t="s">
        <v>0</v>
      </c>
      <c r="CE12" s="82" t="s">
        <v>1</v>
      </c>
      <c r="CF12" s="90" t="s">
        <v>2</v>
      </c>
      <c r="CG12" s="90" t="s">
        <v>3</v>
      </c>
      <c r="CH12" s="72" t="s">
        <v>63</v>
      </c>
      <c r="CI12" s="91" t="s">
        <v>0</v>
      </c>
      <c r="CJ12" s="91" t="s">
        <v>1</v>
      </c>
      <c r="CK12" s="70" t="s">
        <v>64</v>
      </c>
    </row>
    <row r="13" spans="1:89" s="14" customFormat="1">
      <c r="A13" s="179" t="s">
        <v>17</v>
      </c>
      <c r="B13" s="181">
        <v>38955900</v>
      </c>
      <c r="C13" s="181">
        <v>23608000</v>
      </c>
      <c r="D13" s="181">
        <v>31620000</v>
      </c>
      <c r="E13" s="183">
        <v>65128000</v>
      </c>
      <c r="F13" s="95">
        <v>159311900</v>
      </c>
      <c r="G13" s="181">
        <v>65662000</v>
      </c>
      <c r="H13" s="181">
        <v>43546000</v>
      </c>
      <c r="I13" s="181">
        <v>38408200</v>
      </c>
      <c r="J13" s="183">
        <v>58920000</v>
      </c>
      <c r="K13" s="95">
        <v>206536200</v>
      </c>
      <c r="L13" s="181">
        <v>82941200</v>
      </c>
      <c r="M13" s="181">
        <v>83588200</v>
      </c>
      <c r="N13" s="181">
        <v>83979500</v>
      </c>
      <c r="O13" s="183">
        <v>101694000</v>
      </c>
      <c r="P13" s="95">
        <v>352202900</v>
      </c>
      <c r="Q13" s="181">
        <v>133397200</v>
      </c>
      <c r="R13" s="181">
        <v>47303000</v>
      </c>
      <c r="S13" s="181">
        <v>65790700</v>
      </c>
      <c r="T13" s="183">
        <v>136536000</v>
      </c>
      <c r="U13" s="95">
        <v>383026900</v>
      </c>
      <c r="V13" s="181">
        <v>105023100</v>
      </c>
      <c r="W13" s="181">
        <v>131156000</v>
      </c>
      <c r="X13" s="181">
        <v>42700000</v>
      </c>
      <c r="Y13" s="183">
        <v>144112500</v>
      </c>
      <c r="Z13" s="95">
        <v>422991600</v>
      </c>
      <c r="AA13" s="181">
        <v>184632300</v>
      </c>
      <c r="AB13" s="181">
        <v>195070800</v>
      </c>
      <c r="AC13" s="181">
        <v>274302200</v>
      </c>
      <c r="AD13" s="183">
        <v>178438200</v>
      </c>
      <c r="AE13" s="95">
        <v>832443500</v>
      </c>
      <c r="AF13" s="181">
        <v>189137000</v>
      </c>
      <c r="AG13" s="181">
        <v>288151200</v>
      </c>
      <c r="AH13" s="181">
        <v>224360600</v>
      </c>
      <c r="AI13" s="183">
        <v>121802000</v>
      </c>
      <c r="AJ13" s="95">
        <v>823450800</v>
      </c>
      <c r="AK13" s="181">
        <v>175706200</v>
      </c>
      <c r="AL13" s="181">
        <v>335664800</v>
      </c>
      <c r="AM13" s="181">
        <v>79520000</v>
      </c>
      <c r="AN13" s="183">
        <v>111129000</v>
      </c>
      <c r="AO13" s="95">
        <v>702020000</v>
      </c>
      <c r="AP13" s="181">
        <v>85483800</v>
      </c>
      <c r="AQ13" s="181">
        <v>74752900</v>
      </c>
      <c r="AR13" s="181">
        <v>109667000</v>
      </c>
      <c r="AS13" s="183">
        <v>156440300</v>
      </c>
      <c r="AT13" s="95">
        <v>426344000</v>
      </c>
      <c r="AU13" s="181">
        <v>126622100</v>
      </c>
      <c r="AV13" s="181">
        <v>181223400</v>
      </c>
      <c r="AW13" s="181">
        <v>205327300</v>
      </c>
      <c r="AX13" s="183">
        <v>214772300</v>
      </c>
      <c r="AY13" s="95">
        <v>727945100</v>
      </c>
      <c r="AZ13" s="181">
        <v>70770000</v>
      </c>
      <c r="BA13" s="181">
        <v>121699300</v>
      </c>
      <c r="BB13" s="181">
        <v>261198800</v>
      </c>
      <c r="BC13" s="183">
        <v>168168900</v>
      </c>
      <c r="BD13" s="95">
        <v>621837000</v>
      </c>
      <c r="BE13" s="181">
        <v>196373200</v>
      </c>
      <c r="BF13" s="181">
        <v>319274300</v>
      </c>
      <c r="BG13" s="181">
        <v>283432700</v>
      </c>
      <c r="BH13" s="183">
        <v>222612100</v>
      </c>
      <c r="BI13" s="95">
        <v>1021692300</v>
      </c>
      <c r="BJ13" s="181">
        <v>272638100</v>
      </c>
      <c r="BK13" s="181">
        <v>269132300</v>
      </c>
      <c r="BL13" s="181">
        <v>232527200</v>
      </c>
      <c r="BM13" s="183">
        <v>317197200</v>
      </c>
      <c r="BN13" s="95">
        <v>1091494800</v>
      </c>
      <c r="BO13" s="181">
        <v>224886900</v>
      </c>
      <c r="BP13" s="181">
        <v>310723700</v>
      </c>
      <c r="BQ13" s="181">
        <v>185486600</v>
      </c>
      <c r="BR13" s="183">
        <v>212549000</v>
      </c>
      <c r="BS13" s="95">
        <v>933646200</v>
      </c>
      <c r="BT13" s="181">
        <v>111872200</v>
      </c>
      <c r="BU13" s="181">
        <v>123827000</v>
      </c>
      <c r="BV13" s="181">
        <v>114735900</v>
      </c>
      <c r="BW13" s="183">
        <v>195695100</v>
      </c>
      <c r="BX13" s="95">
        <v>546130200</v>
      </c>
      <c r="BY13" s="181">
        <v>161666100</v>
      </c>
      <c r="BZ13" s="181">
        <v>168393000</v>
      </c>
      <c r="CA13" s="181">
        <v>96468500</v>
      </c>
      <c r="CB13" s="183">
        <v>136283900</v>
      </c>
      <c r="CC13" s="95">
        <v>562811500</v>
      </c>
      <c r="CD13" s="181">
        <v>134272100</v>
      </c>
      <c r="CE13" s="181">
        <v>313728100</v>
      </c>
      <c r="CF13" s="181">
        <v>168664200</v>
      </c>
      <c r="CG13" s="183">
        <v>259486200</v>
      </c>
      <c r="CH13" s="95">
        <v>876150600</v>
      </c>
      <c r="CI13" s="195">
        <v>106475900</v>
      </c>
      <c r="CJ13" s="199">
        <v>65908700</v>
      </c>
      <c r="CK13" s="97">
        <v>172384600</v>
      </c>
    </row>
    <row r="14" spans="1:89" s="14" customFormat="1">
      <c r="A14" s="180" t="s">
        <v>18</v>
      </c>
      <c r="B14" s="182">
        <v>47165000</v>
      </c>
      <c r="C14" s="182">
        <v>24294000</v>
      </c>
      <c r="D14" s="182">
        <v>45778100</v>
      </c>
      <c r="E14" s="184">
        <v>3670000</v>
      </c>
      <c r="F14" s="93">
        <v>120907100</v>
      </c>
      <c r="G14" s="182">
        <v>28023000</v>
      </c>
      <c r="H14" s="182">
        <v>127186000</v>
      </c>
      <c r="I14" s="182">
        <v>54874000</v>
      </c>
      <c r="J14" s="184">
        <v>34100000</v>
      </c>
      <c r="K14" s="93">
        <v>244183000</v>
      </c>
      <c r="L14" s="182">
        <v>105202500</v>
      </c>
      <c r="M14" s="182">
        <v>49746000</v>
      </c>
      <c r="N14" s="182">
        <v>49289000</v>
      </c>
      <c r="O14" s="184">
        <v>51043000</v>
      </c>
      <c r="P14" s="93">
        <v>255280500</v>
      </c>
      <c r="Q14" s="182">
        <v>43015400</v>
      </c>
      <c r="R14" s="182">
        <v>122721000</v>
      </c>
      <c r="S14" s="182">
        <v>121332000</v>
      </c>
      <c r="T14" s="184">
        <v>91600000</v>
      </c>
      <c r="U14" s="93">
        <v>378668400</v>
      </c>
      <c r="V14" s="182">
        <v>57702000</v>
      </c>
      <c r="W14" s="182">
        <v>266443100</v>
      </c>
      <c r="X14" s="182">
        <v>179446000</v>
      </c>
      <c r="Y14" s="184">
        <v>478619300</v>
      </c>
      <c r="Z14" s="93">
        <v>982210400</v>
      </c>
      <c r="AA14" s="182">
        <v>654571100</v>
      </c>
      <c r="AB14" s="182">
        <v>407784300</v>
      </c>
      <c r="AC14" s="182">
        <v>558207200</v>
      </c>
      <c r="AD14" s="184">
        <v>300095100</v>
      </c>
      <c r="AE14" s="93">
        <v>1920657700</v>
      </c>
      <c r="AF14" s="182">
        <v>58503100</v>
      </c>
      <c r="AG14" s="182">
        <v>128717300</v>
      </c>
      <c r="AH14" s="182">
        <v>55779000</v>
      </c>
      <c r="AI14" s="184">
        <v>41284900</v>
      </c>
      <c r="AJ14" s="93">
        <v>284284300</v>
      </c>
      <c r="AK14" s="182">
        <v>40300000</v>
      </c>
      <c r="AL14" s="182">
        <v>10144900</v>
      </c>
      <c r="AM14" s="182">
        <v>57099000</v>
      </c>
      <c r="AN14" s="184">
        <v>13750000</v>
      </c>
      <c r="AO14" s="93">
        <v>121293900</v>
      </c>
      <c r="AP14" s="182">
        <v>11540000</v>
      </c>
      <c r="AQ14" s="182">
        <v>177349900</v>
      </c>
      <c r="AR14" s="182">
        <v>51900000</v>
      </c>
      <c r="AS14" s="184">
        <v>101820100</v>
      </c>
      <c r="AT14" s="93">
        <v>342610000</v>
      </c>
      <c r="AU14" s="182">
        <v>22000000</v>
      </c>
      <c r="AV14" s="182">
        <v>58329000</v>
      </c>
      <c r="AW14" s="182">
        <v>127518000</v>
      </c>
      <c r="AX14" s="184">
        <v>28050000</v>
      </c>
      <c r="AY14" s="93">
        <v>235897000</v>
      </c>
      <c r="AZ14" s="182">
        <v>31500000</v>
      </c>
      <c r="BA14" s="182">
        <v>73535200</v>
      </c>
      <c r="BB14" s="182">
        <v>22314000</v>
      </c>
      <c r="BC14" s="184">
        <v>20345000</v>
      </c>
      <c r="BD14" s="93">
        <v>147694200</v>
      </c>
      <c r="BE14" s="182">
        <v>27157000</v>
      </c>
      <c r="BF14" s="182">
        <v>80009000</v>
      </c>
      <c r="BG14" s="182">
        <v>52050000</v>
      </c>
      <c r="BH14" s="184">
        <v>42179000</v>
      </c>
      <c r="BI14" s="93">
        <v>201395000</v>
      </c>
      <c r="BJ14" s="182">
        <v>68475000</v>
      </c>
      <c r="BK14" s="182">
        <v>71233800</v>
      </c>
      <c r="BL14" s="182">
        <v>58549900</v>
      </c>
      <c r="BM14" s="184">
        <v>71919000</v>
      </c>
      <c r="BN14" s="93">
        <v>270177700</v>
      </c>
      <c r="BO14" s="182">
        <v>55285000</v>
      </c>
      <c r="BP14" s="182">
        <v>27850100</v>
      </c>
      <c r="BQ14" s="182">
        <v>22676200</v>
      </c>
      <c r="BR14" s="184">
        <v>18826000</v>
      </c>
      <c r="BS14" s="93">
        <v>124637300</v>
      </c>
      <c r="BT14" s="182">
        <v>67850000</v>
      </c>
      <c r="BU14" s="182">
        <v>18046900</v>
      </c>
      <c r="BV14" s="182">
        <v>19498200</v>
      </c>
      <c r="BW14" s="184">
        <v>16920000</v>
      </c>
      <c r="BX14" s="93">
        <v>122315100</v>
      </c>
      <c r="BY14" s="182">
        <v>17720000</v>
      </c>
      <c r="BZ14" s="182">
        <v>43411500</v>
      </c>
      <c r="CA14" s="182">
        <v>80003000</v>
      </c>
      <c r="CB14" s="184">
        <v>11895000</v>
      </c>
      <c r="CC14" s="93">
        <v>153029500</v>
      </c>
      <c r="CD14" s="182">
        <v>8019200</v>
      </c>
      <c r="CE14" s="182">
        <v>22063000</v>
      </c>
      <c r="CF14" s="182">
        <v>7525000</v>
      </c>
      <c r="CG14" s="184">
        <v>3800000</v>
      </c>
      <c r="CH14" s="93">
        <v>41407200</v>
      </c>
      <c r="CI14" s="196">
        <v>12353100</v>
      </c>
      <c r="CJ14" s="200">
        <v>2274400</v>
      </c>
      <c r="CK14" s="86">
        <v>14627500</v>
      </c>
    </row>
    <row r="15" spans="1:89" s="14" customFormat="1">
      <c r="A15" s="180" t="s">
        <v>19</v>
      </c>
      <c r="B15" s="182">
        <v>16851000</v>
      </c>
      <c r="C15" s="182">
        <v>63425200</v>
      </c>
      <c r="D15" s="182">
        <v>44214900</v>
      </c>
      <c r="E15" s="184">
        <v>29062100</v>
      </c>
      <c r="F15" s="93">
        <v>153553200</v>
      </c>
      <c r="G15" s="182">
        <v>36031000</v>
      </c>
      <c r="H15" s="182">
        <v>30401000</v>
      </c>
      <c r="I15" s="182">
        <v>19329300</v>
      </c>
      <c r="J15" s="184">
        <v>57202000</v>
      </c>
      <c r="K15" s="93">
        <v>142963300</v>
      </c>
      <c r="L15" s="182">
        <v>16780000</v>
      </c>
      <c r="M15" s="182">
        <v>15032000</v>
      </c>
      <c r="N15" s="182">
        <v>23155100</v>
      </c>
      <c r="O15" s="184">
        <v>55191000</v>
      </c>
      <c r="P15" s="93">
        <v>110158100</v>
      </c>
      <c r="Q15" s="182">
        <v>52267000</v>
      </c>
      <c r="R15" s="182">
        <v>33277000</v>
      </c>
      <c r="S15" s="182">
        <v>17999000</v>
      </c>
      <c r="T15" s="184">
        <v>22225000</v>
      </c>
      <c r="U15" s="93">
        <v>125768000</v>
      </c>
      <c r="V15" s="182">
        <v>11600000</v>
      </c>
      <c r="W15" s="182">
        <v>16680000</v>
      </c>
      <c r="X15" s="182">
        <v>184020800</v>
      </c>
      <c r="Y15" s="184">
        <v>61211100</v>
      </c>
      <c r="Z15" s="93">
        <v>273511900</v>
      </c>
      <c r="AA15" s="182">
        <v>115875200</v>
      </c>
      <c r="AB15" s="182">
        <v>22155100</v>
      </c>
      <c r="AC15" s="182">
        <v>63150100</v>
      </c>
      <c r="AD15" s="184">
        <v>152921100</v>
      </c>
      <c r="AE15" s="93">
        <v>354101500</v>
      </c>
      <c r="AF15" s="182">
        <v>86288000</v>
      </c>
      <c r="AG15" s="182">
        <v>80050000</v>
      </c>
      <c r="AH15" s="182">
        <v>67912200</v>
      </c>
      <c r="AI15" s="184">
        <v>25571000</v>
      </c>
      <c r="AJ15" s="93">
        <v>259821200</v>
      </c>
      <c r="AK15" s="182">
        <v>4160000</v>
      </c>
      <c r="AL15" s="182">
        <v>3215000</v>
      </c>
      <c r="AM15" s="182">
        <v>8500000</v>
      </c>
      <c r="AN15" s="184">
        <v>1300000</v>
      </c>
      <c r="AO15" s="93">
        <v>17175000</v>
      </c>
      <c r="AP15" s="182">
        <v>26274000</v>
      </c>
      <c r="AQ15" s="182">
        <v>35500000</v>
      </c>
      <c r="AR15" s="182">
        <v>15485100</v>
      </c>
      <c r="AS15" s="184">
        <v>6245200</v>
      </c>
      <c r="AT15" s="93">
        <v>83504300</v>
      </c>
      <c r="AU15" s="182">
        <v>23000000</v>
      </c>
      <c r="AV15" s="182">
        <v>11874000</v>
      </c>
      <c r="AW15" s="182">
        <v>41952900</v>
      </c>
      <c r="AX15" s="184">
        <v>14300100</v>
      </c>
      <c r="AY15" s="93">
        <v>91127000</v>
      </c>
      <c r="AZ15" s="182">
        <v>31355100</v>
      </c>
      <c r="BA15" s="182">
        <v>18355000</v>
      </c>
      <c r="BB15" s="182">
        <v>2000000</v>
      </c>
      <c r="BC15" s="184">
        <v>32699900</v>
      </c>
      <c r="BD15" s="93">
        <v>84410000</v>
      </c>
      <c r="BE15" s="182">
        <v>22296700</v>
      </c>
      <c r="BF15" s="182">
        <v>14000000</v>
      </c>
      <c r="BG15" s="182">
        <v>13570100</v>
      </c>
      <c r="BH15" s="184">
        <v>5875000</v>
      </c>
      <c r="BI15" s="93">
        <v>55741800</v>
      </c>
      <c r="BJ15" s="182">
        <v>15539000</v>
      </c>
      <c r="BK15" s="182">
        <v>39928100</v>
      </c>
      <c r="BL15" s="182">
        <v>33565000</v>
      </c>
      <c r="BM15" s="184">
        <v>20372100</v>
      </c>
      <c r="BN15" s="93">
        <v>109404200</v>
      </c>
      <c r="BO15" s="182">
        <v>25524900</v>
      </c>
      <c r="BP15" s="182">
        <v>81153200</v>
      </c>
      <c r="BQ15" s="182">
        <v>24750000</v>
      </c>
      <c r="BR15" s="184">
        <v>25488000</v>
      </c>
      <c r="BS15" s="93">
        <v>156916100</v>
      </c>
      <c r="BT15" s="182">
        <v>11000000</v>
      </c>
      <c r="BU15" s="182">
        <v>7500000</v>
      </c>
      <c r="BV15" s="182">
        <v>24700000</v>
      </c>
      <c r="BW15" s="184">
        <v>18026000</v>
      </c>
      <c r="BX15" s="93">
        <v>61226000</v>
      </c>
      <c r="BY15" s="182">
        <v>19000000</v>
      </c>
      <c r="BZ15" s="182">
        <v>2550000</v>
      </c>
      <c r="CA15" s="182">
        <v>21499900</v>
      </c>
      <c r="CB15" s="184">
        <v>5000000</v>
      </c>
      <c r="CC15" s="93">
        <v>48049900</v>
      </c>
      <c r="CD15" s="182">
        <v>25010100</v>
      </c>
      <c r="CE15" s="182">
        <v>35700000</v>
      </c>
      <c r="CF15" s="182">
        <v>10078000</v>
      </c>
      <c r="CG15" s="184">
        <v>5010000</v>
      </c>
      <c r="CH15" s="93">
        <v>75798100</v>
      </c>
      <c r="CI15" s="196">
        <v>1900000</v>
      </c>
      <c r="CJ15" s="200">
        <v>7500000</v>
      </c>
      <c r="CK15" s="86">
        <v>9400000</v>
      </c>
    </row>
    <row r="16" spans="1:89" s="14" customFormat="1">
      <c r="A16" s="180" t="s">
        <v>20</v>
      </c>
      <c r="B16" s="182">
        <v>75672100</v>
      </c>
      <c r="C16" s="182">
        <v>86880000</v>
      </c>
      <c r="D16" s="182">
        <v>116800000</v>
      </c>
      <c r="E16" s="184">
        <v>38794000</v>
      </c>
      <c r="F16" s="93">
        <v>318146100</v>
      </c>
      <c r="G16" s="182">
        <v>58596000</v>
      </c>
      <c r="H16" s="182">
        <v>61243600</v>
      </c>
      <c r="I16" s="182">
        <v>47969000</v>
      </c>
      <c r="J16" s="184">
        <v>42910000</v>
      </c>
      <c r="K16" s="93">
        <v>210718600</v>
      </c>
      <c r="L16" s="182">
        <v>78885100</v>
      </c>
      <c r="M16" s="182">
        <v>19308100</v>
      </c>
      <c r="N16" s="182">
        <v>45294000</v>
      </c>
      <c r="O16" s="184">
        <v>61619000</v>
      </c>
      <c r="P16" s="93">
        <v>205106200</v>
      </c>
      <c r="Q16" s="182">
        <v>45839000</v>
      </c>
      <c r="R16" s="182">
        <v>65183000</v>
      </c>
      <c r="S16" s="182">
        <v>101094000</v>
      </c>
      <c r="T16" s="184">
        <v>34231900</v>
      </c>
      <c r="U16" s="93">
        <v>246347900</v>
      </c>
      <c r="V16" s="182">
        <v>91689000</v>
      </c>
      <c r="W16" s="182">
        <v>183388400</v>
      </c>
      <c r="X16" s="182">
        <v>262966400</v>
      </c>
      <c r="Y16" s="184">
        <v>298661800</v>
      </c>
      <c r="Z16" s="93">
        <v>836705600</v>
      </c>
      <c r="AA16" s="182">
        <v>380696900</v>
      </c>
      <c r="AB16" s="182">
        <v>365295500</v>
      </c>
      <c r="AC16" s="182">
        <v>109992800</v>
      </c>
      <c r="AD16" s="184">
        <v>83281100</v>
      </c>
      <c r="AE16" s="93">
        <v>939266300</v>
      </c>
      <c r="AF16" s="182">
        <v>53805900</v>
      </c>
      <c r="AG16" s="182">
        <v>12053000</v>
      </c>
      <c r="AH16" s="182">
        <v>17971200</v>
      </c>
      <c r="AI16" s="184">
        <v>40535000</v>
      </c>
      <c r="AJ16" s="93">
        <v>124365100</v>
      </c>
      <c r="AK16" s="182">
        <v>8663100</v>
      </c>
      <c r="AL16" s="182">
        <v>7988000</v>
      </c>
      <c r="AM16" s="182">
        <v>8999900</v>
      </c>
      <c r="AN16" s="184">
        <v>19200000</v>
      </c>
      <c r="AO16" s="93">
        <v>44851000</v>
      </c>
      <c r="AP16" s="182">
        <v>19830000</v>
      </c>
      <c r="AQ16" s="182">
        <v>7689000</v>
      </c>
      <c r="AR16" s="182">
        <v>41499900</v>
      </c>
      <c r="AS16" s="184">
        <v>9030000</v>
      </c>
      <c r="AT16" s="93">
        <v>78048900</v>
      </c>
      <c r="AU16" s="182">
        <v>23000000</v>
      </c>
      <c r="AV16" s="182">
        <v>1775000</v>
      </c>
      <c r="AW16" s="182">
        <v>30900000</v>
      </c>
      <c r="AX16" s="184">
        <v>66775000</v>
      </c>
      <c r="AY16" s="93">
        <v>122450000</v>
      </c>
      <c r="AZ16" s="182">
        <v>79169900</v>
      </c>
      <c r="BA16" s="182">
        <v>54839000</v>
      </c>
      <c r="BB16" s="182">
        <v>60725900</v>
      </c>
      <c r="BC16" s="184">
        <v>40749900</v>
      </c>
      <c r="BD16" s="93">
        <v>235484700</v>
      </c>
      <c r="BE16" s="182">
        <v>8020000</v>
      </c>
      <c r="BF16" s="182">
        <v>28712100</v>
      </c>
      <c r="BG16" s="182">
        <v>38129700</v>
      </c>
      <c r="BH16" s="184">
        <v>51483900</v>
      </c>
      <c r="BI16" s="93">
        <v>126345700</v>
      </c>
      <c r="BJ16" s="182">
        <v>17725000</v>
      </c>
      <c r="BK16" s="182">
        <v>38960000</v>
      </c>
      <c r="BL16" s="182">
        <v>41824900</v>
      </c>
      <c r="BM16" s="184">
        <v>104196900</v>
      </c>
      <c r="BN16" s="93">
        <v>202706800</v>
      </c>
      <c r="BO16" s="182">
        <v>67799000</v>
      </c>
      <c r="BP16" s="182">
        <v>70063100</v>
      </c>
      <c r="BQ16" s="182">
        <v>61200000</v>
      </c>
      <c r="BR16" s="184">
        <v>26359100</v>
      </c>
      <c r="BS16" s="93">
        <v>225421200</v>
      </c>
      <c r="BT16" s="182">
        <v>6800000</v>
      </c>
      <c r="BU16" s="182">
        <v>18585000</v>
      </c>
      <c r="BV16" s="182">
        <v>48797000</v>
      </c>
      <c r="BW16" s="184">
        <v>54291200</v>
      </c>
      <c r="BX16" s="93">
        <v>128473200</v>
      </c>
      <c r="BY16" s="182">
        <v>38500000</v>
      </c>
      <c r="BZ16" s="182">
        <v>34402100</v>
      </c>
      <c r="CA16" s="182">
        <v>14649000</v>
      </c>
      <c r="CB16" s="184">
        <v>30336100</v>
      </c>
      <c r="CC16" s="93">
        <v>117887200</v>
      </c>
      <c r="CD16" s="182">
        <v>63047200</v>
      </c>
      <c r="CE16" s="182">
        <v>120780000</v>
      </c>
      <c r="CF16" s="182">
        <v>61429900</v>
      </c>
      <c r="CG16" s="184">
        <v>35104000</v>
      </c>
      <c r="CH16" s="93">
        <v>280361100</v>
      </c>
      <c r="CI16" s="196">
        <v>54025300</v>
      </c>
      <c r="CJ16" s="200">
        <v>48711900</v>
      </c>
      <c r="CK16" s="86">
        <v>102737200</v>
      </c>
    </row>
    <row r="17" spans="1:89" s="14" customFormat="1" ht="13.5" customHeight="1">
      <c r="A17" s="180" t="s">
        <v>21</v>
      </c>
      <c r="B17" s="182">
        <v>19337900</v>
      </c>
      <c r="C17" s="182">
        <v>18946000</v>
      </c>
      <c r="D17" s="182">
        <v>4600000</v>
      </c>
      <c r="E17" s="184">
        <v>26800000</v>
      </c>
      <c r="F17" s="93">
        <v>69683900</v>
      </c>
      <c r="G17" s="182">
        <v>16424000</v>
      </c>
      <c r="H17" s="182">
        <v>10400000</v>
      </c>
      <c r="I17" s="182">
        <v>48425000</v>
      </c>
      <c r="J17" s="184">
        <v>15100000</v>
      </c>
      <c r="K17" s="93">
        <v>90349000</v>
      </c>
      <c r="L17" s="182">
        <v>7250100</v>
      </c>
      <c r="M17" s="182">
        <v>12749000</v>
      </c>
      <c r="N17" s="182">
        <v>14700000</v>
      </c>
      <c r="O17" s="184">
        <v>89115000</v>
      </c>
      <c r="P17" s="93">
        <v>123814100</v>
      </c>
      <c r="Q17" s="182">
        <v>17135000</v>
      </c>
      <c r="R17" s="182">
        <v>7000000</v>
      </c>
      <c r="S17" s="182">
        <v>11298900</v>
      </c>
      <c r="T17" s="184">
        <v>12115000</v>
      </c>
      <c r="U17" s="93">
        <v>47548900</v>
      </c>
      <c r="V17" s="182">
        <v>19450000</v>
      </c>
      <c r="W17" s="182">
        <v>20802000</v>
      </c>
      <c r="X17" s="182">
        <v>11474000</v>
      </c>
      <c r="Y17" s="184">
        <v>29700000</v>
      </c>
      <c r="Z17" s="93">
        <v>81426000</v>
      </c>
      <c r="AA17" s="182">
        <v>4400100</v>
      </c>
      <c r="AB17" s="182">
        <v>50485100</v>
      </c>
      <c r="AC17" s="182">
        <v>82665900</v>
      </c>
      <c r="AD17" s="184">
        <v>27282000</v>
      </c>
      <c r="AE17" s="93">
        <v>164833100</v>
      </c>
      <c r="AF17" s="182">
        <v>21720000</v>
      </c>
      <c r="AG17" s="182">
        <v>35099900</v>
      </c>
      <c r="AH17" s="182">
        <v>12796000</v>
      </c>
      <c r="AI17" s="184">
        <v>33725000</v>
      </c>
      <c r="AJ17" s="93">
        <v>103340900</v>
      </c>
      <c r="AK17" s="182">
        <v>24300000</v>
      </c>
      <c r="AL17" s="182">
        <v>6600000</v>
      </c>
      <c r="AM17" s="182">
        <v>22681100</v>
      </c>
      <c r="AN17" s="184">
        <v>28750200</v>
      </c>
      <c r="AO17" s="93">
        <v>82331300</v>
      </c>
      <c r="AP17" s="182">
        <v>500000</v>
      </c>
      <c r="AQ17" s="182">
        <v>11050000</v>
      </c>
      <c r="AR17" s="182">
        <v>29981200</v>
      </c>
      <c r="AS17" s="184">
        <v>20013500</v>
      </c>
      <c r="AT17" s="93">
        <v>61544700</v>
      </c>
      <c r="AU17" s="182"/>
      <c r="AV17" s="182">
        <v>40290000</v>
      </c>
      <c r="AW17" s="182">
        <v>33550000</v>
      </c>
      <c r="AX17" s="184">
        <v>19767000</v>
      </c>
      <c r="AY17" s="93">
        <v>93607000</v>
      </c>
      <c r="AZ17" s="182">
        <v>40757200</v>
      </c>
      <c r="BA17" s="182">
        <v>19617000</v>
      </c>
      <c r="BB17" s="182">
        <v>35363000</v>
      </c>
      <c r="BC17" s="184">
        <v>51664700</v>
      </c>
      <c r="BD17" s="93">
        <v>147401900</v>
      </c>
      <c r="BE17" s="182">
        <v>26248700</v>
      </c>
      <c r="BF17" s="182">
        <v>28283000</v>
      </c>
      <c r="BG17" s="182">
        <v>69264400</v>
      </c>
      <c r="BH17" s="184">
        <v>14974400</v>
      </c>
      <c r="BI17" s="93">
        <v>138770500</v>
      </c>
      <c r="BJ17" s="182">
        <v>55690000</v>
      </c>
      <c r="BK17" s="182">
        <v>25362000</v>
      </c>
      <c r="BL17" s="182">
        <v>5390100</v>
      </c>
      <c r="BM17" s="184">
        <v>28029000</v>
      </c>
      <c r="BN17" s="93">
        <v>114471100</v>
      </c>
      <c r="BO17" s="182">
        <v>9184900</v>
      </c>
      <c r="BP17" s="182">
        <v>14300000</v>
      </c>
      <c r="BQ17" s="182">
        <v>8556000</v>
      </c>
      <c r="BR17" s="184">
        <v>27464000</v>
      </c>
      <c r="BS17" s="93">
        <v>59504900</v>
      </c>
      <c r="BT17" s="182">
        <v>7809000</v>
      </c>
      <c r="BU17" s="182">
        <v>34829000</v>
      </c>
      <c r="BV17" s="182">
        <v>416000</v>
      </c>
      <c r="BW17" s="184">
        <v>1575200</v>
      </c>
      <c r="BX17" s="93">
        <v>44629200</v>
      </c>
      <c r="BY17" s="182">
        <v>4500000</v>
      </c>
      <c r="BZ17" s="182">
        <v>21214900</v>
      </c>
      <c r="CA17" s="182">
        <v>20510000</v>
      </c>
      <c r="CB17" s="184">
        <v>19500000</v>
      </c>
      <c r="CC17" s="93">
        <v>65724900</v>
      </c>
      <c r="CD17" s="182">
        <v>32000000</v>
      </c>
      <c r="CE17" s="182">
        <v>450000</v>
      </c>
      <c r="CF17" s="182">
        <v>16540100</v>
      </c>
      <c r="CG17" s="184">
        <v>972000</v>
      </c>
      <c r="CH17" s="93">
        <v>49962100</v>
      </c>
      <c r="CI17" s="196">
        <v>6566000</v>
      </c>
      <c r="CJ17" s="200">
        <v>15000000</v>
      </c>
      <c r="CK17" s="86">
        <v>21566000</v>
      </c>
    </row>
    <row r="18" spans="1:89" s="14" customFormat="1">
      <c r="A18" s="180" t="s">
        <v>22</v>
      </c>
      <c r="B18" s="182">
        <v>39407900</v>
      </c>
      <c r="C18" s="182">
        <v>2100000</v>
      </c>
      <c r="D18" s="182">
        <v>43149000</v>
      </c>
      <c r="E18" s="184">
        <v>29385100</v>
      </c>
      <c r="F18" s="93">
        <v>114042000</v>
      </c>
      <c r="G18" s="182">
        <v>132811000</v>
      </c>
      <c r="H18" s="182">
        <v>45294000</v>
      </c>
      <c r="I18" s="182">
        <v>30271000</v>
      </c>
      <c r="J18" s="184">
        <v>48843000</v>
      </c>
      <c r="K18" s="93">
        <v>257219000</v>
      </c>
      <c r="L18" s="182">
        <v>27097000</v>
      </c>
      <c r="M18" s="182">
        <v>45290000</v>
      </c>
      <c r="N18" s="182">
        <v>143698000</v>
      </c>
      <c r="O18" s="184">
        <v>38057000</v>
      </c>
      <c r="P18" s="93">
        <v>254142000</v>
      </c>
      <c r="Q18" s="182">
        <v>84632000</v>
      </c>
      <c r="R18" s="182">
        <v>142596000</v>
      </c>
      <c r="S18" s="182">
        <v>107108000</v>
      </c>
      <c r="T18" s="184">
        <v>109257500</v>
      </c>
      <c r="U18" s="93">
        <v>443593500</v>
      </c>
      <c r="V18" s="182">
        <v>228215000</v>
      </c>
      <c r="W18" s="182">
        <v>203854000</v>
      </c>
      <c r="X18" s="182">
        <v>241891000</v>
      </c>
      <c r="Y18" s="184">
        <v>178072800</v>
      </c>
      <c r="Z18" s="93">
        <v>852032800</v>
      </c>
      <c r="AA18" s="182">
        <v>447219200</v>
      </c>
      <c r="AB18" s="182">
        <v>383123100</v>
      </c>
      <c r="AC18" s="182">
        <v>343248200</v>
      </c>
      <c r="AD18" s="184">
        <v>326244300</v>
      </c>
      <c r="AE18" s="93">
        <v>1499834800</v>
      </c>
      <c r="AF18" s="182">
        <v>179512300</v>
      </c>
      <c r="AG18" s="182">
        <v>26171000</v>
      </c>
      <c r="AH18" s="182">
        <v>32864000</v>
      </c>
      <c r="AI18" s="184">
        <v>99800000</v>
      </c>
      <c r="AJ18" s="93">
        <v>338347300</v>
      </c>
      <c r="AK18" s="182">
        <v>26288000</v>
      </c>
      <c r="AL18" s="182">
        <v>20074800</v>
      </c>
      <c r="AM18" s="182">
        <v>17677000</v>
      </c>
      <c r="AN18" s="184">
        <v>19800000</v>
      </c>
      <c r="AO18" s="93">
        <v>83839800</v>
      </c>
      <c r="AP18" s="182">
        <v>7550000</v>
      </c>
      <c r="AQ18" s="182">
        <v>20655100</v>
      </c>
      <c r="AR18" s="182">
        <v>1700000</v>
      </c>
      <c r="AS18" s="184">
        <v>64500000</v>
      </c>
      <c r="AT18" s="93">
        <v>94405100</v>
      </c>
      <c r="AU18" s="182">
        <v>77745000</v>
      </c>
      <c r="AV18" s="182">
        <v>121449800</v>
      </c>
      <c r="AW18" s="182">
        <v>22500000</v>
      </c>
      <c r="AX18" s="184">
        <v>22425000</v>
      </c>
      <c r="AY18" s="93">
        <v>244119800</v>
      </c>
      <c r="AZ18" s="182">
        <v>87800100</v>
      </c>
      <c r="BA18" s="182">
        <v>340265300</v>
      </c>
      <c r="BB18" s="182">
        <v>144303100</v>
      </c>
      <c r="BC18" s="184">
        <v>70560000</v>
      </c>
      <c r="BD18" s="93">
        <v>642928500</v>
      </c>
      <c r="BE18" s="182">
        <v>73951400</v>
      </c>
      <c r="BF18" s="182">
        <v>58455100</v>
      </c>
      <c r="BG18" s="182">
        <v>30150000</v>
      </c>
      <c r="BH18" s="184">
        <v>29559100</v>
      </c>
      <c r="BI18" s="93">
        <v>192115600</v>
      </c>
      <c r="BJ18" s="182">
        <v>23957000</v>
      </c>
      <c r="BK18" s="182">
        <v>57175000</v>
      </c>
      <c r="BL18" s="182">
        <v>105667100</v>
      </c>
      <c r="BM18" s="184">
        <v>129839000</v>
      </c>
      <c r="BN18" s="93">
        <v>316638100</v>
      </c>
      <c r="BO18" s="182">
        <v>65735000</v>
      </c>
      <c r="BP18" s="182">
        <v>70170100</v>
      </c>
      <c r="BQ18" s="182">
        <v>63139000</v>
      </c>
      <c r="BR18" s="184">
        <v>57263100</v>
      </c>
      <c r="BS18" s="93">
        <v>256307200</v>
      </c>
      <c r="BT18" s="182">
        <v>9000000</v>
      </c>
      <c r="BU18" s="182">
        <v>1800000</v>
      </c>
      <c r="BV18" s="182">
        <v>26780000</v>
      </c>
      <c r="BW18" s="184">
        <v>113571100</v>
      </c>
      <c r="BX18" s="93">
        <v>151151100</v>
      </c>
      <c r="BY18" s="182">
        <v>127720900</v>
      </c>
      <c r="BZ18" s="182">
        <v>33600000</v>
      </c>
      <c r="CA18" s="182">
        <v>49405000</v>
      </c>
      <c r="CB18" s="184">
        <v>37919000</v>
      </c>
      <c r="CC18" s="93">
        <v>248644900</v>
      </c>
      <c r="CD18" s="182">
        <v>20148000</v>
      </c>
      <c r="CE18" s="182">
        <v>23388000</v>
      </c>
      <c r="CF18" s="182">
        <v>23000000</v>
      </c>
      <c r="CG18" s="184">
        <v>4399900</v>
      </c>
      <c r="CH18" s="93">
        <v>70935900</v>
      </c>
      <c r="CI18" s="196">
        <v>4225000</v>
      </c>
      <c r="CJ18" s="200">
        <v>5438000</v>
      </c>
      <c r="CK18" s="86">
        <v>9663000</v>
      </c>
    </row>
    <row r="19" spans="1:89" s="14" customFormat="1">
      <c r="A19" s="180" t="s">
        <v>23</v>
      </c>
      <c r="B19" s="182">
        <v>37773900</v>
      </c>
      <c r="C19" s="182">
        <v>163896000</v>
      </c>
      <c r="D19" s="182">
        <v>18800100</v>
      </c>
      <c r="E19" s="184">
        <v>79926000</v>
      </c>
      <c r="F19" s="93">
        <v>300396000</v>
      </c>
      <c r="G19" s="182">
        <v>54705000</v>
      </c>
      <c r="H19" s="182">
        <v>80523000</v>
      </c>
      <c r="I19" s="182">
        <v>53626000</v>
      </c>
      <c r="J19" s="184">
        <v>85084000</v>
      </c>
      <c r="K19" s="93">
        <v>273938000</v>
      </c>
      <c r="L19" s="182">
        <v>58182000</v>
      </c>
      <c r="M19" s="182">
        <v>171941000</v>
      </c>
      <c r="N19" s="182">
        <v>41884200</v>
      </c>
      <c r="O19" s="184">
        <v>70460000</v>
      </c>
      <c r="P19" s="93">
        <v>342467200</v>
      </c>
      <c r="Q19" s="182">
        <v>32979000</v>
      </c>
      <c r="R19" s="182">
        <v>31730000</v>
      </c>
      <c r="S19" s="182">
        <v>96306000</v>
      </c>
      <c r="T19" s="184">
        <v>83663000</v>
      </c>
      <c r="U19" s="93">
        <v>244678000</v>
      </c>
      <c r="V19" s="182">
        <v>121220000</v>
      </c>
      <c r="W19" s="182">
        <v>44880000</v>
      </c>
      <c r="X19" s="182">
        <v>84114900</v>
      </c>
      <c r="Y19" s="184">
        <v>118300000</v>
      </c>
      <c r="Z19" s="93">
        <v>368514900</v>
      </c>
      <c r="AA19" s="182">
        <v>199588400</v>
      </c>
      <c r="AB19" s="182">
        <v>78780000</v>
      </c>
      <c r="AC19" s="182">
        <v>61535000</v>
      </c>
      <c r="AD19" s="184">
        <v>92599000</v>
      </c>
      <c r="AE19" s="93">
        <v>432502400</v>
      </c>
      <c r="AF19" s="182">
        <v>31550000</v>
      </c>
      <c r="AG19" s="182">
        <v>34314000</v>
      </c>
      <c r="AH19" s="182">
        <v>11963000</v>
      </c>
      <c r="AI19" s="184">
        <v>7100000</v>
      </c>
      <c r="AJ19" s="93">
        <v>84927000</v>
      </c>
      <c r="AK19" s="182">
        <v>27705000</v>
      </c>
      <c r="AL19" s="182">
        <v>12500000</v>
      </c>
      <c r="AM19" s="182">
        <v>58299900</v>
      </c>
      <c r="AN19" s="184">
        <v>56588000</v>
      </c>
      <c r="AO19" s="93">
        <v>155092900</v>
      </c>
      <c r="AP19" s="182">
        <v>21000000</v>
      </c>
      <c r="AQ19" s="182">
        <v>13300000</v>
      </c>
      <c r="AR19" s="182">
        <v>11545000</v>
      </c>
      <c r="AS19" s="184">
        <v>24700000</v>
      </c>
      <c r="AT19" s="93">
        <v>70545000</v>
      </c>
      <c r="AU19" s="182">
        <v>5750000</v>
      </c>
      <c r="AV19" s="182">
        <v>48620700</v>
      </c>
      <c r="AW19" s="182">
        <v>21449900</v>
      </c>
      <c r="AX19" s="184">
        <v>18750000</v>
      </c>
      <c r="AY19" s="93">
        <v>94570600</v>
      </c>
      <c r="AZ19" s="182">
        <v>27125000</v>
      </c>
      <c r="BA19" s="182">
        <v>13500000</v>
      </c>
      <c r="BB19" s="182">
        <v>22100000</v>
      </c>
      <c r="BC19" s="184">
        <v>77967000</v>
      </c>
      <c r="BD19" s="93">
        <v>140692000</v>
      </c>
      <c r="BE19" s="182">
        <v>22899900</v>
      </c>
      <c r="BF19" s="182">
        <v>11130900</v>
      </c>
      <c r="BG19" s="182">
        <v>38060000</v>
      </c>
      <c r="BH19" s="184">
        <v>41000000</v>
      </c>
      <c r="BI19" s="93">
        <v>113090800</v>
      </c>
      <c r="BJ19" s="182">
        <v>4850000</v>
      </c>
      <c r="BK19" s="182">
        <v>27792000</v>
      </c>
      <c r="BL19" s="182">
        <v>21088000</v>
      </c>
      <c r="BM19" s="184">
        <v>9100000</v>
      </c>
      <c r="BN19" s="93">
        <v>62830000</v>
      </c>
      <c r="BO19" s="182">
        <v>8850000</v>
      </c>
      <c r="BP19" s="182">
        <v>10791000</v>
      </c>
      <c r="BQ19" s="182">
        <v>6363000</v>
      </c>
      <c r="BR19" s="184">
        <v>5965000</v>
      </c>
      <c r="BS19" s="93">
        <v>31969000</v>
      </c>
      <c r="BT19" s="182">
        <v>25000000</v>
      </c>
      <c r="BU19" s="182">
        <v>12850000</v>
      </c>
      <c r="BV19" s="182">
        <v>4871900</v>
      </c>
      <c r="BW19" s="184">
        <v>11800000</v>
      </c>
      <c r="BX19" s="93">
        <v>54521900</v>
      </c>
      <c r="BY19" s="182">
        <v>12950100</v>
      </c>
      <c r="BZ19" s="182">
        <v>25329100</v>
      </c>
      <c r="CA19" s="182">
        <v>83515000</v>
      </c>
      <c r="CB19" s="184">
        <v>16885000</v>
      </c>
      <c r="CC19" s="93">
        <v>138679200</v>
      </c>
      <c r="CD19" s="182">
        <v>42240000</v>
      </c>
      <c r="CE19" s="182">
        <v>6000000</v>
      </c>
      <c r="CF19" s="182">
        <v>42900000</v>
      </c>
      <c r="CG19" s="184">
        <v>7488000</v>
      </c>
      <c r="CH19" s="93">
        <v>98628000</v>
      </c>
      <c r="CI19" s="196">
        <v>2500000</v>
      </c>
      <c r="CJ19" s="200">
        <v>16640000</v>
      </c>
      <c r="CK19" s="86">
        <v>19140000</v>
      </c>
    </row>
    <row r="20" spans="1:89" s="14" customFormat="1">
      <c r="A20" s="180" t="s">
        <v>24</v>
      </c>
      <c r="B20" s="182">
        <v>156484200</v>
      </c>
      <c r="C20" s="182">
        <v>109662000</v>
      </c>
      <c r="D20" s="182">
        <v>80427100</v>
      </c>
      <c r="E20" s="184">
        <v>87502000</v>
      </c>
      <c r="F20" s="93">
        <v>434075300</v>
      </c>
      <c r="G20" s="182">
        <v>25602000</v>
      </c>
      <c r="H20" s="182">
        <v>98177000</v>
      </c>
      <c r="I20" s="182">
        <v>63074200</v>
      </c>
      <c r="J20" s="184">
        <v>88126800</v>
      </c>
      <c r="K20" s="93">
        <v>274980000</v>
      </c>
      <c r="L20" s="182">
        <v>46622800</v>
      </c>
      <c r="M20" s="182">
        <v>137693000</v>
      </c>
      <c r="N20" s="182">
        <v>112356000</v>
      </c>
      <c r="O20" s="184">
        <v>67553000</v>
      </c>
      <c r="P20" s="93">
        <v>364224800</v>
      </c>
      <c r="Q20" s="182">
        <v>135818000</v>
      </c>
      <c r="R20" s="182">
        <v>377001100</v>
      </c>
      <c r="S20" s="182">
        <v>189902500</v>
      </c>
      <c r="T20" s="184">
        <v>193643900</v>
      </c>
      <c r="U20" s="93">
        <v>896365500</v>
      </c>
      <c r="V20" s="182">
        <v>32090000</v>
      </c>
      <c r="W20" s="182">
        <v>85553000</v>
      </c>
      <c r="X20" s="182">
        <v>100783000</v>
      </c>
      <c r="Y20" s="184">
        <v>524637800</v>
      </c>
      <c r="Z20" s="93">
        <v>743063800</v>
      </c>
      <c r="AA20" s="182">
        <v>387376100</v>
      </c>
      <c r="AB20" s="182">
        <v>189282100</v>
      </c>
      <c r="AC20" s="182">
        <v>220324000</v>
      </c>
      <c r="AD20" s="184">
        <v>295859000</v>
      </c>
      <c r="AE20" s="93">
        <v>1092841200</v>
      </c>
      <c r="AF20" s="182">
        <v>221249700</v>
      </c>
      <c r="AG20" s="182">
        <v>87732000</v>
      </c>
      <c r="AH20" s="182">
        <v>77920000</v>
      </c>
      <c r="AI20" s="184">
        <v>103148100</v>
      </c>
      <c r="AJ20" s="93">
        <v>490049800</v>
      </c>
      <c r="AK20" s="182">
        <v>250253100</v>
      </c>
      <c r="AL20" s="182">
        <v>63991100</v>
      </c>
      <c r="AM20" s="182">
        <v>71165000</v>
      </c>
      <c r="AN20" s="184">
        <v>50700100</v>
      </c>
      <c r="AO20" s="93">
        <v>436109300</v>
      </c>
      <c r="AP20" s="182">
        <v>35042000</v>
      </c>
      <c r="AQ20" s="182">
        <v>46623000</v>
      </c>
      <c r="AR20" s="182">
        <v>86234000</v>
      </c>
      <c r="AS20" s="184">
        <v>83479800</v>
      </c>
      <c r="AT20" s="93">
        <v>251378800</v>
      </c>
      <c r="AU20" s="182">
        <v>56885000</v>
      </c>
      <c r="AV20" s="182">
        <v>72140100</v>
      </c>
      <c r="AW20" s="182">
        <v>103498000</v>
      </c>
      <c r="AX20" s="184">
        <v>77599800</v>
      </c>
      <c r="AY20" s="93">
        <v>310122900</v>
      </c>
      <c r="AZ20" s="182">
        <v>147445000</v>
      </c>
      <c r="BA20" s="182">
        <v>148860000</v>
      </c>
      <c r="BB20" s="182">
        <v>149659900</v>
      </c>
      <c r="BC20" s="184">
        <v>90475000</v>
      </c>
      <c r="BD20" s="93">
        <v>536439900</v>
      </c>
      <c r="BE20" s="182">
        <v>83529000</v>
      </c>
      <c r="BF20" s="182">
        <v>253242100</v>
      </c>
      <c r="BG20" s="182">
        <v>160924900</v>
      </c>
      <c r="BH20" s="184">
        <v>212521000</v>
      </c>
      <c r="BI20" s="93">
        <v>710217000</v>
      </c>
      <c r="BJ20" s="182">
        <v>120472200</v>
      </c>
      <c r="BK20" s="182">
        <v>214839100</v>
      </c>
      <c r="BL20" s="182">
        <v>468983200</v>
      </c>
      <c r="BM20" s="184">
        <v>499580800</v>
      </c>
      <c r="BN20" s="93">
        <v>1303875300</v>
      </c>
      <c r="BO20" s="182">
        <v>274706900</v>
      </c>
      <c r="BP20" s="182">
        <v>413498000</v>
      </c>
      <c r="BQ20" s="182">
        <v>417625000</v>
      </c>
      <c r="BR20" s="184">
        <v>158995300</v>
      </c>
      <c r="BS20" s="93">
        <v>1264825200</v>
      </c>
      <c r="BT20" s="182">
        <v>71143300</v>
      </c>
      <c r="BU20" s="182">
        <v>168035700</v>
      </c>
      <c r="BV20" s="182">
        <v>209273200</v>
      </c>
      <c r="BW20" s="184">
        <v>87018800</v>
      </c>
      <c r="BX20" s="93">
        <v>535471000</v>
      </c>
      <c r="BY20" s="182">
        <v>130133100</v>
      </c>
      <c r="BZ20" s="182">
        <v>169282900</v>
      </c>
      <c r="CA20" s="182">
        <v>67560100</v>
      </c>
      <c r="CB20" s="184">
        <v>74101000</v>
      </c>
      <c r="CC20" s="93">
        <v>441077100</v>
      </c>
      <c r="CD20" s="182">
        <v>160440400</v>
      </c>
      <c r="CE20" s="182">
        <v>161838100</v>
      </c>
      <c r="CF20" s="182">
        <v>488231100</v>
      </c>
      <c r="CG20" s="184">
        <v>96236100</v>
      </c>
      <c r="CH20" s="93">
        <v>906745700</v>
      </c>
      <c r="CI20" s="196">
        <v>85045100</v>
      </c>
      <c r="CJ20" s="200">
        <v>56804800</v>
      </c>
      <c r="CK20" s="86">
        <v>141849900</v>
      </c>
    </row>
    <row r="21" spans="1:89" s="14" customFormat="1">
      <c r="A21" s="180" t="s">
        <v>25</v>
      </c>
      <c r="B21" s="182">
        <v>25411100</v>
      </c>
      <c r="C21" s="182">
        <v>1630000</v>
      </c>
      <c r="D21" s="182">
        <v>11349000</v>
      </c>
      <c r="E21" s="184">
        <v>12355000</v>
      </c>
      <c r="F21" s="93">
        <v>50745100</v>
      </c>
      <c r="G21" s="182">
        <v>27247900</v>
      </c>
      <c r="H21" s="182">
        <v>47193000</v>
      </c>
      <c r="I21" s="182">
        <v>63152900</v>
      </c>
      <c r="J21" s="184">
        <v>83170100</v>
      </c>
      <c r="K21" s="93">
        <v>220763900</v>
      </c>
      <c r="L21" s="182">
        <v>74924200</v>
      </c>
      <c r="M21" s="182">
        <v>69048900</v>
      </c>
      <c r="N21" s="182">
        <v>31593000</v>
      </c>
      <c r="O21" s="184">
        <v>70525000</v>
      </c>
      <c r="P21" s="93">
        <v>246091100</v>
      </c>
      <c r="Q21" s="182">
        <v>49757600</v>
      </c>
      <c r="R21" s="182">
        <v>67045000</v>
      </c>
      <c r="S21" s="182">
        <v>122567000</v>
      </c>
      <c r="T21" s="184">
        <v>140268100</v>
      </c>
      <c r="U21" s="93">
        <v>379637700</v>
      </c>
      <c r="V21" s="182">
        <v>223436900</v>
      </c>
      <c r="W21" s="182">
        <v>219208100</v>
      </c>
      <c r="X21" s="182">
        <v>413547000</v>
      </c>
      <c r="Y21" s="184">
        <v>689337700</v>
      </c>
      <c r="Z21" s="93">
        <v>1545529700</v>
      </c>
      <c r="AA21" s="182">
        <v>997776000</v>
      </c>
      <c r="AB21" s="182">
        <v>917823200</v>
      </c>
      <c r="AC21" s="182">
        <v>367879100</v>
      </c>
      <c r="AD21" s="184">
        <v>367839100</v>
      </c>
      <c r="AE21" s="93">
        <v>2651317400</v>
      </c>
      <c r="AF21" s="182">
        <v>72621200</v>
      </c>
      <c r="AG21" s="182">
        <v>83652900</v>
      </c>
      <c r="AH21" s="182">
        <v>59850700</v>
      </c>
      <c r="AI21" s="184">
        <v>75450900</v>
      </c>
      <c r="AJ21" s="93">
        <v>291575700</v>
      </c>
      <c r="AK21" s="182">
        <v>28722000</v>
      </c>
      <c r="AL21" s="182">
        <v>82950000</v>
      </c>
      <c r="AM21" s="182">
        <v>18940000</v>
      </c>
      <c r="AN21" s="184">
        <v>47060000</v>
      </c>
      <c r="AO21" s="93">
        <v>177672000</v>
      </c>
      <c r="AP21" s="182">
        <v>25262000</v>
      </c>
      <c r="AQ21" s="182">
        <v>53780000</v>
      </c>
      <c r="AR21" s="182">
        <v>24860000</v>
      </c>
      <c r="AS21" s="184">
        <v>59610100</v>
      </c>
      <c r="AT21" s="93">
        <v>163512100</v>
      </c>
      <c r="AU21" s="182">
        <v>84218000</v>
      </c>
      <c r="AV21" s="182">
        <v>11818000</v>
      </c>
      <c r="AW21" s="182">
        <v>48018000</v>
      </c>
      <c r="AX21" s="184">
        <v>50159000</v>
      </c>
      <c r="AY21" s="93">
        <v>194213000</v>
      </c>
      <c r="AZ21" s="182">
        <v>165076900</v>
      </c>
      <c r="BA21" s="182">
        <v>54477100</v>
      </c>
      <c r="BB21" s="182">
        <v>68522900</v>
      </c>
      <c r="BC21" s="184">
        <v>47251000</v>
      </c>
      <c r="BD21" s="93">
        <v>335327900</v>
      </c>
      <c r="BE21" s="182">
        <v>71089000</v>
      </c>
      <c r="BF21" s="182">
        <v>100189900</v>
      </c>
      <c r="BG21" s="182">
        <v>120220000</v>
      </c>
      <c r="BH21" s="184">
        <v>93747100</v>
      </c>
      <c r="BI21" s="93">
        <v>385246000</v>
      </c>
      <c r="BJ21" s="182">
        <v>157668800</v>
      </c>
      <c r="BK21" s="182">
        <v>121668200</v>
      </c>
      <c r="BL21" s="182">
        <v>129737400</v>
      </c>
      <c r="BM21" s="184">
        <v>87875800</v>
      </c>
      <c r="BN21" s="93">
        <v>496950200</v>
      </c>
      <c r="BO21" s="182">
        <v>188423000</v>
      </c>
      <c r="BP21" s="182">
        <v>189272100</v>
      </c>
      <c r="BQ21" s="182">
        <v>164682600</v>
      </c>
      <c r="BR21" s="184">
        <v>121143100</v>
      </c>
      <c r="BS21" s="93">
        <v>663520800</v>
      </c>
      <c r="BT21" s="182">
        <v>77200100</v>
      </c>
      <c r="BU21" s="182">
        <v>79034800</v>
      </c>
      <c r="BV21" s="182">
        <v>57914300</v>
      </c>
      <c r="BW21" s="184">
        <v>71810800</v>
      </c>
      <c r="BX21" s="93">
        <v>285960000</v>
      </c>
      <c r="BY21" s="182">
        <v>45424900</v>
      </c>
      <c r="BZ21" s="182">
        <v>88134800</v>
      </c>
      <c r="CA21" s="182">
        <v>167404200</v>
      </c>
      <c r="CB21" s="184">
        <v>97183100</v>
      </c>
      <c r="CC21" s="93">
        <v>398147000</v>
      </c>
      <c r="CD21" s="182">
        <v>169972300</v>
      </c>
      <c r="CE21" s="182">
        <v>120370200</v>
      </c>
      <c r="CF21" s="182">
        <v>163287800</v>
      </c>
      <c r="CG21" s="184">
        <v>81941900</v>
      </c>
      <c r="CH21" s="93">
        <v>535572200</v>
      </c>
      <c r="CI21" s="196">
        <v>86593000</v>
      </c>
      <c r="CJ21" s="200">
        <v>97797900</v>
      </c>
      <c r="CK21" s="86">
        <v>184390900</v>
      </c>
    </row>
    <row r="22" spans="1:89" s="14" customFormat="1">
      <c r="A22" s="180" t="s">
        <v>26</v>
      </c>
      <c r="B22" s="182">
        <v>40057000</v>
      </c>
      <c r="C22" s="182">
        <v>628071100</v>
      </c>
      <c r="D22" s="182">
        <v>50242000</v>
      </c>
      <c r="E22" s="184">
        <v>56760000</v>
      </c>
      <c r="F22" s="93">
        <v>775130100</v>
      </c>
      <c r="G22" s="182">
        <v>137117000</v>
      </c>
      <c r="H22" s="182">
        <v>84543000</v>
      </c>
      <c r="I22" s="182">
        <v>40637000</v>
      </c>
      <c r="J22" s="184">
        <v>102500000</v>
      </c>
      <c r="K22" s="93">
        <v>364797000</v>
      </c>
      <c r="L22" s="182">
        <v>92808000</v>
      </c>
      <c r="M22" s="182">
        <v>105623900</v>
      </c>
      <c r="N22" s="182">
        <v>56732000</v>
      </c>
      <c r="O22" s="184">
        <v>137504200</v>
      </c>
      <c r="P22" s="93">
        <v>392668100</v>
      </c>
      <c r="Q22" s="182">
        <v>180013000</v>
      </c>
      <c r="R22" s="182">
        <v>170082100</v>
      </c>
      <c r="S22" s="182">
        <v>96184000</v>
      </c>
      <c r="T22" s="184">
        <v>242075200</v>
      </c>
      <c r="U22" s="93">
        <v>688354300</v>
      </c>
      <c r="V22" s="182">
        <v>171983000</v>
      </c>
      <c r="W22" s="182">
        <v>478581100</v>
      </c>
      <c r="X22" s="182">
        <v>494882200</v>
      </c>
      <c r="Y22" s="184">
        <v>1068233900</v>
      </c>
      <c r="Z22" s="93">
        <v>2213680200</v>
      </c>
      <c r="AA22" s="182">
        <v>1299515100</v>
      </c>
      <c r="AB22" s="182">
        <v>953307200</v>
      </c>
      <c r="AC22" s="182">
        <v>360794100</v>
      </c>
      <c r="AD22" s="184">
        <v>328719300</v>
      </c>
      <c r="AE22" s="93">
        <v>2942335700</v>
      </c>
      <c r="AF22" s="182">
        <v>166446100</v>
      </c>
      <c r="AG22" s="182">
        <v>95303300</v>
      </c>
      <c r="AH22" s="182">
        <v>63296100</v>
      </c>
      <c r="AI22" s="184">
        <v>14595000</v>
      </c>
      <c r="AJ22" s="93">
        <v>339640500</v>
      </c>
      <c r="AK22" s="182">
        <v>73023700</v>
      </c>
      <c r="AL22" s="182">
        <v>62570000</v>
      </c>
      <c r="AM22" s="182">
        <v>45443000</v>
      </c>
      <c r="AN22" s="184">
        <v>26491900</v>
      </c>
      <c r="AO22" s="93">
        <v>207528600</v>
      </c>
      <c r="AP22" s="182">
        <v>57600000</v>
      </c>
      <c r="AQ22" s="182">
        <v>55750200</v>
      </c>
      <c r="AR22" s="182">
        <v>55928200</v>
      </c>
      <c r="AS22" s="184">
        <v>46970000</v>
      </c>
      <c r="AT22" s="93">
        <v>216248400</v>
      </c>
      <c r="AU22" s="182">
        <v>24531000</v>
      </c>
      <c r="AV22" s="182">
        <v>182095100</v>
      </c>
      <c r="AW22" s="182">
        <v>87725000</v>
      </c>
      <c r="AX22" s="184">
        <v>437107200</v>
      </c>
      <c r="AY22" s="93">
        <v>731458300</v>
      </c>
      <c r="AZ22" s="182">
        <v>208311000</v>
      </c>
      <c r="BA22" s="182">
        <v>115124100</v>
      </c>
      <c r="BB22" s="182">
        <v>102637000</v>
      </c>
      <c r="BC22" s="184">
        <v>140175200</v>
      </c>
      <c r="BD22" s="93">
        <v>566247300</v>
      </c>
      <c r="BE22" s="182">
        <v>172962100</v>
      </c>
      <c r="BF22" s="182">
        <v>125322800</v>
      </c>
      <c r="BG22" s="182">
        <v>193185200</v>
      </c>
      <c r="BH22" s="184">
        <v>149564300</v>
      </c>
      <c r="BI22" s="93">
        <v>641034400</v>
      </c>
      <c r="BJ22" s="182">
        <v>117684200</v>
      </c>
      <c r="BK22" s="182">
        <v>151248900</v>
      </c>
      <c r="BL22" s="182">
        <v>175737000</v>
      </c>
      <c r="BM22" s="184">
        <v>188211200</v>
      </c>
      <c r="BN22" s="93">
        <v>632881300</v>
      </c>
      <c r="BO22" s="182">
        <v>213564400</v>
      </c>
      <c r="BP22" s="182">
        <v>125843400</v>
      </c>
      <c r="BQ22" s="182">
        <v>123799500</v>
      </c>
      <c r="BR22" s="184">
        <v>60267000</v>
      </c>
      <c r="BS22" s="93">
        <v>523474300</v>
      </c>
      <c r="BT22" s="182">
        <v>80168000</v>
      </c>
      <c r="BU22" s="182">
        <v>22285000</v>
      </c>
      <c r="BV22" s="182">
        <v>45869100</v>
      </c>
      <c r="BW22" s="184">
        <v>106423900</v>
      </c>
      <c r="BX22" s="93">
        <v>254746000</v>
      </c>
      <c r="BY22" s="182">
        <v>102038600</v>
      </c>
      <c r="BZ22" s="182">
        <v>92875300</v>
      </c>
      <c r="CA22" s="182">
        <v>136236300</v>
      </c>
      <c r="CB22" s="184">
        <v>81304400</v>
      </c>
      <c r="CC22" s="93">
        <v>412454600</v>
      </c>
      <c r="CD22" s="182">
        <v>152915300</v>
      </c>
      <c r="CE22" s="182">
        <v>196074500</v>
      </c>
      <c r="CF22" s="182">
        <v>111629300</v>
      </c>
      <c r="CG22" s="184">
        <v>128533900</v>
      </c>
      <c r="CH22" s="93">
        <v>589153000</v>
      </c>
      <c r="CI22" s="196">
        <v>48282600</v>
      </c>
      <c r="CJ22" s="200">
        <v>181781100</v>
      </c>
      <c r="CK22" s="86">
        <v>230063700</v>
      </c>
    </row>
    <row r="23" spans="1:89" s="14" customFormat="1">
      <c r="A23" s="180" t="s">
        <v>27</v>
      </c>
      <c r="B23" s="182">
        <v>61501000</v>
      </c>
      <c r="C23" s="182">
        <v>48297100</v>
      </c>
      <c r="D23" s="182">
        <v>41784100</v>
      </c>
      <c r="E23" s="184">
        <v>26772900</v>
      </c>
      <c r="F23" s="93">
        <v>178355100</v>
      </c>
      <c r="G23" s="182">
        <v>45186000</v>
      </c>
      <c r="H23" s="182">
        <v>68249900</v>
      </c>
      <c r="I23" s="182">
        <v>21140000</v>
      </c>
      <c r="J23" s="184">
        <v>75964000</v>
      </c>
      <c r="K23" s="93">
        <v>210539900</v>
      </c>
      <c r="L23" s="182">
        <v>45206900</v>
      </c>
      <c r="M23" s="182">
        <v>35193900</v>
      </c>
      <c r="N23" s="182">
        <v>81854900</v>
      </c>
      <c r="O23" s="184">
        <v>91582200</v>
      </c>
      <c r="P23" s="93">
        <v>253837900</v>
      </c>
      <c r="Q23" s="182">
        <v>65670000</v>
      </c>
      <c r="R23" s="182">
        <v>65616000</v>
      </c>
      <c r="S23" s="182">
        <v>55178500</v>
      </c>
      <c r="T23" s="184">
        <v>89785100</v>
      </c>
      <c r="U23" s="93">
        <v>276249600</v>
      </c>
      <c r="V23" s="182">
        <v>78782000</v>
      </c>
      <c r="W23" s="182">
        <v>59584000</v>
      </c>
      <c r="X23" s="182">
        <v>91783000</v>
      </c>
      <c r="Y23" s="184">
        <v>77968000</v>
      </c>
      <c r="Z23" s="93">
        <v>308117000</v>
      </c>
      <c r="AA23" s="182">
        <v>34303000</v>
      </c>
      <c r="AB23" s="182">
        <v>46613000</v>
      </c>
      <c r="AC23" s="182">
        <v>142011100</v>
      </c>
      <c r="AD23" s="184">
        <v>112204000</v>
      </c>
      <c r="AE23" s="93">
        <v>335131100</v>
      </c>
      <c r="AF23" s="182">
        <v>98340000</v>
      </c>
      <c r="AG23" s="182">
        <v>107902000</v>
      </c>
      <c r="AH23" s="182">
        <v>45542100</v>
      </c>
      <c r="AI23" s="184">
        <v>25579000</v>
      </c>
      <c r="AJ23" s="93">
        <v>277363100</v>
      </c>
      <c r="AK23" s="182">
        <v>55152000</v>
      </c>
      <c r="AL23" s="182">
        <v>76510000</v>
      </c>
      <c r="AM23" s="182">
        <v>67315100</v>
      </c>
      <c r="AN23" s="184">
        <v>53044900</v>
      </c>
      <c r="AO23" s="93">
        <v>252022000</v>
      </c>
      <c r="AP23" s="182">
        <v>66893900</v>
      </c>
      <c r="AQ23" s="182">
        <v>86779000</v>
      </c>
      <c r="AR23" s="182">
        <v>80478100</v>
      </c>
      <c r="AS23" s="184">
        <v>74451800</v>
      </c>
      <c r="AT23" s="93">
        <v>308602800</v>
      </c>
      <c r="AU23" s="182">
        <v>52271000</v>
      </c>
      <c r="AV23" s="182">
        <v>39204900</v>
      </c>
      <c r="AW23" s="182">
        <v>90026000</v>
      </c>
      <c r="AX23" s="184">
        <v>128662900</v>
      </c>
      <c r="AY23" s="93">
        <v>310164800</v>
      </c>
      <c r="AZ23" s="182">
        <v>72940100</v>
      </c>
      <c r="BA23" s="182">
        <v>88553500</v>
      </c>
      <c r="BB23" s="182">
        <v>111183100</v>
      </c>
      <c r="BC23" s="184">
        <v>158225700</v>
      </c>
      <c r="BD23" s="93">
        <v>430902400</v>
      </c>
      <c r="BE23" s="182">
        <v>138712100</v>
      </c>
      <c r="BF23" s="182">
        <v>103914900</v>
      </c>
      <c r="BG23" s="182">
        <v>147554200</v>
      </c>
      <c r="BH23" s="184">
        <v>191364000</v>
      </c>
      <c r="BI23" s="93">
        <v>581545200</v>
      </c>
      <c r="BJ23" s="182">
        <v>189636100</v>
      </c>
      <c r="BK23" s="182">
        <v>202235800</v>
      </c>
      <c r="BL23" s="182">
        <v>201736100</v>
      </c>
      <c r="BM23" s="184">
        <v>195197000</v>
      </c>
      <c r="BN23" s="93">
        <v>788805000</v>
      </c>
      <c r="BO23" s="182">
        <v>295742800</v>
      </c>
      <c r="BP23" s="182">
        <v>157863200</v>
      </c>
      <c r="BQ23" s="182">
        <v>137384700</v>
      </c>
      <c r="BR23" s="184">
        <v>99587000</v>
      </c>
      <c r="BS23" s="93">
        <v>690577700</v>
      </c>
      <c r="BT23" s="182">
        <v>45439100</v>
      </c>
      <c r="BU23" s="182">
        <v>124190800</v>
      </c>
      <c r="BV23" s="182">
        <v>61497900</v>
      </c>
      <c r="BW23" s="184">
        <v>69855900</v>
      </c>
      <c r="BX23" s="93">
        <v>300983700</v>
      </c>
      <c r="BY23" s="182">
        <v>67727800</v>
      </c>
      <c r="BZ23" s="182">
        <v>114747100</v>
      </c>
      <c r="CA23" s="182">
        <v>57907900</v>
      </c>
      <c r="CB23" s="184">
        <v>51110500</v>
      </c>
      <c r="CC23" s="93">
        <v>291493300</v>
      </c>
      <c r="CD23" s="182">
        <v>63268200</v>
      </c>
      <c r="CE23" s="182">
        <v>20262000</v>
      </c>
      <c r="CF23" s="182">
        <v>71188100</v>
      </c>
      <c r="CG23" s="184">
        <v>50531000</v>
      </c>
      <c r="CH23" s="93">
        <v>205249300</v>
      </c>
      <c r="CI23" s="196">
        <v>27752000</v>
      </c>
      <c r="CJ23" s="200">
        <v>64112100</v>
      </c>
      <c r="CK23" s="86">
        <v>91864100</v>
      </c>
    </row>
    <row r="24" spans="1:89" s="14" customFormat="1">
      <c r="A24" s="180" t="s">
        <v>28</v>
      </c>
      <c r="B24" s="182">
        <v>20750100</v>
      </c>
      <c r="C24" s="182">
        <v>20349900</v>
      </c>
      <c r="D24" s="182">
        <v>14625000</v>
      </c>
      <c r="E24" s="184">
        <v>39732000</v>
      </c>
      <c r="F24" s="93">
        <v>95457000</v>
      </c>
      <c r="G24" s="182">
        <v>18533000</v>
      </c>
      <c r="H24" s="182">
        <v>58792100</v>
      </c>
      <c r="I24" s="182">
        <v>26531000</v>
      </c>
      <c r="J24" s="184">
        <v>24138000</v>
      </c>
      <c r="K24" s="93">
        <v>127994100</v>
      </c>
      <c r="L24" s="182">
        <v>39321900</v>
      </c>
      <c r="M24" s="182">
        <v>77220800</v>
      </c>
      <c r="N24" s="182">
        <v>48772000</v>
      </c>
      <c r="O24" s="184">
        <v>58936000</v>
      </c>
      <c r="P24" s="93">
        <v>224250700</v>
      </c>
      <c r="Q24" s="182">
        <v>87090200</v>
      </c>
      <c r="R24" s="182">
        <v>72632000</v>
      </c>
      <c r="S24" s="182">
        <v>74521400</v>
      </c>
      <c r="T24" s="184">
        <v>95331000</v>
      </c>
      <c r="U24" s="93">
        <v>329574600</v>
      </c>
      <c r="V24" s="182">
        <v>139079200</v>
      </c>
      <c r="W24" s="182">
        <v>234369200</v>
      </c>
      <c r="X24" s="182">
        <v>460446100</v>
      </c>
      <c r="Y24" s="184">
        <v>776712800</v>
      </c>
      <c r="Z24" s="93">
        <v>1610607300</v>
      </c>
      <c r="AA24" s="182">
        <v>700132300</v>
      </c>
      <c r="AB24" s="182">
        <v>697417000</v>
      </c>
      <c r="AC24" s="182">
        <v>492331000</v>
      </c>
      <c r="AD24" s="184">
        <v>741828700</v>
      </c>
      <c r="AE24" s="93">
        <v>2631709000</v>
      </c>
      <c r="AF24" s="182">
        <v>430599700</v>
      </c>
      <c r="AG24" s="182">
        <v>183562100</v>
      </c>
      <c r="AH24" s="182">
        <v>78253100</v>
      </c>
      <c r="AI24" s="184">
        <v>191998100</v>
      </c>
      <c r="AJ24" s="93">
        <v>884413000</v>
      </c>
      <c r="AK24" s="182">
        <v>72799800</v>
      </c>
      <c r="AL24" s="182">
        <v>98549200</v>
      </c>
      <c r="AM24" s="182">
        <v>51865000</v>
      </c>
      <c r="AN24" s="184">
        <v>25298000</v>
      </c>
      <c r="AO24" s="93">
        <v>248512000</v>
      </c>
      <c r="AP24" s="182">
        <v>33950000</v>
      </c>
      <c r="AQ24" s="182">
        <v>47192000</v>
      </c>
      <c r="AR24" s="182">
        <v>21665000</v>
      </c>
      <c r="AS24" s="184">
        <v>30017100</v>
      </c>
      <c r="AT24" s="93">
        <v>132824100</v>
      </c>
      <c r="AU24" s="182">
        <v>36885000</v>
      </c>
      <c r="AV24" s="182">
        <v>59210100</v>
      </c>
      <c r="AW24" s="182">
        <v>75625100</v>
      </c>
      <c r="AX24" s="184">
        <v>21693000</v>
      </c>
      <c r="AY24" s="93">
        <v>193413200</v>
      </c>
      <c r="AZ24" s="182">
        <v>27441000</v>
      </c>
      <c r="BA24" s="182">
        <v>17860100</v>
      </c>
      <c r="BB24" s="182">
        <v>54550000</v>
      </c>
      <c r="BC24" s="184">
        <v>36025200</v>
      </c>
      <c r="BD24" s="93">
        <v>135876300</v>
      </c>
      <c r="BE24" s="182">
        <v>63282900</v>
      </c>
      <c r="BF24" s="182">
        <v>32259900</v>
      </c>
      <c r="BG24" s="182">
        <v>26550000</v>
      </c>
      <c r="BH24" s="184">
        <v>22999800</v>
      </c>
      <c r="BI24" s="93">
        <v>145092600</v>
      </c>
      <c r="BJ24" s="182">
        <v>31812500</v>
      </c>
      <c r="BK24" s="182">
        <v>63042100</v>
      </c>
      <c r="BL24" s="182">
        <v>43700000</v>
      </c>
      <c r="BM24" s="184">
        <v>56105800</v>
      </c>
      <c r="BN24" s="93">
        <v>194660400</v>
      </c>
      <c r="BO24" s="182">
        <v>9850000</v>
      </c>
      <c r="BP24" s="182">
        <v>2000000</v>
      </c>
      <c r="BQ24" s="182">
        <v>13969000</v>
      </c>
      <c r="BR24" s="184">
        <v>24850000</v>
      </c>
      <c r="BS24" s="93">
        <v>50669000</v>
      </c>
      <c r="BT24" s="182">
        <v>13299000</v>
      </c>
      <c r="BU24" s="182">
        <v>16229100</v>
      </c>
      <c r="BV24" s="182">
        <v>23100100</v>
      </c>
      <c r="BW24" s="184">
        <v>2532000</v>
      </c>
      <c r="BX24" s="93">
        <v>55160200</v>
      </c>
      <c r="BY24" s="182">
        <v>48718000</v>
      </c>
      <c r="BZ24" s="182">
        <v>96460000</v>
      </c>
      <c r="CA24" s="182">
        <v>120000</v>
      </c>
      <c r="CB24" s="184">
        <v>0</v>
      </c>
      <c r="CC24" s="93">
        <v>145298000</v>
      </c>
      <c r="CD24" s="182">
        <v>26018100</v>
      </c>
      <c r="CE24" s="182">
        <v>250000</v>
      </c>
      <c r="CF24" s="182">
        <v>0</v>
      </c>
      <c r="CG24" s="184">
        <v>16000000</v>
      </c>
      <c r="CH24" s="93">
        <v>42268100</v>
      </c>
      <c r="CI24" s="196"/>
      <c r="CJ24" s="200">
        <v>1862200</v>
      </c>
      <c r="CK24" s="86">
        <v>1862200</v>
      </c>
    </row>
    <row r="25" spans="1:89" s="14" customFormat="1">
      <c r="A25" s="180" t="s">
        <v>53</v>
      </c>
      <c r="B25" s="182">
        <v>4750000</v>
      </c>
      <c r="C25" s="182"/>
      <c r="D25" s="182">
        <v>4591000</v>
      </c>
      <c r="E25" s="184">
        <v>2649000</v>
      </c>
      <c r="F25" s="93">
        <v>11990000</v>
      </c>
      <c r="G25" s="182"/>
      <c r="H25" s="182">
        <v>483000</v>
      </c>
      <c r="I25" s="182"/>
      <c r="J25" s="184"/>
      <c r="K25" s="93">
        <v>483000</v>
      </c>
      <c r="L25" s="182">
        <v>325000</v>
      </c>
      <c r="M25" s="182">
        <v>770000</v>
      </c>
      <c r="N25" s="182"/>
      <c r="O25" s="184">
        <v>14967000</v>
      </c>
      <c r="P25" s="93">
        <v>16062000</v>
      </c>
      <c r="Q25" s="182"/>
      <c r="R25" s="182">
        <v>4034000</v>
      </c>
      <c r="S25" s="182">
        <v>20000000</v>
      </c>
      <c r="T25" s="184">
        <v>2737000</v>
      </c>
      <c r="U25" s="93">
        <v>26771000</v>
      </c>
      <c r="V25" s="182">
        <v>500000</v>
      </c>
      <c r="W25" s="182">
        <v>27633000</v>
      </c>
      <c r="X25" s="182">
        <v>14150000</v>
      </c>
      <c r="Y25" s="184">
        <v>50036000</v>
      </c>
      <c r="Z25" s="93">
        <v>92319000</v>
      </c>
      <c r="AA25" s="182"/>
      <c r="AB25" s="182">
        <v>24357000</v>
      </c>
      <c r="AC25" s="182">
        <v>2062000</v>
      </c>
      <c r="AD25" s="184">
        <v>10600000</v>
      </c>
      <c r="AE25" s="93">
        <v>37019000</v>
      </c>
      <c r="AF25" s="182">
        <v>103000</v>
      </c>
      <c r="AG25" s="182">
        <v>5546000</v>
      </c>
      <c r="AH25" s="182">
        <v>3140000</v>
      </c>
      <c r="AI25" s="184">
        <v>27800000</v>
      </c>
      <c r="AJ25" s="93">
        <v>36589000</v>
      </c>
      <c r="AK25" s="182">
        <v>17000000</v>
      </c>
      <c r="AL25" s="182"/>
      <c r="AM25" s="182"/>
      <c r="AN25" s="184"/>
      <c r="AO25" s="93">
        <v>17000000</v>
      </c>
      <c r="AP25" s="182"/>
      <c r="AQ25" s="182"/>
      <c r="AR25" s="182"/>
      <c r="AS25" s="184"/>
      <c r="AT25" s="93"/>
      <c r="AU25" s="182"/>
      <c r="AV25" s="182">
        <v>0</v>
      </c>
      <c r="AW25" s="182"/>
      <c r="AX25" s="184">
        <v>400000</v>
      </c>
      <c r="AY25" s="93">
        <v>400000</v>
      </c>
      <c r="AZ25" s="182">
        <v>0</v>
      </c>
      <c r="BA25" s="182"/>
      <c r="BB25" s="182"/>
      <c r="BC25" s="184">
        <v>0</v>
      </c>
      <c r="BD25" s="93">
        <v>0</v>
      </c>
      <c r="BE25" s="182"/>
      <c r="BF25" s="182"/>
      <c r="BG25" s="182"/>
      <c r="BH25" s="184"/>
      <c r="BI25" s="93"/>
      <c r="BJ25" s="182">
        <v>0</v>
      </c>
      <c r="BK25" s="182">
        <v>13200000</v>
      </c>
      <c r="BL25" s="182">
        <v>0</v>
      </c>
      <c r="BM25" s="184">
        <v>2613000</v>
      </c>
      <c r="BN25" s="93">
        <v>15813000</v>
      </c>
      <c r="BO25" s="182"/>
      <c r="BP25" s="182">
        <v>0</v>
      </c>
      <c r="BQ25" s="182"/>
      <c r="BR25" s="184">
        <v>0</v>
      </c>
      <c r="BS25" s="93">
        <v>0</v>
      </c>
      <c r="BT25" s="182"/>
      <c r="BU25" s="182">
        <v>240000</v>
      </c>
      <c r="BV25" s="182">
        <v>3000000</v>
      </c>
      <c r="BW25" s="184">
        <v>343000</v>
      </c>
      <c r="BX25" s="93">
        <v>3583000</v>
      </c>
      <c r="BY25" s="182">
        <v>80000</v>
      </c>
      <c r="BZ25" s="182"/>
      <c r="CA25" s="182">
        <v>1960000</v>
      </c>
      <c r="CB25" s="184">
        <v>1530000</v>
      </c>
      <c r="CC25" s="93">
        <v>3570000</v>
      </c>
      <c r="CD25" s="182">
        <v>500000</v>
      </c>
      <c r="CE25" s="182">
        <v>8538000</v>
      </c>
      <c r="CF25" s="182">
        <v>6740000</v>
      </c>
      <c r="CG25" s="184">
        <v>1700000</v>
      </c>
      <c r="CH25" s="93">
        <v>17478000</v>
      </c>
      <c r="CI25" s="196">
        <v>10750000</v>
      </c>
      <c r="CJ25" s="200">
        <v>7200000</v>
      </c>
      <c r="CK25" s="86">
        <v>17950000</v>
      </c>
    </row>
    <row r="26" spans="1:89" s="14" customFormat="1">
      <c r="A26" s="180" t="s">
        <v>29</v>
      </c>
      <c r="B26" s="182">
        <v>17419000</v>
      </c>
      <c r="C26" s="182">
        <v>61899300</v>
      </c>
      <c r="D26" s="182">
        <v>93471000</v>
      </c>
      <c r="E26" s="184">
        <v>44933200</v>
      </c>
      <c r="F26" s="93">
        <v>217722500</v>
      </c>
      <c r="G26" s="182">
        <v>10802000</v>
      </c>
      <c r="H26" s="182">
        <v>81900100</v>
      </c>
      <c r="I26" s="182">
        <v>15273000</v>
      </c>
      <c r="J26" s="184">
        <v>21845000</v>
      </c>
      <c r="K26" s="93">
        <v>129820100</v>
      </c>
      <c r="L26" s="182">
        <v>11927900</v>
      </c>
      <c r="M26" s="182">
        <v>64160100</v>
      </c>
      <c r="N26" s="182">
        <v>5890000</v>
      </c>
      <c r="O26" s="184">
        <v>25638000</v>
      </c>
      <c r="P26" s="93">
        <v>107616000</v>
      </c>
      <c r="Q26" s="182">
        <v>31122000</v>
      </c>
      <c r="R26" s="182">
        <v>50125000</v>
      </c>
      <c r="S26" s="182">
        <v>96805000</v>
      </c>
      <c r="T26" s="184">
        <v>49458700</v>
      </c>
      <c r="U26" s="93">
        <v>227510700</v>
      </c>
      <c r="V26" s="182">
        <v>109614000</v>
      </c>
      <c r="W26" s="182">
        <v>99795000</v>
      </c>
      <c r="X26" s="182">
        <v>199057300</v>
      </c>
      <c r="Y26" s="184">
        <v>258678900</v>
      </c>
      <c r="Z26" s="93">
        <v>667145200</v>
      </c>
      <c r="AA26" s="182">
        <v>445866400</v>
      </c>
      <c r="AB26" s="182">
        <v>230094200</v>
      </c>
      <c r="AC26" s="182">
        <v>127220800</v>
      </c>
      <c r="AD26" s="184">
        <v>68101100</v>
      </c>
      <c r="AE26" s="93">
        <v>871282500</v>
      </c>
      <c r="AF26" s="182">
        <v>17900000</v>
      </c>
      <c r="AG26" s="182">
        <v>7928000</v>
      </c>
      <c r="AH26" s="182">
        <v>16965000</v>
      </c>
      <c r="AI26" s="184">
        <v>16331000</v>
      </c>
      <c r="AJ26" s="93">
        <v>59124000</v>
      </c>
      <c r="AK26" s="182">
        <v>950000</v>
      </c>
      <c r="AL26" s="182">
        <v>8700000</v>
      </c>
      <c r="AM26" s="182">
        <v>22350000</v>
      </c>
      <c r="AN26" s="184">
        <v>2700000</v>
      </c>
      <c r="AO26" s="93">
        <v>34700000</v>
      </c>
      <c r="AP26" s="182">
        <v>1500000</v>
      </c>
      <c r="AQ26" s="182">
        <v>375000</v>
      </c>
      <c r="AR26" s="182">
        <v>1000000</v>
      </c>
      <c r="AS26" s="184">
        <v>9500000</v>
      </c>
      <c r="AT26" s="93">
        <v>12375000</v>
      </c>
      <c r="AU26" s="182">
        <v>45200100</v>
      </c>
      <c r="AV26" s="182">
        <v>11500000</v>
      </c>
      <c r="AW26" s="182">
        <v>10330000</v>
      </c>
      <c r="AX26" s="184">
        <v>46999900</v>
      </c>
      <c r="AY26" s="93">
        <v>114030000</v>
      </c>
      <c r="AZ26" s="182">
        <v>21898900</v>
      </c>
      <c r="BA26" s="182">
        <v>67104000</v>
      </c>
      <c r="BB26" s="182">
        <v>27735000</v>
      </c>
      <c r="BC26" s="184">
        <v>24650000</v>
      </c>
      <c r="BD26" s="93">
        <v>141387900</v>
      </c>
      <c r="BE26" s="182">
        <v>1550000</v>
      </c>
      <c r="BF26" s="182"/>
      <c r="BG26" s="182">
        <v>11300000</v>
      </c>
      <c r="BH26" s="184">
        <v>44035000</v>
      </c>
      <c r="BI26" s="93">
        <v>56885000</v>
      </c>
      <c r="BJ26" s="182">
        <v>16949700</v>
      </c>
      <c r="BK26" s="182">
        <v>25000000</v>
      </c>
      <c r="BL26" s="182">
        <v>8058000</v>
      </c>
      <c r="BM26" s="184">
        <v>38476000</v>
      </c>
      <c r="BN26" s="93">
        <v>88483700</v>
      </c>
      <c r="BO26" s="182">
        <v>31384900</v>
      </c>
      <c r="BP26" s="182">
        <v>3523000</v>
      </c>
      <c r="BQ26" s="182">
        <v>10700100</v>
      </c>
      <c r="BR26" s="184">
        <v>9500000</v>
      </c>
      <c r="BS26" s="93">
        <v>55108000</v>
      </c>
      <c r="BT26" s="182">
        <v>230000</v>
      </c>
      <c r="BU26" s="182">
        <v>6590000</v>
      </c>
      <c r="BV26" s="182">
        <v>6249900</v>
      </c>
      <c r="BW26" s="184">
        <v>9400000</v>
      </c>
      <c r="BX26" s="93">
        <v>22469900</v>
      </c>
      <c r="BY26" s="182">
        <v>33000000</v>
      </c>
      <c r="BZ26" s="182">
        <v>18800000</v>
      </c>
      <c r="CA26" s="182">
        <v>5677000</v>
      </c>
      <c r="CB26" s="184">
        <v>24151000</v>
      </c>
      <c r="CC26" s="93">
        <v>81628000</v>
      </c>
      <c r="CD26" s="182">
        <v>4690000</v>
      </c>
      <c r="CE26" s="182">
        <v>17939100</v>
      </c>
      <c r="CF26" s="182">
        <v>54614300</v>
      </c>
      <c r="CG26" s="184">
        <v>1550000</v>
      </c>
      <c r="CH26" s="93">
        <v>78793400</v>
      </c>
      <c r="CI26" s="196">
        <v>9000000</v>
      </c>
      <c r="CJ26" s="200">
        <v>10190200</v>
      </c>
      <c r="CK26" s="86">
        <v>19190200</v>
      </c>
    </row>
    <row r="27" spans="1:89" s="14" customFormat="1">
      <c r="A27" s="180" t="s">
        <v>30</v>
      </c>
      <c r="B27" s="182">
        <v>21864000</v>
      </c>
      <c r="C27" s="182">
        <v>11350000</v>
      </c>
      <c r="D27" s="182">
        <v>10789900</v>
      </c>
      <c r="E27" s="184">
        <v>20020000</v>
      </c>
      <c r="F27" s="93">
        <v>64023900</v>
      </c>
      <c r="G27" s="182">
        <v>59824800</v>
      </c>
      <c r="H27" s="182">
        <v>6465000</v>
      </c>
      <c r="I27" s="182">
        <v>21919000</v>
      </c>
      <c r="J27" s="184">
        <v>42289000</v>
      </c>
      <c r="K27" s="93">
        <v>130497800</v>
      </c>
      <c r="L27" s="182">
        <v>51610100</v>
      </c>
      <c r="M27" s="182">
        <v>20099900</v>
      </c>
      <c r="N27" s="182">
        <v>62458100</v>
      </c>
      <c r="O27" s="184">
        <v>54045000</v>
      </c>
      <c r="P27" s="93">
        <v>188213100</v>
      </c>
      <c r="Q27" s="182">
        <v>37136000</v>
      </c>
      <c r="R27" s="182">
        <v>38192100</v>
      </c>
      <c r="S27" s="182">
        <v>46738000</v>
      </c>
      <c r="T27" s="184">
        <v>58770100</v>
      </c>
      <c r="U27" s="93">
        <v>180836200</v>
      </c>
      <c r="V27" s="182">
        <v>48885100</v>
      </c>
      <c r="W27" s="182">
        <v>39955000</v>
      </c>
      <c r="X27" s="182">
        <v>63225000</v>
      </c>
      <c r="Y27" s="184">
        <v>136024200</v>
      </c>
      <c r="Z27" s="93">
        <v>288089300</v>
      </c>
      <c r="AA27" s="182">
        <v>135791700</v>
      </c>
      <c r="AB27" s="182">
        <v>265333000</v>
      </c>
      <c r="AC27" s="182">
        <v>311632200</v>
      </c>
      <c r="AD27" s="184">
        <v>419361200</v>
      </c>
      <c r="AE27" s="93">
        <v>1132118100</v>
      </c>
      <c r="AF27" s="182">
        <v>187026900</v>
      </c>
      <c r="AG27" s="182">
        <v>134094900</v>
      </c>
      <c r="AH27" s="182">
        <v>118778000</v>
      </c>
      <c r="AI27" s="184">
        <v>93100100</v>
      </c>
      <c r="AJ27" s="93">
        <v>532999900</v>
      </c>
      <c r="AK27" s="182">
        <v>97319900</v>
      </c>
      <c r="AL27" s="182">
        <v>112599900</v>
      </c>
      <c r="AM27" s="182">
        <v>80150000</v>
      </c>
      <c r="AN27" s="184">
        <v>54538000</v>
      </c>
      <c r="AO27" s="93">
        <v>344607800</v>
      </c>
      <c r="AP27" s="182">
        <v>119195200</v>
      </c>
      <c r="AQ27" s="182">
        <v>57792900</v>
      </c>
      <c r="AR27" s="182">
        <v>69007900</v>
      </c>
      <c r="AS27" s="184">
        <v>136464800</v>
      </c>
      <c r="AT27" s="93">
        <v>382460800</v>
      </c>
      <c r="AU27" s="182">
        <v>148093600</v>
      </c>
      <c r="AV27" s="182">
        <v>83318000</v>
      </c>
      <c r="AW27" s="182">
        <v>49566000</v>
      </c>
      <c r="AX27" s="184">
        <v>138658300</v>
      </c>
      <c r="AY27" s="93">
        <v>419635900</v>
      </c>
      <c r="AZ27" s="182">
        <v>65240100</v>
      </c>
      <c r="BA27" s="182">
        <v>110150000</v>
      </c>
      <c r="BB27" s="182">
        <v>53472100</v>
      </c>
      <c r="BC27" s="184">
        <v>35651900</v>
      </c>
      <c r="BD27" s="93">
        <v>264514100</v>
      </c>
      <c r="BE27" s="182">
        <v>100832800</v>
      </c>
      <c r="BF27" s="182">
        <v>78090800</v>
      </c>
      <c r="BG27" s="182">
        <v>63567300</v>
      </c>
      <c r="BH27" s="184">
        <v>16519200</v>
      </c>
      <c r="BI27" s="93">
        <v>259010100</v>
      </c>
      <c r="BJ27" s="182">
        <v>94127000</v>
      </c>
      <c r="BK27" s="182">
        <v>69742200</v>
      </c>
      <c r="BL27" s="182">
        <v>10249900</v>
      </c>
      <c r="BM27" s="184">
        <v>44928100</v>
      </c>
      <c r="BN27" s="93">
        <v>219047200</v>
      </c>
      <c r="BO27" s="182">
        <v>67446200</v>
      </c>
      <c r="BP27" s="182">
        <v>17850000</v>
      </c>
      <c r="BQ27" s="182">
        <v>74810000</v>
      </c>
      <c r="BR27" s="184">
        <v>14047200</v>
      </c>
      <c r="BS27" s="93">
        <v>174153400</v>
      </c>
      <c r="BT27" s="182">
        <v>17049900</v>
      </c>
      <c r="BU27" s="182">
        <v>0</v>
      </c>
      <c r="BV27" s="182">
        <v>4650000</v>
      </c>
      <c r="BW27" s="184">
        <v>12295300</v>
      </c>
      <c r="BX27" s="93">
        <v>33995200</v>
      </c>
      <c r="BY27" s="182">
        <v>27681100</v>
      </c>
      <c r="BZ27" s="182">
        <v>9973000</v>
      </c>
      <c r="CA27" s="182">
        <v>69899900</v>
      </c>
      <c r="CB27" s="184">
        <v>16400200</v>
      </c>
      <c r="CC27" s="93">
        <v>123954200</v>
      </c>
      <c r="CD27" s="182">
        <v>14418000</v>
      </c>
      <c r="CE27" s="182">
        <v>32612000</v>
      </c>
      <c r="CF27" s="182">
        <v>18578200</v>
      </c>
      <c r="CG27" s="184">
        <v>60517000</v>
      </c>
      <c r="CH27" s="93">
        <v>126125200</v>
      </c>
      <c r="CI27" s="196">
        <v>43524900</v>
      </c>
      <c r="CJ27" s="200">
        <v>32973900</v>
      </c>
      <c r="CK27" s="86">
        <v>76498800</v>
      </c>
    </row>
    <row r="28" spans="1:89" s="14" customFormat="1">
      <c r="A28" s="180" t="s">
        <v>31</v>
      </c>
      <c r="B28" s="182">
        <v>93647100</v>
      </c>
      <c r="C28" s="182">
        <v>158665500</v>
      </c>
      <c r="D28" s="182">
        <v>117662900</v>
      </c>
      <c r="E28" s="184">
        <v>174567800</v>
      </c>
      <c r="F28" s="93">
        <v>544543300</v>
      </c>
      <c r="G28" s="182">
        <v>184787100</v>
      </c>
      <c r="H28" s="182">
        <v>207385000</v>
      </c>
      <c r="I28" s="182">
        <v>229932200</v>
      </c>
      <c r="J28" s="184">
        <v>274818300</v>
      </c>
      <c r="K28" s="93">
        <v>896922600</v>
      </c>
      <c r="L28" s="182">
        <v>240306000</v>
      </c>
      <c r="M28" s="182">
        <v>262872100</v>
      </c>
      <c r="N28" s="182">
        <v>235959000</v>
      </c>
      <c r="O28" s="184">
        <v>313240100</v>
      </c>
      <c r="P28" s="93">
        <v>1052377200</v>
      </c>
      <c r="Q28" s="182">
        <v>293708200</v>
      </c>
      <c r="R28" s="182">
        <v>317139700</v>
      </c>
      <c r="S28" s="182">
        <v>234950800</v>
      </c>
      <c r="T28" s="184">
        <v>470702900</v>
      </c>
      <c r="U28" s="93">
        <v>1316501600</v>
      </c>
      <c r="V28" s="182">
        <v>353240700</v>
      </c>
      <c r="W28" s="182">
        <v>519111500</v>
      </c>
      <c r="X28" s="182">
        <v>720521100</v>
      </c>
      <c r="Y28" s="184">
        <v>1249541300</v>
      </c>
      <c r="Z28" s="93">
        <v>2842414600</v>
      </c>
      <c r="AA28" s="182">
        <v>1446984300</v>
      </c>
      <c r="AB28" s="182">
        <v>1833781600</v>
      </c>
      <c r="AC28" s="182">
        <v>1552990500</v>
      </c>
      <c r="AD28" s="184">
        <v>1292718900</v>
      </c>
      <c r="AE28" s="93">
        <v>6126475300</v>
      </c>
      <c r="AF28" s="182">
        <v>668177900</v>
      </c>
      <c r="AG28" s="182">
        <v>465928300</v>
      </c>
      <c r="AH28" s="182">
        <v>260838100</v>
      </c>
      <c r="AI28" s="184">
        <v>245776700</v>
      </c>
      <c r="AJ28" s="93">
        <v>1640721000</v>
      </c>
      <c r="AK28" s="182">
        <v>332100100</v>
      </c>
      <c r="AL28" s="182">
        <v>305401300</v>
      </c>
      <c r="AM28" s="182">
        <v>298330100</v>
      </c>
      <c r="AN28" s="184">
        <v>277008400</v>
      </c>
      <c r="AO28" s="93">
        <v>1212839900</v>
      </c>
      <c r="AP28" s="182">
        <v>220890900</v>
      </c>
      <c r="AQ28" s="182">
        <v>221047700</v>
      </c>
      <c r="AR28" s="182">
        <v>188281000</v>
      </c>
      <c r="AS28" s="184">
        <v>265447900</v>
      </c>
      <c r="AT28" s="93">
        <v>895667500</v>
      </c>
      <c r="AU28" s="182">
        <v>328801100</v>
      </c>
      <c r="AV28" s="182">
        <v>364486600</v>
      </c>
      <c r="AW28" s="182">
        <v>257034900</v>
      </c>
      <c r="AX28" s="184">
        <v>302775200</v>
      </c>
      <c r="AY28" s="93">
        <v>1253097800</v>
      </c>
      <c r="AZ28" s="182">
        <v>346219100</v>
      </c>
      <c r="BA28" s="182">
        <v>246583900</v>
      </c>
      <c r="BB28" s="182">
        <v>279978400</v>
      </c>
      <c r="BC28" s="184">
        <v>320718400</v>
      </c>
      <c r="BD28" s="93">
        <v>1193499800</v>
      </c>
      <c r="BE28" s="182">
        <v>359000000</v>
      </c>
      <c r="BF28" s="182">
        <v>310697900</v>
      </c>
      <c r="BG28" s="182">
        <v>297047300</v>
      </c>
      <c r="BH28" s="184">
        <v>318741800</v>
      </c>
      <c r="BI28" s="93">
        <v>1285487000</v>
      </c>
      <c r="BJ28" s="182">
        <v>351738400</v>
      </c>
      <c r="BK28" s="182">
        <v>404050100</v>
      </c>
      <c r="BL28" s="182">
        <v>307434800</v>
      </c>
      <c r="BM28" s="184">
        <v>380532300</v>
      </c>
      <c r="BN28" s="93">
        <v>1443755600</v>
      </c>
      <c r="BO28" s="182">
        <v>305094800</v>
      </c>
      <c r="BP28" s="182">
        <v>239148300</v>
      </c>
      <c r="BQ28" s="182">
        <v>292664300</v>
      </c>
      <c r="BR28" s="184">
        <v>275763000</v>
      </c>
      <c r="BS28" s="93">
        <v>1112670400</v>
      </c>
      <c r="BT28" s="182">
        <v>99377200</v>
      </c>
      <c r="BU28" s="182">
        <v>233434000</v>
      </c>
      <c r="BV28" s="182">
        <v>125729700</v>
      </c>
      <c r="BW28" s="184">
        <v>338923500</v>
      </c>
      <c r="BX28" s="93">
        <v>797464400</v>
      </c>
      <c r="BY28" s="182">
        <v>216499000</v>
      </c>
      <c r="BZ28" s="182">
        <v>201651000</v>
      </c>
      <c r="CA28" s="182">
        <v>311979900</v>
      </c>
      <c r="CB28" s="184">
        <v>248862500</v>
      </c>
      <c r="CC28" s="93">
        <v>978992400</v>
      </c>
      <c r="CD28" s="182">
        <v>333516500</v>
      </c>
      <c r="CE28" s="182">
        <v>435845000</v>
      </c>
      <c r="CF28" s="182">
        <v>412960500</v>
      </c>
      <c r="CG28" s="184">
        <v>289530800</v>
      </c>
      <c r="CH28" s="93">
        <v>1471852800</v>
      </c>
      <c r="CI28" s="196">
        <v>331962400</v>
      </c>
      <c r="CJ28" s="200">
        <v>390573900</v>
      </c>
      <c r="CK28" s="86">
        <v>722536300</v>
      </c>
    </row>
    <row r="29" spans="1:89" s="14" customFormat="1" ht="13.5" thickBot="1">
      <c r="A29" s="180" t="s">
        <v>32</v>
      </c>
      <c r="B29" s="188">
        <v>81880500</v>
      </c>
      <c r="C29" s="188">
        <v>45995000</v>
      </c>
      <c r="D29" s="188">
        <v>152605700</v>
      </c>
      <c r="E29" s="189">
        <v>72725200</v>
      </c>
      <c r="F29" s="190">
        <v>353206400</v>
      </c>
      <c r="G29" s="188">
        <v>136369100</v>
      </c>
      <c r="H29" s="188">
        <v>111761100</v>
      </c>
      <c r="I29" s="188">
        <v>47829900</v>
      </c>
      <c r="J29" s="189">
        <v>121534900</v>
      </c>
      <c r="K29" s="190">
        <v>417495000</v>
      </c>
      <c r="L29" s="188">
        <v>99839900</v>
      </c>
      <c r="M29" s="188">
        <v>105048000</v>
      </c>
      <c r="N29" s="188">
        <v>82980900</v>
      </c>
      <c r="O29" s="189">
        <v>99277000</v>
      </c>
      <c r="P29" s="190">
        <v>387145800</v>
      </c>
      <c r="Q29" s="188">
        <v>180821000</v>
      </c>
      <c r="R29" s="188">
        <v>345187500</v>
      </c>
      <c r="S29" s="188">
        <v>230340300</v>
      </c>
      <c r="T29" s="189">
        <v>199296100</v>
      </c>
      <c r="U29" s="190">
        <v>955644900</v>
      </c>
      <c r="V29" s="188">
        <v>182480000</v>
      </c>
      <c r="W29" s="188">
        <v>430087800</v>
      </c>
      <c r="X29" s="188">
        <v>520409300</v>
      </c>
      <c r="Y29" s="189">
        <v>848784900</v>
      </c>
      <c r="Z29" s="190">
        <v>1981762000</v>
      </c>
      <c r="AA29" s="188">
        <v>1261620200</v>
      </c>
      <c r="AB29" s="188">
        <v>1784078200</v>
      </c>
      <c r="AC29" s="188">
        <v>1108763300</v>
      </c>
      <c r="AD29" s="189">
        <v>604888000</v>
      </c>
      <c r="AE29" s="190">
        <v>4759349700</v>
      </c>
      <c r="AF29" s="188">
        <v>328951000</v>
      </c>
      <c r="AG29" s="188">
        <v>230952200</v>
      </c>
      <c r="AH29" s="188">
        <v>126989700</v>
      </c>
      <c r="AI29" s="189">
        <v>119550000</v>
      </c>
      <c r="AJ29" s="190">
        <v>806442900</v>
      </c>
      <c r="AK29" s="188">
        <v>47295000</v>
      </c>
      <c r="AL29" s="188">
        <v>26300100</v>
      </c>
      <c r="AM29" s="188">
        <v>78700200</v>
      </c>
      <c r="AN29" s="189">
        <v>37199900</v>
      </c>
      <c r="AO29" s="190">
        <v>189495200</v>
      </c>
      <c r="AP29" s="188">
        <v>31314900</v>
      </c>
      <c r="AQ29" s="188">
        <v>61244000</v>
      </c>
      <c r="AR29" s="188">
        <v>57149900</v>
      </c>
      <c r="AS29" s="189">
        <v>32815900</v>
      </c>
      <c r="AT29" s="190">
        <v>182524700</v>
      </c>
      <c r="AU29" s="188">
        <v>31099000</v>
      </c>
      <c r="AV29" s="188">
        <v>35470000</v>
      </c>
      <c r="AW29" s="188">
        <v>103693000</v>
      </c>
      <c r="AX29" s="189">
        <v>108231000</v>
      </c>
      <c r="AY29" s="190">
        <v>278493000</v>
      </c>
      <c r="AZ29" s="188">
        <v>74573900</v>
      </c>
      <c r="BA29" s="188">
        <v>80796000</v>
      </c>
      <c r="BB29" s="188">
        <v>110324200</v>
      </c>
      <c r="BC29" s="189">
        <v>74372100</v>
      </c>
      <c r="BD29" s="190">
        <v>340066200</v>
      </c>
      <c r="BE29" s="188">
        <v>94701000</v>
      </c>
      <c r="BF29" s="188">
        <v>66921000</v>
      </c>
      <c r="BG29" s="188">
        <v>131870000</v>
      </c>
      <c r="BH29" s="189">
        <v>117974100</v>
      </c>
      <c r="BI29" s="190">
        <v>411466100</v>
      </c>
      <c r="BJ29" s="188">
        <v>83719900</v>
      </c>
      <c r="BK29" s="188">
        <v>148490900</v>
      </c>
      <c r="BL29" s="188">
        <v>128249700</v>
      </c>
      <c r="BM29" s="189">
        <v>61537100</v>
      </c>
      <c r="BN29" s="190">
        <v>421997600</v>
      </c>
      <c r="BO29" s="188">
        <v>46866900</v>
      </c>
      <c r="BP29" s="188">
        <v>63206900</v>
      </c>
      <c r="BQ29" s="188">
        <v>72854100</v>
      </c>
      <c r="BR29" s="189">
        <v>139035100</v>
      </c>
      <c r="BS29" s="190">
        <v>321963000</v>
      </c>
      <c r="BT29" s="188">
        <v>10554000</v>
      </c>
      <c r="BU29" s="188">
        <v>62216000</v>
      </c>
      <c r="BV29" s="188">
        <v>23725100</v>
      </c>
      <c r="BW29" s="189">
        <v>19659000</v>
      </c>
      <c r="BX29" s="190">
        <v>116154100</v>
      </c>
      <c r="BY29" s="188">
        <v>9492000</v>
      </c>
      <c r="BZ29" s="188">
        <v>22565000</v>
      </c>
      <c r="CA29" s="188">
        <v>107769600</v>
      </c>
      <c r="CB29" s="189">
        <v>49799000</v>
      </c>
      <c r="CC29" s="190">
        <v>189625600</v>
      </c>
      <c r="CD29" s="188">
        <v>25850000</v>
      </c>
      <c r="CE29" s="188">
        <v>24560900</v>
      </c>
      <c r="CF29" s="188">
        <v>12806200</v>
      </c>
      <c r="CG29" s="189">
        <v>22608200</v>
      </c>
      <c r="CH29" s="190">
        <v>85825300</v>
      </c>
      <c r="CI29" s="197">
        <v>17718000</v>
      </c>
      <c r="CJ29" s="201">
        <v>49400500</v>
      </c>
      <c r="CK29" s="130">
        <v>67118500</v>
      </c>
    </row>
    <row r="30" spans="1:89" s="14" customFormat="1" ht="14.25" thickTop="1" thickBot="1">
      <c r="A30" s="165" t="s">
        <v>4</v>
      </c>
      <c r="B30" s="185">
        <v>798927700</v>
      </c>
      <c r="C30" s="185">
        <v>1469069100</v>
      </c>
      <c r="D30" s="185">
        <v>882509800</v>
      </c>
      <c r="E30" s="186">
        <v>810782300</v>
      </c>
      <c r="F30" s="187">
        <v>3961288900</v>
      </c>
      <c r="G30" s="185">
        <v>1037720900</v>
      </c>
      <c r="H30" s="185">
        <v>1163542800</v>
      </c>
      <c r="I30" s="185">
        <v>822391700</v>
      </c>
      <c r="J30" s="186">
        <v>1176545100</v>
      </c>
      <c r="K30" s="187">
        <v>4200200500</v>
      </c>
      <c r="L30" s="185">
        <v>1079230600</v>
      </c>
      <c r="M30" s="185">
        <v>1275384900</v>
      </c>
      <c r="N30" s="185">
        <v>1120595700</v>
      </c>
      <c r="O30" s="186">
        <v>1400446500</v>
      </c>
      <c r="P30" s="187">
        <v>4875657700</v>
      </c>
      <c r="Q30" s="185">
        <v>1470400600</v>
      </c>
      <c r="R30" s="185">
        <v>1956864500</v>
      </c>
      <c r="S30" s="185">
        <v>1688116100</v>
      </c>
      <c r="T30" s="186">
        <v>2031696500</v>
      </c>
      <c r="U30" s="187">
        <v>7147077700</v>
      </c>
      <c r="V30" s="185">
        <v>1974990000</v>
      </c>
      <c r="W30" s="185">
        <v>3061081200</v>
      </c>
      <c r="X30" s="185">
        <v>4085417100</v>
      </c>
      <c r="Y30" s="186">
        <v>6988633000</v>
      </c>
      <c r="Z30" s="187">
        <v>16110121300</v>
      </c>
      <c r="AA30" s="185">
        <v>8696348300</v>
      </c>
      <c r="AB30" s="185">
        <v>8444780400</v>
      </c>
      <c r="AC30" s="185">
        <v>6179109500</v>
      </c>
      <c r="AD30" s="186">
        <v>5402980100</v>
      </c>
      <c r="AE30" s="187">
        <v>28723218300</v>
      </c>
      <c r="AF30" s="185">
        <v>2811931800</v>
      </c>
      <c r="AG30" s="185">
        <v>2007158100</v>
      </c>
      <c r="AH30" s="185">
        <v>1275218800</v>
      </c>
      <c r="AI30" s="186">
        <v>1283146800</v>
      </c>
      <c r="AJ30" s="187">
        <v>7377455500</v>
      </c>
      <c r="AK30" s="185">
        <v>1281737900</v>
      </c>
      <c r="AL30" s="185">
        <v>1233759100</v>
      </c>
      <c r="AM30" s="185">
        <v>987035300</v>
      </c>
      <c r="AN30" s="186">
        <v>824558400</v>
      </c>
      <c r="AO30" s="187">
        <v>4327090700</v>
      </c>
      <c r="AP30" s="185">
        <v>763826700</v>
      </c>
      <c r="AQ30" s="185">
        <v>970880700</v>
      </c>
      <c r="AR30" s="185">
        <v>846382300</v>
      </c>
      <c r="AS30" s="186">
        <v>1121506500</v>
      </c>
      <c r="AT30" s="187">
        <v>3702596200</v>
      </c>
      <c r="AU30" s="185">
        <v>1086100900</v>
      </c>
      <c r="AV30" s="185">
        <v>1322804700</v>
      </c>
      <c r="AW30" s="185">
        <v>1308714100</v>
      </c>
      <c r="AX30" s="186">
        <v>1697125700</v>
      </c>
      <c r="AY30" s="187">
        <v>5414745400</v>
      </c>
      <c r="AZ30" s="185">
        <v>1497623300</v>
      </c>
      <c r="BA30" s="185">
        <v>1571319500</v>
      </c>
      <c r="BB30" s="185">
        <v>1506067400</v>
      </c>
      <c r="BC30" s="186">
        <v>1389699900</v>
      </c>
      <c r="BD30" s="187">
        <v>5964710100</v>
      </c>
      <c r="BE30" s="185">
        <v>1462605800</v>
      </c>
      <c r="BF30" s="185">
        <v>1610503700</v>
      </c>
      <c r="BG30" s="185">
        <v>1676875800</v>
      </c>
      <c r="BH30" s="186">
        <v>1575149800</v>
      </c>
      <c r="BI30" s="187">
        <v>6325135100</v>
      </c>
      <c r="BJ30" s="185">
        <v>1622682900</v>
      </c>
      <c r="BK30" s="185">
        <v>1943100500</v>
      </c>
      <c r="BL30" s="185">
        <v>1972498300</v>
      </c>
      <c r="BM30" s="186">
        <v>2235710300</v>
      </c>
      <c r="BN30" s="187">
        <v>7773992000</v>
      </c>
      <c r="BO30" s="185">
        <v>1890345600</v>
      </c>
      <c r="BP30" s="185">
        <v>1797256100</v>
      </c>
      <c r="BQ30" s="185">
        <v>1680660100</v>
      </c>
      <c r="BR30" s="186">
        <v>1277101900</v>
      </c>
      <c r="BS30" s="187">
        <v>6645363700</v>
      </c>
      <c r="BT30" s="185">
        <v>653791800</v>
      </c>
      <c r="BU30" s="185">
        <v>929693300</v>
      </c>
      <c r="BV30" s="185">
        <v>800808300</v>
      </c>
      <c r="BW30" s="186">
        <v>1130140800</v>
      </c>
      <c r="BX30" s="187">
        <v>3514434200</v>
      </c>
      <c r="BY30" s="185">
        <v>1062851600</v>
      </c>
      <c r="BZ30" s="185">
        <v>1143389700</v>
      </c>
      <c r="CA30" s="185">
        <v>1292565300</v>
      </c>
      <c r="CB30" s="186">
        <v>902260700</v>
      </c>
      <c r="CC30" s="187">
        <v>4401067300</v>
      </c>
      <c r="CD30" s="185">
        <v>1276325400</v>
      </c>
      <c r="CE30" s="185">
        <v>1540398900</v>
      </c>
      <c r="CF30" s="185">
        <v>1670172700</v>
      </c>
      <c r="CG30" s="186">
        <v>1065409000</v>
      </c>
      <c r="CH30" s="187">
        <v>5552306000</v>
      </c>
      <c r="CI30" s="198">
        <v>848673300</v>
      </c>
      <c r="CJ30" s="202">
        <v>1054169600</v>
      </c>
      <c r="CK30" s="131">
        <v>1902842900</v>
      </c>
    </row>
    <row r="31" spans="1:89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R31" s="28"/>
      <c r="AS31" s="28"/>
      <c r="AT31" s="28"/>
      <c r="AU31" s="28"/>
      <c r="AV31" s="28"/>
      <c r="AW31" s="28"/>
      <c r="CI31" s="20"/>
      <c r="CJ31" s="20"/>
    </row>
    <row r="32" spans="1:89" ht="15.75">
      <c r="A32" s="3" t="s">
        <v>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R32" s="28"/>
      <c r="AS32" s="28"/>
      <c r="AT32" s="28"/>
      <c r="AU32" s="28"/>
      <c r="AV32" s="28"/>
      <c r="AW32" s="28"/>
    </row>
    <row r="33" spans="1:168" s="13" customFormat="1" ht="13.5" thickBot="1">
      <c r="A33" s="148" t="s">
        <v>16</v>
      </c>
      <c r="B33" s="145">
        <v>1995</v>
      </c>
      <c r="C33" s="142"/>
      <c r="D33" s="142"/>
      <c r="E33" s="142"/>
      <c r="F33" s="147"/>
      <c r="G33" s="145">
        <v>1996</v>
      </c>
      <c r="H33" s="142"/>
      <c r="I33" s="142"/>
      <c r="J33" s="142"/>
      <c r="K33" s="147" t="s">
        <v>9</v>
      </c>
      <c r="L33" s="145">
        <v>1997</v>
      </c>
      <c r="M33" s="142"/>
      <c r="N33" s="142"/>
      <c r="O33" s="142"/>
      <c r="P33" s="147" t="s">
        <v>10</v>
      </c>
      <c r="Q33" s="145">
        <v>1998</v>
      </c>
      <c r="R33" s="142"/>
      <c r="S33" s="142"/>
      <c r="T33" s="142"/>
      <c r="U33" s="147" t="s">
        <v>11</v>
      </c>
      <c r="V33" s="145">
        <v>1999</v>
      </c>
      <c r="W33" s="142"/>
      <c r="X33" s="142"/>
      <c r="Y33" s="142"/>
      <c r="Z33" s="147" t="s">
        <v>12</v>
      </c>
      <c r="AA33" s="145">
        <v>2000</v>
      </c>
      <c r="AB33" s="142"/>
      <c r="AC33" s="142"/>
      <c r="AD33" s="142"/>
      <c r="AE33" s="147" t="s">
        <v>13</v>
      </c>
      <c r="AF33" s="145">
        <v>2001</v>
      </c>
      <c r="AG33" s="142"/>
      <c r="AH33" s="142"/>
      <c r="AI33" s="142"/>
      <c r="AJ33" s="147" t="s">
        <v>14</v>
      </c>
      <c r="AK33" s="145">
        <v>2002</v>
      </c>
      <c r="AL33" s="159"/>
      <c r="AM33" s="158"/>
      <c r="AN33" s="158"/>
      <c r="AO33" s="153"/>
      <c r="AP33" s="145">
        <v>2003</v>
      </c>
      <c r="AQ33" s="159"/>
      <c r="AR33" s="158"/>
      <c r="AS33" s="158"/>
      <c r="AT33" s="152"/>
      <c r="AU33" s="145">
        <v>2004</v>
      </c>
      <c r="AV33" s="142"/>
      <c r="AW33" s="142"/>
      <c r="AX33" s="158"/>
      <c r="AY33" s="153"/>
      <c r="AZ33" s="145">
        <v>2005</v>
      </c>
      <c r="BA33" s="142"/>
      <c r="BB33" s="142"/>
      <c r="BC33" s="158"/>
      <c r="BD33" s="152"/>
      <c r="BE33" s="150">
        <v>2006</v>
      </c>
      <c r="BF33" s="151"/>
      <c r="BG33" s="151"/>
      <c r="BH33" s="151"/>
      <c r="BI33" s="147"/>
      <c r="BJ33" s="145">
        <v>2007</v>
      </c>
      <c r="BK33" s="142"/>
      <c r="BL33" s="142"/>
      <c r="BM33" s="151"/>
      <c r="BN33" s="147"/>
      <c r="BO33" s="145">
        <v>2008</v>
      </c>
      <c r="BP33" s="142"/>
      <c r="BQ33" s="142"/>
      <c r="BR33" s="142"/>
      <c r="BS33" s="147"/>
      <c r="BT33" s="145">
        <v>2009</v>
      </c>
      <c r="BU33" s="142"/>
      <c r="BV33" s="142"/>
      <c r="BW33" s="142"/>
      <c r="BX33" s="147"/>
      <c r="BY33" s="145">
        <v>2010</v>
      </c>
      <c r="BZ33" s="142"/>
      <c r="CA33" s="142"/>
      <c r="CB33" s="142"/>
      <c r="CC33" s="147"/>
      <c r="CD33" s="145">
        <v>2011</v>
      </c>
      <c r="CE33" s="142"/>
      <c r="CF33" s="156"/>
      <c r="CG33" s="156"/>
      <c r="CH33" s="162"/>
      <c r="CI33" s="145">
        <v>2012</v>
      </c>
      <c r="CJ33" s="142"/>
      <c r="CK33" s="147"/>
    </row>
    <row r="34" spans="1:168" s="7" customFormat="1">
      <c r="A34" s="149"/>
      <c r="B34" s="71" t="s">
        <v>0</v>
      </c>
      <c r="C34" s="71" t="s">
        <v>1</v>
      </c>
      <c r="D34" s="71" t="s">
        <v>2</v>
      </c>
      <c r="E34" s="63" t="s">
        <v>3</v>
      </c>
      <c r="F34" s="72" t="s">
        <v>8</v>
      </c>
      <c r="G34" s="66" t="s">
        <v>0</v>
      </c>
      <c r="H34" s="71" t="s">
        <v>1</v>
      </c>
      <c r="I34" s="71" t="s">
        <v>2</v>
      </c>
      <c r="J34" s="63" t="s">
        <v>3</v>
      </c>
      <c r="K34" s="72" t="s">
        <v>9</v>
      </c>
      <c r="L34" s="64" t="s">
        <v>0</v>
      </c>
      <c r="M34" s="71" t="s">
        <v>1</v>
      </c>
      <c r="N34" s="71" t="s">
        <v>2</v>
      </c>
      <c r="O34" s="64" t="s">
        <v>3</v>
      </c>
      <c r="P34" s="72" t="s">
        <v>10</v>
      </c>
      <c r="Q34" s="64" t="s">
        <v>0</v>
      </c>
      <c r="R34" s="71" t="s">
        <v>1</v>
      </c>
      <c r="S34" s="71" t="s">
        <v>2</v>
      </c>
      <c r="T34" s="64" t="s">
        <v>3</v>
      </c>
      <c r="U34" s="72" t="s">
        <v>11</v>
      </c>
      <c r="V34" s="66" t="s">
        <v>0</v>
      </c>
      <c r="W34" s="71" t="s">
        <v>1</v>
      </c>
      <c r="X34" s="71" t="s">
        <v>2</v>
      </c>
      <c r="Y34" s="63" t="s">
        <v>3</v>
      </c>
      <c r="Z34" s="72" t="s">
        <v>12</v>
      </c>
      <c r="AA34" s="66" t="s">
        <v>0</v>
      </c>
      <c r="AB34" s="71" t="s">
        <v>1</v>
      </c>
      <c r="AC34" s="71" t="s">
        <v>2</v>
      </c>
      <c r="AD34" s="63" t="s">
        <v>3</v>
      </c>
      <c r="AE34" s="72" t="s">
        <v>13</v>
      </c>
      <c r="AF34" s="66" t="s">
        <v>0</v>
      </c>
      <c r="AG34" s="71" t="s">
        <v>1</v>
      </c>
      <c r="AH34" s="71" t="s">
        <v>2</v>
      </c>
      <c r="AI34" s="63" t="s">
        <v>3</v>
      </c>
      <c r="AJ34" s="72" t="s">
        <v>14</v>
      </c>
      <c r="AK34" s="66" t="s">
        <v>0</v>
      </c>
      <c r="AL34" s="71" t="s">
        <v>1</v>
      </c>
      <c r="AM34" s="71" t="s">
        <v>2</v>
      </c>
      <c r="AN34" s="68" t="s">
        <v>3</v>
      </c>
      <c r="AO34" s="70" t="s">
        <v>37</v>
      </c>
      <c r="AP34" s="69" t="s">
        <v>0</v>
      </c>
      <c r="AQ34" s="69" t="s">
        <v>1</v>
      </c>
      <c r="AR34" s="69" t="s">
        <v>2</v>
      </c>
      <c r="AS34" s="68" t="s">
        <v>3</v>
      </c>
      <c r="AT34" s="72" t="s">
        <v>39</v>
      </c>
      <c r="AU34" s="69" t="s">
        <v>0</v>
      </c>
      <c r="AV34" s="75" t="s">
        <v>1</v>
      </c>
      <c r="AW34" s="75" t="s">
        <v>2</v>
      </c>
      <c r="AX34" s="68" t="s">
        <v>3</v>
      </c>
      <c r="AY34" s="72" t="s">
        <v>40</v>
      </c>
      <c r="AZ34" s="69" t="s">
        <v>0</v>
      </c>
      <c r="BA34" s="69" t="s">
        <v>1</v>
      </c>
      <c r="BB34" s="69" t="s">
        <v>2</v>
      </c>
      <c r="BC34" s="62" t="s">
        <v>3</v>
      </c>
      <c r="BD34" s="70" t="s">
        <v>41</v>
      </c>
      <c r="BE34" s="64" t="s">
        <v>0</v>
      </c>
      <c r="BF34" s="71" t="s">
        <v>1</v>
      </c>
      <c r="BG34" s="71" t="s">
        <v>2</v>
      </c>
      <c r="BH34" s="64" t="s">
        <v>3</v>
      </c>
      <c r="BI34" s="72" t="s">
        <v>47</v>
      </c>
      <c r="BJ34" s="66" t="s">
        <v>0</v>
      </c>
      <c r="BK34" s="68" t="s">
        <v>1</v>
      </c>
      <c r="BL34" s="68" t="s">
        <v>2</v>
      </c>
      <c r="BM34" s="63" t="s">
        <v>3</v>
      </c>
      <c r="BN34" s="72" t="s">
        <v>49</v>
      </c>
      <c r="BO34" s="67" t="s">
        <v>0</v>
      </c>
      <c r="BP34" s="68" t="s">
        <v>1</v>
      </c>
      <c r="BQ34" s="68" t="s">
        <v>2</v>
      </c>
      <c r="BR34" s="67" t="s">
        <v>3</v>
      </c>
      <c r="BS34" s="72" t="s">
        <v>51</v>
      </c>
      <c r="BT34" s="67" t="s">
        <v>0</v>
      </c>
      <c r="BU34" s="68" t="s">
        <v>1</v>
      </c>
      <c r="BV34" s="68" t="s">
        <v>2</v>
      </c>
      <c r="BW34" s="68" t="s">
        <v>3</v>
      </c>
      <c r="BX34" s="72" t="s">
        <v>60</v>
      </c>
      <c r="BY34" s="67" t="s">
        <v>0</v>
      </c>
      <c r="BZ34" s="68" t="s">
        <v>1</v>
      </c>
      <c r="CA34" s="68" t="s">
        <v>2</v>
      </c>
      <c r="CB34" s="68" t="s">
        <v>3</v>
      </c>
      <c r="CC34" s="72" t="s">
        <v>61</v>
      </c>
      <c r="CD34" s="69" t="s">
        <v>0</v>
      </c>
      <c r="CE34" s="75" t="s">
        <v>1</v>
      </c>
      <c r="CF34" s="91" t="s">
        <v>2</v>
      </c>
      <c r="CG34" s="91" t="s">
        <v>3</v>
      </c>
      <c r="CH34" s="72" t="s">
        <v>63</v>
      </c>
      <c r="CI34" s="69" t="s">
        <v>0</v>
      </c>
      <c r="CJ34" s="67" t="s">
        <v>1</v>
      </c>
      <c r="CK34" s="70" t="s">
        <v>64</v>
      </c>
    </row>
    <row r="35" spans="1:168" s="92" customFormat="1">
      <c r="A35" s="98" t="s">
        <v>17</v>
      </c>
      <c r="B35" s="191">
        <v>18</v>
      </c>
      <c r="C35" s="191">
        <v>9</v>
      </c>
      <c r="D35" s="191">
        <v>12</v>
      </c>
      <c r="E35" s="199">
        <v>15</v>
      </c>
      <c r="F35" s="97">
        <v>54</v>
      </c>
      <c r="G35" s="191">
        <v>17</v>
      </c>
      <c r="H35" s="191">
        <v>17</v>
      </c>
      <c r="I35" s="191">
        <v>14</v>
      </c>
      <c r="J35" s="199">
        <v>20</v>
      </c>
      <c r="K35" s="97">
        <v>68</v>
      </c>
      <c r="L35" s="191">
        <v>21</v>
      </c>
      <c r="M35" s="191">
        <v>21</v>
      </c>
      <c r="N35" s="191">
        <v>20</v>
      </c>
      <c r="O35" s="199">
        <v>23</v>
      </c>
      <c r="P35" s="97">
        <v>85</v>
      </c>
      <c r="Q35" s="191">
        <v>33</v>
      </c>
      <c r="R35" s="191">
        <v>21</v>
      </c>
      <c r="S35" s="191">
        <v>23</v>
      </c>
      <c r="T35" s="199">
        <v>29</v>
      </c>
      <c r="U35" s="97">
        <v>106</v>
      </c>
      <c r="V35" s="191">
        <v>20</v>
      </c>
      <c r="W35" s="191">
        <v>21</v>
      </c>
      <c r="X35" s="191">
        <v>11</v>
      </c>
      <c r="Y35" s="199">
        <v>28</v>
      </c>
      <c r="Z35" s="97">
        <v>80</v>
      </c>
      <c r="AA35" s="191">
        <v>26</v>
      </c>
      <c r="AB35" s="191">
        <v>31</v>
      </c>
      <c r="AC35" s="191">
        <v>32</v>
      </c>
      <c r="AD35" s="199">
        <v>34</v>
      </c>
      <c r="AE35" s="97">
        <v>123</v>
      </c>
      <c r="AF35" s="191">
        <v>22</v>
      </c>
      <c r="AG35" s="191">
        <v>27</v>
      </c>
      <c r="AH35" s="191">
        <v>32</v>
      </c>
      <c r="AI35" s="199">
        <v>30</v>
      </c>
      <c r="AJ35" s="97">
        <v>111</v>
      </c>
      <c r="AK35" s="191">
        <v>32</v>
      </c>
      <c r="AL35" s="191">
        <v>37</v>
      </c>
      <c r="AM35" s="191">
        <v>20</v>
      </c>
      <c r="AN35" s="199">
        <v>26</v>
      </c>
      <c r="AO35" s="97">
        <v>115</v>
      </c>
      <c r="AP35" s="191">
        <v>17</v>
      </c>
      <c r="AQ35" s="191">
        <v>25</v>
      </c>
      <c r="AR35" s="191">
        <v>21</v>
      </c>
      <c r="AS35" s="199">
        <v>31</v>
      </c>
      <c r="AT35" s="97">
        <v>94</v>
      </c>
      <c r="AU35" s="191">
        <v>28</v>
      </c>
      <c r="AV35" s="191">
        <v>26</v>
      </c>
      <c r="AW35" s="191">
        <v>26</v>
      </c>
      <c r="AX35" s="199">
        <v>30</v>
      </c>
      <c r="AY35" s="97">
        <v>110</v>
      </c>
      <c r="AZ35" s="191">
        <v>30</v>
      </c>
      <c r="BA35" s="191">
        <v>28</v>
      </c>
      <c r="BB35" s="191">
        <v>36</v>
      </c>
      <c r="BC35" s="199">
        <v>24</v>
      </c>
      <c r="BD35" s="97">
        <v>118</v>
      </c>
      <c r="BE35" s="191">
        <v>25</v>
      </c>
      <c r="BF35" s="191">
        <v>38</v>
      </c>
      <c r="BG35" s="191">
        <v>41</v>
      </c>
      <c r="BH35" s="199">
        <v>40</v>
      </c>
      <c r="BI35" s="97">
        <v>144</v>
      </c>
      <c r="BJ35" s="191">
        <v>25</v>
      </c>
      <c r="BK35" s="191">
        <v>48</v>
      </c>
      <c r="BL35" s="191">
        <v>32</v>
      </c>
      <c r="BM35" s="199">
        <v>42</v>
      </c>
      <c r="BN35" s="97">
        <v>147</v>
      </c>
      <c r="BO35" s="191">
        <v>36</v>
      </c>
      <c r="BP35" s="191">
        <v>40</v>
      </c>
      <c r="BQ35" s="191">
        <v>32</v>
      </c>
      <c r="BR35" s="199">
        <v>35</v>
      </c>
      <c r="BS35" s="97">
        <v>143</v>
      </c>
      <c r="BT35" s="191">
        <v>22</v>
      </c>
      <c r="BU35" s="191">
        <v>21</v>
      </c>
      <c r="BV35" s="191">
        <v>23</v>
      </c>
      <c r="BW35" s="199">
        <v>28</v>
      </c>
      <c r="BX35" s="97">
        <v>94</v>
      </c>
      <c r="BY35" s="191">
        <v>26</v>
      </c>
      <c r="BZ35" s="191">
        <v>39</v>
      </c>
      <c r="CA35" s="191">
        <v>27</v>
      </c>
      <c r="CB35" s="199">
        <v>28</v>
      </c>
      <c r="CC35" s="97">
        <v>120</v>
      </c>
      <c r="CD35" s="191">
        <v>30</v>
      </c>
      <c r="CE35" s="191">
        <v>32</v>
      </c>
      <c r="CF35" s="191">
        <v>19</v>
      </c>
      <c r="CG35" s="199">
        <v>27</v>
      </c>
      <c r="CH35" s="97">
        <v>108</v>
      </c>
      <c r="CI35" s="119">
        <v>16</v>
      </c>
      <c r="CJ35" s="119">
        <v>14</v>
      </c>
      <c r="CK35" s="112">
        <v>30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</row>
    <row r="36" spans="1:168" s="92" customFormat="1">
      <c r="A36" s="85" t="s">
        <v>18</v>
      </c>
      <c r="B36" s="192">
        <v>9</v>
      </c>
      <c r="C36" s="192">
        <v>9</v>
      </c>
      <c r="D36" s="192">
        <v>9</v>
      </c>
      <c r="E36" s="200">
        <v>3</v>
      </c>
      <c r="F36" s="86">
        <v>30</v>
      </c>
      <c r="G36" s="192">
        <v>8</v>
      </c>
      <c r="H36" s="192">
        <v>12</v>
      </c>
      <c r="I36" s="192">
        <v>12</v>
      </c>
      <c r="J36" s="200">
        <v>8</v>
      </c>
      <c r="K36" s="86">
        <v>40</v>
      </c>
      <c r="L36" s="192">
        <v>11</v>
      </c>
      <c r="M36" s="192">
        <v>12</v>
      </c>
      <c r="N36" s="192">
        <v>9</v>
      </c>
      <c r="O36" s="200">
        <v>16</v>
      </c>
      <c r="P36" s="86">
        <v>48</v>
      </c>
      <c r="Q36" s="192">
        <v>14</v>
      </c>
      <c r="R36" s="192">
        <v>22</v>
      </c>
      <c r="S36" s="192">
        <v>20</v>
      </c>
      <c r="T36" s="200">
        <v>19</v>
      </c>
      <c r="U36" s="86">
        <v>75</v>
      </c>
      <c r="V36" s="192">
        <v>16</v>
      </c>
      <c r="W36" s="192">
        <v>37</v>
      </c>
      <c r="X36" s="192">
        <v>31</v>
      </c>
      <c r="Y36" s="200">
        <v>63</v>
      </c>
      <c r="Z36" s="86">
        <v>147</v>
      </c>
      <c r="AA36" s="192">
        <v>73</v>
      </c>
      <c r="AB36" s="192">
        <v>51</v>
      </c>
      <c r="AC36" s="192">
        <v>65</v>
      </c>
      <c r="AD36" s="200">
        <v>33</v>
      </c>
      <c r="AE36" s="86">
        <v>222</v>
      </c>
      <c r="AF36" s="192">
        <v>17</v>
      </c>
      <c r="AG36" s="192">
        <v>16</v>
      </c>
      <c r="AH36" s="192">
        <v>11</v>
      </c>
      <c r="AI36" s="200">
        <v>9</v>
      </c>
      <c r="AJ36" s="86">
        <v>53</v>
      </c>
      <c r="AK36" s="192">
        <v>5</v>
      </c>
      <c r="AL36" s="192">
        <v>6</v>
      </c>
      <c r="AM36" s="192">
        <v>6</v>
      </c>
      <c r="AN36" s="200">
        <v>9</v>
      </c>
      <c r="AO36" s="86">
        <v>26</v>
      </c>
      <c r="AP36" s="192">
        <v>5</v>
      </c>
      <c r="AQ36" s="192">
        <v>6</v>
      </c>
      <c r="AR36" s="192">
        <v>9</v>
      </c>
      <c r="AS36" s="200">
        <v>9</v>
      </c>
      <c r="AT36" s="86">
        <v>29</v>
      </c>
      <c r="AU36" s="192">
        <v>7</v>
      </c>
      <c r="AV36" s="192">
        <v>10</v>
      </c>
      <c r="AW36" s="192">
        <v>13</v>
      </c>
      <c r="AX36" s="200">
        <v>7</v>
      </c>
      <c r="AY36" s="86">
        <v>37</v>
      </c>
      <c r="AZ36" s="192">
        <v>8</v>
      </c>
      <c r="BA36" s="192">
        <v>10</v>
      </c>
      <c r="BB36" s="192">
        <v>10</v>
      </c>
      <c r="BC36" s="200">
        <v>10</v>
      </c>
      <c r="BD36" s="86">
        <v>38</v>
      </c>
      <c r="BE36" s="192">
        <v>7</v>
      </c>
      <c r="BF36" s="192">
        <v>15</v>
      </c>
      <c r="BG36" s="192">
        <v>12</v>
      </c>
      <c r="BH36" s="200">
        <v>10</v>
      </c>
      <c r="BI36" s="86">
        <v>44</v>
      </c>
      <c r="BJ36" s="192">
        <v>7</v>
      </c>
      <c r="BK36" s="192">
        <v>22</v>
      </c>
      <c r="BL36" s="192">
        <v>8</v>
      </c>
      <c r="BM36" s="200">
        <v>18</v>
      </c>
      <c r="BN36" s="86">
        <v>55</v>
      </c>
      <c r="BO36" s="192">
        <v>17</v>
      </c>
      <c r="BP36" s="192">
        <v>12</v>
      </c>
      <c r="BQ36" s="192">
        <v>15</v>
      </c>
      <c r="BR36" s="200">
        <v>7</v>
      </c>
      <c r="BS36" s="86">
        <v>51</v>
      </c>
      <c r="BT36" s="192">
        <v>10</v>
      </c>
      <c r="BU36" s="192">
        <v>5</v>
      </c>
      <c r="BV36" s="192">
        <v>7</v>
      </c>
      <c r="BW36" s="200">
        <v>5</v>
      </c>
      <c r="BX36" s="86">
        <v>27</v>
      </c>
      <c r="BY36" s="192">
        <v>6</v>
      </c>
      <c r="BZ36" s="192">
        <v>8</v>
      </c>
      <c r="CA36" s="192">
        <v>8</v>
      </c>
      <c r="CB36" s="200">
        <v>6</v>
      </c>
      <c r="CC36" s="86">
        <v>28</v>
      </c>
      <c r="CD36" s="192">
        <v>10</v>
      </c>
      <c r="CE36" s="192">
        <v>13</v>
      </c>
      <c r="CF36" s="192">
        <v>8</v>
      </c>
      <c r="CG36" s="200">
        <v>4</v>
      </c>
      <c r="CH36" s="86">
        <v>35</v>
      </c>
      <c r="CI36" s="119">
        <v>8</v>
      </c>
      <c r="CJ36" s="119">
        <v>2</v>
      </c>
      <c r="CK36" s="113">
        <v>10</v>
      </c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</row>
    <row r="37" spans="1:168" s="92" customFormat="1">
      <c r="A37" s="85" t="s">
        <v>19</v>
      </c>
      <c r="B37" s="192">
        <v>11</v>
      </c>
      <c r="C37" s="192">
        <v>13</v>
      </c>
      <c r="D37" s="192">
        <v>11</v>
      </c>
      <c r="E37" s="200">
        <v>8</v>
      </c>
      <c r="F37" s="86">
        <v>43</v>
      </c>
      <c r="G37" s="192">
        <v>9</v>
      </c>
      <c r="H37" s="192">
        <v>11</v>
      </c>
      <c r="I37" s="192">
        <v>7</v>
      </c>
      <c r="J37" s="200">
        <v>10</v>
      </c>
      <c r="K37" s="86">
        <v>37</v>
      </c>
      <c r="L37" s="192">
        <v>7</v>
      </c>
      <c r="M37" s="192">
        <v>8</v>
      </c>
      <c r="N37" s="192">
        <v>11</v>
      </c>
      <c r="O37" s="200">
        <v>16</v>
      </c>
      <c r="P37" s="86">
        <v>42</v>
      </c>
      <c r="Q37" s="192">
        <v>15</v>
      </c>
      <c r="R37" s="192">
        <v>8</v>
      </c>
      <c r="S37" s="192">
        <v>5</v>
      </c>
      <c r="T37" s="200">
        <v>4</v>
      </c>
      <c r="U37" s="86">
        <v>32</v>
      </c>
      <c r="V37" s="192">
        <v>3</v>
      </c>
      <c r="W37" s="192">
        <v>7</v>
      </c>
      <c r="X37" s="192">
        <v>10</v>
      </c>
      <c r="Y37" s="200">
        <v>16</v>
      </c>
      <c r="Z37" s="86">
        <v>36</v>
      </c>
      <c r="AA37" s="192">
        <v>13</v>
      </c>
      <c r="AB37" s="192">
        <v>11</v>
      </c>
      <c r="AC37" s="192">
        <v>13</v>
      </c>
      <c r="AD37" s="200">
        <v>16</v>
      </c>
      <c r="AE37" s="86">
        <v>53</v>
      </c>
      <c r="AF37" s="192">
        <v>10</v>
      </c>
      <c r="AG37" s="192">
        <v>4</v>
      </c>
      <c r="AH37" s="192">
        <v>9</v>
      </c>
      <c r="AI37" s="200">
        <v>5</v>
      </c>
      <c r="AJ37" s="86">
        <v>28</v>
      </c>
      <c r="AK37" s="192">
        <v>3</v>
      </c>
      <c r="AL37" s="192">
        <v>4</v>
      </c>
      <c r="AM37" s="192">
        <v>2</v>
      </c>
      <c r="AN37" s="200">
        <v>2</v>
      </c>
      <c r="AO37" s="86">
        <v>11</v>
      </c>
      <c r="AP37" s="192">
        <v>8</v>
      </c>
      <c r="AQ37" s="192">
        <v>6</v>
      </c>
      <c r="AR37" s="192">
        <v>3</v>
      </c>
      <c r="AS37" s="200">
        <v>3</v>
      </c>
      <c r="AT37" s="86">
        <v>20</v>
      </c>
      <c r="AU37" s="192">
        <v>2</v>
      </c>
      <c r="AV37" s="192">
        <v>4</v>
      </c>
      <c r="AW37" s="192">
        <v>8</v>
      </c>
      <c r="AX37" s="200">
        <v>4</v>
      </c>
      <c r="AY37" s="86">
        <v>18</v>
      </c>
      <c r="AZ37" s="192">
        <v>6</v>
      </c>
      <c r="BA37" s="192">
        <v>6</v>
      </c>
      <c r="BB37" s="192">
        <v>1</v>
      </c>
      <c r="BC37" s="200">
        <v>6</v>
      </c>
      <c r="BD37" s="86">
        <v>19</v>
      </c>
      <c r="BE37" s="192">
        <v>5</v>
      </c>
      <c r="BF37" s="192">
        <v>2</v>
      </c>
      <c r="BG37" s="192">
        <v>4</v>
      </c>
      <c r="BH37" s="200">
        <v>1</v>
      </c>
      <c r="BI37" s="86">
        <v>12</v>
      </c>
      <c r="BJ37" s="192">
        <v>4</v>
      </c>
      <c r="BK37" s="192">
        <v>8</v>
      </c>
      <c r="BL37" s="192">
        <v>5</v>
      </c>
      <c r="BM37" s="200">
        <v>8</v>
      </c>
      <c r="BN37" s="86">
        <v>25</v>
      </c>
      <c r="BO37" s="192">
        <v>6</v>
      </c>
      <c r="BP37" s="192">
        <v>7</v>
      </c>
      <c r="BQ37" s="192">
        <v>4</v>
      </c>
      <c r="BR37" s="200">
        <v>4</v>
      </c>
      <c r="BS37" s="86">
        <v>21</v>
      </c>
      <c r="BT37" s="192">
        <v>4</v>
      </c>
      <c r="BU37" s="192">
        <v>2</v>
      </c>
      <c r="BV37" s="192">
        <v>3</v>
      </c>
      <c r="BW37" s="200">
        <v>8</v>
      </c>
      <c r="BX37" s="86">
        <v>17</v>
      </c>
      <c r="BY37" s="192">
        <v>4</v>
      </c>
      <c r="BZ37" s="192">
        <v>5</v>
      </c>
      <c r="CA37" s="192">
        <v>3</v>
      </c>
      <c r="CB37" s="200">
        <v>1</v>
      </c>
      <c r="CC37" s="86">
        <v>13</v>
      </c>
      <c r="CD37" s="192">
        <v>3</v>
      </c>
      <c r="CE37" s="192">
        <v>5</v>
      </c>
      <c r="CF37" s="192">
        <v>2</v>
      </c>
      <c r="CG37" s="200">
        <v>3</v>
      </c>
      <c r="CH37" s="86">
        <v>13</v>
      </c>
      <c r="CI37" s="119">
        <v>2</v>
      </c>
      <c r="CJ37" s="119">
        <v>5</v>
      </c>
      <c r="CK37" s="113">
        <v>7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</row>
    <row r="38" spans="1:168" s="92" customFormat="1">
      <c r="A38" s="85" t="s">
        <v>20</v>
      </c>
      <c r="B38" s="192">
        <v>20</v>
      </c>
      <c r="C38" s="192">
        <v>8</v>
      </c>
      <c r="D38" s="192">
        <v>20</v>
      </c>
      <c r="E38" s="200">
        <v>9</v>
      </c>
      <c r="F38" s="86">
        <v>57</v>
      </c>
      <c r="G38" s="192">
        <v>10</v>
      </c>
      <c r="H38" s="192">
        <v>13</v>
      </c>
      <c r="I38" s="192">
        <v>11</v>
      </c>
      <c r="J38" s="200">
        <v>20</v>
      </c>
      <c r="K38" s="86">
        <v>54</v>
      </c>
      <c r="L38" s="192">
        <v>26</v>
      </c>
      <c r="M38" s="192">
        <v>13</v>
      </c>
      <c r="N38" s="192">
        <v>13</v>
      </c>
      <c r="O38" s="200">
        <v>20</v>
      </c>
      <c r="P38" s="86">
        <v>72</v>
      </c>
      <c r="Q38" s="192">
        <v>14</v>
      </c>
      <c r="R38" s="192">
        <v>16</v>
      </c>
      <c r="S38" s="192">
        <v>22</v>
      </c>
      <c r="T38" s="200">
        <v>17</v>
      </c>
      <c r="U38" s="86">
        <v>69</v>
      </c>
      <c r="V38" s="192">
        <v>19</v>
      </c>
      <c r="W38" s="192">
        <v>34</v>
      </c>
      <c r="X38" s="192">
        <v>43</v>
      </c>
      <c r="Y38" s="200">
        <v>43</v>
      </c>
      <c r="Z38" s="86">
        <v>139</v>
      </c>
      <c r="AA38" s="192">
        <v>37</v>
      </c>
      <c r="AB38" s="192">
        <v>30</v>
      </c>
      <c r="AC38" s="192">
        <v>20</v>
      </c>
      <c r="AD38" s="200">
        <v>12</v>
      </c>
      <c r="AE38" s="86">
        <v>99</v>
      </c>
      <c r="AF38" s="192">
        <v>6</v>
      </c>
      <c r="AG38" s="192">
        <v>8</v>
      </c>
      <c r="AH38" s="192">
        <v>5</v>
      </c>
      <c r="AI38" s="200">
        <v>9</v>
      </c>
      <c r="AJ38" s="86">
        <v>28</v>
      </c>
      <c r="AK38" s="192">
        <v>6</v>
      </c>
      <c r="AL38" s="192">
        <v>6</v>
      </c>
      <c r="AM38" s="192">
        <v>6</v>
      </c>
      <c r="AN38" s="200">
        <v>6</v>
      </c>
      <c r="AO38" s="86">
        <v>24</v>
      </c>
      <c r="AP38" s="192">
        <v>3</v>
      </c>
      <c r="AQ38" s="192">
        <v>4</v>
      </c>
      <c r="AR38" s="192">
        <v>7</v>
      </c>
      <c r="AS38" s="200">
        <v>5</v>
      </c>
      <c r="AT38" s="86">
        <v>19</v>
      </c>
      <c r="AU38" s="192">
        <v>5</v>
      </c>
      <c r="AV38" s="192">
        <v>4</v>
      </c>
      <c r="AW38" s="192">
        <v>11</v>
      </c>
      <c r="AX38" s="200">
        <v>10</v>
      </c>
      <c r="AY38" s="86">
        <v>30</v>
      </c>
      <c r="AZ38" s="192">
        <v>9</v>
      </c>
      <c r="BA38" s="192">
        <v>14</v>
      </c>
      <c r="BB38" s="192">
        <v>11</v>
      </c>
      <c r="BC38" s="200">
        <v>10</v>
      </c>
      <c r="BD38" s="86">
        <v>44</v>
      </c>
      <c r="BE38" s="192">
        <v>5</v>
      </c>
      <c r="BF38" s="192">
        <v>9</v>
      </c>
      <c r="BG38" s="192">
        <v>15</v>
      </c>
      <c r="BH38" s="200">
        <v>12</v>
      </c>
      <c r="BI38" s="86">
        <v>41</v>
      </c>
      <c r="BJ38" s="192">
        <v>7</v>
      </c>
      <c r="BK38" s="192">
        <v>10</v>
      </c>
      <c r="BL38" s="192">
        <v>13</v>
      </c>
      <c r="BM38" s="200">
        <v>26</v>
      </c>
      <c r="BN38" s="86">
        <v>56</v>
      </c>
      <c r="BO38" s="192">
        <v>14</v>
      </c>
      <c r="BP38" s="192">
        <v>20</v>
      </c>
      <c r="BQ38" s="192">
        <v>9</v>
      </c>
      <c r="BR38" s="200">
        <v>13</v>
      </c>
      <c r="BS38" s="86">
        <v>56</v>
      </c>
      <c r="BT38" s="192">
        <v>3</v>
      </c>
      <c r="BU38" s="192">
        <v>9</v>
      </c>
      <c r="BV38" s="192">
        <v>10</v>
      </c>
      <c r="BW38" s="200">
        <v>12</v>
      </c>
      <c r="BX38" s="86">
        <v>34</v>
      </c>
      <c r="BY38" s="192">
        <v>10</v>
      </c>
      <c r="BZ38" s="192">
        <v>11</v>
      </c>
      <c r="CA38" s="192">
        <v>7</v>
      </c>
      <c r="CB38" s="200">
        <v>13</v>
      </c>
      <c r="CC38" s="86">
        <v>41</v>
      </c>
      <c r="CD38" s="192">
        <v>15</v>
      </c>
      <c r="CE38" s="192">
        <v>20</v>
      </c>
      <c r="CF38" s="192">
        <v>9</v>
      </c>
      <c r="CG38" s="200">
        <v>8</v>
      </c>
      <c r="CH38" s="86">
        <v>52</v>
      </c>
      <c r="CI38" s="119">
        <v>11</v>
      </c>
      <c r="CJ38" s="119">
        <v>21</v>
      </c>
      <c r="CK38" s="113">
        <v>32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</row>
    <row r="39" spans="1:168" s="92" customFormat="1">
      <c r="A39" s="85" t="s">
        <v>21</v>
      </c>
      <c r="B39" s="192">
        <v>11</v>
      </c>
      <c r="C39" s="192">
        <v>4</v>
      </c>
      <c r="D39" s="192">
        <v>5</v>
      </c>
      <c r="E39" s="200">
        <v>3</v>
      </c>
      <c r="F39" s="86">
        <v>23</v>
      </c>
      <c r="G39" s="192">
        <v>3</v>
      </c>
      <c r="H39" s="192">
        <v>5</v>
      </c>
      <c r="I39" s="192">
        <v>7</v>
      </c>
      <c r="J39" s="200">
        <v>6</v>
      </c>
      <c r="K39" s="86">
        <v>21</v>
      </c>
      <c r="L39" s="192">
        <v>3</v>
      </c>
      <c r="M39" s="192">
        <v>2</v>
      </c>
      <c r="N39" s="192">
        <v>4</v>
      </c>
      <c r="O39" s="200">
        <v>10</v>
      </c>
      <c r="P39" s="86">
        <v>19</v>
      </c>
      <c r="Q39" s="192">
        <v>6</v>
      </c>
      <c r="R39" s="192">
        <v>2</v>
      </c>
      <c r="S39" s="192">
        <v>4</v>
      </c>
      <c r="T39" s="200">
        <v>6</v>
      </c>
      <c r="U39" s="86">
        <v>18</v>
      </c>
      <c r="V39" s="192">
        <v>3</v>
      </c>
      <c r="W39" s="192">
        <v>4</v>
      </c>
      <c r="X39" s="192">
        <v>4</v>
      </c>
      <c r="Y39" s="200">
        <v>5</v>
      </c>
      <c r="Z39" s="86">
        <v>16</v>
      </c>
      <c r="AA39" s="192">
        <v>2</v>
      </c>
      <c r="AB39" s="192">
        <v>8</v>
      </c>
      <c r="AC39" s="192">
        <v>15</v>
      </c>
      <c r="AD39" s="200">
        <v>5</v>
      </c>
      <c r="AE39" s="86">
        <v>30</v>
      </c>
      <c r="AF39" s="192">
        <v>5</v>
      </c>
      <c r="AG39" s="192">
        <v>5</v>
      </c>
      <c r="AH39" s="192">
        <v>7</v>
      </c>
      <c r="AI39" s="200">
        <v>8</v>
      </c>
      <c r="AJ39" s="86">
        <v>25</v>
      </c>
      <c r="AK39" s="192">
        <v>4</v>
      </c>
      <c r="AL39" s="192">
        <v>3</v>
      </c>
      <c r="AM39" s="192">
        <v>7</v>
      </c>
      <c r="AN39" s="200">
        <v>4</v>
      </c>
      <c r="AO39" s="86">
        <v>18</v>
      </c>
      <c r="AP39" s="192">
        <v>1</v>
      </c>
      <c r="AQ39" s="192">
        <v>3</v>
      </c>
      <c r="AR39" s="192">
        <v>7</v>
      </c>
      <c r="AS39" s="200">
        <v>12</v>
      </c>
      <c r="AT39" s="86">
        <v>23</v>
      </c>
      <c r="AU39" s="192"/>
      <c r="AV39" s="192">
        <v>8</v>
      </c>
      <c r="AW39" s="192">
        <v>8</v>
      </c>
      <c r="AX39" s="200">
        <v>6</v>
      </c>
      <c r="AY39" s="86">
        <v>22</v>
      </c>
      <c r="AZ39" s="192">
        <v>12</v>
      </c>
      <c r="BA39" s="192">
        <v>7</v>
      </c>
      <c r="BB39" s="192">
        <v>5</v>
      </c>
      <c r="BC39" s="200">
        <v>10</v>
      </c>
      <c r="BD39" s="86">
        <v>34</v>
      </c>
      <c r="BE39" s="192">
        <v>4</v>
      </c>
      <c r="BF39" s="192">
        <v>9</v>
      </c>
      <c r="BG39" s="192">
        <v>6</v>
      </c>
      <c r="BH39" s="200">
        <v>5</v>
      </c>
      <c r="BI39" s="86">
        <v>24</v>
      </c>
      <c r="BJ39" s="192">
        <v>5</v>
      </c>
      <c r="BK39" s="192">
        <v>13</v>
      </c>
      <c r="BL39" s="192">
        <v>4</v>
      </c>
      <c r="BM39" s="200">
        <v>4</v>
      </c>
      <c r="BN39" s="86">
        <v>26</v>
      </c>
      <c r="BO39" s="192">
        <v>7</v>
      </c>
      <c r="BP39" s="192">
        <v>8</v>
      </c>
      <c r="BQ39" s="192">
        <v>6</v>
      </c>
      <c r="BR39" s="200">
        <v>9</v>
      </c>
      <c r="BS39" s="86">
        <v>30</v>
      </c>
      <c r="BT39" s="192">
        <v>4</v>
      </c>
      <c r="BU39" s="192">
        <v>7</v>
      </c>
      <c r="BV39" s="192">
        <v>2</v>
      </c>
      <c r="BW39" s="200">
        <v>5</v>
      </c>
      <c r="BX39" s="86">
        <v>18</v>
      </c>
      <c r="BY39" s="192">
        <v>4</v>
      </c>
      <c r="BZ39" s="192">
        <v>6</v>
      </c>
      <c r="CA39" s="192">
        <v>4</v>
      </c>
      <c r="CB39" s="200">
        <v>1</v>
      </c>
      <c r="CC39" s="86">
        <v>15</v>
      </c>
      <c r="CD39" s="192">
        <v>2</v>
      </c>
      <c r="CE39" s="192">
        <v>2</v>
      </c>
      <c r="CF39" s="192">
        <v>5</v>
      </c>
      <c r="CG39" s="200">
        <v>3</v>
      </c>
      <c r="CH39" s="86">
        <v>12</v>
      </c>
      <c r="CI39" s="119">
        <v>2</v>
      </c>
      <c r="CJ39" s="119">
        <v>2</v>
      </c>
      <c r="CK39" s="113">
        <v>4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</row>
    <row r="40" spans="1:168" s="92" customFormat="1">
      <c r="A40" s="85" t="s">
        <v>22</v>
      </c>
      <c r="B40" s="192">
        <v>14</v>
      </c>
      <c r="C40" s="192">
        <v>2</v>
      </c>
      <c r="D40" s="192">
        <v>8</v>
      </c>
      <c r="E40" s="200">
        <v>8</v>
      </c>
      <c r="F40" s="86">
        <v>32</v>
      </c>
      <c r="G40" s="192">
        <v>11</v>
      </c>
      <c r="H40" s="192">
        <v>11</v>
      </c>
      <c r="I40" s="192">
        <v>7</v>
      </c>
      <c r="J40" s="200">
        <v>9</v>
      </c>
      <c r="K40" s="86">
        <v>38</v>
      </c>
      <c r="L40" s="192">
        <v>13</v>
      </c>
      <c r="M40" s="192">
        <v>12</v>
      </c>
      <c r="N40" s="192">
        <v>9</v>
      </c>
      <c r="O40" s="200">
        <v>10</v>
      </c>
      <c r="P40" s="86">
        <v>44</v>
      </c>
      <c r="Q40" s="192">
        <v>13</v>
      </c>
      <c r="R40" s="192">
        <v>15</v>
      </c>
      <c r="S40" s="192">
        <v>14</v>
      </c>
      <c r="T40" s="200">
        <v>21</v>
      </c>
      <c r="U40" s="86">
        <v>63</v>
      </c>
      <c r="V40" s="192">
        <v>18</v>
      </c>
      <c r="W40" s="192">
        <v>29</v>
      </c>
      <c r="X40" s="192">
        <v>26</v>
      </c>
      <c r="Y40" s="200">
        <v>28</v>
      </c>
      <c r="Z40" s="86">
        <v>101</v>
      </c>
      <c r="AA40" s="192">
        <v>52</v>
      </c>
      <c r="AB40" s="192">
        <v>45</v>
      </c>
      <c r="AC40" s="192">
        <v>40</v>
      </c>
      <c r="AD40" s="200">
        <v>35</v>
      </c>
      <c r="AE40" s="86">
        <v>172</v>
      </c>
      <c r="AF40" s="192">
        <v>19</v>
      </c>
      <c r="AG40" s="192">
        <v>9</v>
      </c>
      <c r="AH40" s="192">
        <v>7</v>
      </c>
      <c r="AI40" s="200">
        <v>9</v>
      </c>
      <c r="AJ40" s="86">
        <v>44</v>
      </c>
      <c r="AK40" s="192">
        <v>10</v>
      </c>
      <c r="AL40" s="192">
        <v>7</v>
      </c>
      <c r="AM40" s="192">
        <v>6</v>
      </c>
      <c r="AN40" s="200">
        <v>7</v>
      </c>
      <c r="AO40" s="86">
        <v>30</v>
      </c>
      <c r="AP40" s="192">
        <v>3</v>
      </c>
      <c r="AQ40" s="192">
        <v>9</v>
      </c>
      <c r="AR40" s="192">
        <v>1</v>
      </c>
      <c r="AS40" s="200">
        <v>6</v>
      </c>
      <c r="AT40" s="86">
        <v>19</v>
      </c>
      <c r="AU40" s="192">
        <v>6</v>
      </c>
      <c r="AV40" s="192">
        <v>11</v>
      </c>
      <c r="AW40" s="192">
        <v>5</v>
      </c>
      <c r="AX40" s="200">
        <v>10</v>
      </c>
      <c r="AY40" s="86">
        <v>32</v>
      </c>
      <c r="AZ40" s="192">
        <v>8</v>
      </c>
      <c r="BA40" s="192">
        <v>8</v>
      </c>
      <c r="BB40" s="192">
        <v>4</v>
      </c>
      <c r="BC40" s="200">
        <v>10</v>
      </c>
      <c r="BD40" s="86">
        <v>30</v>
      </c>
      <c r="BE40" s="192">
        <v>12</v>
      </c>
      <c r="BF40" s="192">
        <v>10</v>
      </c>
      <c r="BG40" s="192">
        <v>6</v>
      </c>
      <c r="BH40" s="200">
        <v>6</v>
      </c>
      <c r="BI40" s="86">
        <v>34</v>
      </c>
      <c r="BJ40" s="192">
        <v>7</v>
      </c>
      <c r="BK40" s="192">
        <v>5</v>
      </c>
      <c r="BL40" s="192">
        <v>18</v>
      </c>
      <c r="BM40" s="200">
        <v>13</v>
      </c>
      <c r="BN40" s="86">
        <v>43</v>
      </c>
      <c r="BO40" s="192">
        <v>6</v>
      </c>
      <c r="BP40" s="192">
        <v>13</v>
      </c>
      <c r="BQ40" s="192">
        <v>9</v>
      </c>
      <c r="BR40" s="200">
        <v>7</v>
      </c>
      <c r="BS40" s="86">
        <v>35</v>
      </c>
      <c r="BT40" s="192">
        <v>4</v>
      </c>
      <c r="BU40" s="192">
        <v>3</v>
      </c>
      <c r="BV40" s="192">
        <v>3</v>
      </c>
      <c r="BW40" s="200">
        <v>8</v>
      </c>
      <c r="BX40" s="86">
        <v>18</v>
      </c>
      <c r="BY40" s="192">
        <v>14</v>
      </c>
      <c r="BZ40" s="192">
        <v>7</v>
      </c>
      <c r="CA40" s="192">
        <v>11</v>
      </c>
      <c r="CB40" s="200">
        <v>6</v>
      </c>
      <c r="CC40" s="86">
        <v>38</v>
      </c>
      <c r="CD40" s="192">
        <v>2</v>
      </c>
      <c r="CE40" s="192">
        <v>10</v>
      </c>
      <c r="CF40" s="192">
        <v>5</v>
      </c>
      <c r="CG40" s="200">
        <v>7</v>
      </c>
      <c r="CH40" s="86">
        <v>24</v>
      </c>
      <c r="CI40" s="119">
        <v>3</v>
      </c>
      <c r="CJ40" s="119">
        <v>4</v>
      </c>
      <c r="CK40" s="113">
        <v>7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</row>
    <row r="41" spans="1:168" s="92" customFormat="1">
      <c r="A41" s="85" t="s">
        <v>23</v>
      </c>
      <c r="B41" s="192">
        <v>13</v>
      </c>
      <c r="C41" s="192">
        <v>10</v>
      </c>
      <c r="D41" s="192">
        <v>9</v>
      </c>
      <c r="E41" s="200">
        <v>10</v>
      </c>
      <c r="F41" s="86">
        <v>42</v>
      </c>
      <c r="G41" s="192">
        <v>9</v>
      </c>
      <c r="H41" s="192">
        <v>16</v>
      </c>
      <c r="I41" s="192">
        <v>11</v>
      </c>
      <c r="J41" s="200">
        <v>23</v>
      </c>
      <c r="K41" s="86">
        <v>59</v>
      </c>
      <c r="L41" s="192">
        <v>12</v>
      </c>
      <c r="M41" s="192">
        <v>12</v>
      </c>
      <c r="N41" s="192">
        <v>12</v>
      </c>
      <c r="O41" s="200">
        <v>17</v>
      </c>
      <c r="P41" s="86">
        <v>53</v>
      </c>
      <c r="Q41" s="192">
        <v>6</v>
      </c>
      <c r="R41" s="192">
        <v>9</v>
      </c>
      <c r="S41" s="192">
        <v>13</v>
      </c>
      <c r="T41" s="200">
        <v>10</v>
      </c>
      <c r="U41" s="86">
        <v>38</v>
      </c>
      <c r="V41" s="192">
        <v>9</v>
      </c>
      <c r="W41" s="192">
        <v>8</v>
      </c>
      <c r="X41" s="192">
        <v>17</v>
      </c>
      <c r="Y41" s="200">
        <v>18</v>
      </c>
      <c r="Z41" s="86">
        <v>52</v>
      </c>
      <c r="AA41" s="192">
        <v>24</v>
      </c>
      <c r="AB41" s="192">
        <v>13</v>
      </c>
      <c r="AC41" s="192">
        <v>14</v>
      </c>
      <c r="AD41" s="200">
        <v>8</v>
      </c>
      <c r="AE41" s="86">
        <v>59</v>
      </c>
      <c r="AF41" s="192">
        <v>7</v>
      </c>
      <c r="AG41" s="192">
        <v>6</v>
      </c>
      <c r="AH41" s="192">
        <v>6</v>
      </c>
      <c r="AI41" s="200">
        <v>2</v>
      </c>
      <c r="AJ41" s="86">
        <v>21</v>
      </c>
      <c r="AK41" s="192">
        <v>5</v>
      </c>
      <c r="AL41" s="192">
        <v>2</v>
      </c>
      <c r="AM41" s="192">
        <v>6</v>
      </c>
      <c r="AN41" s="200">
        <v>7</v>
      </c>
      <c r="AO41" s="86">
        <v>20</v>
      </c>
      <c r="AP41" s="192">
        <v>4</v>
      </c>
      <c r="AQ41" s="192">
        <v>3</v>
      </c>
      <c r="AR41" s="192">
        <v>4</v>
      </c>
      <c r="AS41" s="200">
        <v>6</v>
      </c>
      <c r="AT41" s="86">
        <v>17</v>
      </c>
      <c r="AU41" s="192">
        <v>2</v>
      </c>
      <c r="AV41" s="192">
        <v>6</v>
      </c>
      <c r="AW41" s="192">
        <v>4</v>
      </c>
      <c r="AX41" s="200">
        <v>5</v>
      </c>
      <c r="AY41" s="86">
        <v>17</v>
      </c>
      <c r="AZ41" s="192">
        <v>5</v>
      </c>
      <c r="BA41" s="192">
        <v>5</v>
      </c>
      <c r="BB41" s="192">
        <v>5</v>
      </c>
      <c r="BC41" s="200">
        <v>10</v>
      </c>
      <c r="BD41" s="86">
        <v>25</v>
      </c>
      <c r="BE41" s="192">
        <v>7</v>
      </c>
      <c r="BF41" s="192">
        <v>3</v>
      </c>
      <c r="BG41" s="192">
        <v>4</v>
      </c>
      <c r="BH41" s="200">
        <v>4</v>
      </c>
      <c r="BI41" s="86">
        <v>18</v>
      </c>
      <c r="BJ41" s="192">
        <v>3</v>
      </c>
      <c r="BK41" s="192">
        <v>6</v>
      </c>
      <c r="BL41" s="192">
        <v>6</v>
      </c>
      <c r="BM41" s="200">
        <v>2</v>
      </c>
      <c r="BN41" s="86">
        <v>17</v>
      </c>
      <c r="BO41" s="192">
        <v>1</v>
      </c>
      <c r="BP41" s="192">
        <v>3</v>
      </c>
      <c r="BQ41" s="192">
        <v>2</v>
      </c>
      <c r="BR41" s="200">
        <v>4</v>
      </c>
      <c r="BS41" s="86">
        <v>10</v>
      </c>
      <c r="BT41" s="192">
        <v>3</v>
      </c>
      <c r="BU41" s="192">
        <v>4</v>
      </c>
      <c r="BV41" s="192">
        <v>4</v>
      </c>
      <c r="BW41" s="200">
        <v>2</v>
      </c>
      <c r="BX41" s="86">
        <v>13</v>
      </c>
      <c r="BY41" s="192">
        <v>4</v>
      </c>
      <c r="BZ41" s="192">
        <v>3</v>
      </c>
      <c r="CA41" s="192">
        <v>6</v>
      </c>
      <c r="CB41" s="200">
        <v>7</v>
      </c>
      <c r="CC41" s="86">
        <v>20</v>
      </c>
      <c r="CD41" s="192">
        <v>4</v>
      </c>
      <c r="CE41" s="192">
        <v>1</v>
      </c>
      <c r="CF41" s="192">
        <v>3</v>
      </c>
      <c r="CG41" s="200">
        <v>2</v>
      </c>
      <c r="CH41" s="86">
        <v>10</v>
      </c>
      <c r="CI41" s="119">
        <v>1</v>
      </c>
      <c r="CJ41" s="119">
        <v>5</v>
      </c>
      <c r="CK41" s="113">
        <v>6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</row>
    <row r="42" spans="1:168" s="92" customFormat="1">
      <c r="A42" s="85" t="s">
        <v>24</v>
      </c>
      <c r="B42" s="192">
        <v>28</v>
      </c>
      <c r="C42" s="192">
        <v>19</v>
      </c>
      <c r="D42" s="192">
        <v>17</v>
      </c>
      <c r="E42" s="200">
        <v>16</v>
      </c>
      <c r="F42" s="86">
        <v>80</v>
      </c>
      <c r="G42" s="192">
        <v>10</v>
      </c>
      <c r="H42" s="192">
        <v>18</v>
      </c>
      <c r="I42" s="192">
        <v>18</v>
      </c>
      <c r="J42" s="200">
        <v>34</v>
      </c>
      <c r="K42" s="86">
        <v>80</v>
      </c>
      <c r="L42" s="192">
        <v>20</v>
      </c>
      <c r="M42" s="192">
        <v>26</v>
      </c>
      <c r="N42" s="192">
        <v>31</v>
      </c>
      <c r="O42" s="200">
        <v>22</v>
      </c>
      <c r="P42" s="86">
        <v>99</v>
      </c>
      <c r="Q42" s="192">
        <v>25</v>
      </c>
      <c r="R42" s="192">
        <v>18</v>
      </c>
      <c r="S42" s="192">
        <v>20</v>
      </c>
      <c r="T42" s="200">
        <v>22</v>
      </c>
      <c r="U42" s="86">
        <v>85</v>
      </c>
      <c r="V42" s="192">
        <v>12</v>
      </c>
      <c r="W42" s="192">
        <v>19</v>
      </c>
      <c r="X42" s="192">
        <v>23</v>
      </c>
      <c r="Y42" s="200">
        <v>47</v>
      </c>
      <c r="Z42" s="86">
        <v>101</v>
      </c>
      <c r="AA42" s="192">
        <v>30</v>
      </c>
      <c r="AB42" s="192">
        <v>26</v>
      </c>
      <c r="AC42" s="192">
        <v>27</v>
      </c>
      <c r="AD42" s="200">
        <v>39</v>
      </c>
      <c r="AE42" s="86">
        <v>122</v>
      </c>
      <c r="AF42" s="192">
        <v>29</v>
      </c>
      <c r="AG42" s="192">
        <v>16</v>
      </c>
      <c r="AH42" s="192">
        <v>19</v>
      </c>
      <c r="AI42" s="200">
        <v>21</v>
      </c>
      <c r="AJ42" s="86">
        <v>85</v>
      </c>
      <c r="AK42" s="192">
        <v>19</v>
      </c>
      <c r="AL42" s="192">
        <v>18</v>
      </c>
      <c r="AM42" s="192">
        <v>8</v>
      </c>
      <c r="AN42" s="200">
        <v>17</v>
      </c>
      <c r="AO42" s="86">
        <v>62</v>
      </c>
      <c r="AP42" s="192">
        <v>11</v>
      </c>
      <c r="AQ42" s="192">
        <v>8</v>
      </c>
      <c r="AR42" s="192">
        <v>12</v>
      </c>
      <c r="AS42" s="200">
        <v>18</v>
      </c>
      <c r="AT42" s="86">
        <v>49</v>
      </c>
      <c r="AU42" s="192">
        <v>17</v>
      </c>
      <c r="AV42" s="192">
        <v>20</v>
      </c>
      <c r="AW42" s="192">
        <v>13</v>
      </c>
      <c r="AX42" s="200">
        <v>18</v>
      </c>
      <c r="AY42" s="86">
        <v>68</v>
      </c>
      <c r="AZ42" s="192">
        <v>16</v>
      </c>
      <c r="BA42" s="192">
        <v>16</v>
      </c>
      <c r="BB42" s="192">
        <v>18</v>
      </c>
      <c r="BC42" s="200">
        <v>22</v>
      </c>
      <c r="BD42" s="86">
        <v>72</v>
      </c>
      <c r="BE42" s="192">
        <v>25</v>
      </c>
      <c r="BF42" s="192">
        <v>28</v>
      </c>
      <c r="BG42" s="192">
        <v>32</v>
      </c>
      <c r="BH42" s="200">
        <v>28</v>
      </c>
      <c r="BI42" s="86">
        <v>113</v>
      </c>
      <c r="BJ42" s="192">
        <v>23</v>
      </c>
      <c r="BK42" s="192">
        <v>34</v>
      </c>
      <c r="BL42" s="192">
        <v>45</v>
      </c>
      <c r="BM42" s="200">
        <v>49</v>
      </c>
      <c r="BN42" s="86">
        <v>151</v>
      </c>
      <c r="BO42" s="192">
        <v>32</v>
      </c>
      <c r="BP42" s="192">
        <v>38</v>
      </c>
      <c r="BQ42" s="192">
        <v>43</v>
      </c>
      <c r="BR42" s="200">
        <v>44</v>
      </c>
      <c r="BS42" s="86">
        <v>157</v>
      </c>
      <c r="BT42" s="192">
        <v>17</v>
      </c>
      <c r="BU42" s="192">
        <v>19</v>
      </c>
      <c r="BV42" s="192">
        <v>19</v>
      </c>
      <c r="BW42" s="200">
        <v>22</v>
      </c>
      <c r="BX42" s="86">
        <v>77</v>
      </c>
      <c r="BY42" s="192">
        <v>24</v>
      </c>
      <c r="BZ42" s="192">
        <v>22</v>
      </c>
      <c r="CA42" s="192">
        <v>21</v>
      </c>
      <c r="CB42" s="200">
        <v>25</v>
      </c>
      <c r="CC42" s="86">
        <v>92</v>
      </c>
      <c r="CD42" s="192">
        <v>24</v>
      </c>
      <c r="CE42" s="192">
        <v>23</v>
      </c>
      <c r="CF42" s="192">
        <v>15</v>
      </c>
      <c r="CG42" s="200">
        <v>17</v>
      </c>
      <c r="CH42" s="86">
        <v>79</v>
      </c>
      <c r="CI42" s="119">
        <v>18</v>
      </c>
      <c r="CJ42" s="119">
        <v>16</v>
      </c>
      <c r="CK42" s="113">
        <v>34</v>
      </c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</row>
    <row r="43" spans="1:168" s="92" customFormat="1">
      <c r="A43" s="85" t="s">
        <v>25</v>
      </c>
      <c r="B43" s="192">
        <v>12</v>
      </c>
      <c r="C43" s="192">
        <v>2</v>
      </c>
      <c r="D43" s="192">
        <v>4</v>
      </c>
      <c r="E43" s="200">
        <v>10</v>
      </c>
      <c r="F43" s="86">
        <v>28</v>
      </c>
      <c r="G43" s="192">
        <v>14</v>
      </c>
      <c r="H43" s="192">
        <v>12</v>
      </c>
      <c r="I43" s="192">
        <v>18</v>
      </c>
      <c r="J43" s="200">
        <v>22</v>
      </c>
      <c r="K43" s="86">
        <v>66</v>
      </c>
      <c r="L43" s="192">
        <v>21</v>
      </c>
      <c r="M43" s="192">
        <v>14</v>
      </c>
      <c r="N43" s="192">
        <v>9</v>
      </c>
      <c r="O43" s="200">
        <v>20</v>
      </c>
      <c r="P43" s="86">
        <v>64</v>
      </c>
      <c r="Q43" s="192">
        <v>17</v>
      </c>
      <c r="R43" s="192">
        <v>31</v>
      </c>
      <c r="S43" s="192">
        <v>18</v>
      </c>
      <c r="T43" s="200">
        <v>26</v>
      </c>
      <c r="U43" s="86">
        <v>92</v>
      </c>
      <c r="V43" s="192">
        <v>38</v>
      </c>
      <c r="W43" s="192">
        <v>43</v>
      </c>
      <c r="X43" s="192">
        <v>65</v>
      </c>
      <c r="Y43" s="200">
        <v>82</v>
      </c>
      <c r="Z43" s="86">
        <v>228</v>
      </c>
      <c r="AA43" s="192">
        <v>103</v>
      </c>
      <c r="AB43" s="192">
        <v>104</v>
      </c>
      <c r="AC43" s="192">
        <v>61</v>
      </c>
      <c r="AD43" s="200">
        <v>61</v>
      </c>
      <c r="AE43" s="86">
        <v>329</v>
      </c>
      <c r="AF43" s="192">
        <v>22</v>
      </c>
      <c r="AG43" s="192">
        <v>22</v>
      </c>
      <c r="AH43" s="192">
        <v>13</v>
      </c>
      <c r="AI43" s="200">
        <v>15</v>
      </c>
      <c r="AJ43" s="86">
        <v>72</v>
      </c>
      <c r="AK43" s="192">
        <v>6</v>
      </c>
      <c r="AL43" s="192">
        <v>10</v>
      </c>
      <c r="AM43" s="192">
        <v>6</v>
      </c>
      <c r="AN43" s="200">
        <v>6</v>
      </c>
      <c r="AO43" s="86">
        <v>28</v>
      </c>
      <c r="AP43" s="192">
        <v>9</v>
      </c>
      <c r="AQ43" s="192">
        <v>11</v>
      </c>
      <c r="AR43" s="192">
        <v>7</v>
      </c>
      <c r="AS43" s="200">
        <v>8</v>
      </c>
      <c r="AT43" s="86">
        <v>35</v>
      </c>
      <c r="AU43" s="192">
        <v>15</v>
      </c>
      <c r="AV43" s="192">
        <v>7</v>
      </c>
      <c r="AW43" s="192">
        <v>11</v>
      </c>
      <c r="AX43" s="200">
        <v>16</v>
      </c>
      <c r="AY43" s="86">
        <v>49</v>
      </c>
      <c r="AZ43" s="192">
        <v>19</v>
      </c>
      <c r="BA43" s="192">
        <v>19</v>
      </c>
      <c r="BB43" s="192">
        <v>12</v>
      </c>
      <c r="BC43" s="200">
        <v>12</v>
      </c>
      <c r="BD43" s="86">
        <v>62</v>
      </c>
      <c r="BE43" s="192">
        <v>26</v>
      </c>
      <c r="BF43" s="192">
        <v>22</v>
      </c>
      <c r="BG43" s="192">
        <v>23</v>
      </c>
      <c r="BH43" s="200">
        <v>23</v>
      </c>
      <c r="BI43" s="86">
        <v>94</v>
      </c>
      <c r="BJ43" s="192">
        <v>25</v>
      </c>
      <c r="BK43" s="192">
        <v>27</v>
      </c>
      <c r="BL43" s="192">
        <v>22</v>
      </c>
      <c r="BM43" s="200">
        <v>25</v>
      </c>
      <c r="BN43" s="86">
        <v>99</v>
      </c>
      <c r="BO43" s="192">
        <v>29</v>
      </c>
      <c r="BP43" s="192">
        <v>31</v>
      </c>
      <c r="BQ43" s="192">
        <v>38</v>
      </c>
      <c r="BR43" s="200">
        <v>24</v>
      </c>
      <c r="BS43" s="86">
        <v>122</v>
      </c>
      <c r="BT43" s="192">
        <v>20</v>
      </c>
      <c r="BU43" s="192">
        <v>20</v>
      </c>
      <c r="BV43" s="192">
        <v>15</v>
      </c>
      <c r="BW43" s="200">
        <v>23</v>
      </c>
      <c r="BX43" s="86">
        <v>78</v>
      </c>
      <c r="BY43" s="192">
        <v>18</v>
      </c>
      <c r="BZ43" s="192">
        <v>30</v>
      </c>
      <c r="CA43" s="192">
        <v>22</v>
      </c>
      <c r="CB43" s="200">
        <v>29</v>
      </c>
      <c r="CC43" s="86">
        <v>99</v>
      </c>
      <c r="CD43" s="192">
        <v>36</v>
      </c>
      <c r="CE43" s="192">
        <v>27</v>
      </c>
      <c r="CF43" s="192">
        <v>42</v>
      </c>
      <c r="CG43" s="200">
        <v>37</v>
      </c>
      <c r="CH43" s="86">
        <v>142</v>
      </c>
      <c r="CI43" s="119">
        <v>28</v>
      </c>
      <c r="CJ43" s="119">
        <v>30</v>
      </c>
      <c r="CK43" s="113">
        <v>58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</row>
    <row r="44" spans="1:168" s="92" customFormat="1">
      <c r="A44" s="85" t="s">
        <v>26</v>
      </c>
      <c r="B44" s="192">
        <v>17</v>
      </c>
      <c r="C44" s="192">
        <v>24</v>
      </c>
      <c r="D44" s="192">
        <v>13</v>
      </c>
      <c r="E44" s="200">
        <v>16</v>
      </c>
      <c r="F44" s="86">
        <v>70</v>
      </c>
      <c r="G44" s="192">
        <v>13</v>
      </c>
      <c r="H44" s="192">
        <v>20</v>
      </c>
      <c r="I44" s="192">
        <v>15</v>
      </c>
      <c r="J44" s="200">
        <v>29</v>
      </c>
      <c r="K44" s="86">
        <v>77</v>
      </c>
      <c r="L44" s="192">
        <v>28</v>
      </c>
      <c r="M44" s="192">
        <v>20</v>
      </c>
      <c r="N44" s="192">
        <v>23</v>
      </c>
      <c r="O44" s="200">
        <v>37</v>
      </c>
      <c r="P44" s="86">
        <v>108</v>
      </c>
      <c r="Q44" s="192">
        <v>28</v>
      </c>
      <c r="R44" s="192">
        <v>18</v>
      </c>
      <c r="S44" s="192">
        <v>27</v>
      </c>
      <c r="T44" s="200">
        <v>41</v>
      </c>
      <c r="U44" s="86">
        <v>114</v>
      </c>
      <c r="V44" s="192">
        <v>45</v>
      </c>
      <c r="W44" s="192">
        <v>91</v>
      </c>
      <c r="X44" s="192">
        <v>102</v>
      </c>
      <c r="Y44" s="200">
        <v>139</v>
      </c>
      <c r="Z44" s="86">
        <v>377</v>
      </c>
      <c r="AA44" s="192">
        <v>144</v>
      </c>
      <c r="AB44" s="192">
        <v>133</v>
      </c>
      <c r="AC44" s="192">
        <v>65</v>
      </c>
      <c r="AD44" s="200">
        <v>50</v>
      </c>
      <c r="AE44" s="86">
        <v>392</v>
      </c>
      <c r="AF44" s="192">
        <v>30</v>
      </c>
      <c r="AG44" s="192">
        <v>22</v>
      </c>
      <c r="AH44" s="192">
        <v>14</v>
      </c>
      <c r="AI44" s="200">
        <v>6</v>
      </c>
      <c r="AJ44" s="86">
        <v>72</v>
      </c>
      <c r="AK44" s="192">
        <v>12</v>
      </c>
      <c r="AL44" s="192">
        <v>8</v>
      </c>
      <c r="AM44" s="192">
        <v>13</v>
      </c>
      <c r="AN44" s="200">
        <v>11</v>
      </c>
      <c r="AO44" s="86">
        <v>44</v>
      </c>
      <c r="AP44" s="192">
        <v>7</v>
      </c>
      <c r="AQ44" s="192">
        <v>7</v>
      </c>
      <c r="AR44" s="192">
        <v>10</v>
      </c>
      <c r="AS44" s="200">
        <v>13</v>
      </c>
      <c r="AT44" s="86">
        <v>37</v>
      </c>
      <c r="AU44" s="192">
        <v>8</v>
      </c>
      <c r="AV44" s="192">
        <v>21</v>
      </c>
      <c r="AW44" s="192">
        <v>13</v>
      </c>
      <c r="AX44" s="200">
        <v>15</v>
      </c>
      <c r="AY44" s="86">
        <v>57</v>
      </c>
      <c r="AZ44" s="192">
        <v>24</v>
      </c>
      <c r="BA44" s="192">
        <v>22</v>
      </c>
      <c r="BB44" s="192">
        <v>18</v>
      </c>
      <c r="BC44" s="200">
        <v>36</v>
      </c>
      <c r="BD44" s="86">
        <v>100</v>
      </c>
      <c r="BE44" s="192">
        <v>30</v>
      </c>
      <c r="BF44" s="192">
        <v>41</v>
      </c>
      <c r="BG44" s="192">
        <v>42</v>
      </c>
      <c r="BH44" s="200">
        <v>41</v>
      </c>
      <c r="BI44" s="86">
        <v>154</v>
      </c>
      <c r="BJ44" s="192">
        <v>37</v>
      </c>
      <c r="BK44" s="192">
        <v>42</v>
      </c>
      <c r="BL44" s="192">
        <v>51</v>
      </c>
      <c r="BM44" s="200">
        <v>48</v>
      </c>
      <c r="BN44" s="86">
        <v>178</v>
      </c>
      <c r="BO44" s="192">
        <v>57</v>
      </c>
      <c r="BP44" s="192">
        <v>49</v>
      </c>
      <c r="BQ44" s="192">
        <v>41</v>
      </c>
      <c r="BR44" s="200">
        <v>24</v>
      </c>
      <c r="BS44" s="86">
        <v>171</v>
      </c>
      <c r="BT44" s="192">
        <v>16</v>
      </c>
      <c r="BU44" s="192">
        <v>14</v>
      </c>
      <c r="BV44" s="192">
        <v>25</v>
      </c>
      <c r="BW44" s="200">
        <v>37</v>
      </c>
      <c r="BX44" s="86">
        <v>92</v>
      </c>
      <c r="BY44" s="192">
        <v>31</v>
      </c>
      <c r="BZ44" s="192">
        <v>43</v>
      </c>
      <c r="CA44" s="192">
        <v>33</v>
      </c>
      <c r="CB44" s="200">
        <v>35</v>
      </c>
      <c r="CC44" s="86">
        <v>142</v>
      </c>
      <c r="CD44" s="192">
        <v>41</v>
      </c>
      <c r="CE44" s="192">
        <v>64</v>
      </c>
      <c r="CF44" s="192">
        <v>59</v>
      </c>
      <c r="CG44" s="200">
        <v>51</v>
      </c>
      <c r="CH44" s="86">
        <v>215</v>
      </c>
      <c r="CI44" s="119">
        <v>27</v>
      </c>
      <c r="CJ44" s="119">
        <v>47</v>
      </c>
      <c r="CK44" s="113">
        <v>74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</row>
    <row r="45" spans="1:168" s="92" customFormat="1">
      <c r="A45" s="85" t="s">
        <v>27</v>
      </c>
      <c r="B45" s="192">
        <v>20</v>
      </c>
      <c r="C45" s="192">
        <v>11</v>
      </c>
      <c r="D45" s="192">
        <v>15</v>
      </c>
      <c r="E45" s="200">
        <v>8</v>
      </c>
      <c r="F45" s="86">
        <v>54</v>
      </c>
      <c r="G45" s="192">
        <v>15</v>
      </c>
      <c r="H45" s="192">
        <v>25</v>
      </c>
      <c r="I45" s="192">
        <v>12</v>
      </c>
      <c r="J45" s="200">
        <v>31</v>
      </c>
      <c r="K45" s="86">
        <v>83</v>
      </c>
      <c r="L45" s="192">
        <v>25</v>
      </c>
      <c r="M45" s="192">
        <v>19</v>
      </c>
      <c r="N45" s="192">
        <v>29</v>
      </c>
      <c r="O45" s="200">
        <v>34</v>
      </c>
      <c r="P45" s="86">
        <v>107</v>
      </c>
      <c r="Q45" s="192">
        <v>25</v>
      </c>
      <c r="R45" s="192">
        <v>21</v>
      </c>
      <c r="S45" s="192">
        <v>25</v>
      </c>
      <c r="T45" s="200">
        <v>26</v>
      </c>
      <c r="U45" s="86">
        <v>97</v>
      </c>
      <c r="V45" s="192">
        <v>18</v>
      </c>
      <c r="W45" s="192">
        <v>25</v>
      </c>
      <c r="X45" s="192">
        <v>26</v>
      </c>
      <c r="Y45" s="200">
        <v>18</v>
      </c>
      <c r="Z45" s="86">
        <v>87</v>
      </c>
      <c r="AA45" s="192">
        <v>14</v>
      </c>
      <c r="AB45" s="192">
        <v>13</v>
      </c>
      <c r="AC45" s="192">
        <v>30</v>
      </c>
      <c r="AD45" s="200">
        <v>12</v>
      </c>
      <c r="AE45" s="86">
        <v>69</v>
      </c>
      <c r="AF45" s="192">
        <v>15</v>
      </c>
      <c r="AG45" s="192">
        <v>23</v>
      </c>
      <c r="AH45" s="192">
        <v>12</v>
      </c>
      <c r="AI45" s="200">
        <v>10</v>
      </c>
      <c r="AJ45" s="86">
        <v>60</v>
      </c>
      <c r="AK45" s="192">
        <v>12</v>
      </c>
      <c r="AL45" s="192">
        <v>23</v>
      </c>
      <c r="AM45" s="192">
        <v>13</v>
      </c>
      <c r="AN45" s="200">
        <v>15</v>
      </c>
      <c r="AO45" s="86">
        <v>63</v>
      </c>
      <c r="AP45" s="192">
        <v>14</v>
      </c>
      <c r="AQ45" s="192">
        <v>18</v>
      </c>
      <c r="AR45" s="192">
        <v>21</v>
      </c>
      <c r="AS45" s="200">
        <v>19</v>
      </c>
      <c r="AT45" s="86">
        <v>72</v>
      </c>
      <c r="AU45" s="192">
        <v>16</v>
      </c>
      <c r="AV45" s="192">
        <v>17</v>
      </c>
      <c r="AW45" s="192">
        <v>16</v>
      </c>
      <c r="AX45" s="200">
        <v>28</v>
      </c>
      <c r="AY45" s="86">
        <v>77</v>
      </c>
      <c r="AZ45" s="192">
        <v>15</v>
      </c>
      <c r="BA45" s="192">
        <v>20</v>
      </c>
      <c r="BB45" s="192">
        <v>23</v>
      </c>
      <c r="BC45" s="200">
        <v>30</v>
      </c>
      <c r="BD45" s="86">
        <v>88</v>
      </c>
      <c r="BE45" s="192">
        <v>34</v>
      </c>
      <c r="BF45" s="192">
        <v>31</v>
      </c>
      <c r="BG45" s="192">
        <v>34</v>
      </c>
      <c r="BH45" s="200">
        <v>31</v>
      </c>
      <c r="BI45" s="86">
        <v>130</v>
      </c>
      <c r="BJ45" s="192">
        <v>34</v>
      </c>
      <c r="BK45" s="192">
        <v>32</v>
      </c>
      <c r="BL45" s="192">
        <v>29</v>
      </c>
      <c r="BM45" s="200">
        <v>30</v>
      </c>
      <c r="BN45" s="86">
        <v>125</v>
      </c>
      <c r="BO45" s="192">
        <v>34</v>
      </c>
      <c r="BP45" s="192">
        <v>35</v>
      </c>
      <c r="BQ45" s="192">
        <v>21</v>
      </c>
      <c r="BR45" s="200">
        <v>19</v>
      </c>
      <c r="BS45" s="86">
        <v>109</v>
      </c>
      <c r="BT45" s="192">
        <v>13</v>
      </c>
      <c r="BU45" s="192">
        <v>22</v>
      </c>
      <c r="BV45" s="192">
        <v>16</v>
      </c>
      <c r="BW45" s="200">
        <v>22</v>
      </c>
      <c r="BX45" s="86">
        <v>73</v>
      </c>
      <c r="BY45" s="192">
        <v>12</v>
      </c>
      <c r="BZ45" s="192">
        <v>20</v>
      </c>
      <c r="CA45" s="192">
        <v>19</v>
      </c>
      <c r="CB45" s="200">
        <v>18</v>
      </c>
      <c r="CC45" s="86">
        <v>69</v>
      </c>
      <c r="CD45" s="192">
        <v>16</v>
      </c>
      <c r="CE45" s="192">
        <v>18</v>
      </c>
      <c r="CF45" s="192">
        <v>11</v>
      </c>
      <c r="CG45" s="200">
        <v>16</v>
      </c>
      <c r="CH45" s="86">
        <v>61</v>
      </c>
      <c r="CI45" s="119">
        <v>12</v>
      </c>
      <c r="CJ45" s="119">
        <v>13</v>
      </c>
      <c r="CK45" s="113">
        <v>25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</row>
    <row r="46" spans="1:168" s="92" customFormat="1">
      <c r="A46" s="85" t="s">
        <v>28</v>
      </c>
      <c r="B46" s="192">
        <v>9</v>
      </c>
      <c r="C46" s="192">
        <v>5</v>
      </c>
      <c r="D46" s="192">
        <v>9</v>
      </c>
      <c r="E46" s="200">
        <v>9</v>
      </c>
      <c r="F46" s="86">
        <v>32</v>
      </c>
      <c r="G46" s="192">
        <v>12</v>
      </c>
      <c r="H46" s="192">
        <v>16</v>
      </c>
      <c r="I46" s="192">
        <v>8</v>
      </c>
      <c r="J46" s="200">
        <v>11</v>
      </c>
      <c r="K46" s="86">
        <v>47</v>
      </c>
      <c r="L46" s="192">
        <v>10</v>
      </c>
      <c r="M46" s="192">
        <v>16</v>
      </c>
      <c r="N46" s="192">
        <v>15</v>
      </c>
      <c r="O46" s="200">
        <v>11</v>
      </c>
      <c r="P46" s="86">
        <v>52</v>
      </c>
      <c r="Q46" s="192">
        <v>21</v>
      </c>
      <c r="R46" s="192">
        <v>20</v>
      </c>
      <c r="S46" s="192">
        <v>21</v>
      </c>
      <c r="T46" s="200">
        <v>20</v>
      </c>
      <c r="U46" s="86">
        <v>82</v>
      </c>
      <c r="V46" s="192">
        <v>21</v>
      </c>
      <c r="W46" s="192">
        <v>31</v>
      </c>
      <c r="X46" s="192">
        <v>21</v>
      </c>
      <c r="Y46" s="200">
        <v>34</v>
      </c>
      <c r="Z46" s="86">
        <v>107</v>
      </c>
      <c r="AA46" s="192">
        <v>49</v>
      </c>
      <c r="AB46" s="192">
        <v>48</v>
      </c>
      <c r="AC46" s="192">
        <v>53</v>
      </c>
      <c r="AD46" s="200">
        <v>59</v>
      </c>
      <c r="AE46" s="86">
        <v>209</v>
      </c>
      <c r="AF46" s="192">
        <v>40</v>
      </c>
      <c r="AG46" s="192">
        <v>23</v>
      </c>
      <c r="AH46" s="192">
        <v>12</v>
      </c>
      <c r="AI46" s="200">
        <v>20</v>
      </c>
      <c r="AJ46" s="86">
        <v>95</v>
      </c>
      <c r="AK46" s="192">
        <v>13</v>
      </c>
      <c r="AL46" s="192">
        <v>14</v>
      </c>
      <c r="AM46" s="192">
        <v>5</v>
      </c>
      <c r="AN46" s="200">
        <v>7</v>
      </c>
      <c r="AO46" s="86">
        <v>39</v>
      </c>
      <c r="AP46" s="192">
        <v>4</v>
      </c>
      <c r="AQ46" s="192">
        <v>7</v>
      </c>
      <c r="AR46" s="192">
        <v>4</v>
      </c>
      <c r="AS46" s="200">
        <v>6</v>
      </c>
      <c r="AT46" s="86">
        <v>21</v>
      </c>
      <c r="AU46" s="192">
        <v>9</v>
      </c>
      <c r="AV46" s="192">
        <v>13</v>
      </c>
      <c r="AW46" s="192">
        <v>9</v>
      </c>
      <c r="AX46" s="200">
        <v>5</v>
      </c>
      <c r="AY46" s="86">
        <v>36</v>
      </c>
      <c r="AZ46" s="192">
        <v>5</v>
      </c>
      <c r="BA46" s="192">
        <v>5</v>
      </c>
      <c r="BB46" s="192">
        <v>7</v>
      </c>
      <c r="BC46" s="200">
        <v>8</v>
      </c>
      <c r="BD46" s="86">
        <v>25</v>
      </c>
      <c r="BE46" s="192">
        <v>5</v>
      </c>
      <c r="BF46" s="192">
        <v>6</v>
      </c>
      <c r="BG46" s="192">
        <v>7</v>
      </c>
      <c r="BH46" s="200">
        <v>3</v>
      </c>
      <c r="BI46" s="86">
        <v>21</v>
      </c>
      <c r="BJ46" s="192">
        <v>7</v>
      </c>
      <c r="BK46" s="192">
        <v>7</v>
      </c>
      <c r="BL46" s="192">
        <v>4</v>
      </c>
      <c r="BM46" s="200">
        <v>7</v>
      </c>
      <c r="BN46" s="86">
        <v>25</v>
      </c>
      <c r="BO46" s="192">
        <v>3</v>
      </c>
      <c r="BP46" s="192">
        <v>1</v>
      </c>
      <c r="BQ46" s="192">
        <v>2</v>
      </c>
      <c r="BR46" s="200">
        <v>4</v>
      </c>
      <c r="BS46" s="86">
        <v>10</v>
      </c>
      <c r="BT46" s="192">
        <v>3</v>
      </c>
      <c r="BU46" s="192">
        <v>4</v>
      </c>
      <c r="BV46" s="192">
        <v>5</v>
      </c>
      <c r="BW46" s="200">
        <v>2</v>
      </c>
      <c r="BX46" s="86">
        <v>14</v>
      </c>
      <c r="BY46" s="192">
        <v>3</v>
      </c>
      <c r="BZ46" s="192">
        <v>2</v>
      </c>
      <c r="CA46" s="192">
        <v>2</v>
      </c>
      <c r="CB46" s="200">
        <v>1</v>
      </c>
      <c r="CC46" s="86">
        <v>8</v>
      </c>
      <c r="CD46" s="192">
        <v>4</v>
      </c>
      <c r="CE46" s="192">
        <v>2</v>
      </c>
      <c r="CF46" s="192">
        <v>2</v>
      </c>
      <c r="CG46" s="200">
        <v>1</v>
      </c>
      <c r="CH46" s="86">
        <v>9</v>
      </c>
      <c r="CI46" s="119"/>
      <c r="CJ46" s="119">
        <v>2</v>
      </c>
      <c r="CK46" s="113">
        <v>2</v>
      </c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</row>
    <row r="47" spans="1:168" s="92" customFormat="1">
      <c r="A47" s="85" t="s">
        <v>53</v>
      </c>
      <c r="B47" s="192">
        <v>2</v>
      </c>
      <c r="C47" s="192"/>
      <c r="D47" s="192">
        <v>2</v>
      </c>
      <c r="E47" s="200">
        <v>1</v>
      </c>
      <c r="F47" s="86">
        <v>5</v>
      </c>
      <c r="G47" s="192"/>
      <c r="H47" s="192">
        <v>1</v>
      </c>
      <c r="I47" s="192"/>
      <c r="J47" s="200"/>
      <c r="K47" s="86">
        <v>1</v>
      </c>
      <c r="L47" s="192">
        <v>4</v>
      </c>
      <c r="M47" s="192">
        <v>1</v>
      </c>
      <c r="N47" s="192"/>
      <c r="O47" s="200">
        <v>1</v>
      </c>
      <c r="P47" s="86">
        <v>6</v>
      </c>
      <c r="Q47" s="192"/>
      <c r="R47" s="192">
        <v>1</v>
      </c>
      <c r="S47" s="192">
        <v>2</v>
      </c>
      <c r="T47" s="200">
        <v>2</v>
      </c>
      <c r="U47" s="86">
        <v>5</v>
      </c>
      <c r="V47" s="192">
        <v>1</v>
      </c>
      <c r="W47" s="192">
        <v>3</v>
      </c>
      <c r="X47" s="192">
        <v>2</v>
      </c>
      <c r="Y47" s="200">
        <v>4</v>
      </c>
      <c r="Z47" s="86">
        <v>10</v>
      </c>
      <c r="AA47" s="192"/>
      <c r="AB47" s="192">
        <v>5</v>
      </c>
      <c r="AC47" s="192">
        <v>2</v>
      </c>
      <c r="AD47" s="200">
        <v>2</v>
      </c>
      <c r="AE47" s="86">
        <v>9</v>
      </c>
      <c r="AF47" s="192">
        <v>1</v>
      </c>
      <c r="AG47" s="192">
        <v>4</v>
      </c>
      <c r="AH47" s="192">
        <v>1</v>
      </c>
      <c r="AI47" s="200">
        <v>2</v>
      </c>
      <c r="AJ47" s="86">
        <v>8</v>
      </c>
      <c r="AK47" s="192">
        <v>2</v>
      </c>
      <c r="AL47" s="192"/>
      <c r="AM47" s="192"/>
      <c r="AN47" s="200"/>
      <c r="AO47" s="86">
        <v>2</v>
      </c>
      <c r="AP47" s="192"/>
      <c r="AQ47" s="192"/>
      <c r="AR47" s="192"/>
      <c r="AS47" s="200"/>
      <c r="AT47" s="86"/>
      <c r="AU47" s="192"/>
      <c r="AV47" s="192">
        <v>1</v>
      </c>
      <c r="AW47" s="192"/>
      <c r="AX47" s="200">
        <v>1</v>
      </c>
      <c r="AY47" s="86">
        <v>2</v>
      </c>
      <c r="AZ47" s="192">
        <v>1</v>
      </c>
      <c r="BA47" s="192"/>
      <c r="BB47" s="192"/>
      <c r="BC47" s="200">
        <v>1</v>
      </c>
      <c r="BD47" s="86">
        <v>2</v>
      </c>
      <c r="BE47" s="192"/>
      <c r="BF47" s="192"/>
      <c r="BG47" s="192"/>
      <c r="BH47" s="200"/>
      <c r="BI47" s="86"/>
      <c r="BJ47" s="192">
        <v>2</v>
      </c>
      <c r="BK47" s="192">
        <v>2</v>
      </c>
      <c r="BL47" s="192">
        <v>2</v>
      </c>
      <c r="BM47" s="200">
        <v>3</v>
      </c>
      <c r="BN47" s="86">
        <v>9</v>
      </c>
      <c r="BO47" s="192"/>
      <c r="BP47" s="192">
        <v>2</v>
      </c>
      <c r="BQ47" s="192"/>
      <c r="BR47" s="200">
        <v>1</v>
      </c>
      <c r="BS47" s="86">
        <v>3</v>
      </c>
      <c r="BT47" s="192"/>
      <c r="BU47" s="192">
        <v>2</v>
      </c>
      <c r="BV47" s="192">
        <v>1</v>
      </c>
      <c r="BW47" s="200">
        <v>3</v>
      </c>
      <c r="BX47" s="86">
        <v>6</v>
      </c>
      <c r="BY47" s="192">
        <v>4</v>
      </c>
      <c r="BZ47" s="192"/>
      <c r="CA47" s="192">
        <v>3</v>
      </c>
      <c r="CB47" s="200">
        <v>3</v>
      </c>
      <c r="CC47" s="86">
        <v>10</v>
      </c>
      <c r="CD47" s="192">
        <v>2</v>
      </c>
      <c r="CE47" s="192">
        <v>1</v>
      </c>
      <c r="CF47" s="192">
        <v>10</v>
      </c>
      <c r="CG47" s="200">
        <v>1</v>
      </c>
      <c r="CH47" s="86">
        <v>14</v>
      </c>
      <c r="CI47" s="119">
        <v>4</v>
      </c>
      <c r="CJ47" s="119">
        <v>7</v>
      </c>
      <c r="CK47" s="113">
        <v>11</v>
      </c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</row>
    <row r="48" spans="1:168" s="92" customFormat="1">
      <c r="A48" s="85" t="s">
        <v>29</v>
      </c>
      <c r="B48" s="192">
        <v>7</v>
      </c>
      <c r="C48" s="192">
        <v>9</v>
      </c>
      <c r="D48" s="192">
        <v>4</v>
      </c>
      <c r="E48" s="200">
        <v>16</v>
      </c>
      <c r="F48" s="86">
        <v>36</v>
      </c>
      <c r="G48" s="192">
        <v>5</v>
      </c>
      <c r="H48" s="192">
        <v>9</v>
      </c>
      <c r="I48" s="192">
        <v>11</v>
      </c>
      <c r="J48" s="200">
        <v>10</v>
      </c>
      <c r="K48" s="86">
        <v>35</v>
      </c>
      <c r="L48" s="192">
        <v>8</v>
      </c>
      <c r="M48" s="192">
        <v>11</v>
      </c>
      <c r="N48" s="192">
        <v>3</v>
      </c>
      <c r="O48" s="200">
        <v>11</v>
      </c>
      <c r="P48" s="86">
        <v>33</v>
      </c>
      <c r="Q48" s="192">
        <v>9</v>
      </c>
      <c r="R48" s="192">
        <v>9</v>
      </c>
      <c r="S48" s="192">
        <v>14</v>
      </c>
      <c r="T48" s="200">
        <v>13</v>
      </c>
      <c r="U48" s="86">
        <v>45</v>
      </c>
      <c r="V48" s="192">
        <v>18</v>
      </c>
      <c r="W48" s="192">
        <v>19</v>
      </c>
      <c r="X48" s="192">
        <v>31</v>
      </c>
      <c r="Y48" s="200">
        <v>47</v>
      </c>
      <c r="Z48" s="86">
        <v>115</v>
      </c>
      <c r="AA48" s="192">
        <v>45</v>
      </c>
      <c r="AB48" s="192">
        <v>37</v>
      </c>
      <c r="AC48" s="192">
        <v>25</v>
      </c>
      <c r="AD48" s="200">
        <v>13</v>
      </c>
      <c r="AE48" s="86">
        <v>120</v>
      </c>
      <c r="AF48" s="192">
        <v>5</v>
      </c>
      <c r="AG48" s="192">
        <v>2</v>
      </c>
      <c r="AH48" s="192">
        <v>6</v>
      </c>
      <c r="AI48" s="200">
        <v>6</v>
      </c>
      <c r="AJ48" s="86">
        <v>19</v>
      </c>
      <c r="AK48" s="192">
        <v>2</v>
      </c>
      <c r="AL48" s="192">
        <v>2</v>
      </c>
      <c r="AM48" s="192">
        <v>3</v>
      </c>
      <c r="AN48" s="200">
        <v>2</v>
      </c>
      <c r="AO48" s="86">
        <v>9</v>
      </c>
      <c r="AP48" s="192">
        <v>1</v>
      </c>
      <c r="AQ48" s="192">
        <v>1</v>
      </c>
      <c r="AR48" s="192">
        <v>1</v>
      </c>
      <c r="AS48" s="200">
        <v>2</v>
      </c>
      <c r="AT48" s="86">
        <v>5</v>
      </c>
      <c r="AU48" s="192">
        <v>4</v>
      </c>
      <c r="AV48" s="192">
        <v>4</v>
      </c>
      <c r="AW48" s="192">
        <v>6</v>
      </c>
      <c r="AX48" s="200">
        <v>5</v>
      </c>
      <c r="AY48" s="86">
        <v>19</v>
      </c>
      <c r="AZ48" s="192">
        <v>6</v>
      </c>
      <c r="BA48" s="192">
        <v>7</v>
      </c>
      <c r="BB48" s="192">
        <v>4</v>
      </c>
      <c r="BC48" s="200">
        <v>6</v>
      </c>
      <c r="BD48" s="86">
        <v>23</v>
      </c>
      <c r="BE48" s="192">
        <v>2</v>
      </c>
      <c r="BF48" s="192"/>
      <c r="BG48" s="192">
        <v>3</v>
      </c>
      <c r="BH48" s="200">
        <v>5</v>
      </c>
      <c r="BI48" s="86">
        <v>10</v>
      </c>
      <c r="BJ48" s="192">
        <v>6</v>
      </c>
      <c r="BK48" s="192">
        <v>2</v>
      </c>
      <c r="BL48" s="192">
        <v>2</v>
      </c>
      <c r="BM48" s="200">
        <v>4</v>
      </c>
      <c r="BN48" s="86">
        <v>14</v>
      </c>
      <c r="BO48" s="192">
        <v>7</v>
      </c>
      <c r="BP48" s="192">
        <v>2</v>
      </c>
      <c r="BQ48" s="192">
        <v>4</v>
      </c>
      <c r="BR48" s="200">
        <v>4</v>
      </c>
      <c r="BS48" s="86">
        <v>17</v>
      </c>
      <c r="BT48" s="192">
        <v>2</v>
      </c>
      <c r="BU48" s="192">
        <v>3</v>
      </c>
      <c r="BV48" s="192">
        <v>2</v>
      </c>
      <c r="BW48" s="200">
        <v>4</v>
      </c>
      <c r="BX48" s="86">
        <v>11</v>
      </c>
      <c r="BY48" s="192">
        <v>3</v>
      </c>
      <c r="BZ48" s="192">
        <v>3</v>
      </c>
      <c r="CA48" s="192">
        <v>5</v>
      </c>
      <c r="CB48" s="200">
        <v>4</v>
      </c>
      <c r="CC48" s="86">
        <v>15</v>
      </c>
      <c r="CD48" s="192">
        <v>3</v>
      </c>
      <c r="CE48" s="192">
        <v>10</v>
      </c>
      <c r="CF48" s="192">
        <v>7</v>
      </c>
      <c r="CG48" s="200">
        <v>2</v>
      </c>
      <c r="CH48" s="86">
        <v>22</v>
      </c>
      <c r="CI48" s="119">
        <v>1</v>
      </c>
      <c r="CJ48" s="119">
        <v>8</v>
      </c>
      <c r="CK48" s="113">
        <v>9</v>
      </c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</row>
    <row r="49" spans="1:168" s="92" customFormat="1">
      <c r="A49" s="85" t="s">
        <v>30</v>
      </c>
      <c r="B49" s="192">
        <v>7</v>
      </c>
      <c r="C49" s="192">
        <v>3</v>
      </c>
      <c r="D49" s="192">
        <v>6</v>
      </c>
      <c r="E49" s="200">
        <v>7</v>
      </c>
      <c r="F49" s="86">
        <v>23</v>
      </c>
      <c r="G49" s="192">
        <v>8</v>
      </c>
      <c r="H49" s="192">
        <v>3</v>
      </c>
      <c r="I49" s="192">
        <v>6</v>
      </c>
      <c r="J49" s="200">
        <v>12</v>
      </c>
      <c r="K49" s="86">
        <v>29</v>
      </c>
      <c r="L49" s="192">
        <v>13</v>
      </c>
      <c r="M49" s="192">
        <v>9</v>
      </c>
      <c r="N49" s="192">
        <v>19</v>
      </c>
      <c r="O49" s="200">
        <v>14</v>
      </c>
      <c r="P49" s="86">
        <v>55</v>
      </c>
      <c r="Q49" s="192">
        <v>9</v>
      </c>
      <c r="R49" s="192">
        <v>10</v>
      </c>
      <c r="S49" s="192">
        <v>12</v>
      </c>
      <c r="T49" s="200">
        <v>15</v>
      </c>
      <c r="U49" s="86">
        <v>46</v>
      </c>
      <c r="V49" s="192">
        <v>10</v>
      </c>
      <c r="W49" s="192">
        <v>10</v>
      </c>
      <c r="X49" s="192">
        <v>12</v>
      </c>
      <c r="Y49" s="200">
        <v>17</v>
      </c>
      <c r="Z49" s="86">
        <v>49</v>
      </c>
      <c r="AA49" s="192">
        <v>21</v>
      </c>
      <c r="AB49" s="192">
        <v>25</v>
      </c>
      <c r="AC49" s="192">
        <v>30</v>
      </c>
      <c r="AD49" s="200">
        <v>38</v>
      </c>
      <c r="AE49" s="86">
        <v>114</v>
      </c>
      <c r="AF49" s="192">
        <v>24</v>
      </c>
      <c r="AG49" s="192">
        <v>24</v>
      </c>
      <c r="AH49" s="192">
        <v>18</v>
      </c>
      <c r="AI49" s="200">
        <v>14</v>
      </c>
      <c r="AJ49" s="86">
        <v>80</v>
      </c>
      <c r="AK49" s="192">
        <v>12</v>
      </c>
      <c r="AL49" s="192">
        <v>16</v>
      </c>
      <c r="AM49" s="192">
        <v>12</v>
      </c>
      <c r="AN49" s="200">
        <v>12</v>
      </c>
      <c r="AO49" s="86">
        <v>52</v>
      </c>
      <c r="AP49" s="192">
        <v>17</v>
      </c>
      <c r="AQ49" s="192">
        <v>15</v>
      </c>
      <c r="AR49" s="192">
        <v>16</v>
      </c>
      <c r="AS49" s="200">
        <v>17</v>
      </c>
      <c r="AT49" s="86">
        <v>65</v>
      </c>
      <c r="AU49" s="192">
        <v>24</v>
      </c>
      <c r="AV49" s="192">
        <v>20</v>
      </c>
      <c r="AW49" s="192">
        <v>11</v>
      </c>
      <c r="AX49" s="200">
        <v>24</v>
      </c>
      <c r="AY49" s="86">
        <v>79</v>
      </c>
      <c r="AZ49" s="192">
        <v>8</v>
      </c>
      <c r="BA49" s="192">
        <v>15</v>
      </c>
      <c r="BB49" s="192">
        <v>9</v>
      </c>
      <c r="BC49" s="200">
        <v>9</v>
      </c>
      <c r="BD49" s="86">
        <v>41</v>
      </c>
      <c r="BE49" s="192">
        <v>16</v>
      </c>
      <c r="BF49" s="192">
        <v>13</v>
      </c>
      <c r="BG49" s="192">
        <v>8</v>
      </c>
      <c r="BH49" s="200">
        <v>10</v>
      </c>
      <c r="BI49" s="86">
        <v>47</v>
      </c>
      <c r="BJ49" s="192">
        <v>10</v>
      </c>
      <c r="BK49" s="192">
        <v>14</v>
      </c>
      <c r="BL49" s="192">
        <v>3</v>
      </c>
      <c r="BM49" s="200">
        <v>11</v>
      </c>
      <c r="BN49" s="86">
        <v>38</v>
      </c>
      <c r="BO49" s="192">
        <v>12</v>
      </c>
      <c r="BP49" s="192">
        <v>6</v>
      </c>
      <c r="BQ49" s="192">
        <v>8</v>
      </c>
      <c r="BR49" s="200">
        <v>8</v>
      </c>
      <c r="BS49" s="86">
        <v>34</v>
      </c>
      <c r="BT49" s="192">
        <v>2</v>
      </c>
      <c r="BU49" s="192">
        <v>1</v>
      </c>
      <c r="BV49" s="192">
        <v>3</v>
      </c>
      <c r="BW49" s="200">
        <v>6</v>
      </c>
      <c r="BX49" s="86">
        <v>12</v>
      </c>
      <c r="BY49" s="192">
        <v>4</v>
      </c>
      <c r="BZ49" s="192">
        <v>3</v>
      </c>
      <c r="CA49" s="192">
        <v>5</v>
      </c>
      <c r="CB49" s="200">
        <v>4</v>
      </c>
      <c r="CC49" s="86">
        <v>16</v>
      </c>
      <c r="CD49" s="192">
        <v>3</v>
      </c>
      <c r="CE49" s="192">
        <v>5</v>
      </c>
      <c r="CF49" s="192">
        <v>5</v>
      </c>
      <c r="CG49" s="200">
        <v>7</v>
      </c>
      <c r="CH49" s="86">
        <v>20</v>
      </c>
      <c r="CI49" s="119">
        <v>4</v>
      </c>
      <c r="CJ49" s="119">
        <v>4</v>
      </c>
      <c r="CK49" s="113">
        <v>8</v>
      </c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</row>
    <row r="50" spans="1:168" s="92" customFormat="1">
      <c r="A50" s="85" t="s">
        <v>31</v>
      </c>
      <c r="B50" s="192">
        <v>48</v>
      </c>
      <c r="C50" s="192">
        <v>66</v>
      </c>
      <c r="D50" s="192">
        <v>50</v>
      </c>
      <c r="E50" s="200">
        <v>59</v>
      </c>
      <c r="F50" s="86">
        <v>223</v>
      </c>
      <c r="G50" s="192">
        <v>72</v>
      </c>
      <c r="H50" s="192">
        <v>84</v>
      </c>
      <c r="I50" s="192">
        <v>77</v>
      </c>
      <c r="J50" s="200">
        <v>87</v>
      </c>
      <c r="K50" s="86">
        <v>320</v>
      </c>
      <c r="L50" s="192">
        <v>93</v>
      </c>
      <c r="M50" s="192">
        <v>73</v>
      </c>
      <c r="N50" s="192">
        <v>70</v>
      </c>
      <c r="O50" s="200">
        <v>90</v>
      </c>
      <c r="P50" s="86">
        <v>326</v>
      </c>
      <c r="Q50" s="192">
        <v>85</v>
      </c>
      <c r="R50" s="192">
        <v>83</v>
      </c>
      <c r="S50" s="192">
        <v>64</v>
      </c>
      <c r="T50" s="200">
        <v>98</v>
      </c>
      <c r="U50" s="86">
        <v>330</v>
      </c>
      <c r="V50" s="192">
        <v>89</v>
      </c>
      <c r="W50" s="192">
        <v>139</v>
      </c>
      <c r="X50" s="192">
        <v>160</v>
      </c>
      <c r="Y50" s="200">
        <v>201</v>
      </c>
      <c r="Z50" s="86">
        <v>589</v>
      </c>
      <c r="AA50" s="192">
        <v>226</v>
      </c>
      <c r="AB50" s="192">
        <v>267</v>
      </c>
      <c r="AC50" s="192">
        <v>209</v>
      </c>
      <c r="AD50" s="200">
        <v>174</v>
      </c>
      <c r="AE50" s="86">
        <v>876</v>
      </c>
      <c r="AF50" s="192">
        <v>95</v>
      </c>
      <c r="AG50" s="192">
        <v>89</v>
      </c>
      <c r="AH50" s="192">
        <v>76</v>
      </c>
      <c r="AI50" s="200">
        <v>53</v>
      </c>
      <c r="AJ50" s="86">
        <v>313</v>
      </c>
      <c r="AK50" s="192">
        <v>70</v>
      </c>
      <c r="AL50" s="192">
        <v>79</v>
      </c>
      <c r="AM50" s="192">
        <v>61</v>
      </c>
      <c r="AN50" s="200">
        <v>55</v>
      </c>
      <c r="AO50" s="86">
        <v>265</v>
      </c>
      <c r="AP50" s="192">
        <v>65</v>
      </c>
      <c r="AQ50" s="192">
        <v>52</v>
      </c>
      <c r="AR50" s="192">
        <v>51</v>
      </c>
      <c r="AS50" s="200">
        <v>57</v>
      </c>
      <c r="AT50" s="86">
        <v>225</v>
      </c>
      <c r="AU50" s="192">
        <v>53</v>
      </c>
      <c r="AV50" s="192">
        <v>72</v>
      </c>
      <c r="AW50" s="192">
        <v>61</v>
      </c>
      <c r="AX50" s="200">
        <v>65</v>
      </c>
      <c r="AY50" s="86">
        <v>251</v>
      </c>
      <c r="AZ50" s="192">
        <v>62</v>
      </c>
      <c r="BA50" s="192">
        <v>68</v>
      </c>
      <c r="BB50" s="192">
        <v>77</v>
      </c>
      <c r="BC50" s="200">
        <v>78</v>
      </c>
      <c r="BD50" s="86">
        <v>285</v>
      </c>
      <c r="BE50" s="192">
        <v>64</v>
      </c>
      <c r="BF50" s="192">
        <v>85</v>
      </c>
      <c r="BG50" s="192">
        <v>71</v>
      </c>
      <c r="BH50" s="200">
        <v>71</v>
      </c>
      <c r="BI50" s="86">
        <v>291</v>
      </c>
      <c r="BJ50" s="192">
        <v>65</v>
      </c>
      <c r="BK50" s="192">
        <v>87</v>
      </c>
      <c r="BL50" s="192">
        <v>65</v>
      </c>
      <c r="BM50" s="200">
        <v>95</v>
      </c>
      <c r="BN50" s="86">
        <v>312</v>
      </c>
      <c r="BO50" s="192">
        <v>76</v>
      </c>
      <c r="BP50" s="192">
        <v>75</v>
      </c>
      <c r="BQ50" s="192">
        <v>74</v>
      </c>
      <c r="BR50" s="200">
        <v>71</v>
      </c>
      <c r="BS50" s="86">
        <v>296</v>
      </c>
      <c r="BT50" s="192">
        <v>42</v>
      </c>
      <c r="BU50" s="192">
        <v>52</v>
      </c>
      <c r="BV50" s="192">
        <v>39</v>
      </c>
      <c r="BW50" s="200">
        <v>74</v>
      </c>
      <c r="BX50" s="86">
        <v>207</v>
      </c>
      <c r="BY50" s="192">
        <v>59</v>
      </c>
      <c r="BZ50" s="192">
        <v>84</v>
      </c>
      <c r="CA50" s="192">
        <v>87</v>
      </c>
      <c r="CB50" s="200">
        <v>84</v>
      </c>
      <c r="CC50" s="86">
        <v>314</v>
      </c>
      <c r="CD50" s="192">
        <v>87</v>
      </c>
      <c r="CE50" s="192">
        <v>103</v>
      </c>
      <c r="CF50" s="192">
        <v>106</v>
      </c>
      <c r="CG50" s="200">
        <v>91</v>
      </c>
      <c r="CH50" s="86">
        <v>387</v>
      </c>
      <c r="CI50" s="119">
        <v>76</v>
      </c>
      <c r="CJ50" s="119">
        <v>90</v>
      </c>
      <c r="CK50" s="113">
        <v>166</v>
      </c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</row>
    <row r="51" spans="1:168" s="92" customFormat="1" ht="13.5" thickBot="1">
      <c r="A51" s="85" t="s">
        <v>32</v>
      </c>
      <c r="B51" s="193">
        <v>14</v>
      </c>
      <c r="C51" s="193">
        <v>15</v>
      </c>
      <c r="D51" s="193">
        <v>21</v>
      </c>
      <c r="E51" s="201">
        <v>18</v>
      </c>
      <c r="F51" s="130">
        <v>68</v>
      </c>
      <c r="G51" s="193">
        <v>19</v>
      </c>
      <c r="H51" s="193">
        <v>25</v>
      </c>
      <c r="I51" s="193">
        <v>20</v>
      </c>
      <c r="J51" s="201">
        <v>25</v>
      </c>
      <c r="K51" s="130">
        <v>89</v>
      </c>
      <c r="L51" s="193">
        <v>24</v>
      </c>
      <c r="M51" s="193">
        <v>28</v>
      </c>
      <c r="N51" s="193">
        <v>21</v>
      </c>
      <c r="O51" s="201">
        <v>20</v>
      </c>
      <c r="P51" s="130">
        <v>93</v>
      </c>
      <c r="Q51" s="193">
        <v>32</v>
      </c>
      <c r="R51" s="193">
        <v>34</v>
      </c>
      <c r="S51" s="193">
        <v>36</v>
      </c>
      <c r="T51" s="201">
        <v>37</v>
      </c>
      <c r="U51" s="130">
        <v>139</v>
      </c>
      <c r="V51" s="193">
        <v>35</v>
      </c>
      <c r="W51" s="193">
        <v>51</v>
      </c>
      <c r="X51" s="193">
        <v>64</v>
      </c>
      <c r="Y51" s="201">
        <v>82</v>
      </c>
      <c r="Z51" s="130">
        <v>232</v>
      </c>
      <c r="AA51" s="193">
        <v>104</v>
      </c>
      <c r="AB51" s="193">
        <v>110</v>
      </c>
      <c r="AC51" s="193">
        <v>95</v>
      </c>
      <c r="AD51" s="201">
        <v>86</v>
      </c>
      <c r="AE51" s="130">
        <v>395</v>
      </c>
      <c r="AF51" s="193">
        <v>45</v>
      </c>
      <c r="AG51" s="193">
        <v>29</v>
      </c>
      <c r="AH51" s="193">
        <v>29</v>
      </c>
      <c r="AI51" s="201">
        <v>24</v>
      </c>
      <c r="AJ51" s="130">
        <v>127</v>
      </c>
      <c r="AK51" s="193">
        <v>13</v>
      </c>
      <c r="AL51" s="193">
        <v>9</v>
      </c>
      <c r="AM51" s="193">
        <v>10</v>
      </c>
      <c r="AN51" s="201">
        <v>12</v>
      </c>
      <c r="AO51" s="130">
        <v>44</v>
      </c>
      <c r="AP51" s="193">
        <v>10</v>
      </c>
      <c r="AQ51" s="193">
        <v>10</v>
      </c>
      <c r="AR51" s="193">
        <v>9</v>
      </c>
      <c r="AS51" s="201">
        <v>9</v>
      </c>
      <c r="AT51" s="130">
        <v>38</v>
      </c>
      <c r="AU51" s="193">
        <v>7</v>
      </c>
      <c r="AV51" s="193">
        <v>13</v>
      </c>
      <c r="AW51" s="193">
        <v>16</v>
      </c>
      <c r="AX51" s="201">
        <v>18</v>
      </c>
      <c r="AY51" s="130">
        <v>54</v>
      </c>
      <c r="AZ51" s="193">
        <v>13</v>
      </c>
      <c r="BA51" s="193">
        <v>15</v>
      </c>
      <c r="BB51" s="193">
        <v>23</v>
      </c>
      <c r="BC51" s="201">
        <v>20</v>
      </c>
      <c r="BD51" s="130">
        <v>71</v>
      </c>
      <c r="BE51" s="193">
        <v>17</v>
      </c>
      <c r="BF51" s="193">
        <v>27</v>
      </c>
      <c r="BG51" s="193">
        <v>26</v>
      </c>
      <c r="BH51" s="201">
        <v>28</v>
      </c>
      <c r="BI51" s="130">
        <v>98</v>
      </c>
      <c r="BJ51" s="193">
        <v>14</v>
      </c>
      <c r="BK51" s="193">
        <v>23</v>
      </c>
      <c r="BL51" s="193">
        <v>23</v>
      </c>
      <c r="BM51" s="201">
        <v>19</v>
      </c>
      <c r="BN51" s="130">
        <v>79</v>
      </c>
      <c r="BO51" s="193">
        <v>13</v>
      </c>
      <c r="BP51" s="193">
        <v>13</v>
      </c>
      <c r="BQ51" s="193">
        <v>14</v>
      </c>
      <c r="BR51" s="201">
        <v>8</v>
      </c>
      <c r="BS51" s="130">
        <v>48</v>
      </c>
      <c r="BT51" s="193">
        <v>2</v>
      </c>
      <c r="BU51" s="193">
        <v>11</v>
      </c>
      <c r="BV51" s="193">
        <v>5</v>
      </c>
      <c r="BW51" s="201">
        <v>12</v>
      </c>
      <c r="BX51" s="130">
        <v>30</v>
      </c>
      <c r="BY51" s="193">
        <v>8</v>
      </c>
      <c r="BZ51" s="193">
        <v>7</v>
      </c>
      <c r="CA51" s="193">
        <v>14</v>
      </c>
      <c r="CB51" s="201">
        <v>15</v>
      </c>
      <c r="CC51" s="130">
        <v>44</v>
      </c>
      <c r="CD51" s="193">
        <v>10</v>
      </c>
      <c r="CE51" s="193">
        <v>9</v>
      </c>
      <c r="CF51" s="193">
        <v>12</v>
      </c>
      <c r="CG51" s="201">
        <v>17</v>
      </c>
      <c r="CH51" s="130">
        <v>48</v>
      </c>
      <c r="CI51" s="120">
        <v>9</v>
      </c>
      <c r="CJ51" s="120">
        <v>12</v>
      </c>
      <c r="CK51" s="115">
        <v>21</v>
      </c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</row>
    <row r="52" spans="1:168" s="92" customFormat="1" ht="14.25" thickTop="1" thickBot="1">
      <c r="A52" s="101" t="s">
        <v>4</v>
      </c>
      <c r="B52" s="194">
        <v>260</v>
      </c>
      <c r="C52" s="194">
        <v>209</v>
      </c>
      <c r="D52" s="194">
        <v>215</v>
      </c>
      <c r="E52" s="202">
        <v>216</v>
      </c>
      <c r="F52" s="131">
        <v>900</v>
      </c>
      <c r="G52" s="194">
        <v>235</v>
      </c>
      <c r="H52" s="194">
        <v>298</v>
      </c>
      <c r="I52" s="194">
        <v>254</v>
      </c>
      <c r="J52" s="202">
        <v>357</v>
      </c>
      <c r="K52" s="131">
        <v>1144</v>
      </c>
      <c r="L52" s="194">
        <v>339</v>
      </c>
      <c r="M52" s="194">
        <v>297</v>
      </c>
      <c r="N52" s="194">
        <v>298</v>
      </c>
      <c r="O52" s="202">
        <v>372</v>
      </c>
      <c r="P52" s="131">
        <v>1306</v>
      </c>
      <c r="Q52" s="194">
        <v>352</v>
      </c>
      <c r="R52" s="194">
        <v>338</v>
      </c>
      <c r="S52" s="194">
        <v>340</v>
      </c>
      <c r="T52" s="202">
        <v>406</v>
      </c>
      <c r="U52" s="131">
        <v>1436</v>
      </c>
      <c r="V52" s="194">
        <v>375</v>
      </c>
      <c r="W52" s="194">
        <v>571</v>
      </c>
      <c r="X52" s="194">
        <v>648</v>
      </c>
      <c r="Y52" s="202">
        <v>872</v>
      </c>
      <c r="Z52" s="131">
        <v>2466</v>
      </c>
      <c r="AA52" s="194">
        <v>963</v>
      </c>
      <c r="AB52" s="194">
        <v>957</v>
      </c>
      <c r="AC52" s="194">
        <v>796</v>
      </c>
      <c r="AD52" s="202">
        <v>677</v>
      </c>
      <c r="AE52" s="131">
        <v>3393</v>
      </c>
      <c r="AF52" s="194">
        <v>392</v>
      </c>
      <c r="AG52" s="194">
        <v>329</v>
      </c>
      <c r="AH52" s="194">
        <v>277</v>
      </c>
      <c r="AI52" s="202">
        <v>243</v>
      </c>
      <c r="AJ52" s="131">
        <v>1241</v>
      </c>
      <c r="AK52" s="194">
        <v>226</v>
      </c>
      <c r="AL52" s="194">
        <v>244</v>
      </c>
      <c r="AM52" s="194">
        <v>184</v>
      </c>
      <c r="AN52" s="202">
        <v>198</v>
      </c>
      <c r="AO52" s="131">
        <v>852</v>
      </c>
      <c r="AP52" s="194">
        <v>179</v>
      </c>
      <c r="AQ52" s="194">
        <v>185</v>
      </c>
      <c r="AR52" s="194">
        <v>183</v>
      </c>
      <c r="AS52" s="202">
        <v>221</v>
      </c>
      <c r="AT52" s="131">
        <v>768</v>
      </c>
      <c r="AU52" s="194">
        <v>203</v>
      </c>
      <c r="AV52" s="194">
        <v>257</v>
      </c>
      <c r="AW52" s="194">
        <v>231</v>
      </c>
      <c r="AX52" s="202">
        <v>267</v>
      </c>
      <c r="AY52" s="131">
        <v>958</v>
      </c>
      <c r="AZ52" s="194">
        <v>247</v>
      </c>
      <c r="BA52" s="194">
        <v>265</v>
      </c>
      <c r="BB52" s="194">
        <v>263</v>
      </c>
      <c r="BC52" s="202">
        <v>302</v>
      </c>
      <c r="BD52" s="131">
        <v>1077</v>
      </c>
      <c r="BE52" s="194">
        <v>284</v>
      </c>
      <c r="BF52" s="194">
        <v>339</v>
      </c>
      <c r="BG52" s="194">
        <v>334</v>
      </c>
      <c r="BH52" s="202">
        <v>318</v>
      </c>
      <c r="BI52" s="131">
        <v>1275</v>
      </c>
      <c r="BJ52" s="194">
        <v>281</v>
      </c>
      <c r="BK52" s="194">
        <v>382</v>
      </c>
      <c r="BL52" s="194">
        <v>332</v>
      </c>
      <c r="BM52" s="202">
        <v>404</v>
      </c>
      <c r="BN52" s="131">
        <v>1399</v>
      </c>
      <c r="BO52" s="194">
        <v>350</v>
      </c>
      <c r="BP52" s="194">
        <v>355</v>
      </c>
      <c r="BQ52" s="194">
        <v>322</v>
      </c>
      <c r="BR52" s="202">
        <v>286</v>
      </c>
      <c r="BS52" s="131">
        <v>1313</v>
      </c>
      <c r="BT52" s="194">
        <v>167</v>
      </c>
      <c r="BU52" s="194">
        <v>199</v>
      </c>
      <c r="BV52" s="194">
        <v>182</v>
      </c>
      <c r="BW52" s="202">
        <v>273</v>
      </c>
      <c r="BX52" s="131">
        <v>821</v>
      </c>
      <c r="BY52" s="194">
        <v>234</v>
      </c>
      <c r="BZ52" s="194">
        <v>293</v>
      </c>
      <c r="CA52" s="194">
        <v>277</v>
      </c>
      <c r="CB52" s="202">
        <v>280</v>
      </c>
      <c r="CC52" s="131">
        <v>1084</v>
      </c>
      <c r="CD52" s="194">
        <v>292</v>
      </c>
      <c r="CE52" s="194">
        <v>345</v>
      </c>
      <c r="CF52" s="194">
        <v>320</v>
      </c>
      <c r="CG52" s="202">
        <v>294</v>
      </c>
      <c r="CH52" s="131">
        <v>1251</v>
      </c>
      <c r="CI52" s="203">
        <v>222</v>
      </c>
      <c r="CJ52" s="203">
        <v>282</v>
      </c>
      <c r="CK52" s="131">
        <v>504</v>
      </c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</row>
    <row r="53" spans="1:168">
      <c r="AM53" s="16"/>
      <c r="AN53" s="16"/>
    </row>
    <row r="54" spans="1:168">
      <c r="B54" t="s">
        <v>54</v>
      </c>
      <c r="AM54" s="16"/>
      <c r="AN54" s="16"/>
      <c r="AU54" s="16"/>
    </row>
    <row r="55" spans="1:168">
      <c r="AM55" s="16"/>
      <c r="AN55" s="16"/>
    </row>
    <row r="56" spans="1:168">
      <c r="AM56" s="16"/>
      <c r="AN56" s="16"/>
      <c r="CI56" s="17"/>
      <c r="CJ56" s="17"/>
    </row>
    <row r="57" spans="1:168">
      <c r="CI57" s="17"/>
      <c r="CJ57" s="17"/>
    </row>
    <row r="58" spans="1:168">
      <c r="CI58" s="17"/>
      <c r="CJ58" s="17"/>
    </row>
    <row r="59" spans="1:168">
      <c r="CI59" s="17"/>
      <c r="CJ59" s="17"/>
    </row>
    <row r="60" spans="1:168">
      <c r="CI60" s="17"/>
      <c r="CJ60" s="17"/>
    </row>
    <row r="61" spans="1:168">
      <c r="CI61" s="17"/>
      <c r="CJ61" s="17"/>
    </row>
    <row r="62" spans="1:168">
      <c r="CI62" s="17"/>
      <c r="CJ62" s="17"/>
    </row>
    <row r="63" spans="1:168">
      <c r="CI63" s="17"/>
      <c r="CJ63" s="17"/>
    </row>
    <row r="64" spans="1:168">
      <c r="CI64" s="17"/>
      <c r="CJ64" s="17"/>
    </row>
    <row r="65" spans="87:88">
      <c r="CI65" s="17"/>
      <c r="CJ65" s="17"/>
    </row>
    <row r="66" spans="87:88">
      <c r="CI66" s="17"/>
      <c r="CJ66" s="17"/>
    </row>
    <row r="67" spans="87:88">
      <c r="CI67" s="17"/>
      <c r="CJ67" s="17"/>
    </row>
    <row r="68" spans="87:88">
      <c r="CI68" s="17"/>
      <c r="CJ68" s="17"/>
    </row>
    <row r="69" spans="87:88">
      <c r="CI69" s="17"/>
      <c r="CJ69" s="17"/>
    </row>
    <row r="70" spans="87:88">
      <c r="CI70" s="17"/>
      <c r="CJ70" s="17"/>
    </row>
    <row r="71" spans="87:88">
      <c r="CI71" s="17"/>
      <c r="CJ71" s="17"/>
    </row>
    <row r="72" spans="87:88">
      <c r="CI72" s="17"/>
      <c r="CJ72" s="17"/>
    </row>
    <row r="73" spans="87:88">
      <c r="CI73" s="17"/>
      <c r="CJ73" s="17"/>
    </row>
    <row r="74" spans="87:88">
      <c r="CI74" s="17"/>
      <c r="CJ74" s="17"/>
    </row>
    <row r="75" spans="87:88">
      <c r="CI75" s="17"/>
      <c r="CJ75" s="17"/>
    </row>
    <row r="76" spans="87:88">
      <c r="CI76" s="17"/>
      <c r="CJ76" s="17"/>
    </row>
    <row r="77" spans="87:88">
      <c r="CI77" s="17"/>
      <c r="CJ77" s="17"/>
    </row>
    <row r="78" spans="87:88">
      <c r="CI78" s="17"/>
      <c r="CJ78" s="17"/>
    </row>
    <row r="79" spans="87:88">
      <c r="CI79" s="17"/>
      <c r="CJ79" s="17"/>
    </row>
    <row r="80" spans="87:88">
      <c r="CI80" s="17"/>
      <c r="CJ80" s="17"/>
    </row>
    <row r="81" spans="87:88">
      <c r="CI81" s="17"/>
      <c r="CJ81" s="17"/>
    </row>
    <row r="82" spans="87:88">
      <c r="CI82" s="17"/>
      <c r="CJ82" s="17"/>
    </row>
    <row r="83" spans="87:88">
      <c r="CI83" s="17"/>
      <c r="CJ83" s="17"/>
    </row>
    <row r="84" spans="87:88">
      <c r="CI84" s="17"/>
      <c r="CJ84" s="17"/>
    </row>
    <row r="85" spans="87:88">
      <c r="CI85" s="17"/>
      <c r="CJ85" s="17"/>
    </row>
    <row r="86" spans="87:88">
      <c r="CI86" s="17"/>
      <c r="CJ86" s="17"/>
    </row>
    <row r="87" spans="87:88">
      <c r="CI87" s="17"/>
      <c r="CJ87" s="17"/>
    </row>
    <row r="88" spans="87:88">
      <c r="CI88" s="17"/>
      <c r="CJ88" s="17"/>
    </row>
    <row r="89" spans="87:88">
      <c r="CI89" s="17"/>
      <c r="CJ89" s="17"/>
    </row>
    <row r="90" spans="87:88">
      <c r="CI90" s="17"/>
      <c r="CJ90" s="17"/>
    </row>
    <row r="91" spans="87:88">
      <c r="CI91" s="17"/>
      <c r="CJ91" s="17"/>
    </row>
    <row r="92" spans="87:88">
      <c r="CI92" s="17"/>
      <c r="CJ92" s="17"/>
    </row>
    <row r="93" spans="87:88">
      <c r="CI93" s="17"/>
      <c r="CJ93" s="17"/>
    </row>
    <row r="94" spans="87:88">
      <c r="CI94" s="17"/>
      <c r="CJ94" s="17"/>
    </row>
    <row r="95" spans="87:88">
      <c r="CI95" s="17"/>
      <c r="CJ95" s="17"/>
    </row>
    <row r="96" spans="87:88">
      <c r="CI96" s="17"/>
      <c r="CJ96" s="17"/>
    </row>
    <row r="97" spans="87:88">
      <c r="CI97" s="17"/>
      <c r="CJ97" s="17"/>
    </row>
    <row r="98" spans="87:88">
      <c r="CI98" s="17"/>
      <c r="CJ98" s="17"/>
    </row>
    <row r="99" spans="87:88">
      <c r="CI99" s="17"/>
      <c r="CJ99" s="17"/>
    </row>
    <row r="100" spans="87:88">
      <c r="CI100" s="17"/>
      <c r="CJ100" s="17"/>
    </row>
    <row r="101" spans="87:88">
      <c r="CI101" s="17"/>
      <c r="CJ101" s="17"/>
    </row>
    <row r="102" spans="87:88">
      <c r="CI102" s="17"/>
      <c r="CJ102" s="17"/>
    </row>
    <row r="103" spans="87:88">
      <c r="CI103" s="17"/>
      <c r="CJ103" s="17"/>
    </row>
    <row r="104" spans="87:88">
      <c r="CI104" s="17"/>
      <c r="CJ104" s="17"/>
    </row>
    <row r="105" spans="87:88">
      <c r="CI105" s="17"/>
      <c r="CJ105" s="17"/>
    </row>
    <row r="106" spans="87:88">
      <c r="CI106" s="17"/>
      <c r="CJ106" s="17"/>
    </row>
    <row r="107" spans="87:88">
      <c r="CI107" s="17"/>
      <c r="CJ107" s="17"/>
    </row>
    <row r="108" spans="87:88">
      <c r="CI108" s="17"/>
      <c r="CJ108" s="17"/>
    </row>
    <row r="109" spans="87:88">
      <c r="CI109" s="17"/>
      <c r="CJ109" s="17"/>
    </row>
    <row r="110" spans="87:88">
      <c r="CI110" s="17"/>
      <c r="CJ110" s="17"/>
    </row>
    <row r="111" spans="87:88">
      <c r="CI111" s="17"/>
      <c r="CJ111" s="17"/>
    </row>
    <row r="112" spans="87:88">
      <c r="CI112" s="17"/>
      <c r="CJ112" s="17"/>
    </row>
    <row r="113" spans="87:88">
      <c r="CI113" s="17"/>
      <c r="CJ113" s="17"/>
    </row>
    <row r="114" spans="87:88">
      <c r="CI114" s="17"/>
      <c r="CJ114" s="17"/>
    </row>
    <row r="115" spans="87:88">
      <c r="CI115" s="17"/>
      <c r="CJ115" s="17"/>
    </row>
    <row r="116" spans="87:88">
      <c r="CI116" s="17"/>
      <c r="CJ116" s="17"/>
    </row>
    <row r="117" spans="87:88">
      <c r="CI117" s="17"/>
      <c r="CJ117" s="17"/>
    </row>
    <row r="118" spans="87:88">
      <c r="CI118" s="17"/>
      <c r="CJ118" s="17"/>
    </row>
    <row r="119" spans="87:88">
      <c r="CI119" s="17"/>
      <c r="CJ119" s="17"/>
    </row>
    <row r="120" spans="87:88">
      <c r="CI120" s="17"/>
      <c r="CJ120" s="17"/>
    </row>
    <row r="121" spans="87:88">
      <c r="CI121" s="17"/>
      <c r="CJ121" s="17"/>
    </row>
    <row r="122" spans="87:88">
      <c r="CI122" s="17"/>
      <c r="CJ122" s="17"/>
    </row>
    <row r="123" spans="87:88">
      <c r="CI123" s="17"/>
      <c r="CJ123" s="17"/>
    </row>
    <row r="124" spans="87:88">
      <c r="CI124" s="17"/>
      <c r="CJ124" s="17"/>
    </row>
    <row r="125" spans="87:88">
      <c r="CI125" s="17"/>
      <c r="CJ125" s="17"/>
    </row>
    <row r="126" spans="87:88">
      <c r="CI126" s="17"/>
      <c r="CJ126" s="17"/>
    </row>
    <row r="127" spans="87:88">
      <c r="CI127" s="17"/>
      <c r="CJ127" s="17"/>
    </row>
    <row r="128" spans="87:88">
      <c r="CI128" s="17"/>
      <c r="CJ128" s="17"/>
    </row>
    <row r="129" spans="87:88">
      <c r="CI129" s="17"/>
      <c r="CJ129" s="17"/>
    </row>
    <row r="130" spans="87:88">
      <c r="CI130" s="17"/>
      <c r="CJ130" s="17"/>
    </row>
    <row r="131" spans="87:88">
      <c r="CI131" s="17"/>
      <c r="CJ131" s="17"/>
    </row>
    <row r="132" spans="87:88">
      <c r="CI132" s="17"/>
      <c r="CJ132" s="17"/>
    </row>
    <row r="133" spans="87:88">
      <c r="CI133" s="17"/>
      <c r="CJ133" s="17"/>
    </row>
    <row r="134" spans="87:88">
      <c r="CI134" s="17"/>
      <c r="CJ134" s="17"/>
    </row>
    <row r="135" spans="87:88">
      <c r="CI135" s="17"/>
      <c r="CJ135" s="17"/>
    </row>
    <row r="136" spans="87:88">
      <c r="CI136" s="17"/>
      <c r="CJ136" s="17"/>
    </row>
    <row r="137" spans="87:88">
      <c r="CI137" s="17"/>
      <c r="CJ137" s="17"/>
    </row>
    <row r="138" spans="87:88">
      <c r="CI138" s="17"/>
      <c r="CJ138" s="17"/>
    </row>
    <row r="139" spans="87:88">
      <c r="CI139" s="17"/>
      <c r="CJ139" s="17"/>
    </row>
    <row r="140" spans="87:88">
      <c r="CI140" s="17"/>
      <c r="CJ140" s="17"/>
    </row>
    <row r="141" spans="87:88">
      <c r="CI141" s="17"/>
      <c r="CJ141" s="17"/>
    </row>
    <row r="142" spans="87:88">
      <c r="CI142" s="17"/>
      <c r="CJ142" s="17"/>
    </row>
    <row r="143" spans="87:88">
      <c r="CI143" s="17"/>
      <c r="CJ143" s="17"/>
    </row>
    <row r="144" spans="87:88">
      <c r="CI144" s="17"/>
      <c r="CJ144" s="17"/>
    </row>
    <row r="145" spans="87:88">
      <c r="CI145" s="17"/>
      <c r="CJ145" s="17"/>
    </row>
    <row r="146" spans="87:88">
      <c r="CI146" s="17"/>
      <c r="CJ146" s="17"/>
    </row>
    <row r="147" spans="87:88">
      <c r="CI147" s="17"/>
      <c r="CJ147" s="17"/>
    </row>
    <row r="148" spans="87:88">
      <c r="CI148" s="17"/>
      <c r="CJ148" s="17"/>
    </row>
    <row r="149" spans="87:88">
      <c r="CI149" s="17"/>
      <c r="CJ149" s="17"/>
    </row>
    <row r="150" spans="87:88">
      <c r="CI150" s="17"/>
      <c r="CJ150" s="17"/>
    </row>
    <row r="151" spans="87:88">
      <c r="CI151" s="17"/>
      <c r="CJ151" s="17"/>
    </row>
    <row r="152" spans="87:88">
      <c r="CI152" s="17"/>
      <c r="CJ152" s="17"/>
    </row>
    <row r="153" spans="87:88">
      <c r="CI153" s="17"/>
      <c r="CJ153" s="17"/>
    </row>
    <row r="154" spans="87:88">
      <c r="CI154" s="17"/>
      <c r="CJ154" s="17"/>
    </row>
    <row r="155" spans="87:88">
      <c r="CI155" s="17"/>
      <c r="CJ155" s="17"/>
    </row>
    <row r="156" spans="87:88">
      <c r="CI156" s="17"/>
      <c r="CJ156" s="17"/>
    </row>
    <row r="157" spans="87:88">
      <c r="CI157" s="17"/>
      <c r="CJ157" s="17"/>
    </row>
    <row r="158" spans="87:88">
      <c r="CI158" s="17"/>
      <c r="CJ158" s="17"/>
    </row>
    <row r="159" spans="87:88">
      <c r="CI159" s="17"/>
      <c r="CJ159" s="17"/>
    </row>
    <row r="160" spans="87:88">
      <c r="CI160" s="17"/>
      <c r="CJ160" s="17"/>
    </row>
    <row r="161" spans="87:88">
      <c r="CI161" s="17"/>
      <c r="CJ161" s="17"/>
    </row>
    <row r="162" spans="87:88">
      <c r="CI162" s="17"/>
      <c r="CJ162" s="17"/>
    </row>
    <row r="163" spans="87:88">
      <c r="CI163" s="17"/>
      <c r="CJ163" s="17"/>
    </row>
    <row r="164" spans="87:88">
      <c r="CI164" s="17"/>
      <c r="CJ164" s="17"/>
    </row>
    <row r="165" spans="87:88">
      <c r="CI165" s="17"/>
      <c r="CJ165" s="17"/>
    </row>
    <row r="166" spans="87:88">
      <c r="CI166" s="17"/>
      <c r="CJ166" s="17"/>
    </row>
    <row r="167" spans="87:88">
      <c r="CI167" s="17"/>
      <c r="CJ167" s="17"/>
    </row>
    <row r="168" spans="87:88">
      <c r="CI168" s="17"/>
      <c r="CJ168" s="17"/>
    </row>
    <row r="169" spans="87:88">
      <c r="CI169" s="17"/>
      <c r="CJ169" s="17"/>
    </row>
    <row r="170" spans="87:88">
      <c r="CI170" s="17"/>
      <c r="CJ170" s="17"/>
    </row>
    <row r="171" spans="87:88">
      <c r="CI171" s="17"/>
      <c r="CJ171" s="17"/>
    </row>
    <row r="172" spans="87:88">
      <c r="CI172" s="17"/>
      <c r="CJ172" s="17"/>
    </row>
    <row r="173" spans="87:88">
      <c r="CI173" s="17"/>
      <c r="CJ173" s="17"/>
    </row>
    <row r="174" spans="87:88">
      <c r="CI174" s="17"/>
      <c r="CJ174" s="17"/>
    </row>
    <row r="175" spans="87:88">
      <c r="CI175" s="17"/>
      <c r="CJ175" s="17"/>
    </row>
    <row r="176" spans="87:88">
      <c r="CI176" s="17"/>
      <c r="CJ176" s="17"/>
    </row>
    <row r="177" spans="87:88">
      <c r="CI177" s="17"/>
      <c r="CJ177" s="17"/>
    </row>
    <row r="178" spans="87:88">
      <c r="CI178" s="17"/>
      <c r="CJ178" s="17"/>
    </row>
    <row r="179" spans="87:88">
      <c r="CI179" s="17"/>
      <c r="CJ179" s="17"/>
    </row>
    <row r="180" spans="87:88">
      <c r="CI180" s="17"/>
      <c r="CJ180" s="17"/>
    </row>
    <row r="181" spans="87:88">
      <c r="CI181" s="17"/>
      <c r="CJ181" s="17"/>
    </row>
    <row r="182" spans="87:88">
      <c r="CI182" s="17"/>
      <c r="CJ182" s="17"/>
    </row>
    <row r="183" spans="87:88">
      <c r="CI183" s="17"/>
      <c r="CJ183" s="17"/>
    </row>
    <row r="184" spans="87:88">
      <c r="CI184" s="17"/>
      <c r="CJ184" s="17"/>
    </row>
    <row r="185" spans="87:88">
      <c r="CI185" s="17"/>
      <c r="CJ185" s="17"/>
    </row>
    <row r="186" spans="87:88">
      <c r="CI186" s="17"/>
      <c r="CJ186" s="17"/>
    </row>
    <row r="187" spans="87:88">
      <c r="CI187" s="17"/>
      <c r="CJ187" s="17"/>
    </row>
    <row r="188" spans="87:88">
      <c r="CI188" s="17"/>
      <c r="CJ188" s="17"/>
    </row>
    <row r="189" spans="87:88">
      <c r="CI189" s="17"/>
      <c r="CJ189" s="17"/>
    </row>
    <row r="190" spans="87:88">
      <c r="CI190" s="17"/>
      <c r="CJ190" s="17"/>
    </row>
    <row r="191" spans="87:88">
      <c r="CI191" s="17"/>
      <c r="CJ191" s="17"/>
    </row>
    <row r="192" spans="87:88">
      <c r="CI192" s="17"/>
      <c r="CJ192" s="17"/>
    </row>
    <row r="193" spans="87:88">
      <c r="CI193" s="17"/>
      <c r="CJ193" s="17"/>
    </row>
    <row r="194" spans="87:88">
      <c r="CI194" s="17"/>
      <c r="CJ194" s="17"/>
    </row>
    <row r="195" spans="87:88">
      <c r="CI195" s="17"/>
      <c r="CJ195" s="17"/>
    </row>
    <row r="196" spans="87:88">
      <c r="CI196" s="17"/>
      <c r="CJ196" s="17"/>
    </row>
    <row r="197" spans="87:88">
      <c r="CI197" s="17"/>
      <c r="CJ197" s="17"/>
    </row>
    <row r="198" spans="87:88">
      <c r="CI198" s="17"/>
      <c r="CJ198" s="17"/>
    </row>
    <row r="199" spans="87:88">
      <c r="CI199" s="17"/>
      <c r="CJ199" s="17"/>
    </row>
    <row r="200" spans="87:88">
      <c r="CI200" s="17"/>
      <c r="CJ200" s="17"/>
    </row>
    <row r="201" spans="87:88">
      <c r="CI201" s="17"/>
      <c r="CJ201" s="17"/>
    </row>
    <row r="202" spans="87:88">
      <c r="CI202" s="17"/>
      <c r="CJ202" s="17"/>
    </row>
    <row r="203" spans="87:88">
      <c r="CI203" s="17"/>
      <c r="CJ203" s="17"/>
    </row>
    <row r="204" spans="87:88">
      <c r="CI204" s="17"/>
      <c r="CJ204" s="17"/>
    </row>
    <row r="205" spans="87:88">
      <c r="CI205" s="17"/>
      <c r="CJ205" s="17"/>
    </row>
    <row r="206" spans="87:88">
      <c r="CI206" s="17"/>
      <c r="CJ206" s="17"/>
    </row>
    <row r="207" spans="87:88">
      <c r="CI207" s="17"/>
      <c r="CJ207" s="17"/>
    </row>
    <row r="208" spans="87:88">
      <c r="CI208" s="17"/>
      <c r="CJ208" s="17"/>
    </row>
    <row r="209" spans="87:88">
      <c r="CI209" s="17"/>
      <c r="CJ209" s="17"/>
    </row>
    <row r="210" spans="87:88">
      <c r="CI210" s="17"/>
      <c r="CJ210" s="17"/>
    </row>
    <row r="211" spans="87:88">
      <c r="CI211" s="17"/>
      <c r="CJ211" s="17"/>
    </row>
    <row r="212" spans="87:88">
      <c r="CI212" s="17"/>
      <c r="CJ212" s="17"/>
    </row>
    <row r="213" spans="87:88">
      <c r="CI213" s="17"/>
      <c r="CJ213" s="17"/>
    </row>
    <row r="214" spans="87:88">
      <c r="CI214" s="17"/>
      <c r="CJ214" s="17"/>
    </row>
    <row r="215" spans="87:88">
      <c r="CI215" s="17"/>
      <c r="CJ215" s="17"/>
    </row>
    <row r="216" spans="87:88">
      <c r="CI216" s="17"/>
      <c r="CJ216" s="17"/>
    </row>
    <row r="217" spans="87:88">
      <c r="CI217" s="17"/>
      <c r="CJ217" s="17"/>
    </row>
    <row r="218" spans="87:88">
      <c r="CI218" s="17"/>
      <c r="CJ218" s="17"/>
    </row>
    <row r="219" spans="87:88">
      <c r="CI219" s="17"/>
      <c r="CJ219" s="17"/>
    </row>
    <row r="220" spans="87:88">
      <c r="CI220" s="17"/>
      <c r="CJ220" s="17"/>
    </row>
    <row r="221" spans="87:88">
      <c r="CI221" s="17"/>
      <c r="CJ221" s="17"/>
    </row>
    <row r="222" spans="87:88">
      <c r="CI222" s="17"/>
      <c r="CJ222" s="17"/>
    </row>
    <row r="223" spans="87:88">
      <c r="CI223" s="17"/>
      <c r="CJ223" s="17"/>
    </row>
    <row r="224" spans="87:88">
      <c r="CI224" s="17"/>
      <c r="CJ224" s="17"/>
    </row>
    <row r="225" spans="87:88">
      <c r="CI225" s="17"/>
      <c r="CJ225" s="17"/>
    </row>
    <row r="226" spans="87:88">
      <c r="CI226" s="17"/>
      <c r="CJ226" s="17"/>
    </row>
    <row r="227" spans="87:88">
      <c r="CI227" s="17"/>
      <c r="CJ227" s="17"/>
    </row>
    <row r="228" spans="87:88">
      <c r="CI228" s="17"/>
      <c r="CJ228" s="17"/>
    </row>
    <row r="229" spans="87:88">
      <c r="CI229" s="17"/>
      <c r="CJ229" s="17"/>
    </row>
    <row r="230" spans="87:88">
      <c r="CI230" s="17"/>
      <c r="CJ230" s="17"/>
    </row>
    <row r="231" spans="87:88">
      <c r="CI231" s="17"/>
      <c r="CJ231" s="17"/>
    </row>
    <row r="232" spans="87:88">
      <c r="CI232" s="17"/>
      <c r="CJ232" s="17"/>
    </row>
    <row r="233" spans="87:88">
      <c r="CI233" s="17"/>
      <c r="CJ233" s="17"/>
    </row>
    <row r="234" spans="87:88">
      <c r="CI234" s="17"/>
      <c r="CJ234" s="17"/>
    </row>
    <row r="235" spans="87:88">
      <c r="CI235" s="17"/>
      <c r="CJ235" s="17"/>
    </row>
    <row r="236" spans="87:88">
      <c r="CI236" s="17"/>
      <c r="CJ236" s="17"/>
    </row>
    <row r="237" spans="87:88">
      <c r="CI237" s="17"/>
      <c r="CJ237" s="17"/>
    </row>
    <row r="238" spans="87:88">
      <c r="CI238" s="17"/>
      <c r="CJ238" s="17"/>
    </row>
    <row r="239" spans="87:88">
      <c r="CI239" s="17"/>
      <c r="CJ239" s="17"/>
    </row>
    <row r="240" spans="87:88">
      <c r="CI240" s="17"/>
      <c r="CJ240" s="17"/>
    </row>
    <row r="241" spans="87:88">
      <c r="CI241" s="17"/>
      <c r="CJ241" s="17"/>
    </row>
    <row r="242" spans="87:88">
      <c r="CI242" s="17"/>
      <c r="CJ242" s="17"/>
    </row>
    <row r="243" spans="87:88">
      <c r="CI243" s="17"/>
      <c r="CJ243" s="17"/>
    </row>
    <row r="244" spans="87:88">
      <c r="CI244" s="17"/>
      <c r="CJ244" s="17"/>
    </row>
    <row r="245" spans="87:88">
      <c r="CI245" s="17"/>
      <c r="CJ245" s="17"/>
    </row>
    <row r="246" spans="87:88">
      <c r="CI246" s="17"/>
      <c r="CJ246" s="17"/>
    </row>
    <row r="247" spans="87:88">
      <c r="CI247" s="17"/>
      <c r="CJ247" s="17"/>
    </row>
    <row r="248" spans="87:88">
      <c r="CI248" s="17"/>
      <c r="CJ248" s="17"/>
    </row>
    <row r="249" spans="87:88">
      <c r="CI249" s="17"/>
      <c r="CJ249" s="17"/>
    </row>
    <row r="250" spans="87:88">
      <c r="CI250" s="17"/>
      <c r="CJ250" s="17"/>
    </row>
    <row r="251" spans="87:88">
      <c r="CI251" s="17"/>
      <c r="CJ251" s="17"/>
    </row>
    <row r="252" spans="87:88">
      <c r="CI252" s="17"/>
      <c r="CJ252" s="17"/>
    </row>
    <row r="253" spans="87:88">
      <c r="CI253" s="17"/>
      <c r="CJ253" s="17"/>
    </row>
    <row r="254" spans="87:88">
      <c r="CI254" s="17"/>
      <c r="CJ254" s="17"/>
    </row>
    <row r="255" spans="87:88">
      <c r="CI255" s="17"/>
      <c r="CJ255" s="17"/>
    </row>
    <row r="256" spans="87:88">
      <c r="CI256" s="17"/>
      <c r="CJ256" s="17"/>
    </row>
    <row r="257" spans="87:88">
      <c r="CI257" s="17"/>
      <c r="CJ257" s="17"/>
    </row>
    <row r="258" spans="87:88">
      <c r="CI258" s="17"/>
      <c r="CJ258" s="17"/>
    </row>
    <row r="259" spans="87:88">
      <c r="CI259" s="17"/>
      <c r="CJ259" s="17"/>
    </row>
    <row r="260" spans="87:88">
      <c r="CI260" s="17"/>
      <c r="CJ260" s="17"/>
    </row>
    <row r="261" spans="87:88">
      <c r="CI261" s="17"/>
      <c r="CJ261" s="17"/>
    </row>
    <row r="262" spans="87:88">
      <c r="CI262" s="17"/>
      <c r="CJ262" s="17"/>
    </row>
    <row r="263" spans="87:88">
      <c r="CI263" s="17"/>
      <c r="CJ263" s="17"/>
    </row>
    <row r="264" spans="87:88">
      <c r="CI264" s="17"/>
      <c r="CJ264" s="17"/>
    </row>
    <row r="265" spans="87:88">
      <c r="CI265" s="17"/>
      <c r="CJ265" s="17"/>
    </row>
    <row r="266" spans="87:88">
      <c r="CI266" s="17"/>
      <c r="CJ266" s="17"/>
    </row>
    <row r="267" spans="87:88">
      <c r="CI267" s="17"/>
      <c r="CJ267" s="17"/>
    </row>
    <row r="268" spans="87:88">
      <c r="CI268" s="17"/>
      <c r="CJ268" s="17"/>
    </row>
    <row r="269" spans="87:88">
      <c r="CI269" s="17"/>
      <c r="CJ269" s="17"/>
    </row>
    <row r="270" spans="87:88">
      <c r="CI270" s="17"/>
      <c r="CJ270" s="17"/>
    </row>
    <row r="271" spans="87:88">
      <c r="CI271" s="17"/>
      <c r="CJ271" s="17"/>
    </row>
    <row r="272" spans="87:88">
      <c r="CI272" s="17"/>
      <c r="CJ272" s="17"/>
    </row>
    <row r="273" spans="87:88">
      <c r="CI273" s="17"/>
      <c r="CJ273" s="17"/>
    </row>
    <row r="274" spans="87:88">
      <c r="CI274" s="17"/>
      <c r="CJ274" s="17"/>
    </row>
    <row r="275" spans="87:88">
      <c r="CI275" s="17"/>
      <c r="CJ275" s="17"/>
    </row>
    <row r="276" spans="87:88">
      <c r="CI276" s="17"/>
      <c r="CJ276" s="17"/>
    </row>
    <row r="277" spans="87:88">
      <c r="CI277" s="17"/>
      <c r="CJ277" s="17"/>
    </row>
    <row r="278" spans="87:88">
      <c r="CI278" s="17"/>
      <c r="CJ278" s="17"/>
    </row>
    <row r="279" spans="87:88">
      <c r="CI279" s="17"/>
      <c r="CJ279" s="17"/>
    </row>
    <row r="280" spans="87:88">
      <c r="CI280" s="17"/>
      <c r="CJ280" s="17"/>
    </row>
    <row r="281" spans="87:88">
      <c r="CI281" s="17"/>
      <c r="CJ281" s="17"/>
    </row>
    <row r="282" spans="87:88">
      <c r="CI282" s="17"/>
      <c r="CJ282" s="17"/>
    </row>
    <row r="283" spans="87:88">
      <c r="CI283" s="17"/>
      <c r="CJ283" s="17"/>
    </row>
    <row r="284" spans="87:88">
      <c r="CI284" s="17"/>
      <c r="CJ284" s="17"/>
    </row>
    <row r="285" spans="87:88">
      <c r="CI285" s="17"/>
      <c r="CJ285" s="17"/>
    </row>
    <row r="286" spans="87:88">
      <c r="CI286" s="17"/>
      <c r="CJ286" s="17"/>
    </row>
    <row r="287" spans="87:88">
      <c r="CI287" s="17"/>
      <c r="CJ287" s="17"/>
    </row>
    <row r="288" spans="87:88">
      <c r="CI288" s="17"/>
      <c r="CJ288" s="17"/>
    </row>
    <row r="289" spans="87:88">
      <c r="CI289" s="17"/>
      <c r="CJ289" s="17"/>
    </row>
    <row r="290" spans="87:88">
      <c r="CI290" s="17"/>
      <c r="CJ290" s="17"/>
    </row>
    <row r="291" spans="87:88">
      <c r="CI291" s="17"/>
      <c r="CJ291" s="17"/>
    </row>
    <row r="292" spans="87:88">
      <c r="CI292" s="17"/>
      <c r="CJ292" s="17"/>
    </row>
    <row r="293" spans="87:88">
      <c r="CI293" s="17"/>
      <c r="CJ293" s="17"/>
    </row>
    <row r="294" spans="87:88">
      <c r="CI294" s="17"/>
      <c r="CJ294" s="17"/>
    </row>
    <row r="295" spans="87:88">
      <c r="CI295" s="17"/>
      <c r="CJ295" s="17"/>
    </row>
    <row r="296" spans="87:88">
      <c r="CI296" s="17"/>
      <c r="CJ296" s="17"/>
    </row>
    <row r="297" spans="87:88">
      <c r="CI297" s="17"/>
      <c r="CJ297" s="17"/>
    </row>
    <row r="298" spans="87:88">
      <c r="CI298" s="17"/>
      <c r="CJ298" s="17"/>
    </row>
    <row r="299" spans="87:88">
      <c r="CI299" s="17"/>
      <c r="CJ299" s="17"/>
    </row>
    <row r="300" spans="87:88">
      <c r="CI300" s="17"/>
      <c r="CJ300" s="17"/>
    </row>
    <row r="301" spans="87:88">
      <c r="CI301" s="17"/>
      <c r="CJ301" s="17"/>
    </row>
    <row r="302" spans="87:88">
      <c r="CI302" s="17"/>
      <c r="CJ302" s="17"/>
    </row>
    <row r="303" spans="87:88">
      <c r="CI303" s="17"/>
      <c r="CJ303" s="17"/>
    </row>
    <row r="304" spans="87:88">
      <c r="CI304" s="17"/>
      <c r="CJ304" s="17"/>
    </row>
    <row r="305" spans="87:88">
      <c r="CI305" s="17"/>
      <c r="CJ305" s="17"/>
    </row>
    <row r="306" spans="87:88">
      <c r="CI306" s="17"/>
      <c r="CJ306" s="17"/>
    </row>
    <row r="307" spans="87:88">
      <c r="CI307" s="17"/>
      <c r="CJ307" s="17"/>
    </row>
    <row r="308" spans="87:88">
      <c r="CI308" s="17"/>
      <c r="CJ308" s="17"/>
    </row>
    <row r="309" spans="87:88">
      <c r="CI309" s="17"/>
      <c r="CJ309" s="17"/>
    </row>
    <row r="310" spans="87:88">
      <c r="CI310" s="17"/>
      <c r="CJ310" s="17"/>
    </row>
    <row r="311" spans="87:88">
      <c r="CI311" s="17"/>
      <c r="CJ311" s="17"/>
    </row>
    <row r="312" spans="87:88">
      <c r="CI312" s="17"/>
      <c r="CJ312" s="17"/>
    </row>
    <row r="313" spans="87:88">
      <c r="CI313" s="17"/>
      <c r="CJ313" s="17"/>
    </row>
    <row r="314" spans="87:88">
      <c r="CI314" s="17"/>
      <c r="CJ314" s="17"/>
    </row>
    <row r="315" spans="87:88">
      <c r="CI315" s="17"/>
      <c r="CJ315" s="17"/>
    </row>
    <row r="316" spans="87:88">
      <c r="CI316" s="17"/>
      <c r="CJ316" s="17"/>
    </row>
    <row r="317" spans="87:88">
      <c r="CI317" s="17"/>
      <c r="CJ317" s="17"/>
    </row>
    <row r="318" spans="87:88">
      <c r="CI318" s="17"/>
      <c r="CJ318" s="17"/>
    </row>
    <row r="319" spans="87:88">
      <c r="CI319" s="17"/>
      <c r="CJ319" s="17"/>
    </row>
    <row r="320" spans="87:88">
      <c r="CI320" s="17"/>
      <c r="CJ320" s="17"/>
    </row>
    <row r="321" spans="87:88">
      <c r="CI321" s="17"/>
      <c r="CJ321" s="17"/>
    </row>
    <row r="322" spans="87:88">
      <c r="CI322" s="17"/>
      <c r="CJ322" s="17"/>
    </row>
    <row r="323" spans="87:88">
      <c r="CI323" s="17"/>
      <c r="CJ323" s="17"/>
    </row>
    <row r="324" spans="87:88">
      <c r="CI324" s="17"/>
      <c r="CJ324" s="17"/>
    </row>
    <row r="325" spans="87:88">
      <c r="CI325" s="17"/>
      <c r="CJ325" s="17"/>
    </row>
    <row r="326" spans="87:88">
      <c r="CI326" s="17"/>
      <c r="CJ326" s="17"/>
    </row>
    <row r="327" spans="87:88">
      <c r="CI327" s="17"/>
      <c r="CJ327" s="17"/>
    </row>
    <row r="328" spans="87:88">
      <c r="CI328" s="17"/>
      <c r="CJ328" s="17"/>
    </row>
    <row r="329" spans="87:88">
      <c r="CI329" s="17"/>
      <c r="CJ329" s="17"/>
    </row>
    <row r="330" spans="87:88">
      <c r="CI330" s="17"/>
      <c r="CJ330" s="17"/>
    </row>
    <row r="331" spans="87:88">
      <c r="CI331" s="17"/>
      <c r="CJ331" s="17"/>
    </row>
    <row r="332" spans="87:88">
      <c r="CI332" s="17"/>
      <c r="CJ332" s="17"/>
    </row>
    <row r="333" spans="87:88">
      <c r="CI333" s="17"/>
      <c r="CJ333" s="17"/>
    </row>
    <row r="334" spans="87:88">
      <c r="CI334" s="17"/>
      <c r="CJ334" s="17"/>
    </row>
    <row r="335" spans="87:88">
      <c r="CI335" s="17"/>
      <c r="CJ335" s="17"/>
    </row>
    <row r="336" spans="87:88">
      <c r="CI336" s="17"/>
      <c r="CJ336" s="17"/>
    </row>
    <row r="337" spans="87:88">
      <c r="CI337" s="17"/>
      <c r="CJ337" s="17"/>
    </row>
    <row r="338" spans="87:88">
      <c r="CI338" s="17"/>
      <c r="CJ338" s="17"/>
    </row>
    <row r="339" spans="87:88">
      <c r="CI339" s="17"/>
      <c r="CJ339" s="17"/>
    </row>
    <row r="340" spans="87:88">
      <c r="CI340" s="17"/>
      <c r="CJ340" s="17"/>
    </row>
    <row r="341" spans="87:88">
      <c r="CI341" s="17"/>
      <c r="CJ341" s="17"/>
    </row>
    <row r="342" spans="87:88">
      <c r="CI342" s="17"/>
      <c r="CJ342" s="17"/>
    </row>
    <row r="343" spans="87:88">
      <c r="CI343" s="17"/>
      <c r="CJ343" s="17"/>
    </row>
    <row r="344" spans="87:88">
      <c r="CI344" s="17"/>
      <c r="CJ344" s="17"/>
    </row>
    <row r="345" spans="87:88">
      <c r="CI345" s="17"/>
      <c r="CJ345" s="17"/>
    </row>
    <row r="346" spans="87:88">
      <c r="CI346" s="17"/>
      <c r="CJ346" s="17"/>
    </row>
    <row r="347" spans="87:88">
      <c r="CI347" s="17"/>
      <c r="CJ347" s="17"/>
    </row>
    <row r="348" spans="87:88">
      <c r="CI348" s="17"/>
      <c r="CJ348" s="17"/>
    </row>
    <row r="349" spans="87:88">
      <c r="CI349" s="17"/>
      <c r="CJ349" s="17"/>
    </row>
    <row r="350" spans="87:88">
      <c r="CI350" s="17"/>
      <c r="CJ350" s="17"/>
    </row>
    <row r="351" spans="87:88">
      <c r="CI351" s="17"/>
      <c r="CJ351" s="17"/>
    </row>
    <row r="352" spans="87:88">
      <c r="CI352" s="17"/>
      <c r="CJ352" s="17"/>
    </row>
    <row r="353" spans="87:88">
      <c r="CI353" s="17"/>
      <c r="CJ353" s="17"/>
    </row>
    <row r="354" spans="87:88">
      <c r="CI354" s="17"/>
      <c r="CJ354" s="17"/>
    </row>
    <row r="355" spans="87:88">
      <c r="CI355" s="17"/>
      <c r="CJ355" s="17"/>
    </row>
    <row r="356" spans="87:88">
      <c r="CI356" s="17"/>
      <c r="CJ356" s="17"/>
    </row>
    <row r="357" spans="87:88">
      <c r="CI357" s="17"/>
      <c r="CJ357" s="17"/>
    </row>
    <row r="358" spans="87:88">
      <c r="CI358" s="17"/>
      <c r="CJ358" s="17"/>
    </row>
    <row r="359" spans="87:88">
      <c r="CI359" s="17"/>
      <c r="CJ359" s="17"/>
    </row>
    <row r="360" spans="87:88">
      <c r="CI360" s="17"/>
      <c r="CJ360" s="17"/>
    </row>
    <row r="361" spans="87:88">
      <c r="CI361" s="17"/>
      <c r="CJ361" s="17"/>
    </row>
    <row r="362" spans="87:88">
      <c r="CI362" s="17"/>
      <c r="CJ362" s="17"/>
    </row>
    <row r="363" spans="87:88">
      <c r="CI363" s="17"/>
      <c r="CJ363" s="17"/>
    </row>
    <row r="364" spans="87:88">
      <c r="CI364" s="17"/>
      <c r="CJ364" s="17"/>
    </row>
    <row r="365" spans="87:88">
      <c r="CI365" s="17"/>
      <c r="CJ365" s="17"/>
    </row>
    <row r="366" spans="87:88">
      <c r="CI366" s="17"/>
      <c r="CJ366" s="17"/>
    </row>
    <row r="367" spans="87:88">
      <c r="CI367" s="17"/>
      <c r="CJ367" s="17"/>
    </row>
    <row r="368" spans="87:88">
      <c r="CI368" s="17"/>
      <c r="CJ368" s="17"/>
    </row>
    <row r="369" spans="87:88">
      <c r="CI369" s="17"/>
      <c r="CJ369" s="17"/>
    </row>
    <row r="370" spans="87:88">
      <c r="CI370" s="17"/>
      <c r="CJ370" s="17"/>
    </row>
    <row r="371" spans="87:88">
      <c r="CI371" s="17"/>
      <c r="CJ371" s="17"/>
    </row>
    <row r="372" spans="87:88">
      <c r="CI372" s="17"/>
      <c r="CJ372" s="17"/>
    </row>
    <row r="373" spans="87:88">
      <c r="CI373" s="17"/>
      <c r="CJ373" s="17"/>
    </row>
    <row r="374" spans="87:88">
      <c r="CI374" s="17"/>
      <c r="CJ374" s="17"/>
    </row>
    <row r="375" spans="87:88">
      <c r="CI375" s="17"/>
      <c r="CJ375" s="17"/>
    </row>
    <row r="376" spans="87:88">
      <c r="CI376" s="17"/>
      <c r="CJ376" s="17"/>
    </row>
    <row r="377" spans="87:88">
      <c r="CI377" s="17"/>
      <c r="CJ377" s="17"/>
    </row>
    <row r="378" spans="87:88">
      <c r="CI378" s="17"/>
      <c r="CJ378" s="17"/>
    </row>
    <row r="379" spans="87:88">
      <c r="CI379" s="17"/>
      <c r="CJ379" s="17"/>
    </row>
    <row r="380" spans="87:88">
      <c r="CI380" s="17"/>
      <c r="CJ380" s="17"/>
    </row>
    <row r="381" spans="87:88">
      <c r="CI381" s="17"/>
      <c r="CJ381" s="17"/>
    </row>
    <row r="382" spans="87:88">
      <c r="CI382" s="17"/>
      <c r="CJ382" s="17"/>
    </row>
    <row r="383" spans="87:88">
      <c r="CI383" s="17"/>
      <c r="CJ383" s="17"/>
    </row>
    <row r="384" spans="87:88">
      <c r="CI384" s="17"/>
      <c r="CJ384" s="17"/>
    </row>
    <row r="385" spans="87:88">
      <c r="CI385" s="17"/>
      <c r="CJ385" s="17"/>
    </row>
    <row r="386" spans="87:88">
      <c r="CI386" s="17"/>
      <c r="CJ386" s="17"/>
    </row>
    <row r="387" spans="87:88">
      <c r="CI387" s="17"/>
      <c r="CJ387" s="17"/>
    </row>
    <row r="388" spans="87:88">
      <c r="CI388" s="17"/>
      <c r="CJ388" s="17"/>
    </row>
    <row r="389" spans="87:88">
      <c r="CI389" s="17"/>
      <c r="CJ389" s="17"/>
    </row>
    <row r="390" spans="87:88">
      <c r="CI390" s="17"/>
      <c r="CJ390" s="17"/>
    </row>
    <row r="391" spans="87:88">
      <c r="CI391" s="17"/>
      <c r="CJ391" s="17"/>
    </row>
    <row r="392" spans="87:88">
      <c r="CI392" s="17"/>
      <c r="CJ392" s="17"/>
    </row>
    <row r="393" spans="87:88">
      <c r="CI393" s="17"/>
      <c r="CJ393" s="17"/>
    </row>
    <row r="394" spans="87:88">
      <c r="CI394" s="17"/>
      <c r="CJ394" s="17"/>
    </row>
    <row r="395" spans="87:88">
      <c r="CI395" s="17"/>
      <c r="CJ395" s="17"/>
    </row>
    <row r="396" spans="87:88">
      <c r="CI396" s="17"/>
      <c r="CJ396" s="17"/>
    </row>
    <row r="397" spans="87:88">
      <c r="CI397" s="17"/>
      <c r="CJ397" s="17"/>
    </row>
    <row r="398" spans="87:88">
      <c r="CI398" s="17"/>
      <c r="CJ398" s="17"/>
    </row>
    <row r="399" spans="87:88">
      <c r="CI399" s="17"/>
      <c r="CJ399" s="17"/>
    </row>
    <row r="400" spans="87:88">
      <c r="CI400" s="17"/>
      <c r="CJ400" s="17"/>
    </row>
    <row r="401" spans="87:88">
      <c r="CI401" s="17"/>
      <c r="CJ401" s="17"/>
    </row>
    <row r="402" spans="87:88">
      <c r="CI402" s="17"/>
      <c r="CJ402" s="17"/>
    </row>
    <row r="403" spans="87:88">
      <c r="CI403" s="17"/>
      <c r="CJ403" s="17"/>
    </row>
    <row r="404" spans="87:88">
      <c r="CI404" s="17"/>
      <c r="CJ404" s="17"/>
    </row>
    <row r="405" spans="87:88">
      <c r="CI405" s="17"/>
      <c r="CJ405" s="17"/>
    </row>
    <row r="406" spans="87:88">
      <c r="CI406" s="17"/>
      <c r="CJ406" s="17"/>
    </row>
    <row r="407" spans="87:88">
      <c r="CI407" s="17"/>
      <c r="CJ407" s="17"/>
    </row>
    <row r="408" spans="87:88">
      <c r="CI408" s="17"/>
      <c r="CJ408" s="17"/>
    </row>
    <row r="409" spans="87:88">
      <c r="CI409" s="17"/>
      <c r="CJ409" s="17"/>
    </row>
    <row r="410" spans="87:88">
      <c r="CI410" s="17"/>
      <c r="CJ410" s="17"/>
    </row>
    <row r="411" spans="87:88">
      <c r="CI411" s="17"/>
      <c r="CJ411" s="17"/>
    </row>
    <row r="412" spans="87:88">
      <c r="CI412" s="17"/>
      <c r="CJ412" s="17"/>
    </row>
    <row r="413" spans="87:88">
      <c r="CI413" s="17"/>
      <c r="CJ413" s="17"/>
    </row>
    <row r="414" spans="87:88">
      <c r="CI414" s="17"/>
      <c r="CJ414" s="17"/>
    </row>
    <row r="415" spans="87:88">
      <c r="CI415" s="17"/>
      <c r="CJ415" s="17"/>
    </row>
    <row r="416" spans="87:88">
      <c r="CI416" s="17"/>
      <c r="CJ416" s="17"/>
    </row>
    <row r="417" spans="87:88">
      <c r="CI417" s="17"/>
      <c r="CJ417" s="17"/>
    </row>
    <row r="418" spans="87:88">
      <c r="CI418" s="17"/>
      <c r="CJ418" s="17"/>
    </row>
    <row r="419" spans="87:88">
      <c r="CI419" s="17"/>
      <c r="CJ419" s="17"/>
    </row>
    <row r="420" spans="87:88">
      <c r="CI420" s="17"/>
      <c r="CJ420" s="17"/>
    </row>
    <row r="421" spans="87:88">
      <c r="CI421" s="17"/>
      <c r="CJ421" s="17"/>
    </row>
    <row r="422" spans="87:88">
      <c r="CI422" s="17"/>
      <c r="CJ422" s="17"/>
    </row>
    <row r="423" spans="87:88">
      <c r="CI423" s="17"/>
      <c r="CJ423" s="17"/>
    </row>
    <row r="424" spans="87:88">
      <c r="CI424" s="17"/>
      <c r="CJ424" s="17"/>
    </row>
    <row r="425" spans="87:88">
      <c r="CI425" s="17"/>
      <c r="CJ425" s="17"/>
    </row>
    <row r="426" spans="87:88">
      <c r="CI426" s="17"/>
      <c r="CJ426" s="17"/>
    </row>
    <row r="427" spans="87:88">
      <c r="CI427" s="17"/>
      <c r="CJ427" s="17"/>
    </row>
    <row r="428" spans="87:88">
      <c r="CI428" s="17"/>
      <c r="CJ428" s="17"/>
    </row>
    <row r="429" spans="87:88">
      <c r="CI429" s="17"/>
      <c r="CJ429" s="17"/>
    </row>
    <row r="430" spans="87:88">
      <c r="CI430" s="17"/>
      <c r="CJ430" s="17"/>
    </row>
    <row r="431" spans="87:88">
      <c r="CI431" s="17"/>
      <c r="CJ431" s="17"/>
    </row>
    <row r="432" spans="87:88">
      <c r="CI432" s="17"/>
      <c r="CJ432" s="17"/>
    </row>
    <row r="433" spans="87:88">
      <c r="CI433" s="17"/>
      <c r="CJ433" s="17"/>
    </row>
    <row r="434" spans="87:88">
      <c r="CI434" s="17"/>
      <c r="CJ434" s="17"/>
    </row>
    <row r="435" spans="87:88">
      <c r="CI435" s="17"/>
      <c r="CJ435" s="17"/>
    </row>
    <row r="436" spans="87:88">
      <c r="CI436" s="17"/>
      <c r="CJ436" s="17"/>
    </row>
    <row r="437" spans="87:88">
      <c r="CI437" s="17"/>
      <c r="CJ437" s="17"/>
    </row>
    <row r="438" spans="87:88">
      <c r="CI438" s="17"/>
      <c r="CJ438" s="17"/>
    </row>
    <row r="439" spans="87:88">
      <c r="CI439" s="17"/>
      <c r="CJ439" s="17"/>
    </row>
    <row r="440" spans="87:88">
      <c r="CI440" s="17"/>
      <c r="CJ440" s="17"/>
    </row>
    <row r="441" spans="87:88">
      <c r="CI441" s="17"/>
      <c r="CJ441" s="17"/>
    </row>
    <row r="442" spans="87:88">
      <c r="CI442" s="17"/>
      <c r="CJ442" s="17"/>
    </row>
    <row r="443" spans="87:88">
      <c r="CI443" s="17"/>
      <c r="CJ443" s="17"/>
    </row>
    <row r="444" spans="87:88">
      <c r="CI444" s="17"/>
      <c r="CJ444" s="17"/>
    </row>
    <row r="445" spans="87:88">
      <c r="CI445" s="17"/>
      <c r="CJ445" s="17"/>
    </row>
    <row r="446" spans="87:88">
      <c r="CI446" s="17"/>
      <c r="CJ446" s="17"/>
    </row>
    <row r="447" spans="87:88">
      <c r="CI447" s="17"/>
      <c r="CJ447" s="17"/>
    </row>
    <row r="448" spans="87:88">
      <c r="CI448" s="17"/>
      <c r="CJ448" s="17"/>
    </row>
    <row r="449" spans="87:88">
      <c r="CI449" s="17"/>
      <c r="CJ449" s="17"/>
    </row>
    <row r="450" spans="87:88">
      <c r="CI450" s="17"/>
      <c r="CJ450" s="17"/>
    </row>
    <row r="451" spans="87:88">
      <c r="CI451" s="17"/>
      <c r="CJ451" s="17"/>
    </row>
    <row r="452" spans="87:88">
      <c r="CI452" s="17"/>
      <c r="CJ452" s="17"/>
    </row>
    <row r="453" spans="87:88">
      <c r="CI453" s="17"/>
      <c r="CJ453" s="17"/>
    </row>
    <row r="454" spans="87:88">
      <c r="CI454" s="17"/>
      <c r="CJ454" s="17"/>
    </row>
    <row r="455" spans="87:88">
      <c r="CI455" s="17"/>
      <c r="CJ455" s="17"/>
    </row>
    <row r="456" spans="87:88">
      <c r="CI456" s="17"/>
      <c r="CJ456" s="17"/>
    </row>
    <row r="457" spans="87:88">
      <c r="CI457" s="17"/>
      <c r="CJ457" s="17"/>
    </row>
    <row r="458" spans="87:88">
      <c r="CI458" s="17"/>
      <c r="CJ458" s="17"/>
    </row>
    <row r="459" spans="87:88">
      <c r="CI459" s="17"/>
      <c r="CJ459" s="17"/>
    </row>
    <row r="460" spans="87:88">
      <c r="CI460" s="17"/>
      <c r="CJ460" s="17"/>
    </row>
    <row r="461" spans="87:88">
      <c r="CI461" s="17"/>
      <c r="CJ461" s="17"/>
    </row>
    <row r="462" spans="87:88">
      <c r="CI462" s="17"/>
      <c r="CJ462" s="17"/>
    </row>
    <row r="463" spans="87:88">
      <c r="CI463" s="17"/>
      <c r="CJ463" s="17"/>
    </row>
    <row r="464" spans="87:88">
      <c r="CI464" s="17"/>
      <c r="CJ464" s="17"/>
    </row>
    <row r="465" spans="87:88">
      <c r="CI465" s="17"/>
      <c r="CJ465" s="17"/>
    </row>
    <row r="466" spans="87:88">
      <c r="CI466" s="17"/>
      <c r="CJ466" s="17"/>
    </row>
    <row r="467" spans="87:88">
      <c r="CI467" s="17"/>
      <c r="CJ467" s="17"/>
    </row>
    <row r="468" spans="87:88">
      <c r="CI468" s="17"/>
      <c r="CJ468" s="17"/>
    </row>
    <row r="469" spans="87:88">
      <c r="CI469" s="17"/>
      <c r="CJ469" s="17"/>
    </row>
    <row r="470" spans="87:88">
      <c r="CI470" s="17"/>
      <c r="CJ470" s="17"/>
    </row>
    <row r="471" spans="87:88">
      <c r="CI471" s="17"/>
      <c r="CJ471" s="17"/>
    </row>
    <row r="472" spans="87:88">
      <c r="CI472" s="17"/>
      <c r="CJ472" s="17"/>
    </row>
    <row r="473" spans="87:88">
      <c r="CI473" s="17"/>
      <c r="CJ473" s="17"/>
    </row>
    <row r="474" spans="87:88">
      <c r="CI474" s="17"/>
      <c r="CJ474" s="17"/>
    </row>
    <row r="475" spans="87:88">
      <c r="CI475" s="17"/>
      <c r="CJ475" s="17"/>
    </row>
    <row r="476" spans="87:88">
      <c r="CI476" s="17"/>
      <c r="CJ476" s="17"/>
    </row>
    <row r="477" spans="87:88">
      <c r="CI477" s="17"/>
      <c r="CJ477" s="17"/>
    </row>
    <row r="478" spans="87:88">
      <c r="CI478" s="17"/>
      <c r="CJ478" s="17"/>
    </row>
    <row r="479" spans="87:88">
      <c r="CI479" s="17"/>
      <c r="CJ479" s="17"/>
    </row>
    <row r="480" spans="87:88">
      <c r="CI480" s="17"/>
      <c r="CJ480" s="17"/>
    </row>
    <row r="481" spans="87:88">
      <c r="CI481" s="17"/>
      <c r="CJ481" s="17"/>
    </row>
    <row r="482" spans="87:88">
      <c r="CI482" s="17"/>
      <c r="CJ482" s="17"/>
    </row>
    <row r="483" spans="87:88">
      <c r="CI483" s="17"/>
      <c r="CJ483" s="17"/>
    </row>
    <row r="484" spans="87:88">
      <c r="CI484" s="17"/>
      <c r="CJ484" s="17"/>
    </row>
    <row r="485" spans="87:88">
      <c r="CI485" s="17"/>
      <c r="CJ485" s="17"/>
    </row>
    <row r="486" spans="87:88">
      <c r="CI486" s="17"/>
      <c r="CJ486" s="17"/>
    </row>
    <row r="487" spans="87:88">
      <c r="CI487" s="17"/>
      <c r="CJ487" s="17"/>
    </row>
    <row r="488" spans="87:88">
      <c r="CI488" s="17"/>
      <c r="CJ488" s="17"/>
    </row>
    <row r="489" spans="87:88">
      <c r="CI489" s="17"/>
      <c r="CJ489" s="17"/>
    </row>
    <row r="490" spans="87:88">
      <c r="CI490" s="17"/>
      <c r="CJ490" s="17"/>
    </row>
    <row r="491" spans="87:88">
      <c r="CI491" s="17"/>
      <c r="CJ491" s="17"/>
    </row>
    <row r="492" spans="87:88">
      <c r="CI492" s="17"/>
      <c r="CJ492" s="17"/>
    </row>
    <row r="493" spans="87:88">
      <c r="CI493" s="17"/>
      <c r="CJ493" s="17"/>
    </row>
    <row r="494" spans="87:88">
      <c r="CI494" s="17"/>
      <c r="CJ494" s="17"/>
    </row>
    <row r="495" spans="87:88">
      <c r="CI495" s="17"/>
      <c r="CJ495" s="17"/>
    </row>
    <row r="496" spans="87:88">
      <c r="CI496" s="17"/>
      <c r="CJ496" s="17"/>
    </row>
    <row r="497" spans="87:88">
      <c r="CI497" s="17"/>
      <c r="CJ497" s="17"/>
    </row>
    <row r="498" spans="87:88">
      <c r="CI498" s="17"/>
      <c r="CJ498" s="17"/>
    </row>
    <row r="499" spans="87:88">
      <c r="CI499" s="17"/>
      <c r="CJ499" s="17"/>
    </row>
    <row r="500" spans="87:88">
      <c r="CI500" s="17"/>
      <c r="CJ500" s="17"/>
    </row>
    <row r="501" spans="87:88">
      <c r="CI501" s="17"/>
      <c r="CJ501" s="17"/>
    </row>
    <row r="502" spans="87:88">
      <c r="CI502" s="17"/>
      <c r="CJ502" s="17"/>
    </row>
    <row r="503" spans="87:88">
      <c r="CI503" s="17"/>
      <c r="CJ503" s="17"/>
    </row>
    <row r="504" spans="87:88">
      <c r="CI504" s="17"/>
      <c r="CJ504" s="17"/>
    </row>
    <row r="505" spans="87:88">
      <c r="CI505" s="17"/>
      <c r="CJ505" s="17"/>
    </row>
    <row r="506" spans="87:88">
      <c r="CI506" s="17"/>
      <c r="CJ506" s="17"/>
    </row>
    <row r="507" spans="87:88">
      <c r="CI507" s="17"/>
      <c r="CJ507" s="17"/>
    </row>
    <row r="508" spans="87:88">
      <c r="CI508" s="17"/>
      <c r="CJ508" s="17"/>
    </row>
    <row r="509" spans="87:88">
      <c r="CI509" s="17"/>
      <c r="CJ509" s="17"/>
    </row>
    <row r="510" spans="87:88">
      <c r="CI510" s="17"/>
      <c r="CJ510" s="17"/>
    </row>
    <row r="511" spans="87:88">
      <c r="CI511" s="17"/>
      <c r="CJ511" s="17"/>
    </row>
    <row r="512" spans="87:88">
      <c r="CI512" s="17"/>
      <c r="CJ512" s="17"/>
    </row>
    <row r="513" spans="87:88">
      <c r="CI513" s="17"/>
      <c r="CJ513" s="17"/>
    </row>
    <row r="514" spans="87:88">
      <c r="CI514" s="17"/>
      <c r="CJ514" s="17"/>
    </row>
    <row r="515" spans="87:88">
      <c r="CI515" s="17"/>
      <c r="CJ515" s="17"/>
    </row>
    <row r="516" spans="87:88">
      <c r="CI516" s="17"/>
      <c r="CJ516" s="17"/>
    </row>
    <row r="517" spans="87:88">
      <c r="CI517" s="17"/>
      <c r="CJ517" s="17"/>
    </row>
    <row r="518" spans="87:88">
      <c r="CI518" s="17"/>
      <c r="CJ518" s="17"/>
    </row>
    <row r="519" spans="87:88">
      <c r="CI519" s="17"/>
      <c r="CJ519" s="17"/>
    </row>
    <row r="520" spans="87:88">
      <c r="CI520" s="17"/>
      <c r="CJ520" s="17"/>
    </row>
    <row r="521" spans="87:88">
      <c r="CI521" s="17"/>
      <c r="CJ521" s="17"/>
    </row>
    <row r="522" spans="87:88">
      <c r="CI522" s="17"/>
      <c r="CJ522" s="17"/>
    </row>
    <row r="523" spans="87:88">
      <c r="CI523" s="17"/>
      <c r="CJ523" s="17"/>
    </row>
    <row r="524" spans="87:88">
      <c r="CI524" s="17"/>
      <c r="CJ524" s="17"/>
    </row>
    <row r="525" spans="87:88">
      <c r="CI525" s="17"/>
      <c r="CJ525" s="17"/>
    </row>
    <row r="526" spans="87:88">
      <c r="CI526" s="17"/>
      <c r="CJ526" s="17"/>
    </row>
    <row r="527" spans="87:88">
      <c r="CI527" s="17"/>
      <c r="CJ527" s="17"/>
    </row>
    <row r="528" spans="87:88">
      <c r="CI528" s="17"/>
      <c r="CJ528" s="17"/>
    </row>
    <row r="529" spans="87:88">
      <c r="CI529" s="17"/>
      <c r="CJ529" s="17"/>
    </row>
    <row r="530" spans="87:88">
      <c r="CI530" s="17"/>
      <c r="CJ530" s="17"/>
    </row>
    <row r="531" spans="87:88">
      <c r="CI531" s="17"/>
      <c r="CJ531" s="17"/>
    </row>
    <row r="532" spans="87:88">
      <c r="CI532" s="17"/>
      <c r="CJ532" s="17"/>
    </row>
    <row r="533" spans="87:88">
      <c r="CI533" s="17"/>
      <c r="CJ533" s="17"/>
    </row>
    <row r="534" spans="87:88">
      <c r="CI534" s="17"/>
      <c r="CJ534" s="17"/>
    </row>
    <row r="535" spans="87:88">
      <c r="CI535" s="17"/>
      <c r="CJ535" s="17"/>
    </row>
    <row r="536" spans="87:88">
      <c r="CI536" s="17"/>
      <c r="CJ536" s="17"/>
    </row>
    <row r="537" spans="87:88">
      <c r="CI537" s="17"/>
      <c r="CJ537" s="17"/>
    </row>
    <row r="538" spans="87:88">
      <c r="CI538" s="17"/>
      <c r="CJ538" s="17"/>
    </row>
    <row r="539" spans="87:88">
      <c r="CI539" s="17"/>
      <c r="CJ539" s="17"/>
    </row>
    <row r="540" spans="87:88">
      <c r="CI540" s="17"/>
      <c r="CJ540" s="17"/>
    </row>
    <row r="541" spans="87:88">
      <c r="CI541" s="17"/>
      <c r="CJ541" s="17"/>
    </row>
    <row r="542" spans="87:88">
      <c r="CI542" s="17"/>
      <c r="CJ542" s="17"/>
    </row>
    <row r="543" spans="87:88">
      <c r="CI543" s="17"/>
      <c r="CJ543" s="17"/>
    </row>
    <row r="544" spans="87:88">
      <c r="CI544" s="17"/>
      <c r="CJ544" s="17"/>
    </row>
    <row r="545" spans="87:88">
      <c r="CI545" s="17"/>
      <c r="CJ545" s="17"/>
    </row>
    <row r="546" spans="87:88">
      <c r="CI546" s="17"/>
      <c r="CJ546" s="17"/>
    </row>
    <row r="547" spans="87:88">
      <c r="CI547" s="17"/>
      <c r="CJ547" s="17"/>
    </row>
    <row r="548" spans="87:88">
      <c r="CI548" s="17"/>
      <c r="CJ548" s="17"/>
    </row>
    <row r="549" spans="87:88">
      <c r="CI549" s="17"/>
      <c r="CJ549" s="17"/>
    </row>
    <row r="550" spans="87:88">
      <c r="CI550" s="17"/>
      <c r="CJ550" s="17"/>
    </row>
    <row r="551" spans="87:88">
      <c r="CI551" s="17"/>
      <c r="CJ551" s="17"/>
    </row>
    <row r="552" spans="87:88">
      <c r="CI552" s="17"/>
      <c r="CJ552" s="17"/>
    </row>
    <row r="553" spans="87:88">
      <c r="CI553" s="17"/>
      <c r="CJ553" s="17"/>
    </row>
    <row r="554" spans="87:88">
      <c r="CI554" s="17"/>
      <c r="CJ554" s="17"/>
    </row>
    <row r="555" spans="87:88">
      <c r="CI555" s="17"/>
      <c r="CJ555" s="17"/>
    </row>
    <row r="556" spans="87:88">
      <c r="CI556" s="17"/>
      <c r="CJ556" s="17"/>
    </row>
    <row r="557" spans="87:88">
      <c r="CI557" s="17"/>
      <c r="CJ557" s="17"/>
    </row>
    <row r="558" spans="87:88">
      <c r="CI558" s="17"/>
      <c r="CJ558" s="17"/>
    </row>
    <row r="559" spans="87:88">
      <c r="CI559" s="17"/>
      <c r="CJ559" s="17"/>
    </row>
    <row r="560" spans="87:88">
      <c r="CI560" s="17"/>
      <c r="CJ560" s="17"/>
    </row>
    <row r="561" spans="87:88">
      <c r="CI561" s="17"/>
      <c r="CJ561" s="17"/>
    </row>
    <row r="562" spans="87:88">
      <c r="CI562" s="17"/>
      <c r="CJ562" s="17"/>
    </row>
    <row r="563" spans="87:88">
      <c r="CI563" s="17"/>
      <c r="CJ563" s="17"/>
    </row>
    <row r="564" spans="87:88">
      <c r="CI564" s="17"/>
      <c r="CJ564" s="17"/>
    </row>
    <row r="565" spans="87:88">
      <c r="CI565" s="17"/>
      <c r="CJ565" s="17"/>
    </row>
    <row r="566" spans="87:88">
      <c r="CI566" s="17"/>
      <c r="CJ566" s="17"/>
    </row>
    <row r="567" spans="87:88">
      <c r="CI567" s="17"/>
      <c r="CJ567" s="17"/>
    </row>
    <row r="568" spans="87:88">
      <c r="CI568" s="17"/>
      <c r="CJ568" s="17"/>
    </row>
    <row r="569" spans="87:88">
      <c r="CI569" s="17"/>
      <c r="CJ569" s="17"/>
    </row>
    <row r="570" spans="87:88">
      <c r="CI570" s="17"/>
      <c r="CJ570" s="17"/>
    </row>
    <row r="571" spans="87:88">
      <c r="CI571" s="17"/>
      <c r="CJ571" s="17"/>
    </row>
    <row r="572" spans="87:88">
      <c r="CI572" s="17"/>
      <c r="CJ572" s="17"/>
    </row>
    <row r="573" spans="87:88">
      <c r="CI573" s="17"/>
      <c r="CJ573" s="17"/>
    </row>
    <row r="574" spans="87:88">
      <c r="CI574" s="17"/>
      <c r="CJ574" s="17"/>
    </row>
    <row r="575" spans="87:88">
      <c r="CI575" s="17"/>
      <c r="CJ575" s="17"/>
    </row>
    <row r="576" spans="87:88">
      <c r="CI576" s="17"/>
      <c r="CJ576" s="17"/>
    </row>
    <row r="577" spans="87:88">
      <c r="CI577" s="17"/>
      <c r="CJ577" s="17"/>
    </row>
    <row r="578" spans="87:88">
      <c r="CI578" s="17"/>
      <c r="CJ578" s="17"/>
    </row>
    <row r="579" spans="87:88">
      <c r="CI579" s="17"/>
      <c r="CJ579" s="17"/>
    </row>
    <row r="580" spans="87:88">
      <c r="CI580" s="17"/>
      <c r="CJ580" s="17"/>
    </row>
    <row r="581" spans="87:88">
      <c r="CI581" s="17"/>
      <c r="CJ581" s="17"/>
    </row>
    <row r="582" spans="87:88">
      <c r="CI582" s="17"/>
      <c r="CJ582" s="17"/>
    </row>
    <row r="583" spans="87:88">
      <c r="CI583" s="17"/>
      <c r="CJ583" s="17"/>
    </row>
    <row r="584" spans="87:88">
      <c r="CI584" s="17"/>
      <c r="CJ584" s="17"/>
    </row>
    <row r="585" spans="87:88">
      <c r="CI585" s="17"/>
      <c r="CJ585" s="17"/>
    </row>
    <row r="586" spans="87:88">
      <c r="CI586" s="17"/>
      <c r="CJ586" s="17"/>
    </row>
    <row r="587" spans="87:88">
      <c r="CI587" s="17"/>
      <c r="CJ587" s="17"/>
    </row>
    <row r="588" spans="87:88">
      <c r="CI588" s="17"/>
      <c r="CJ588" s="17"/>
    </row>
    <row r="589" spans="87:88">
      <c r="CI589" s="17"/>
      <c r="CJ589" s="17"/>
    </row>
    <row r="590" spans="87:88">
      <c r="CI590" s="17"/>
      <c r="CJ590" s="17"/>
    </row>
    <row r="591" spans="87:88">
      <c r="CI591" s="17"/>
      <c r="CJ591" s="17"/>
    </row>
    <row r="592" spans="87:88">
      <c r="CI592" s="17"/>
      <c r="CJ592" s="17"/>
    </row>
    <row r="593" spans="87:88">
      <c r="CI593" s="17"/>
      <c r="CJ593" s="17"/>
    </row>
    <row r="594" spans="87:88">
      <c r="CI594" s="17"/>
      <c r="CJ594" s="17"/>
    </row>
    <row r="595" spans="87:88">
      <c r="CI595" s="17"/>
      <c r="CJ595" s="17"/>
    </row>
    <row r="596" spans="87:88">
      <c r="CI596" s="17"/>
      <c r="CJ596" s="17"/>
    </row>
    <row r="597" spans="87:88">
      <c r="CI597" s="17"/>
      <c r="CJ597" s="17"/>
    </row>
    <row r="598" spans="87:88">
      <c r="CI598" s="17"/>
      <c r="CJ598" s="17"/>
    </row>
    <row r="599" spans="87:88">
      <c r="CI599" s="17"/>
      <c r="CJ599" s="17"/>
    </row>
    <row r="600" spans="87:88">
      <c r="CI600" s="17"/>
      <c r="CJ600" s="17"/>
    </row>
    <row r="601" spans="87:88">
      <c r="CI601" s="17"/>
      <c r="CJ601" s="17"/>
    </row>
    <row r="602" spans="87:88">
      <c r="CI602" s="17"/>
      <c r="CJ602" s="17"/>
    </row>
    <row r="603" spans="87:88">
      <c r="CI603" s="17"/>
      <c r="CJ603" s="17"/>
    </row>
    <row r="604" spans="87:88">
      <c r="CI604" s="17"/>
      <c r="CJ604" s="17"/>
    </row>
    <row r="605" spans="87:88">
      <c r="CI605" s="17"/>
      <c r="CJ605" s="17"/>
    </row>
    <row r="606" spans="87:88">
      <c r="CI606" s="17"/>
      <c r="CJ606" s="17"/>
    </row>
    <row r="607" spans="87:88">
      <c r="CI607" s="17"/>
      <c r="CJ607" s="17"/>
    </row>
    <row r="608" spans="87:88">
      <c r="CI608" s="17"/>
      <c r="CJ608" s="17"/>
    </row>
    <row r="609" spans="87:88">
      <c r="CI609" s="17"/>
      <c r="CJ609" s="17"/>
    </row>
    <row r="610" spans="87:88">
      <c r="CI610" s="17"/>
      <c r="CJ610" s="17"/>
    </row>
    <row r="611" spans="87:88">
      <c r="CI611" s="17"/>
      <c r="CJ611" s="17"/>
    </row>
    <row r="612" spans="87:88">
      <c r="CI612" s="17"/>
      <c r="CJ612" s="17"/>
    </row>
    <row r="613" spans="87:88">
      <c r="CI613" s="17"/>
      <c r="CJ613" s="17"/>
    </row>
    <row r="614" spans="87:88">
      <c r="CI614" s="17"/>
      <c r="CJ614" s="17"/>
    </row>
    <row r="615" spans="87:88">
      <c r="CI615" s="17"/>
      <c r="CJ615" s="17"/>
    </row>
    <row r="616" spans="87:88">
      <c r="CI616" s="17"/>
      <c r="CJ616" s="17"/>
    </row>
    <row r="617" spans="87:88">
      <c r="CI617" s="17"/>
      <c r="CJ617" s="17"/>
    </row>
    <row r="618" spans="87:88">
      <c r="CI618" s="17"/>
      <c r="CJ618" s="17"/>
    </row>
    <row r="619" spans="87:88">
      <c r="CI619" s="17"/>
      <c r="CJ619" s="17"/>
    </row>
    <row r="620" spans="87:88">
      <c r="CI620" s="17"/>
      <c r="CJ620" s="17"/>
    </row>
    <row r="621" spans="87:88">
      <c r="CI621" s="17"/>
      <c r="CJ621" s="17"/>
    </row>
    <row r="622" spans="87:88">
      <c r="CI622" s="17"/>
      <c r="CJ622" s="17"/>
    </row>
    <row r="623" spans="87:88">
      <c r="CI623" s="17"/>
      <c r="CJ623" s="17"/>
    </row>
    <row r="624" spans="87:88">
      <c r="CI624" s="17"/>
      <c r="CJ624" s="17"/>
    </row>
    <row r="625" spans="87:88">
      <c r="CI625" s="17"/>
      <c r="CJ625" s="17"/>
    </row>
    <row r="626" spans="87:88">
      <c r="CI626" s="17"/>
      <c r="CJ626" s="17"/>
    </row>
    <row r="627" spans="87:88">
      <c r="CI627" s="17"/>
      <c r="CJ627" s="17"/>
    </row>
    <row r="628" spans="87:88">
      <c r="CI628" s="17"/>
      <c r="CJ628" s="17"/>
    </row>
    <row r="629" spans="87:88">
      <c r="CI629" s="17"/>
      <c r="CJ629" s="17"/>
    </row>
    <row r="630" spans="87:88">
      <c r="CI630" s="17"/>
      <c r="CJ630" s="17"/>
    </row>
    <row r="631" spans="87:88">
      <c r="CI631" s="17"/>
      <c r="CJ631" s="17"/>
    </row>
    <row r="632" spans="87:88">
      <c r="CI632" s="17"/>
      <c r="CJ632" s="17"/>
    </row>
    <row r="633" spans="87:88">
      <c r="CI633" s="17"/>
      <c r="CJ633" s="17"/>
    </row>
    <row r="634" spans="87:88">
      <c r="CI634" s="17"/>
      <c r="CJ634" s="17"/>
    </row>
    <row r="635" spans="87:88">
      <c r="CI635" s="17"/>
      <c r="CJ635" s="17"/>
    </row>
    <row r="636" spans="87:88">
      <c r="CI636" s="17"/>
      <c r="CJ636" s="17"/>
    </row>
    <row r="637" spans="87:88">
      <c r="CI637" s="17"/>
      <c r="CJ637" s="17"/>
    </row>
    <row r="638" spans="87:88">
      <c r="CI638" s="17"/>
      <c r="CJ638" s="17"/>
    </row>
    <row r="639" spans="87:88">
      <c r="CI639" s="17"/>
      <c r="CJ639" s="17"/>
    </row>
    <row r="640" spans="87:88">
      <c r="CI640" s="17"/>
      <c r="CJ640" s="17"/>
    </row>
    <row r="641" spans="87:88">
      <c r="CI641" s="17"/>
      <c r="CJ641" s="17"/>
    </row>
    <row r="642" spans="87:88">
      <c r="CI642" s="17"/>
      <c r="CJ642" s="17"/>
    </row>
    <row r="643" spans="87:88">
      <c r="CI643" s="17"/>
      <c r="CJ643" s="17"/>
    </row>
    <row r="644" spans="87:88">
      <c r="CI644" s="17"/>
      <c r="CJ644" s="17"/>
    </row>
    <row r="645" spans="87:88">
      <c r="CI645" s="17"/>
      <c r="CJ645" s="17"/>
    </row>
    <row r="646" spans="87:88">
      <c r="CI646" s="17"/>
      <c r="CJ646" s="17"/>
    </row>
    <row r="647" spans="87:88">
      <c r="CI647" s="17"/>
      <c r="CJ647" s="17"/>
    </row>
    <row r="648" spans="87:88">
      <c r="CI648" s="17"/>
      <c r="CJ648" s="17"/>
    </row>
    <row r="649" spans="87:88">
      <c r="CI649" s="17"/>
      <c r="CJ649" s="17"/>
    </row>
    <row r="650" spans="87:88">
      <c r="CI650" s="17"/>
      <c r="CJ650" s="17"/>
    </row>
    <row r="651" spans="87:88">
      <c r="CI651" s="17"/>
      <c r="CJ651" s="17"/>
    </row>
    <row r="652" spans="87:88">
      <c r="CI652" s="17"/>
      <c r="CJ652" s="17"/>
    </row>
    <row r="653" spans="87:88">
      <c r="CI653" s="17"/>
      <c r="CJ653" s="17"/>
    </row>
    <row r="654" spans="87:88">
      <c r="CI654" s="17"/>
      <c r="CJ654" s="17"/>
    </row>
    <row r="655" spans="87:88">
      <c r="CI655" s="17"/>
      <c r="CJ655" s="17"/>
    </row>
    <row r="656" spans="87:88">
      <c r="CI656" s="17"/>
      <c r="CJ656" s="17"/>
    </row>
    <row r="657" spans="87:88">
      <c r="CI657" s="17"/>
      <c r="CJ657" s="17"/>
    </row>
    <row r="658" spans="87:88">
      <c r="CI658" s="17"/>
      <c r="CJ658" s="17"/>
    </row>
    <row r="659" spans="87:88">
      <c r="CI659" s="17"/>
      <c r="CJ659" s="17"/>
    </row>
    <row r="660" spans="87:88">
      <c r="CI660" s="17"/>
      <c r="CJ660" s="17"/>
    </row>
    <row r="661" spans="87:88">
      <c r="CI661" s="17"/>
      <c r="CJ661" s="17"/>
    </row>
    <row r="662" spans="87:88">
      <c r="CI662" s="17"/>
      <c r="CJ662" s="17"/>
    </row>
    <row r="663" spans="87:88">
      <c r="CI663" s="17"/>
      <c r="CJ663" s="17"/>
    </row>
    <row r="664" spans="87:88">
      <c r="CI664" s="17"/>
      <c r="CJ664" s="17"/>
    </row>
    <row r="665" spans="87:88">
      <c r="CI665" s="17"/>
      <c r="CJ665" s="17"/>
    </row>
    <row r="666" spans="87:88">
      <c r="CI666" s="17"/>
      <c r="CJ666" s="17"/>
    </row>
    <row r="667" spans="87:88">
      <c r="CI667" s="17"/>
      <c r="CJ667" s="17"/>
    </row>
    <row r="668" spans="87:88">
      <c r="CI668" s="17"/>
      <c r="CJ668" s="17"/>
    </row>
    <row r="669" spans="87:88">
      <c r="CI669" s="17"/>
      <c r="CJ669" s="17"/>
    </row>
    <row r="670" spans="87:88">
      <c r="CI670" s="17"/>
      <c r="CJ670" s="17"/>
    </row>
    <row r="671" spans="87:88">
      <c r="CI671" s="17"/>
      <c r="CJ671" s="17"/>
    </row>
    <row r="672" spans="87:88">
      <c r="CI672" s="17"/>
      <c r="CJ672" s="17"/>
    </row>
    <row r="673" spans="87:88">
      <c r="CI673" s="17"/>
      <c r="CJ673" s="17"/>
    </row>
    <row r="674" spans="87:88">
      <c r="CI674" s="17"/>
      <c r="CJ674" s="17"/>
    </row>
    <row r="675" spans="87:88">
      <c r="CI675" s="17"/>
      <c r="CJ675" s="17"/>
    </row>
    <row r="676" spans="87:88">
      <c r="CI676" s="17"/>
      <c r="CJ676" s="17"/>
    </row>
    <row r="677" spans="87:88">
      <c r="CI677" s="17"/>
      <c r="CJ677" s="17"/>
    </row>
    <row r="678" spans="87:88">
      <c r="CI678" s="17"/>
      <c r="CJ678" s="17"/>
    </row>
    <row r="679" spans="87:88">
      <c r="CI679" s="17"/>
      <c r="CJ679" s="17"/>
    </row>
    <row r="680" spans="87:88">
      <c r="CI680" s="17"/>
      <c r="CJ680" s="17"/>
    </row>
    <row r="681" spans="87:88">
      <c r="CI681" s="17"/>
      <c r="CJ681" s="17"/>
    </row>
    <row r="682" spans="87:88">
      <c r="CI682" s="17"/>
      <c r="CJ682" s="17"/>
    </row>
    <row r="683" spans="87:88">
      <c r="CI683" s="17"/>
      <c r="CJ683" s="17"/>
    </row>
    <row r="684" spans="87:88">
      <c r="CI684" s="17"/>
      <c r="CJ684" s="17"/>
    </row>
    <row r="685" spans="87:88">
      <c r="CI685" s="17"/>
      <c r="CJ685" s="17"/>
    </row>
    <row r="686" spans="87:88">
      <c r="CI686" s="17"/>
      <c r="CJ686" s="17"/>
    </row>
    <row r="687" spans="87:88">
      <c r="CI687" s="17"/>
      <c r="CJ687" s="17"/>
    </row>
    <row r="688" spans="87:88">
      <c r="CI688" s="17"/>
      <c r="CJ688" s="17"/>
    </row>
    <row r="689" spans="87:88">
      <c r="CI689" s="17"/>
      <c r="CJ689" s="17"/>
    </row>
    <row r="690" spans="87:88">
      <c r="CI690" s="17"/>
      <c r="CJ690" s="17"/>
    </row>
    <row r="691" spans="87:88">
      <c r="CI691" s="17"/>
      <c r="CJ691" s="17"/>
    </row>
    <row r="692" spans="87:88">
      <c r="CI692" s="17"/>
      <c r="CJ692" s="17"/>
    </row>
    <row r="693" spans="87:88">
      <c r="CI693" s="17"/>
      <c r="CJ693" s="17"/>
    </row>
    <row r="694" spans="87:88">
      <c r="CI694" s="17"/>
      <c r="CJ694" s="17"/>
    </row>
    <row r="695" spans="87:88">
      <c r="CI695" s="17"/>
      <c r="CJ695" s="17"/>
    </row>
    <row r="696" spans="87:88">
      <c r="CI696" s="17"/>
      <c r="CJ696" s="17"/>
    </row>
    <row r="697" spans="87:88">
      <c r="CI697" s="17"/>
      <c r="CJ697" s="17"/>
    </row>
    <row r="698" spans="87:88">
      <c r="CI698" s="17"/>
      <c r="CJ698" s="17"/>
    </row>
    <row r="699" spans="87:88">
      <c r="CI699" s="17"/>
      <c r="CJ699" s="17"/>
    </row>
    <row r="700" spans="87:88">
      <c r="CI700" s="17"/>
      <c r="CJ700" s="17"/>
    </row>
    <row r="701" spans="87:88">
      <c r="CI701" s="17"/>
      <c r="CJ701" s="17"/>
    </row>
    <row r="702" spans="87:88">
      <c r="CI702" s="17"/>
      <c r="CJ702" s="17"/>
    </row>
    <row r="703" spans="87:88">
      <c r="CI703" s="17"/>
      <c r="CJ703" s="17"/>
    </row>
    <row r="704" spans="87:88">
      <c r="CI704" s="17"/>
      <c r="CJ704" s="17"/>
    </row>
    <row r="705" spans="87:88">
      <c r="CI705" s="17"/>
      <c r="CJ705" s="17"/>
    </row>
    <row r="706" spans="87:88">
      <c r="CI706" s="17"/>
      <c r="CJ706" s="17"/>
    </row>
    <row r="707" spans="87:88">
      <c r="CI707" s="17"/>
      <c r="CJ707" s="17"/>
    </row>
    <row r="708" spans="87:88">
      <c r="CI708" s="17"/>
      <c r="CJ708" s="17"/>
    </row>
    <row r="709" spans="87:88">
      <c r="CI709" s="17"/>
      <c r="CJ709" s="17"/>
    </row>
    <row r="710" spans="87:88">
      <c r="CI710" s="17"/>
      <c r="CJ710" s="17"/>
    </row>
    <row r="711" spans="87:88">
      <c r="CI711" s="17"/>
      <c r="CJ711" s="17"/>
    </row>
    <row r="712" spans="87:88">
      <c r="CI712" s="17"/>
      <c r="CJ712" s="17"/>
    </row>
    <row r="713" spans="87:88">
      <c r="CI713" s="17"/>
      <c r="CJ713" s="17"/>
    </row>
    <row r="714" spans="87:88">
      <c r="CI714" s="17"/>
      <c r="CJ714" s="17"/>
    </row>
    <row r="715" spans="87:88">
      <c r="CI715" s="17"/>
      <c r="CJ715" s="17"/>
    </row>
    <row r="716" spans="87:88">
      <c r="CI716" s="17"/>
      <c r="CJ716" s="17"/>
    </row>
    <row r="717" spans="87:88">
      <c r="CI717" s="17"/>
      <c r="CJ717" s="17"/>
    </row>
    <row r="718" spans="87:88">
      <c r="CI718" s="17"/>
      <c r="CJ718" s="17"/>
    </row>
    <row r="719" spans="87:88">
      <c r="CI719" s="17"/>
      <c r="CJ719" s="17"/>
    </row>
    <row r="720" spans="87:88">
      <c r="CI720" s="17"/>
      <c r="CJ720" s="17"/>
    </row>
    <row r="721" spans="87:88">
      <c r="CI721" s="17"/>
      <c r="CJ721" s="17"/>
    </row>
    <row r="722" spans="87:88">
      <c r="CI722" s="17"/>
      <c r="CJ722" s="17"/>
    </row>
    <row r="723" spans="87:88">
      <c r="CI723" s="17"/>
      <c r="CJ723" s="17"/>
    </row>
    <row r="724" spans="87:88">
      <c r="CI724" s="17"/>
      <c r="CJ724" s="17"/>
    </row>
    <row r="725" spans="87:88">
      <c r="CI725" s="17"/>
      <c r="CJ725" s="17"/>
    </row>
    <row r="726" spans="87:88">
      <c r="CI726" s="17"/>
      <c r="CJ726" s="17"/>
    </row>
    <row r="727" spans="87:88">
      <c r="CI727" s="17"/>
      <c r="CJ727" s="17"/>
    </row>
    <row r="728" spans="87:88">
      <c r="CI728" s="17"/>
      <c r="CJ728" s="17"/>
    </row>
    <row r="729" spans="87:88">
      <c r="CI729" s="17"/>
      <c r="CJ729" s="17"/>
    </row>
    <row r="730" spans="87:88">
      <c r="CI730" s="17"/>
      <c r="CJ730" s="17"/>
    </row>
    <row r="731" spans="87:88">
      <c r="CI731" s="17"/>
      <c r="CJ731" s="17"/>
    </row>
    <row r="732" spans="87:88">
      <c r="CI732" s="17"/>
      <c r="CJ732" s="17"/>
    </row>
    <row r="733" spans="87:88">
      <c r="CI733" s="17"/>
      <c r="CJ733" s="17"/>
    </row>
    <row r="734" spans="87:88">
      <c r="CI734" s="17"/>
      <c r="CJ734" s="17"/>
    </row>
    <row r="735" spans="87:88">
      <c r="CI735" s="17"/>
      <c r="CJ735" s="17"/>
    </row>
    <row r="736" spans="87:88">
      <c r="CI736" s="17"/>
      <c r="CJ736" s="17"/>
    </row>
    <row r="737" spans="87:88">
      <c r="CI737" s="17"/>
      <c r="CJ737" s="17"/>
    </row>
    <row r="738" spans="87:88">
      <c r="CI738" s="17"/>
      <c r="CJ738" s="17"/>
    </row>
    <row r="739" spans="87:88">
      <c r="CI739" s="17"/>
      <c r="CJ739" s="17"/>
    </row>
    <row r="740" spans="87:88">
      <c r="CI740" s="17"/>
      <c r="CJ740" s="17"/>
    </row>
    <row r="741" spans="87:88">
      <c r="CI741" s="17"/>
      <c r="CJ741" s="17"/>
    </row>
    <row r="742" spans="87:88">
      <c r="CI742" s="17"/>
      <c r="CJ742" s="17"/>
    </row>
    <row r="743" spans="87:88">
      <c r="CI743" s="17"/>
      <c r="CJ743" s="17"/>
    </row>
    <row r="744" spans="87:88">
      <c r="CI744" s="17"/>
      <c r="CJ744" s="17"/>
    </row>
    <row r="745" spans="87:88">
      <c r="CI745" s="17"/>
      <c r="CJ745" s="17"/>
    </row>
    <row r="746" spans="87:88">
      <c r="CI746" s="17"/>
      <c r="CJ746" s="17"/>
    </row>
    <row r="747" spans="87:88">
      <c r="CI747" s="17"/>
      <c r="CJ747" s="17"/>
    </row>
    <row r="748" spans="87:88">
      <c r="CI748" s="17"/>
      <c r="CJ748" s="17"/>
    </row>
    <row r="749" spans="87:88">
      <c r="CI749" s="17"/>
      <c r="CJ749" s="17"/>
    </row>
    <row r="750" spans="87:88">
      <c r="CI750" s="17"/>
      <c r="CJ750" s="17"/>
    </row>
    <row r="751" spans="87:88">
      <c r="CI751" s="17"/>
      <c r="CJ751" s="17"/>
    </row>
    <row r="752" spans="87:88">
      <c r="CI752" s="17"/>
      <c r="CJ752" s="17"/>
    </row>
    <row r="753" spans="87:88">
      <c r="CI753" s="17"/>
      <c r="CJ753" s="17"/>
    </row>
    <row r="754" spans="87:88">
      <c r="CI754" s="17"/>
      <c r="CJ754" s="17"/>
    </row>
    <row r="755" spans="87:88">
      <c r="CI755" s="17"/>
      <c r="CJ755" s="17"/>
    </row>
    <row r="756" spans="87:88">
      <c r="CI756" s="17"/>
      <c r="CJ756" s="17"/>
    </row>
    <row r="757" spans="87:88">
      <c r="CI757" s="17"/>
      <c r="CJ757" s="17"/>
    </row>
    <row r="758" spans="87:88">
      <c r="CI758" s="17"/>
      <c r="CJ758" s="17"/>
    </row>
    <row r="759" spans="87:88">
      <c r="CI759" s="17"/>
      <c r="CJ759" s="17"/>
    </row>
    <row r="760" spans="87:88">
      <c r="CI760" s="17"/>
      <c r="CJ760" s="17"/>
    </row>
    <row r="761" spans="87:88">
      <c r="CI761" s="17"/>
      <c r="CJ761" s="17"/>
    </row>
    <row r="762" spans="87:88">
      <c r="CI762" s="17"/>
      <c r="CJ762" s="17"/>
    </row>
    <row r="763" spans="87:88">
      <c r="CI763" s="17"/>
      <c r="CJ763" s="17"/>
    </row>
    <row r="764" spans="87:88">
      <c r="CI764" s="17"/>
      <c r="CJ764" s="17"/>
    </row>
    <row r="765" spans="87:88">
      <c r="CI765" s="17"/>
      <c r="CJ765" s="17"/>
    </row>
    <row r="766" spans="87:88">
      <c r="CI766" s="17"/>
      <c r="CJ766" s="17"/>
    </row>
    <row r="767" spans="87:88">
      <c r="CI767" s="17"/>
      <c r="CJ767" s="17"/>
    </row>
    <row r="768" spans="87:88">
      <c r="CI768" s="17"/>
      <c r="CJ768" s="17"/>
    </row>
    <row r="769" spans="87:88">
      <c r="CI769" s="17"/>
      <c r="CJ769" s="17"/>
    </row>
    <row r="770" spans="87:88">
      <c r="CI770" s="17"/>
      <c r="CJ770" s="17"/>
    </row>
    <row r="771" spans="87:88">
      <c r="CI771" s="17"/>
      <c r="CJ771" s="17"/>
    </row>
    <row r="772" spans="87:88">
      <c r="CI772" s="17"/>
      <c r="CJ772" s="17"/>
    </row>
    <row r="773" spans="87:88">
      <c r="CI773" s="17"/>
      <c r="CJ773" s="17"/>
    </row>
    <row r="774" spans="87:88">
      <c r="CI774" s="17"/>
      <c r="CJ774" s="17"/>
    </row>
    <row r="775" spans="87:88">
      <c r="CI775" s="17"/>
      <c r="CJ775" s="17"/>
    </row>
    <row r="776" spans="87:88">
      <c r="CI776" s="17"/>
      <c r="CJ776" s="17"/>
    </row>
    <row r="777" spans="87:88">
      <c r="CI777" s="17"/>
      <c r="CJ777" s="17"/>
    </row>
    <row r="778" spans="87:88">
      <c r="CI778" s="17"/>
      <c r="CJ778" s="17"/>
    </row>
    <row r="779" spans="87:88">
      <c r="CI779" s="17"/>
      <c r="CJ779" s="17"/>
    </row>
    <row r="780" spans="87:88">
      <c r="CI780" s="17"/>
      <c r="CJ780" s="17"/>
    </row>
    <row r="781" spans="87:88">
      <c r="CI781" s="17"/>
      <c r="CJ781" s="17"/>
    </row>
    <row r="782" spans="87:88">
      <c r="CI782" s="17"/>
      <c r="CJ782" s="17"/>
    </row>
    <row r="783" spans="87:88">
      <c r="CI783" s="17"/>
      <c r="CJ783" s="17"/>
    </row>
    <row r="784" spans="87:88">
      <c r="CI784" s="17"/>
      <c r="CJ784" s="17"/>
    </row>
    <row r="785" spans="87:88">
      <c r="CI785" s="17"/>
      <c r="CJ785" s="17"/>
    </row>
    <row r="786" spans="87:88">
      <c r="CI786" s="17"/>
      <c r="CJ786" s="17"/>
    </row>
    <row r="787" spans="87:88">
      <c r="CI787" s="17"/>
      <c r="CJ787" s="17"/>
    </row>
    <row r="788" spans="87:88">
      <c r="CI788" s="17"/>
      <c r="CJ788" s="17"/>
    </row>
    <row r="789" spans="87:88">
      <c r="CI789" s="17"/>
      <c r="CJ789" s="17"/>
    </row>
    <row r="790" spans="87:88">
      <c r="CI790" s="17"/>
      <c r="CJ790" s="17"/>
    </row>
    <row r="791" spans="87:88">
      <c r="CI791" s="17"/>
      <c r="CJ791" s="17"/>
    </row>
    <row r="792" spans="87:88">
      <c r="CI792" s="17"/>
      <c r="CJ792" s="17"/>
    </row>
    <row r="793" spans="87:88">
      <c r="CI793" s="17"/>
      <c r="CJ793" s="17"/>
    </row>
    <row r="794" spans="87:88">
      <c r="CI794" s="17"/>
      <c r="CJ794" s="17"/>
    </row>
    <row r="795" spans="87:88">
      <c r="CI795" s="17"/>
      <c r="CJ795" s="17"/>
    </row>
    <row r="796" spans="87:88">
      <c r="CI796" s="17"/>
      <c r="CJ796" s="17"/>
    </row>
    <row r="797" spans="87:88">
      <c r="CI797" s="17"/>
      <c r="CJ797" s="17"/>
    </row>
    <row r="798" spans="87:88">
      <c r="CI798" s="17"/>
      <c r="CJ798" s="17"/>
    </row>
    <row r="799" spans="87:88">
      <c r="CI799" s="17"/>
      <c r="CJ799" s="17"/>
    </row>
    <row r="800" spans="87:88">
      <c r="CI800" s="17"/>
      <c r="CJ800" s="17"/>
    </row>
    <row r="801" spans="87:88">
      <c r="CI801" s="17"/>
      <c r="CJ801" s="17"/>
    </row>
    <row r="802" spans="87:88">
      <c r="CI802" s="17"/>
      <c r="CJ802" s="17"/>
    </row>
    <row r="803" spans="87:88">
      <c r="CI803" s="17"/>
      <c r="CJ803" s="17"/>
    </row>
    <row r="804" spans="87:88">
      <c r="CI804" s="17"/>
      <c r="CJ804" s="17"/>
    </row>
    <row r="805" spans="87:88">
      <c r="CI805" s="17"/>
      <c r="CJ805" s="17"/>
    </row>
    <row r="806" spans="87:88">
      <c r="CI806" s="17"/>
      <c r="CJ806" s="17"/>
    </row>
    <row r="807" spans="87:88">
      <c r="CI807" s="17"/>
      <c r="CJ807" s="17"/>
    </row>
    <row r="808" spans="87:88">
      <c r="CI808" s="17"/>
      <c r="CJ808" s="17"/>
    </row>
    <row r="809" spans="87:88">
      <c r="CI809" s="17"/>
      <c r="CJ809" s="17"/>
    </row>
    <row r="810" spans="87:88">
      <c r="CI810" s="17"/>
      <c r="CJ810" s="17"/>
    </row>
    <row r="811" spans="87:88">
      <c r="CI811" s="17"/>
      <c r="CJ811" s="17"/>
    </row>
    <row r="812" spans="87:88">
      <c r="CI812" s="17"/>
      <c r="CJ812" s="17"/>
    </row>
    <row r="813" spans="87:88">
      <c r="CI813" s="17"/>
      <c r="CJ813" s="17"/>
    </row>
    <row r="814" spans="87:88">
      <c r="CI814" s="17"/>
      <c r="CJ814" s="17"/>
    </row>
    <row r="815" spans="87:88">
      <c r="CI815" s="17"/>
      <c r="CJ815" s="17"/>
    </row>
    <row r="816" spans="87:88">
      <c r="CI816" s="17"/>
      <c r="CJ816" s="17"/>
    </row>
    <row r="817" spans="87:88">
      <c r="CI817" s="17"/>
      <c r="CJ817" s="17"/>
    </row>
    <row r="818" spans="87:88">
      <c r="CI818" s="17"/>
      <c r="CJ818" s="17"/>
    </row>
    <row r="819" spans="87:88">
      <c r="CI819" s="17"/>
      <c r="CJ819" s="17"/>
    </row>
    <row r="820" spans="87:88">
      <c r="CI820" s="17"/>
      <c r="CJ820" s="17"/>
    </row>
    <row r="821" spans="87:88">
      <c r="CI821" s="17"/>
      <c r="CJ821" s="17"/>
    </row>
    <row r="822" spans="87:88">
      <c r="CI822" s="17"/>
      <c r="CJ822" s="17"/>
    </row>
    <row r="823" spans="87:88">
      <c r="CI823" s="17"/>
      <c r="CJ823" s="17"/>
    </row>
    <row r="824" spans="87:88">
      <c r="CI824" s="17"/>
      <c r="CJ824" s="17"/>
    </row>
    <row r="825" spans="87:88">
      <c r="CI825" s="17"/>
      <c r="CJ825" s="17"/>
    </row>
    <row r="826" spans="87:88">
      <c r="CI826" s="17"/>
      <c r="CJ826" s="17"/>
    </row>
    <row r="827" spans="87:88">
      <c r="CI827" s="17"/>
      <c r="CJ827" s="17"/>
    </row>
    <row r="828" spans="87:88">
      <c r="CI828" s="17"/>
      <c r="CJ828" s="17"/>
    </row>
    <row r="829" spans="87:88">
      <c r="CI829" s="17"/>
      <c r="CJ829" s="17"/>
    </row>
    <row r="830" spans="87:88">
      <c r="CI830" s="17"/>
      <c r="CJ830" s="17"/>
    </row>
    <row r="831" spans="87:88">
      <c r="CI831" s="17"/>
      <c r="CJ831" s="17"/>
    </row>
    <row r="832" spans="87:88">
      <c r="CI832" s="17"/>
      <c r="CJ832" s="17"/>
    </row>
    <row r="833" spans="87:88">
      <c r="CI833" s="17"/>
      <c r="CJ833" s="17"/>
    </row>
    <row r="834" spans="87:88">
      <c r="CI834" s="17"/>
      <c r="CJ834" s="17"/>
    </row>
    <row r="835" spans="87:88">
      <c r="CI835" s="17"/>
      <c r="CJ835" s="17"/>
    </row>
    <row r="836" spans="87:88">
      <c r="CI836" s="17"/>
      <c r="CJ836" s="17"/>
    </row>
    <row r="837" spans="87:88">
      <c r="CI837" s="17"/>
      <c r="CJ837" s="17"/>
    </row>
    <row r="838" spans="87:88">
      <c r="CI838" s="17"/>
      <c r="CJ838" s="17"/>
    </row>
    <row r="839" spans="87:88">
      <c r="CI839" s="17"/>
      <c r="CJ839" s="17"/>
    </row>
    <row r="840" spans="87:88">
      <c r="CI840" s="17"/>
      <c r="CJ840" s="17"/>
    </row>
    <row r="841" spans="87:88">
      <c r="CI841" s="17"/>
      <c r="CJ841" s="17"/>
    </row>
    <row r="842" spans="87:88">
      <c r="CI842" s="17"/>
      <c r="CJ842" s="17"/>
    </row>
    <row r="843" spans="87:88">
      <c r="CI843" s="17"/>
      <c r="CJ843" s="17"/>
    </row>
    <row r="844" spans="87:88">
      <c r="CI844" s="17"/>
      <c r="CJ844" s="17"/>
    </row>
    <row r="845" spans="87:88">
      <c r="CI845" s="17"/>
      <c r="CJ845" s="17"/>
    </row>
    <row r="846" spans="87:88">
      <c r="CI846" s="17"/>
      <c r="CJ846" s="17"/>
    </row>
    <row r="847" spans="87:88">
      <c r="CI847" s="17"/>
      <c r="CJ847" s="17"/>
    </row>
    <row r="848" spans="87:88">
      <c r="CI848" s="17"/>
      <c r="CJ848" s="17"/>
    </row>
    <row r="849" spans="87:88">
      <c r="CI849" s="17"/>
      <c r="CJ849" s="17"/>
    </row>
    <row r="850" spans="87:88">
      <c r="CI850" s="17"/>
      <c r="CJ850" s="17"/>
    </row>
    <row r="851" spans="87:88">
      <c r="CI851" s="17"/>
      <c r="CJ851" s="17"/>
    </row>
    <row r="852" spans="87:88">
      <c r="CI852" s="17"/>
      <c r="CJ852" s="17"/>
    </row>
    <row r="853" spans="87:88">
      <c r="CI853" s="17"/>
      <c r="CJ853" s="17"/>
    </row>
    <row r="854" spans="87:88">
      <c r="CI854" s="17"/>
      <c r="CJ854" s="17"/>
    </row>
    <row r="855" spans="87:88">
      <c r="CI855" s="17"/>
      <c r="CJ855" s="17"/>
    </row>
    <row r="856" spans="87:88">
      <c r="CI856" s="17"/>
      <c r="CJ856" s="17"/>
    </row>
    <row r="857" spans="87:88">
      <c r="CI857" s="17"/>
      <c r="CJ857" s="17"/>
    </row>
    <row r="858" spans="87:88">
      <c r="CI858" s="17"/>
      <c r="CJ858" s="17"/>
    </row>
    <row r="859" spans="87:88">
      <c r="CI859" s="17"/>
      <c r="CJ859" s="17"/>
    </row>
    <row r="860" spans="87:88">
      <c r="CI860" s="17"/>
      <c r="CJ860" s="17"/>
    </row>
    <row r="861" spans="87:88">
      <c r="CI861" s="17"/>
      <c r="CJ861" s="17"/>
    </row>
    <row r="862" spans="87:88">
      <c r="CI862" s="17"/>
      <c r="CJ862" s="17"/>
    </row>
    <row r="863" spans="87:88">
      <c r="CI863" s="17"/>
      <c r="CJ863" s="17"/>
    </row>
    <row r="864" spans="87:88">
      <c r="CI864" s="17"/>
      <c r="CJ864" s="17"/>
    </row>
    <row r="865" spans="87:88">
      <c r="CI865" s="17"/>
      <c r="CJ865" s="17"/>
    </row>
    <row r="866" spans="87:88">
      <c r="CI866" s="17"/>
      <c r="CJ866" s="17"/>
    </row>
    <row r="867" spans="87:88">
      <c r="CI867" s="17"/>
      <c r="CJ867" s="17"/>
    </row>
    <row r="868" spans="87:88">
      <c r="CI868" s="17"/>
      <c r="CJ868" s="17"/>
    </row>
    <row r="869" spans="87:88">
      <c r="CI869" s="17"/>
      <c r="CJ869" s="17"/>
    </row>
    <row r="870" spans="87:88">
      <c r="CI870" s="17"/>
      <c r="CJ870" s="17"/>
    </row>
    <row r="871" spans="87:88">
      <c r="CI871" s="17"/>
      <c r="CJ871" s="17"/>
    </row>
    <row r="872" spans="87:88">
      <c r="CI872" s="17"/>
      <c r="CJ872" s="17"/>
    </row>
    <row r="873" spans="87:88">
      <c r="CI873" s="17"/>
      <c r="CJ873" s="17"/>
    </row>
    <row r="874" spans="87:88">
      <c r="CI874" s="17"/>
      <c r="CJ874" s="17"/>
    </row>
    <row r="875" spans="87:88">
      <c r="CI875" s="17"/>
      <c r="CJ875" s="17"/>
    </row>
    <row r="876" spans="87:88">
      <c r="CI876" s="17"/>
      <c r="CJ876" s="17"/>
    </row>
    <row r="877" spans="87:88">
      <c r="CI877" s="17"/>
      <c r="CJ877" s="17"/>
    </row>
    <row r="878" spans="87:88">
      <c r="CI878" s="17"/>
      <c r="CJ878" s="17"/>
    </row>
    <row r="879" spans="87:88">
      <c r="CI879" s="17"/>
      <c r="CJ879" s="17"/>
    </row>
    <row r="880" spans="87:88">
      <c r="CI880" s="17"/>
      <c r="CJ880" s="17"/>
    </row>
    <row r="881" spans="87:88">
      <c r="CI881" s="17"/>
      <c r="CJ881" s="17"/>
    </row>
    <row r="882" spans="87:88">
      <c r="CI882" s="17"/>
      <c r="CJ882" s="17"/>
    </row>
    <row r="883" spans="87:88">
      <c r="CI883" s="17"/>
      <c r="CJ883" s="17"/>
    </row>
    <row r="884" spans="87:88">
      <c r="CI884" s="17"/>
      <c r="CJ884" s="17"/>
    </row>
    <row r="885" spans="87:88">
      <c r="CI885" s="17"/>
      <c r="CJ885" s="17"/>
    </row>
    <row r="886" spans="87:88">
      <c r="CI886" s="17"/>
      <c r="CJ886" s="17"/>
    </row>
    <row r="887" spans="87:88">
      <c r="CI887" s="17"/>
      <c r="CJ887" s="17"/>
    </row>
    <row r="888" spans="87:88">
      <c r="CI888" s="17"/>
      <c r="CJ888" s="17"/>
    </row>
    <row r="889" spans="87:88">
      <c r="CI889" s="17"/>
      <c r="CJ889" s="17"/>
    </row>
    <row r="890" spans="87:88">
      <c r="CI890" s="17"/>
      <c r="CJ890" s="17"/>
    </row>
    <row r="891" spans="87:88">
      <c r="CI891" s="17"/>
      <c r="CJ891" s="17"/>
    </row>
    <row r="892" spans="87:88">
      <c r="CI892" s="17"/>
      <c r="CJ892" s="17"/>
    </row>
    <row r="893" spans="87:88">
      <c r="CI893" s="17"/>
      <c r="CJ893" s="17"/>
    </row>
    <row r="894" spans="87:88">
      <c r="CI894" s="17"/>
      <c r="CJ894" s="17"/>
    </row>
    <row r="895" spans="87:88">
      <c r="CI895" s="17"/>
      <c r="CJ895" s="17"/>
    </row>
    <row r="896" spans="87:88">
      <c r="CI896" s="17"/>
      <c r="CJ896" s="17"/>
    </row>
    <row r="897" spans="87:88">
      <c r="CI897" s="17"/>
      <c r="CJ897" s="17"/>
    </row>
    <row r="898" spans="87:88">
      <c r="CI898" s="17"/>
      <c r="CJ898" s="17"/>
    </row>
    <row r="899" spans="87:88">
      <c r="CI899" s="17"/>
      <c r="CJ899" s="17"/>
    </row>
    <row r="900" spans="87:88">
      <c r="CI900" s="17"/>
      <c r="CJ900" s="17"/>
    </row>
    <row r="901" spans="87:88">
      <c r="CI901" s="17"/>
      <c r="CJ901" s="17"/>
    </row>
    <row r="902" spans="87:88">
      <c r="CI902" s="17"/>
      <c r="CJ902" s="17"/>
    </row>
    <row r="903" spans="87:88">
      <c r="CI903" s="17"/>
      <c r="CJ903" s="17"/>
    </row>
    <row r="904" spans="87:88">
      <c r="CI904" s="17"/>
      <c r="CJ904" s="17"/>
    </row>
    <row r="905" spans="87:88">
      <c r="CI905" s="17"/>
      <c r="CJ905" s="17"/>
    </row>
    <row r="906" spans="87:88">
      <c r="CI906" s="17"/>
      <c r="CJ906" s="17"/>
    </row>
    <row r="907" spans="87:88">
      <c r="CI907" s="17"/>
      <c r="CJ907" s="17"/>
    </row>
    <row r="908" spans="87:88">
      <c r="CI908" s="17"/>
      <c r="CJ908" s="17"/>
    </row>
    <row r="909" spans="87:88">
      <c r="CI909" s="17"/>
      <c r="CJ909" s="17"/>
    </row>
    <row r="910" spans="87:88">
      <c r="CI910" s="17"/>
      <c r="CJ910" s="17"/>
    </row>
    <row r="911" spans="87:88">
      <c r="CI911" s="17"/>
      <c r="CJ911" s="17"/>
    </row>
    <row r="912" spans="87:88">
      <c r="CI912" s="17"/>
      <c r="CJ912" s="17"/>
    </row>
    <row r="913" spans="87:88">
      <c r="CI913" s="17"/>
      <c r="CJ913" s="17"/>
    </row>
    <row r="914" spans="87:88">
      <c r="CI914" s="17"/>
      <c r="CJ914" s="17"/>
    </row>
    <row r="915" spans="87:88">
      <c r="CI915" s="17"/>
      <c r="CJ915" s="17"/>
    </row>
    <row r="916" spans="87:88">
      <c r="CI916" s="17"/>
      <c r="CJ916" s="17"/>
    </row>
    <row r="917" spans="87:88">
      <c r="CI917" s="17"/>
      <c r="CJ917" s="17"/>
    </row>
    <row r="918" spans="87:88">
      <c r="CI918" s="17"/>
      <c r="CJ918" s="17"/>
    </row>
    <row r="919" spans="87:88">
      <c r="CI919" s="17"/>
      <c r="CJ919" s="17"/>
    </row>
    <row r="920" spans="87:88">
      <c r="CI920" s="17"/>
      <c r="CJ920" s="17"/>
    </row>
    <row r="921" spans="87:88">
      <c r="CI921" s="17"/>
      <c r="CJ921" s="17"/>
    </row>
    <row r="922" spans="87:88">
      <c r="CI922" s="17"/>
      <c r="CJ922" s="17"/>
    </row>
    <row r="923" spans="87:88">
      <c r="CI923" s="17"/>
      <c r="CJ923" s="17"/>
    </row>
    <row r="924" spans="87:88">
      <c r="CI924" s="17"/>
      <c r="CJ924" s="17"/>
    </row>
    <row r="925" spans="87:88">
      <c r="CI925" s="17"/>
      <c r="CJ925" s="17"/>
    </row>
    <row r="926" spans="87:88">
      <c r="CI926" s="17"/>
      <c r="CJ926" s="17"/>
    </row>
    <row r="927" spans="87:88">
      <c r="CI927" s="17"/>
      <c r="CJ927" s="17"/>
    </row>
    <row r="928" spans="87:88">
      <c r="CI928" s="17"/>
      <c r="CJ928" s="17"/>
    </row>
    <row r="929" spans="87:88">
      <c r="CI929" s="17"/>
      <c r="CJ929" s="17"/>
    </row>
    <row r="930" spans="87:88">
      <c r="CI930" s="17"/>
      <c r="CJ930" s="17"/>
    </row>
    <row r="931" spans="87:88">
      <c r="CI931" s="17"/>
      <c r="CJ931" s="17"/>
    </row>
    <row r="932" spans="87:88">
      <c r="CI932" s="17"/>
      <c r="CJ932" s="17"/>
    </row>
    <row r="933" spans="87:88">
      <c r="CI933" s="17"/>
      <c r="CJ933" s="17"/>
    </row>
    <row r="934" spans="87:88">
      <c r="CI934" s="17"/>
      <c r="CJ934" s="17"/>
    </row>
    <row r="935" spans="87:88">
      <c r="CI935" s="17"/>
      <c r="CJ935" s="17"/>
    </row>
    <row r="936" spans="87:88">
      <c r="CI936" s="17"/>
      <c r="CJ936" s="17"/>
    </row>
    <row r="937" spans="87:88">
      <c r="CI937" s="17"/>
      <c r="CJ937" s="17"/>
    </row>
    <row r="938" spans="87:88">
      <c r="CI938" s="17"/>
      <c r="CJ938" s="17"/>
    </row>
    <row r="939" spans="87:88">
      <c r="CI939" s="17"/>
      <c r="CJ939" s="17"/>
    </row>
    <row r="940" spans="87:88">
      <c r="CI940" s="17"/>
      <c r="CJ940" s="17"/>
    </row>
    <row r="941" spans="87:88">
      <c r="CI941" s="17"/>
      <c r="CJ941" s="17"/>
    </row>
    <row r="942" spans="87:88">
      <c r="CI942" s="17"/>
      <c r="CJ942" s="17"/>
    </row>
    <row r="943" spans="87:88">
      <c r="CI943" s="17"/>
      <c r="CJ943" s="17"/>
    </row>
    <row r="944" spans="87:88">
      <c r="CI944" s="17"/>
      <c r="CJ944" s="17"/>
    </row>
    <row r="945" spans="87:88">
      <c r="CI945" s="17"/>
      <c r="CJ945" s="17"/>
    </row>
    <row r="946" spans="87:88">
      <c r="CI946" s="17"/>
      <c r="CJ946" s="17"/>
    </row>
    <row r="947" spans="87:88">
      <c r="CI947" s="17"/>
      <c r="CJ947" s="17"/>
    </row>
    <row r="948" spans="87:88">
      <c r="CI948" s="17"/>
      <c r="CJ948" s="17"/>
    </row>
    <row r="949" spans="87:88">
      <c r="CI949" s="17"/>
      <c r="CJ949" s="17"/>
    </row>
    <row r="950" spans="87:88">
      <c r="CI950" s="17"/>
      <c r="CJ950" s="17"/>
    </row>
    <row r="951" spans="87:88">
      <c r="CI951" s="17"/>
      <c r="CJ951" s="17"/>
    </row>
    <row r="952" spans="87:88">
      <c r="CI952" s="17"/>
      <c r="CJ952" s="17"/>
    </row>
    <row r="953" spans="87:88">
      <c r="CI953" s="17"/>
      <c r="CJ953" s="17"/>
    </row>
    <row r="954" spans="87:88">
      <c r="CI954" s="17"/>
      <c r="CJ954" s="17"/>
    </row>
    <row r="955" spans="87:88">
      <c r="CI955" s="17"/>
      <c r="CJ955" s="17"/>
    </row>
    <row r="956" spans="87:88">
      <c r="CI956" s="17"/>
      <c r="CJ956" s="17"/>
    </row>
    <row r="957" spans="87:88">
      <c r="CI957" s="17"/>
      <c r="CJ957" s="17"/>
    </row>
    <row r="958" spans="87:88">
      <c r="CI958" s="17"/>
      <c r="CJ958" s="17"/>
    </row>
    <row r="959" spans="87:88">
      <c r="CI959" s="17"/>
      <c r="CJ959" s="17"/>
    </row>
    <row r="960" spans="87:88">
      <c r="CI960" s="17"/>
      <c r="CJ960" s="17"/>
    </row>
    <row r="961" spans="87:88">
      <c r="CI961" s="17"/>
      <c r="CJ961" s="17"/>
    </row>
    <row r="962" spans="87:88">
      <c r="CI962" s="17"/>
      <c r="CJ962" s="17"/>
    </row>
    <row r="963" spans="87:88">
      <c r="CI963" s="17"/>
      <c r="CJ963" s="17"/>
    </row>
    <row r="964" spans="87:88">
      <c r="CI964" s="17"/>
      <c r="CJ964" s="17"/>
    </row>
    <row r="965" spans="87:88">
      <c r="CI965" s="17"/>
      <c r="CJ965" s="17"/>
    </row>
    <row r="966" spans="87:88">
      <c r="CI966" s="17"/>
      <c r="CJ966" s="17"/>
    </row>
    <row r="967" spans="87:88">
      <c r="CI967" s="17"/>
      <c r="CJ967" s="17"/>
    </row>
    <row r="968" spans="87:88">
      <c r="CI968" s="17"/>
      <c r="CJ968" s="17"/>
    </row>
    <row r="969" spans="87:88">
      <c r="CI969" s="17"/>
      <c r="CJ969" s="17"/>
    </row>
    <row r="970" spans="87:88">
      <c r="CI970" s="17"/>
      <c r="CJ970" s="17"/>
    </row>
    <row r="971" spans="87:88">
      <c r="CI971" s="17"/>
      <c r="CJ971" s="17"/>
    </row>
    <row r="972" spans="87:88">
      <c r="CI972" s="17"/>
      <c r="CJ972" s="17"/>
    </row>
    <row r="973" spans="87:88">
      <c r="CI973" s="17"/>
      <c r="CJ973" s="17"/>
    </row>
    <row r="974" spans="87:88">
      <c r="CI974" s="17"/>
      <c r="CJ974" s="17"/>
    </row>
    <row r="975" spans="87:88">
      <c r="CI975" s="17"/>
      <c r="CJ975" s="17"/>
    </row>
    <row r="976" spans="87:88">
      <c r="CI976" s="17"/>
      <c r="CJ976" s="17"/>
    </row>
    <row r="977" spans="87:88">
      <c r="CI977" s="17"/>
      <c r="CJ977" s="17"/>
    </row>
    <row r="978" spans="87:88">
      <c r="CI978" s="17"/>
      <c r="CJ978" s="17"/>
    </row>
    <row r="979" spans="87:88">
      <c r="CI979" s="17"/>
      <c r="CJ979" s="17"/>
    </row>
    <row r="980" spans="87:88">
      <c r="CI980" s="17"/>
      <c r="CJ980" s="17"/>
    </row>
    <row r="981" spans="87:88">
      <c r="CI981" s="17"/>
      <c r="CJ981" s="17"/>
    </row>
    <row r="982" spans="87:88">
      <c r="CI982" s="17"/>
      <c r="CJ982" s="17"/>
    </row>
    <row r="983" spans="87:88">
      <c r="CI983" s="17"/>
      <c r="CJ983" s="17"/>
    </row>
    <row r="984" spans="87:88">
      <c r="CI984" s="17"/>
      <c r="CJ984" s="17"/>
    </row>
    <row r="985" spans="87:88">
      <c r="CI985" s="17"/>
      <c r="CJ985" s="17"/>
    </row>
    <row r="986" spans="87:88">
      <c r="CI986" s="17"/>
      <c r="CJ986" s="17"/>
    </row>
    <row r="987" spans="87:88">
      <c r="CI987" s="17"/>
      <c r="CJ987" s="17"/>
    </row>
    <row r="988" spans="87:88">
      <c r="CI988" s="17"/>
      <c r="CJ988" s="17"/>
    </row>
    <row r="989" spans="87:88">
      <c r="CI989" s="17"/>
      <c r="CJ989" s="17"/>
    </row>
    <row r="990" spans="87:88">
      <c r="CI990" s="17"/>
      <c r="CJ990" s="17"/>
    </row>
    <row r="991" spans="87:88">
      <c r="CI991" s="17"/>
      <c r="CJ991" s="17"/>
    </row>
    <row r="992" spans="87:88">
      <c r="CI992" s="17"/>
      <c r="CJ992" s="17"/>
    </row>
    <row r="993" spans="87:88">
      <c r="CI993" s="17"/>
      <c r="CJ993" s="17"/>
    </row>
    <row r="994" spans="87:88">
      <c r="CI994" s="17"/>
      <c r="CJ994" s="17"/>
    </row>
    <row r="995" spans="87:88">
      <c r="CI995" s="17"/>
      <c r="CJ995" s="17"/>
    </row>
    <row r="996" spans="87:88">
      <c r="CI996" s="17"/>
      <c r="CJ996" s="17"/>
    </row>
    <row r="997" spans="87:88">
      <c r="CI997" s="17"/>
      <c r="CJ997" s="17"/>
    </row>
    <row r="998" spans="87:88">
      <c r="CI998" s="17"/>
      <c r="CJ998" s="17"/>
    </row>
    <row r="999" spans="87:88">
      <c r="CI999" s="17"/>
      <c r="CJ999" s="17"/>
    </row>
    <row r="1000" spans="87:88">
      <c r="CI1000" s="17"/>
      <c r="CJ1000" s="17"/>
    </row>
    <row r="1001" spans="87:88">
      <c r="CI1001" s="17"/>
      <c r="CJ1001" s="17"/>
    </row>
    <row r="1002" spans="87:88">
      <c r="CI1002" s="17"/>
      <c r="CJ1002" s="17"/>
    </row>
    <row r="1003" spans="87:88">
      <c r="CI1003" s="17"/>
      <c r="CJ1003" s="17"/>
    </row>
    <row r="1004" spans="87:88">
      <c r="CI1004" s="17"/>
      <c r="CJ1004" s="17"/>
    </row>
    <row r="1005" spans="87:88">
      <c r="CI1005" s="17"/>
      <c r="CJ1005" s="17"/>
    </row>
    <row r="1006" spans="87:88">
      <c r="CI1006" s="17"/>
      <c r="CJ1006" s="17"/>
    </row>
    <row r="1007" spans="87:88">
      <c r="CI1007" s="17"/>
      <c r="CJ1007" s="17"/>
    </row>
    <row r="1008" spans="87:88">
      <c r="CI1008" s="17"/>
      <c r="CJ1008" s="17"/>
    </row>
    <row r="1009" spans="87:88">
      <c r="CI1009" s="17"/>
      <c r="CJ1009" s="17"/>
    </row>
    <row r="1010" spans="87:88">
      <c r="CI1010" s="17"/>
      <c r="CJ1010" s="17"/>
    </row>
    <row r="1011" spans="87:88">
      <c r="CI1011" s="17"/>
      <c r="CJ1011" s="17"/>
    </row>
    <row r="1012" spans="87:88">
      <c r="CI1012" s="17"/>
      <c r="CJ1012" s="17"/>
    </row>
    <row r="1013" spans="87:88">
      <c r="CI1013" s="17"/>
      <c r="CJ1013" s="17"/>
    </row>
    <row r="1014" spans="87:88">
      <c r="CI1014" s="17"/>
      <c r="CJ1014" s="17"/>
    </row>
    <row r="1015" spans="87:88">
      <c r="CI1015" s="17"/>
      <c r="CJ1015" s="17"/>
    </row>
    <row r="1016" spans="87:88">
      <c r="CI1016" s="17"/>
      <c r="CJ1016" s="17"/>
    </row>
    <row r="1017" spans="87:88">
      <c r="CI1017" s="17"/>
      <c r="CJ1017" s="17"/>
    </row>
    <row r="1018" spans="87:88">
      <c r="CI1018" s="17"/>
      <c r="CJ1018" s="17"/>
    </row>
    <row r="1019" spans="87:88">
      <c r="CI1019" s="17"/>
      <c r="CJ1019" s="17"/>
    </row>
    <row r="1020" spans="87:88">
      <c r="CI1020" s="17"/>
      <c r="CJ1020" s="17"/>
    </row>
    <row r="1021" spans="87:88">
      <c r="CI1021" s="17"/>
      <c r="CJ1021" s="17"/>
    </row>
    <row r="1022" spans="87:88">
      <c r="CI1022" s="17"/>
      <c r="CJ1022" s="17"/>
    </row>
    <row r="1023" spans="87:88">
      <c r="CI1023" s="17"/>
      <c r="CJ1023" s="17"/>
    </row>
    <row r="1024" spans="87:88">
      <c r="CI1024" s="17"/>
      <c r="CJ1024" s="17"/>
    </row>
    <row r="1025" spans="87:88">
      <c r="CI1025" s="17"/>
      <c r="CJ1025" s="17"/>
    </row>
    <row r="1026" spans="87:88">
      <c r="CI1026" s="17"/>
      <c r="CJ1026" s="17"/>
    </row>
    <row r="1027" spans="87:88">
      <c r="CI1027" s="17"/>
      <c r="CJ1027" s="17"/>
    </row>
    <row r="1028" spans="87:88">
      <c r="CI1028" s="17"/>
      <c r="CJ1028" s="17"/>
    </row>
    <row r="1029" spans="87:88">
      <c r="CI1029" s="17"/>
      <c r="CJ1029" s="17"/>
    </row>
    <row r="1030" spans="87:88">
      <c r="CI1030" s="17"/>
      <c r="CJ1030" s="17"/>
    </row>
    <row r="1031" spans="87:88">
      <c r="CI1031" s="17"/>
      <c r="CJ1031" s="17"/>
    </row>
    <row r="1032" spans="87:88">
      <c r="CI1032" s="17"/>
      <c r="CJ1032" s="17"/>
    </row>
    <row r="1033" spans="87:88">
      <c r="CI1033" s="17"/>
      <c r="CJ1033" s="17"/>
    </row>
    <row r="1034" spans="87:88">
      <c r="CI1034" s="17"/>
      <c r="CJ1034" s="17"/>
    </row>
    <row r="1035" spans="87:88">
      <c r="CI1035" s="17"/>
      <c r="CJ1035" s="17"/>
    </row>
    <row r="1036" spans="87:88">
      <c r="CI1036" s="17"/>
      <c r="CJ1036" s="17"/>
    </row>
    <row r="1037" spans="87:88">
      <c r="CI1037" s="17"/>
      <c r="CJ1037" s="17"/>
    </row>
    <row r="1038" spans="87:88">
      <c r="CI1038" s="17"/>
      <c r="CJ1038" s="17"/>
    </row>
    <row r="1039" spans="87:88">
      <c r="CI1039" s="17"/>
      <c r="CJ1039" s="17"/>
    </row>
    <row r="1040" spans="87:88">
      <c r="CI1040" s="17"/>
      <c r="CJ1040" s="17"/>
    </row>
    <row r="1041" spans="87:88">
      <c r="CI1041" s="17"/>
      <c r="CJ1041" s="17"/>
    </row>
    <row r="1042" spans="87:88">
      <c r="CI1042" s="17"/>
      <c r="CJ1042" s="17"/>
    </row>
    <row r="1043" spans="87:88">
      <c r="CI1043" s="17"/>
      <c r="CJ1043" s="17"/>
    </row>
    <row r="1044" spans="87:88">
      <c r="CI1044" s="17"/>
      <c r="CJ1044" s="17"/>
    </row>
    <row r="1045" spans="87:88">
      <c r="CI1045" s="17"/>
      <c r="CJ1045" s="17"/>
    </row>
    <row r="1046" spans="87:88">
      <c r="CI1046" s="17"/>
      <c r="CJ1046" s="17"/>
    </row>
    <row r="1047" spans="87:88">
      <c r="CI1047" s="17"/>
      <c r="CJ1047" s="17"/>
    </row>
    <row r="1048" spans="87:88">
      <c r="CI1048" s="17"/>
      <c r="CJ1048" s="17"/>
    </row>
    <row r="1049" spans="87:88">
      <c r="CI1049" s="17"/>
      <c r="CJ1049" s="17"/>
    </row>
    <row r="1050" spans="87:88">
      <c r="CI1050" s="17"/>
      <c r="CJ1050" s="17"/>
    </row>
    <row r="1051" spans="87:88">
      <c r="CI1051" s="17"/>
      <c r="CJ1051" s="17"/>
    </row>
    <row r="1052" spans="87:88">
      <c r="CI1052" s="17"/>
      <c r="CJ1052" s="17"/>
    </row>
    <row r="1053" spans="87:88">
      <c r="CI1053" s="17"/>
      <c r="CJ1053" s="17"/>
    </row>
    <row r="1054" spans="87:88">
      <c r="CI1054" s="17"/>
      <c r="CJ1054" s="17"/>
    </row>
    <row r="1055" spans="87:88">
      <c r="CI1055" s="17"/>
      <c r="CJ1055" s="17"/>
    </row>
    <row r="1056" spans="87:88">
      <c r="CI1056" s="17"/>
      <c r="CJ1056" s="17"/>
    </row>
    <row r="1057" spans="87:88">
      <c r="CI1057" s="17"/>
      <c r="CJ1057" s="17"/>
    </row>
    <row r="1058" spans="87:88">
      <c r="CI1058" s="17"/>
      <c r="CJ1058" s="17"/>
    </row>
    <row r="1059" spans="87:88">
      <c r="CI1059" s="17"/>
      <c r="CJ1059" s="17"/>
    </row>
    <row r="1060" spans="87:88">
      <c r="CI1060" s="17"/>
      <c r="CJ1060" s="17"/>
    </row>
    <row r="1061" spans="87:88">
      <c r="CI1061" s="17"/>
      <c r="CJ1061" s="17"/>
    </row>
    <row r="1062" spans="87:88">
      <c r="CI1062" s="17"/>
      <c r="CJ1062" s="17"/>
    </row>
    <row r="1063" spans="87:88">
      <c r="CI1063" s="17"/>
      <c r="CJ1063" s="17"/>
    </row>
    <row r="1064" spans="87:88">
      <c r="CI1064" s="17"/>
      <c r="CJ1064" s="17"/>
    </row>
    <row r="1065" spans="87:88">
      <c r="CI1065" s="17"/>
      <c r="CJ1065" s="17"/>
    </row>
    <row r="1066" spans="87:88">
      <c r="CI1066" s="17"/>
      <c r="CJ1066" s="17"/>
    </row>
    <row r="1067" spans="87:88">
      <c r="CI1067" s="17"/>
      <c r="CJ1067" s="17"/>
    </row>
    <row r="1068" spans="87:88">
      <c r="CI1068" s="17"/>
      <c r="CJ1068" s="17"/>
    </row>
    <row r="1069" spans="87:88">
      <c r="CI1069" s="17"/>
      <c r="CJ1069" s="17"/>
    </row>
    <row r="1070" spans="87:88">
      <c r="CI1070" s="17"/>
      <c r="CJ1070" s="17"/>
    </row>
    <row r="1071" spans="87:88">
      <c r="CI1071" s="17"/>
      <c r="CJ1071" s="17"/>
    </row>
    <row r="1072" spans="87:88">
      <c r="CI1072" s="17"/>
      <c r="CJ1072" s="17"/>
    </row>
    <row r="1073" spans="87:88">
      <c r="CI1073" s="17"/>
      <c r="CJ1073" s="17"/>
    </row>
    <row r="1074" spans="87:88">
      <c r="CI1074" s="17"/>
      <c r="CJ1074" s="17"/>
    </row>
    <row r="1075" spans="87:88">
      <c r="CI1075" s="17"/>
      <c r="CJ1075" s="17"/>
    </row>
    <row r="1076" spans="87:88">
      <c r="CI1076" s="17"/>
      <c r="CJ1076" s="17"/>
    </row>
    <row r="1077" spans="87:88">
      <c r="CI1077" s="17"/>
      <c r="CJ1077" s="17"/>
    </row>
    <row r="1078" spans="87:88">
      <c r="CI1078" s="17"/>
      <c r="CJ1078" s="17"/>
    </row>
    <row r="1079" spans="87:88">
      <c r="CI1079" s="17"/>
      <c r="CJ1079" s="17"/>
    </row>
    <row r="1080" spans="87:88">
      <c r="CI1080" s="17"/>
      <c r="CJ1080" s="17"/>
    </row>
    <row r="1081" spans="87:88">
      <c r="CI1081" s="17"/>
      <c r="CJ1081" s="17"/>
    </row>
    <row r="1082" spans="87:88">
      <c r="CI1082" s="17"/>
      <c r="CJ1082" s="17"/>
    </row>
    <row r="1083" spans="87:88">
      <c r="CI1083" s="17"/>
      <c r="CJ1083" s="17"/>
    </row>
  </sheetData>
  <mergeCells count="38">
    <mergeCell ref="A33:A34"/>
    <mergeCell ref="B33:F33"/>
    <mergeCell ref="G33:K33"/>
    <mergeCell ref="L33:P33"/>
    <mergeCell ref="A11:A12"/>
    <mergeCell ref="B11:F11"/>
    <mergeCell ref="G11:K11"/>
    <mergeCell ref="L11:P11"/>
    <mergeCell ref="Q33:U33"/>
    <mergeCell ref="V33:Z33"/>
    <mergeCell ref="AA33:AE33"/>
    <mergeCell ref="AF33:AJ33"/>
    <mergeCell ref="AA11:AE11"/>
    <mergeCell ref="AF11:AJ11"/>
    <mergeCell ref="Q11:U11"/>
    <mergeCell ref="V11:Z11"/>
    <mergeCell ref="AK11:AO11"/>
    <mergeCell ref="AK33:AO33"/>
    <mergeCell ref="BO11:BS11"/>
    <mergeCell ref="BO33:BS33"/>
    <mergeCell ref="BT11:BX11"/>
    <mergeCell ref="BT33:BX33"/>
    <mergeCell ref="BE11:BI11"/>
    <mergeCell ref="BE33:BI33"/>
    <mergeCell ref="AZ11:BD11"/>
    <mergeCell ref="AZ33:BD33"/>
    <mergeCell ref="AP11:AT11"/>
    <mergeCell ref="AP33:AT33"/>
    <mergeCell ref="AU33:AY33"/>
    <mergeCell ref="AU11:AY11"/>
    <mergeCell ref="BJ11:BN11"/>
    <mergeCell ref="BJ33:BN33"/>
    <mergeCell ref="CI11:CK11"/>
    <mergeCell ref="CI33:CK33"/>
    <mergeCell ref="CD11:CH11"/>
    <mergeCell ref="CD33:CH33"/>
    <mergeCell ref="BY33:CC33"/>
    <mergeCell ref="BY11:CC11"/>
  </mergeCells>
  <phoneticPr fontId="0" type="noConversion"/>
  <printOptions horizontalCentered="1"/>
  <pageMargins left="0.25" right="0.25" top="0.5" bottom="0.5" header="0.5" footer="0.5"/>
  <pageSetup paperSize="5" scale="54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7" manualBreakCount="7">
    <brk id="11" max="1048575" man="1"/>
    <brk id="21" max="1048575" man="1"/>
    <brk id="31" max="1048575" man="1"/>
    <brk id="41" max="1048575" man="1"/>
    <brk id="51" max="1048575" man="1"/>
    <brk id="61" max="1048575" man="1"/>
    <brk id="71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Total US by Qtr &amp; Year</vt:lpstr>
      <vt:lpstr>by Stage of Dev</vt:lpstr>
      <vt:lpstr>by Industry</vt:lpstr>
      <vt:lpstr>Internet-Specific</vt:lpstr>
      <vt:lpstr>Cleantech</vt:lpstr>
      <vt:lpstr>First Sequence by Stage of Dev</vt:lpstr>
      <vt:lpstr>First Sequence by Industry</vt:lpstr>
      <vt:lpstr>'by Industry'!Print_Area</vt:lpstr>
      <vt:lpstr>'by Stage of Dev'!Print_Area</vt:lpstr>
      <vt:lpstr>Cleantech!Print_Area</vt:lpstr>
      <vt:lpstr>'First Sequence by Industry'!Print_Area</vt:lpstr>
      <vt:lpstr>'First Sequence by Stage of Dev'!Print_Area</vt:lpstr>
      <vt:lpstr>'Internet-Specific'!Print_Area</vt:lpstr>
      <vt:lpstr>'Total US by Qtr &amp; Year'!Print_Area</vt:lpstr>
      <vt:lpstr>'by Industry'!Print_Titles</vt:lpstr>
      <vt:lpstr>'by Stage of Dev'!Print_Titles</vt:lpstr>
      <vt:lpstr>Cleantech!Print_Titles</vt:lpstr>
      <vt:lpstr>'First Sequence by Industry'!Print_Titles</vt:lpstr>
      <vt:lpstr>'First Sequence by Stage of Dev'!Print_Titles</vt:lpstr>
      <vt:lpstr>'Internet-Specific'!Print_Titles</vt:lpstr>
      <vt:lpstr>'Total US by Qtr &amp; Year'!Print_Titles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Windows User</cp:lastModifiedBy>
  <cp:lastPrinted>2012-07-17T16:29:12Z</cp:lastPrinted>
  <dcterms:created xsi:type="dcterms:W3CDTF">2002-01-31T00:36:34Z</dcterms:created>
  <dcterms:modified xsi:type="dcterms:W3CDTF">2012-07-17T23:11:20Z</dcterms:modified>
</cp:coreProperties>
</file>