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580" yWindow="0" windowWidth="20280" windowHeight="15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1" l="1"/>
  <c r="D8" i="1"/>
  <c r="C8" i="1"/>
  <c r="C9" i="1"/>
  <c r="D9" i="1"/>
  <c r="C10" i="1"/>
  <c r="D10" i="1"/>
  <c r="C11" i="1"/>
  <c r="D11" i="1"/>
</calcChain>
</file>

<file path=xl/sharedStrings.xml><?xml version="1.0" encoding="utf-8"?>
<sst xmlns="http://schemas.openxmlformats.org/spreadsheetml/2006/main" count="15" uniqueCount="15">
  <si>
    <t>Gross Margin</t>
  </si>
  <si>
    <t>Retail Markup</t>
  </si>
  <si>
    <t>Retail Price</t>
  </si>
  <si>
    <t>Price to broker</t>
  </si>
  <si>
    <t>Price to distributor</t>
  </si>
  <si>
    <t>Distributor Markup</t>
  </si>
  <si>
    <t>Broker Markup</t>
  </si>
  <si>
    <t>COGS</t>
  </si>
  <si>
    <t>% amt</t>
  </si>
  <si>
    <t>$ amt</t>
  </si>
  <si>
    <t>Wholesale price (to retailer)</t>
  </si>
  <si>
    <t>Tiered Price Analysis Worksheet</t>
  </si>
  <si>
    <t>Cost of Ingredients</t>
  </si>
  <si>
    <t>Cost of Packaging</t>
  </si>
  <si>
    <t>Cost of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</si>
</sst>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right"/>
    </xf>
    <xf numFmtId="44" fontId="0" fillId="0" borderId="0" xfId="0" applyNumberFormat="1" applyAlignment="1">
      <alignment horizontal="right"/>
    </xf>
    <xf numFmtId="0" fontId="1" fillId="0" borderId="0" xfId="0" applyFont="1"/>
    <xf numFmtId="164" fontId="0" fillId="0" borderId="0" xfId="0" applyNumberForma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showRuler="0" workbookViewId="0"/>
  </sheetViews>
  <sheetFormatPr baseColWidth="10" defaultRowHeight="15" x14ac:dyDescent="0"/>
  <cols>
    <col min="1" max="1" width="16.83203125" customWidth="1"/>
    <col min="2" max="2" width="10.83203125" style="2"/>
    <col min="3" max="3" width="10.83203125" style="1"/>
    <col min="4" max="4" width="12.5" bestFit="1" customWidth="1"/>
    <col min="5" max="5" width="11.5" customWidth="1"/>
    <col min="6" max="6" width="12.33203125" customWidth="1"/>
    <col min="7" max="7" width="11.5" bestFit="1" customWidth="1"/>
  </cols>
  <sheetData>
    <row r="1" spans="1:5">
      <c r="A1" s="5" t="s">
        <v>11</v>
      </c>
    </row>
    <row r="2" spans="1:5">
      <c r="A2" s="5"/>
    </row>
    <row r="3" spans="1:5">
      <c r="A3" s="5" t="s">
        <v>12</v>
      </c>
      <c r="D3" s="6">
        <v>1.68</v>
      </c>
    </row>
    <row r="4" spans="1:5">
      <c r="A4" s="5" t="s">
        <v>13</v>
      </c>
      <c r="D4" s="6">
        <v>0.12</v>
      </c>
    </row>
    <row r="5" spans="1:5">
      <c r="A5" s="5" t="s">
        <v>14</v>
      </c>
      <c r="D5" s="6">
        <v>0</v>
      </c>
    </row>
    <row r="6" spans="1:5">
      <c r="A6" s="5"/>
      <c r="D6" s="6"/>
    </row>
    <row r="7" spans="1:5">
      <c r="B7" s="3" t="s">
        <v>8</v>
      </c>
      <c r="C7" s="4" t="s">
        <v>9</v>
      </c>
      <c r="D7" s="6">
        <f>SUM(D3:D5)</f>
        <v>1.7999999999999998</v>
      </c>
      <c r="E7" t="s">
        <v>7</v>
      </c>
    </row>
    <row r="8" spans="1:5">
      <c r="A8" t="s">
        <v>0</v>
      </c>
      <c r="B8" s="2">
        <v>0.3</v>
      </c>
      <c r="C8" s="1">
        <f>D8-D7</f>
        <v>0.77142857142857135</v>
      </c>
      <c r="D8" s="6">
        <f>D7/(1-B8)</f>
        <v>2.5714285714285712</v>
      </c>
      <c r="E8" t="s">
        <v>3</v>
      </c>
    </row>
    <row r="9" spans="1:5">
      <c r="A9" t="s">
        <v>6</v>
      </c>
      <c r="B9" s="2">
        <v>0.1</v>
      </c>
      <c r="C9" s="1">
        <f>D8*B9</f>
        <v>0.25714285714285712</v>
      </c>
      <c r="D9" s="6">
        <f>D8+C9</f>
        <v>2.8285714285714283</v>
      </c>
      <c r="E9" t="s">
        <v>4</v>
      </c>
    </row>
    <row r="10" spans="1:5">
      <c r="A10" t="s">
        <v>5</v>
      </c>
      <c r="B10" s="2">
        <v>0.2</v>
      </c>
      <c r="C10" s="1">
        <f>(D8+C9)*B10</f>
        <v>0.56571428571428573</v>
      </c>
      <c r="D10" s="6">
        <f>D9+C10</f>
        <v>3.3942857142857141</v>
      </c>
      <c r="E10" t="s">
        <v>10</v>
      </c>
    </row>
    <row r="11" spans="1:5">
      <c r="A11" t="s">
        <v>1</v>
      </c>
      <c r="B11" s="2">
        <v>1</v>
      </c>
      <c r="C11" s="1">
        <f>D10*B11</f>
        <v>3.3942857142857141</v>
      </c>
      <c r="D11" s="6">
        <f>C11+D10</f>
        <v>6.7885714285714283</v>
      </c>
      <c r="E11" t="s">
        <v>2</v>
      </c>
    </row>
  </sheetData>
  <pageMargins left="0.75" right="0.75" top="1" bottom="1" header="0.5" footer="0.5"/>
  <pageSetup orientation="portrait" horizontalDpi="4294967292" verticalDpi="4294967292"/>
  <ignoredErrors>
    <ignoredError sqref="C10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pureorigin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 Gordon</dc:creator>
  <cp:lastModifiedBy>Clay Gordon</cp:lastModifiedBy>
  <dcterms:created xsi:type="dcterms:W3CDTF">2012-03-29T01:19:43Z</dcterms:created>
  <dcterms:modified xsi:type="dcterms:W3CDTF">2012-03-31T16:40:08Z</dcterms:modified>
</cp:coreProperties>
</file>