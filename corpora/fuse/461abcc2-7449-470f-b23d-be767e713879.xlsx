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05" windowWidth="20115" windowHeight="8505" firstSheet="1" activeTab="1"/>
  </bookViews>
  <sheets>
    <sheet name="Bill" sheetId="2" state="hidden" r:id="rId1"/>
    <sheet name="VIM Bill" sheetId="5" r:id="rId2"/>
    <sheet name="Tables" sheetId="6" r:id="rId3"/>
    <sheet name="Totals" sheetId="8" r:id="rId4"/>
    <sheet name="Additional Printers" sheetId="7" r:id="rId5"/>
  </sheets>
  <definedNames>
    <definedName name="_xlnm._FilterDatabase" localSheetId="1" hidden="1">'VIM Bill'!$A$1:$AB$383</definedName>
    <definedName name="_xlnm.Print_Area" localSheetId="0">Bill!$A$1:$AB$226</definedName>
    <definedName name="_xlnm.Print_Area" localSheetId="1">'VIM Bill'!$A$1:$U$298</definedName>
    <definedName name="_xlnm.Print_Titles" localSheetId="0">Bill!$1:$1</definedName>
    <definedName name="_xlnm.Print_Titles" localSheetId="1">'VIM Bill'!$1:$1</definedName>
  </definedNames>
  <calcPr calcId="145621"/>
</workbook>
</file>

<file path=xl/calcChain.xml><?xml version="1.0" encoding="utf-8"?>
<calcChain xmlns="http://schemas.openxmlformats.org/spreadsheetml/2006/main">
  <c r="M461" i="5" l="1"/>
  <c r="C5" i="8"/>
  <c r="C4" i="8"/>
  <c r="C2" i="8"/>
  <c r="C1" i="8"/>
  <c r="I10" i="5" l="1"/>
  <c r="J10" i="5"/>
  <c r="I8" i="5"/>
  <c r="J8" i="5"/>
  <c r="I5" i="5"/>
  <c r="J5" i="5"/>
  <c r="I11" i="5"/>
  <c r="J11" i="5"/>
  <c r="I6" i="5"/>
  <c r="J6" i="5"/>
  <c r="I7" i="5"/>
  <c r="J7" i="5"/>
  <c r="I9" i="5"/>
  <c r="J9" i="5"/>
  <c r="I13" i="5"/>
  <c r="J13" i="5"/>
  <c r="I18" i="5"/>
  <c r="J18" i="5"/>
  <c r="I17" i="5"/>
  <c r="J17" i="5"/>
  <c r="I290" i="5"/>
  <c r="J290" i="5"/>
  <c r="I31" i="5"/>
  <c r="J31" i="5"/>
  <c r="I30" i="5"/>
  <c r="J30" i="5"/>
  <c r="I28" i="5"/>
  <c r="J28" i="5"/>
  <c r="I32" i="5"/>
  <c r="J32" i="5"/>
  <c r="I26" i="5"/>
  <c r="J26" i="5"/>
  <c r="I20" i="5"/>
  <c r="J20" i="5"/>
  <c r="I21" i="5"/>
  <c r="J21" i="5"/>
  <c r="I24" i="5"/>
  <c r="J24" i="5"/>
  <c r="I23" i="5"/>
  <c r="J23" i="5"/>
  <c r="I29" i="5"/>
  <c r="J29" i="5"/>
  <c r="I27" i="5"/>
  <c r="J27" i="5"/>
  <c r="I25" i="5"/>
  <c r="J25" i="5"/>
  <c r="I22" i="5"/>
  <c r="J22" i="5"/>
  <c r="I37" i="5"/>
  <c r="J37" i="5"/>
  <c r="I36" i="5"/>
  <c r="J36" i="5"/>
  <c r="I38" i="5"/>
  <c r="J38" i="5"/>
  <c r="I41" i="5"/>
  <c r="J41" i="5"/>
  <c r="I40" i="5"/>
  <c r="J40" i="5"/>
  <c r="I39" i="5"/>
  <c r="J39" i="5"/>
  <c r="I42" i="5"/>
  <c r="J42" i="5"/>
  <c r="I44" i="5"/>
  <c r="J44" i="5"/>
  <c r="I46" i="5"/>
  <c r="J46" i="5"/>
  <c r="I48" i="5"/>
  <c r="J48" i="5"/>
  <c r="I50" i="5"/>
  <c r="J50" i="5"/>
  <c r="I52" i="5"/>
  <c r="J52" i="5"/>
  <c r="I53" i="5"/>
  <c r="J53" i="5"/>
  <c r="I56" i="5"/>
  <c r="J56" i="5"/>
  <c r="I59" i="5"/>
  <c r="J59" i="5"/>
  <c r="I54" i="5"/>
  <c r="J54" i="5"/>
  <c r="I58" i="5"/>
  <c r="J58" i="5"/>
  <c r="I60" i="5"/>
  <c r="J60" i="5"/>
  <c r="I57" i="5"/>
  <c r="J57" i="5"/>
  <c r="I62" i="5"/>
  <c r="J62" i="5"/>
  <c r="I63" i="5"/>
  <c r="J63" i="5"/>
  <c r="I65" i="5"/>
  <c r="J65" i="5"/>
  <c r="I177" i="5"/>
  <c r="J177" i="5"/>
  <c r="I67" i="5"/>
  <c r="J67" i="5"/>
  <c r="I66" i="5"/>
  <c r="J66" i="5"/>
  <c r="I69" i="5"/>
  <c r="J69" i="5"/>
  <c r="I70" i="5"/>
  <c r="J70" i="5"/>
  <c r="I71" i="5"/>
  <c r="J71" i="5"/>
  <c r="I73" i="5"/>
  <c r="J73" i="5"/>
  <c r="I76" i="5"/>
  <c r="J76" i="5"/>
  <c r="I75" i="5"/>
  <c r="J75" i="5"/>
  <c r="I77" i="5"/>
  <c r="J77" i="5"/>
  <c r="I80" i="5"/>
  <c r="J80" i="5"/>
  <c r="I82" i="5"/>
  <c r="J82" i="5"/>
  <c r="I79" i="5"/>
  <c r="J79" i="5"/>
  <c r="I84" i="5"/>
  <c r="J84" i="5"/>
  <c r="I81" i="5"/>
  <c r="J81" i="5"/>
  <c r="I88" i="5"/>
  <c r="J88" i="5"/>
  <c r="I87" i="5"/>
  <c r="J87" i="5"/>
  <c r="I86" i="5"/>
  <c r="J86" i="5"/>
  <c r="I228" i="5"/>
  <c r="J228" i="5"/>
  <c r="I90" i="5"/>
  <c r="J90" i="5"/>
  <c r="I92" i="5"/>
  <c r="J92" i="5"/>
  <c r="I93" i="5"/>
  <c r="J93" i="5"/>
  <c r="I97" i="5"/>
  <c r="J97" i="5"/>
  <c r="I96" i="5"/>
  <c r="J96" i="5"/>
  <c r="I95" i="5"/>
  <c r="J95" i="5"/>
  <c r="I98" i="5"/>
  <c r="J98" i="5"/>
  <c r="I102" i="5"/>
  <c r="J102" i="5"/>
  <c r="I130" i="5"/>
  <c r="J130" i="5"/>
  <c r="I101" i="5"/>
  <c r="J101" i="5"/>
  <c r="I106" i="5"/>
  <c r="J106" i="5"/>
  <c r="I105" i="5"/>
  <c r="J105" i="5"/>
  <c r="I107" i="5"/>
  <c r="J107" i="5"/>
  <c r="I109" i="5"/>
  <c r="J109" i="5"/>
  <c r="I108" i="5"/>
  <c r="J108" i="5"/>
  <c r="I104" i="5"/>
  <c r="J104" i="5"/>
  <c r="I116" i="5"/>
  <c r="J116" i="5"/>
  <c r="I111" i="5"/>
  <c r="J111" i="5"/>
  <c r="I115" i="5"/>
  <c r="J115" i="5"/>
  <c r="I113" i="5"/>
  <c r="J113" i="5"/>
  <c r="I114" i="5"/>
  <c r="J114" i="5"/>
  <c r="I112" i="5"/>
  <c r="J112" i="5"/>
  <c r="I125" i="5"/>
  <c r="J125" i="5"/>
  <c r="I122" i="5"/>
  <c r="J122" i="5"/>
  <c r="I120" i="5"/>
  <c r="J120" i="5"/>
  <c r="I123" i="5"/>
  <c r="J123" i="5"/>
  <c r="I128" i="5"/>
  <c r="J128" i="5"/>
  <c r="I127" i="5"/>
  <c r="J127" i="5"/>
  <c r="I124" i="5"/>
  <c r="J124" i="5"/>
  <c r="I126" i="5"/>
  <c r="J126" i="5"/>
  <c r="I121" i="5"/>
  <c r="J121" i="5"/>
  <c r="I119" i="5"/>
  <c r="J119" i="5"/>
  <c r="I118" i="5"/>
  <c r="J118" i="5"/>
  <c r="I135" i="5"/>
  <c r="J135" i="5"/>
  <c r="I132" i="5"/>
  <c r="J132" i="5"/>
  <c r="I134" i="5"/>
  <c r="J134" i="5"/>
  <c r="I133" i="5"/>
  <c r="J133" i="5"/>
  <c r="I139" i="5"/>
  <c r="J139" i="5"/>
  <c r="I140" i="5"/>
  <c r="J140" i="5"/>
  <c r="I137" i="5"/>
  <c r="J137" i="5"/>
  <c r="I138" i="5"/>
  <c r="J138" i="5"/>
  <c r="I261" i="5"/>
  <c r="J261" i="5"/>
  <c r="I142" i="5"/>
  <c r="J142" i="5"/>
  <c r="I143" i="5"/>
  <c r="J143" i="5"/>
  <c r="I145" i="5"/>
  <c r="J145" i="5"/>
  <c r="I149" i="5"/>
  <c r="J149" i="5"/>
  <c r="I148" i="5"/>
  <c r="J148" i="5"/>
  <c r="I147" i="5"/>
  <c r="J147" i="5"/>
  <c r="I150" i="5"/>
  <c r="J150" i="5"/>
  <c r="I151" i="5"/>
  <c r="J151" i="5"/>
  <c r="I154" i="5"/>
  <c r="J154" i="5"/>
  <c r="I157" i="5"/>
  <c r="J157" i="5"/>
  <c r="I153" i="5"/>
  <c r="J153" i="5"/>
  <c r="I155" i="5"/>
  <c r="J155" i="5"/>
  <c r="I156" i="5"/>
  <c r="J156" i="5"/>
  <c r="I161" i="5"/>
  <c r="J161" i="5"/>
  <c r="I160" i="5"/>
  <c r="J160" i="5"/>
  <c r="I159" i="5"/>
  <c r="J159" i="5"/>
  <c r="I164" i="5"/>
  <c r="J164" i="5"/>
  <c r="I163" i="5"/>
  <c r="J163" i="5"/>
  <c r="I166" i="5"/>
  <c r="J166" i="5"/>
  <c r="I168" i="5"/>
  <c r="J168" i="5"/>
  <c r="I170" i="5"/>
  <c r="J170" i="5"/>
  <c r="I171" i="5"/>
  <c r="J171" i="5"/>
  <c r="I172" i="5"/>
  <c r="J172" i="5"/>
  <c r="I174" i="5"/>
  <c r="J174" i="5"/>
  <c r="I175" i="5"/>
  <c r="J175" i="5"/>
  <c r="I178" i="5"/>
  <c r="J178" i="5"/>
  <c r="I180" i="5"/>
  <c r="J180" i="5"/>
  <c r="I185" i="5"/>
  <c r="J185" i="5"/>
  <c r="I184" i="5"/>
  <c r="J184" i="5"/>
  <c r="I186" i="5"/>
  <c r="J186" i="5"/>
  <c r="I188" i="5"/>
  <c r="J188" i="5"/>
  <c r="I189" i="5"/>
  <c r="J189" i="5"/>
  <c r="I191" i="5"/>
  <c r="J191" i="5"/>
  <c r="I193" i="5"/>
  <c r="J193" i="5"/>
  <c r="I195" i="5"/>
  <c r="J195" i="5"/>
  <c r="I198" i="5"/>
  <c r="J198" i="5"/>
  <c r="I194" i="5"/>
  <c r="J194" i="5"/>
  <c r="I197" i="5"/>
  <c r="J197" i="5"/>
  <c r="I200" i="5"/>
  <c r="J200" i="5"/>
  <c r="I201" i="5"/>
  <c r="J201" i="5"/>
  <c r="I202" i="5"/>
  <c r="J202" i="5"/>
  <c r="I204" i="5"/>
  <c r="J204" i="5"/>
  <c r="I208" i="5"/>
  <c r="J208" i="5"/>
  <c r="I211" i="5"/>
  <c r="J211" i="5"/>
  <c r="I206" i="5"/>
  <c r="J206" i="5"/>
  <c r="I207" i="5"/>
  <c r="J207" i="5"/>
  <c r="I209" i="5"/>
  <c r="J209" i="5"/>
  <c r="I213" i="5"/>
  <c r="J213" i="5"/>
  <c r="I217" i="5"/>
  <c r="J217" i="5"/>
  <c r="I215" i="5"/>
  <c r="J215" i="5"/>
  <c r="I216" i="5"/>
  <c r="J216" i="5"/>
  <c r="I219" i="5"/>
  <c r="J219" i="5"/>
  <c r="I221" i="5"/>
  <c r="J221" i="5"/>
  <c r="I225" i="5"/>
  <c r="J225" i="5"/>
  <c r="I223" i="5"/>
  <c r="J223" i="5"/>
  <c r="I226" i="5"/>
  <c r="J226" i="5"/>
  <c r="I231" i="5"/>
  <c r="J231" i="5"/>
  <c r="I230" i="5"/>
  <c r="J230" i="5"/>
  <c r="I232" i="5"/>
  <c r="J232" i="5"/>
  <c r="I234" i="5"/>
  <c r="J234" i="5"/>
  <c r="I236" i="5"/>
  <c r="J236" i="5"/>
  <c r="I237" i="5"/>
  <c r="J237" i="5"/>
  <c r="I238" i="5"/>
  <c r="J238" i="5"/>
  <c r="I235" i="5"/>
  <c r="J235" i="5"/>
  <c r="I240" i="5"/>
  <c r="J240" i="5"/>
  <c r="I182" i="5"/>
  <c r="J182" i="5"/>
  <c r="I241" i="5"/>
  <c r="J241" i="5"/>
  <c r="I254" i="5"/>
  <c r="J254" i="5"/>
  <c r="I251" i="5"/>
  <c r="J251" i="5"/>
  <c r="I253" i="5"/>
  <c r="J253" i="5"/>
  <c r="I243" i="5"/>
  <c r="J243" i="5"/>
  <c r="I252" i="5"/>
  <c r="J252" i="5"/>
  <c r="I244" i="5"/>
  <c r="J244" i="5"/>
  <c r="I249" i="5"/>
  <c r="J249" i="5"/>
  <c r="I250" i="5"/>
  <c r="J250" i="5"/>
  <c r="I248" i="5"/>
  <c r="J248" i="5"/>
  <c r="I245" i="5"/>
  <c r="J245" i="5"/>
  <c r="I256" i="5"/>
  <c r="J256" i="5"/>
  <c r="I246" i="5"/>
  <c r="J246" i="5"/>
  <c r="I247" i="5"/>
  <c r="J247" i="5"/>
  <c r="I257" i="5"/>
  <c r="J257" i="5"/>
  <c r="I259" i="5"/>
  <c r="J259" i="5"/>
  <c r="I262" i="5"/>
  <c r="J262" i="5"/>
  <c r="I263" i="5"/>
  <c r="J263" i="5"/>
  <c r="I265" i="5"/>
  <c r="J265" i="5"/>
  <c r="I264" i="5"/>
  <c r="J264" i="5"/>
  <c r="I267" i="5"/>
  <c r="J267" i="5"/>
  <c r="I269" i="5"/>
  <c r="J269" i="5"/>
  <c r="I274" i="5"/>
  <c r="J274" i="5"/>
  <c r="I273" i="5"/>
  <c r="J273" i="5"/>
  <c r="I3" i="5"/>
  <c r="J3" i="5"/>
  <c r="I271" i="5"/>
  <c r="J271" i="5"/>
  <c r="I272" i="5"/>
  <c r="J272" i="5"/>
  <c r="I276" i="5"/>
  <c r="J276" i="5"/>
  <c r="I34" i="5"/>
  <c r="J34" i="5"/>
  <c r="I278" i="5"/>
  <c r="J278" i="5"/>
  <c r="I279" i="5"/>
  <c r="J279" i="5"/>
  <c r="I280" i="5"/>
  <c r="J280" i="5"/>
  <c r="I281" i="5"/>
  <c r="J281" i="5"/>
  <c r="I282" i="5"/>
  <c r="J282" i="5"/>
  <c r="I99" i="5"/>
  <c r="J99" i="5"/>
  <c r="I284" i="5"/>
  <c r="J284" i="5"/>
  <c r="I288" i="5"/>
  <c r="J288" i="5"/>
  <c r="I286" i="5"/>
  <c r="J286" i="5"/>
  <c r="I287" i="5"/>
  <c r="J287" i="5"/>
  <c r="I292" i="5"/>
  <c r="J292" i="5"/>
  <c r="I294" i="5"/>
  <c r="J294" i="5"/>
  <c r="I296" i="5"/>
  <c r="J296" i="5"/>
  <c r="I295" i="5"/>
  <c r="J295" i="5"/>
  <c r="J15" i="5"/>
  <c r="I15" i="5"/>
  <c r="G15" i="5"/>
  <c r="G10" i="5"/>
  <c r="G8" i="5"/>
  <c r="G5" i="5"/>
  <c r="G11" i="5"/>
  <c r="G6" i="5"/>
  <c r="G7" i="5"/>
  <c r="G9" i="5"/>
  <c r="G13" i="5"/>
  <c r="G18" i="5"/>
  <c r="G17" i="5"/>
  <c r="G290" i="5"/>
  <c r="G31" i="5"/>
  <c r="G30" i="5"/>
  <c r="G28" i="5"/>
  <c r="G32" i="5"/>
  <c r="G26" i="5"/>
  <c r="G20" i="5"/>
  <c r="G21" i="5"/>
  <c r="G24" i="5"/>
  <c r="G23" i="5"/>
  <c r="G29" i="5"/>
  <c r="G27" i="5"/>
  <c r="G25" i="5"/>
  <c r="G22" i="5"/>
  <c r="G37" i="5"/>
  <c r="G36" i="5"/>
  <c r="G38" i="5"/>
  <c r="G41" i="5"/>
  <c r="G40" i="5"/>
  <c r="G39" i="5"/>
  <c r="G42" i="5"/>
  <c r="G44" i="5"/>
  <c r="G46" i="5"/>
  <c r="G48" i="5"/>
  <c r="G50" i="5"/>
  <c r="G52" i="5"/>
  <c r="G53" i="5"/>
  <c r="G56" i="5"/>
  <c r="G59" i="5"/>
  <c r="G54" i="5"/>
  <c r="G58" i="5"/>
  <c r="G60" i="5"/>
  <c r="G57" i="5"/>
  <c r="G62" i="5"/>
  <c r="G63" i="5"/>
  <c r="G65" i="5"/>
  <c r="G177" i="5"/>
  <c r="G67" i="5"/>
  <c r="G66" i="5"/>
  <c r="G69" i="5"/>
  <c r="G70" i="5"/>
  <c r="G71" i="5"/>
  <c r="G73" i="5"/>
  <c r="G76" i="5"/>
  <c r="G75" i="5"/>
  <c r="G77" i="5"/>
  <c r="G80" i="5"/>
  <c r="G82" i="5"/>
  <c r="G79" i="5"/>
  <c r="G84" i="5"/>
  <c r="G81" i="5"/>
  <c r="G88" i="5"/>
  <c r="G87" i="5"/>
  <c r="G86" i="5"/>
  <c r="G228" i="5"/>
  <c r="G90" i="5"/>
  <c r="G92" i="5"/>
  <c r="G93" i="5"/>
  <c r="G97" i="5"/>
  <c r="G96" i="5"/>
  <c r="G95" i="5"/>
  <c r="G98" i="5"/>
  <c r="G102" i="5"/>
  <c r="G130" i="5"/>
  <c r="G101" i="5"/>
  <c r="G106" i="5"/>
  <c r="G105" i="5"/>
  <c r="G107" i="5"/>
  <c r="G109" i="5"/>
  <c r="G108" i="5"/>
  <c r="G104" i="5"/>
  <c r="G116" i="5"/>
  <c r="G111" i="5"/>
  <c r="G115" i="5"/>
  <c r="G113" i="5"/>
  <c r="G114" i="5"/>
  <c r="G112" i="5"/>
  <c r="G125" i="5"/>
  <c r="G122" i="5"/>
  <c r="G120" i="5"/>
  <c r="G123" i="5"/>
  <c r="G128" i="5"/>
  <c r="G127" i="5"/>
  <c r="G124" i="5"/>
  <c r="G126" i="5"/>
  <c r="G121" i="5"/>
  <c r="G119" i="5"/>
  <c r="G118" i="5"/>
  <c r="G135" i="5"/>
  <c r="G132" i="5"/>
  <c r="G134" i="5"/>
  <c r="G133" i="5"/>
  <c r="G139" i="5"/>
  <c r="G140" i="5"/>
  <c r="G137" i="5"/>
  <c r="G138" i="5"/>
  <c r="G261" i="5"/>
  <c r="G142" i="5"/>
  <c r="G143" i="5"/>
  <c r="G145" i="5"/>
  <c r="G149" i="5"/>
  <c r="G148" i="5"/>
  <c r="G147" i="5"/>
  <c r="G150" i="5"/>
  <c r="G151" i="5"/>
  <c r="G154" i="5"/>
  <c r="G157" i="5"/>
  <c r="G153" i="5"/>
  <c r="G155" i="5"/>
  <c r="G156" i="5"/>
  <c r="G161" i="5"/>
  <c r="G160" i="5"/>
  <c r="G159" i="5"/>
  <c r="G164" i="5"/>
  <c r="G163" i="5"/>
  <c r="G166" i="5"/>
  <c r="G168" i="5"/>
  <c r="G170" i="5"/>
  <c r="G171" i="5"/>
  <c r="G172" i="5"/>
  <c r="G174" i="5"/>
  <c r="G175" i="5"/>
  <c r="G178" i="5"/>
  <c r="G180" i="5"/>
  <c r="G185" i="5"/>
  <c r="G184" i="5"/>
  <c r="G186" i="5"/>
  <c r="G188" i="5"/>
  <c r="G189" i="5"/>
  <c r="G191" i="5"/>
  <c r="G193" i="5"/>
  <c r="G195" i="5"/>
  <c r="G198" i="5"/>
  <c r="G194" i="5"/>
  <c r="G197" i="5"/>
  <c r="G200" i="5"/>
  <c r="G201" i="5"/>
  <c r="G202" i="5"/>
  <c r="G204" i="5"/>
  <c r="G208" i="5"/>
  <c r="G211" i="5"/>
  <c r="G206" i="5"/>
  <c r="G207" i="5"/>
  <c r="G209" i="5"/>
  <c r="G213" i="5"/>
  <c r="G217" i="5"/>
  <c r="G215" i="5"/>
  <c r="G216" i="5"/>
  <c r="G219" i="5"/>
  <c r="G221" i="5"/>
  <c r="G225" i="5"/>
  <c r="G223" i="5"/>
  <c r="G226" i="5"/>
  <c r="G231" i="5"/>
  <c r="G230" i="5"/>
  <c r="G232" i="5"/>
  <c r="G234" i="5"/>
  <c r="G236" i="5"/>
  <c r="G237" i="5"/>
  <c r="G238" i="5"/>
  <c r="G235" i="5"/>
  <c r="G240" i="5"/>
  <c r="G182" i="5"/>
  <c r="G241" i="5"/>
  <c r="G254" i="5"/>
  <c r="G251" i="5"/>
  <c r="G253" i="5"/>
  <c r="G243" i="5"/>
  <c r="G252" i="5"/>
  <c r="G244" i="5"/>
  <c r="G249" i="5"/>
  <c r="G250" i="5"/>
  <c r="G248" i="5"/>
  <c r="G245" i="5"/>
  <c r="G256" i="5"/>
  <c r="G246" i="5"/>
  <c r="G247" i="5"/>
  <c r="G257" i="5"/>
  <c r="G259" i="5"/>
  <c r="G262" i="5"/>
  <c r="G263" i="5"/>
  <c r="G265" i="5"/>
  <c r="G264" i="5"/>
  <c r="G267" i="5"/>
  <c r="G269" i="5"/>
  <c r="G274" i="5"/>
  <c r="G273" i="5"/>
  <c r="G3" i="5"/>
  <c r="G271" i="5"/>
  <c r="G272" i="5"/>
  <c r="G276" i="5"/>
  <c r="G34" i="5"/>
  <c r="G278" i="5"/>
  <c r="G279" i="5"/>
  <c r="G280" i="5"/>
  <c r="G281" i="5"/>
  <c r="G282" i="5"/>
  <c r="G99" i="5"/>
  <c r="G284" i="5"/>
  <c r="G288" i="5"/>
  <c r="G286" i="5"/>
  <c r="G287" i="5"/>
  <c r="G292" i="5"/>
  <c r="G294" i="5"/>
  <c r="G296" i="5"/>
  <c r="G295" i="5"/>
  <c r="F5" i="8" l="1"/>
  <c r="H5" i="8" s="1"/>
  <c r="F2" i="8"/>
  <c r="E5" i="8"/>
  <c r="G5" i="8" s="1"/>
  <c r="E2" i="8"/>
  <c r="B10" i="8"/>
  <c r="B9" i="8"/>
  <c r="Q99" i="5"/>
  <c r="L99" i="5" s="1"/>
  <c r="P99" i="5"/>
  <c r="K99" i="5" s="1"/>
  <c r="Q265" i="5"/>
  <c r="L265" i="5" s="1"/>
  <c r="P265" i="5"/>
  <c r="K265" i="5" s="1"/>
  <c r="Q251" i="5"/>
  <c r="L251" i="5" s="1"/>
  <c r="P251" i="5"/>
  <c r="K251" i="5" s="1"/>
  <c r="Q221" i="5"/>
  <c r="L221" i="5" s="1"/>
  <c r="P221" i="5"/>
  <c r="K221" i="5" s="1"/>
  <c r="Q194" i="5"/>
  <c r="P194" i="5"/>
  <c r="K194" i="5" s="1"/>
  <c r="Q170" i="5"/>
  <c r="L170" i="5" s="1"/>
  <c r="P170" i="5"/>
  <c r="K170" i="5" s="1"/>
  <c r="P148" i="5"/>
  <c r="K148" i="5" s="1"/>
  <c r="Q148" i="5"/>
  <c r="P128" i="5"/>
  <c r="K128" i="5" s="1"/>
  <c r="Q128" i="5"/>
  <c r="L128" i="5" s="1"/>
  <c r="Q288" i="5"/>
  <c r="L288" i="5" s="1"/>
  <c r="P288" i="5"/>
  <c r="K288" i="5" s="1"/>
  <c r="Q34" i="5"/>
  <c r="L34" i="5" s="1"/>
  <c r="P34" i="5"/>
  <c r="K34" i="5" s="1"/>
  <c r="Q267" i="5"/>
  <c r="L267" i="5" s="1"/>
  <c r="P267" i="5"/>
  <c r="K267" i="5" s="1"/>
  <c r="Q246" i="5"/>
  <c r="L246" i="5" s="1"/>
  <c r="P246" i="5"/>
  <c r="K246" i="5" s="1"/>
  <c r="Q292" i="5"/>
  <c r="L292" i="5" s="1"/>
  <c r="P292" i="5"/>
  <c r="K292" i="5" s="1"/>
  <c r="Q284" i="5"/>
  <c r="L284" i="5" s="1"/>
  <c r="P284" i="5"/>
  <c r="K284" i="5" s="1"/>
  <c r="Q280" i="5"/>
  <c r="L280" i="5" s="1"/>
  <c r="P280" i="5"/>
  <c r="K280" i="5" s="1"/>
  <c r="Q276" i="5"/>
  <c r="L276" i="5" s="1"/>
  <c r="P276" i="5"/>
  <c r="K276" i="5" s="1"/>
  <c r="Q273" i="5"/>
  <c r="L273" i="5" s="1"/>
  <c r="P273" i="5"/>
  <c r="K273" i="5" s="1"/>
  <c r="Q264" i="5"/>
  <c r="L264" i="5" s="1"/>
  <c r="P264" i="5"/>
  <c r="K264" i="5" s="1"/>
  <c r="Q259" i="5"/>
  <c r="L259" i="5" s="1"/>
  <c r="P259" i="5"/>
  <c r="K259" i="5" s="1"/>
  <c r="Q256" i="5"/>
  <c r="L256" i="5" s="1"/>
  <c r="P256" i="5"/>
  <c r="K256" i="5" s="1"/>
  <c r="Q249" i="5"/>
  <c r="L249" i="5" s="1"/>
  <c r="P249" i="5"/>
  <c r="K249" i="5" s="1"/>
  <c r="Q253" i="5"/>
  <c r="L253" i="5" s="1"/>
  <c r="P253" i="5"/>
  <c r="K253" i="5" s="1"/>
  <c r="Q182" i="5"/>
  <c r="L182" i="5" s="1"/>
  <c r="P182" i="5"/>
  <c r="K182" i="5" s="1"/>
  <c r="Q237" i="5"/>
  <c r="L237" i="5" s="1"/>
  <c r="P237" i="5"/>
  <c r="K237" i="5" s="1"/>
  <c r="Q230" i="5"/>
  <c r="L230" i="5" s="1"/>
  <c r="P230" i="5"/>
  <c r="K230" i="5" s="1"/>
  <c r="Q225" i="5"/>
  <c r="L225" i="5" s="1"/>
  <c r="P225" i="5"/>
  <c r="K225" i="5" s="1"/>
  <c r="Q215" i="5"/>
  <c r="L215" i="5" s="1"/>
  <c r="P215" i="5"/>
  <c r="K215" i="5" s="1"/>
  <c r="Q207" i="5"/>
  <c r="L207" i="5" s="1"/>
  <c r="P207" i="5"/>
  <c r="K207" i="5" s="1"/>
  <c r="Q204" i="5"/>
  <c r="L204" i="5" s="1"/>
  <c r="P204" i="5"/>
  <c r="K204" i="5" s="1"/>
  <c r="Q197" i="5"/>
  <c r="L197" i="5" s="1"/>
  <c r="P197" i="5"/>
  <c r="K197" i="5" s="1"/>
  <c r="Q193" i="5"/>
  <c r="L193" i="5" s="1"/>
  <c r="P193" i="5"/>
  <c r="K193" i="5" s="1"/>
  <c r="Q186" i="5"/>
  <c r="L186" i="5" s="1"/>
  <c r="P186" i="5"/>
  <c r="K186" i="5" s="1"/>
  <c r="Q178" i="5"/>
  <c r="L178" i="5" s="1"/>
  <c r="P178" i="5"/>
  <c r="K178" i="5" s="1"/>
  <c r="Q171" i="5"/>
  <c r="L171" i="5" s="1"/>
  <c r="P171" i="5"/>
  <c r="K171" i="5" s="1"/>
  <c r="Q163" i="5"/>
  <c r="L163" i="5" s="1"/>
  <c r="P163" i="5"/>
  <c r="K163" i="5" s="1"/>
  <c r="Q161" i="5"/>
  <c r="L161" i="5" s="1"/>
  <c r="P161" i="5"/>
  <c r="K161" i="5" s="1"/>
  <c r="P157" i="5"/>
  <c r="K157" i="5" s="1"/>
  <c r="Q157" i="5"/>
  <c r="L157" i="5" s="1"/>
  <c r="P147" i="5"/>
  <c r="Q147" i="5"/>
  <c r="L147" i="5" s="1"/>
  <c r="P143" i="5"/>
  <c r="K143" i="5" s="1"/>
  <c r="Q143" i="5"/>
  <c r="L143" i="5" s="1"/>
  <c r="P137" i="5"/>
  <c r="K137" i="5" s="1"/>
  <c r="Q137" i="5"/>
  <c r="L137" i="5" s="1"/>
  <c r="P134" i="5"/>
  <c r="K134" i="5" s="1"/>
  <c r="Q134" i="5"/>
  <c r="L134" i="5" s="1"/>
  <c r="P119" i="5"/>
  <c r="K119" i="5" s="1"/>
  <c r="Q119" i="5"/>
  <c r="L119" i="5" s="1"/>
  <c r="P127" i="5"/>
  <c r="K127" i="5" s="1"/>
  <c r="Q127" i="5"/>
  <c r="L127" i="5" s="1"/>
  <c r="P122" i="5"/>
  <c r="K122" i="5" s="1"/>
  <c r="Q122" i="5"/>
  <c r="L122" i="5" s="1"/>
  <c r="P113" i="5"/>
  <c r="K113" i="5" s="1"/>
  <c r="Q113" i="5"/>
  <c r="L113" i="5" s="1"/>
  <c r="P104" i="5"/>
  <c r="K104" i="5" s="1"/>
  <c r="Q104" i="5"/>
  <c r="L104" i="5" s="1"/>
  <c r="P105" i="5"/>
  <c r="K105" i="5" s="1"/>
  <c r="Q105" i="5"/>
  <c r="L105" i="5" s="1"/>
  <c r="P102" i="5"/>
  <c r="K102" i="5" s="1"/>
  <c r="Q102" i="5"/>
  <c r="L102" i="5" s="1"/>
  <c r="P97" i="5"/>
  <c r="K97" i="5" s="1"/>
  <c r="Q97" i="5"/>
  <c r="L97" i="5" s="1"/>
  <c r="P228" i="5"/>
  <c r="K228" i="5" s="1"/>
  <c r="Q228" i="5"/>
  <c r="L228" i="5" s="1"/>
  <c r="P81" i="5"/>
  <c r="K81" i="5" s="1"/>
  <c r="Q81" i="5"/>
  <c r="L81" i="5" s="1"/>
  <c r="P80" i="5"/>
  <c r="K80" i="5" s="1"/>
  <c r="Q80" i="5"/>
  <c r="L80" i="5" s="1"/>
  <c r="P73" i="5"/>
  <c r="K73" i="5" s="1"/>
  <c r="Q73" i="5"/>
  <c r="L73" i="5" s="1"/>
  <c r="P66" i="5"/>
  <c r="K66" i="5" s="1"/>
  <c r="Q66" i="5"/>
  <c r="L66" i="5" s="1"/>
  <c r="P63" i="5"/>
  <c r="K63" i="5" s="1"/>
  <c r="Q63" i="5"/>
  <c r="P58" i="5"/>
  <c r="K58" i="5" s="1"/>
  <c r="Q58" i="5"/>
  <c r="L58" i="5" s="1"/>
  <c r="P53" i="5"/>
  <c r="K53" i="5" s="1"/>
  <c r="Q53" i="5"/>
  <c r="L53" i="5" s="1"/>
  <c r="P46" i="5"/>
  <c r="K46" i="5" s="1"/>
  <c r="Q46" i="5"/>
  <c r="L46" i="5" s="1"/>
  <c r="P40" i="5"/>
  <c r="K40" i="5" s="1"/>
  <c r="Q40" i="5"/>
  <c r="L40" i="5" s="1"/>
  <c r="P37" i="5"/>
  <c r="K37" i="5" s="1"/>
  <c r="Q37" i="5"/>
  <c r="L37" i="5" s="1"/>
  <c r="P29" i="5"/>
  <c r="K29" i="5" s="1"/>
  <c r="Q29" i="5"/>
  <c r="L29" i="5" s="1"/>
  <c r="P20" i="5"/>
  <c r="K20" i="5" s="1"/>
  <c r="Q20" i="5"/>
  <c r="L20" i="5" s="1"/>
  <c r="P30" i="5"/>
  <c r="K30" i="5" s="1"/>
  <c r="Q30" i="5"/>
  <c r="L30" i="5" s="1"/>
  <c r="P18" i="5"/>
  <c r="K18" i="5" s="1"/>
  <c r="Q18" i="5"/>
  <c r="L18" i="5" s="1"/>
  <c r="P6" i="5"/>
  <c r="K6" i="5" s="1"/>
  <c r="Q6" i="5"/>
  <c r="L6" i="5" s="1"/>
  <c r="P10" i="5"/>
  <c r="K10" i="5" s="1"/>
  <c r="Q10" i="5"/>
  <c r="L10" i="5" s="1"/>
  <c r="L194" i="5"/>
  <c r="L148" i="5"/>
  <c r="Q279" i="5"/>
  <c r="L279" i="5" s="1"/>
  <c r="P279" i="5"/>
  <c r="K279" i="5" s="1"/>
  <c r="Q257" i="5"/>
  <c r="L257" i="5" s="1"/>
  <c r="P257" i="5"/>
  <c r="K257" i="5" s="1"/>
  <c r="Q240" i="5"/>
  <c r="L240" i="5" s="1"/>
  <c r="P240" i="5"/>
  <c r="K240" i="5" s="1"/>
  <c r="Q217" i="5"/>
  <c r="L217" i="5" s="1"/>
  <c r="P217" i="5"/>
  <c r="K217" i="5" s="1"/>
  <c r="Q191" i="5"/>
  <c r="L191" i="5" s="1"/>
  <c r="P191" i="5"/>
  <c r="K191" i="5" s="1"/>
  <c r="Q164" i="5"/>
  <c r="L164" i="5" s="1"/>
  <c r="P164" i="5"/>
  <c r="K164" i="5" s="1"/>
  <c r="P142" i="5"/>
  <c r="K142" i="5" s="1"/>
  <c r="Q142" i="5"/>
  <c r="L142" i="5" s="1"/>
  <c r="P140" i="5"/>
  <c r="K140" i="5" s="1"/>
  <c r="Q140" i="5"/>
  <c r="L140" i="5" s="1"/>
  <c r="P125" i="5"/>
  <c r="K125" i="5" s="1"/>
  <c r="Q125" i="5"/>
  <c r="L125" i="5" s="1"/>
  <c r="P115" i="5"/>
  <c r="K115" i="5" s="1"/>
  <c r="Q115" i="5"/>
  <c r="L115" i="5" s="1"/>
  <c r="P108" i="5"/>
  <c r="K108" i="5" s="1"/>
  <c r="Q108" i="5"/>
  <c r="L108" i="5" s="1"/>
  <c r="P106" i="5"/>
  <c r="K106" i="5" s="1"/>
  <c r="Q106" i="5"/>
  <c r="L106" i="5" s="1"/>
  <c r="P98" i="5"/>
  <c r="K98" i="5" s="1"/>
  <c r="Q98" i="5"/>
  <c r="L98" i="5" s="1"/>
  <c r="P93" i="5"/>
  <c r="K93" i="5" s="1"/>
  <c r="Q93" i="5"/>
  <c r="L93" i="5" s="1"/>
  <c r="P86" i="5"/>
  <c r="K86" i="5" s="1"/>
  <c r="Q86" i="5"/>
  <c r="L86" i="5" s="1"/>
  <c r="P84" i="5"/>
  <c r="K84" i="5" s="1"/>
  <c r="Q84" i="5"/>
  <c r="L84" i="5" s="1"/>
  <c r="P77" i="5"/>
  <c r="K77" i="5" s="1"/>
  <c r="Q77" i="5"/>
  <c r="L77" i="5" s="1"/>
  <c r="P71" i="5"/>
  <c r="K71" i="5" s="1"/>
  <c r="Q71" i="5"/>
  <c r="L71" i="5" s="1"/>
  <c r="P67" i="5"/>
  <c r="K67" i="5" s="1"/>
  <c r="Q67" i="5"/>
  <c r="L67" i="5" s="1"/>
  <c r="P62" i="5"/>
  <c r="K62" i="5" s="1"/>
  <c r="Q62" i="5"/>
  <c r="L62" i="5" s="1"/>
  <c r="P54" i="5"/>
  <c r="K54" i="5" s="1"/>
  <c r="Q54" i="5"/>
  <c r="L54" i="5" s="1"/>
  <c r="P52" i="5"/>
  <c r="K52" i="5" s="1"/>
  <c r="Q52" i="5"/>
  <c r="L52" i="5" s="1"/>
  <c r="P44" i="5"/>
  <c r="K44" i="5" s="1"/>
  <c r="Q44" i="5"/>
  <c r="L44" i="5" s="1"/>
  <c r="P41" i="5"/>
  <c r="K41" i="5" s="1"/>
  <c r="Q41" i="5"/>
  <c r="L41" i="5" s="1"/>
  <c r="P22" i="5"/>
  <c r="K22" i="5" s="1"/>
  <c r="Q22" i="5"/>
  <c r="L22" i="5" s="1"/>
  <c r="P23" i="5"/>
  <c r="K23" i="5" s="1"/>
  <c r="Q23" i="5"/>
  <c r="L23" i="5" s="1"/>
  <c r="P26" i="5"/>
  <c r="K26" i="5" s="1"/>
  <c r="Q26" i="5"/>
  <c r="L26" i="5" s="1"/>
  <c r="P31" i="5"/>
  <c r="K31" i="5" s="1"/>
  <c r="Q31" i="5"/>
  <c r="L31" i="5" s="1"/>
  <c r="P13" i="5"/>
  <c r="K13" i="5" s="1"/>
  <c r="Q13" i="5"/>
  <c r="L13" i="5" s="1"/>
  <c r="P11" i="5"/>
  <c r="K11" i="5" s="1"/>
  <c r="Q11" i="5"/>
  <c r="L11" i="5" s="1"/>
  <c r="P15" i="5"/>
  <c r="K15" i="5" s="1"/>
  <c r="Q15" i="5"/>
  <c r="L15" i="5" s="1"/>
  <c r="Q287" i="5"/>
  <c r="L287" i="5" s="1"/>
  <c r="P287" i="5"/>
  <c r="K287" i="5" s="1"/>
  <c r="Q274" i="5"/>
  <c r="L274" i="5" s="1"/>
  <c r="P274" i="5"/>
  <c r="K274" i="5" s="1"/>
  <c r="Q244" i="5"/>
  <c r="L244" i="5" s="1"/>
  <c r="P244" i="5"/>
  <c r="K244" i="5" s="1"/>
  <c r="Q231" i="5"/>
  <c r="L231" i="5" s="1"/>
  <c r="P231" i="5"/>
  <c r="K231" i="5" s="1"/>
  <c r="Q202" i="5"/>
  <c r="L202" i="5" s="1"/>
  <c r="P202" i="5"/>
  <c r="K202" i="5" s="1"/>
  <c r="Q175" i="5"/>
  <c r="L175" i="5" s="1"/>
  <c r="P175" i="5"/>
  <c r="K175" i="5" s="1"/>
  <c r="P154" i="5"/>
  <c r="K154" i="5" s="1"/>
  <c r="Q154" i="5"/>
  <c r="L154" i="5" s="1"/>
  <c r="P121" i="5"/>
  <c r="K121" i="5" s="1"/>
  <c r="Q121" i="5"/>
  <c r="L121" i="5" s="1"/>
  <c r="Q296" i="5"/>
  <c r="L296" i="5" s="1"/>
  <c r="P296" i="5"/>
  <c r="K296" i="5" s="1"/>
  <c r="Q286" i="5"/>
  <c r="L286" i="5" s="1"/>
  <c r="P286" i="5"/>
  <c r="K286" i="5" s="1"/>
  <c r="Q282" i="5"/>
  <c r="L282" i="5" s="1"/>
  <c r="P282" i="5"/>
  <c r="K282" i="5" s="1"/>
  <c r="Q278" i="5"/>
  <c r="L278" i="5" s="1"/>
  <c r="P278" i="5"/>
  <c r="K278" i="5" s="1"/>
  <c r="Q271" i="5"/>
  <c r="L271" i="5" s="1"/>
  <c r="P271" i="5"/>
  <c r="K271" i="5" s="1"/>
  <c r="Q269" i="5"/>
  <c r="L269" i="5" s="1"/>
  <c r="P269" i="5"/>
  <c r="K269" i="5" s="1"/>
  <c r="Q263" i="5"/>
  <c r="L263" i="5" s="1"/>
  <c r="P263" i="5"/>
  <c r="K263" i="5" s="1"/>
  <c r="Q247" i="5"/>
  <c r="L247" i="5" s="1"/>
  <c r="P247" i="5"/>
  <c r="K247" i="5" s="1"/>
  <c r="Q248" i="5"/>
  <c r="L248" i="5" s="1"/>
  <c r="P248" i="5"/>
  <c r="K248" i="5" s="1"/>
  <c r="Q252" i="5"/>
  <c r="L252" i="5" s="1"/>
  <c r="P252" i="5"/>
  <c r="K252" i="5" s="1"/>
  <c r="Q254" i="5"/>
  <c r="L254" i="5" s="1"/>
  <c r="P254" i="5"/>
  <c r="K254" i="5" s="1"/>
  <c r="Q235" i="5"/>
  <c r="L235" i="5" s="1"/>
  <c r="P235" i="5"/>
  <c r="K235" i="5" s="1"/>
  <c r="Q234" i="5"/>
  <c r="L234" i="5" s="1"/>
  <c r="P234" i="5"/>
  <c r="K234" i="5" s="1"/>
  <c r="Q226" i="5"/>
  <c r="L226" i="5" s="1"/>
  <c r="P226" i="5"/>
  <c r="K226" i="5" s="1"/>
  <c r="Q219" i="5"/>
  <c r="L219" i="5" s="1"/>
  <c r="P219" i="5"/>
  <c r="K219" i="5" s="1"/>
  <c r="Q213" i="5"/>
  <c r="L213" i="5" s="1"/>
  <c r="P213" i="5"/>
  <c r="K213" i="5" s="1"/>
  <c r="Q211" i="5"/>
  <c r="L211" i="5" s="1"/>
  <c r="P211" i="5"/>
  <c r="K211" i="5" s="1"/>
  <c r="Q201" i="5"/>
  <c r="L201" i="5" s="1"/>
  <c r="P201" i="5"/>
  <c r="K201" i="5" s="1"/>
  <c r="Q198" i="5"/>
  <c r="L198" i="5" s="1"/>
  <c r="P198" i="5"/>
  <c r="K198" i="5" s="1"/>
  <c r="Q189" i="5"/>
  <c r="L189" i="5" s="1"/>
  <c r="P189" i="5"/>
  <c r="K189" i="5" s="1"/>
  <c r="Q185" i="5"/>
  <c r="L185" i="5" s="1"/>
  <c r="P185" i="5"/>
  <c r="K185" i="5" s="1"/>
  <c r="Q174" i="5"/>
  <c r="L174" i="5" s="1"/>
  <c r="P174" i="5"/>
  <c r="K174" i="5" s="1"/>
  <c r="Q168" i="5"/>
  <c r="L168" i="5" s="1"/>
  <c r="P168" i="5"/>
  <c r="K168" i="5" s="1"/>
  <c r="Q159" i="5"/>
  <c r="L159" i="5" s="1"/>
  <c r="P159" i="5"/>
  <c r="K159" i="5" s="1"/>
  <c r="Q155" i="5"/>
  <c r="L155" i="5" s="1"/>
  <c r="P155" i="5"/>
  <c r="K155" i="5" s="1"/>
  <c r="Q151" i="5"/>
  <c r="L151" i="5" s="1"/>
  <c r="P151" i="5"/>
  <c r="K151" i="5" s="1"/>
  <c r="Q149" i="5"/>
  <c r="L149" i="5" s="1"/>
  <c r="P149" i="5"/>
  <c r="K149" i="5" s="1"/>
  <c r="Q261" i="5"/>
  <c r="L261" i="5" s="1"/>
  <c r="P261" i="5"/>
  <c r="K261" i="5" s="1"/>
  <c r="Q139" i="5"/>
  <c r="L139" i="5" s="1"/>
  <c r="P139" i="5"/>
  <c r="K139" i="5" s="1"/>
  <c r="Q135" i="5"/>
  <c r="L135" i="5" s="1"/>
  <c r="P135" i="5"/>
  <c r="K135" i="5" s="1"/>
  <c r="Q126" i="5"/>
  <c r="P126" i="5"/>
  <c r="K126" i="5" s="1"/>
  <c r="Q123" i="5"/>
  <c r="L123" i="5" s="1"/>
  <c r="P123" i="5"/>
  <c r="K123" i="5" s="1"/>
  <c r="Q112" i="5"/>
  <c r="L112" i="5" s="1"/>
  <c r="P112" i="5"/>
  <c r="K112" i="5" s="1"/>
  <c r="Q111" i="5"/>
  <c r="L111" i="5" s="1"/>
  <c r="P111" i="5"/>
  <c r="K111" i="5" s="1"/>
  <c r="Q109" i="5"/>
  <c r="L109" i="5" s="1"/>
  <c r="P109" i="5"/>
  <c r="K109" i="5" s="1"/>
  <c r="Q101" i="5"/>
  <c r="L101" i="5" s="1"/>
  <c r="P101" i="5"/>
  <c r="K101" i="5" s="1"/>
  <c r="Q95" i="5"/>
  <c r="L95" i="5" s="1"/>
  <c r="P95" i="5"/>
  <c r="K95" i="5" s="1"/>
  <c r="Q92" i="5"/>
  <c r="L92" i="5" s="1"/>
  <c r="P92" i="5"/>
  <c r="K92" i="5" s="1"/>
  <c r="Q87" i="5"/>
  <c r="L87" i="5" s="1"/>
  <c r="P87" i="5"/>
  <c r="K87" i="5" s="1"/>
  <c r="Q79" i="5"/>
  <c r="L79" i="5" s="1"/>
  <c r="P79" i="5"/>
  <c r="K79" i="5" s="1"/>
  <c r="P75" i="5"/>
  <c r="K75" i="5" s="1"/>
  <c r="Q75" i="5"/>
  <c r="L75" i="5" s="1"/>
  <c r="P70" i="5"/>
  <c r="K70" i="5" s="1"/>
  <c r="Q70" i="5"/>
  <c r="L70" i="5" s="1"/>
  <c r="P177" i="5"/>
  <c r="K177" i="5" s="1"/>
  <c r="Q177" i="5"/>
  <c r="L177" i="5" s="1"/>
  <c r="P57" i="5"/>
  <c r="K57" i="5" s="1"/>
  <c r="Q57" i="5"/>
  <c r="L57" i="5" s="1"/>
  <c r="P59" i="5"/>
  <c r="K59" i="5" s="1"/>
  <c r="Q59" i="5"/>
  <c r="L59" i="5" s="1"/>
  <c r="P50" i="5"/>
  <c r="K50" i="5" s="1"/>
  <c r="Q50" i="5"/>
  <c r="L50" i="5" s="1"/>
  <c r="P42" i="5"/>
  <c r="K42" i="5" s="1"/>
  <c r="Q42" i="5"/>
  <c r="L42" i="5" s="1"/>
  <c r="P38" i="5"/>
  <c r="K38" i="5" s="1"/>
  <c r="Q38" i="5"/>
  <c r="L38" i="5" s="1"/>
  <c r="P25" i="5"/>
  <c r="K25" i="5" s="1"/>
  <c r="Q25" i="5"/>
  <c r="L25" i="5" s="1"/>
  <c r="P24" i="5"/>
  <c r="K24" i="5" s="1"/>
  <c r="Q24" i="5"/>
  <c r="L24" i="5" s="1"/>
  <c r="P32" i="5"/>
  <c r="K32" i="5" s="1"/>
  <c r="Q32" i="5"/>
  <c r="L32" i="5" s="1"/>
  <c r="P290" i="5"/>
  <c r="K290" i="5" s="1"/>
  <c r="Q290" i="5"/>
  <c r="L290" i="5" s="1"/>
  <c r="L126" i="5"/>
  <c r="L63" i="5"/>
  <c r="Q295" i="5"/>
  <c r="L295" i="5" s="1"/>
  <c r="P295" i="5"/>
  <c r="K295" i="5" s="1"/>
  <c r="Q272" i="5"/>
  <c r="L272" i="5" s="1"/>
  <c r="P272" i="5"/>
  <c r="K272" i="5" s="1"/>
  <c r="Q245" i="5"/>
  <c r="L245" i="5" s="1"/>
  <c r="P245" i="5"/>
  <c r="K245" i="5" s="1"/>
  <c r="Q236" i="5"/>
  <c r="L236" i="5" s="1"/>
  <c r="P236" i="5"/>
  <c r="K236" i="5" s="1"/>
  <c r="Q206" i="5"/>
  <c r="L206" i="5" s="1"/>
  <c r="P206" i="5"/>
  <c r="K206" i="5" s="1"/>
  <c r="Q184" i="5"/>
  <c r="L184" i="5" s="1"/>
  <c r="P184" i="5"/>
  <c r="K184" i="5" s="1"/>
  <c r="Q156" i="5"/>
  <c r="L156" i="5" s="1"/>
  <c r="P156" i="5"/>
  <c r="K156" i="5" s="1"/>
  <c r="P132" i="5"/>
  <c r="K132" i="5" s="1"/>
  <c r="Q132" i="5"/>
  <c r="L132" i="5" s="1"/>
  <c r="Q294" i="5"/>
  <c r="L294" i="5" s="1"/>
  <c r="P294" i="5"/>
  <c r="K294" i="5" s="1"/>
  <c r="Q281" i="5"/>
  <c r="L281" i="5" s="1"/>
  <c r="P281" i="5"/>
  <c r="K281" i="5" s="1"/>
  <c r="Q3" i="5"/>
  <c r="L3" i="5" s="1"/>
  <c r="P3" i="5"/>
  <c r="K3" i="5" s="1"/>
  <c r="Q262" i="5"/>
  <c r="L262" i="5" s="1"/>
  <c r="P262" i="5"/>
  <c r="K262" i="5" s="1"/>
  <c r="Q250" i="5"/>
  <c r="L250" i="5" s="1"/>
  <c r="P250" i="5"/>
  <c r="K250" i="5" s="1"/>
  <c r="Q243" i="5"/>
  <c r="L243" i="5" s="1"/>
  <c r="P243" i="5"/>
  <c r="K243" i="5" s="1"/>
  <c r="Q241" i="5"/>
  <c r="L241" i="5" s="1"/>
  <c r="P241" i="5"/>
  <c r="K241" i="5" s="1"/>
  <c r="Q238" i="5"/>
  <c r="L238" i="5" s="1"/>
  <c r="P238" i="5"/>
  <c r="K238" i="5" s="1"/>
  <c r="Q232" i="5"/>
  <c r="L232" i="5" s="1"/>
  <c r="P232" i="5"/>
  <c r="K232" i="5" s="1"/>
  <c r="Q223" i="5"/>
  <c r="L223" i="5" s="1"/>
  <c r="P223" i="5"/>
  <c r="K223" i="5" s="1"/>
  <c r="Q216" i="5"/>
  <c r="L216" i="5" s="1"/>
  <c r="P216" i="5"/>
  <c r="K216" i="5" s="1"/>
  <c r="Q209" i="5"/>
  <c r="L209" i="5" s="1"/>
  <c r="P209" i="5"/>
  <c r="K209" i="5" s="1"/>
  <c r="Q208" i="5"/>
  <c r="L208" i="5" s="1"/>
  <c r="P208" i="5"/>
  <c r="K208" i="5" s="1"/>
  <c r="Q200" i="5"/>
  <c r="L200" i="5" s="1"/>
  <c r="P200" i="5"/>
  <c r="K200" i="5" s="1"/>
  <c r="Q195" i="5"/>
  <c r="L195" i="5" s="1"/>
  <c r="P195" i="5"/>
  <c r="K195" i="5" s="1"/>
  <c r="Q188" i="5"/>
  <c r="L188" i="5" s="1"/>
  <c r="P188" i="5"/>
  <c r="K188" i="5" s="1"/>
  <c r="Q180" i="5"/>
  <c r="L180" i="5" s="1"/>
  <c r="P180" i="5"/>
  <c r="K180" i="5" s="1"/>
  <c r="Q172" i="5"/>
  <c r="L172" i="5" s="1"/>
  <c r="P172" i="5"/>
  <c r="K172" i="5" s="1"/>
  <c r="Q166" i="5"/>
  <c r="L166" i="5" s="1"/>
  <c r="P166" i="5"/>
  <c r="K166" i="5" s="1"/>
  <c r="Q160" i="5"/>
  <c r="L160" i="5" s="1"/>
  <c r="P160" i="5"/>
  <c r="K160" i="5" s="1"/>
  <c r="Q153" i="5"/>
  <c r="L153" i="5" s="1"/>
  <c r="P153" i="5"/>
  <c r="K153" i="5" s="1"/>
  <c r="Q150" i="5"/>
  <c r="L150" i="5" s="1"/>
  <c r="P150" i="5"/>
  <c r="K150" i="5" s="1"/>
  <c r="Q145" i="5"/>
  <c r="L145" i="5" s="1"/>
  <c r="P145" i="5"/>
  <c r="K145" i="5" s="1"/>
  <c r="Q138" i="5"/>
  <c r="L138" i="5" s="1"/>
  <c r="P138" i="5"/>
  <c r="K138" i="5" s="1"/>
  <c r="Q133" i="5"/>
  <c r="L133" i="5" s="1"/>
  <c r="P133" i="5"/>
  <c r="K133" i="5" s="1"/>
  <c r="Q118" i="5"/>
  <c r="L118" i="5" s="1"/>
  <c r="P118" i="5"/>
  <c r="K118" i="5" s="1"/>
  <c r="Q124" i="5"/>
  <c r="L124" i="5" s="1"/>
  <c r="P124" i="5"/>
  <c r="K124" i="5" s="1"/>
  <c r="Q120" i="5"/>
  <c r="L120" i="5" s="1"/>
  <c r="P120" i="5"/>
  <c r="K120" i="5" s="1"/>
  <c r="Q114" i="5"/>
  <c r="L114" i="5" s="1"/>
  <c r="P114" i="5"/>
  <c r="K114" i="5" s="1"/>
  <c r="Q116" i="5"/>
  <c r="L116" i="5" s="1"/>
  <c r="P116" i="5"/>
  <c r="K116" i="5" s="1"/>
  <c r="Q107" i="5"/>
  <c r="L107" i="5" s="1"/>
  <c r="P107" i="5"/>
  <c r="K107" i="5" s="1"/>
  <c r="Q130" i="5"/>
  <c r="L130" i="5" s="1"/>
  <c r="P130" i="5"/>
  <c r="K130" i="5" s="1"/>
  <c r="Q96" i="5"/>
  <c r="L96" i="5" s="1"/>
  <c r="P96" i="5"/>
  <c r="K96" i="5" s="1"/>
  <c r="Q90" i="5"/>
  <c r="L90" i="5" s="1"/>
  <c r="P90" i="5"/>
  <c r="K90" i="5" s="1"/>
  <c r="Q88" i="5"/>
  <c r="L88" i="5" s="1"/>
  <c r="P88" i="5"/>
  <c r="K88" i="5" s="1"/>
  <c r="Q82" i="5"/>
  <c r="L82" i="5" s="1"/>
  <c r="P82" i="5"/>
  <c r="K82" i="5" s="1"/>
  <c r="Q76" i="5"/>
  <c r="L76" i="5" s="1"/>
  <c r="P76" i="5"/>
  <c r="K76" i="5" s="1"/>
  <c r="Q69" i="5"/>
  <c r="L69" i="5" s="1"/>
  <c r="P69" i="5"/>
  <c r="K69" i="5" s="1"/>
  <c r="Q65" i="5"/>
  <c r="L65" i="5" s="1"/>
  <c r="P65" i="5"/>
  <c r="K65" i="5" s="1"/>
  <c r="Q60" i="5"/>
  <c r="L60" i="5" s="1"/>
  <c r="P60" i="5"/>
  <c r="K60" i="5" s="1"/>
  <c r="Q56" i="5"/>
  <c r="L56" i="5" s="1"/>
  <c r="P56" i="5"/>
  <c r="K56" i="5" s="1"/>
  <c r="Q48" i="5"/>
  <c r="L48" i="5" s="1"/>
  <c r="P48" i="5"/>
  <c r="K48" i="5" s="1"/>
  <c r="Q39" i="5"/>
  <c r="L39" i="5" s="1"/>
  <c r="P39" i="5"/>
  <c r="K39" i="5" s="1"/>
  <c r="Q36" i="5"/>
  <c r="L36" i="5" s="1"/>
  <c r="P36" i="5"/>
  <c r="K36" i="5" s="1"/>
  <c r="Q27" i="5"/>
  <c r="L27" i="5" s="1"/>
  <c r="P27" i="5"/>
  <c r="K27" i="5" s="1"/>
  <c r="Q21" i="5"/>
  <c r="L21" i="5" s="1"/>
  <c r="P21" i="5"/>
  <c r="K21" i="5" s="1"/>
  <c r="Q28" i="5"/>
  <c r="L28" i="5" s="1"/>
  <c r="P28" i="5"/>
  <c r="K28" i="5" s="1"/>
  <c r="Q17" i="5"/>
  <c r="L17" i="5" s="1"/>
  <c r="P17" i="5"/>
  <c r="K17" i="5" s="1"/>
  <c r="Q7" i="5"/>
  <c r="L7" i="5" s="1"/>
  <c r="P7" i="5"/>
  <c r="K7" i="5" s="1"/>
  <c r="Q8" i="5"/>
  <c r="L8" i="5" s="1"/>
  <c r="P8" i="5"/>
  <c r="K8" i="5" s="1"/>
  <c r="K147" i="5"/>
  <c r="P9" i="5"/>
  <c r="K9" i="5" s="1"/>
  <c r="Q9" i="5"/>
  <c r="L9" i="5" s="1"/>
  <c r="P5" i="5"/>
  <c r="K5" i="5" s="1"/>
  <c r="Q5" i="5"/>
  <c r="L5" i="5" s="1"/>
  <c r="B11" i="8" l="1"/>
  <c r="E9" i="8"/>
  <c r="G2" i="8"/>
  <c r="G9" i="8" s="1"/>
  <c r="H2" i="8"/>
  <c r="H9" i="8" s="1"/>
  <c r="F9" i="8"/>
  <c r="M186" i="5"/>
  <c r="M193" i="5"/>
  <c r="M264" i="5"/>
  <c r="M62" i="5"/>
  <c r="M200" i="5"/>
  <c r="M175" i="5"/>
  <c r="M41" i="5"/>
  <c r="M159" i="5"/>
  <c r="M38" i="5"/>
  <c r="M31" i="5"/>
  <c r="M245" i="5"/>
  <c r="M5" i="5"/>
  <c r="M137" i="5"/>
  <c r="M198" i="5"/>
  <c r="M13" i="5"/>
  <c r="M14" i="5" s="1"/>
  <c r="M114" i="5"/>
  <c r="M86" i="5"/>
  <c r="M154" i="5"/>
  <c r="M21" i="5"/>
  <c r="M81" i="5"/>
  <c r="M70" i="5"/>
  <c r="M29" i="5"/>
  <c r="M149" i="5"/>
  <c r="M267" i="5"/>
  <c r="M268" i="5" s="1"/>
  <c r="M238" i="5"/>
  <c r="M221" i="5"/>
  <c r="M222" i="5" s="1"/>
  <c r="M46" i="5"/>
  <c r="M47" i="5" s="1"/>
  <c r="M36" i="5"/>
  <c r="M213" i="5"/>
  <c r="M214" i="5" s="1"/>
  <c r="M25" i="5"/>
  <c r="M294" i="5"/>
  <c r="M297" i="5" s="1"/>
  <c r="M116" i="5"/>
  <c r="M160" i="5"/>
  <c r="M42" i="5"/>
  <c r="M22" i="5"/>
  <c r="M24" i="5"/>
  <c r="M274" i="5"/>
  <c r="M188" i="5"/>
  <c r="M57" i="5"/>
  <c r="M150" i="5"/>
  <c r="M296" i="5"/>
  <c r="M66" i="5"/>
  <c r="M77" i="5"/>
  <c r="M80" i="5"/>
  <c r="M271" i="5"/>
  <c r="M3" i="5"/>
  <c r="M4" i="5" s="1"/>
  <c r="M279" i="5"/>
  <c r="M52" i="5"/>
  <c r="M90" i="5"/>
  <c r="M91" i="5" s="1"/>
  <c r="M225" i="5"/>
  <c r="M44" i="5"/>
  <c r="M45" i="5" s="1"/>
  <c r="M168" i="5"/>
  <c r="M169" i="5" s="1"/>
  <c r="M50" i="5"/>
  <c r="M51" i="5" s="1"/>
  <c r="M287" i="5"/>
  <c r="M256" i="5"/>
  <c r="M258" i="5" s="1"/>
  <c r="M124" i="5"/>
  <c r="M118" i="5"/>
  <c r="M216" i="5"/>
  <c r="M241" i="5"/>
  <c r="M244" i="5"/>
  <c r="M27" i="5"/>
  <c r="M32" i="5"/>
  <c r="M59" i="5"/>
  <c r="M76" i="5"/>
  <c r="M82" i="5"/>
  <c r="M120" i="5"/>
  <c r="M171" i="5"/>
  <c r="M208" i="5"/>
  <c r="M207" i="5"/>
  <c r="M215" i="5"/>
  <c r="M230" i="5"/>
  <c r="M240" i="5"/>
  <c r="M272" i="5"/>
  <c r="M280" i="5"/>
  <c r="M88" i="5"/>
  <c r="M219" i="5"/>
  <c r="M220" i="5" s="1"/>
  <c r="M40" i="5"/>
  <c r="M60" i="5"/>
  <c r="M102" i="5"/>
  <c r="M232" i="5"/>
  <c r="M254" i="5"/>
  <c r="M250" i="5"/>
  <c r="M10" i="5"/>
  <c r="M138" i="5"/>
  <c r="M63" i="5"/>
  <c r="M48" i="5"/>
  <c r="M49" i="5" s="1"/>
  <c r="M284" i="5"/>
  <c r="M285" i="5" s="1"/>
  <c r="M170" i="5"/>
  <c r="M164" i="5"/>
  <c r="M98" i="5"/>
  <c r="M92" i="5"/>
  <c r="M166" i="5"/>
  <c r="M167" i="5" s="1"/>
  <c r="M235" i="5"/>
  <c r="M236" i="5"/>
  <c r="M130" i="5"/>
  <c r="M131" i="5" s="1"/>
  <c r="M249" i="5"/>
  <c r="M180" i="5"/>
  <c r="M181" i="5" s="1"/>
  <c r="M106" i="5"/>
  <c r="M108" i="5"/>
  <c r="M122" i="5"/>
  <c r="M231" i="5"/>
  <c r="M253" i="5"/>
  <c r="M248" i="5"/>
  <c r="M246" i="5"/>
  <c r="M251" i="5"/>
  <c r="M247" i="5"/>
  <c r="M65" i="5"/>
  <c r="M273" i="5"/>
  <c r="M132" i="5"/>
  <c r="M84" i="5"/>
  <c r="M85" i="5" s="1"/>
  <c r="M211" i="5"/>
  <c r="M212" i="5" s="1"/>
  <c r="M87" i="5"/>
  <c r="M30" i="5"/>
  <c r="M23" i="5"/>
  <c r="M75" i="5"/>
  <c r="M127" i="5"/>
  <c r="M126" i="5"/>
  <c r="M185" i="5"/>
  <c r="M217" i="5"/>
  <c r="M262" i="5"/>
  <c r="M8" i="5"/>
  <c r="M261" i="5"/>
  <c r="M157" i="5"/>
  <c r="M156" i="5"/>
  <c r="M134" i="5"/>
  <c r="M112" i="5"/>
  <c r="M223" i="5"/>
  <c r="M224" i="5" s="1"/>
  <c r="M202" i="5"/>
  <c r="M182" i="5"/>
  <c r="M183" i="5" s="1"/>
  <c r="M257" i="5"/>
  <c r="M226" i="5"/>
  <c r="M73" i="5"/>
  <c r="M74" i="5" s="1"/>
  <c r="M71" i="5"/>
  <c r="M105" i="5"/>
  <c r="M151" i="5"/>
  <c r="M172" i="5"/>
  <c r="M191" i="5"/>
  <c r="M192" i="5" s="1"/>
  <c r="M194" i="5"/>
  <c r="M209" i="5"/>
  <c r="M97" i="5"/>
  <c r="M7" i="5"/>
  <c r="M204" i="5"/>
  <c r="M205" i="5" s="1"/>
  <c r="M139" i="5"/>
  <c r="M288" i="5"/>
  <c r="M269" i="5"/>
  <c r="M270" i="5" s="1"/>
  <c r="M53" i="5"/>
  <c r="M197" i="5"/>
  <c r="M199" i="5" s="1"/>
  <c r="M201" i="5"/>
  <c r="M142" i="5"/>
  <c r="M104" i="5"/>
  <c r="M125" i="5"/>
  <c r="M121" i="5"/>
  <c r="M123" i="5"/>
  <c r="M147" i="5"/>
  <c r="M95" i="5"/>
  <c r="M295" i="5"/>
  <c r="M67" i="5"/>
  <c r="M6" i="5"/>
  <c r="M286" i="5"/>
  <c r="M289" i="5" s="1"/>
  <c r="M133" i="5"/>
  <c r="M54" i="5"/>
  <c r="M111" i="5"/>
  <c r="M234" i="5"/>
  <c r="M239" i="5" s="1"/>
  <c r="M161" i="5"/>
  <c r="M37" i="5"/>
  <c r="M107" i="5"/>
  <c r="M163" i="5"/>
  <c r="M56" i="5"/>
  <c r="M265" i="5"/>
  <c r="M26" i="5"/>
  <c r="M79" i="5"/>
  <c r="M128" i="5"/>
  <c r="M184" i="5"/>
  <c r="M292" i="5"/>
  <c r="M293" i="5" s="1"/>
  <c r="M252" i="5"/>
  <c r="M177" i="5"/>
  <c r="M9" i="5"/>
  <c r="M11" i="5"/>
  <c r="M99" i="5"/>
  <c r="M228" i="5"/>
  <c r="M229" i="5" s="1"/>
  <c r="M69" i="5"/>
  <c r="M72" i="5" s="1"/>
  <c r="M28" i="5"/>
  <c r="M101" i="5"/>
  <c r="M103" i="5" s="1"/>
  <c r="M119" i="5"/>
  <c r="M195" i="5"/>
  <c r="M263" i="5"/>
  <c r="M243" i="5"/>
  <c r="M255" i="5" s="1"/>
  <c r="M140" i="5"/>
  <c r="M278" i="5"/>
  <c r="M282" i="5"/>
  <c r="M259" i="5"/>
  <c r="M260" i="5" s="1"/>
  <c r="M276" i="5"/>
  <c r="M277" i="5" s="1"/>
  <c r="M58" i="5"/>
  <c r="M109" i="5"/>
  <c r="M148" i="5"/>
  <c r="M206" i="5"/>
  <c r="M290" i="5"/>
  <c r="M291" i="5" s="1"/>
  <c r="M96" i="5"/>
  <c r="M93" i="5"/>
  <c r="M155" i="5"/>
  <c r="M115" i="5"/>
  <c r="M145" i="5"/>
  <c r="M146" i="5" s="1"/>
  <c r="M153" i="5"/>
  <c r="M158" i="5" s="1"/>
  <c r="M113" i="5"/>
  <c r="M34" i="5"/>
  <c r="M35" i="5" s="1"/>
  <c r="M15" i="5"/>
  <c r="M16" i="5" s="1"/>
  <c r="M143" i="5"/>
  <c r="M178" i="5"/>
  <c r="M281" i="5"/>
  <c r="M135" i="5"/>
  <c r="M189" i="5"/>
  <c r="M237" i="5"/>
  <c r="M174" i="5"/>
  <c r="M39" i="5"/>
  <c r="M283" i="5" l="1"/>
  <c r="M275" i="5"/>
  <c r="M266" i="5"/>
  <c r="M242" i="5"/>
  <c r="M233" i="5"/>
  <c r="M227" i="5"/>
  <c r="M187" i="5"/>
  <c r="M203" i="5"/>
  <c r="M218" i="5"/>
  <c r="M210" i="5"/>
  <c r="M165" i="5"/>
  <c r="M196" i="5"/>
  <c r="M190" i="5"/>
  <c r="M176" i="5"/>
  <c r="M179" i="5"/>
  <c r="M173" i="5"/>
  <c r="M162" i="5"/>
  <c r="M152" i="5"/>
  <c r="M144" i="5"/>
  <c r="M141" i="5"/>
  <c r="M136" i="5"/>
  <c r="M129" i="5"/>
  <c r="M61" i="5"/>
  <c r="M64" i="5"/>
  <c r="M117" i="5"/>
  <c r="M110" i="5"/>
  <c r="M100" i="5"/>
  <c r="M94" i="5"/>
  <c r="M89" i="5"/>
  <c r="M55" i="5"/>
  <c r="M43" i="5"/>
  <c r="M83" i="5"/>
  <c r="M78" i="5"/>
  <c r="M68" i="5"/>
  <c r="M12" i="5"/>
  <c r="H11" i="8"/>
  <c r="M18" i="5"/>
  <c r="M20" i="5"/>
  <c r="M33" i="5" s="1"/>
  <c r="M17" i="5"/>
  <c r="M19" i="5" l="1"/>
  <c r="AB101" i="2"/>
  <c r="AB218" i="2"/>
  <c r="AB215" i="2"/>
  <c r="AB214" i="2"/>
  <c r="AB211" i="2"/>
  <c r="AB210" i="2"/>
  <c r="AB204" i="2"/>
  <c r="AB203" i="2"/>
  <c r="AB202" i="2"/>
  <c r="AB201" i="2"/>
  <c r="AB196" i="2"/>
  <c r="AB195" i="2"/>
  <c r="AB194" i="2"/>
  <c r="AB190" i="2"/>
  <c r="AB189" i="2"/>
  <c r="AB175" i="2"/>
  <c r="AB172" i="2"/>
  <c r="AB167" i="2"/>
  <c r="AB164" i="2"/>
  <c r="AB163" i="2"/>
  <c r="AB160" i="2"/>
  <c r="AB159" i="2"/>
  <c r="AB158" i="2"/>
  <c r="AB155" i="2"/>
  <c r="AB154" i="2"/>
  <c r="AB149" i="2"/>
  <c r="AB148" i="2"/>
  <c r="AB145" i="2"/>
  <c r="AB140" i="2"/>
  <c r="AB139" i="2"/>
  <c r="AB134" i="2"/>
  <c r="AB133" i="2"/>
  <c r="AB132" i="2"/>
  <c r="AB130" i="2"/>
  <c r="AB127" i="2"/>
  <c r="AB126" i="2"/>
  <c r="AB123" i="2"/>
  <c r="AB120" i="2"/>
  <c r="AB115" i="2"/>
  <c r="AB110" i="2"/>
  <c r="AB109" i="2"/>
  <c r="AB107" i="2"/>
  <c r="AB90" i="2"/>
  <c r="AB78" i="2"/>
  <c r="AB75" i="2"/>
  <c r="AB71" i="2"/>
  <c r="AB69" i="2"/>
  <c r="AB67" i="2"/>
  <c r="AB64" i="2"/>
  <c r="AB59" i="2"/>
  <c r="AB56" i="2"/>
  <c r="AB55" i="2"/>
  <c r="AB52" i="2"/>
  <c r="AB47" i="2"/>
  <c r="AA46" i="2"/>
  <c r="AA47" i="2"/>
  <c r="AB45" i="2"/>
  <c r="AB39" i="2"/>
  <c r="AB37" i="2"/>
  <c r="AB36" i="2"/>
  <c r="AB35" i="2"/>
  <c r="AB34" i="2"/>
  <c r="AB33" i="2"/>
  <c r="AB26" i="2"/>
  <c r="AB13" i="2"/>
  <c r="AB12" i="2"/>
  <c r="AB10" i="2"/>
  <c r="AB9" i="2"/>
  <c r="AB2" i="2"/>
  <c r="AB219" i="2" l="1"/>
  <c r="R221" i="2" l="1"/>
  <c r="Q221" i="2"/>
  <c r="Y12" i="2" l="1"/>
  <c r="Z12" i="2"/>
  <c r="Y14" i="2"/>
  <c r="Z14" i="2"/>
  <c r="AA14" i="2" s="1"/>
  <c r="Y15" i="2"/>
  <c r="AA15" i="2" s="1"/>
  <c r="Z15" i="2"/>
  <c r="Y16" i="2"/>
  <c r="AA16" i="2" s="1"/>
  <c r="Z16" i="2"/>
  <c r="Y17" i="2"/>
  <c r="AA17" i="2" s="1"/>
  <c r="Z17" i="2"/>
  <c r="Y18" i="2"/>
  <c r="AA18" i="2" s="1"/>
  <c r="Z18" i="2"/>
  <c r="Y19" i="2"/>
  <c r="Z19" i="2"/>
  <c r="AA19" i="2" s="1"/>
  <c r="Y20" i="2"/>
  <c r="AA20" i="2" s="1"/>
  <c r="Z20" i="2"/>
  <c r="Y21" i="2"/>
  <c r="AA21" i="2" s="1"/>
  <c r="Z21" i="2"/>
  <c r="Y22" i="2"/>
  <c r="Z22" i="2"/>
  <c r="AA22" i="2"/>
  <c r="Y23" i="2"/>
  <c r="Z23" i="2"/>
  <c r="AA23" i="2" s="1"/>
  <c r="Y24" i="2"/>
  <c r="AA24" i="2" s="1"/>
  <c r="Z24" i="2"/>
  <c r="Y25" i="2"/>
  <c r="AA25" i="2" s="1"/>
  <c r="Z25" i="2"/>
  <c r="Y26" i="2"/>
  <c r="AA26" i="2" s="1"/>
  <c r="Z26" i="2"/>
  <c r="Y40" i="2"/>
  <c r="AA40" i="2" s="1"/>
  <c r="Z40" i="2"/>
  <c r="Y41" i="2"/>
  <c r="AA41" i="2" s="1"/>
  <c r="Z41" i="2"/>
  <c r="Y42" i="2"/>
  <c r="AA42" i="2" s="1"/>
  <c r="Z42" i="2"/>
  <c r="Y43" i="2"/>
  <c r="Z43" i="2"/>
  <c r="Y44" i="2"/>
  <c r="AA44" i="2" s="1"/>
  <c r="Z44" i="2"/>
  <c r="Y57" i="2"/>
  <c r="Z57" i="2"/>
  <c r="Y58" i="2"/>
  <c r="Z58" i="2"/>
  <c r="Y59" i="2"/>
  <c r="AA59" i="2" s="1"/>
  <c r="Z59" i="2"/>
  <c r="Y60" i="2"/>
  <c r="Z60" i="2"/>
  <c r="AA60" i="2"/>
  <c r="Y61" i="2"/>
  <c r="Z61" i="2"/>
  <c r="Y62" i="2"/>
  <c r="Z62" i="2"/>
  <c r="Y63" i="2"/>
  <c r="Z63" i="2"/>
  <c r="AA63" i="2" s="1"/>
  <c r="Y76" i="2"/>
  <c r="AA76" i="2" s="1"/>
  <c r="Z76" i="2"/>
  <c r="Y77" i="2"/>
  <c r="Z77" i="2"/>
  <c r="Y78" i="2"/>
  <c r="Z78" i="2"/>
  <c r="Y79" i="2"/>
  <c r="Z79" i="2"/>
  <c r="AA79" i="2" s="1"/>
  <c r="Y80" i="2"/>
  <c r="Z80" i="2"/>
  <c r="AA80" i="2" s="1"/>
  <c r="Y81" i="2"/>
  <c r="AA81" i="2" s="1"/>
  <c r="Z81" i="2"/>
  <c r="Y82" i="2"/>
  <c r="AA82" i="2" s="1"/>
  <c r="Z82" i="2"/>
  <c r="Y83" i="2"/>
  <c r="Z83" i="2"/>
  <c r="Y84" i="2"/>
  <c r="Z84" i="2"/>
  <c r="AA84" i="2"/>
  <c r="Y91" i="2"/>
  <c r="Z91" i="2"/>
  <c r="Y92" i="2"/>
  <c r="Z92" i="2"/>
  <c r="Y93" i="2"/>
  <c r="Z93" i="2"/>
  <c r="AA93" i="2" s="1"/>
  <c r="Y94" i="2"/>
  <c r="AA94" i="2" s="1"/>
  <c r="Z94" i="2"/>
  <c r="Y95" i="2"/>
  <c r="AA95" i="2" s="1"/>
  <c r="Z95" i="2"/>
  <c r="Y96" i="2"/>
  <c r="AA96" i="2" s="1"/>
  <c r="Z96" i="2"/>
  <c r="Y97" i="2"/>
  <c r="Z97" i="2"/>
  <c r="Y98" i="2"/>
  <c r="AA98" i="2" s="1"/>
  <c r="Z98" i="2"/>
  <c r="Y99" i="2"/>
  <c r="Z99" i="2"/>
  <c r="Y100" i="2"/>
  <c r="Z100" i="2"/>
  <c r="Y101" i="2"/>
  <c r="Z101" i="2"/>
  <c r="AA101" i="2" s="1"/>
  <c r="Y111" i="2"/>
  <c r="Z111" i="2"/>
  <c r="AA111" i="2" s="1"/>
  <c r="Y112" i="2"/>
  <c r="AA112" i="2" s="1"/>
  <c r="Z112" i="2"/>
  <c r="Y113" i="2"/>
  <c r="AA113" i="2" s="1"/>
  <c r="Z113" i="2"/>
  <c r="Y114" i="2"/>
  <c r="Z114" i="2"/>
  <c r="Y115" i="2"/>
  <c r="Z115" i="2"/>
  <c r="AA115" i="2"/>
  <c r="Y127" i="2"/>
  <c r="Z127" i="2"/>
  <c r="Y128" i="2"/>
  <c r="Z128" i="2"/>
  <c r="Y129" i="2"/>
  <c r="Z129" i="2"/>
  <c r="AA129" i="2" s="1"/>
  <c r="Y130" i="2"/>
  <c r="AA130" i="2" s="1"/>
  <c r="Z130" i="2"/>
  <c r="Y135" i="2"/>
  <c r="AA135" i="2" s="1"/>
  <c r="Z135" i="2"/>
  <c r="Y136" i="2"/>
  <c r="AA136" i="2" s="1"/>
  <c r="Z136" i="2"/>
  <c r="Y137" i="2"/>
  <c r="Z137" i="2"/>
  <c r="Y140" i="2"/>
  <c r="AA140" i="2" s="1"/>
  <c r="Z140" i="2"/>
  <c r="Y141" i="2"/>
  <c r="Z141" i="2"/>
  <c r="Y142" i="2"/>
  <c r="Z142" i="2"/>
  <c r="Y143" i="2"/>
  <c r="Z143" i="2"/>
  <c r="AA143" i="2" s="1"/>
  <c r="Y150" i="2"/>
  <c r="Z150" i="2"/>
  <c r="AA150" i="2" s="1"/>
  <c r="Y151" i="2"/>
  <c r="AA151" i="2" s="1"/>
  <c r="Z151" i="2"/>
  <c r="Y152" i="2"/>
  <c r="AA152" i="2" s="1"/>
  <c r="Z152" i="2"/>
  <c r="Y153" i="2"/>
  <c r="Z153" i="2"/>
  <c r="Y156" i="2"/>
  <c r="Z156" i="2"/>
  <c r="AA156" i="2"/>
  <c r="Y157" i="2"/>
  <c r="Z157" i="2"/>
  <c r="Y158" i="2"/>
  <c r="Z158" i="2"/>
  <c r="Y165" i="2"/>
  <c r="Z165" i="2"/>
  <c r="AA165" i="2" s="1"/>
  <c r="Y166" i="2"/>
  <c r="AA166" i="2" s="1"/>
  <c r="Z166" i="2"/>
  <c r="Y167" i="2"/>
  <c r="AA167" i="2" s="1"/>
  <c r="Z167" i="2"/>
  <c r="Y215" i="2"/>
  <c r="AA215" i="2" s="1"/>
  <c r="Z215" i="2"/>
  <c r="Y173" i="2"/>
  <c r="Z173" i="2"/>
  <c r="Y174" i="2"/>
  <c r="AA174" i="2" s="1"/>
  <c r="Z174" i="2"/>
  <c r="Y191" i="2"/>
  <c r="Z191" i="2"/>
  <c r="Y192" i="2"/>
  <c r="Z192" i="2"/>
  <c r="Y193" i="2"/>
  <c r="Z193" i="2"/>
  <c r="AA193" i="2" s="1"/>
  <c r="Y194" i="2"/>
  <c r="Z194" i="2"/>
  <c r="AA194" i="2" s="1"/>
  <c r="Y155" i="2"/>
  <c r="AA155" i="2" s="1"/>
  <c r="Z155" i="2"/>
  <c r="Y13" i="2"/>
  <c r="AA13" i="2" s="1"/>
  <c r="Z13" i="2"/>
  <c r="Y176" i="2"/>
  <c r="Z176" i="2"/>
  <c r="Y177" i="2"/>
  <c r="Z177" i="2"/>
  <c r="AA177" i="2"/>
  <c r="Y178" i="2"/>
  <c r="Z178" i="2"/>
  <c r="Y179" i="2"/>
  <c r="Z179" i="2"/>
  <c r="Y180" i="2"/>
  <c r="Z180" i="2"/>
  <c r="AA180" i="2" s="1"/>
  <c r="Y181" i="2"/>
  <c r="AA181" i="2" s="1"/>
  <c r="Z181" i="2"/>
  <c r="Y182" i="2"/>
  <c r="AA182" i="2" s="1"/>
  <c r="Z182" i="2"/>
  <c r="Y183" i="2"/>
  <c r="AA183" i="2" s="1"/>
  <c r="Z183" i="2"/>
  <c r="Y184" i="2"/>
  <c r="Z184" i="2"/>
  <c r="Y185" i="2"/>
  <c r="AA185" i="2" s="1"/>
  <c r="Z185" i="2"/>
  <c r="Y186" i="2"/>
  <c r="Z186" i="2"/>
  <c r="Y187" i="2"/>
  <c r="Z187" i="2"/>
  <c r="Y124" i="2"/>
  <c r="Z124" i="2"/>
  <c r="AA124" i="2" s="1"/>
  <c r="Y125" i="2"/>
  <c r="Z125" i="2"/>
  <c r="AA125" i="2" s="1"/>
  <c r="Y72" i="2"/>
  <c r="AA72" i="2" s="1"/>
  <c r="Z72" i="2"/>
  <c r="Y73" i="2"/>
  <c r="AA73" i="2" s="1"/>
  <c r="Z73" i="2"/>
  <c r="Y74" i="2"/>
  <c r="Z74" i="2"/>
  <c r="Y75" i="2"/>
  <c r="Z75" i="2"/>
  <c r="AA75" i="2"/>
  <c r="Y216" i="2"/>
  <c r="Z216" i="2"/>
  <c r="Y217" i="2"/>
  <c r="Z217" i="2"/>
  <c r="Y218" i="2"/>
  <c r="Z218" i="2"/>
  <c r="AA218" i="2" s="1"/>
  <c r="Y48" i="2"/>
  <c r="AA48" i="2" s="1"/>
  <c r="Z48" i="2"/>
  <c r="Y49" i="2"/>
  <c r="AA49" i="2" s="1"/>
  <c r="Z49" i="2"/>
  <c r="Y50" i="2"/>
  <c r="AA50" i="2" s="1"/>
  <c r="Z50" i="2"/>
  <c r="Y51" i="2"/>
  <c r="Z51" i="2"/>
  <c r="Y3" i="2"/>
  <c r="AA3" i="2" s="1"/>
  <c r="Z3" i="2"/>
  <c r="Y4" i="2"/>
  <c r="Z4" i="2"/>
  <c r="Y5" i="2"/>
  <c r="Z5" i="2"/>
  <c r="Y6" i="2"/>
  <c r="Z6" i="2"/>
  <c r="AA6" i="2" s="1"/>
  <c r="Y7" i="2"/>
  <c r="Z7" i="2"/>
  <c r="AA7" i="2" s="1"/>
  <c r="Y8" i="2"/>
  <c r="AA8" i="2" s="1"/>
  <c r="Z8" i="2"/>
  <c r="Y9" i="2"/>
  <c r="AA9" i="2" s="1"/>
  <c r="Z9" i="2"/>
  <c r="Y133" i="2"/>
  <c r="Z133" i="2"/>
  <c r="Y149" i="2"/>
  <c r="Z149" i="2"/>
  <c r="AA149" i="2"/>
  <c r="Y197" i="2"/>
  <c r="Z197" i="2"/>
  <c r="Y198" i="2"/>
  <c r="Z198" i="2"/>
  <c r="Y199" i="2"/>
  <c r="Z199" i="2"/>
  <c r="AA199" i="2" s="1"/>
  <c r="Y200" i="2"/>
  <c r="AA200" i="2" s="1"/>
  <c r="Z200" i="2"/>
  <c r="Y201" i="2"/>
  <c r="AA201" i="2" s="1"/>
  <c r="Z201" i="2"/>
  <c r="Y103" i="2"/>
  <c r="AA103" i="2" s="1"/>
  <c r="Z103" i="2"/>
  <c r="Y104" i="2"/>
  <c r="Z104" i="2"/>
  <c r="Y105" i="2"/>
  <c r="AA105" i="2" s="1"/>
  <c r="Z105" i="2"/>
  <c r="Y106" i="2"/>
  <c r="Z106" i="2"/>
  <c r="Y107" i="2"/>
  <c r="Z107" i="2"/>
  <c r="Y205" i="2"/>
  <c r="Z205" i="2"/>
  <c r="AA205" i="2" s="1"/>
  <c r="Y206" i="2"/>
  <c r="Z206" i="2"/>
  <c r="AA206" i="2" s="1"/>
  <c r="Y207" i="2"/>
  <c r="AA207" i="2" s="1"/>
  <c r="Z207" i="2"/>
  <c r="Y208" i="2"/>
  <c r="AA208" i="2" s="1"/>
  <c r="Z208" i="2"/>
  <c r="Y209" i="2"/>
  <c r="Z209" i="2"/>
  <c r="Y210" i="2"/>
  <c r="Z210" i="2"/>
  <c r="AA210" i="2"/>
  <c r="Y46" i="2"/>
  <c r="Z46" i="2"/>
  <c r="Y47" i="2"/>
  <c r="Z47" i="2"/>
  <c r="Y212" i="2"/>
  <c r="Z212" i="2"/>
  <c r="AA212" i="2" s="1"/>
  <c r="Y213" i="2"/>
  <c r="AA213" i="2" s="1"/>
  <c r="Z213" i="2"/>
  <c r="Y214" i="2"/>
  <c r="AA214" i="2" s="1"/>
  <c r="Z214" i="2"/>
  <c r="Y70" i="2"/>
  <c r="AA70" i="2" s="1"/>
  <c r="Z70" i="2"/>
  <c r="Y71" i="2"/>
  <c r="Z71" i="2"/>
  <c r="Y116" i="2"/>
  <c r="AA116" i="2" s="1"/>
  <c r="Z116" i="2"/>
  <c r="Y117" i="2"/>
  <c r="Z117" i="2"/>
  <c r="Y118" i="2"/>
  <c r="Z118" i="2"/>
  <c r="Y119" i="2"/>
  <c r="Z119" i="2"/>
  <c r="AA119" i="2" s="1"/>
  <c r="Y120" i="2"/>
  <c r="Z120" i="2"/>
  <c r="AA120" i="2" s="1"/>
  <c r="Y196" i="2"/>
  <c r="AA196" i="2" s="1"/>
  <c r="Z196" i="2"/>
  <c r="Y102" i="2"/>
  <c r="AA102" i="2" s="1"/>
  <c r="Z102" i="2"/>
  <c r="Y164" i="2"/>
  <c r="Z164" i="2"/>
  <c r="Y202" i="2"/>
  <c r="Z202" i="2"/>
  <c r="AA202" i="2"/>
  <c r="Y10" i="2"/>
  <c r="Z10" i="2"/>
  <c r="Y38" i="2"/>
  <c r="Z38" i="2"/>
  <c r="Y39" i="2"/>
  <c r="Z39" i="2"/>
  <c r="AA39" i="2" s="1"/>
  <c r="Y45" i="2"/>
  <c r="AA45" i="2" s="1"/>
  <c r="Z45" i="2"/>
  <c r="Y52" i="2"/>
  <c r="Z52" i="2"/>
  <c r="Y64" i="2"/>
  <c r="AA64" i="2" s="1"/>
  <c r="Z64" i="2"/>
  <c r="Y85" i="2"/>
  <c r="Z85" i="2"/>
  <c r="AA85" i="2" s="1"/>
  <c r="Y86" i="2"/>
  <c r="AA86" i="2" s="1"/>
  <c r="Z86" i="2"/>
  <c r="Y87" i="2"/>
  <c r="Z87" i="2"/>
  <c r="Y88" i="2"/>
  <c r="Z88" i="2"/>
  <c r="Y89" i="2"/>
  <c r="Z89" i="2"/>
  <c r="AA89" i="2" s="1"/>
  <c r="Y90" i="2"/>
  <c r="Z90" i="2"/>
  <c r="AA90" i="2"/>
  <c r="Y126" i="2"/>
  <c r="AA126" i="2" s="1"/>
  <c r="Z126" i="2"/>
  <c r="Y138" i="2"/>
  <c r="Z138" i="2"/>
  <c r="Y139" i="2"/>
  <c r="Z139" i="2"/>
  <c r="Y144" i="2"/>
  <c r="Z144" i="2"/>
  <c r="AA144" i="2"/>
  <c r="Y145" i="2"/>
  <c r="Z145" i="2"/>
  <c r="Y154" i="2"/>
  <c r="Z154" i="2"/>
  <c r="Y175" i="2"/>
  <c r="Z175" i="2"/>
  <c r="AA175" i="2" s="1"/>
  <c r="Y188" i="2"/>
  <c r="AA188" i="2" s="1"/>
  <c r="Z188" i="2"/>
  <c r="Y189" i="2"/>
  <c r="Z189" i="2"/>
  <c r="Y134" i="2"/>
  <c r="AA134" i="2" s="1"/>
  <c r="Z134" i="2"/>
  <c r="Y190" i="2"/>
  <c r="Z190" i="2"/>
  <c r="AA190" i="2" s="1"/>
  <c r="Y68" i="2"/>
  <c r="AA68" i="2" s="1"/>
  <c r="Z68" i="2"/>
  <c r="Y69" i="2"/>
  <c r="Z69" i="2"/>
  <c r="Y195" i="2"/>
  <c r="Z195" i="2"/>
  <c r="Y204" i="2"/>
  <c r="Z204" i="2"/>
  <c r="AA204" i="2" s="1"/>
  <c r="Y168" i="2"/>
  <c r="Z168" i="2"/>
  <c r="AA168" i="2"/>
  <c r="Y169" i="2"/>
  <c r="AA169" i="2" s="1"/>
  <c r="Z169" i="2"/>
  <c r="Y170" i="2"/>
  <c r="Z170" i="2"/>
  <c r="Y171" i="2"/>
  <c r="Z171" i="2"/>
  <c r="Y172" i="2"/>
  <c r="Z172" i="2"/>
  <c r="AA172" i="2"/>
  <c r="Y161" i="2"/>
  <c r="Z161" i="2"/>
  <c r="Y162" i="2"/>
  <c r="Z162" i="2"/>
  <c r="Y163" i="2"/>
  <c r="Z163" i="2"/>
  <c r="AA163" i="2" s="1"/>
  <c r="Y56" i="2"/>
  <c r="Z56" i="2"/>
  <c r="Y65" i="2"/>
  <c r="Z65" i="2"/>
  <c r="Y66" i="2"/>
  <c r="Z66" i="2"/>
  <c r="Y67" i="2"/>
  <c r="Z67" i="2"/>
  <c r="AA67" i="2" s="1"/>
  <c r="Y110" i="2"/>
  <c r="Z110" i="2"/>
  <c r="Y160" i="2"/>
  <c r="Z160" i="2"/>
  <c r="Y37" i="2"/>
  <c r="AA37" i="2" s="1"/>
  <c r="Z37" i="2"/>
  <c r="Y2" i="2"/>
  <c r="Z2" i="2"/>
  <c r="Y146" i="2"/>
  <c r="AA146" i="2" s="1"/>
  <c r="Z146" i="2"/>
  <c r="Y147" i="2"/>
  <c r="Z147" i="2"/>
  <c r="Y148" i="2"/>
  <c r="AA148" i="2" s="1"/>
  <c r="Z148" i="2"/>
  <c r="Y131" i="2"/>
  <c r="AA131" i="2" s="1"/>
  <c r="Z131" i="2"/>
  <c r="Y132" i="2"/>
  <c r="Z132" i="2"/>
  <c r="Y121" i="2"/>
  <c r="AA121" i="2" s="1"/>
  <c r="Z121" i="2"/>
  <c r="Y122" i="2"/>
  <c r="Z122" i="2"/>
  <c r="AA122" i="2"/>
  <c r="Y123" i="2"/>
  <c r="Z123" i="2"/>
  <c r="AA123" i="2"/>
  <c r="Y159" i="2"/>
  <c r="AA159" i="2" s="1"/>
  <c r="Z159" i="2"/>
  <c r="Y36" i="2"/>
  <c r="Z36" i="2"/>
  <c r="Y28" i="2"/>
  <c r="AA28" i="2" s="1"/>
  <c r="Z28" i="2"/>
  <c r="Y203" i="2"/>
  <c r="AA203" i="2" s="1"/>
  <c r="Z203" i="2"/>
  <c r="Y53" i="2"/>
  <c r="Z53" i="2"/>
  <c r="Y54" i="2"/>
  <c r="AA54" i="2" s="1"/>
  <c r="Z54" i="2"/>
  <c r="Y55" i="2"/>
  <c r="Z55" i="2"/>
  <c r="AA55" i="2"/>
  <c r="Y108" i="2"/>
  <c r="Z108" i="2"/>
  <c r="AA108" i="2"/>
  <c r="Y109" i="2"/>
  <c r="AA109" i="2" s="1"/>
  <c r="Z109" i="2"/>
  <c r="Y34" i="2"/>
  <c r="Z34" i="2"/>
  <c r="Y35" i="2"/>
  <c r="AA35" i="2" s="1"/>
  <c r="Z35" i="2"/>
  <c r="Y27" i="2"/>
  <c r="AA27" i="2" s="1"/>
  <c r="Z27" i="2"/>
  <c r="Y29" i="2"/>
  <c r="Z29" i="2"/>
  <c r="Y30" i="2"/>
  <c r="AA30" i="2" s="1"/>
  <c r="Z30" i="2"/>
  <c r="Y31" i="2"/>
  <c r="Z31" i="2"/>
  <c r="Y32" i="2"/>
  <c r="AA32" i="2" s="1"/>
  <c r="Z32" i="2"/>
  <c r="Y33" i="2"/>
  <c r="Z33" i="2"/>
  <c r="Y211" i="2"/>
  <c r="Z211" i="2"/>
  <c r="Z11" i="2"/>
  <c r="AA11" i="2" s="1"/>
  <c r="Y11" i="2"/>
  <c r="AA33" i="2" l="1"/>
  <c r="AA66" i="2"/>
  <c r="AA162" i="2"/>
  <c r="AA69" i="2"/>
  <c r="AA154" i="2"/>
  <c r="AA87" i="2"/>
  <c r="AA38" i="2"/>
  <c r="AA117" i="2"/>
  <c r="AA71" i="2"/>
  <c r="AA106" i="2"/>
  <c r="AA104" i="2"/>
  <c r="AA198" i="2"/>
  <c r="AA4" i="2"/>
  <c r="AA51" i="2"/>
  <c r="AA217" i="2"/>
  <c r="AA186" i="2"/>
  <c r="AA184" i="2"/>
  <c r="AA179" i="2"/>
  <c r="AA191" i="2"/>
  <c r="AA173" i="2"/>
  <c r="AA158" i="2"/>
  <c r="AA141" i="2"/>
  <c r="AA137" i="2"/>
  <c r="AA128" i="2"/>
  <c r="AA99" i="2"/>
  <c r="AA97" i="2"/>
  <c r="AA92" i="2"/>
  <c r="AA77" i="2"/>
  <c r="AA62" i="2"/>
  <c r="AA57" i="2"/>
  <c r="AA43" i="2"/>
  <c r="Z221" i="2"/>
  <c r="AA189" i="2"/>
  <c r="AA138" i="2"/>
  <c r="AA2" i="2"/>
  <c r="AA221" i="2"/>
  <c r="AA110" i="2"/>
  <c r="AA56" i="2"/>
  <c r="AA31" i="2"/>
  <c r="AA29" i="2"/>
  <c r="AA34" i="2"/>
  <c r="AA53" i="2"/>
  <c r="AA36" i="2"/>
  <c r="AA132" i="2"/>
  <c r="AA147" i="2"/>
  <c r="AA170" i="2"/>
  <c r="AA52" i="2"/>
  <c r="AA211" i="2"/>
  <c r="AA160" i="2"/>
  <c r="AA65" i="2"/>
  <c r="AA161" i="2"/>
  <c r="AA171" i="2"/>
  <c r="AA195" i="2"/>
  <c r="AA145" i="2"/>
  <c r="AA139" i="2"/>
  <c r="AA88" i="2"/>
  <c r="AA10" i="2"/>
  <c r="AA164" i="2"/>
  <c r="AA118" i="2"/>
  <c r="AA209" i="2"/>
  <c r="AA107" i="2"/>
  <c r="AA197" i="2"/>
  <c r="AA133" i="2"/>
  <c r="AA5" i="2"/>
  <c r="AA216" i="2"/>
  <c r="AA74" i="2"/>
  <c r="AA187" i="2"/>
  <c r="AA178" i="2"/>
  <c r="AA176" i="2"/>
  <c r="AA192" i="2"/>
  <c r="AA157" i="2"/>
  <c r="AA153" i="2"/>
  <c r="AA142" i="2"/>
  <c r="AA127" i="2"/>
  <c r="AA114" i="2"/>
  <c r="AA100" i="2"/>
  <c r="AA91" i="2"/>
  <c r="AA83" i="2"/>
  <c r="AA78" i="2"/>
  <c r="AA61" i="2"/>
  <c r="AA58" i="2"/>
  <c r="AA12" i="2"/>
  <c r="AA219" i="2" s="1"/>
  <c r="Y219" i="2"/>
  <c r="Z219" i="2" l="1"/>
  <c r="R225" i="2" l="1"/>
  <c r="Q225" i="2"/>
  <c r="R223" i="2"/>
  <c r="Q223" i="2"/>
  <c r="AA223" i="2" l="1"/>
  <c r="Z223" i="2"/>
  <c r="Z225" i="2" l="1"/>
  <c r="AA225" i="2"/>
  <c r="AA226" i="2" l="1"/>
</calcChain>
</file>

<file path=xl/sharedStrings.xml><?xml version="1.0" encoding="utf-8"?>
<sst xmlns="http://schemas.openxmlformats.org/spreadsheetml/2006/main" count="4242" uniqueCount="842">
  <si>
    <t>Building</t>
  </si>
  <si>
    <t>Address</t>
  </si>
  <si>
    <t>City</t>
  </si>
  <si>
    <t>State</t>
  </si>
  <si>
    <t>Zip</t>
  </si>
  <si>
    <t>Floor</t>
  </si>
  <si>
    <t>Room</t>
  </si>
  <si>
    <t>Model</t>
  </si>
  <si>
    <t>Serial Number</t>
  </si>
  <si>
    <t>IP Address</t>
  </si>
  <si>
    <t>Device Type</t>
  </si>
  <si>
    <t>CPC B/W</t>
  </si>
  <si>
    <t>CPC Color</t>
  </si>
  <si>
    <t>Preston Library</t>
  </si>
  <si>
    <t>VMI</t>
  </si>
  <si>
    <t>Lexington</t>
  </si>
  <si>
    <t>Virginia</t>
  </si>
  <si>
    <t>Main</t>
  </si>
  <si>
    <t>AF MPC2051</t>
  </si>
  <si>
    <t>10_03_011_64125_5521</t>
  </si>
  <si>
    <t>Reception</t>
  </si>
  <si>
    <t>V9725501242</t>
  </si>
  <si>
    <t>144.75.181.16</t>
  </si>
  <si>
    <t>MFD</t>
  </si>
  <si>
    <t>Preston Hall</t>
  </si>
  <si>
    <t>AF SP4310N</t>
  </si>
  <si>
    <t>10_03_041_62100_5521</t>
  </si>
  <si>
    <t>T2238911520</t>
  </si>
  <si>
    <t>144.75.185.13</t>
  </si>
  <si>
    <t>Printer</t>
  </si>
  <si>
    <t>300A</t>
  </si>
  <si>
    <t>AF MPC3502</t>
  </si>
  <si>
    <t>10_03_045_34100_5521</t>
  </si>
  <si>
    <t>Archives/Undergraduate Research</t>
  </si>
  <si>
    <t>W502L700081</t>
  </si>
  <si>
    <t>144.75.197.69</t>
  </si>
  <si>
    <t>400B</t>
  </si>
  <si>
    <t>V9725401436</t>
  </si>
  <si>
    <t>144.75.196.28</t>
  </si>
  <si>
    <t>Carroll Hall</t>
  </si>
  <si>
    <t>210C</t>
  </si>
  <si>
    <t>10_03_064_50550_5521</t>
  </si>
  <si>
    <t>ADV</t>
  </si>
  <si>
    <t>T1128911292</t>
  </si>
  <si>
    <t>144.75.195.20</t>
  </si>
  <si>
    <t>Center for Leadership &amp; Ethics</t>
  </si>
  <si>
    <t>30_00_045_61150_5521</t>
  </si>
  <si>
    <t>T1129012327</t>
  </si>
  <si>
    <t>144.75.215.10</t>
  </si>
  <si>
    <t>Cocke Hall</t>
  </si>
  <si>
    <t>10_03_011_76100_5521</t>
  </si>
  <si>
    <t>Physical Education</t>
  </si>
  <si>
    <t>T1128911213</t>
  </si>
  <si>
    <t>144.75.177.49</t>
  </si>
  <si>
    <t>Kilbourne Hall</t>
  </si>
  <si>
    <t>10_03_011_72100_5521</t>
  </si>
  <si>
    <t>Naval Rotc</t>
  </si>
  <si>
    <t>T1129010744</t>
  </si>
  <si>
    <t>144.75.187.31</t>
  </si>
  <si>
    <t>10_03_011_04100_5521</t>
  </si>
  <si>
    <t>Army Rotc</t>
  </si>
  <si>
    <t>T1129010677</t>
  </si>
  <si>
    <t>144.75.187.133</t>
  </si>
  <si>
    <t>Scott Shipp Hall</t>
  </si>
  <si>
    <t>10_03_011_68100_5521</t>
  </si>
  <si>
    <t>Modern Languages</t>
  </si>
  <si>
    <t>T1129011164</t>
  </si>
  <si>
    <t>144.75.213.45</t>
  </si>
  <si>
    <t>T1129010869</t>
  </si>
  <si>
    <t>144.75.187.137</t>
  </si>
  <si>
    <t>10_03_011_02100_5521</t>
  </si>
  <si>
    <t>Air Force Rotc</t>
  </si>
  <si>
    <t>T1129010871</t>
  </si>
  <si>
    <t>144.75.187.135</t>
  </si>
  <si>
    <t>T1129010889</t>
  </si>
  <si>
    <t>144.75.187.123</t>
  </si>
  <si>
    <t>Letcher Hall</t>
  </si>
  <si>
    <t>301 Letcher Avenue</t>
  </si>
  <si>
    <t>HR</t>
  </si>
  <si>
    <t>10_03_063_74100_5521</t>
  </si>
  <si>
    <t>Human Resources</t>
  </si>
  <si>
    <t>V9725401440</t>
  </si>
  <si>
    <t>144.75.215.28</t>
  </si>
  <si>
    <t>Mallory Hall</t>
  </si>
  <si>
    <t>AF MP301SP</t>
  </si>
  <si>
    <t>Math/Computer Science</t>
  </si>
  <si>
    <t>W912P602284</t>
  </si>
  <si>
    <t>144.75.182.242</t>
  </si>
  <si>
    <t>New Barracks</t>
  </si>
  <si>
    <t>C11</t>
  </si>
  <si>
    <t>AF MP4002</t>
  </si>
  <si>
    <t>W522L700693</t>
  </si>
  <si>
    <t>144.75.188.60</t>
  </si>
  <si>
    <t>Nichols Hall</t>
  </si>
  <si>
    <t>C10</t>
  </si>
  <si>
    <t>T1128710825</t>
  </si>
  <si>
    <t>144.75.189.87</t>
  </si>
  <si>
    <t>3-303</t>
  </si>
  <si>
    <t>10_07_205_30150_5521</t>
  </si>
  <si>
    <t>OC Hole</t>
  </si>
  <si>
    <t>3C-26</t>
  </si>
  <si>
    <t>W912P602290</t>
  </si>
  <si>
    <t>144.75.143.18</t>
  </si>
  <si>
    <t>T1128811911</t>
  </si>
  <si>
    <t>144.75.193.178</t>
  </si>
  <si>
    <t>Richardson Hall</t>
  </si>
  <si>
    <t>Store</t>
  </si>
  <si>
    <t>10_08_302_82190_5521</t>
  </si>
  <si>
    <t>Military Store</t>
  </si>
  <si>
    <t>T1129012233</t>
  </si>
  <si>
    <t>144.75.180.101</t>
  </si>
  <si>
    <t>V9725500671</t>
  </si>
  <si>
    <t>144.75.185.38</t>
  </si>
  <si>
    <t>Old Barracks</t>
  </si>
  <si>
    <t>T112901223</t>
  </si>
  <si>
    <t>144.75.190.21</t>
  </si>
  <si>
    <t>B8</t>
  </si>
  <si>
    <t>AF SPC242DN</t>
  </si>
  <si>
    <t>10_03_064_32145_5521</t>
  </si>
  <si>
    <t>135C</t>
  </si>
  <si>
    <t>T202P700470</t>
  </si>
  <si>
    <t>144.75.190.50</t>
  </si>
  <si>
    <t>Guard Room</t>
  </si>
  <si>
    <t>T1128811958</t>
  </si>
  <si>
    <t>144.75.190.30</t>
  </si>
  <si>
    <t>Maury Brooke</t>
  </si>
  <si>
    <t>10_03_011_10100_5521</t>
  </si>
  <si>
    <t>Biology</t>
  </si>
  <si>
    <t>203B</t>
  </si>
  <si>
    <t>T1129011365</t>
  </si>
  <si>
    <t>144.75.202.56</t>
  </si>
  <si>
    <t>203A</t>
  </si>
  <si>
    <t>T1128911356</t>
  </si>
  <si>
    <t>144.75.202.51</t>
  </si>
  <si>
    <t>10_03_064_82140_5521</t>
  </si>
  <si>
    <t>Mail Services</t>
  </si>
  <si>
    <t>W912P602291</t>
  </si>
  <si>
    <t>144.75.130.87</t>
  </si>
  <si>
    <t>T11229010836</t>
  </si>
  <si>
    <t>10_03_011_78100_5521</t>
  </si>
  <si>
    <t>T1129011359</t>
  </si>
  <si>
    <t>144.75.182.15</t>
  </si>
  <si>
    <t>Laundry</t>
  </si>
  <si>
    <t>10_08_303_82240_5521</t>
  </si>
  <si>
    <t>T202P700340</t>
  </si>
  <si>
    <t>144.75.195.95</t>
  </si>
  <si>
    <t>Cameron Hall</t>
  </si>
  <si>
    <t>Athletics TRAC</t>
  </si>
  <si>
    <t>T1129010426</t>
  </si>
  <si>
    <t>144.75.183.68</t>
  </si>
  <si>
    <t>10_03_011_64100_5521</t>
  </si>
  <si>
    <t>T1129011355</t>
  </si>
  <si>
    <t>144.75.182.61</t>
  </si>
  <si>
    <t>307 Letcher</t>
  </si>
  <si>
    <t>10_03_054_01100_5521</t>
  </si>
  <si>
    <t>W502L600872</t>
  </si>
  <si>
    <t>144.75.215.48</t>
  </si>
  <si>
    <t>V9725400756</t>
  </si>
  <si>
    <t>144.75.215.6</t>
  </si>
  <si>
    <t>10_03_011_38100_5521</t>
  </si>
  <si>
    <t>T1129011173</t>
  </si>
  <si>
    <t>144.75.193.191</t>
  </si>
  <si>
    <t>AF MPC4502</t>
  </si>
  <si>
    <t>W512L601983</t>
  </si>
  <si>
    <t>144.75.182.151</t>
  </si>
  <si>
    <t>Comp. Lab</t>
  </si>
  <si>
    <t>T1128910780</t>
  </si>
  <si>
    <t>144.75.209.11</t>
  </si>
  <si>
    <t>10_03_011_40100_5521</t>
  </si>
  <si>
    <t>T1128910772</t>
  </si>
  <si>
    <t>144.75.207.34</t>
  </si>
  <si>
    <t>T1129010681</t>
  </si>
  <si>
    <t>144.75.187.136</t>
  </si>
  <si>
    <t>W502L601236</t>
  </si>
  <si>
    <t>144.75.182.208</t>
  </si>
  <si>
    <t>10_03_011_86100_5521</t>
  </si>
  <si>
    <t>T1128911364</t>
  </si>
  <si>
    <t>144.75.195.106</t>
  </si>
  <si>
    <t>W512L601987</t>
  </si>
  <si>
    <t>144.75.195.105</t>
  </si>
  <si>
    <t>T1129010837</t>
  </si>
  <si>
    <t>144.75.187.131</t>
  </si>
  <si>
    <t>T1129010820</t>
  </si>
  <si>
    <t>144.75.187.121</t>
  </si>
  <si>
    <t>T1129010760</t>
  </si>
  <si>
    <t>144.75.187.119</t>
  </si>
  <si>
    <t>302D</t>
  </si>
  <si>
    <t>10_03_055_42100_5521</t>
  </si>
  <si>
    <t>Financial Aid</t>
  </si>
  <si>
    <t>T1128911366</t>
  </si>
  <si>
    <t>144.75.195.102</t>
  </si>
  <si>
    <t>T1129010419</t>
  </si>
  <si>
    <t>144.75.183.69</t>
  </si>
  <si>
    <t>Information Technology</t>
  </si>
  <si>
    <t>T1129011163</t>
  </si>
  <si>
    <t>144.75.189.15</t>
  </si>
  <si>
    <t>T1129010900</t>
  </si>
  <si>
    <t>144.75.187.132</t>
  </si>
  <si>
    <t>403H</t>
  </si>
  <si>
    <t>10_03_011_26100_5521</t>
  </si>
  <si>
    <t>Chemistry</t>
  </si>
  <si>
    <t>203C</t>
  </si>
  <si>
    <t>T1129011350</t>
  </si>
  <si>
    <t>144.75.202.13</t>
  </si>
  <si>
    <t>T1129010306</t>
  </si>
  <si>
    <t>144.74.185.15</t>
  </si>
  <si>
    <t>T1129010888</t>
  </si>
  <si>
    <t>144.75.215.69</t>
  </si>
  <si>
    <t>T1129011038</t>
  </si>
  <si>
    <t>144.75.196.8</t>
  </si>
  <si>
    <t>T1129010748</t>
  </si>
  <si>
    <t>144.75.187.112</t>
  </si>
  <si>
    <t>AF MP6001</t>
  </si>
  <si>
    <t>Fair Use</t>
  </si>
  <si>
    <t>V6925300966</t>
  </si>
  <si>
    <t>144.75.212.17</t>
  </si>
  <si>
    <t>T1128910785</t>
  </si>
  <si>
    <t>144.75.207.53</t>
  </si>
  <si>
    <t>320C</t>
  </si>
  <si>
    <t>T1128810903</t>
  </si>
  <si>
    <t>144.75.177.33</t>
  </si>
  <si>
    <t>10_03_011_36100_5521</t>
  </si>
  <si>
    <t>T1128910788</t>
  </si>
  <si>
    <t>144.75.214.43</t>
  </si>
  <si>
    <t>T1128910781</t>
  </si>
  <si>
    <t>144.75.207.52</t>
  </si>
  <si>
    <t>10_03_053_20300_5521</t>
  </si>
  <si>
    <t>T1128911361</t>
  </si>
  <si>
    <t>144.75.195.81</t>
  </si>
  <si>
    <t>T1129011357</t>
  </si>
  <si>
    <t>144.75.182.239</t>
  </si>
  <si>
    <t>Football Department</t>
  </si>
  <si>
    <t>T1129012226</t>
  </si>
  <si>
    <t>144.75.216.21</t>
  </si>
  <si>
    <t>Institute</t>
  </si>
  <si>
    <t>10_03_071_14788_5521</t>
  </si>
  <si>
    <t>T1129010870</t>
  </si>
  <si>
    <t>144.75.201.9</t>
  </si>
  <si>
    <t>T1129010902</t>
  </si>
  <si>
    <t>144.75.187.16</t>
  </si>
  <si>
    <t>T1128910789</t>
  </si>
  <si>
    <t>144.75.207.56</t>
  </si>
  <si>
    <t>10_03_011_28100_5521</t>
  </si>
  <si>
    <t>W512L700506</t>
  </si>
  <si>
    <t>144.75.193.90</t>
  </si>
  <si>
    <t>T1128911511</t>
  </si>
  <si>
    <t>144.75.185.11</t>
  </si>
  <si>
    <t>T1128910768</t>
  </si>
  <si>
    <t>144.75.207.50</t>
  </si>
  <si>
    <t>T1128910767</t>
  </si>
  <si>
    <t>144.75.207.54</t>
  </si>
  <si>
    <t>Athletics</t>
  </si>
  <si>
    <t>T1129010385</t>
  </si>
  <si>
    <t>144.75.183.63</t>
  </si>
  <si>
    <t>T202P700462</t>
  </si>
  <si>
    <t>144.75.186.31</t>
  </si>
  <si>
    <t>Physical Plant</t>
  </si>
  <si>
    <t>10_03_071_14100_5521</t>
  </si>
  <si>
    <t>V9725401439</t>
  </si>
  <si>
    <t>144.75.218.6</t>
  </si>
  <si>
    <t>T1128811625</t>
  </si>
  <si>
    <t>144.75.196.12</t>
  </si>
  <si>
    <t>T1129010832</t>
  </si>
  <si>
    <t>144.75.187.138</t>
  </si>
  <si>
    <t>T1128910783</t>
  </si>
  <si>
    <t>144.75.206.31</t>
  </si>
  <si>
    <t>W912P602228</t>
  </si>
  <si>
    <t>144.75.218.8</t>
  </si>
  <si>
    <t>Old Hospital</t>
  </si>
  <si>
    <t>International Programs</t>
  </si>
  <si>
    <t>W912P601488</t>
  </si>
  <si>
    <t>144.75.180.72</t>
  </si>
  <si>
    <t>10_07_205_24100_5521</t>
  </si>
  <si>
    <t>Chaplains Office</t>
  </si>
  <si>
    <t>W912P601485</t>
  </si>
  <si>
    <t>144.75.180.73</t>
  </si>
  <si>
    <t>T1129011364</t>
  </si>
  <si>
    <t>144.75.202.58</t>
  </si>
  <si>
    <t>10_08_309_82115_5521</t>
  </si>
  <si>
    <t>Auxiliary Services</t>
  </si>
  <si>
    <t>V9725500651</t>
  </si>
  <si>
    <t>144.75.177.32</t>
  </si>
  <si>
    <t>T1128712304</t>
  </si>
  <si>
    <t>144.75.196.71</t>
  </si>
  <si>
    <t>Work Room</t>
  </si>
  <si>
    <t>W502L700470</t>
  </si>
  <si>
    <t>144.75.177.38</t>
  </si>
  <si>
    <t>T1128710718</t>
  </si>
  <si>
    <t>144.75.197.15</t>
  </si>
  <si>
    <t>T1129010420</t>
  </si>
  <si>
    <t>144.75.183.64</t>
  </si>
  <si>
    <t>T1129012232</t>
  </si>
  <si>
    <t>144.75.190.22</t>
  </si>
  <si>
    <t>T1129011165</t>
  </si>
  <si>
    <t>144.75.193.12</t>
  </si>
  <si>
    <t>T1129012156</t>
  </si>
  <si>
    <t>144.75.218.7</t>
  </si>
  <si>
    <t>10_08_310_14240_5521</t>
  </si>
  <si>
    <t>Sport Medicine</t>
  </si>
  <si>
    <t>T1129010423</t>
  </si>
  <si>
    <t>144.75.183.71</t>
  </si>
  <si>
    <t>Jackson Memorial</t>
  </si>
  <si>
    <t>Museum Operations</t>
  </si>
  <si>
    <t>V9725401442</t>
  </si>
  <si>
    <t>144.75.194.6</t>
  </si>
  <si>
    <t>T1128911358</t>
  </si>
  <si>
    <t>144.75.195.9</t>
  </si>
  <si>
    <t>Admin</t>
  </si>
  <si>
    <t>T1129010874</t>
  </si>
  <si>
    <t>144.75.187.118</t>
  </si>
  <si>
    <t>Academic Advising</t>
  </si>
  <si>
    <t>V9725401429</t>
  </si>
  <si>
    <t>144.75.195.41</t>
  </si>
  <si>
    <t>W512L601992</t>
  </si>
  <si>
    <t>144.75.190.18</t>
  </si>
  <si>
    <t>410-445</t>
  </si>
  <si>
    <t>10_03_043_50100_5521</t>
  </si>
  <si>
    <t>T202P600371</t>
  </si>
  <si>
    <t>144.75.193.75</t>
  </si>
  <si>
    <t>T1128712307</t>
  </si>
  <si>
    <t>144.75.214.34</t>
  </si>
  <si>
    <t>T1128811936</t>
  </si>
  <si>
    <t>144.75.185.100</t>
  </si>
  <si>
    <t>T1129011291</t>
  </si>
  <si>
    <t>144.75.182.5</t>
  </si>
  <si>
    <t>10_03_011_48100_5521</t>
  </si>
  <si>
    <t>History</t>
  </si>
  <si>
    <t>T1129010431</t>
  </si>
  <si>
    <t>144.75.213.44</t>
  </si>
  <si>
    <t>Weight Room</t>
  </si>
  <si>
    <t>T202P700454</t>
  </si>
  <si>
    <t>144.75.177.36</t>
  </si>
  <si>
    <t>T1129010430</t>
  </si>
  <si>
    <t>144.75.213.39</t>
  </si>
  <si>
    <t>Infirmary</t>
  </si>
  <si>
    <t>10_08_305_80150_5521</t>
  </si>
  <si>
    <t>V9725401162</t>
  </si>
  <si>
    <t>144.75.176.21</t>
  </si>
  <si>
    <t>T1129010424</t>
  </si>
  <si>
    <t>144.75.213.26</t>
  </si>
  <si>
    <t>T1128811633</t>
  </si>
  <si>
    <t>144.75.197.11</t>
  </si>
  <si>
    <t>T1129010422</t>
  </si>
  <si>
    <t>144.75.213.42</t>
  </si>
  <si>
    <t>T1129010903</t>
  </si>
  <si>
    <t>144.75.215.22</t>
  </si>
  <si>
    <t>T1129010899</t>
  </si>
  <si>
    <t>144.75.178.24</t>
  </si>
  <si>
    <t>T202P700447</t>
  </si>
  <si>
    <t>144.75.186.28</t>
  </si>
  <si>
    <t>302A</t>
  </si>
  <si>
    <t>T1128910753</t>
  </si>
  <si>
    <t>144.75.195.38</t>
  </si>
  <si>
    <t>207A</t>
  </si>
  <si>
    <t>10_03_054_60100_5521</t>
  </si>
  <si>
    <t>Learning Center</t>
  </si>
  <si>
    <t>T1128811582</t>
  </si>
  <si>
    <t>144.75.195.46</t>
  </si>
  <si>
    <t>Athletic Director</t>
  </si>
  <si>
    <t>V9725401418</t>
  </si>
  <si>
    <t>144.75.183.52</t>
  </si>
  <si>
    <t>Athletics Basketball Office</t>
  </si>
  <si>
    <t>W912P602280</t>
  </si>
  <si>
    <t>144.75.183.73</t>
  </si>
  <si>
    <t>T1128910754</t>
  </si>
  <si>
    <t>144.75.195.25</t>
  </si>
  <si>
    <t>10_03_045_99200_5521</t>
  </si>
  <si>
    <t>Writing Center</t>
  </si>
  <si>
    <t>T1128910779</t>
  </si>
  <si>
    <t>144.75.195.99</t>
  </si>
  <si>
    <t>T1129011155</t>
  </si>
  <si>
    <t>144.75.196.9</t>
  </si>
  <si>
    <t>10_03_065_84100_5521</t>
  </si>
  <si>
    <t>Protocol Office</t>
  </si>
  <si>
    <t>T1129010803</t>
  </si>
  <si>
    <t>144.75.215.9</t>
  </si>
  <si>
    <t>T1128910778</t>
  </si>
  <si>
    <t>144.75.195.34</t>
  </si>
  <si>
    <t>302B</t>
  </si>
  <si>
    <t>T1128811968</t>
  </si>
  <si>
    <t>144.75.195.10</t>
  </si>
  <si>
    <t>T1128911363</t>
  </si>
  <si>
    <t>144.75.195.229</t>
  </si>
  <si>
    <t>AF MPC6501</t>
  </si>
  <si>
    <t>V7620400172</t>
  </si>
  <si>
    <t>144.75.195.225</t>
  </si>
  <si>
    <t>V7620400078</t>
  </si>
  <si>
    <t>144.75.183.56</t>
  </si>
  <si>
    <t>T1128911371</t>
  </si>
  <si>
    <t>144.75.195.91</t>
  </si>
  <si>
    <t>10_03_011_56100_5521</t>
  </si>
  <si>
    <t>International Studies</t>
  </si>
  <si>
    <t>T1128910774</t>
  </si>
  <si>
    <t>144.75.210.44</t>
  </si>
  <si>
    <t>T1128811663</t>
  </si>
  <si>
    <t>144.75.193.42</t>
  </si>
  <si>
    <t>10_08_307_18380_5521</t>
  </si>
  <si>
    <t>W912P602285</t>
  </si>
  <si>
    <t>144.75.86.16</t>
  </si>
  <si>
    <t>T1128910773</t>
  </si>
  <si>
    <t>144.75.209.67</t>
  </si>
  <si>
    <t>W502L700053</t>
  </si>
  <si>
    <t>144.75.195.87</t>
  </si>
  <si>
    <t>V9725501168</t>
  </si>
  <si>
    <t>144.75.210.33</t>
  </si>
  <si>
    <t>T202P700463</t>
  </si>
  <si>
    <t>144.75.186.29</t>
  </si>
  <si>
    <t>T1128911268</t>
  </si>
  <si>
    <t>144.75.195.101</t>
  </si>
  <si>
    <t>V9725600283</t>
  </si>
  <si>
    <t>144.75.193.30</t>
  </si>
  <si>
    <t>T1129012234</t>
  </si>
  <si>
    <t>144.75.180.11</t>
  </si>
  <si>
    <t>T1129010901</t>
  </si>
  <si>
    <t>144.75.201.21</t>
  </si>
  <si>
    <t>T1129011161</t>
  </si>
  <si>
    <t>144.75.185.49</t>
  </si>
  <si>
    <t>T202P700465</t>
  </si>
  <si>
    <t>144.75.186.25</t>
  </si>
  <si>
    <t>Ticket Office</t>
  </si>
  <si>
    <t>T1129010421</t>
  </si>
  <si>
    <t>144.75.183.62</t>
  </si>
  <si>
    <t>Sound Booth</t>
  </si>
  <si>
    <t>T1129011351</t>
  </si>
  <si>
    <t>144.75.215.30</t>
  </si>
  <si>
    <t>T1129010868</t>
  </si>
  <si>
    <t>144.75.187.115</t>
  </si>
  <si>
    <t>T1129010833</t>
  </si>
  <si>
    <t>144.75.215.14</t>
  </si>
  <si>
    <t>T1128911367</t>
  </si>
  <si>
    <t>144.75.195.32</t>
  </si>
  <si>
    <t>T1128911369</t>
  </si>
  <si>
    <t>144.75.195.109</t>
  </si>
  <si>
    <t>T1128911524</t>
  </si>
  <si>
    <t>144.75.197.12</t>
  </si>
  <si>
    <t>V9725501224</t>
  </si>
  <si>
    <t>144.75.213.36</t>
  </si>
  <si>
    <t>T1129010877</t>
  </si>
  <si>
    <t>144.75.186.30</t>
  </si>
  <si>
    <t>Economics &amp; Business</t>
  </si>
  <si>
    <t>W512L601991</t>
  </si>
  <si>
    <t>144.75.208.32</t>
  </si>
  <si>
    <t>English &amp; Fine Arts</t>
  </si>
  <si>
    <t>V9725401426</t>
  </si>
  <si>
    <t>144.75.207.26</t>
  </si>
  <si>
    <t>320 Institute</t>
  </si>
  <si>
    <t>Hallway</t>
  </si>
  <si>
    <t>W502L700003</t>
  </si>
  <si>
    <t>144.75.201.7</t>
  </si>
  <si>
    <t>303E</t>
  </si>
  <si>
    <t>W502L601221</t>
  </si>
  <si>
    <t>144.75.202.45</t>
  </si>
  <si>
    <t>T1128911365</t>
  </si>
  <si>
    <t>144.75.202.44</t>
  </si>
  <si>
    <t>401 - store</t>
  </si>
  <si>
    <t>V9725700303</t>
  </si>
  <si>
    <t>144.75.180.200</t>
  </si>
  <si>
    <t>T1129010389</t>
  </si>
  <si>
    <t>144.75.210.27</t>
  </si>
  <si>
    <t>T202P700476</t>
  </si>
  <si>
    <t>144.75.207.58</t>
  </si>
  <si>
    <t>T1129010891</t>
  </si>
  <si>
    <t>144.75.215.52</t>
  </si>
  <si>
    <t>T1128910784</t>
  </si>
  <si>
    <t>144.75.207.55</t>
  </si>
  <si>
    <t>V9725401375</t>
  </si>
  <si>
    <t>144.75.176.46</t>
  </si>
  <si>
    <t>T118910782</t>
  </si>
  <si>
    <t>10_03_011_66100_5521</t>
  </si>
  <si>
    <t>Mechanical Engineering</t>
  </si>
  <si>
    <t>W512L601966</t>
  </si>
  <si>
    <t>144.75.193.6</t>
  </si>
  <si>
    <t>T1129010823</t>
  </si>
  <si>
    <t>144.75.187.140</t>
  </si>
  <si>
    <t>T1128811629</t>
  </si>
  <si>
    <t>144.75.182.193</t>
  </si>
  <si>
    <t>T1128710823</t>
  </si>
  <si>
    <t>144.75.176.20</t>
  </si>
  <si>
    <t>W502L600854</t>
  </si>
  <si>
    <t>144.75.187.122</t>
  </si>
  <si>
    <t>T1129011352</t>
  </si>
  <si>
    <t>144.75.182.246</t>
  </si>
  <si>
    <t>T1129012227</t>
  </si>
  <si>
    <t>144.75.218.55</t>
  </si>
  <si>
    <t>T1129010428</t>
  </si>
  <si>
    <t>144.75.183.67</t>
  </si>
  <si>
    <t>T202P600942</t>
  </si>
  <si>
    <t>144.75.193.118</t>
  </si>
  <si>
    <t>T1129012236</t>
  </si>
  <si>
    <t>144.75.218.57</t>
  </si>
  <si>
    <t>Football Office</t>
  </si>
  <si>
    <t>W502L600898</t>
  </si>
  <si>
    <t>144.75.216.14</t>
  </si>
  <si>
    <t>W522L700688</t>
  </si>
  <si>
    <t>144.75.188.50</t>
  </si>
  <si>
    <t>T112891077</t>
  </si>
  <si>
    <t>144.75.207.57</t>
  </si>
  <si>
    <t>T1129011168</t>
  </si>
  <si>
    <t>144.75.193.198</t>
  </si>
  <si>
    <t>Miller Head Clinic</t>
  </si>
  <si>
    <t>T1128911370</t>
  </si>
  <si>
    <t>144.75.195.92</t>
  </si>
  <si>
    <t>T1129010427</t>
  </si>
  <si>
    <t>144.75.183.9</t>
  </si>
  <si>
    <t>W912P602288</t>
  </si>
  <si>
    <t>144.75.195.6</t>
  </si>
  <si>
    <t>W512L601973</t>
  </si>
  <si>
    <t>144.75.5.14</t>
  </si>
  <si>
    <t>C9725401441</t>
  </si>
  <si>
    <t>144.75.209.65</t>
  </si>
  <si>
    <t>T1129011366</t>
  </si>
  <si>
    <t>144.75.202.14</t>
  </si>
  <si>
    <t>T1129011106</t>
  </si>
  <si>
    <t>144.75.193.131</t>
  </si>
  <si>
    <t>T1129011126</t>
  </si>
  <si>
    <t>144.75.5.68</t>
  </si>
  <si>
    <t>T1129011154</t>
  </si>
  <si>
    <t>144.75.193.197</t>
  </si>
  <si>
    <t>T1128811954</t>
  </si>
  <si>
    <t>144.75.193.212</t>
  </si>
  <si>
    <t>V9725401445</t>
  </si>
  <si>
    <t>144.75.191.21</t>
  </si>
  <si>
    <t>T1129011160</t>
  </si>
  <si>
    <t>144.75.193.180</t>
  </si>
  <si>
    <t>T1129011096</t>
  </si>
  <si>
    <t>144.75.193.196</t>
  </si>
  <si>
    <t>T1129011159</t>
  </si>
  <si>
    <t>144.75.193.195</t>
  </si>
  <si>
    <t>T1129011158</t>
  </si>
  <si>
    <t>144.75.193.192</t>
  </si>
  <si>
    <t>T1129011167</t>
  </si>
  <si>
    <t>144.75.193.199</t>
  </si>
  <si>
    <t>T1128812156</t>
  </si>
  <si>
    <t>144.75.189.88</t>
  </si>
  <si>
    <t>T1128811955</t>
  </si>
  <si>
    <t>144.75.193.74</t>
  </si>
  <si>
    <t>T1128811953</t>
  </si>
  <si>
    <t>144.75.193.69</t>
  </si>
  <si>
    <t>Smith Hall</t>
  </si>
  <si>
    <t>Deans Office</t>
  </si>
  <si>
    <t>T1128911226</t>
  </si>
  <si>
    <t>144.75.179.101</t>
  </si>
  <si>
    <t>T1128911227</t>
  </si>
  <si>
    <t>144.75.179.56</t>
  </si>
  <si>
    <t>Superintendent's Office</t>
  </si>
  <si>
    <t>T112891197</t>
  </si>
  <si>
    <t>T202P700469</t>
  </si>
  <si>
    <t>144.75.179.11</t>
  </si>
  <si>
    <t>Dean's Office</t>
  </si>
  <si>
    <t>V9725401451</t>
  </si>
  <si>
    <t>144.75.179.99</t>
  </si>
  <si>
    <t>Shell Hall</t>
  </si>
  <si>
    <t>10_03_054_90100_5521</t>
  </si>
  <si>
    <t>T1129012229</t>
  </si>
  <si>
    <t>144.75.180.58</t>
  </si>
  <si>
    <t>Registrar Office</t>
  </si>
  <si>
    <t>T1129012238</t>
  </si>
  <si>
    <t>144.75.180.38</t>
  </si>
  <si>
    <t>T1129012240</t>
  </si>
  <si>
    <t>144.75.180.42</t>
  </si>
  <si>
    <t>T202P700442</t>
  </si>
  <si>
    <t>144.75.180.103</t>
  </si>
  <si>
    <t>T202P700458</t>
  </si>
  <si>
    <t>144.75.180.41</t>
  </si>
  <si>
    <t>10_03_061_94100_5521</t>
  </si>
  <si>
    <t>T1128811618</t>
  </si>
  <si>
    <t>144.75.179.77</t>
  </si>
  <si>
    <t>T1128911097</t>
  </si>
  <si>
    <t>144.75.179.107</t>
  </si>
  <si>
    <t>114A</t>
  </si>
  <si>
    <t>T1128911224</t>
  </si>
  <si>
    <t>144.75.179.108</t>
  </si>
  <si>
    <t>T1128911225</t>
  </si>
  <si>
    <t>144.75.179.109</t>
  </si>
  <si>
    <t>Superintendents Office</t>
  </si>
  <si>
    <t>W502L600891</t>
  </si>
  <si>
    <t>144.75.179.53</t>
  </si>
  <si>
    <t>10_03_062_16100_5521</t>
  </si>
  <si>
    <t>Business Office</t>
  </si>
  <si>
    <t>T1128911215</t>
  </si>
  <si>
    <t>144.75.179.115</t>
  </si>
  <si>
    <t>T1128911216</t>
  </si>
  <si>
    <t>144.75.179.65</t>
  </si>
  <si>
    <t>Treasurer's Office</t>
  </si>
  <si>
    <t>T1129012215</t>
  </si>
  <si>
    <t>144.75.179.113</t>
  </si>
  <si>
    <t>T1129012239</t>
  </si>
  <si>
    <t>144.75.179.114</t>
  </si>
  <si>
    <t>W502L600725</t>
  </si>
  <si>
    <t>144.75.179.35</t>
  </si>
  <si>
    <t>10_03_062_32100_5521</t>
  </si>
  <si>
    <t>Comptrollers</t>
  </si>
  <si>
    <t>T1129012230</t>
  </si>
  <si>
    <t>144.75.179.43</t>
  </si>
  <si>
    <t>V9725401454</t>
  </si>
  <si>
    <t>144.75.179.234</t>
  </si>
  <si>
    <t>10_03_064_32105_5521</t>
  </si>
  <si>
    <t>Purchasing</t>
  </si>
  <si>
    <t>W522L700681</t>
  </si>
  <si>
    <t>144.75.179.66</t>
  </si>
  <si>
    <t>V7620500472</t>
  </si>
  <si>
    <t>144.75.179.103</t>
  </si>
  <si>
    <t>10_03_065_88100_5521</t>
  </si>
  <si>
    <t>Communications and Marketing</t>
  </si>
  <si>
    <t>T1128911218</t>
  </si>
  <si>
    <t>144.75.179.110</t>
  </si>
  <si>
    <t>Communications &amp; Marketing/Institutional Research</t>
  </si>
  <si>
    <t>V9725500667</t>
  </si>
  <si>
    <t>144.75.179.233</t>
  </si>
  <si>
    <t>Public Relations</t>
  </si>
  <si>
    <t>W912P602281</t>
  </si>
  <si>
    <t>144.75.179.81</t>
  </si>
  <si>
    <t>Sports Marketing</t>
  </si>
  <si>
    <t>W912P602286</t>
  </si>
  <si>
    <t>144.75.179.49</t>
  </si>
  <si>
    <t>10_07_205_30200_5521</t>
  </si>
  <si>
    <t>Band</t>
  </si>
  <si>
    <t>W912P602276</t>
  </si>
  <si>
    <t>144.75.180.76</t>
  </si>
  <si>
    <t>Grand Total - # of Assets : 220</t>
  </si>
  <si>
    <t>Color MFD</t>
  </si>
  <si>
    <t>MFD:</t>
  </si>
  <si>
    <t>Color Printer</t>
  </si>
  <si>
    <t>Printer:</t>
  </si>
  <si>
    <t>Total Invoice:</t>
  </si>
  <si>
    <t>ROTC-Air Force</t>
  </si>
  <si>
    <t>ROTC-Army</t>
  </si>
  <si>
    <t>Civil Engineering</t>
  </si>
  <si>
    <t>Economics</t>
  </si>
  <si>
    <t>Electrical Engineering</t>
  </si>
  <si>
    <t>English</t>
  </si>
  <si>
    <t>Mathematics</t>
  </si>
  <si>
    <t>MERC Operating</t>
  </si>
  <si>
    <t>ROTC-Navy</t>
  </si>
  <si>
    <t>Physics &amp; Astronomy</t>
  </si>
  <si>
    <t>Libraries</t>
  </si>
  <si>
    <t>IST</t>
  </si>
  <si>
    <t>Learning Programs</t>
  </si>
  <si>
    <t>Registration &amp; Records</t>
  </si>
  <si>
    <t>Financial Aid Administration</t>
  </si>
  <si>
    <t>Business Executive</t>
  </si>
  <si>
    <t>Comptroller's Office</t>
  </si>
  <si>
    <t>Personnel Administration</t>
  </si>
  <si>
    <t>Purchasing Office</t>
  </si>
  <si>
    <t>Duplicating</t>
  </si>
  <si>
    <t>Printer Services</t>
  </si>
  <si>
    <t>Post Mail</t>
  </si>
  <si>
    <t>Communications &amp; Marketing</t>
  </si>
  <si>
    <t>Physical Plant Administration</t>
  </si>
  <si>
    <t>Office of Construction</t>
  </si>
  <si>
    <t>UMA-Counselors Office</t>
  </si>
  <si>
    <t>UMA-Commandant's Office</t>
  </si>
  <si>
    <t>UMA-Band</t>
  </si>
  <si>
    <t>AUX-Military Store</t>
  </si>
  <si>
    <t>AUX-Laundry &amp; Pressing</t>
  </si>
  <si>
    <t>AUX-Student Health</t>
  </si>
  <si>
    <t>Student Union</t>
  </si>
  <si>
    <t>Auxiliary Administration</t>
  </si>
  <si>
    <t>Barracks Study Room</t>
  </si>
  <si>
    <t>Career Services / Financial Aid</t>
  </si>
  <si>
    <t>Learning Lab</t>
  </si>
  <si>
    <t>ROOM2</t>
  </si>
  <si>
    <t>Ricoh Tag #</t>
  </si>
  <si>
    <t>Total B&amp;W Click Count</t>
  </si>
  <si>
    <t>Total Color Click Count</t>
  </si>
  <si>
    <t>Prev B&amp;W Click Count</t>
  </si>
  <si>
    <t>Current B&amp;W Click Count</t>
  </si>
  <si>
    <t>Prev Color Click Count</t>
  </si>
  <si>
    <t>Current Color Click Count</t>
  </si>
  <si>
    <t>B&amp;W Click Charge</t>
  </si>
  <si>
    <t>Color Click Charge</t>
  </si>
  <si>
    <t>Device Total Click Charge</t>
  </si>
  <si>
    <t>Total B&amp;W Clicks</t>
  </si>
  <si>
    <t>B&amp;W MFD</t>
  </si>
  <si>
    <t>B&amp;W Printer</t>
  </si>
  <si>
    <t>Total Color Clicks</t>
  </si>
  <si>
    <t>Total B&amp;W</t>
  </si>
  <si>
    <t>B&amp;W MFP</t>
  </si>
  <si>
    <t>Color MFP</t>
  </si>
  <si>
    <t>Total Color</t>
  </si>
  <si>
    <t>144.75.187.107</t>
  </si>
  <si>
    <t>144.75.209.70</t>
  </si>
  <si>
    <t>Circ Desk</t>
  </si>
  <si>
    <t>10_07_205_90300_5521</t>
  </si>
  <si>
    <t>30_00_310_06110_5521</t>
  </si>
  <si>
    <t>Museum</t>
  </si>
  <si>
    <t>10_03_031_70100_5521</t>
  </si>
  <si>
    <t>30_00_310_06000_5521</t>
  </si>
  <si>
    <t>Clarkson McKenna Hall</t>
  </si>
  <si>
    <t>Football</t>
  </si>
  <si>
    <t>Track &amp; Cross Country</t>
  </si>
  <si>
    <t>30_00_310_06020_5521</t>
  </si>
  <si>
    <t>30_00_310_06095_5521</t>
  </si>
  <si>
    <t>Soccer - Women</t>
  </si>
  <si>
    <t>GL Sub Total</t>
  </si>
  <si>
    <t>Administrative</t>
  </si>
  <si>
    <t>Dept.</t>
  </si>
  <si>
    <t>Civil &amp; Environmental Eng.</t>
  </si>
  <si>
    <t>Electrical &amp; Computer Eng.</t>
  </si>
  <si>
    <t>Physics / Astronomy</t>
  </si>
  <si>
    <t>Psychology and Philosophy</t>
  </si>
  <si>
    <t>Psychology &amp; Philosophy</t>
  </si>
  <si>
    <t>Admissions</t>
  </si>
  <si>
    <t>Commandant's Office</t>
  </si>
  <si>
    <t>Newspaper</t>
  </si>
  <si>
    <t>Athletics Women's Soccer</t>
  </si>
  <si>
    <t>Total:</t>
  </si>
  <si>
    <t>General Ledger #</t>
  </si>
  <si>
    <t>GL Description</t>
  </si>
  <si>
    <t>MFP</t>
  </si>
  <si>
    <t>10_07_205_90300_5521 Total</t>
  </si>
  <si>
    <t>10_03_054_01100_5521 Total</t>
  </si>
  <si>
    <t>10_03_064_50550_5521 Total</t>
  </si>
  <si>
    <t>10_03_011_02100_5521 Total</t>
  </si>
  <si>
    <t>10_03_041_62100_5521 Total</t>
  </si>
  <si>
    <t>10_03_011_04100_5521 Total</t>
  </si>
  <si>
    <t>30_00_310_06110_5521 Total</t>
  </si>
  <si>
    <t>30_00_310_06020_5521 Total</t>
  </si>
  <si>
    <t>30_00_310_06095_5521 Total</t>
  </si>
  <si>
    <t>10_08_309_82115_5521 Total</t>
  </si>
  <si>
    <t>10_07_205_30200_5521 Total</t>
  </si>
  <si>
    <t>10_03_062_16100_5521 Total</t>
  </si>
  <si>
    <t>10_03_053_20300_5521 Total</t>
  </si>
  <si>
    <t>30_00_045_61150_5521 Total</t>
  </si>
  <si>
    <t>10_07_205_24100_5521 Total</t>
  </si>
  <si>
    <t>10_03_011_26100_5521 Total</t>
  </si>
  <si>
    <t>10_03_011_28100_5521 Total</t>
  </si>
  <si>
    <t>10_07_205_30150_5521 Total</t>
  </si>
  <si>
    <t>10_03_065_88100_5521 Total</t>
  </si>
  <si>
    <t>10_03_062_32100_5521 Total</t>
  </si>
  <si>
    <t>10_03_045_34100_5521 Total</t>
  </si>
  <si>
    <t>10_03_011_36100_5521 Total</t>
  </si>
  <si>
    <t>10_03_011_38100_5521 Total</t>
  </si>
  <si>
    <t>10_03_011_40100_5521 Total</t>
  </si>
  <si>
    <t>10_03_055_42100_5521 Total</t>
  </si>
  <si>
    <t>30_00_310_06000_5521 Total</t>
  </si>
  <si>
    <t>10_03_011_48100_5521 Total</t>
  </si>
  <si>
    <t>10_03_063_74100_5521 Total</t>
  </si>
  <si>
    <t>10_08_305_80150_5521 Total</t>
  </si>
  <si>
    <t>10_03_043_50100_5521 Total</t>
  </si>
  <si>
    <t>10_08_303_82240_5521 Total</t>
  </si>
  <si>
    <t>10_03_054_60100_5521 Total</t>
  </si>
  <si>
    <t>10_03_064_82140_5521 Total</t>
  </si>
  <si>
    <t>10_03_011_64100_5521 Total</t>
  </si>
  <si>
    <t>10_03_011_64125_5521 Total</t>
  </si>
  <si>
    <t>10_03_011_66100_5521 Total</t>
  </si>
  <si>
    <t>10_08_302_82190_5521 Total</t>
  </si>
  <si>
    <t>10_03_011_68100_5521 Total</t>
  </si>
  <si>
    <t>10_03_031_70100_5521 Total</t>
  </si>
  <si>
    <t>10_03_011_72100_5521 Total</t>
  </si>
  <si>
    <t>10_08_307_18380_5521 Total</t>
  </si>
  <si>
    <t>10_03_064_32145_5521 Total</t>
  </si>
  <si>
    <t>10_03_011_76100_5521 Total</t>
  </si>
  <si>
    <t>10_03_071_14100_5521 Total</t>
  </si>
  <si>
    <t>10_03_065_84100_5521 Total</t>
  </si>
  <si>
    <t>10_03_011_86100_5521 Total</t>
  </si>
  <si>
    <t>10_03_064_32105_5521 Total</t>
  </si>
  <si>
    <t>10_03_054_90100_5521 Total</t>
  </si>
  <si>
    <t>10_03_061_94100_5521 Total</t>
  </si>
  <si>
    <t>10_03_045_99200_5521 Total</t>
  </si>
  <si>
    <t>Math&amp;Computer Science</t>
  </si>
  <si>
    <t>Color
MFP</t>
  </si>
  <si>
    <t>MFP:</t>
  </si>
  <si>
    <t>B&amp;W 
Printer</t>
  </si>
  <si>
    <t>Color 
Printer</t>
  </si>
  <si>
    <t>B/W
Printer</t>
  </si>
  <si>
    <t>Color
Printer</t>
  </si>
  <si>
    <t>Total
B&amp;W</t>
  </si>
  <si>
    <t>Total 
Color</t>
  </si>
  <si>
    <t>Total This
Invoice:</t>
  </si>
  <si>
    <t>Device Total:</t>
  </si>
  <si>
    <t>B/W
MFP</t>
  </si>
  <si>
    <t>Rates</t>
  </si>
  <si>
    <t>MFP B&amp;W</t>
  </si>
  <si>
    <t>MFP Color</t>
  </si>
  <si>
    <t>Printer B&amp;W</t>
  </si>
  <si>
    <t>Printer Color</t>
  </si>
  <si>
    <t>Cadet Printer Services</t>
  </si>
  <si>
    <t>General Ledger</t>
  </si>
  <si>
    <t>Ricoh Tag</t>
  </si>
  <si>
    <t>Total BW Click Count</t>
  </si>
  <si>
    <t>Prev BW Click Count</t>
  </si>
  <si>
    <t>Current BW Click Count</t>
  </si>
  <si>
    <t>BW Click Charge</t>
  </si>
  <si>
    <t>CPC BW</t>
  </si>
  <si>
    <t>Devices</t>
  </si>
  <si>
    <t>Type</t>
  </si>
  <si>
    <t>26_23_901_14788_5521</t>
  </si>
  <si>
    <t>MFP Total:</t>
  </si>
  <si>
    <t>Printer Total:</t>
  </si>
  <si>
    <t>26_23_901_14788_5521 Total</t>
  </si>
  <si>
    <t>B&amp;W 
MFP</t>
  </si>
  <si>
    <t>Color 
MFP</t>
  </si>
  <si>
    <t>PTR</t>
  </si>
  <si>
    <t>Meter Read on:       11-28-2012            =============                        Department</t>
  </si>
  <si>
    <t>320 Institute Hill</t>
  </si>
  <si>
    <t>Office of Institutional Assessment and Research</t>
  </si>
  <si>
    <t>Athletic Communications</t>
  </si>
  <si>
    <t>300D</t>
  </si>
  <si>
    <t>VMI Center for Undergraduate Research</t>
  </si>
  <si>
    <t>Engish</t>
  </si>
  <si>
    <t>Cadet Life</t>
  </si>
  <si>
    <t xml:space="preserve">Lejuene Hall </t>
  </si>
  <si>
    <t>3-117</t>
  </si>
  <si>
    <t>10-03-011-34175_5521</t>
  </si>
  <si>
    <t>Department</t>
  </si>
  <si>
    <t>17099-453</t>
  </si>
  <si>
    <t>Cadet Counseling</t>
  </si>
  <si>
    <t>Infirmiry</t>
  </si>
  <si>
    <t>17099-636</t>
  </si>
  <si>
    <t>17099-603</t>
  </si>
  <si>
    <t>17099-604</t>
  </si>
  <si>
    <t>10_08_308_52175_5521</t>
  </si>
  <si>
    <t>17099-486</t>
  </si>
  <si>
    <t>17099-717</t>
  </si>
  <si>
    <t>10_03_045_54100_5521</t>
  </si>
  <si>
    <t>30_00_310_06104_5521</t>
  </si>
  <si>
    <t>305 Letcher Ave.</t>
  </si>
  <si>
    <t>306 Letcher Ave.</t>
  </si>
  <si>
    <t>307 Letcher Ave.</t>
  </si>
  <si>
    <t>308 Letcher Ave.</t>
  </si>
  <si>
    <t>309 Letcher Ave.</t>
  </si>
  <si>
    <t>303A Letcher Ave.</t>
  </si>
  <si>
    <t>10_03-011_40100_5521</t>
  </si>
  <si>
    <t>204</t>
  </si>
  <si>
    <t>Grand Total</t>
  </si>
  <si>
    <t>30_00_310_06104_5521 Total</t>
  </si>
  <si>
    <t>10_03-011_40100_5521 Total</t>
  </si>
  <si>
    <t>10_03_045_54100_5521 Total</t>
  </si>
  <si>
    <t>10-03-011-34175_5521 Total</t>
  </si>
  <si>
    <t>40_00_052_06550_5521</t>
  </si>
  <si>
    <t>AFO-Athletic Advising</t>
  </si>
  <si>
    <t>40_00_011_10250_5521</t>
  </si>
  <si>
    <t>Math &amp; Computer Science</t>
  </si>
  <si>
    <t>10_03_045_55100_5521</t>
  </si>
  <si>
    <t>40_00_045_56350_5521</t>
  </si>
  <si>
    <t>40_00_011_78500_5521</t>
  </si>
  <si>
    <t>40_00_052_06550_5521 Total</t>
  </si>
  <si>
    <t>40_00_011_10250_5521 Total</t>
  </si>
  <si>
    <t>10_03_045_55100_5521 Total</t>
  </si>
  <si>
    <t>40_00_045_56350_5521 Total</t>
  </si>
  <si>
    <t>40_00_011_78500_5521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</si>
</sst>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&quot;$&quot;* #,##0.0000_);_(&quot;$&quot;* \(#,##0.0000\);_(&quot;$&quot;* &quot;-&quot;????_);_(@_)"/>
    <numFmt numFmtId="166" formatCode="_(&quot;$&quot;* #,##0.000_);_(&quot;$&quot;* \(#,##0.000\);_(&quot;$&quot;* &quot;-&quot;???_);_(@_)"/>
    <numFmt numFmtId="167" formatCode="0.0000"/>
    <numFmt numFmtId="168" formatCode="_(* #,##0_);_(* \(#,##0\);_(* &quot;-&quot;??_);_(@_)"/>
    <numFmt numFmtId="169" formatCode="#####\-###"/>
  </numFmts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sz val="12"/>
      <color theme="0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9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155">
    <xf numFmtId="0" fontId="0" fillId="0" borderId="0" xfId="0"/>
    <xf numFmtId="0" fontId="2" fillId="0" borderId="1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1" xfId="1" applyFont="1" applyFill="1" applyBorder="1" applyAlignment="1" applyProtection="1">
      <alignment horizontal="left" vertical="center" wrapText="1"/>
      <protection locked="0"/>
    </xf>
    <xf numFmtId="1" fontId="2" fillId="0" borderId="1" xfId="1" applyNumberFormat="1" applyFont="1" applyFill="1" applyBorder="1" applyAlignment="1" applyProtection="1">
      <alignment horizontal="left" vertical="center" wrapText="1"/>
      <protection locked="0"/>
    </xf>
    <xf numFmtId="3" fontId="2" fillId="0" borderId="1" xfId="1" applyNumberFormat="1" applyFont="1" applyFill="1" applyBorder="1" applyAlignment="1" applyProtection="1">
      <alignment horizontal="left" vertical="center" wrapText="1"/>
      <protection locked="0"/>
    </xf>
    <xf numFmtId="164" fontId="2" fillId="0" borderId="1" xfId="1" applyNumberFormat="1" applyFont="1" applyFill="1" applyBorder="1" applyAlignment="1" applyProtection="1">
      <alignment horizontal="left" vertical="center" wrapText="1"/>
      <protection locked="0"/>
    </xf>
    <xf numFmtId="0" fontId="2" fillId="0" borderId="1" xfId="1" applyNumberFormat="1" applyFont="1" applyFill="1" applyBorder="1" applyAlignment="1" applyProtection="1">
      <alignment horizontal="left" vertical="center" wrapText="1"/>
      <protection locked="0"/>
    </xf>
    <xf numFmtId="164" fontId="2" fillId="0" borderId="2" xfId="1" applyNumberFormat="1" applyFont="1" applyFill="1" applyBorder="1" applyAlignment="1" applyProtection="1">
      <alignment horizontal="left" vertical="center" wrapText="1"/>
      <protection locked="0"/>
    </xf>
    <xf numFmtId="0" fontId="0" fillId="4" borderId="0" xfId="0" applyFill="1" applyAlignment="1">
      <alignment wrapText="1"/>
    </xf>
    <xf numFmtId="0" fontId="0" fillId="0" borderId="1" xfId="0" applyFont="1" applyFill="1" applyBorder="1" applyAlignment="1" applyProtection="1">
      <alignment wrapText="1"/>
      <protection locked="0"/>
    </xf>
    <xf numFmtId="0" fontId="0" fillId="0" borderId="3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164" fontId="2" fillId="0" borderId="4" xfId="1" applyNumberFormat="1" applyFont="1" applyFill="1" applyBorder="1" applyAlignment="1" applyProtection="1">
      <alignment horizontal="left" vertical="center" wrapText="1"/>
      <protection locked="0"/>
    </xf>
    <xf numFmtId="0" fontId="2" fillId="0" borderId="5" xfId="1" applyFont="1" applyFill="1" applyBorder="1" applyAlignment="1">
      <alignment horizontal="left" vertical="center" wrapText="1"/>
    </xf>
    <xf numFmtId="1" fontId="2" fillId="0" borderId="4" xfId="1" applyNumberFormat="1" applyFont="1" applyFill="1" applyBorder="1" applyAlignment="1" applyProtection="1">
      <alignment horizontal="left" vertical="center" wrapText="1"/>
      <protection locked="0"/>
    </xf>
    <xf numFmtId="164" fontId="2" fillId="0" borderId="6" xfId="1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Fill="1" applyAlignment="1">
      <alignment wrapText="1"/>
    </xf>
    <xf numFmtId="0" fontId="0" fillId="0" borderId="0" xfId="0" applyAlignment="1">
      <alignment vertical="top" wrapText="1"/>
    </xf>
    <xf numFmtId="164" fontId="2" fillId="0" borderId="1" xfId="1" applyNumberFormat="1" applyFont="1" applyFill="1" applyBorder="1" applyAlignment="1" applyProtection="1">
      <alignment horizontal="left" vertical="center" wrapText="1"/>
    </xf>
    <xf numFmtId="0" fontId="3" fillId="0" borderId="1" xfId="2" applyFont="1" applyFill="1" applyBorder="1" applyAlignment="1">
      <alignment horizontal="left" vertical="center" textRotation="45" wrapText="1" readingOrder="1"/>
    </xf>
    <xf numFmtId="0" fontId="3" fillId="0" borderId="1" xfId="2" applyFont="1" applyFill="1" applyBorder="1" applyAlignment="1" applyProtection="1">
      <alignment horizontal="left" vertical="center" textRotation="45" wrapText="1" readingOrder="1"/>
      <protection locked="0"/>
    </xf>
    <xf numFmtId="1" fontId="3" fillId="0" borderId="1" xfId="2" applyNumberFormat="1" applyFont="1" applyFill="1" applyBorder="1" applyAlignment="1" applyProtection="1">
      <alignment horizontal="left" vertical="center" textRotation="45" wrapText="1" readingOrder="1"/>
      <protection locked="0"/>
    </xf>
    <xf numFmtId="164" fontId="3" fillId="0" borderId="1" xfId="2" applyNumberFormat="1" applyFont="1" applyFill="1" applyBorder="1" applyAlignment="1" applyProtection="1">
      <alignment horizontal="left" vertical="center" textRotation="45" wrapText="1" readingOrder="1"/>
      <protection locked="0"/>
    </xf>
    <xf numFmtId="0" fontId="2" fillId="0" borderId="1" xfId="1" applyFont="1" applyFill="1" applyBorder="1" applyAlignment="1" applyProtection="1">
      <alignment horizontal="center" vertical="center" wrapText="1"/>
      <protection locked="0"/>
    </xf>
    <xf numFmtId="0" fontId="2" fillId="0" borderId="1" xfId="1" applyFont="1" applyFill="1" applyBorder="1" applyAlignment="1" applyProtection="1">
      <alignment horizontal="left" vertical="center" wrapText="1"/>
    </xf>
    <xf numFmtId="3" fontId="2" fillId="0" borderId="1" xfId="1" applyNumberFormat="1" applyFont="1" applyFill="1" applyBorder="1" applyAlignment="1" applyProtection="1">
      <alignment horizontal="left" vertical="center" wrapText="1"/>
    </xf>
    <xf numFmtId="0" fontId="0" fillId="0" borderId="0" xfId="0" applyAlignment="1">
      <alignment horizontal="left" readingOrder="1"/>
    </xf>
    <xf numFmtId="0" fontId="0" fillId="0" borderId="0" xfId="0" applyBorder="1" applyAlignment="1">
      <alignment horizontal="left" readingOrder="1"/>
    </xf>
    <xf numFmtId="0" fontId="4" fillId="5" borderId="1" xfId="1" applyFont="1" applyFill="1" applyBorder="1" applyAlignment="1">
      <alignment horizontal="left" wrapText="1" readingOrder="1"/>
    </xf>
    <xf numFmtId="0" fontId="6" fillId="5" borderId="1" xfId="1" applyFont="1" applyFill="1" applyBorder="1" applyAlignment="1">
      <alignment horizontal="left" vertical="center" readingOrder="1"/>
    </xf>
    <xf numFmtId="3" fontId="4" fillId="5" borderId="1" xfId="1" applyNumberFormat="1" applyFont="1" applyFill="1" applyBorder="1" applyAlignment="1" applyProtection="1">
      <alignment horizontal="right" vertical="center" wrapText="1" readingOrder="1"/>
      <protection locked="0"/>
    </xf>
    <xf numFmtId="0" fontId="4" fillId="5" borderId="0" xfId="1" applyFont="1" applyFill="1" applyBorder="1" applyAlignment="1">
      <alignment horizontal="left" wrapText="1" readingOrder="1"/>
    </xf>
    <xf numFmtId="0" fontId="6" fillId="5" borderId="0" xfId="1" applyFont="1" applyFill="1" applyBorder="1" applyAlignment="1">
      <alignment horizontal="left" vertical="center" readingOrder="1"/>
    </xf>
    <xf numFmtId="0" fontId="4" fillId="5" borderId="0" xfId="1" applyFont="1" applyFill="1" applyBorder="1" applyAlignment="1">
      <alignment horizontal="left" vertical="center" wrapText="1" readingOrder="1"/>
    </xf>
    <xf numFmtId="3" fontId="4" fillId="5" borderId="0" xfId="1" applyNumberFormat="1" applyFont="1" applyFill="1" applyBorder="1" applyAlignment="1" applyProtection="1">
      <alignment horizontal="right" vertical="center" wrapText="1" readingOrder="1"/>
      <protection locked="0"/>
    </xf>
    <xf numFmtId="44" fontId="4" fillId="5" borderId="0" xfId="1" applyNumberFormat="1" applyFont="1" applyFill="1" applyBorder="1" applyAlignment="1" applyProtection="1">
      <alignment horizontal="left" vertical="center" wrapText="1" readingOrder="1"/>
    </xf>
    <xf numFmtId="0" fontId="9" fillId="4" borderId="1" xfId="0" applyFont="1" applyFill="1" applyBorder="1" applyAlignment="1">
      <alignment horizontal="right" readingOrder="1"/>
    </xf>
    <xf numFmtId="167" fontId="9" fillId="4" borderId="1" xfId="0" applyNumberFormat="1" applyFont="1" applyFill="1" applyBorder="1" applyAlignment="1">
      <alignment horizontal="left" readingOrder="1"/>
    </xf>
    <xf numFmtId="0" fontId="9" fillId="4" borderId="1" xfId="0" applyFont="1" applyFill="1" applyBorder="1" applyAlignment="1">
      <alignment horizontal="left" readingOrder="1"/>
    </xf>
    <xf numFmtId="0" fontId="0" fillId="4" borderId="1" xfId="0" applyFill="1" applyBorder="1" applyAlignment="1">
      <alignment horizontal="left" readingOrder="1"/>
    </xf>
    <xf numFmtId="49" fontId="4" fillId="5" borderId="1" xfId="1" applyNumberFormat="1" applyFont="1" applyFill="1" applyBorder="1" applyAlignment="1" applyProtection="1">
      <alignment horizontal="center" vertical="center" wrapText="1" readingOrder="1"/>
      <protection locked="0"/>
    </xf>
    <xf numFmtId="49" fontId="4" fillId="5" borderId="0" xfId="1" applyNumberFormat="1" applyFont="1" applyFill="1" applyBorder="1" applyAlignment="1" applyProtection="1">
      <alignment horizontal="center" vertical="center" wrapText="1" readingOrder="1"/>
      <protection locked="0"/>
    </xf>
    <xf numFmtId="49" fontId="0" fillId="0" borderId="0" xfId="0" applyNumberFormat="1" applyAlignment="1">
      <alignment horizontal="center" readingOrder="1"/>
    </xf>
    <xf numFmtId="0" fontId="4" fillId="5" borderId="1" xfId="1" applyFont="1" applyFill="1" applyBorder="1" applyAlignment="1" applyProtection="1">
      <alignment horizontal="center" vertical="center" wrapText="1" readingOrder="1"/>
      <protection locked="0"/>
    </xf>
    <xf numFmtId="0" fontId="4" fillId="5" borderId="0" xfId="1" applyFont="1" applyFill="1" applyBorder="1" applyAlignment="1" applyProtection="1">
      <alignment horizontal="center" vertical="center" wrapText="1" readingOrder="1"/>
      <protection locked="0"/>
    </xf>
    <xf numFmtId="0" fontId="0" fillId="0" borderId="0" xfId="0" applyAlignment="1">
      <alignment horizontal="center" readingOrder="1"/>
    </xf>
    <xf numFmtId="0" fontId="0" fillId="5" borderId="0" xfId="0" applyFill="1" applyBorder="1" applyAlignment="1">
      <alignment horizontal="left" readingOrder="1"/>
    </xf>
    <xf numFmtId="0" fontId="4" fillId="5" borderId="1" xfId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 readingOrder="1"/>
    </xf>
    <xf numFmtId="0" fontId="4" fillId="5" borderId="1" xfId="1" applyFont="1" applyFill="1" applyBorder="1" applyAlignment="1">
      <alignment horizontal="left" vertical="center" wrapText="1" readingOrder="1"/>
    </xf>
    <xf numFmtId="0" fontId="4" fillId="5" borderId="1" xfId="1" applyFont="1" applyFill="1" applyBorder="1" applyAlignment="1" applyProtection="1">
      <alignment horizontal="left" vertical="center" wrapText="1" readingOrder="1"/>
      <protection locked="0"/>
    </xf>
    <xf numFmtId="44" fontId="4" fillId="5" borderId="1" xfId="1" applyNumberFormat="1" applyFont="1" applyFill="1" applyBorder="1" applyAlignment="1" applyProtection="1">
      <alignment horizontal="left" vertical="center" wrapText="1" readingOrder="1"/>
    </xf>
    <xf numFmtId="0" fontId="4" fillId="5" borderId="0" xfId="1" applyFont="1" applyFill="1" applyBorder="1" applyAlignment="1" applyProtection="1">
      <alignment horizontal="left" vertical="center" wrapText="1" readingOrder="1"/>
      <protection locked="0"/>
    </xf>
    <xf numFmtId="0" fontId="0" fillId="0" borderId="0" xfId="0" applyBorder="1" applyAlignment="1">
      <alignment horizontal="left" readingOrder="1"/>
    </xf>
    <xf numFmtId="0" fontId="4" fillId="5" borderId="1" xfId="1" applyFont="1" applyFill="1" applyBorder="1" applyAlignment="1">
      <alignment horizontal="left" vertical="center" readingOrder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168" fontId="4" fillId="5" borderId="0" xfId="3" applyNumberFormat="1" applyFont="1" applyFill="1" applyBorder="1" applyAlignment="1" applyProtection="1">
      <alignment horizontal="left" vertical="center" wrapText="1" readingOrder="1"/>
      <protection locked="0"/>
    </xf>
    <xf numFmtId="44" fontId="6" fillId="5" borderId="1" xfId="1" applyNumberFormat="1" applyFont="1" applyFill="1" applyBorder="1" applyAlignment="1" applyProtection="1">
      <alignment horizontal="left" vertical="center" wrapText="1" readingOrder="1"/>
    </xf>
    <xf numFmtId="44" fontId="6" fillId="5" borderId="0" xfId="1" applyNumberFormat="1" applyFont="1" applyFill="1" applyBorder="1" applyAlignment="1" applyProtection="1">
      <alignment horizontal="left" vertical="center" wrapText="1" readingOrder="1"/>
    </xf>
    <xf numFmtId="165" fontId="4" fillId="5" borderId="0" xfId="1" applyNumberFormat="1" applyFont="1" applyFill="1" applyBorder="1" applyAlignment="1" applyProtection="1">
      <alignment horizontal="left" vertical="center" wrapText="1" readingOrder="1"/>
      <protection locked="0"/>
    </xf>
    <xf numFmtId="166" fontId="4" fillId="5" borderId="0" xfId="1" applyNumberFormat="1" applyFont="1" applyFill="1" applyBorder="1" applyAlignment="1" applyProtection="1">
      <alignment horizontal="left" vertical="center" wrapText="1" readingOrder="1"/>
      <protection locked="0"/>
    </xf>
    <xf numFmtId="169" fontId="4" fillId="5" borderId="1" xfId="3" applyNumberFormat="1" applyFont="1" applyFill="1" applyBorder="1" applyAlignment="1" applyProtection="1">
      <alignment horizontal="left" vertical="center" wrapText="1" readingOrder="1"/>
      <protection locked="0"/>
    </xf>
    <xf numFmtId="169" fontId="4" fillId="5" borderId="0" xfId="3" applyNumberFormat="1" applyFont="1" applyFill="1" applyBorder="1" applyAlignment="1" applyProtection="1">
      <alignment horizontal="left" vertical="center" wrapText="1" readingOrder="1"/>
      <protection locked="0"/>
    </xf>
    <xf numFmtId="169" fontId="0" fillId="0" borderId="0" xfId="0" applyNumberFormat="1" applyAlignment="1">
      <alignment horizontal="left" readingOrder="1"/>
    </xf>
    <xf numFmtId="169" fontId="0" fillId="5" borderId="0" xfId="0" applyNumberFormat="1" applyFill="1" applyAlignment="1">
      <alignment horizontal="left" readingOrder="1"/>
    </xf>
    <xf numFmtId="0" fontId="7" fillId="5" borderId="12" xfId="2" applyFont="1" applyFill="1" applyBorder="1" applyAlignment="1" applyProtection="1">
      <alignment horizontal="center" textRotation="60" wrapText="1" readingOrder="1"/>
      <protection locked="0"/>
    </xf>
    <xf numFmtId="165" fontId="4" fillId="5" borderId="1" xfId="1" applyNumberFormat="1" applyFont="1" applyFill="1" applyBorder="1" applyAlignment="1" applyProtection="1">
      <alignment horizontal="left" vertical="center" wrapText="1" readingOrder="1"/>
      <protection locked="0"/>
    </xf>
    <xf numFmtId="166" fontId="4" fillId="5" borderId="1" xfId="1" applyNumberFormat="1" applyFont="1" applyFill="1" applyBorder="1" applyAlignment="1" applyProtection="1">
      <alignment horizontal="left" vertical="center" wrapText="1" readingOrder="1"/>
      <protection locked="0"/>
    </xf>
    <xf numFmtId="3" fontId="4" fillId="5" borderId="1" xfId="1" applyNumberFormat="1" applyFont="1" applyFill="1" applyBorder="1" applyAlignment="1" applyProtection="1">
      <alignment horizontal="left" vertical="center" wrapText="1" readingOrder="1"/>
      <protection locked="0"/>
    </xf>
    <xf numFmtId="0" fontId="5" fillId="5" borderId="1" xfId="0" applyFont="1" applyFill="1" applyBorder="1" applyAlignment="1">
      <alignment horizontal="left" readingOrder="1"/>
    </xf>
    <xf numFmtId="3" fontId="4" fillId="5" borderId="0" xfId="1" applyNumberFormat="1" applyFont="1" applyFill="1" applyBorder="1" applyAlignment="1" applyProtection="1">
      <alignment horizontal="left" vertical="center" wrapText="1" readingOrder="1"/>
      <protection locked="0"/>
    </xf>
    <xf numFmtId="0" fontId="0" fillId="5" borderId="0" xfId="0" applyFill="1" applyAlignment="1">
      <alignment horizontal="left" readingOrder="1"/>
    </xf>
    <xf numFmtId="0" fontId="9" fillId="5" borderId="1" xfId="0" applyFont="1" applyFill="1" applyBorder="1" applyAlignment="1">
      <alignment horizontal="right" readingOrder="1"/>
    </xf>
    <xf numFmtId="0" fontId="9" fillId="5" borderId="1" xfId="0" applyFont="1" applyFill="1" applyBorder="1" applyAlignment="1">
      <alignment horizontal="left" readingOrder="1"/>
    </xf>
    <xf numFmtId="0" fontId="4" fillId="5" borderId="0" xfId="1" applyFont="1" applyFill="1" applyBorder="1" applyAlignment="1" applyProtection="1">
      <alignment horizontal="left" vertical="center" wrapText="1"/>
    </xf>
    <xf numFmtId="0" fontId="6" fillId="5" borderId="7" xfId="1" applyFont="1" applyFill="1" applyBorder="1" applyAlignment="1" applyProtection="1">
      <alignment horizontal="center" vertical="center" wrapText="1"/>
    </xf>
    <xf numFmtId="0" fontId="6" fillId="5" borderId="18" xfId="1" applyFont="1" applyFill="1" applyBorder="1" applyAlignment="1" applyProtection="1">
      <alignment horizontal="center" vertical="center" wrapText="1"/>
    </xf>
    <xf numFmtId="0" fontId="6" fillId="5" borderId="8" xfId="1" applyFont="1" applyFill="1" applyBorder="1" applyAlignment="1" applyProtection="1">
      <alignment horizontal="center" vertical="center" wrapText="1"/>
    </xf>
    <xf numFmtId="0" fontId="6" fillId="5" borderId="13" xfId="1" applyFont="1" applyFill="1" applyBorder="1" applyAlignment="1" applyProtection="1">
      <alignment horizontal="center" vertical="center" wrapText="1"/>
    </xf>
    <xf numFmtId="167" fontId="9" fillId="5" borderId="1" xfId="0" applyNumberFormat="1" applyFont="1" applyFill="1" applyBorder="1" applyAlignment="1">
      <alignment horizontal="left" readingOrder="1"/>
    </xf>
    <xf numFmtId="0" fontId="4" fillId="5" borderId="19" xfId="1" applyFont="1" applyFill="1" applyBorder="1" applyAlignment="1" applyProtection="1">
      <alignment horizontal="left" vertical="center" wrapText="1"/>
    </xf>
    <xf numFmtId="3" fontId="4" fillId="5" borderId="9" xfId="1" applyNumberFormat="1" applyFont="1" applyFill="1" applyBorder="1" applyAlignment="1" applyProtection="1">
      <alignment horizontal="center" vertical="center" wrapText="1"/>
    </xf>
    <xf numFmtId="3" fontId="4" fillId="5" borderId="17" xfId="1" applyNumberFormat="1" applyFont="1" applyFill="1" applyBorder="1" applyAlignment="1" applyProtection="1">
      <alignment horizontal="center" vertical="center" wrapText="1"/>
    </xf>
    <xf numFmtId="7" fontId="4" fillId="5" borderId="10" xfId="1" applyNumberFormat="1" applyFont="1" applyFill="1" applyBorder="1" applyAlignment="1" applyProtection="1">
      <alignment horizontal="center" vertical="center" wrapText="1"/>
    </xf>
    <xf numFmtId="44" fontId="4" fillId="5" borderId="14" xfId="1" applyNumberFormat="1" applyFont="1" applyFill="1" applyBorder="1" applyAlignment="1" applyProtection="1">
      <alignment horizontal="center" vertical="center" wrapText="1"/>
    </xf>
    <xf numFmtId="0" fontId="9" fillId="5" borderId="0" xfId="0" applyFont="1" applyFill="1" applyBorder="1" applyAlignment="1">
      <alignment horizontal="right" readingOrder="1"/>
    </xf>
    <xf numFmtId="167" fontId="9" fillId="5" borderId="0" xfId="0" applyNumberFormat="1" applyFont="1" applyFill="1" applyBorder="1" applyAlignment="1">
      <alignment horizontal="left" readingOrder="1"/>
    </xf>
    <xf numFmtId="3" fontId="4" fillId="5" borderId="0" xfId="1" applyNumberFormat="1" applyFont="1" applyFill="1" applyBorder="1" applyAlignment="1" applyProtection="1">
      <alignment horizontal="center" vertical="center" wrapText="1"/>
    </xf>
    <xf numFmtId="7" fontId="4" fillId="5" borderId="0" xfId="1" applyNumberFormat="1" applyFont="1" applyFill="1" applyBorder="1" applyAlignment="1" applyProtection="1">
      <alignment horizontal="center" vertical="center" wrapText="1"/>
    </xf>
    <xf numFmtId="0" fontId="4" fillId="5" borderId="0" xfId="1" applyFont="1" applyFill="1" applyBorder="1" applyAlignment="1" applyProtection="1">
      <alignment horizontal="left" vertical="center" wrapText="1" indent="1"/>
      <protection locked="0"/>
    </xf>
    <xf numFmtId="164" fontId="6" fillId="5" borderId="7" xfId="1" applyNumberFormat="1" applyFont="1" applyFill="1" applyBorder="1" applyAlignment="1" applyProtection="1">
      <alignment horizontal="center" vertical="center" wrapText="1"/>
    </xf>
    <xf numFmtId="164" fontId="6" fillId="5" borderId="18" xfId="1" applyNumberFormat="1" applyFont="1" applyFill="1" applyBorder="1" applyAlignment="1" applyProtection="1">
      <alignment horizontal="center" vertical="center" wrapText="1"/>
    </xf>
    <xf numFmtId="168" fontId="6" fillId="5" borderId="16" xfId="3" applyNumberFormat="1" applyFont="1" applyFill="1" applyBorder="1" applyAlignment="1" applyProtection="1">
      <alignment vertical="center" wrapText="1"/>
      <protection locked="0"/>
    </xf>
    <xf numFmtId="0" fontId="4" fillId="5" borderId="15" xfId="1" applyFont="1" applyFill="1" applyBorder="1" applyAlignment="1" applyProtection="1">
      <alignment horizontal="left" vertical="center" wrapText="1"/>
    </xf>
    <xf numFmtId="168" fontId="4" fillId="5" borderId="14" xfId="3" applyNumberFormat="1" applyFont="1" applyFill="1" applyBorder="1" applyAlignment="1" applyProtection="1">
      <alignment horizontal="center" vertical="center" wrapText="1"/>
    </xf>
    <xf numFmtId="164" fontId="6" fillId="5" borderId="11" xfId="1" applyNumberFormat="1" applyFont="1" applyFill="1" applyBorder="1" applyAlignment="1" applyProtection="1">
      <alignment horizontal="center" vertical="center" wrapText="1"/>
    </xf>
    <xf numFmtId="44" fontId="6" fillId="5" borderId="16" xfId="1" applyNumberFormat="1" applyFont="1" applyFill="1" applyBorder="1" applyAlignment="1" applyProtection="1">
      <alignment horizontal="center" vertical="center" wrapText="1"/>
    </xf>
    <xf numFmtId="0" fontId="7" fillId="5" borderId="3" xfId="2" applyFont="1" applyFill="1" applyBorder="1" applyAlignment="1">
      <alignment horizontal="center" textRotation="60" wrapText="1" readingOrder="1"/>
    </xf>
    <xf numFmtId="0" fontId="7" fillId="5" borderId="20" xfId="2" applyFont="1" applyFill="1" applyBorder="1" applyAlignment="1">
      <alignment horizontal="center" vertical="center" wrapText="1" readingOrder="1"/>
    </xf>
    <xf numFmtId="0" fontId="0" fillId="0" borderId="0" xfId="0" applyAlignment="1">
      <alignment horizontal="left" readingOrder="1"/>
    </xf>
    <xf numFmtId="0" fontId="7" fillId="5" borderId="1" xfId="2" applyFont="1" applyFill="1" applyBorder="1" applyAlignment="1">
      <alignment horizontal="center" textRotation="60" wrapText="1" readingOrder="1"/>
    </xf>
    <xf numFmtId="0" fontId="7" fillId="5" borderId="1" xfId="2" applyFont="1" applyFill="1" applyBorder="1" applyAlignment="1" applyProtection="1">
      <alignment horizontal="center" textRotation="60" wrapText="1" readingOrder="1"/>
      <protection locked="0"/>
    </xf>
    <xf numFmtId="49" fontId="7" fillId="5" borderId="1" xfId="2" applyNumberFormat="1" applyFont="1" applyFill="1" applyBorder="1" applyAlignment="1" applyProtection="1">
      <alignment horizontal="center" textRotation="60" wrapText="1" readingOrder="1"/>
      <protection locked="0"/>
    </xf>
    <xf numFmtId="164" fontId="7" fillId="5" borderId="1" xfId="2" applyNumberFormat="1" applyFont="1" applyFill="1" applyBorder="1" applyAlignment="1" applyProtection="1">
      <alignment horizontal="center" textRotation="60" wrapText="1" readingOrder="1"/>
      <protection locked="0"/>
    </xf>
    <xf numFmtId="169" fontId="7" fillId="5" borderId="1" xfId="2" applyNumberFormat="1" applyFont="1" applyFill="1" applyBorder="1" applyAlignment="1" applyProtection="1">
      <alignment horizontal="center" textRotation="60" wrapText="1" readingOrder="1"/>
      <protection locked="0"/>
    </xf>
    <xf numFmtId="169" fontId="0" fillId="5" borderId="0" xfId="0" applyNumberFormat="1" applyFill="1" applyAlignment="1">
      <alignment horizontal="left" readingOrder="1"/>
    </xf>
    <xf numFmtId="0" fontId="7" fillId="5" borderId="0" xfId="2" applyFont="1" applyFill="1" applyBorder="1" applyAlignment="1">
      <alignment horizontal="center" vertical="center" wrapText="1" readingOrder="1"/>
    </xf>
    <xf numFmtId="0" fontId="7" fillId="5" borderId="22" xfId="2" applyFont="1" applyFill="1" applyBorder="1" applyAlignment="1" applyProtection="1">
      <alignment horizontal="center" textRotation="60" wrapText="1" readingOrder="1"/>
      <protection locked="0"/>
    </xf>
    <xf numFmtId="0" fontId="0" fillId="5" borderId="0" xfId="0" applyFill="1" applyBorder="1" applyAlignment="1">
      <alignment horizontal="left" readingOrder="1"/>
    </xf>
    <xf numFmtId="44" fontId="4" fillId="5" borderId="14" xfId="4" applyFont="1" applyFill="1" applyBorder="1" applyAlignment="1" applyProtection="1">
      <alignment horizontal="center" vertical="center" wrapText="1"/>
    </xf>
    <xf numFmtId="0" fontId="0" fillId="5" borderId="23" xfId="0" applyFill="1" applyBorder="1" applyAlignment="1">
      <alignment horizontal="left" readingOrder="1"/>
    </xf>
    <xf numFmtId="0" fontId="9" fillId="5" borderId="8" xfId="0" applyFont="1" applyFill="1" applyBorder="1" applyAlignment="1">
      <alignment horizontal="right" readingOrder="1"/>
    </xf>
    <xf numFmtId="0" fontId="9" fillId="5" borderId="8" xfId="0" applyFont="1" applyFill="1" applyBorder="1" applyAlignment="1">
      <alignment horizontal="left" readingOrder="1"/>
    </xf>
    <xf numFmtId="0" fontId="4" fillId="5" borderId="24" xfId="1" applyFont="1" applyFill="1" applyBorder="1" applyAlignment="1" applyProtection="1">
      <alignment horizontal="left" vertical="center" wrapText="1"/>
    </xf>
    <xf numFmtId="0" fontId="0" fillId="5" borderId="25" xfId="0" applyFill="1" applyBorder="1" applyAlignment="1">
      <alignment horizontal="left" readingOrder="1"/>
    </xf>
    <xf numFmtId="44" fontId="4" fillId="5" borderId="26" xfId="1" applyNumberFormat="1" applyFont="1" applyFill="1" applyBorder="1" applyAlignment="1" applyProtection="1">
      <alignment horizontal="center" vertical="center" wrapText="1"/>
    </xf>
    <xf numFmtId="0" fontId="0" fillId="5" borderId="26" xfId="0" applyFill="1" applyBorder="1" applyAlignment="1">
      <alignment horizontal="left" readingOrder="1"/>
    </xf>
    <xf numFmtId="0" fontId="4" fillId="5" borderId="27" xfId="1" applyFont="1" applyFill="1" applyBorder="1" applyAlignment="1" applyProtection="1">
      <alignment horizontal="center" vertical="center"/>
      <protection locked="0"/>
    </xf>
    <xf numFmtId="0" fontId="4" fillId="5" borderId="9" xfId="1" applyFont="1" applyFill="1" applyBorder="1" applyAlignment="1" applyProtection="1">
      <alignment horizontal="center" vertical="center"/>
      <protection locked="0"/>
    </xf>
    <xf numFmtId="0" fontId="0" fillId="5" borderId="21" xfId="0" applyFill="1" applyBorder="1" applyAlignment="1">
      <alignment horizontal="left" readingOrder="1"/>
    </xf>
    <xf numFmtId="0" fontId="7" fillId="5" borderId="3" xfId="2" applyFont="1" applyFill="1" applyBorder="1" applyAlignment="1">
      <alignment horizontal="center" wrapText="1" readingOrder="1"/>
    </xf>
    <xf numFmtId="0" fontId="7" fillId="5" borderId="1" xfId="2" applyFont="1" applyFill="1" applyBorder="1" applyAlignment="1">
      <alignment horizontal="center" wrapText="1" readingOrder="1"/>
    </xf>
    <xf numFmtId="0" fontId="7" fillId="5" borderId="1" xfId="2" applyFont="1" applyFill="1" applyBorder="1" applyAlignment="1" applyProtection="1">
      <alignment horizontal="center" wrapText="1" readingOrder="1"/>
      <protection locked="0"/>
    </xf>
    <xf numFmtId="49" fontId="7" fillId="5" borderId="1" xfId="2" applyNumberFormat="1" applyFont="1" applyFill="1" applyBorder="1" applyAlignment="1" applyProtection="1">
      <alignment horizontal="center" wrapText="1" readingOrder="1"/>
      <protection locked="0"/>
    </xf>
    <xf numFmtId="169" fontId="7" fillId="5" borderId="1" xfId="2" applyNumberFormat="1" applyFont="1" applyFill="1" applyBorder="1" applyAlignment="1" applyProtection="1">
      <alignment horizontal="center" wrapText="1" readingOrder="1"/>
      <protection locked="0"/>
    </xf>
    <xf numFmtId="0" fontId="0" fillId="0" borderId="0" xfId="0" applyAlignment="1"/>
    <xf numFmtId="0" fontId="11" fillId="0" borderId="1" xfId="0" applyFont="1" applyBorder="1" applyAlignment="1">
      <alignment horizontal="left" readingOrder="1"/>
    </xf>
    <xf numFmtId="0" fontId="11" fillId="0" borderId="1" xfId="0" applyFont="1" applyBorder="1" applyAlignment="1">
      <alignment horizontal="left" wrapText="1" readingOrder="1"/>
    </xf>
    <xf numFmtId="0" fontId="11" fillId="0" borderId="2" xfId="0" applyFont="1" applyBorder="1" applyAlignment="1">
      <alignment horizontal="left" readingOrder="1"/>
    </xf>
    <xf numFmtId="0" fontId="4" fillId="0" borderId="1" xfId="1" applyFont="1" applyFill="1" applyBorder="1" applyAlignment="1" applyProtection="1">
      <alignment horizontal="left" vertical="center" wrapText="1" readingOrder="1"/>
      <protection locked="0"/>
    </xf>
    <xf numFmtId="49" fontId="4" fillId="0" borderId="1" xfId="1" applyNumberFormat="1" applyFont="1" applyFill="1" applyBorder="1" applyAlignment="1" applyProtection="1">
      <alignment horizontal="center" vertical="center" wrapText="1" readingOrder="1"/>
      <protection locked="0"/>
    </xf>
    <xf numFmtId="0" fontId="4" fillId="0" borderId="1" xfId="1" applyFont="1" applyFill="1" applyBorder="1" applyAlignment="1" applyProtection="1">
      <alignment horizontal="center" vertical="center" wrapText="1" readingOrder="1"/>
      <protection locked="0"/>
    </xf>
    <xf numFmtId="169" fontId="4" fillId="0" borderId="1" xfId="3" applyNumberFormat="1" applyFont="1" applyFill="1" applyBorder="1" applyAlignment="1" applyProtection="1">
      <alignment horizontal="left" vertical="center" wrapText="1" readingOrder="1"/>
      <protection locked="0"/>
    </xf>
    <xf numFmtId="3" fontId="4" fillId="0" borderId="1" xfId="1" applyNumberFormat="1" applyFont="1" applyFill="1" applyBorder="1" applyAlignment="1" applyProtection="1">
      <alignment horizontal="right" vertical="center" wrapText="1" readingOrder="1"/>
      <protection locked="0"/>
    </xf>
    <xf numFmtId="44" fontId="4" fillId="0" borderId="1" xfId="1" applyNumberFormat="1" applyFont="1" applyFill="1" applyBorder="1" applyAlignment="1" applyProtection="1">
      <alignment horizontal="left" vertical="center" wrapText="1" readingOrder="1"/>
    </xf>
    <xf numFmtId="44" fontId="6" fillId="0" borderId="1" xfId="1" applyNumberFormat="1" applyFont="1" applyFill="1" applyBorder="1" applyAlignment="1" applyProtection="1">
      <alignment horizontal="left" vertical="center" wrapText="1" readingOrder="1"/>
    </xf>
    <xf numFmtId="165" fontId="4" fillId="0" borderId="1" xfId="1" applyNumberFormat="1" applyFont="1" applyFill="1" applyBorder="1" applyAlignment="1" applyProtection="1">
      <alignment horizontal="left" vertical="center" wrapText="1" readingOrder="1"/>
      <protection locked="0"/>
    </xf>
    <xf numFmtId="166" fontId="4" fillId="0" borderId="1" xfId="1" applyNumberFormat="1" applyFont="1" applyFill="1" applyBorder="1" applyAlignment="1" applyProtection="1">
      <alignment horizontal="left" vertical="center" wrapText="1" readingOrder="1"/>
      <protection locked="0"/>
    </xf>
    <xf numFmtId="3" fontId="4" fillId="0" borderId="1" xfId="1" applyNumberFormat="1" applyFont="1" applyFill="1" applyBorder="1" applyAlignment="1" applyProtection="1">
      <alignment horizontal="left" vertical="center" wrapText="1" readingOrder="1"/>
      <protection locked="0"/>
    </xf>
    <xf numFmtId="0" fontId="0" fillId="0" borderId="0" xfId="0" applyFill="1" applyBorder="1" applyAlignment="1">
      <alignment horizontal="left" readingOrder="1"/>
    </xf>
    <xf numFmtId="0" fontId="11" fillId="0" borderId="2" xfId="0" applyFont="1" applyBorder="1" applyAlignment="1">
      <alignment horizontal="center" readingOrder="1"/>
    </xf>
    <xf numFmtId="0" fontId="11" fillId="0" borderId="1" xfId="0" applyFont="1" applyFill="1" applyBorder="1" applyAlignment="1">
      <alignment horizontal="left" readingOrder="1"/>
    </xf>
    <xf numFmtId="0" fontId="11" fillId="0" borderId="1" xfId="0" applyFont="1" applyFill="1" applyBorder="1" applyAlignment="1">
      <alignment horizontal="left" wrapText="1" readingOrder="1"/>
    </xf>
    <xf numFmtId="0" fontId="11" fillId="0" borderId="1" xfId="0" applyFont="1" applyBorder="1" applyAlignment="1">
      <alignment horizontal="center" readingOrder="1"/>
    </xf>
    <xf numFmtId="49" fontId="4" fillId="5" borderId="2" xfId="1" applyNumberFormat="1" applyFont="1" applyFill="1" applyBorder="1" applyAlignment="1" applyProtection="1">
      <alignment horizontal="center" vertical="center" wrapText="1" readingOrder="1"/>
      <protection locked="0"/>
    </xf>
    <xf numFmtId="0" fontId="12" fillId="0" borderId="1" xfId="0" applyFont="1" applyBorder="1" applyAlignment="1">
      <alignment horizontal="left" readingOrder="1"/>
    </xf>
    <xf numFmtId="0" fontId="12" fillId="0" borderId="1" xfId="0" applyFont="1" applyFill="1" applyBorder="1" applyAlignment="1">
      <alignment horizontal="left" readingOrder="1"/>
    </xf>
    <xf numFmtId="0" fontId="12" fillId="0" borderId="1" xfId="0" applyFont="1" applyBorder="1" applyAlignment="1">
      <alignment horizontal="left" wrapText="1" readingOrder="1"/>
    </xf>
    <xf numFmtId="0" fontId="9" fillId="0" borderId="0" xfId="0" applyFont="1" applyAlignment="1">
      <alignment horizontal="left" readingOrder="1"/>
    </xf>
    <xf numFmtId="0" fontId="6" fillId="4" borderId="1" xfId="1" applyFont="1" applyFill="1" applyBorder="1" applyAlignment="1" applyProtection="1">
      <alignment horizontal="center" vertical="center" wrapText="1"/>
    </xf>
  </cellXfs>
  <cellStyles count="5">
    <cellStyle name="60% - Accent1" xfId="1" builtinId="32"/>
    <cellStyle name="Accent1" xfId="2" builtinId="29"/>
    <cellStyle name="Comma" xfId="3" builtinId="3"/>
    <cellStyle name="Currency" xfId="4" builtinId="4"/>
    <cellStyle name="Normal" xfId="0" builtinId="0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&quot;$&quot;#,##0.0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&quot;$&quot;#,##0.0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&quot;$&quot;#,##0.0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&quot;$&quot;#,##0.0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wrapText="1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wrapText="1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wrapText="1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&quot;$&quot;#,##0.00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&quot;$&quot;#,##0.00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&quot;$&quot;#,##0.0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&quot;$&quot;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numFmt numFmtId="164" formatCode="&quot;$&quot;#,##0.00"/>
      <fill>
        <patternFill patternType="none">
          <fgColor indexed="64"/>
          <bgColor auto="1"/>
        </patternFill>
      </fill>
      <alignment wrapText="1" indent="0" justifyLastLine="0" shrinkToFit="0"/>
      <protection locked="0" hidden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0"/>
        <name val="Arial"/>
        <scheme val="none"/>
      </font>
      <numFmt numFmtId="164" formatCode="&quot;$&quot;#,##0.00"/>
      <fill>
        <patternFill patternType="none">
          <fgColor indexed="64"/>
          <bgColor auto="1"/>
        </patternFill>
      </fill>
      <alignment horizontal="left" vertical="center" textRotation="45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ill>
        <patternFill>
          <bgColor theme="3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</dxfs>
  <tableStyles count="3" defaultTableStyle="TableStyleMedium2" defaultPivotStyle="PivotStyleLight16">
    <tableStyle name="Table Style 1" pivot="0" count="1">
      <tableStyleElement type="firstRowStripe" dxfId="67"/>
    </tableStyle>
    <tableStyle name="Table Style 2" pivot="0" count="2">
      <tableStyleElement type="headerRow" dxfId="66"/>
      <tableStyleElement type="firstRowStripe" dxfId="65"/>
    </tableStyle>
    <tableStyle name="Table Style 3" pivot="0" count="2">
      <tableStyleElement type="headerRow" dxfId="64"/>
      <tableStyleElement type="firstRowStripe" dxfId="6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3" name="Table14" displayName="Table14" ref="A1:AB1048576" headerRowDxfId="62" dataDxfId="60" totalsRowDxfId="58" headerRowBorderDxfId="61" tableBorderDxfId="59" headerRowCellStyle="Accent1">
  <sortState ref="A2:AB227">
    <sortCondition ref="A2:A227"/>
    <sortCondition ref="B2:B227"/>
  </sortState>
  <tableColumns count="28">
    <tableColumn id="30" name="Dept." dataDxfId="57" totalsRowDxfId="56" dataCellStyle="60% - Accent1"/>
    <tableColumn id="29" name="General Ledger #" dataDxfId="55" totalsRowDxfId="54" dataCellStyle="60% - Accent1"/>
    <tableColumn id="28" name="GL Description" dataDxfId="53" totalsRowDxfId="52" dataCellStyle="60% - Accent1"/>
    <tableColumn id="1" name="Building" totalsRowLabel="Total" dataDxfId="51" totalsRowDxfId="50" dataCellStyle="60% - Accent1"/>
    <tableColumn id="2" name="Address" dataDxfId="49" totalsRowDxfId="48" dataCellStyle="60% - Accent1"/>
    <tableColumn id="3" name="City" dataDxfId="47" totalsRowDxfId="46" dataCellStyle="60% - Accent1"/>
    <tableColumn id="4" name="State" dataDxfId="45" totalsRowDxfId="44" dataCellStyle="60% - Accent1"/>
    <tableColumn id="5" name="Zip" dataDxfId="43" totalsRowDxfId="42" dataCellStyle="60% - Accent1"/>
    <tableColumn id="6" name="Floor" dataDxfId="41" totalsRowDxfId="40" dataCellStyle="60% - Accent1"/>
    <tableColumn id="7" name="Room" dataDxfId="39" totalsRowDxfId="38" dataCellStyle="60% - Accent1"/>
    <tableColumn id="8" name="Model" dataDxfId="37" totalsRowDxfId="36" dataCellStyle="60% - Accent1"/>
    <tableColumn id="11" name="ROOM2" dataDxfId="35" totalsRowDxfId="34" dataCellStyle="60% - Accent1"/>
    <tableColumn id="12" name="Ricoh Tag #" dataDxfId="33" totalsRowDxfId="32" dataCellStyle="60% - Accent1"/>
    <tableColumn id="13" name="Serial Number" dataDxfId="31" totalsRowDxfId="30" dataCellStyle="60% - Accent1"/>
    <tableColumn id="14" name="IP Address" dataDxfId="29" totalsRowDxfId="28" dataCellStyle="60% - Accent1"/>
    <tableColumn id="15" name="Device Type" dataDxfId="27" totalsRowDxfId="26"/>
    <tableColumn id="16" name="Total B&amp;W Click Count" dataDxfId="25" totalsRowDxfId="24"/>
    <tableColumn id="17" name="Total Color Click Count" dataDxfId="23" totalsRowDxfId="22"/>
    <tableColumn id="18" name="CPC B/W" dataDxfId="21" totalsRowDxfId="20" dataCellStyle="60% - Accent1"/>
    <tableColumn id="19" name="CPC Color" dataDxfId="19" totalsRowDxfId="18" dataCellStyle="60% - Accent1"/>
    <tableColumn id="20" name="Prev B&amp;W Click Count" dataDxfId="17" totalsRowDxfId="16" dataCellStyle="60% - Accent1"/>
    <tableColumn id="21" name="Current B&amp;W Click Count" dataDxfId="15" totalsRowDxfId="14" dataCellStyle="60% - Accent1"/>
    <tableColumn id="22" name="Prev Color Click Count" dataDxfId="13" totalsRowDxfId="12" dataCellStyle="60% - Accent1"/>
    <tableColumn id="23" name="Current Color Click Count" dataDxfId="11" totalsRowDxfId="10" dataCellStyle="60% - Accent1"/>
    <tableColumn id="24" name="B&amp;W Click Charge" dataDxfId="9" totalsRowDxfId="8" dataCellStyle="60% - Accent1"/>
    <tableColumn id="25" name="Color Click Charge" dataDxfId="7" totalsRowDxfId="6" dataCellStyle="60% - Accent1"/>
    <tableColumn id="26" name="Device Total Click Charge" totalsRowFunction="count" dataDxfId="5" totalsRowDxfId="4" dataCellStyle="60% - Accent1"/>
    <tableColumn id="31" name="GL Sub Total" dataDxfId="3" totalsRowDxfId="2" dataCellStyle="60% - Accent1">
      <calculatedColumnFormula>sum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27"/>
  <sheetViews>
    <sheetView topLeftCell="C1" zoomScale="75" zoomScaleNormal="75" workbookViewId="0">
      <pane ySplit="1" topLeftCell="A218" activePane="bottomLeft" state="frozen"/>
      <selection pane="bottomLeft" activeCell="P220" sqref="P220:P225"/>
    </sheetView>
  </sheetViews>
  <sheetFormatPr defaultColWidth="9.140625" defaultRowHeight="15" outlineLevelCol="1" x14ac:dyDescent="0.25"/>
  <cols>
    <col min="1" max="1" width="29.7109375" style="12" customWidth="1"/>
    <col min="2" max="2" width="25.7109375" style="13" customWidth="1"/>
    <col min="3" max="3" width="30.28515625" style="13" customWidth="1"/>
    <col min="4" max="4" width="10.28515625" style="4" hidden="1" customWidth="1" outlineLevel="1"/>
    <col min="5" max="5" width="6.7109375" style="5" hidden="1" customWidth="1" outlineLevel="1"/>
    <col min="6" max="6" width="5.5703125" style="4" hidden="1" customWidth="1" outlineLevel="1"/>
    <col min="7" max="7" width="8.5703125" style="4" hidden="1" customWidth="1" outlineLevel="1"/>
    <col min="8" max="8" width="15.28515625" style="5" hidden="1" customWidth="1" outlineLevel="1"/>
    <col min="9" max="9" width="9" style="4" hidden="1" customWidth="1" outlineLevel="1"/>
    <col min="10" max="10" width="13.28515625" style="4" customWidth="1" collapsed="1"/>
    <col min="11" max="11" width="15.42578125" style="4" hidden="1" customWidth="1" outlineLevel="1"/>
    <col min="12" max="12" width="15.7109375" style="4" hidden="1" customWidth="1" collapsed="1"/>
    <col min="13" max="13" width="10.42578125" style="4" customWidth="1"/>
    <col min="14" max="14" width="10.140625" style="4" hidden="1" customWidth="1" outlineLevel="1"/>
    <col min="15" max="15" width="8.42578125" style="4" hidden="1" customWidth="1" outlineLevel="1"/>
    <col min="16" max="16" width="8.5703125" style="11" customWidth="1" collapsed="1"/>
    <col min="17" max="17" width="12.28515625" style="11" customWidth="1"/>
    <col min="18" max="18" width="12.5703125" style="11" customWidth="1"/>
    <col min="19" max="19" width="12" style="4" customWidth="1" outlineLevel="1"/>
    <col min="20" max="20" width="8.28515625" style="4" customWidth="1" outlineLevel="1"/>
    <col min="21" max="21" width="9.85546875" style="4" customWidth="1" outlineLevel="1"/>
    <col min="22" max="22" width="14.28515625" style="4" customWidth="1" outlineLevel="1"/>
    <col min="23" max="23" width="15.140625" style="4" customWidth="1" outlineLevel="1"/>
    <col min="24" max="24" width="14.28515625" style="4" customWidth="1" outlineLevel="1"/>
    <col min="25" max="27" width="11.5703125" style="7" customWidth="1"/>
    <col min="28" max="28" width="17.5703125" style="9" customWidth="1"/>
    <col min="29" max="29" width="10.28515625" style="3" customWidth="1"/>
    <col min="30" max="16384" width="9.140625" style="3"/>
  </cols>
  <sheetData>
    <row r="1" spans="1:30" ht="69" customHeight="1" x14ac:dyDescent="0.25">
      <c r="A1" s="22" t="s">
        <v>696</v>
      </c>
      <c r="B1" s="22" t="s">
        <v>707</v>
      </c>
      <c r="C1" s="22" t="s">
        <v>708</v>
      </c>
      <c r="D1" s="23" t="s">
        <v>0</v>
      </c>
      <c r="E1" s="23" t="s">
        <v>1</v>
      </c>
      <c r="F1" s="23" t="s">
        <v>2</v>
      </c>
      <c r="G1" s="23" t="s">
        <v>3</v>
      </c>
      <c r="H1" s="24" t="s">
        <v>4</v>
      </c>
      <c r="I1" s="23" t="s">
        <v>5</v>
      </c>
      <c r="J1" s="23" t="s">
        <v>6</v>
      </c>
      <c r="K1" s="23" t="s">
        <v>7</v>
      </c>
      <c r="L1" s="23" t="s">
        <v>661</v>
      </c>
      <c r="M1" s="23" t="s">
        <v>662</v>
      </c>
      <c r="N1" s="23" t="s">
        <v>8</v>
      </c>
      <c r="O1" s="23" t="s">
        <v>9</v>
      </c>
      <c r="P1" s="23" t="s">
        <v>10</v>
      </c>
      <c r="Q1" s="23" t="s">
        <v>663</v>
      </c>
      <c r="R1" s="23" t="s">
        <v>664</v>
      </c>
      <c r="S1" s="23" t="s">
        <v>11</v>
      </c>
      <c r="T1" s="23" t="s">
        <v>12</v>
      </c>
      <c r="U1" s="23" t="s">
        <v>665</v>
      </c>
      <c r="V1" s="23" t="s">
        <v>666</v>
      </c>
      <c r="W1" s="23" t="s">
        <v>667</v>
      </c>
      <c r="X1" s="23" t="s">
        <v>668</v>
      </c>
      <c r="Y1" s="25" t="s">
        <v>669</v>
      </c>
      <c r="Z1" s="25" t="s">
        <v>670</v>
      </c>
      <c r="AA1" s="25" t="s">
        <v>671</v>
      </c>
      <c r="AB1" s="25" t="s">
        <v>694</v>
      </c>
      <c r="AC1" s="20"/>
      <c r="AD1" s="20"/>
    </row>
    <row r="2" spans="1:30" ht="42.75" x14ac:dyDescent="0.25">
      <c r="A2" s="1" t="s">
        <v>310</v>
      </c>
      <c r="B2" s="1" t="s">
        <v>683</v>
      </c>
      <c r="C2" s="1" t="s">
        <v>310</v>
      </c>
      <c r="D2" s="4" t="s">
        <v>39</v>
      </c>
      <c r="E2" s="4" t="s">
        <v>14</v>
      </c>
      <c r="F2" s="4" t="s">
        <v>15</v>
      </c>
      <c r="G2" s="4" t="s">
        <v>16</v>
      </c>
      <c r="H2" s="8">
        <v>24450</v>
      </c>
      <c r="I2" s="5">
        <v>2</v>
      </c>
      <c r="J2" s="5">
        <v>210</v>
      </c>
      <c r="K2" s="4" t="s">
        <v>18</v>
      </c>
      <c r="L2" s="8">
        <v>210</v>
      </c>
      <c r="M2" s="4">
        <v>17099459</v>
      </c>
      <c r="N2" s="4" t="s">
        <v>311</v>
      </c>
      <c r="O2" s="4" t="s">
        <v>312</v>
      </c>
      <c r="P2" s="4" t="s">
        <v>709</v>
      </c>
      <c r="Q2" s="6">
        <v>11459</v>
      </c>
      <c r="R2" s="6">
        <v>2435</v>
      </c>
      <c r="S2" s="4">
        <v>2.07E-2</v>
      </c>
      <c r="T2" s="4">
        <v>8.6999999999999994E-2</v>
      </c>
      <c r="U2" s="4">
        <v>0</v>
      </c>
      <c r="V2" s="4">
        <v>11459</v>
      </c>
      <c r="W2" s="4">
        <v>0</v>
      </c>
      <c r="X2" s="4">
        <v>2435</v>
      </c>
      <c r="Y2" s="21">
        <f t="shared" ref="Y2:Y65" si="0">ROUND((Q2*S2),2)</f>
        <v>237.2</v>
      </c>
      <c r="Z2" s="21">
        <f t="shared" ref="Z2:Z65" si="1">ROUND((R2*T2),2)</f>
        <v>211.85</v>
      </c>
      <c r="AA2" s="21">
        <f t="shared" ref="AA2:AA65" si="2">Y2+Z2</f>
        <v>449.04999999999995</v>
      </c>
      <c r="AB2" s="21">
        <f>Table14[[#This Row],[Device Total Click Charge]]</f>
        <v>449.04999999999995</v>
      </c>
      <c r="AC2" s="20"/>
      <c r="AD2" s="20"/>
    </row>
    <row r="3" spans="1:30" ht="42.75" x14ac:dyDescent="0.25">
      <c r="A3" s="1" t="s">
        <v>702</v>
      </c>
      <c r="B3" s="1" t="s">
        <v>154</v>
      </c>
      <c r="C3" s="1" t="s">
        <v>702</v>
      </c>
      <c r="D3" s="4" t="s">
        <v>153</v>
      </c>
      <c r="E3" s="4" t="s">
        <v>14</v>
      </c>
      <c r="F3" s="4" t="s">
        <v>15</v>
      </c>
      <c r="G3" s="4" t="s">
        <v>16</v>
      </c>
      <c r="H3" s="8">
        <v>24450</v>
      </c>
      <c r="I3" s="5">
        <v>1</v>
      </c>
      <c r="J3" s="5">
        <v>201</v>
      </c>
      <c r="K3" s="4" t="s">
        <v>31</v>
      </c>
      <c r="L3" s="8">
        <v>201</v>
      </c>
      <c r="M3" s="4">
        <v>17099493</v>
      </c>
      <c r="N3" s="4" t="s">
        <v>155</v>
      </c>
      <c r="O3" s="4" t="s">
        <v>156</v>
      </c>
      <c r="P3" s="4" t="s">
        <v>709</v>
      </c>
      <c r="Q3" s="6">
        <v>14954</v>
      </c>
      <c r="R3" s="6">
        <v>5607</v>
      </c>
      <c r="S3" s="4">
        <v>2.07E-2</v>
      </c>
      <c r="T3" s="4">
        <v>8.6999999999999994E-2</v>
      </c>
      <c r="U3" s="4">
        <v>0</v>
      </c>
      <c r="V3" s="4">
        <v>14954</v>
      </c>
      <c r="W3" s="4">
        <v>0</v>
      </c>
      <c r="X3" s="4">
        <v>5607</v>
      </c>
      <c r="Y3" s="21">
        <f t="shared" si="0"/>
        <v>309.55</v>
      </c>
      <c r="Z3" s="21">
        <f t="shared" si="1"/>
        <v>487.81</v>
      </c>
      <c r="AA3" s="21">
        <f t="shared" si="2"/>
        <v>797.36</v>
      </c>
      <c r="AB3" s="21"/>
    </row>
    <row r="4" spans="1:30" ht="71.25" x14ac:dyDescent="0.25">
      <c r="A4" s="1" t="s">
        <v>702</v>
      </c>
      <c r="B4" s="1" t="s">
        <v>154</v>
      </c>
      <c r="C4" s="1" t="s">
        <v>702</v>
      </c>
      <c r="D4" s="4" t="s">
        <v>76</v>
      </c>
      <c r="E4" s="4" t="s">
        <v>77</v>
      </c>
      <c r="F4" s="4" t="s">
        <v>15</v>
      </c>
      <c r="G4" s="4" t="s">
        <v>16</v>
      </c>
      <c r="H4" s="8">
        <v>22450</v>
      </c>
      <c r="I4" s="5">
        <v>2</v>
      </c>
      <c r="J4" s="5">
        <v>205</v>
      </c>
      <c r="K4" s="4" t="s">
        <v>117</v>
      </c>
      <c r="L4" s="8">
        <v>301</v>
      </c>
      <c r="M4" s="4">
        <v>17099513</v>
      </c>
      <c r="N4" s="4" t="s">
        <v>254</v>
      </c>
      <c r="O4" s="4" t="s">
        <v>255</v>
      </c>
      <c r="P4" s="4" t="s">
        <v>29</v>
      </c>
      <c r="Q4" s="6">
        <v>795</v>
      </c>
      <c r="R4" s="6">
        <v>418</v>
      </c>
      <c r="S4" s="4">
        <v>2.6200000000000001E-2</v>
      </c>
      <c r="T4" s="4">
        <v>0.11799999999999999</v>
      </c>
      <c r="U4" s="4">
        <v>0</v>
      </c>
      <c r="V4" s="4">
        <v>795</v>
      </c>
      <c r="W4" s="4">
        <v>0</v>
      </c>
      <c r="X4" s="4">
        <v>418</v>
      </c>
      <c r="Y4" s="21">
        <f t="shared" si="0"/>
        <v>20.83</v>
      </c>
      <c r="Z4" s="21">
        <f t="shared" si="1"/>
        <v>49.32</v>
      </c>
      <c r="AA4" s="21">
        <f t="shared" si="2"/>
        <v>70.150000000000006</v>
      </c>
      <c r="AB4" s="21"/>
    </row>
    <row r="5" spans="1:30" ht="71.25" x14ac:dyDescent="0.25">
      <c r="A5" s="1" t="s">
        <v>702</v>
      </c>
      <c r="B5" s="1" t="s">
        <v>154</v>
      </c>
      <c r="C5" s="1" t="s">
        <v>702</v>
      </c>
      <c r="D5" s="4" t="s">
        <v>76</v>
      </c>
      <c r="E5" s="4" t="s">
        <v>77</v>
      </c>
      <c r="F5" s="4" t="s">
        <v>15</v>
      </c>
      <c r="G5" s="4" t="s">
        <v>16</v>
      </c>
      <c r="H5" s="8">
        <v>22450</v>
      </c>
      <c r="I5" s="5">
        <v>2</v>
      </c>
      <c r="J5" s="5">
        <v>207</v>
      </c>
      <c r="K5" s="4" t="s">
        <v>25</v>
      </c>
      <c r="L5" s="8">
        <v>207</v>
      </c>
      <c r="M5" s="4">
        <v>17099440</v>
      </c>
      <c r="N5" s="4" t="s">
        <v>346</v>
      </c>
      <c r="O5" s="4" t="s">
        <v>347</v>
      </c>
      <c r="P5" s="4" t="s">
        <v>29</v>
      </c>
      <c r="Q5" s="6">
        <v>471</v>
      </c>
      <c r="R5" s="6">
        <v>0</v>
      </c>
      <c r="S5" s="4">
        <v>2.6200000000000001E-2</v>
      </c>
      <c r="T5" s="4">
        <v>0.11799999999999999</v>
      </c>
      <c r="U5" s="4">
        <v>0</v>
      </c>
      <c r="V5" s="4">
        <v>471</v>
      </c>
      <c r="W5" s="4">
        <v>0</v>
      </c>
      <c r="X5" s="4">
        <v>0</v>
      </c>
      <c r="Y5" s="21">
        <f t="shared" si="0"/>
        <v>12.34</v>
      </c>
      <c r="Z5" s="21">
        <f t="shared" si="1"/>
        <v>0</v>
      </c>
      <c r="AA5" s="21">
        <f t="shared" si="2"/>
        <v>12.34</v>
      </c>
      <c r="AB5" s="21"/>
    </row>
    <row r="6" spans="1:30" ht="71.25" x14ac:dyDescent="0.25">
      <c r="A6" s="1" t="s">
        <v>702</v>
      </c>
      <c r="B6" s="1" t="s">
        <v>154</v>
      </c>
      <c r="C6" s="1" t="s">
        <v>702</v>
      </c>
      <c r="D6" s="4" t="s">
        <v>76</v>
      </c>
      <c r="E6" s="4" t="s">
        <v>77</v>
      </c>
      <c r="F6" s="4" t="s">
        <v>15</v>
      </c>
      <c r="G6" s="4" t="s">
        <v>16</v>
      </c>
      <c r="H6" s="8">
        <v>22450</v>
      </c>
      <c r="I6" s="5">
        <v>3</v>
      </c>
      <c r="J6" s="5">
        <v>301</v>
      </c>
      <c r="K6" s="4" t="s">
        <v>117</v>
      </c>
      <c r="L6" s="8">
        <v>202</v>
      </c>
      <c r="M6" s="4">
        <v>17099522</v>
      </c>
      <c r="N6" s="4" t="s">
        <v>348</v>
      </c>
      <c r="O6" s="4" t="s">
        <v>349</v>
      </c>
      <c r="P6" s="4" t="s">
        <v>29</v>
      </c>
      <c r="Q6" s="6">
        <v>716</v>
      </c>
      <c r="R6" s="6">
        <v>141</v>
      </c>
      <c r="S6" s="4">
        <v>2.6200000000000001E-2</v>
      </c>
      <c r="T6" s="4">
        <v>0.11799999999999999</v>
      </c>
      <c r="U6" s="4">
        <v>0</v>
      </c>
      <c r="V6" s="4">
        <v>716</v>
      </c>
      <c r="W6" s="4">
        <v>0</v>
      </c>
      <c r="X6" s="4">
        <v>141</v>
      </c>
      <c r="Y6" s="21">
        <f t="shared" si="0"/>
        <v>18.760000000000002</v>
      </c>
      <c r="Z6" s="21">
        <f t="shared" si="1"/>
        <v>16.64</v>
      </c>
      <c r="AA6" s="21">
        <f t="shared" si="2"/>
        <v>35.400000000000006</v>
      </c>
      <c r="AB6" s="21"/>
    </row>
    <row r="7" spans="1:30" ht="71.25" x14ac:dyDescent="0.25">
      <c r="A7" s="1" t="s">
        <v>702</v>
      </c>
      <c r="B7" s="1" t="s">
        <v>154</v>
      </c>
      <c r="C7" s="1" t="s">
        <v>702</v>
      </c>
      <c r="D7" s="4" t="s">
        <v>76</v>
      </c>
      <c r="E7" s="4" t="s">
        <v>77</v>
      </c>
      <c r="F7" s="4" t="s">
        <v>15</v>
      </c>
      <c r="G7" s="4" t="s">
        <v>16</v>
      </c>
      <c r="H7" s="8">
        <v>22450</v>
      </c>
      <c r="I7" s="5">
        <v>3</v>
      </c>
      <c r="J7" s="5">
        <v>302</v>
      </c>
      <c r="K7" s="4" t="s">
        <v>117</v>
      </c>
      <c r="L7" s="8">
        <v>205</v>
      </c>
      <c r="M7" s="4">
        <v>17099423</v>
      </c>
      <c r="N7" s="4" t="s">
        <v>405</v>
      </c>
      <c r="O7" s="4" t="s">
        <v>406</v>
      </c>
      <c r="P7" s="4" t="s">
        <v>29</v>
      </c>
      <c r="Q7" s="6">
        <v>47</v>
      </c>
      <c r="R7" s="6">
        <v>197</v>
      </c>
      <c r="S7" s="4">
        <v>2.6200000000000001E-2</v>
      </c>
      <c r="T7" s="4">
        <v>0.11799999999999999</v>
      </c>
      <c r="U7" s="4">
        <v>0</v>
      </c>
      <c r="V7" s="4">
        <v>47</v>
      </c>
      <c r="W7" s="4">
        <v>0</v>
      </c>
      <c r="X7" s="4">
        <v>197</v>
      </c>
      <c r="Y7" s="21">
        <f t="shared" si="0"/>
        <v>1.23</v>
      </c>
      <c r="Z7" s="21">
        <f t="shared" si="1"/>
        <v>23.25</v>
      </c>
      <c r="AA7" s="21">
        <f t="shared" si="2"/>
        <v>24.48</v>
      </c>
      <c r="AB7" s="21"/>
    </row>
    <row r="8" spans="1:30" ht="71.25" x14ac:dyDescent="0.25">
      <c r="A8" s="1" t="s">
        <v>702</v>
      </c>
      <c r="B8" s="1" t="s">
        <v>154</v>
      </c>
      <c r="C8" s="1" t="s">
        <v>702</v>
      </c>
      <c r="D8" s="4" t="s">
        <v>76</v>
      </c>
      <c r="E8" s="4" t="s">
        <v>77</v>
      </c>
      <c r="F8" s="4" t="s">
        <v>15</v>
      </c>
      <c r="G8" s="4" t="s">
        <v>16</v>
      </c>
      <c r="H8" s="8">
        <v>22450</v>
      </c>
      <c r="I8" s="5">
        <v>3</v>
      </c>
      <c r="J8" s="5">
        <v>306</v>
      </c>
      <c r="K8" s="4" t="s">
        <v>117</v>
      </c>
      <c r="L8" s="8">
        <v>302</v>
      </c>
      <c r="M8" s="4">
        <v>17099511</v>
      </c>
      <c r="N8" s="4" t="s">
        <v>417</v>
      </c>
      <c r="O8" s="4" t="s">
        <v>418</v>
      </c>
      <c r="P8" s="4" t="s">
        <v>29</v>
      </c>
      <c r="Q8" s="6">
        <v>89</v>
      </c>
      <c r="R8" s="6">
        <v>3</v>
      </c>
      <c r="S8" s="4">
        <v>2.6200000000000001E-2</v>
      </c>
      <c r="T8" s="4">
        <v>0.11799999999999999</v>
      </c>
      <c r="U8" s="4">
        <v>0</v>
      </c>
      <c r="V8" s="4">
        <v>89</v>
      </c>
      <c r="W8" s="4">
        <v>0</v>
      </c>
      <c r="X8" s="4">
        <v>3</v>
      </c>
      <c r="Y8" s="21">
        <f t="shared" si="0"/>
        <v>2.33</v>
      </c>
      <c r="Z8" s="21">
        <f t="shared" si="1"/>
        <v>0.35</v>
      </c>
      <c r="AA8" s="21">
        <f t="shared" si="2"/>
        <v>2.68</v>
      </c>
      <c r="AB8" s="21"/>
    </row>
    <row r="9" spans="1:30" ht="71.25" x14ac:dyDescent="0.25">
      <c r="A9" s="1" t="s">
        <v>702</v>
      </c>
      <c r="B9" s="1" t="s">
        <v>154</v>
      </c>
      <c r="C9" s="1" t="s">
        <v>702</v>
      </c>
      <c r="D9" s="4" t="s">
        <v>76</v>
      </c>
      <c r="E9" s="4" t="s">
        <v>77</v>
      </c>
      <c r="F9" s="4" t="s">
        <v>15</v>
      </c>
      <c r="G9" s="4" t="s">
        <v>16</v>
      </c>
      <c r="H9" s="8">
        <v>22450</v>
      </c>
      <c r="I9" s="5">
        <v>2</v>
      </c>
      <c r="J9" s="5">
        <v>201</v>
      </c>
      <c r="K9" s="4" t="s">
        <v>25</v>
      </c>
      <c r="L9" s="8">
        <v>201</v>
      </c>
      <c r="M9" s="4">
        <v>17099512</v>
      </c>
      <c r="N9" s="4" t="s">
        <v>437</v>
      </c>
      <c r="O9" s="4" t="s">
        <v>438</v>
      </c>
      <c r="P9" s="4" t="s">
        <v>29</v>
      </c>
      <c r="Q9" s="6">
        <v>48</v>
      </c>
      <c r="R9" s="6">
        <v>0</v>
      </c>
      <c r="S9" s="4">
        <v>2.6200000000000001E-2</v>
      </c>
      <c r="T9" s="4">
        <v>0.11799999999999999</v>
      </c>
      <c r="U9" s="4">
        <v>0</v>
      </c>
      <c r="V9" s="4">
        <v>48</v>
      </c>
      <c r="W9" s="4">
        <v>0</v>
      </c>
      <c r="X9" s="4">
        <v>0</v>
      </c>
      <c r="Y9" s="21">
        <f t="shared" si="0"/>
        <v>1.26</v>
      </c>
      <c r="Z9" s="21">
        <f t="shared" si="1"/>
        <v>0</v>
      </c>
      <c r="AA9" s="21">
        <f t="shared" si="2"/>
        <v>1.26</v>
      </c>
      <c r="AB9" s="21">
        <f>SUM(AA3:AA9)</f>
        <v>943.67</v>
      </c>
    </row>
    <row r="10" spans="1:30" ht="42.75" x14ac:dyDescent="0.25">
      <c r="A10" s="1" t="s">
        <v>42</v>
      </c>
      <c r="B10" s="1" t="s">
        <v>41</v>
      </c>
      <c r="C10" s="1" t="s">
        <v>645</v>
      </c>
      <c r="D10" s="4" t="s">
        <v>39</v>
      </c>
      <c r="E10" s="4" t="s">
        <v>14</v>
      </c>
      <c r="F10" s="4" t="s">
        <v>15</v>
      </c>
      <c r="G10" s="4" t="s">
        <v>16</v>
      </c>
      <c r="H10" s="8">
        <v>24450</v>
      </c>
      <c r="I10" s="5">
        <v>2</v>
      </c>
      <c r="J10" s="5" t="s">
        <v>40</v>
      </c>
      <c r="K10" s="4" t="s">
        <v>25</v>
      </c>
      <c r="L10" s="4" t="s">
        <v>40</v>
      </c>
      <c r="M10" s="8">
        <v>17099562</v>
      </c>
      <c r="N10" s="4" t="s">
        <v>43</v>
      </c>
      <c r="O10" s="4" t="s">
        <v>44</v>
      </c>
      <c r="P10" s="4" t="s">
        <v>29</v>
      </c>
      <c r="Q10" s="6">
        <v>650</v>
      </c>
      <c r="R10" s="6">
        <v>0</v>
      </c>
      <c r="S10" s="4">
        <v>2.6200000000000001E-2</v>
      </c>
      <c r="T10" s="4">
        <v>0.11799999999999999</v>
      </c>
      <c r="U10" s="4">
        <v>0</v>
      </c>
      <c r="V10" s="4">
        <v>650</v>
      </c>
      <c r="W10" s="4">
        <v>0</v>
      </c>
      <c r="X10" s="4">
        <v>0</v>
      </c>
      <c r="Y10" s="21">
        <f t="shared" si="0"/>
        <v>17.03</v>
      </c>
      <c r="Z10" s="21">
        <f t="shared" si="1"/>
        <v>0</v>
      </c>
      <c r="AA10" s="21">
        <f t="shared" si="2"/>
        <v>17.03</v>
      </c>
      <c r="AB10" s="21">
        <f>Table14[[#This Row],[Device Total Click Charge]]</f>
        <v>17.03</v>
      </c>
    </row>
    <row r="11" spans="1:30" ht="42.75" x14ac:dyDescent="0.25">
      <c r="A11" s="1" t="s">
        <v>71</v>
      </c>
      <c r="B11" s="1" t="s">
        <v>70</v>
      </c>
      <c r="C11" s="1" t="s">
        <v>625</v>
      </c>
      <c r="D11" s="4" t="s">
        <v>54</v>
      </c>
      <c r="E11" s="4" t="s">
        <v>14</v>
      </c>
      <c r="F11" s="4" t="s">
        <v>15</v>
      </c>
      <c r="G11" s="4" t="s">
        <v>16</v>
      </c>
      <c r="H11" s="5">
        <v>24450</v>
      </c>
      <c r="I11" s="5">
        <v>2</v>
      </c>
      <c r="J11" s="5">
        <v>2012</v>
      </c>
      <c r="K11" s="4" t="s">
        <v>25</v>
      </c>
      <c r="L11" s="8">
        <v>2012</v>
      </c>
      <c r="M11" s="4">
        <v>17099443</v>
      </c>
      <c r="N11" s="4" t="s">
        <v>72</v>
      </c>
      <c r="O11" s="4" t="s">
        <v>73</v>
      </c>
      <c r="P11" s="4" t="s">
        <v>29</v>
      </c>
      <c r="Q11" s="6">
        <v>309</v>
      </c>
      <c r="R11" s="6">
        <v>0</v>
      </c>
      <c r="S11" s="4">
        <v>2.6200000000000001E-2</v>
      </c>
      <c r="T11" s="4">
        <v>0.11799999999999999</v>
      </c>
      <c r="U11" s="4">
        <v>0</v>
      </c>
      <c r="V11" s="4">
        <v>309</v>
      </c>
      <c r="W11" s="4">
        <v>0</v>
      </c>
      <c r="X11" s="4">
        <v>0</v>
      </c>
      <c r="Y11" s="21">
        <f t="shared" si="0"/>
        <v>8.1</v>
      </c>
      <c r="Z11" s="21">
        <f t="shared" si="1"/>
        <v>0</v>
      </c>
      <c r="AA11" s="21">
        <f t="shared" si="2"/>
        <v>8.1</v>
      </c>
      <c r="AB11" s="21"/>
    </row>
    <row r="12" spans="1:30" ht="42.75" x14ac:dyDescent="0.25">
      <c r="A12" s="1" t="s">
        <v>71</v>
      </c>
      <c r="B12" s="1" t="s">
        <v>70</v>
      </c>
      <c r="C12" s="1" t="s">
        <v>625</v>
      </c>
      <c r="D12" s="4" t="s">
        <v>54</v>
      </c>
      <c r="E12" s="4" t="s">
        <v>14</v>
      </c>
      <c r="F12" s="4" t="s">
        <v>15</v>
      </c>
      <c r="G12" s="4" t="s">
        <v>16</v>
      </c>
      <c r="H12" s="5">
        <v>24450</v>
      </c>
      <c r="I12" s="5">
        <v>2</v>
      </c>
      <c r="J12" s="5">
        <v>2018</v>
      </c>
      <c r="K12" s="4" t="s">
        <v>25</v>
      </c>
      <c r="L12" s="4">
        <v>2018</v>
      </c>
      <c r="M12" s="4">
        <v>17099438</v>
      </c>
      <c r="N12" s="4" t="s">
        <v>262</v>
      </c>
      <c r="O12" s="4" t="s">
        <v>263</v>
      </c>
      <c r="P12" s="4" t="s">
        <v>29</v>
      </c>
      <c r="Q12" s="6">
        <v>824</v>
      </c>
      <c r="R12" s="6">
        <v>0</v>
      </c>
      <c r="S12" s="4">
        <v>2.6200000000000001E-2</v>
      </c>
      <c r="T12" s="4">
        <v>0.11799999999999999</v>
      </c>
      <c r="U12" s="4">
        <v>0</v>
      </c>
      <c r="V12" s="4">
        <v>824</v>
      </c>
      <c r="W12" s="4">
        <v>0</v>
      </c>
      <c r="X12" s="4">
        <v>0</v>
      </c>
      <c r="Y12" s="21">
        <f t="shared" si="0"/>
        <v>21.59</v>
      </c>
      <c r="Z12" s="21">
        <f t="shared" si="1"/>
        <v>0</v>
      </c>
      <c r="AA12" s="21">
        <f t="shared" si="2"/>
        <v>21.59</v>
      </c>
      <c r="AB12" s="21">
        <f>SUM(AA11:AA12)</f>
        <v>29.689999999999998</v>
      </c>
    </row>
    <row r="13" spans="1:30" ht="42.75" x14ac:dyDescent="0.25">
      <c r="A13" s="1" t="s">
        <v>33</v>
      </c>
      <c r="B13" s="1" t="s">
        <v>26</v>
      </c>
      <c r="C13" s="1" t="s">
        <v>635</v>
      </c>
      <c r="D13" s="4" t="s">
        <v>13</v>
      </c>
      <c r="E13" s="4" t="s">
        <v>14</v>
      </c>
      <c r="F13" s="4" t="s">
        <v>15</v>
      </c>
      <c r="G13" s="4" t="s">
        <v>16</v>
      </c>
      <c r="H13" s="8">
        <v>24450</v>
      </c>
      <c r="I13" s="5">
        <v>3</v>
      </c>
      <c r="J13" s="5">
        <v>400</v>
      </c>
      <c r="K13" s="4" t="s">
        <v>31</v>
      </c>
      <c r="L13" s="4" t="s">
        <v>17</v>
      </c>
      <c r="M13" s="4">
        <v>17099489</v>
      </c>
      <c r="N13" s="4" t="s">
        <v>34</v>
      </c>
      <c r="O13" s="4" t="s">
        <v>35</v>
      </c>
      <c r="P13" s="4" t="s">
        <v>709</v>
      </c>
      <c r="Q13" s="6">
        <v>1248</v>
      </c>
      <c r="R13" s="6">
        <v>87</v>
      </c>
      <c r="S13" s="4">
        <v>2.07E-2</v>
      </c>
      <c r="T13" s="4">
        <v>8.6999999999999994E-2</v>
      </c>
      <c r="U13" s="4">
        <v>0</v>
      </c>
      <c r="V13" s="4">
        <v>1248</v>
      </c>
      <c r="W13" s="4">
        <v>0</v>
      </c>
      <c r="X13" s="4">
        <v>87</v>
      </c>
      <c r="Y13" s="21">
        <f t="shared" si="0"/>
        <v>25.83</v>
      </c>
      <c r="Z13" s="21">
        <f t="shared" si="1"/>
        <v>7.57</v>
      </c>
      <c r="AA13" s="21">
        <f t="shared" si="2"/>
        <v>33.4</v>
      </c>
      <c r="AB13" s="21">
        <f>Table14[[#This Row],[Device Total Click Charge]]</f>
        <v>33.4</v>
      </c>
    </row>
    <row r="14" spans="1:30" ht="42.75" x14ac:dyDescent="0.25">
      <c r="A14" s="1" t="s">
        <v>60</v>
      </c>
      <c r="B14" s="1" t="s">
        <v>59</v>
      </c>
      <c r="C14" s="1" t="s">
        <v>626</v>
      </c>
      <c r="D14" s="4" t="s">
        <v>54</v>
      </c>
      <c r="E14" s="4" t="s">
        <v>14</v>
      </c>
      <c r="F14" s="4" t="s">
        <v>15</v>
      </c>
      <c r="G14" s="4" t="s">
        <v>16</v>
      </c>
      <c r="H14" s="5">
        <v>24450</v>
      </c>
      <c r="I14" s="5">
        <v>2</v>
      </c>
      <c r="J14" s="5">
        <v>2057</v>
      </c>
      <c r="K14" s="4" t="s">
        <v>25</v>
      </c>
      <c r="L14" s="8">
        <v>2057</v>
      </c>
      <c r="M14" s="4">
        <v>17099444</v>
      </c>
      <c r="N14" s="4" t="s">
        <v>61</v>
      </c>
      <c r="O14" s="4" t="s">
        <v>62</v>
      </c>
      <c r="P14" s="4" t="s">
        <v>29</v>
      </c>
      <c r="Q14" s="6">
        <v>1043</v>
      </c>
      <c r="R14" s="6">
        <v>0</v>
      </c>
      <c r="S14" s="4">
        <v>2.6200000000000001E-2</v>
      </c>
      <c r="T14" s="4">
        <v>0.11799999999999999</v>
      </c>
      <c r="U14" s="4">
        <v>0</v>
      </c>
      <c r="V14" s="4">
        <v>1043</v>
      </c>
      <c r="W14" s="4">
        <v>0</v>
      </c>
      <c r="X14" s="4">
        <v>0</v>
      </c>
      <c r="Y14" s="21">
        <f t="shared" si="0"/>
        <v>27.33</v>
      </c>
      <c r="Z14" s="21">
        <f t="shared" si="1"/>
        <v>0</v>
      </c>
      <c r="AA14" s="21">
        <f t="shared" si="2"/>
        <v>27.33</v>
      </c>
      <c r="AB14" s="21"/>
    </row>
    <row r="15" spans="1:30" ht="42.75" x14ac:dyDescent="0.25">
      <c r="A15" s="1" t="s">
        <v>60</v>
      </c>
      <c r="B15" s="1" t="s">
        <v>59</v>
      </c>
      <c r="C15" s="1" t="s">
        <v>626</v>
      </c>
      <c r="D15" s="4" t="s">
        <v>54</v>
      </c>
      <c r="E15" s="4" t="s">
        <v>14</v>
      </c>
      <c r="F15" s="4" t="s">
        <v>15</v>
      </c>
      <c r="G15" s="4" t="s">
        <v>16</v>
      </c>
      <c r="H15" s="5">
        <v>24450</v>
      </c>
      <c r="I15" s="5">
        <v>2</v>
      </c>
      <c r="J15" s="5">
        <v>2029</v>
      </c>
      <c r="K15" s="4" t="s">
        <v>25</v>
      </c>
      <c r="L15" s="8">
        <v>2029</v>
      </c>
      <c r="M15" s="4">
        <v>17099446</v>
      </c>
      <c r="N15" s="4" t="s">
        <v>68</v>
      </c>
      <c r="O15" s="4" t="s">
        <v>69</v>
      </c>
      <c r="P15" s="4" t="s">
        <v>29</v>
      </c>
      <c r="Q15" s="6">
        <v>149</v>
      </c>
      <c r="R15" s="6">
        <v>0</v>
      </c>
      <c r="S15" s="4">
        <v>2.6200000000000001E-2</v>
      </c>
      <c r="T15" s="4">
        <v>0.11799999999999999</v>
      </c>
      <c r="U15" s="4">
        <v>0</v>
      </c>
      <c r="V15" s="4">
        <v>149</v>
      </c>
      <c r="W15" s="4">
        <v>0</v>
      </c>
      <c r="X15" s="4">
        <v>0</v>
      </c>
      <c r="Y15" s="21">
        <f t="shared" si="0"/>
        <v>3.9</v>
      </c>
      <c r="Z15" s="21">
        <f t="shared" si="1"/>
        <v>0</v>
      </c>
      <c r="AA15" s="21">
        <f t="shared" si="2"/>
        <v>3.9</v>
      </c>
      <c r="AB15" s="21"/>
    </row>
    <row r="16" spans="1:30" ht="42.75" x14ac:dyDescent="0.25">
      <c r="A16" s="1" t="s">
        <v>60</v>
      </c>
      <c r="B16" s="1" t="s">
        <v>59</v>
      </c>
      <c r="C16" s="1" t="s">
        <v>626</v>
      </c>
      <c r="D16" s="4" t="s">
        <v>54</v>
      </c>
      <c r="E16" s="4" t="s">
        <v>14</v>
      </c>
      <c r="F16" s="4" t="s">
        <v>15</v>
      </c>
      <c r="G16" s="4" t="s">
        <v>16</v>
      </c>
      <c r="H16" s="5">
        <v>24450</v>
      </c>
      <c r="I16" s="5">
        <v>2</v>
      </c>
      <c r="J16" s="5">
        <v>2067</v>
      </c>
      <c r="K16" s="4" t="s">
        <v>25</v>
      </c>
      <c r="L16" s="8">
        <v>2067</v>
      </c>
      <c r="M16" s="4">
        <v>17099425</v>
      </c>
      <c r="N16" s="4" t="s">
        <v>74</v>
      </c>
      <c r="O16" s="4" t="s">
        <v>75</v>
      </c>
      <c r="P16" s="4" t="s">
        <v>29</v>
      </c>
      <c r="Q16" s="6">
        <v>436</v>
      </c>
      <c r="R16" s="6">
        <v>0</v>
      </c>
      <c r="S16" s="4">
        <v>2.6200000000000001E-2</v>
      </c>
      <c r="T16" s="4">
        <v>0.11799999999999999</v>
      </c>
      <c r="U16" s="4">
        <v>0</v>
      </c>
      <c r="V16" s="4">
        <v>436</v>
      </c>
      <c r="W16" s="4">
        <v>0</v>
      </c>
      <c r="X16" s="4">
        <v>0</v>
      </c>
      <c r="Y16" s="21">
        <f t="shared" si="0"/>
        <v>11.42</v>
      </c>
      <c r="Z16" s="21">
        <f t="shared" si="1"/>
        <v>0</v>
      </c>
      <c r="AA16" s="21">
        <f t="shared" si="2"/>
        <v>11.42</v>
      </c>
      <c r="AB16" s="21"/>
    </row>
    <row r="17" spans="1:28" ht="42.75" x14ac:dyDescent="0.25">
      <c r="A17" s="1" t="s">
        <v>60</v>
      </c>
      <c r="B17" s="1" t="s">
        <v>59</v>
      </c>
      <c r="C17" s="1" t="s">
        <v>626</v>
      </c>
      <c r="D17" s="4" t="s">
        <v>54</v>
      </c>
      <c r="E17" s="4" t="s">
        <v>14</v>
      </c>
      <c r="F17" s="4" t="s">
        <v>15</v>
      </c>
      <c r="G17" s="4" t="s">
        <v>16</v>
      </c>
      <c r="H17" s="5">
        <v>24450</v>
      </c>
      <c r="I17" s="5">
        <v>2</v>
      </c>
      <c r="J17" s="5">
        <v>2061</v>
      </c>
      <c r="K17" s="4" t="s">
        <v>25</v>
      </c>
      <c r="L17" s="8">
        <v>2061</v>
      </c>
      <c r="M17" s="4">
        <v>17099442</v>
      </c>
      <c r="N17" s="4" t="s">
        <v>171</v>
      </c>
      <c r="O17" s="4" t="s">
        <v>172</v>
      </c>
      <c r="P17" s="4" t="s">
        <v>29</v>
      </c>
      <c r="Q17" s="6">
        <v>263</v>
      </c>
      <c r="R17" s="6">
        <v>0</v>
      </c>
      <c r="S17" s="4">
        <v>2.6200000000000001E-2</v>
      </c>
      <c r="T17" s="4">
        <v>0.11799999999999999</v>
      </c>
      <c r="U17" s="4">
        <v>0</v>
      </c>
      <c r="V17" s="4">
        <v>263</v>
      </c>
      <c r="W17" s="4">
        <v>0</v>
      </c>
      <c r="X17" s="4">
        <v>0</v>
      </c>
      <c r="Y17" s="21">
        <f t="shared" si="0"/>
        <v>6.89</v>
      </c>
      <c r="Z17" s="21">
        <f t="shared" si="1"/>
        <v>0</v>
      </c>
      <c r="AA17" s="21">
        <f t="shared" si="2"/>
        <v>6.89</v>
      </c>
      <c r="AB17" s="21"/>
    </row>
    <row r="18" spans="1:28" ht="42.75" x14ac:dyDescent="0.25">
      <c r="A18" s="1" t="s">
        <v>60</v>
      </c>
      <c r="B18" s="1" t="s">
        <v>59</v>
      </c>
      <c r="C18" s="1" t="s">
        <v>626</v>
      </c>
      <c r="D18" s="4" t="s">
        <v>54</v>
      </c>
      <c r="E18" s="4" t="s">
        <v>14</v>
      </c>
      <c r="F18" s="4" t="s">
        <v>15</v>
      </c>
      <c r="G18" s="4" t="s">
        <v>16</v>
      </c>
      <c r="H18" s="5">
        <v>24450</v>
      </c>
      <c r="I18" s="5">
        <v>2</v>
      </c>
      <c r="J18" s="5">
        <v>2056</v>
      </c>
      <c r="K18" s="4" t="s">
        <v>25</v>
      </c>
      <c r="L18" s="8">
        <v>2056</v>
      </c>
      <c r="M18" s="4">
        <v>17099436</v>
      </c>
      <c r="N18" s="4" t="s">
        <v>180</v>
      </c>
      <c r="O18" s="4" t="s">
        <v>181</v>
      </c>
      <c r="P18" s="4" t="s">
        <v>29</v>
      </c>
      <c r="Q18" s="6">
        <v>798</v>
      </c>
      <c r="R18" s="6">
        <v>0</v>
      </c>
      <c r="S18" s="4">
        <v>2.6200000000000001E-2</v>
      </c>
      <c r="T18" s="4">
        <v>0.11799999999999999</v>
      </c>
      <c r="U18" s="4">
        <v>0</v>
      </c>
      <c r="V18" s="4">
        <v>798</v>
      </c>
      <c r="W18" s="4">
        <v>0</v>
      </c>
      <c r="X18" s="4">
        <v>0</v>
      </c>
      <c r="Y18" s="21">
        <f t="shared" si="0"/>
        <v>20.91</v>
      </c>
      <c r="Z18" s="21">
        <f t="shared" si="1"/>
        <v>0</v>
      </c>
      <c r="AA18" s="21">
        <f t="shared" si="2"/>
        <v>20.91</v>
      </c>
      <c r="AB18" s="21"/>
    </row>
    <row r="19" spans="1:28" ht="42.75" x14ac:dyDescent="0.25">
      <c r="A19" s="1" t="s">
        <v>60</v>
      </c>
      <c r="B19" s="1" t="s">
        <v>59</v>
      </c>
      <c r="C19" s="1" t="s">
        <v>626</v>
      </c>
      <c r="D19" s="4" t="s">
        <v>54</v>
      </c>
      <c r="E19" s="4" t="s">
        <v>14</v>
      </c>
      <c r="F19" s="4" t="s">
        <v>15</v>
      </c>
      <c r="G19" s="4" t="s">
        <v>16</v>
      </c>
      <c r="H19" s="5">
        <v>24450</v>
      </c>
      <c r="I19" s="5">
        <v>2</v>
      </c>
      <c r="J19" s="5">
        <v>2066</v>
      </c>
      <c r="K19" s="4" t="s">
        <v>25</v>
      </c>
      <c r="L19" s="8">
        <v>2066</v>
      </c>
      <c r="M19" s="4">
        <v>17099426</v>
      </c>
      <c r="N19" s="4" t="s">
        <v>182</v>
      </c>
      <c r="O19" s="4" t="s">
        <v>183</v>
      </c>
      <c r="P19" s="4" t="s">
        <v>29</v>
      </c>
      <c r="Q19" s="6">
        <v>139</v>
      </c>
      <c r="R19" s="6">
        <v>0</v>
      </c>
      <c r="S19" s="4">
        <v>2.6200000000000001E-2</v>
      </c>
      <c r="T19" s="4">
        <v>0.11799999999999999</v>
      </c>
      <c r="U19" s="4">
        <v>0</v>
      </c>
      <c r="V19" s="4">
        <v>139</v>
      </c>
      <c r="W19" s="4">
        <v>0</v>
      </c>
      <c r="X19" s="4">
        <v>0</v>
      </c>
      <c r="Y19" s="21">
        <f t="shared" si="0"/>
        <v>3.64</v>
      </c>
      <c r="Z19" s="21">
        <f t="shared" si="1"/>
        <v>0</v>
      </c>
      <c r="AA19" s="21">
        <f t="shared" si="2"/>
        <v>3.64</v>
      </c>
      <c r="AB19" s="21"/>
    </row>
    <row r="20" spans="1:28" ht="42.75" x14ac:dyDescent="0.25">
      <c r="A20" s="1" t="s">
        <v>60</v>
      </c>
      <c r="B20" s="1" t="s">
        <v>59</v>
      </c>
      <c r="C20" s="1" t="s">
        <v>626</v>
      </c>
      <c r="D20" s="4" t="s">
        <v>54</v>
      </c>
      <c r="E20" s="4" t="s">
        <v>14</v>
      </c>
      <c r="F20" s="4" t="s">
        <v>15</v>
      </c>
      <c r="G20" s="4" t="s">
        <v>16</v>
      </c>
      <c r="H20" s="5">
        <v>24450</v>
      </c>
      <c r="I20" s="5">
        <v>2</v>
      </c>
      <c r="J20" s="5">
        <v>2060</v>
      </c>
      <c r="K20" s="4" t="s">
        <v>25</v>
      </c>
      <c r="L20" s="8">
        <v>2060</v>
      </c>
      <c r="M20" s="4">
        <v>17099430</v>
      </c>
      <c r="N20" s="4" t="s">
        <v>184</v>
      </c>
      <c r="O20" s="4" t="s">
        <v>185</v>
      </c>
      <c r="P20" s="4" t="s">
        <v>29</v>
      </c>
      <c r="Q20" s="6">
        <v>118</v>
      </c>
      <c r="R20" s="6">
        <v>0</v>
      </c>
      <c r="S20" s="4">
        <v>2.6200000000000001E-2</v>
      </c>
      <c r="T20" s="4">
        <v>0.11799999999999999</v>
      </c>
      <c r="U20" s="4">
        <v>0</v>
      </c>
      <c r="V20" s="4">
        <v>118</v>
      </c>
      <c r="W20" s="4">
        <v>0</v>
      </c>
      <c r="X20" s="4">
        <v>0</v>
      </c>
      <c r="Y20" s="21">
        <f t="shared" si="0"/>
        <v>3.09</v>
      </c>
      <c r="Z20" s="21">
        <f t="shared" si="1"/>
        <v>0</v>
      </c>
      <c r="AA20" s="21">
        <f t="shared" si="2"/>
        <v>3.09</v>
      </c>
      <c r="AB20" s="21"/>
    </row>
    <row r="21" spans="1:28" ht="42.75" x14ac:dyDescent="0.25">
      <c r="A21" s="1" t="s">
        <v>60</v>
      </c>
      <c r="B21" s="1" t="s">
        <v>59</v>
      </c>
      <c r="C21" s="1" t="s">
        <v>626</v>
      </c>
      <c r="D21" s="4" t="s">
        <v>54</v>
      </c>
      <c r="E21" s="4" t="s">
        <v>14</v>
      </c>
      <c r="F21" s="4" t="s">
        <v>15</v>
      </c>
      <c r="G21" s="4" t="s">
        <v>16</v>
      </c>
      <c r="H21" s="5">
        <v>24450</v>
      </c>
      <c r="I21" s="5">
        <v>2</v>
      </c>
      <c r="J21" s="5">
        <v>2070</v>
      </c>
      <c r="K21" s="4" t="s">
        <v>25</v>
      </c>
      <c r="L21" s="8">
        <v>2070</v>
      </c>
      <c r="M21" s="4">
        <v>17099428</v>
      </c>
      <c r="N21" s="4" t="s">
        <v>196</v>
      </c>
      <c r="O21" s="4" t="s">
        <v>197</v>
      </c>
      <c r="P21" s="4" t="s">
        <v>29</v>
      </c>
      <c r="Q21" s="6">
        <v>592</v>
      </c>
      <c r="R21" s="6">
        <v>0</v>
      </c>
      <c r="S21" s="4">
        <v>2.6200000000000001E-2</v>
      </c>
      <c r="T21" s="4">
        <v>0.11799999999999999</v>
      </c>
      <c r="U21" s="4">
        <v>0</v>
      </c>
      <c r="V21" s="4">
        <v>592</v>
      </c>
      <c r="W21" s="4">
        <v>0</v>
      </c>
      <c r="X21" s="4">
        <v>0</v>
      </c>
      <c r="Y21" s="21">
        <f t="shared" si="0"/>
        <v>15.51</v>
      </c>
      <c r="Z21" s="21">
        <f t="shared" si="1"/>
        <v>0</v>
      </c>
      <c r="AA21" s="21">
        <f t="shared" si="2"/>
        <v>15.51</v>
      </c>
      <c r="AB21" s="21"/>
    </row>
    <row r="22" spans="1:28" ht="42.75" x14ac:dyDescent="0.25">
      <c r="A22" s="1" t="s">
        <v>60</v>
      </c>
      <c r="B22" s="1" t="s">
        <v>59</v>
      </c>
      <c r="C22" s="1" t="s">
        <v>626</v>
      </c>
      <c r="D22" s="4" t="s">
        <v>54</v>
      </c>
      <c r="E22" s="4" t="s">
        <v>14</v>
      </c>
      <c r="F22" s="4" t="s">
        <v>15</v>
      </c>
      <c r="G22" s="4" t="s">
        <v>16</v>
      </c>
      <c r="H22" s="5">
        <v>24450</v>
      </c>
      <c r="I22" s="5">
        <v>2</v>
      </c>
      <c r="J22" s="5">
        <v>2053</v>
      </c>
      <c r="K22" s="4" t="s">
        <v>25</v>
      </c>
      <c r="L22" s="8">
        <v>2053</v>
      </c>
      <c r="M22" s="4">
        <v>17099437</v>
      </c>
      <c r="N22" s="4" t="s">
        <v>210</v>
      </c>
      <c r="O22" s="4" t="s">
        <v>211</v>
      </c>
      <c r="P22" s="4" t="s">
        <v>29</v>
      </c>
      <c r="Q22" s="6">
        <v>400</v>
      </c>
      <c r="R22" s="6">
        <v>0</v>
      </c>
      <c r="S22" s="4">
        <v>2.6200000000000001E-2</v>
      </c>
      <c r="T22" s="4">
        <v>0.11799999999999999</v>
      </c>
      <c r="U22" s="4">
        <v>0</v>
      </c>
      <c r="V22" s="4">
        <v>400</v>
      </c>
      <c r="W22" s="4">
        <v>0</v>
      </c>
      <c r="X22" s="4">
        <v>0</v>
      </c>
      <c r="Y22" s="21">
        <f t="shared" si="0"/>
        <v>10.48</v>
      </c>
      <c r="Z22" s="21">
        <f t="shared" si="1"/>
        <v>0</v>
      </c>
      <c r="AA22" s="21">
        <f t="shared" si="2"/>
        <v>10.48</v>
      </c>
      <c r="AB22" s="21"/>
    </row>
    <row r="23" spans="1:28" ht="42.75" x14ac:dyDescent="0.25">
      <c r="A23" s="1" t="s">
        <v>60</v>
      </c>
      <c r="B23" s="1" t="s">
        <v>59</v>
      </c>
      <c r="C23" s="1" t="s">
        <v>626</v>
      </c>
      <c r="D23" s="4" t="s">
        <v>54</v>
      </c>
      <c r="E23" s="4" t="s">
        <v>14</v>
      </c>
      <c r="F23" s="4" t="s">
        <v>15</v>
      </c>
      <c r="G23" s="4" t="s">
        <v>16</v>
      </c>
      <c r="H23" s="8">
        <v>24450</v>
      </c>
      <c r="I23" s="5">
        <v>2</v>
      </c>
      <c r="J23" s="5">
        <v>2023</v>
      </c>
      <c r="K23" s="4" t="s">
        <v>25</v>
      </c>
      <c r="L23" s="8">
        <v>2023</v>
      </c>
      <c r="M23" s="4">
        <v>17099435</v>
      </c>
      <c r="N23" s="4" t="s">
        <v>238</v>
      </c>
      <c r="O23" s="4" t="s">
        <v>239</v>
      </c>
      <c r="P23" s="4" t="s">
        <v>29</v>
      </c>
      <c r="Q23" s="6">
        <v>214</v>
      </c>
      <c r="R23" s="6">
        <v>0</v>
      </c>
      <c r="S23" s="4">
        <v>2.6200000000000001E-2</v>
      </c>
      <c r="T23" s="4">
        <v>0.11799999999999999</v>
      </c>
      <c r="U23" s="4">
        <v>0</v>
      </c>
      <c r="V23" s="4">
        <v>214</v>
      </c>
      <c r="W23" s="4">
        <v>0</v>
      </c>
      <c r="X23" s="4">
        <v>0</v>
      </c>
      <c r="Y23" s="21">
        <f t="shared" si="0"/>
        <v>5.61</v>
      </c>
      <c r="Z23" s="21">
        <f t="shared" si="1"/>
        <v>0</v>
      </c>
      <c r="AA23" s="21">
        <f t="shared" si="2"/>
        <v>5.61</v>
      </c>
      <c r="AB23" s="21"/>
    </row>
    <row r="24" spans="1:28" ht="42.75" x14ac:dyDescent="0.25">
      <c r="A24" s="1" t="s">
        <v>60</v>
      </c>
      <c r="B24" s="1" t="s">
        <v>59</v>
      </c>
      <c r="C24" s="1" t="s">
        <v>626</v>
      </c>
      <c r="D24" s="4" t="s">
        <v>54</v>
      </c>
      <c r="E24" s="4" t="s">
        <v>14</v>
      </c>
      <c r="F24" s="4" t="s">
        <v>15</v>
      </c>
      <c r="G24" s="4" t="s">
        <v>16</v>
      </c>
      <c r="H24" s="8">
        <v>24450</v>
      </c>
      <c r="I24" s="5">
        <v>2</v>
      </c>
      <c r="J24" s="5">
        <v>2063</v>
      </c>
      <c r="K24" s="4" t="s">
        <v>25</v>
      </c>
      <c r="L24" s="4" t="s">
        <v>307</v>
      </c>
      <c r="M24" s="4">
        <v>17099427</v>
      </c>
      <c r="N24" s="4" t="s">
        <v>308</v>
      </c>
      <c r="O24" s="4" t="s">
        <v>309</v>
      </c>
      <c r="P24" s="4" t="s">
        <v>29</v>
      </c>
      <c r="Q24" s="6">
        <v>563</v>
      </c>
      <c r="R24" s="6">
        <v>0</v>
      </c>
      <c r="S24" s="4">
        <v>2.6200000000000001E-2</v>
      </c>
      <c r="T24" s="4">
        <v>0.11799999999999999</v>
      </c>
      <c r="U24" s="4">
        <v>0</v>
      </c>
      <c r="V24" s="4">
        <v>563</v>
      </c>
      <c r="W24" s="4">
        <v>0</v>
      </c>
      <c r="X24" s="4">
        <v>0</v>
      </c>
      <c r="Y24" s="21">
        <f t="shared" si="0"/>
        <v>14.75</v>
      </c>
      <c r="Z24" s="21">
        <f t="shared" si="1"/>
        <v>0</v>
      </c>
      <c r="AA24" s="21">
        <f t="shared" si="2"/>
        <v>14.75</v>
      </c>
      <c r="AB24" s="21"/>
    </row>
    <row r="25" spans="1:28" ht="42.75" x14ac:dyDescent="0.25">
      <c r="A25" s="1" t="s">
        <v>60</v>
      </c>
      <c r="B25" s="1" t="s">
        <v>59</v>
      </c>
      <c r="C25" s="1" t="s">
        <v>626</v>
      </c>
      <c r="D25" s="4" t="s">
        <v>54</v>
      </c>
      <c r="E25" s="4" t="s">
        <v>14</v>
      </c>
      <c r="F25" s="4" t="s">
        <v>15</v>
      </c>
      <c r="G25" s="4" t="s">
        <v>16</v>
      </c>
      <c r="H25" s="8">
        <v>24450</v>
      </c>
      <c r="I25" s="5">
        <v>2</v>
      </c>
      <c r="J25" s="5">
        <v>2064</v>
      </c>
      <c r="K25" s="4" t="s">
        <v>25</v>
      </c>
      <c r="L25" s="8">
        <v>2064</v>
      </c>
      <c r="M25" s="4">
        <v>17099439</v>
      </c>
      <c r="N25" s="4" t="s">
        <v>472</v>
      </c>
      <c r="O25" s="4" t="s">
        <v>473</v>
      </c>
      <c r="P25" s="4" t="s">
        <v>29</v>
      </c>
      <c r="Q25" s="6">
        <v>446</v>
      </c>
      <c r="R25" s="6">
        <v>0</v>
      </c>
      <c r="S25" s="4">
        <v>2.6200000000000001E-2</v>
      </c>
      <c r="T25" s="4">
        <v>0.11799999999999999</v>
      </c>
      <c r="U25" s="4">
        <v>0</v>
      </c>
      <c r="V25" s="4">
        <v>446</v>
      </c>
      <c r="W25" s="4">
        <v>0</v>
      </c>
      <c r="X25" s="4">
        <v>0</v>
      </c>
      <c r="Y25" s="21">
        <f t="shared" si="0"/>
        <v>11.69</v>
      </c>
      <c r="Z25" s="21">
        <f t="shared" si="1"/>
        <v>0</v>
      </c>
      <c r="AA25" s="21">
        <f t="shared" si="2"/>
        <v>11.69</v>
      </c>
      <c r="AB25" s="21"/>
    </row>
    <row r="26" spans="1:28" ht="42.75" x14ac:dyDescent="0.25">
      <c r="A26" s="1" t="s">
        <v>60</v>
      </c>
      <c r="B26" s="1" t="s">
        <v>59</v>
      </c>
      <c r="C26" s="1" t="s">
        <v>626</v>
      </c>
      <c r="D26" s="4" t="s">
        <v>54</v>
      </c>
      <c r="E26" s="4" t="s">
        <v>14</v>
      </c>
      <c r="F26" s="4" t="s">
        <v>15</v>
      </c>
      <c r="G26" s="4" t="s">
        <v>16</v>
      </c>
      <c r="H26" s="8">
        <v>24450</v>
      </c>
      <c r="I26" s="5">
        <v>2</v>
      </c>
      <c r="J26" s="5">
        <v>2022</v>
      </c>
      <c r="K26" s="4" t="s">
        <v>31</v>
      </c>
      <c r="L26" s="8">
        <v>2022</v>
      </c>
      <c r="M26" s="4">
        <v>17099434</v>
      </c>
      <c r="N26" s="4" t="s">
        <v>478</v>
      </c>
      <c r="O26" s="4" t="s">
        <v>479</v>
      </c>
      <c r="P26" s="4" t="s">
        <v>709</v>
      </c>
      <c r="Q26" s="6">
        <v>41179</v>
      </c>
      <c r="R26" s="6">
        <v>2092</v>
      </c>
      <c r="S26" s="4">
        <v>2.07E-2</v>
      </c>
      <c r="T26" s="4">
        <v>8.6999999999999994E-2</v>
      </c>
      <c r="U26" s="4">
        <v>0</v>
      </c>
      <c r="V26" s="4">
        <v>41179</v>
      </c>
      <c r="W26" s="4">
        <v>0</v>
      </c>
      <c r="X26" s="4">
        <v>2092</v>
      </c>
      <c r="Y26" s="21">
        <f t="shared" si="0"/>
        <v>852.41</v>
      </c>
      <c r="Z26" s="21">
        <f t="shared" si="1"/>
        <v>182</v>
      </c>
      <c r="AA26" s="21">
        <f t="shared" si="2"/>
        <v>1034.4099999999999</v>
      </c>
      <c r="AB26" s="21">
        <f>SUM(AA14:AA26)</f>
        <v>1169.6299999999999</v>
      </c>
    </row>
    <row r="27" spans="1:28" ht="42.75" x14ac:dyDescent="0.25">
      <c r="A27" s="1" t="s">
        <v>358</v>
      </c>
      <c r="B27" s="1" t="s">
        <v>684</v>
      </c>
      <c r="C27" s="1" t="s">
        <v>695</v>
      </c>
      <c r="D27" s="4" t="s">
        <v>146</v>
      </c>
      <c r="E27" s="4" t="s">
        <v>14</v>
      </c>
      <c r="F27" s="4" t="s">
        <v>15</v>
      </c>
      <c r="G27" s="4" t="s">
        <v>16</v>
      </c>
      <c r="H27" s="8">
        <v>22450</v>
      </c>
      <c r="I27" s="5">
        <v>2</v>
      </c>
      <c r="J27" s="5">
        <v>241</v>
      </c>
      <c r="K27" s="4" t="s">
        <v>25</v>
      </c>
      <c r="L27" s="8">
        <v>241</v>
      </c>
      <c r="M27" s="4">
        <v>17099552</v>
      </c>
      <c r="N27" s="4" t="s">
        <v>502</v>
      </c>
      <c r="O27" s="4" t="s">
        <v>503</v>
      </c>
      <c r="P27" s="4" t="s">
        <v>29</v>
      </c>
      <c r="Q27" s="6">
        <v>1199</v>
      </c>
      <c r="R27" s="6">
        <v>0</v>
      </c>
      <c r="S27" s="4">
        <v>2.6200000000000001E-2</v>
      </c>
      <c r="T27" s="4">
        <v>0.11799999999999999</v>
      </c>
      <c r="U27" s="4">
        <v>0</v>
      </c>
      <c r="V27" s="4">
        <v>1199</v>
      </c>
      <c r="W27" s="4">
        <v>0</v>
      </c>
      <c r="X27" s="4">
        <v>0</v>
      </c>
      <c r="Y27" s="21">
        <f t="shared" si="0"/>
        <v>31.41</v>
      </c>
      <c r="Z27" s="21">
        <f t="shared" si="1"/>
        <v>0</v>
      </c>
      <c r="AA27" s="21">
        <f t="shared" si="2"/>
        <v>31.41</v>
      </c>
      <c r="AB27" s="21"/>
    </row>
    <row r="28" spans="1:28" ht="42.75" x14ac:dyDescent="0.25">
      <c r="A28" s="1" t="s">
        <v>251</v>
      </c>
      <c r="B28" s="1" t="s">
        <v>684</v>
      </c>
      <c r="C28" s="1" t="s">
        <v>695</v>
      </c>
      <c r="D28" s="4" t="s">
        <v>146</v>
      </c>
      <c r="E28" s="4" t="s">
        <v>14</v>
      </c>
      <c r="F28" s="4" t="s">
        <v>15</v>
      </c>
      <c r="G28" s="4" t="s">
        <v>16</v>
      </c>
      <c r="H28" s="8">
        <v>22450</v>
      </c>
      <c r="I28" s="5">
        <v>1</v>
      </c>
      <c r="J28" s="5" t="s">
        <v>17</v>
      </c>
      <c r="K28" s="4" t="s">
        <v>25</v>
      </c>
      <c r="L28" s="4" t="s">
        <v>17</v>
      </c>
      <c r="M28" s="4">
        <v>17099554</v>
      </c>
      <c r="N28" s="4" t="s">
        <v>252</v>
      </c>
      <c r="O28" s="4" t="s">
        <v>253</v>
      </c>
      <c r="P28" s="4" t="s">
        <v>29</v>
      </c>
      <c r="Q28" s="6">
        <v>282</v>
      </c>
      <c r="R28" s="6">
        <v>0</v>
      </c>
      <c r="S28" s="4">
        <v>2.6200000000000001E-2</v>
      </c>
      <c r="T28" s="4">
        <v>0.11799999999999999</v>
      </c>
      <c r="U28" s="4">
        <v>0</v>
      </c>
      <c r="V28" s="4">
        <v>282</v>
      </c>
      <c r="W28" s="4">
        <v>0</v>
      </c>
      <c r="X28" s="4">
        <v>0</v>
      </c>
      <c r="Y28" s="21">
        <f t="shared" si="0"/>
        <v>7.39</v>
      </c>
      <c r="Z28" s="21">
        <f t="shared" si="1"/>
        <v>0</v>
      </c>
      <c r="AA28" s="21">
        <f t="shared" si="2"/>
        <v>7.39</v>
      </c>
      <c r="AB28" s="21"/>
    </row>
    <row r="29" spans="1:28" ht="42.75" x14ac:dyDescent="0.25">
      <c r="A29" s="1" t="s">
        <v>251</v>
      </c>
      <c r="B29" s="1" t="s">
        <v>684</v>
      </c>
      <c r="C29" s="1" t="s">
        <v>695</v>
      </c>
      <c r="D29" s="4" t="s">
        <v>146</v>
      </c>
      <c r="E29" s="4" t="s">
        <v>14</v>
      </c>
      <c r="F29" s="4" t="s">
        <v>15</v>
      </c>
      <c r="G29" s="4" t="s">
        <v>16</v>
      </c>
      <c r="H29" s="8">
        <v>22450</v>
      </c>
      <c r="I29" s="5">
        <v>2</v>
      </c>
      <c r="J29" s="5">
        <v>242</v>
      </c>
      <c r="K29" s="4" t="s">
        <v>25</v>
      </c>
      <c r="L29" s="8">
        <v>242</v>
      </c>
      <c r="M29" s="4">
        <v>17099553</v>
      </c>
      <c r="N29" s="4" t="s">
        <v>289</v>
      </c>
      <c r="O29" s="4" t="s">
        <v>290</v>
      </c>
      <c r="P29" s="4" t="s">
        <v>29</v>
      </c>
      <c r="Q29" s="6">
        <v>491</v>
      </c>
      <c r="R29" s="6">
        <v>0</v>
      </c>
      <c r="S29" s="4">
        <v>2.6200000000000001E-2</v>
      </c>
      <c r="T29" s="4">
        <v>0.11799999999999999</v>
      </c>
      <c r="U29" s="4">
        <v>0</v>
      </c>
      <c r="V29" s="4">
        <v>491</v>
      </c>
      <c r="W29" s="4">
        <v>0</v>
      </c>
      <c r="X29" s="4">
        <v>0</v>
      </c>
      <c r="Y29" s="21">
        <f t="shared" si="0"/>
        <v>12.86</v>
      </c>
      <c r="Z29" s="21">
        <f t="shared" si="1"/>
        <v>0</v>
      </c>
      <c r="AA29" s="21">
        <f t="shared" si="2"/>
        <v>12.86</v>
      </c>
      <c r="AB29" s="21"/>
    </row>
    <row r="30" spans="1:28" ht="42.75" x14ac:dyDescent="0.25">
      <c r="A30" s="1" t="s">
        <v>251</v>
      </c>
      <c r="B30" s="1" t="s">
        <v>684</v>
      </c>
      <c r="C30" s="1" t="s">
        <v>695</v>
      </c>
      <c r="D30" s="4" t="s">
        <v>146</v>
      </c>
      <c r="E30" s="4" t="s">
        <v>14</v>
      </c>
      <c r="F30" s="4" t="s">
        <v>15</v>
      </c>
      <c r="G30" s="4" t="s">
        <v>16</v>
      </c>
      <c r="H30" s="8">
        <v>22450</v>
      </c>
      <c r="I30" s="5">
        <v>1</v>
      </c>
      <c r="J30" s="5">
        <v>302</v>
      </c>
      <c r="K30" s="4" t="s">
        <v>18</v>
      </c>
      <c r="L30" s="4" t="s">
        <v>358</v>
      </c>
      <c r="M30" s="4">
        <v>17099722</v>
      </c>
      <c r="N30" s="4" t="s">
        <v>359</v>
      </c>
      <c r="O30" s="4" t="s">
        <v>360</v>
      </c>
      <c r="P30" s="4" t="s">
        <v>709</v>
      </c>
      <c r="Q30" s="6">
        <v>3285</v>
      </c>
      <c r="R30" s="6">
        <v>6416</v>
      </c>
      <c r="S30" s="4">
        <v>2.07E-2</v>
      </c>
      <c r="T30" s="4">
        <v>8.6999999999999994E-2</v>
      </c>
      <c r="U30" s="4">
        <v>0</v>
      </c>
      <c r="V30" s="4">
        <v>3285</v>
      </c>
      <c r="W30" s="4">
        <v>0</v>
      </c>
      <c r="X30" s="4">
        <v>6416</v>
      </c>
      <c r="Y30" s="21">
        <f t="shared" si="0"/>
        <v>68</v>
      </c>
      <c r="Z30" s="21">
        <f t="shared" si="1"/>
        <v>558.19000000000005</v>
      </c>
      <c r="AA30" s="21">
        <f t="shared" si="2"/>
        <v>626.19000000000005</v>
      </c>
      <c r="AB30" s="21"/>
    </row>
    <row r="31" spans="1:28" ht="42.75" x14ac:dyDescent="0.25">
      <c r="A31" s="1" t="s">
        <v>251</v>
      </c>
      <c r="B31" s="1" t="s">
        <v>684</v>
      </c>
      <c r="C31" s="1" t="s">
        <v>695</v>
      </c>
      <c r="D31" s="4" t="s">
        <v>146</v>
      </c>
      <c r="E31" s="4" t="s">
        <v>14</v>
      </c>
      <c r="F31" s="4" t="s">
        <v>15</v>
      </c>
      <c r="G31" s="4" t="s">
        <v>16</v>
      </c>
      <c r="H31" s="8">
        <v>22450</v>
      </c>
      <c r="I31" s="5">
        <v>2</v>
      </c>
      <c r="J31" s="5">
        <v>235</v>
      </c>
      <c r="K31" s="4" t="s">
        <v>383</v>
      </c>
      <c r="L31" s="8">
        <v>235</v>
      </c>
      <c r="M31" s="4">
        <v>17099490</v>
      </c>
      <c r="N31" s="4" t="s">
        <v>386</v>
      </c>
      <c r="O31" s="4" t="s">
        <v>387</v>
      </c>
      <c r="P31" s="4" t="s">
        <v>709</v>
      </c>
      <c r="Q31" s="6">
        <v>15315</v>
      </c>
      <c r="R31" s="6">
        <v>2952</v>
      </c>
      <c r="S31" s="4">
        <v>2.07E-2</v>
      </c>
      <c r="T31" s="4">
        <v>8.6999999999999994E-2</v>
      </c>
      <c r="U31" s="4">
        <v>0</v>
      </c>
      <c r="V31" s="4">
        <v>15315</v>
      </c>
      <c r="W31" s="4">
        <v>0</v>
      </c>
      <c r="X31" s="4">
        <v>2952</v>
      </c>
      <c r="Y31" s="21">
        <f t="shared" si="0"/>
        <v>317.02</v>
      </c>
      <c r="Z31" s="21">
        <f t="shared" si="1"/>
        <v>256.82</v>
      </c>
      <c r="AA31" s="21">
        <f t="shared" si="2"/>
        <v>573.83999999999992</v>
      </c>
      <c r="AB31" s="21"/>
    </row>
    <row r="32" spans="1:28" ht="42.75" x14ac:dyDescent="0.25">
      <c r="A32" s="1" t="s">
        <v>251</v>
      </c>
      <c r="B32" s="1" t="s">
        <v>684</v>
      </c>
      <c r="C32" s="1" t="s">
        <v>695</v>
      </c>
      <c r="D32" s="4" t="s">
        <v>146</v>
      </c>
      <c r="E32" s="4" t="s">
        <v>14</v>
      </c>
      <c r="F32" s="4" t="s">
        <v>15</v>
      </c>
      <c r="G32" s="4" t="s">
        <v>16</v>
      </c>
      <c r="H32" s="8">
        <v>22450</v>
      </c>
      <c r="I32" s="5">
        <v>1</v>
      </c>
      <c r="J32" s="5">
        <v>312</v>
      </c>
      <c r="K32" s="4" t="s">
        <v>25</v>
      </c>
      <c r="L32" s="8">
        <v>312</v>
      </c>
      <c r="M32" s="4">
        <v>17099555</v>
      </c>
      <c r="N32" s="4" t="s">
        <v>484</v>
      </c>
      <c r="O32" s="4" t="s">
        <v>485</v>
      </c>
      <c r="P32" s="4" t="s">
        <v>29</v>
      </c>
      <c r="Q32" s="6">
        <v>480</v>
      </c>
      <c r="R32" s="6">
        <v>0</v>
      </c>
      <c r="S32" s="4">
        <v>2.6200000000000001E-2</v>
      </c>
      <c r="T32" s="4">
        <v>0.11799999999999999</v>
      </c>
      <c r="U32" s="4">
        <v>0</v>
      </c>
      <c r="V32" s="4">
        <v>480</v>
      </c>
      <c r="W32" s="4">
        <v>0</v>
      </c>
      <c r="X32" s="4">
        <v>0</v>
      </c>
      <c r="Y32" s="21">
        <f t="shared" si="0"/>
        <v>12.58</v>
      </c>
      <c r="Z32" s="21">
        <f t="shared" si="1"/>
        <v>0</v>
      </c>
      <c r="AA32" s="21">
        <f t="shared" si="2"/>
        <v>12.58</v>
      </c>
      <c r="AB32" s="21"/>
    </row>
    <row r="33" spans="1:28" ht="42.75" x14ac:dyDescent="0.25">
      <c r="A33" s="1" t="s">
        <v>361</v>
      </c>
      <c r="B33" s="1" t="s">
        <v>684</v>
      </c>
      <c r="C33" s="1" t="s">
        <v>695</v>
      </c>
      <c r="D33" s="4" t="s">
        <v>146</v>
      </c>
      <c r="E33" s="4" t="s">
        <v>14</v>
      </c>
      <c r="F33" s="4" t="s">
        <v>15</v>
      </c>
      <c r="G33" s="4" t="s">
        <v>16</v>
      </c>
      <c r="H33" s="8">
        <v>22450</v>
      </c>
      <c r="I33" s="5">
        <v>2</v>
      </c>
      <c r="J33" s="5">
        <v>204</v>
      </c>
      <c r="K33" s="4" t="s">
        <v>84</v>
      </c>
      <c r="L33" s="8">
        <v>204</v>
      </c>
      <c r="M33" s="4">
        <v>17099507</v>
      </c>
      <c r="N33" s="4" t="s">
        <v>362</v>
      </c>
      <c r="O33" s="4" t="s">
        <v>363</v>
      </c>
      <c r="P33" s="4" t="s">
        <v>709</v>
      </c>
      <c r="Q33" s="6">
        <v>4886</v>
      </c>
      <c r="R33" s="6">
        <v>0</v>
      </c>
      <c r="S33" s="4">
        <v>2.07E-2</v>
      </c>
      <c r="T33" s="4">
        <v>8.6999999999999994E-2</v>
      </c>
      <c r="U33" s="4">
        <v>0</v>
      </c>
      <c r="V33" s="4">
        <v>4886</v>
      </c>
      <c r="W33" s="4">
        <v>0</v>
      </c>
      <c r="X33" s="4">
        <v>0</v>
      </c>
      <c r="Y33" s="21">
        <f t="shared" si="0"/>
        <v>101.14</v>
      </c>
      <c r="Z33" s="21">
        <f t="shared" si="1"/>
        <v>0</v>
      </c>
      <c r="AA33" s="21">
        <f t="shared" si="2"/>
        <v>101.14</v>
      </c>
      <c r="AB33" s="21">
        <f>SUM(AA27:AA33)</f>
        <v>1365.41</v>
      </c>
    </row>
    <row r="34" spans="1:28" ht="42.75" x14ac:dyDescent="0.25">
      <c r="A34" s="1" t="s">
        <v>147</v>
      </c>
      <c r="B34" s="1" t="s">
        <v>691</v>
      </c>
      <c r="C34" s="1" t="s">
        <v>690</v>
      </c>
      <c r="D34" s="4" t="s">
        <v>146</v>
      </c>
      <c r="E34" s="4" t="s">
        <v>14</v>
      </c>
      <c r="F34" s="4" t="s">
        <v>15</v>
      </c>
      <c r="G34" s="4" t="s">
        <v>16</v>
      </c>
      <c r="H34" s="8">
        <v>22450</v>
      </c>
      <c r="I34" s="5">
        <v>2</v>
      </c>
      <c r="J34" s="5">
        <v>231</v>
      </c>
      <c r="K34" s="4" t="s">
        <v>25</v>
      </c>
      <c r="L34" s="8">
        <v>231</v>
      </c>
      <c r="M34" s="4">
        <v>17099560</v>
      </c>
      <c r="N34" s="4" t="s">
        <v>148</v>
      </c>
      <c r="O34" s="4" t="s">
        <v>149</v>
      </c>
      <c r="P34" s="4" t="s">
        <v>29</v>
      </c>
      <c r="Q34" s="6">
        <v>845</v>
      </c>
      <c r="R34" s="6">
        <v>0</v>
      </c>
      <c r="S34" s="4">
        <v>2.6200000000000001E-2</v>
      </c>
      <c r="T34" s="4">
        <v>0.11799999999999999</v>
      </c>
      <c r="U34" s="4">
        <v>0</v>
      </c>
      <c r="V34" s="4">
        <v>845</v>
      </c>
      <c r="W34" s="4">
        <v>0</v>
      </c>
      <c r="X34" s="4">
        <v>0</v>
      </c>
      <c r="Y34" s="21">
        <f t="shared" si="0"/>
        <v>22.14</v>
      </c>
      <c r="Z34" s="21">
        <f t="shared" si="1"/>
        <v>0</v>
      </c>
      <c r="AA34" s="21">
        <f t="shared" si="2"/>
        <v>22.14</v>
      </c>
      <c r="AB34" s="21">
        <f>Table14[[#This Row],[Device Total Click Charge]]</f>
        <v>22.14</v>
      </c>
    </row>
    <row r="35" spans="1:28" ht="42.75" x14ac:dyDescent="0.25">
      <c r="A35" s="1" t="s">
        <v>705</v>
      </c>
      <c r="B35" s="1" t="s">
        <v>692</v>
      </c>
      <c r="C35" s="1" t="s">
        <v>693</v>
      </c>
      <c r="D35" s="4" t="s">
        <v>146</v>
      </c>
      <c r="E35" s="4" t="s">
        <v>14</v>
      </c>
      <c r="F35" s="4" t="s">
        <v>15</v>
      </c>
      <c r="G35" s="4" t="s">
        <v>16</v>
      </c>
      <c r="H35" s="8">
        <v>22450</v>
      </c>
      <c r="I35" s="5">
        <v>2</v>
      </c>
      <c r="J35" s="5">
        <v>239</v>
      </c>
      <c r="K35" s="4" t="s">
        <v>25</v>
      </c>
      <c r="L35" s="8">
        <v>239</v>
      </c>
      <c r="M35" s="4">
        <v>17099565</v>
      </c>
      <c r="N35" s="4" t="s">
        <v>191</v>
      </c>
      <c r="O35" s="4" t="s">
        <v>192</v>
      </c>
      <c r="P35" s="4" t="s">
        <v>29</v>
      </c>
      <c r="Q35" s="6">
        <v>192</v>
      </c>
      <c r="R35" s="6">
        <v>0</v>
      </c>
      <c r="S35" s="4">
        <v>2.6200000000000001E-2</v>
      </c>
      <c r="T35" s="4">
        <v>0.11799999999999999</v>
      </c>
      <c r="U35" s="4">
        <v>0</v>
      </c>
      <c r="V35" s="4">
        <v>192</v>
      </c>
      <c r="W35" s="4">
        <v>0</v>
      </c>
      <c r="X35" s="4">
        <v>0</v>
      </c>
      <c r="Y35" s="21">
        <f t="shared" si="0"/>
        <v>5.03</v>
      </c>
      <c r="Z35" s="21">
        <f t="shared" si="1"/>
        <v>0</v>
      </c>
      <c r="AA35" s="21">
        <f t="shared" si="2"/>
        <v>5.03</v>
      </c>
      <c r="AB35" s="21">
        <f>Table14[[#This Row],[Device Total Click Charge]]</f>
        <v>5.03</v>
      </c>
    </row>
    <row r="36" spans="1:28" ht="42.75" x14ac:dyDescent="0.25">
      <c r="A36" s="1" t="s">
        <v>279</v>
      </c>
      <c r="B36" s="1" t="s">
        <v>278</v>
      </c>
      <c r="C36" s="1" t="s">
        <v>657</v>
      </c>
      <c r="D36" s="4" t="s">
        <v>49</v>
      </c>
      <c r="E36" s="4" t="s">
        <v>14</v>
      </c>
      <c r="F36" s="4" t="s">
        <v>15</v>
      </c>
      <c r="G36" s="4" t="s">
        <v>16</v>
      </c>
      <c r="H36" s="8">
        <v>24450</v>
      </c>
      <c r="I36" s="5">
        <v>5</v>
      </c>
      <c r="J36" s="5">
        <v>201</v>
      </c>
      <c r="K36" s="4" t="s">
        <v>18</v>
      </c>
      <c r="L36" s="8">
        <v>201</v>
      </c>
      <c r="M36" s="4">
        <v>17099424</v>
      </c>
      <c r="N36" s="4" t="s">
        <v>280</v>
      </c>
      <c r="O36" s="4" t="s">
        <v>281</v>
      </c>
      <c r="P36" s="4" t="s">
        <v>709</v>
      </c>
      <c r="Q36" s="6">
        <v>1697</v>
      </c>
      <c r="R36" s="6">
        <v>361</v>
      </c>
      <c r="S36" s="4">
        <v>2.07E-2</v>
      </c>
      <c r="T36" s="4">
        <v>8.6999999999999994E-2</v>
      </c>
      <c r="U36" s="4">
        <v>0</v>
      </c>
      <c r="V36" s="4">
        <v>1697</v>
      </c>
      <c r="W36" s="4">
        <v>0</v>
      </c>
      <c r="X36" s="4">
        <v>361</v>
      </c>
      <c r="Y36" s="21">
        <f t="shared" si="0"/>
        <v>35.130000000000003</v>
      </c>
      <c r="Z36" s="21">
        <f t="shared" si="1"/>
        <v>31.41</v>
      </c>
      <c r="AA36" s="21">
        <f t="shared" si="2"/>
        <v>66.540000000000006</v>
      </c>
      <c r="AB36" s="21">
        <f>Table14[[#This Row],[Device Total Click Charge]]</f>
        <v>66.540000000000006</v>
      </c>
    </row>
    <row r="37" spans="1:28" ht="42.75" x14ac:dyDescent="0.25">
      <c r="A37" s="1" t="s">
        <v>616</v>
      </c>
      <c r="B37" s="1" t="s">
        <v>615</v>
      </c>
      <c r="C37" s="1" t="s">
        <v>652</v>
      </c>
      <c r="D37" s="4" t="s">
        <v>551</v>
      </c>
      <c r="E37" s="4" t="s">
        <v>14</v>
      </c>
      <c r="F37" s="4" t="s">
        <v>15</v>
      </c>
      <c r="G37" s="4" t="s">
        <v>16</v>
      </c>
      <c r="H37" s="8">
        <v>24450</v>
      </c>
      <c r="I37" s="5">
        <v>2</v>
      </c>
      <c r="J37" s="5">
        <v>207</v>
      </c>
      <c r="K37" s="4" t="s">
        <v>84</v>
      </c>
      <c r="L37" s="8">
        <v>312</v>
      </c>
      <c r="M37" s="4">
        <v>17099460</v>
      </c>
      <c r="N37" s="4" t="s">
        <v>617</v>
      </c>
      <c r="O37" s="4" t="s">
        <v>618</v>
      </c>
      <c r="P37" s="4" t="s">
        <v>29</v>
      </c>
      <c r="Q37" s="6">
        <v>2983</v>
      </c>
      <c r="R37" s="6">
        <v>0</v>
      </c>
      <c r="S37" s="4">
        <v>2.6200000000000001E-2</v>
      </c>
      <c r="T37" s="4">
        <v>0.11799999999999999</v>
      </c>
      <c r="U37" s="4">
        <v>0</v>
      </c>
      <c r="V37" s="4">
        <v>2983</v>
      </c>
      <c r="W37" s="4">
        <v>0</v>
      </c>
      <c r="X37" s="4">
        <v>0</v>
      </c>
      <c r="Y37" s="21">
        <f t="shared" si="0"/>
        <v>78.150000000000006</v>
      </c>
      <c r="Z37" s="21">
        <f t="shared" si="1"/>
        <v>0</v>
      </c>
      <c r="AA37" s="21">
        <f t="shared" si="2"/>
        <v>78.150000000000006</v>
      </c>
      <c r="AB37" s="21">
        <f>Table14[[#This Row],[Device Total Click Charge]]</f>
        <v>78.150000000000006</v>
      </c>
    </row>
    <row r="38" spans="1:28" ht="42.75" x14ac:dyDescent="0.25">
      <c r="A38" s="1" t="s">
        <v>658</v>
      </c>
      <c r="B38" s="1" t="s">
        <v>41</v>
      </c>
      <c r="C38" s="1" t="s">
        <v>645</v>
      </c>
      <c r="D38" s="4" t="s">
        <v>88</v>
      </c>
      <c r="E38" s="4" t="s">
        <v>14</v>
      </c>
      <c r="F38" s="4" t="s">
        <v>15</v>
      </c>
      <c r="G38" s="4" t="s">
        <v>16</v>
      </c>
      <c r="H38" s="8">
        <v>23350</v>
      </c>
      <c r="I38" s="5">
        <v>1</v>
      </c>
      <c r="J38" s="5" t="s">
        <v>89</v>
      </c>
      <c r="K38" s="4" t="s">
        <v>90</v>
      </c>
      <c r="L38" s="4" t="s">
        <v>89</v>
      </c>
      <c r="M38" s="8">
        <v>17099483</v>
      </c>
      <c r="N38" s="4" t="s">
        <v>91</v>
      </c>
      <c r="O38" s="4" t="s">
        <v>92</v>
      </c>
      <c r="P38" s="4" t="s">
        <v>709</v>
      </c>
      <c r="Q38" s="6">
        <v>68697</v>
      </c>
      <c r="R38" s="6">
        <v>0</v>
      </c>
      <c r="S38" s="4">
        <v>2.07E-2</v>
      </c>
      <c r="T38" s="4">
        <v>8.6999999999999994E-2</v>
      </c>
      <c r="U38" s="4">
        <v>0</v>
      </c>
      <c r="V38" s="4">
        <v>68697</v>
      </c>
      <c r="W38" s="4">
        <v>0</v>
      </c>
      <c r="X38" s="4">
        <v>0</v>
      </c>
      <c r="Y38" s="21">
        <f t="shared" si="0"/>
        <v>1422.03</v>
      </c>
      <c r="Z38" s="21">
        <f t="shared" si="1"/>
        <v>0</v>
      </c>
      <c r="AA38" s="21">
        <f t="shared" si="2"/>
        <v>1422.03</v>
      </c>
      <c r="AB38" s="21"/>
    </row>
    <row r="39" spans="1:28" ht="42.75" x14ac:dyDescent="0.25">
      <c r="A39" s="1" t="s">
        <v>658</v>
      </c>
      <c r="B39" s="1" t="s">
        <v>41</v>
      </c>
      <c r="C39" s="1" t="s">
        <v>645</v>
      </c>
      <c r="D39" s="4" t="s">
        <v>88</v>
      </c>
      <c r="E39" s="4" t="s">
        <v>14</v>
      </c>
      <c r="F39" s="4" t="s">
        <v>15</v>
      </c>
      <c r="G39" s="4" t="s">
        <v>16</v>
      </c>
      <c r="H39" s="8">
        <v>23350</v>
      </c>
      <c r="I39" s="5">
        <v>1</v>
      </c>
      <c r="J39" s="5" t="s">
        <v>89</v>
      </c>
      <c r="K39" s="4" t="s">
        <v>90</v>
      </c>
      <c r="L39" s="4" t="s">
        <v>449</v>
      </c>
      <c r="M39" s="4">
        <v>17099482</v>
      </c>
      <c r="N39" s="4" t="s">
        <v>493</v>
      </c>
      <c r="O39" s="4" t="s">
        <v>494</v>
      </c>
      <c r="P39" s="4" t="s">
        <v>709</v>
      </c>
      <c r="Q39" s="6">
        <v>142699</v>
      </c>
      <c r="R39" s="6">
        <v>0</v>
      </c>
      <c r="S39" s="4">
        <v>2.07E-2</v>
      </c>
      <c r="T39" s="4">
        <v>8.6999999999999994E-2</v>
      </c>
      <c r="U39" s="4">
        <v>0</v>
      </c>
      <c r="V39" s="4">
        <v>142699</v>
      </c>
      <c r="W39" s="4">
        <v>0</v>
      </c>
      <c r="X39" s="4">
        <v>0</v>
      </c>
      <c r="Y39" s="21">
        <f t="shared" si="0"/>
        <v>2953.87</v>
      </c>
      <c r="Z39" s="21">
        <f t="shared" si="1"/>
        <v>0</v>
      </c>
      <c r="AA39" s="21">
        <f t="shared" si="2"/>
        <v>2953.87</v>
      </c>
      <c r="AB39" s="21">
        <f>SUM(AA38:AA39)</f>
        <v>4375.8999999999996</v>
      </c>
    </row>
    <row r="40" spans="1:28" ht="42.75" x14ac:dyDescent="0.25">
      <c r="A40" s="1" t="s">
        <v>127</v>
      </c>
      <c r="B40" s="1" t="s">
        <v>126</v>
      </c>
      <c r="C40" s="1" t="s">
        <v>127</v>
      </c>
      <c r="D40" s="4" t="s">
        <v>125</v>
      </c>
      <c r="E40" s="4" t="s">
        <v>14</v>
      </c>
      <c r="F40" s="4" t="s">
        <v>15</v>
      </c>
      <c r="G40" s="4" t="s">
        <v>16</v>
      </c>
      <c r="H40" s="8">
        <v>24450</v>
      </c>
      <c r="I40" s="5">
        <v>2</v>
      </c>
      <c r="J40" s="5">
        <v>203</v>
      </c>
      <c r="K40" s="4" t="s">
        <v>25</v>
      </c>
      <c r="L40" s="4" t="s">
        <v>128</v>
      </c>
      <c r="M40" s="4">
        <v>17099613</v>
      </c>
      <c r="N40" s="4" t="s">
        <v>129</v>
      </c>
      <c r="O40" s="4" t="s">
        <v>130</v>
      </c>
      <c r="P40" s="4" t="s">
        <v>29</v>
      </c>
      <c r="Q40" s="6">
        <v>1725</v>
      </c>
      <c r="R40" s="6">
        <v>0</v>
      </c>
      <c r="S40" s="4">
        <v>2.6200000000000001E-2</v>
      </c>
      <c r="T40" s="4">
        <v>0.11799999999999999</v>
      </c>
      <c r="U40" s="4">
        <v>0</v>
      </c>
      <c r="V40" s="4">
        <v>1725</v>
      </c>
      <c r="W40" s="4">
        <v>0</v>
      </c>
      <c r="X40" s="4">
        <v>0</v>
      </c>
      <c r="Y40" s="21">
        <f t="shared" si="0"/>
        <v>45.2</v>
      </c>
      <c r="Z40" s="21">
        <f t="shared" si="1"/>
        <v>0</v>
      </c>
      <c r="AA40" s="21">
        <f t="shared" si="2"/>
        <v>45.2</v>
      </c>
      <c r="AB40" s="21"/>
    </row>
    <row r="41" spans="1:28" ht="42.75" x14ac:dyDescent="0.25">
      <c r="A41" s="1" t="s">
        <v>127</v>
      </c>
      <c r="B41" s="1" t="s">
        <v>126</v>
      </c>
      <c r="C41" s="1" t="s">
        <v>127</v>
      </c>
      <c r="D41" s="4" t="s">
        <v>125</v>
      </c>
      <c r="E41" s="4" t="s">
        <v>14</v>
      </c>
      <c r="F41" s="4" t="s">
        <v>15</v>
      </c>
      <c r="G41" s="4" t="s">
        <v>16</v>
      </c>
      <c r="H41" s="8">
        <v>24450</v>
      </c>
      <c r="I41" s="5">
        <v>2</v>
      </c>
      <c r="J41" s="5" t="s">
        <v>131</v>
      </c>
      <c r="K41" s="4" t="s">
        <v>25</v>
      </c>
      <c r="L41" s="8">
        <v>315</v>
      </c>
      <c r="M41" s="4">
        <v>17099611</v>
      </c>
      <c r="N41" s="4" t="s">
        <v>132</v>
      </c>
      <c r="O41" s="4" t="s">
        <v>133</v>
      </c>
      <c r="P41" s="4" t="s">
        <v>29</v>
      </c>
      <c r="Q41" s="6">
        <v>830</v>
      </c>
      <c r="R41" s="6">
        <v>0</v>
      </c>
      <c r="S41" s="4">
        <v>2.6200000000000001E-2</v>
      </c>
      <c r="T41" s="4">
        <v>0.11799999999999999</v>
      </c>
      <c r="U41" s="4">
        <v>0</v>
      </c>
      <c r="V41" s="4">
        <v>830</v>
      </c>
      <c r="W41" s="4">
        <v>0</v>
      </c>
      <c r="X41" s="4">
        <v>0</v>
      </c>
      <c r="Y41" s="21">
        <f t="shared" si="0"/>
        <v>21.75</v>
      </c>
      <c r="Z41" s="21">
        <f t="shared" si="1"/>
        <v>0</v>
      </c>
      <c r="AA41" s="21">
        <f t="shared" si="2"/>
        <v>21.75</v>
      </c>
      <c r="AB41" s="21"/>
    </row>
    <row r="42" spans="1:28" ht="42.75" x14ac:dyDescent="0.25">
      <c r="A42" s="1" t="s">
        <v>127</v>
      </c>
      <c r="B42" s="1" t="s">
        <v>126</v>
      </c>
      <c r="C42" s="1" t="s">
        <v>127</v>
      </c>
      <c r="D42" s="4" t="s">
        <v>125</v>
      </c>
      <c r="E42" s="4" t="s">
        <v>14</v>
      </c>
      <c r="F42" s="4" t="s">
        <v>15</v>
      </c>
      <c r="G42" s="4" t="s">
        <v>16</v>
      </c>
      <c r="H42" s="8">
        <v>24450</v>
      </c>
      <c r="I42" s="5">
        <v>2</v>
      </c>
      <c r="J42" s="5" t="s">
        <v>128</v>
      </c>
      <c r="K42" s="4" t="s">
        <v>25</v>
      </c>
      <c r="L42" s="4" t="s">
        <v>198</v>
      </c>
      <c r="M42" s="4">
        <v>17099569</v>
      </c>
      <c r="N42" s="4" t="s">
        <v>276</v>
      </c>
      <c r="O42" s="4" t="s">
        <v>277</v>
      </c>
      <c r="P42" s="4" t="s">
        <v>29</v>
      </c>
      <c r="Q42" s="6">
        <v>116</v>
      </c>
      <c r="R42" s="6">
        <v>0</v>
      </c>
      <c r="S42" s="4">
        <v>2.6200000000000001E-2</v>
      </c>
      <c r="T42" s="4">
        <v>0.11799999999999999</v>
      </c>
      <c r="U42" s="4">
        <v>0</v>
      </c>
      <c r="V42" s="4">
        <v>116</v>
      </c>
      <c r="W42" s="4">
        <v>0</v>
      </c>
      <c r="X42" s="4">
        <v>0</v>
      </c>
      <c r="Y42" s="21">
        <f t="shared" si="0"/>
        <v>3.04</v>
      </c>
      <c r="Z42" s="21">
        <f t="shared" si="1"/>
        <v>0</v>
      </c>
      <c r="AA42" s="21">
        <f t="shared" si="2"/>
        <v>3.04</v>
      </c>
      <c r="AB42" s="21"/>
    </row>
    <row r="43" spans="1:28" ht="42.75" x14ac:dyDescent="0.25">
      <c r="A43" s="1" t="s">
        <v>127</v>
      </c>
      <c r="B43" s="1" t="s">
        <v>126</v>
      </c>
      <c r="C43" s="1" t="s">
        <v>127</v>
      </c>
      <c r="D43" s="4" t="s">
        <v>125</v>
      </c>
      <c r="E43" s="4" t="s">
        <v>14</v>
      </c>
      <c r="F43" s="4" t="s">
        <v>15</v>
      </c>
      <c r="G43" s="4" t="s">
        <v>16</v>
      </c>
      <c r="H43" s="8">
        <v>24450</v>
      </c>
      <c r="I43" s="5">
        <v>2</v>
      </c>
      <c r="J43" s="5" t="s">
        <v>201</v>
      </c>
      <c r="K43" s="4" t="s">
        <v>25</v>
      </c>
      <c r="L43" s="4" t="s">
        <v>131</v>
      </c>
      <c r="M43" s="4">
        <v>17099612</v>
      </c>
      <c r="N43" s="4" t="s">
        <v>452</v>
      </c>
      <c r="O43" s="4" t="s">
        <v>453</v>
      </c>
      <c r="P43" s="4" t="s">
        <v>29</v>
      </c>
      <c r="Q43" s="6">
        <v>272</v>
      </c>
      <c r="R43" s="6">
        <v>0</v>
      </c>
      <c r="S43" s="4">
        <v>2.6200000000000001E-2</v>
      </c>
      <c r="T43" s="4">
        <v>0.11799999999999999</v>
      </c>
      <c r="U43" s="4">
        <v>0</v>
      </c>
      <c r="V43" s="4">
        <v>272</v>
      </c>
      <c r="W43" s="4">
        <v>0</v>
      </c>
      <c r="X43" s="4">
        <v>0</v>
      </c>
      <c r="Y43" s="21">
        <f t="shared" si="0"/>
        <v>7.13</v>
      </c>
      <c r="Z43" s="21">
        <f t="shared" si="1"/>
        <v>0</v>
      </c>
      <c r="AA43" s="21">
        <f t="shared" si="2"/>
        <v>7.13</v>
      </c>
      <c r="AB43" s="21"/>
    </row>
    <row r="44" spans="1:28" ht="42.75" x14ac:dyDescent="0.25">
      <c r="A44" s="1" t="s">
        <v>127</v>
      </c>
      <c r="B44" s="1" t="s">
        <v>126</v>
      </c>
      <c r="C44" s="1" t="s">
        <v>127</v>
      </c>
      <c r="D44" s="4" t="s">
        <v>125</v>
      </c>
      <c r="E44" s="4" t="s">
        <v>14</v>
      </c>
      <c r="F44" s="4" t="s">
        <v>15</v>
      </c>
      <c r="G44" s="4" t="s">
        <v>16</v>
      </c>
      <c r="H44" s="8">
        <v>24450</v>
      </c>
      <c r="I44" s="5">
        <v>2</v>
      </c>
      <c r="J44" s="5">
        <v>203</v>
      </c>
      <c r="K44" s="4" t="s">
        <v>18</v>
      </c>
      <c r="L44" s="8">
        <v>303</v>
      </c>
      <c r="M44" s="4">
        <v>17099484</v>
      </c>
      <c r="N44" s="4" t="s">
        <v>520</v>
      </c>
      <c r="O44" s="4" t="s">
        <v>521</v>
      </c>
      <c r="P44" s="4" t="s">
        <v>709</v>
      </c>
      <c r="Q44" s="6">
        <v>5967</v>
      </c>
      <c r="R44" s="6">
        <v>637</v>
      </c>
      <c r="S44" s="4">
        <v>2.07E-2</v>
      </c>
      <c r="T44" s="4">
        <v>8.6999999999999994E-2</v>
      </c>
      <c r="U44" s="4">
        <v>0</v>
      </c>
      <c r="V44" s="4">
        <v>5967</v>
      </c>
      <c r="W44" s="4">
        <v>0</v>
      </c>
      <c r="X44" s="4">
        <v>637</v>
      </c>
      <c r="Y44" s="21">
        <f t="shared" si="0"/>
        <v>123.52</v>
      </c>
      <c r="Z44" s="21">
        <f t="shared" si="1"/>
        <v>55.42</v>
      </c>
      <c r="AA44" s="21">
        <f t="shared" si="2"/>
        <v>178.94</v>
      </c>
      <c r="AB44" s="21"/>
    </row>
    <row r="45" spans="1:28" ht="42.75" x14ac:dyDescent="0.25">
      <c r="A45" s="1" t="s">
        <v>127</v>
      </c>
      <c r="B45" s="1" t="s">
        <v>41</v>
      </c>
      <c r="C45" s="1" t="s">
        <v>645</v>
      </c>
      <c r="D45" s="4" t="s">
        <v>83</v>
      </c>
      <c r="E45" s="4" t="s">
        <v>14</v>
      </c>
      <c r="F45" s="4" t="s">
        <v>15</v>
      </c>
      <c r="G45" s="4" t="s">
        <v>16</v>
      </c>
      <c r="H45" s="8">
        <v>24450</v>
      </c>
      <c r="I45" s="5">
        <v>2</v>
      </c>
      <c r="J45" s="5">
        <v>214</v>
      </c>
      <c r="K45" s="4" t="s">
        <v>25</v>
      </c>
      <c r="L45" s="8">
        <v>414</v>
      </c>
      <c r="M45" s="4">
        <v>17099580</v>
      </c>
      <c r="N45" s="4" t="s">
        <v>323</v>
      </c>
      <c r="O45" s="4" t="s">
        <v>324</v>
      </c>
      <c r="P45" s="4" t="s">
        <v>29</v>
      </c>
      <c r="Q45" s="6">
        <v>1692</v>
      </c>
      <c r="R45" s="6">
        <v>0</v>
      </c>
      <c r="S45" s="4">
        <v>2.6200000000000001E-2</v>
      </c>
      <c r="T45" s="4">
        <v>0.11799999999999999</v>
      </c>
      <c r="U45" s="4">
        <v>0</v>
      </c>
      <c r="V45" s="4">
        <v>1692</v>
      </c>
      <c r="W45" s="4">
        <v>0</v>
      </c>
      <c r="X45" s="4">
        <v>0</v>
      </c>
      <c r="Y45" s="21">
        <f t="shared" si="0"/>
        <v>44.33</v>
      </c>
      <c r="Z45" s="21">
        <f t="shared" si="1"/>
        <v>0</v>
      </c>
      <c r="AA45" s="21">
        <f t="shared" si="2"/>
        <v>44.33</v>
      </c>
      <c r="AB45" s="21">
        <f>SUM(AA40:AA45)</f>
        <v>300.39</v>
      </c>
    </row>
    <row r="46" spans="1:28" ht="42.75" x14ac:dyDescent="0.25">
      <c r="A46" s="1" t="s">
        <v>578</v>
      </c>
      <c r="B46" s="1" t="s">
        <v>577</v>
      </c>
      <c r="C46" s="1" t="s">
        <v>640</v>
      </c>
      <c r="D46" s="4" t="s">
        <v>538</v>
      </c>
      <c r="E46" s="4" t="s">
        <v>14</v>
      </c>
      <c r="F46" s="4" t="s">
        <v>15</v>
      </c>
      <c r="G46" s="4" t="s">
        <v>16</v>
      </c>
      <c r="H46" s="8">
        <v>24450</v>
      </c>
      <c r="I46" s="5">
        <v>3</v>
      </c>
      <c r="J46" s="5">
        <v>303</v>
      </c>
      <c r="K46" s="4" t="s">
        <v>25</v>
      </c>
      <c r="L46" s="8">
        <v>201</v>
      </c>
      <c r="M46" s="4">
        <v>17099709</v>
      </c>
      <c r="N46" s="4" t="s">
        <v>579</v>
      </c>
      <c r="O46" s="4" t="s">
        <v>580</v>
      </c>
      <c r="P46" s="4" t="s">
        <v>29</v>
      </c>
      <c r="Q46" s="6">
        <v>231</v>
      </c>
      <c r="R46" s="6">
        <v>0</v>
      </c>
      <c r="S46" s="4">
        <v>2.6200000000000001E-2</v>
      </c>
      <c r="T46" s="4">
        <v>0.11799999999999999</v>
      </c>
      <c r="U46" s="4">
        <v>0</v>
      </c>
      <c r="V46" s="4">
        <v>231</v>
      </c>
      <c r="W46" s="4">
        <v>0</v>
      </c>
      <c r="X46" s="4">
        <v>0</v>
      </c>
      <c r="Y46" s="21">
        <f t="shared" si="0"/>
        <v>6.05</v>
      </c>
      <c r="Z46" s="21">
        <f t="shared" si="1"/>
        <v>0</v>
      </c>
      <c r="AA46" s="21">
        <f t="shared" si="2"/>
        <v>6.05</v>
      </c>
      <c r="AB46" s="21"/>
    </row>
    <row r="47" spans="1:28" ht="42.75" x14ac:dyDescent="0.25">
      <c r="A47" s="1" t="s">
        <v>578</v>
      </c>
      <c r="B47" s="1" t="s">
        <v>577</v>
      </c>
      <c r="C47" s="1" t="s">
        <v>640</v>
      </c>
      <c r="D47" s="4" t="s">
        <v>538</v>
      </c>
      <c r="E47" s="4" t="s">
        <v>14</v>
      </c>
      <c r="F47" s="4" t="s">
        <v>15</v>
      </c>
      <c r="G47" s="4" t="s">
        <v>16</v>
      </c>
      <c r="H47" s="8">
        <v>24450</v>
      </c>
      <c r="I47" s="5">
        <v>3</v>
      </c>
      <c r="J47" s="5">
        <v>303</v>
      </c>
      <c r="K47" s="4" t="s">
        <v>25</v>
      </c>
      <c r="L47" s="8">
        <v>303</v>
      </c>
      <c r="M47" s="4">
        <v>17099711</v>
      </c>
      <c r="N47" s="4" t="s">
        <v>581</v>
      </c>
      <c r="O47" s="4" t="s">
        <v>582</v>
      </c>
      <c r="P47" s="4" t="s">
        <v>29</v>
      </c>
      <c r="Q47" s="6">
        <v>2654</v>
      </c>
      <c r="R47" s="6">
        <v>0</v>
      </c>
      <c r="S47" s="4">
        <v>2.6200000000000001E-2</v>
      </c>
      <c r="T47" s="4">
        <v>0.11799999999999999</v>
      </c>
      <c r="U47" s="4">
        <v>0</v>
      </c>
      <c r="V47" s="4">
        <v>2654</v>
      </c>
      <c r="W47" s="4">
        <v>0</v>
      </c>
      <c r="X47" s="4">
        <v>0</v>
      </c>
      <c r="Y47" s="21">
        <f t="shared" si="0"/>
        <v>69.53</v>
      </c>
      <c r="Z47" s="21">
        <f t="shared" si="1"/>
        <v>0</v>
      </c>
      <c r="AA47" s="21">
        <f t="shared" si="2"/>
        <v>69.53</v>
      </c>
      <c r="AB47" s="21">
        <f>SUM(AA46:AA47)</f>
        <v>75.58</v>
      </c>
    </row>
    <row r="48" spans="1:28" ht="42.75" x14ac:dyDescent="0.25">
      <c r="A48" s="1" t="s">
        <v>659</v>
      </c>
      <c r="B48" s="1" t="s">
        <v>226</v>
      </c>
      <c r="C48" s="1" t="s">
        <v>639</v>
      </c>
      <c r="D48" s="4" t="s">
        <v>39</v>
      </c>
      <c r="E48" s="4" t="s">
        <v>14</v>
      </c>
      <c r="F48" s="4" t="s">
        <v>15</v>
      </c>
      <c r="G48" s="4" t="s">
        <v>16</v>
      </c>
      <c r="H48" s="8">
        <v>24450</v>
      </c>
      <c r="I48" s="5">
        <v>3</v>
      </c>
      <c r="J48" s="5">
        <v>313</v>
      </c>
      <c r="K48" s="4" t="s">
        <v>25</v>
      </c>
      <c r="L48" s="8">
        <v>313</v>
      </c>
      <c r="M48" s="4">
        <v>17099617</v>
      </c>
      <c r="N48" s="4" t="s">
        <v>227</v>
      </c>
      <c r="O48" s="4" t="s">
        <v>228</v>
      </c>
      <c r="P48" s="4" t="s">
        <v>29</v>
      </c>
      <c r="Q48" s="6">
        <v>205</v>
      </c>
      <c r="R48" s="6">
        <v>0</v>
      </c>
      <c r="S48" s="4">
        <v>2.6200000000000001E-2</v>
      </c>
      <c r="T48" s="4">
        <v>0.11799999999999999</v>
      </c>
      <c r="U48" s="4">
        <v>0</v>
      </c>
      <c r="V48" s="4">
        <v>205</v>
      </c>
      <c r="W48" s="4">
        <v>0</v>
      </c>
      <c r="X48" s="4">
        <v>0</v>
      </c>
      <c r="Y48" s="21">
        <f t="shared" si="0"/>
        <v>5.37</v>
      </c>
      <c r="Z48" s="21">
        <f t="shared" si="1"/>
        <v>0</v>
      </c>
      <c r="AA48" s="21">
        <f t="shared" si="2"/>
        <v>5.37</v>
      </c>
      <c r="AB48" s="21"/>
    </row>
    <row r="49" spans="1:28" ht="42.75" x14ac:dyDescent="0.25">
      <c r="A49" s="1" t="s">
        <v>659</v>
      </c>
      <c r="B49" s="1" t="s">
        <v>226</v>
      </c>
      <c r="C49" s="1" t="s">
        <v>639</v>
      </c>
      <c r="D49" s="4" t="s">
        <v>39</v>
      </c>
      <c r="E49" s="4" t="s">
        <v>14</v>
      </c>
      <c r="F49" s="4" t="s">
        <v>15</v>
      </c>
      <c r="G49" s="4" t="s">
        <v>16</v>
      </c>
      <c r="H49" s="8">
        <v>24450</v>
      </c>
      <c r="I49" s="5">
        <v>3</v>
      </c>
      <c r="J49" s="5">
        <v>311</v>
      </c>
      <c r="K49" s="4" t="s">
        <v>25</v>
      </c>
      <c r="L49" s="8">
        <v>311</v>
      </c>
      <c r="M49" s="4">
        <v>17099570</v>
      </c>
      <c r="N49" s="4" t="s">
        <v>364</v>
      </c>
      <c r="O49" s="4" t="s">
        <v>365</v>
      </c>
      <c r="P49" s="4" t="s">
        <v>29</v>
      </c>
      <c r="Q49" s="6">
        <v>666</v>
      </c>
      <c r="R49" s="6">
        <v>0</v>
      </c>
      <c r="S49" s="4">
        <v>2.6200000000000001E-2</v>
      </c>
      <c r="T49" s="4">
        <v>0.11799999999999999</v>
      </c>
      <c r="U49" s="4">
        <v>0</v>
      </c>
      <c r="V49" s="4">
        <v>666</v>
      </c>
      <c r="W49" s="4">
        <v>0</v>
      </c>
      <c r="X49" s="4">
        <v>0</v>
      </c>
      <c r="Y49" s="21">
        <f t="shared" si="0"/>
        <v>17.45</v>
      </c>
      <c r="Z49" s="21">
        <f t="shared" si="1"/>
        <v>0</v>
      </c>
      <c r="AA49" s="21">
        <f t="shared" si="2"/>
        <v>17.45</v>
      </c>
      <c r="AB49" s="21"/>
    </row>
    <row r="50" spans="1:28" ht="42.75" x14ac:dyDescent="0.25">
      <c r="A50" s="1" t="s">
        <v>659</v>
      </c>
      <c r="B50" s="1" t="s">
        <v>226</v>
      </c>
      <c r="C50" s="1" t="s">
        <v>639</v>
      </c>
      <c r="D50" s="4" t="s">
        <v>39</v>
      </c>
      <c r="E50" s="4" t="s">
        <v>14</v>
      </c>
      <c r="F50" s="4" t="s">
        <v>15</v>
      </c>
      <c r="G50" s="4" t="s">
        <v>16</v>
      </c>
      <c r="H50" s="8">
        <v>24450</v>
      </c>
      <c r="I50" s="5">
        <v>3</v>
      </c>
      <c r="J50" s="5">
        <v>312</v>
      </c>
      <c r="K50" s="4" t="s">
        <v>25</v>
      </c>
      <c r="L50" s="8">
        <v>312</v>
      </c>
      <c r="M50" s="4">
        <v>17099618</v>
      </c>
      <c r="N50" s="4" t="s">
        <v>431</v>
      </c>
      <c r="O50" s="4" t="s">
        <v>432</v>
      </c>
      <c r="P50" s="4" t="s">
        <v>29</v>
      </c>
      <c r="Q50" s="6">
        <v>2046</v>
      </c>
      <c r="R50" s="6">
        <v>0</v>
      </c>
      <c r="S50" s="4">
        <v>2.6200000000000001E-2</v>
      </c>
      <c r="T50" s="4">
        <v>0.11799999999999999</v>
      </c>
      <c r="U50" s="4">
        <v>0</v>
      </c>
      <c r="V50" s="4">
        <v>2046</v>
      </c>
      <c r="W50" s="4">
        <v>0</v>
      </c>
      <c r="X50" s="4">
        <v>0</v>
      </c>
      <c r="Y50" s="21">
        <f t="shared" si="0"/>
        <v>53.61</v>
      </c>
      <c r="Z50" s="21">
        <f t="shared" si="1"/>
        <v>0</v>
      </c>
      <c r="AA50" s="21">
        <f t="shared" si="2"/>
        <v>53.61</v>
      </c>
      <c r="AB50" s="21"/>
    </row>
    <row r="51" spans="1:28" ht="42.75" x14ac:dyDescent="0.25">
      <c r="A51" s="1" t="s">
        <v>659</v>
      </c>
      <c r="B51" s="1" t="s">
        <v>226</v>
      </c>
      <c r="C51" s="1" t="s">
        <v>639</v>
      </c>
      <c r="D51" s="4" t="s">
        <v>39</v>
      </c>
      <c r="E51" s="4" t="s">
        <v>14</v>
      </c>
      <c r="F51" s="4" t="s">
        <v>15</v>
      </c>
      <c r="G51" s="4" t="s">
        <v>16</v>
      </c>
      <c r="H51" s="8">
        <v>24450</v>
      </c>
      <c r="I51" s="5">
        <v>2</v>
      </c>
      <c r="J51" s="5">
        <v>209</v>
      </c>
      <c r="K51" s="4" t="s">
        <v>25</v>
      </c>
      <c r="L51" s="8">
        <v>209</v>
      </c>
      <c r="M51" s="4">
        <v>17099577</v>
      </c>
      <c r="N51" s="4" t="s">
        <v>381</v>
      </c>
      <c r="O51" s="4" t="s">
        <v>382</v>
      </c>
      <c r="P51" s="4" t="s">
        <v>29</v>
      </c>
      <c r="Q51" s="6">
        <v>3</v>
      </c>
      <c r="R51" s="6">
        <v>0</v>
      </c>
      <c r="S51" s="4">
        <v>2.6200000000000001E-2</v>
      </c>
      <c r="T51" s="4">
        <v>0.11799999999999999</v>
      </c>
      <c r="U51" s="4">
        <v>0</v>
      </c>
      <c r="V51" s="4">
        <v>3</v>
      </c>
      <c r="W51" s="4">
        <v>0</v>
      </c>
      <c r="X51" s="4">
        <v>0</v>
      </c>
      <c r="Y51" s="21">
        <f t="shared" si="0"/>
        <v>0.08</v>
      </c>
      <c r="Z51" s="21">
        <f t="shared" si="1"/>
        <v>0</v>
      </c>
      <c r="AA51" s="21">
        <f t="shared" si="2"/>
        <v>0.08</v>
      </c>
      <c r="AB51" s="21"/>
    </row>
    <row r="52" spans="1:28" ht="42.75" x14ac:dyDescent="0.25">
      <c r="A52" s="1" t="s">
        <v>659</v>
      </c>
      <c r="B52" s="1" t="s">
        <v>41</v>
      </c>
      <c r="C52" s="1" t="s">
        <v>645</v>
      </c>
      <c r="D52" s="4" t="s">
        <v>39</v>
      </c>
      <c r="E52" s="4" t="s">
        <v>14</v>
      </c>
      <c r="F52" s="4" t="s">
        <v>15</v>
      </c>
      <c r="G52" s="4" t="s">
        <v>16</v>
      </c>
      <c r="H52" s="8">
        <v>24450</v>
      </c>
      <c r="I52" s="5">
        <v>3</v>
      </c>
      <c r="J52" s="5">
        <v>307</v>
      </c>
      <c r="K52" s="4" t="s">
        <v>383</v>
      </c>
      <c r="L52" s="8">
        <v>307</v>
      </c>
      <c r="M52" s="4">
        <v>17099454</v>
      </c>
      <c r="N52" s="4" t="s">
        <v>384</v>
      </c>
      <c r="O52" s="4" t="s">
        <v>385</v>
      </c>
      <c r="P52" s="4" t="s">
        <v>709</v>
      </c>
      <c r="Q52" s="6">
        <v>32149</v>
      </c>
      <c r="R52" s="6">
        <v>3700</v>
      </c>
      <c r="S52" s="4">
        <v>2.07E-2</v>
      </c>
      <c r="T52" s="4">
        <v>8.6999999999999994E-2</v>
      </c>
      <c r="U52" s="4">
        <v>0</v>
      </c>
      <c r="V52" s="4">
        <v>32149</v>
      </c>
      <c r="W52" s="4">
        <v>0</v>
      </c>
      <c r="X52" s="4">
        <v>3700</v>
      </c>
      <c r="Y52" s="21">
        <f t="shared" si="0"/>
        <v>665.48</v>
      </c>
      <c r="Z52" s="21">
        <f t="shared" si="1"/>
        <v>321.89999999999998</v>
      </c>
      <c r="AA52" s="21">
        <f t="shared" si="2"/>
        <v>987.38</v>
      </c>
      <c r="AB52" s="21">
        <f>SUM(AA48:AA52)</f>
        <v>1063.8900000000001</v>
      </c>
    </row>
    <row r="53" spans="1:28" ht="57" x14ac:dyDescent="0.25">
      <c r="A53" s="1" t="s">
        <v>45</v>
      </c>
      <c r="B53" s="1" t="s">
        <v>46</v>
      </c>
      <c r="C53" s="1" t="s">
        <v>45</v>
      </c>
      <c r="D53" s="4" t="s">
        <v>45</v>
      </c>
      <c r="E53" s="4" t="s">
        <v>14</v>
      </c>
      <c r="F53" s="4" t="s">
        <v>15</v>
      </c>
      <c r="G53" s="4" t="s">
        <v>16</v>
      </c>
      <c r="H53" s="8">
        <v>24450</v>
      </c>
      <c r="I53" s="5">
        <v>2</v>
      </c>
      <c r="J53" s="5">
        <v>201</v>
      </c>
      <c r="K53" s="4" t="s">
        <v>25</v>
      </c>
      <c r="L53" s="8">
        <v>201</v>
      </c>
      <c r="M53" s="4">
        <v>17099602</v>
      </c>
      <c r="N53" s="4" t="s">
        <v>47</v>
      </c>
      <c r="O53" s="4" t="s">
        <v>48</v>
      </c>
      <c r="P53" s="4" t="s">
        <v>29</v>
      </c>
      <c r="Q53" s="6">
        <v>1809</v>
      </c>
      <c r="R53" s="6">
        <v>0</v>
      </c>
      <c r="S53" s="4">
        <v>2.6200000000000001E-2</v>
      </c>
      <c r="T53" s="4">
        <v>0.11799999999999999</v>
      </c>
      <c r="U53" s="4">
        <v>0</v>
      </c>
      <c r="V53" s="4">
        <v>1809</v>
      </c>
      <c r="W53" s="4">
        <v>0</v>
      </c>
      <c r="X53" s="4">
        <v>0</v>
      </c>
      <c r="Y53" s="21">
        <f t="shared" si="0"/>
        <v>47.4</v>
      </c>
      <c r="Z53" s="21">
        <f t="shared" si="1"/>
        <v>0</v>
      </c>
      <c r="AA53" s="21">
        <f t="shared" si="2"/>
        <v>47.4</v>
      </c>
      <c r="AB53" s="21"/>
    </row>
    <row r="54" spans="1:28" ht="57" x14ac:dyDescent="0.25">
      <c r="A54" s="1" t="s">
        <v>45</v>
      </c>
      <c r="B54" s="1" t="s">
        <v>46</v>
      </c>
      <c r="C54" s="1" t="s">
        <v>45</v>
      </c>
      <c r="D54" s="4" t="s">
        <v>45</v>
      </c>
      <c r="E54" s="4" t="s">
        <v>14</v>
      </c>
      <c r="F54" s="4" t="s">
        <v>15</v>
      </c>
      <c r="G54" s="4" t="s">
        <v>16</v>
      </c>
      <c r="H54" s="8">
        <v>24450</v>
      </c>
      <c r="I54" s="5">
        <v>1</v>
      </c>
      <c r="J54" s="5">
        <v>201</v>
      </c>
      <c r="K54" s="4" t="s">
        <v>18</v>
      </c>
      <c r="L54" s="4" t="s">
        <v>17</v>
      </c>
      <c r="M54" s="4">
        <v>17099534</v>
      </c>
      <c r="N54" s="4" t="s">
        <v>157</v>
      </c>
      <c r="O54" s="4" t="s">
        <v>158</v>
      </c>
      <c r="P54" s="4" t="s">
        <v>709</v>
      </c>
      <c r="Q54" s="6">
        <v>4600</v>
      </c>
      <c r="R54" s="6">
        <v>3789</v>
      </c>
      <c r="S54" s="4">
        <v>2.07E-2</v>
      </c>
      <c r="T54" s="4">
        <v>8.6999999999999994E-2</v>
      </c>
      <c r="U54" s="4">
        <v>0</v>
      </c>
      <c r="V54" s="4">
        <v>4600</v>
      </c>
      <c r="W54" s="4">
        <v>0</v>
      </c>
      <c r="X54" s="4">
        <v>3789</v>
      </c>
      <c r="Y54" s="21">
        <f t="shared" si="0"/>
        <v>95.22</v>
      </c>
      <c r="Z54" s="21">
        <f t="shared" si="1"/>
        <v>329.64</v>
      </c>
      <c r="AA54" s="21">
        <f t="shared" si="2"/>
        <v>424.86</v>
      </c>
      <c r="AB54" s="21"/>
    </row>
    <row r="55" spans="1:28" ht="57" x14ac:dyDescent="0.25">
      <c r="A55" s="1" t="s">
        <v>45</v>
      </c>
      <c r="B55" s="1" t="s">
        <v>46</v>
      </c>
      <c r="C55" s="1" t="s">
        <v>45</v>
      </c>
      <c r="D55" s="4" t="s">
        <v>45</v>
      </c>
      <c r="E55" s="4" t="s">
        <v>14</v>
      </c>
      <c r="F55" s="4" t="s">
        <v>15</v>
      </c>
      <c r="G55" s="4" t="s">
        <v>16</v>
      </c>
      <c r="H55" s="8">
        <v>24450</v>
      </c>
      <c r="I55" s="5">
        <v>2</v>
      </c>
      <c r="J55" s="5">
        <v>201</v>
      </c>
      <c r="K55" s="4" t="s">
        <v>25</v>
      </c>
      <c r="L55" s="4" t="s">
        <v>422</v>
      </c>
      <c r="M55" s="4">
        <v>17099694</v>
      </c>
      <c r="N55" s="4" t="s">
        <v>423</v>
      </c>
      <c r="O55" s="4" t="s">
        <v>424</v>
      </c>
      <c r="P55" s="4" t="s">
        <v>29</v>
      </c>
      <c r="Q55" s="6">
        <v>49</v>
      </c>
      <c r="R55" s="6">
        <v>0</v>
      </c>
      <c r="S55" s="4">
        <v>2.6200000000000001E-2</v>
      </c>
      <c r="T55" s="4">
        <v>0.11799999999999999</v>
      </c>
      <c r="U55" s="4">
        <v>0</v>
      </c>
      <c r="V55" s="4">
        <v>49</v>
      </c>
      <c r="W55" s="4">
        <v>0</v>
      </c>
      <c r="X55" s="4">
        <v>0</v>
      </c>
      <c r="Y55" s="21">
        <f t="shared" si="0"/>
        <v>1.28</v>
      </c>
      <c r="Z55" s="21">
        <f t="shared" si="1"/>
        <v>0</v>
      </c>
      <c r="AA55" s="21">
        <f t="shared" si="2"/>
        <v>1.28</v>
      </c>
      <c r="AB55" s="21">
        <f>SUM(AA53:AA55)</f>
        <v>473.53999999999996</v>
      </c>
    </row>
    <row r="56" spans="1:28" ht="42.75" x14ac:dyDescent="0.25">
      <c r="A56" s="1" t="s">
        <v>273</v>
      </c>
      <c r="B56" s="1" t="s">
        <v>272</v>
      </c>
      <c r="C56" s="1" t="s">
        <v>650</v>
      </c>
      <c r="D56" s="4" t="s">
        <v>268</v>
      </c>
      <c r="E56" s="4" t="s">
        <v>14</v>
      </c>
      <c r="F56" s="4" t="s">
        <v>15</v>
      </c>
      <c r="G56" s="4" t="s">
        <v>16</v>
      </c>
      <c r="H56" s="8">
        <v>24450</v>
      </c>
      <c r="I56" s="5">
        <v>2</v>
      </c>
      <c r="J56" s="5">
        <v>202</v>
      </c>
      <c r="K56" s="4" t="s">
        <v>84</v>
      </c>
      <c r="L56" s="8">
        <v>1</v>
      </c>
      <c r="M56" s="4">
        <v>17099532</v>
      </c>
      <c r="N56" s="4" t="s">
        <v>274</v>
      </c>
      <c r="O56" s="4" t="s">
        <v>275</v>
      </c>
      <c r="P56" s="4" t="s">
        <v>29</v>
      </c>
      <c r="Q56" s="6">
        <v>2710</v>
      </c>
      <c r="R56" s="6">
        <v>0</v>
      </c>
      <c r="S56" s="4">
        <v>2.6200000000000001E-2</v>
      </c>
      <c r="T56" s="4">
        <v>0.11799999999999999</v>
      </c>
      <c r="U56" s="4">
        <v>0</v>
      </c>
      <c r="V56" s="4">
        <v>2710</v>
      </c>
      <c r="W56" s="4">
        <v>0</v>
      </c>
      <c r="X56" s="4">
        <v>0</v>
      </c>
      <c r="Y56" s="21">
        <f t="shared" si="0"/>
        <v>71</v>
      </c>
      <c r="Z56" s="21">
        <f t="shared" si="1"/>
        <v>0</v>
      </c>
      <c r="AA56" s="21">
        <f t="shared" si="2"/>
        <v>71</v>
      </c>
      <c r="AB56" s="21">
        <f>Table14[[#This Row],[Device Total Click Charge]]</f>
        <v>71</v>
      </c>
    </row>
    <row r="57" spans="1:28" ht="42.75" x14ac:dyDescent="0.25">
      <c r="A57" s="1" t="s">
        <v>200</v>
      </c>
      <c r="B57" s="1" t="s">
        <v>199</v>
      </c>
      <c r="C57" s="1" t="s">
        <v>200</v>
      </c>
      <c r="D57" s="4" t="s">
        <v>125</v>
      </c>
      <c r="E57" s="4" t="s">
        <v>14</v>
      </c>
      <c r="F57" s="4" t="s">
        <v>15</v>
      </c>
      <c r="G57" s="4" t="s">
        <v>16</v>
      </c>
      <c r="H57" s="8">
        <v>24450</v>
      </c>
      <c r="I57" s="5">
        <v>4</v>
      </c>
      <c r="J57" s="5" t="s">
        <v>198</v>
      </c>
      <c r="K57" s="4" t="s">
        <v>25</v>
      </c>
      <c r="L57" s="4" t="s">
        <v>201</v>
      </c>
      <c r="M57" s="4">
        <v>17099616</v>
      </c>
      <c r="N57" s="4" t="s">
        <v>202</v>
      </c>
      <c r="O57" s="4" t="s">
        <v>203</v>
      </c>
      <c r="P57" s="4" t="s">
        <v>29</v>
      </c>
      <c r="Q57" s="6">
        <v>1848</v>
      </c>
      <c r="R57" s="6">
        <v>0</v>
      </c>
      <c r="S57" s="4">
        <v>2.6200000000000001E-2</v>
      </c>
      <c r="T57" s="4">
        <v>0.11799999999999999</v>
      </c>
      <c r="U57" s="4">
        <v>0</v>
      </c>
      <c r="V57" s="4">
        <v>1848</v>
      </c>
      <c r="W57" s="4">
        <v>0</v>
      </c>
      <c r="X57" s="4">
        <v>0</v>
      </c>
      <c r="Y57" s="21">
        <f t="shared" si="0"/>
        <v>48.42</v>
      </c>
      <c r="Z57" s="21">
        <f t="shared" si="1"/>
        <v>0</v>
      </c>
      <c r="AA57" s="21">
        <f t="shared" si="2"/>
        <v>48.42</v>
      </c>
      <c r="AB57" s="21"/>
    </row>
    <row r="58" spans="1:28" ht="42.75" x14ac:dyDescent="0.25">
      <c r="A58" s="1" t="s">
        <v>200</v>
      </c>
      <c r="B58" s="1" t="s">
        <v>199</v>
      </c>
      <c r="C58" s="1" t="s">
        <v>200</v>
      </c>
      <c r="D58" s="4" t="s">
        <v>125</v>
      </c>
      <c r="E58" s="4" t="s">
        <v>14</v>
      </c>
      <c r="F58" s="4" t="s">
        <v>15</v>
      </c>
      <c r="G58" s="4" t="s">
        <v>16</v>
      </c>
      <c r="H58" s="8">
        <v>24450</v>
      </c>
      <c r="I58" s="5">
        <v>3</v>
      </c>
      <c r="J58" s="5" t="s">
        <v>449</v>
      </c>
      <c r="K58" s="4" t="s">
        <v>31</v>
      </c>
      <c r="L58" s="8">
        <v>203</v>
      </c>
      <c r="M58" s="4">
        <v>17099462</v>
      </c>
      <c r="N58" s="4" t="s">
        <v>450</v>
      </c>
      <c r="O58" s="4" t="s">
        <v>451</v>
      </c>
      <c r="P58" s="4" t="s">
        <v>709</v>
      </c>
      <c r="Q58" s="6">
        <v>15902</v>
      </c>
      <c r="R58" s="6">
        <v>93</v>
      </c>
      <c r="S58" s="4">
        <v>2.07E-2</v>
      </c>
      <c r="T58" s="4">
        <v>8.6999999999999994E-2</v>
      </c>
      <c r="U58" s="4">
        <v>0</v>
      </c>
      <c r="V58" s="4">
        <v>15902</v>
      </c>
      <c r="W58" s="4">
        <v>0</v>
      </c>
      <c r="X58" s="4">
        <v>93</v>
      </c>
      <c r="Y58" s="21">
        <f t="shared" si="0"/>
        <v>329.17</v>
      </c>
      <c r="Z58" s="21">
        <f t="shared" si="1"/>
        <v>8.09</v>
      </c>
      <c r="AA58" s="21">
        <f t="shared" si="2"/>
        <v>337.26</v>
      </c>
      <c r="AB58" s="21"/>
    </row>
    <row r="59" spans="1:28" ht="42.75" x14ac:dyDescent="0.25">
      <c r="A59" s="1" t="s">
        <v>200</v>
      </c>
      <c r="B59" s="1" t="s">
        <v>199</v>
      </c>
      <c r="C59" s="1" t="s">
        <v>200</v>
      </c>
      <c r="D59" s="4" t="s">
        <v>125</v>
      </c>
      <c r="E59" s="4" t="s">
        <v>14</v>
      </c>
      <c r="F59" s="4" t="s">
        <v>15</v>
      </c>
      <c r="G59" s="4" t="s">
        <v>16</v>
      </c>
      <c r="H59" s="8">
        <v>24450</v>
      </c>
      <c r="I59" s="5">
        <v>3</v>
      </c>
      <c r="J59" s="5">
        <v>303</v>
      </c>
      <c r="K59" s="4" t="s">
        <v>25</v>
      </c>
      <c r="L59" s="8">
        <v>203</v>
      </c>
      <c r="M59" s="4">
        <v>17099615</v>
      </c>
      <c r="N59" s="4" t="s">
        <v>510</v>
      </c>
      <c r="O59" s="4" t="s">
        <v>511</v>
      </c>
      <c r="P59" s="4" t="s">
        <v>29</v>
      </c>
      <c r="Q59" s="6">
        <v>2620</v>
      </c>
      <c r="R59" s="6">
        <v>0</v>
      </c>
      <c r="S59" s="4">
        <v>2.6200000000000001E-2</v>
      </c>
      <c r="T59" s="4">
        <v>0.11799999999999999</v>
      </c>
      <c r="U59" s="4">
        <v>0</v>
      </c>
      <c r="V59" s="4">
        <v>2620</v>
      </c>
      <c r="W59" s="4">
        <v>0</v>
      </c>
      <c r="X59" s="4">
        <v>0</v>
      </c>
      <c r="Y59" s="21">
        <f t="shared" si="0"/>
        <v>68.64</v>
      </c>
      <c r="Z59" s="21">
        <f t="shared" si="1"/>
        <v>0</v>
      </c>
      <c r="AA59" s="21">
        <f t="shared" si="2"/>
        <v>68.64</v>
      </c>
      <c r="AB59" s="21">
        <f>SUM(AA57:AA59)</f>
        <v>454.32</v>
      </c>
    </row>
    <row r="60" spans="1:28" ht="42.75" x14ac:dyDescent="0.25">
      <c r="A60" s="1" t="s">
        <v>697</v>
      </c>
      <c r="B60" s="1" t="s">
        <v>242</v>
      </c>
      <c r="C60" s="1" t="s">
        <v>627</v>
      </c>
      <c r="D60" s="4" t="s">
        <v>93</v>
      </c>
      <c r="E60" s="4" t="s">
        <v>14</v>
      </c>
      <c r="F60" s="4" t="s">
        <v>15</v>
      </c>
      <c r="G60" s="4" t="s">
        <v>16</v>
      </c>
      <c r="H60" s="8">
        <v>24450</v>
      </c>
      <c r="I60" s="5">
        <v>6</v>
      </c>
      <c r="J60" s="5">
        <v>609</v>
      </c>
      <c r="K60" s="4" t="s">
        <v>162</v>
      </c>
      <c r="L60" s="8">
        <v>343</v>
      </c>
      <c r="M60" s="4">
        <v>17099782</v>
      </c>
      <c r="N60" s="4" t="s">
        <v>243</v>
      </c>
      <c r="O60" s="4" t="s">
        <v>244</v>
      </c>
      <c r="P60" s="4" t="s">
        <v>709</v>
      </c>
      <c r="Q60" s="6">
        <v>58198</v>
      </c>
      <c r="R60" s="6">
        <v>18058</v>
      </c>
      <c r="S60" s="4">
        <v>2.07E-2</v>
      </c>
      <c r="T60" s="4">
        <v>8.6999999999999994E-2</v>
      </c>
      <c r="U60" s="4">
        <v>0</v>
      </c>
      <c r="V60" s="4">
        <v>58198</v>
      </c>
      <c r="W60" s="4">
        <v>0</v>
      </c>
      <c r="X60" s="4">
        <v>18058</v>
      </c>
      <c r="Y60" s="21">
        <f t="shared" si="0"/>
        <v>1204.7</v>
      </c>
      <c r="Z60" s="21">
        <f t="shared" si="1"/>
        <v>1571.05</v>
      </c>
      <c r="AA60" s="21">
        <f t="shared" si="2"/>
        <v>2775.75</v>
      </c>
      <c r="AB60" s="21"/>
    </row>
    <row r="61" spans="1:28" ht="42.75" x14ac:dyDescent="0.25">
      <c r="A61" s="1" t="s">
        <v>697</v>
      </c>
      <c r="B61" s="1" t="s">
        <v>242</v>
      </c>
      <c r="C61" s="1" t="s">
        <v>627</v>
      </c>
      <c r="D61" s="4" t="s">
        <v>93</v>
      </c>
      <c r="E61" s="4" t="s">
        <v>14</v>
      </c>
      <c r="F61" s="4" t="s">
        <v>15</v>
      </c>
      <c r="G61" s="4" t="s">
        <v>16</v>
      </c>
      <c r="H61" s="8">
        <v>24450</v>
      </c>
      <c r="I61" s="5">
        <v>6</v>
      </c>
      <c r="J61" s="5">
        <v>609</v>
      </c>
      <c r="K61" s="4" t="s">
        <v>25</v>
      </c>
      <c r="L61" s="8">
        <v>410</v>
      </c>
      <c r="M61" s="4">
        <v>17099621</v>
      </c>
      <c r="N61" s="4" t="s">
        <v>524</v>
      </c>
      <c r="O61" s="4" t="s">
        <v>525</v>
      </c>
      <c r="P61" s="4" t="s">
        <v>29</v>
      </c>
      <c r="Q61" s="6">
        <v>99</v>
      </c>
      <c r="R61" s="6">
        <v>0</v>
      </c>
      <c r="S61" s="4">
        <v>2.6200000000000001E-2</v>
      </c>
      <c r="T61" s="4">
        <v>0.11799999999999999</v>
      </c>
      <c r="U61" s="4">
        <v>0</v>
      </c>
      <c r="V61" s="4">
        <v>99</v>
      </c>
      <c r="W61" s="4">
        <v>0</v>
      </c>
      <c r="X61" s="4">
        <v>0</v>
      </c>
      <c r="Y61" s="21">
        <f t="shared" si="0"/>
        <v>2.59</v>
      </c>
      <c r="Z61" s="21">
        <f t="shared" si="1"/>
        <v>0</v>
      </c>
      <c r="AA61" s="21">
        <f t="shared" si="2"/>
        <v>2.59</v>
      </c>
      <c r="AB61" s="21"/>
    </row>
    <row r="62" spans="1:28" ht="42.75" x14ac:dyDescent="0.25">
      <c r="A62" s="1" t="s">
        <v>697</v>
      </c>
      <c r="B62" s="1" t="s">
        <v>242</v>
      </c>
      <c r="C62" s="1" t="s">
        <v>627</v>
      </c>
      <c r="D62" s="4" t="s">
        <v>93</v>
      </c>
      <c r="E62" s="4" t="s">
        <v>14</v>
      </c>
      <c r="F62" s="4" t="s">
        <v>15</v>
      </c>
      <c r="G62" s="4" t="s">
        <v>16</v>
      </c>
      <c r="H62" s="8">
        <v>24450</v>
      </c>
      <c r="I62" s="5">
        <v>4</v>
      </c>
      <c r="J62" s="5">
        <v>410</v>
      </c>
      <c r="K62" s="4" t="s">
        <v>25</v>
      </c>
      <c r="L62" s="8">
        <v>426</v>
      </c>
      <c r="M62" s="4">
        <v>17099752</v>
      </c>
      <c r="N62" s="4" t="s">
        <v>532</v>
      </c>
      <c r="O62" s="4" t="s">
        <v>533</v>
      </c>
      <c r="P62" s="4" t="s">
        <v>29</v>
      </c>
      <c r="Q62" s="6">
        <v>296</v>
      </c>
      <c r="R62" s="6">
        <v>0</v>
      </c>
      <c r="S62" s="4">
        <v>2.6200000000000001E-2</v>
      </c>
      <c r="T62" s="4">
        <v>0.11799999999999999</v>
      </c>
      <c r="U62" s="4">
        <v>0</v>
      </c>
      <c r="V62" s="4">
        <v>296</v>
      </c>
      <c r="W62" s="4">
        <v>0</v>
      </c>
      <c r="X62" s="4">
        <v>0</v>
      </c>
      <c r="Y62" s="21">
        <f t="shared" si="0"/>
        <v>7.76</v>
      </c>
      <c r="Z62" s="21">
        <f t="shared" si="1"/>
        <v>0</v>
      </c>
      <c r="AA62" s="21">
        <f t="shared" si="2"/>
        <v>7.76</v>
      </c>
      <c r="AB62" s="21"/>
    </row>
    <row r="63" spans="1:28" ht="42.75" x14ac:dyDescent="0.25">
      <c r="A63" s="1" t="s">
        <v>697</v>
      </c>
      <c r="B63" s="1" t="s">
        <v>242</v>
      </c>
      <c r="C63" s="1" t="s">
        <v>627</v>
      </c>
      <c r="D63" s="4" t="s">
        <v>93</v>
      </c>
      <c r="E63" s="4" t="s">
        <v>14</v>
      </c>
      <c r="F63" s="4" t="s">
        <v>15</v>
      </c>
      <c r="G63" s="4" t="s">
        <v>16</v>
      </c>
      <c r="H63" s="8">
        <v>24450</v>
      </c>
      <c r="I63" s="5">
        <v>4</v>
      </c>
      <c r="J63" s="5" t="s">
        <v>315</v>
      </c>
      <c r="K63" s="4" t="s">
        <v>117</v>
      </c>
      <c r="L63" s="8">
        <v>509</v>
      </c>
      <c r="M63" s="4">
        <v>17099740</v>
      </c>
      <c r="N63" s="4" t="s">
        <v>317</v>
      </c>
      <c r="O63" s="4" t="s">
        <v>318</v>
      </c>
      <c r="P63" s="4" t="s">
        <v>29</v>
      </c>
      <c r="Q63" s="6">
        <v>202</v>
      </c>
      <c r="R63" s="6">
        <v>18</v>
      </c>
      <c r="S63" s="4">
        <v>2.6200000000000001E-2</v>
      </c>
      <c r="T63" s="4">
        <v>0.11799999999999999</v>
      </c>
      <c r="U63" s="4">
        <v>0</v>
      </c>
      <c r="V63" s="4">
        <v>202</v>
      </c>
      <c r="W63" s="4">
        <v>0</v>
      </c>
      <c r="X63" s="4">
        <v>18</v>
      </c>
      <c r="Y63" s="21">
        <f t="shared" si="0"/>
        <v>5.29</v>
      </c>
      <c r="Z63" s="21">
        <f t="shared" si="1"/>
        <v>2.12</v>
      </c>
      <c r="AA63" s="21">
        <f t="shared" si="2"/>
        <v>7.41</v>
      </c>
      <c r="AB63" s="21"/>
    </row>
    <row r="64" spans="1:28" ht="42.75" x14ac:dyDescent="0.25">
      <c r="A64" s="1" t="s">
        <v>697</v>
      </c>
      <c r="B64" s="1" t="s">
        <v>41</v>
      </c>
      <c r="C64" s="1" t="s">
        <v>645</v>
      </c>
      <c r="D64" s="4" t="s">
        <v>93</v>
      </c>
      <c r="E64" s="4" t="s">
        <v>14</v>
      </c>
      <c r="F64" s="4" t="s">
        <v>15</v>
      </c>
      <c r="G64" s="4" t="s">
        <v>16</v>
      </c>
      <c r="H64" s="8">
        <v>24450</v>
      </c>
      <c r="I64" s="5">
        <v>6</v>
      </c>
      <c r="J64" s="5">
        <v>601</v>
      </c>
      <c r="K64" s="4" t="s">
        <v>25</v>
      </c>
      <c r="L64" s="8">
        <v>407</v>
      </c>
      <c r="M64" s="4">
        <v>17099768</v>
      </c>
      <c r="N64" s="4" t="s">
        <v>394</v>
      </c>
      <c r="O64" s="4" t="s">
        <v>395</v>
      </c>
      <c r="P64" s="4" t="s">
        <v>29</v>
      </c>
      <c r="Q64" s="6">
        <v>32415</v>
      </c>
      <c r="R64" s="6">
        <v>0</v>
      </c>
      <c r="S64" s="4">
        <v>2.6200000000000001E-2</v>
      </c>
      <c r="T64" s="4">
        <v>0.11799999999999999</v>
      </c>
      <c r="U64" s="4">
        <v>0</v>
      </c>
      <c r="V64" s="4">
        <v>32415</v>
      </c>
      <c r="W64" s="4">
        <v>0</v>
      </c>
      <c r="X64" s="4">
        <v>0</v>
      </c>
      <c r="Y64" s="21">
        <f t="shared" si="0"/>
        <v>849.27</v>
      </c>
      <c r="Z64" s="21">
        <f t="shared" si="1"/>
        <v>0</v>
      </c>
      <c r="AA64" s="21">
        <f t="shared" si="2"/>
        <v>849.27</v>
      </c>
      <c r="AB64" s="21">
        <f>SUM(AA60:AA64)</f>
        <v>3642.78</v>
      </c>
    </row>
    <row r="65" spans="1:28" ht="42.75" x14ac:dyDescent="0.25">
      <c r="A65" s="1" t="s">
        <v>703</v>
      </c>
      <c r="B65" s="1" t="s">
        <v>98</v>
      </c>
      <c r="C65" s="1" t="s">
        <v>651</v>
      </c>
      <c r="D65" s="4" t="s">
        <v>113</v>
      </c>
      <c r="E65" s="4" t="s">
        <v>14</v>
      </c>
      <c r="F65" s="4" t="s">
        <v>15</v>
      </c>
      <c r="G65" s="4" t="s">
        <v>16</v>
      </c>
      <c r="H65" s="8">
        <v>24450</v>
      </c>
      <c r="I65" s="5">
        <v>1</v>
      </c>
      <c r="J65" s="5">
        <v>131</v>
      </c>
      <c r="K65" s="4" t="s">
        <v>25</v>
      </c>
      <c r="L65" s="8">
        <v>123</v>
      </c>
      <c r="M65" s="4">
        <v>17099704</v>
      </c>
      <c r="N65" s="4" t="s">
        <v>114</v>
      </c>
      <c r="O65" s="4" t="s">
        <v>115</v>
      </c>
      <c r="P65" s="4" t="s">
        <v>29</v>
      </c>
      <c r="Q65" s="6">
        <v>0</v>
      </c>
      <c r="R65" s="6">
        <v>0</v>
      </c>
      <c r="S65" s="4">
        <v>2.6200000000000001E-2</v>
      </c>
      <c r="T65" s="4">
        <v>0.11799999999999999</v>
      </c>
      <c r="U65" s="4">
        <v>0</v>
      </c>
      <c r="V65" s="4">
        <v>0</v>
      </c>
      <c r="W65" s="4">
        <v>0</v>
      </c>
      <c r="X65" s="4">
        <v>0</v>
      </c>
      <c r="Y65" s="21">
        <f t="shared" si="0"/>
        <v>0</v>
      </c>
      <c r="Z65" s="21">
        <f t="shared" si="1"/>
        <v>0</v>
      </c>
      <c r="AA65" s="21">
        <f t="shared" si="2"/>
        <v>0</v>
      </c>
      <c r="AB65" s="21"/>
    </row>
    <row r="66" spans="1:28" ht="42.75" x14ac:dyDescent="0.25">
      <c r="A66" s="1" t="s">
        <v>703</v>
      </c>
      <c r="B66" s="1" t="s">
        <v>98</v>
      </c>
      <c r="C66" s="1" t="s">
        <v>651</v>
      </c>
      <c r="D66" s="4" t="s">
        <v>113</v>
      </c>
      <c r="E66" s="4" t="s">
        <v>14</v>
      </c>
      <c r="F66" s="4" t="s">
        <v>15</v>
      </c>
      <c r="G66" s="4" t="s">
        <v>16</v>
      </c>
      <c r="H66" s="8">
        <v>24450</v>
      </c>
      <c r="I66" s="5">
        <v>1</v>
      </c>
      <c r="J66" s="5" t="s">
        <v>119</v>
      </c>
      <c r="K66" s="4" t="s">
        <v>25</v>
      </c>
      <c r="L66" s="8">
        <v>131</v>
      </c>
      <c r="M66" s="4">
        <v>17099703</v>
      </c>
      <c r="N66" s="4" t="s">
        <v>291</v>
      </c>
      <c r="O66" s="4" t="s">
        <v>292</v>
      </c>
      <c r="P66" s="4" t="s">
        <v>29</v>
      </c>
      <c r="Q66" s="6">
        <v>2883</v>
      </c>
      <c r="R66" s="6">
        <v>0</v>
      </c>
      <c r="S66" s="4">
        <v>2.6200000000000001E-2</v>
      </c>
      <c r="T66" s="4">
        <v>0.11799999999999999</v>
      </c>
      <c r="U66" s="4">
        <v>0</v>
      </c>
      <c r="V66" s="4">
        <v>2883</v>
      </c>
      <c r="W66" s="4">
        <v>0</v>
      </c>
      <c r="X66" s="4">
        <v>0</v>
      </c>
      <c r="Y66" s="21">
        <f t="shared" ref="Y66:Y129" si="3">ROUND((Q66*S66),2)</f>
        <v>75.53</v>
      </c>
      <c r="Z66" s="21">
        <f t="shared" ref="Z66:Z129" si="4">ROUND((R66*T66),2)</f>
        <v>0</v>
      </c>
      <c r="AA66" s="21">
        <f t="shared" ref="AA66:AA129" si="5">Y66+Z66</f>
        <v>75.53</v>
      </c>
      <c r="AB66" s="21"/>
    </row>
    <row r="67" spans="1:28" ht="42.75" x14ac:dyDescent="0.25">
      <c r="A67" s="1" t="s">
        <v>703</v>
      </c>
      <c r="B67" s="1" t="s">
        <v>98</v>
      </c>
      <c r="C67" s="1" t="s">
        <v>651</v>
      </c>
      <c r="D67" s="4" t="s">
        <v>113</v>
      </c>
      <c r="E67" s="4" t="s">
        <v>14</v>
      </c>
      <c r="F67" s="4" t="s">
        <v>15</v>
      </c>
      <c r="G67" s="4" t="s">
        <v>16</v>
      </c>
      <c r="H67" s="8">
        <v>24450</v>
      </c>
      <c r="I67" s="5">
        <v>1</v>
      </c>
      <c r="J67" s="5">
        <v>1</v>
      </c>
      <c r="K67" s="4" t="s">
        <v>162</v>
      </c>
      <c r="L67" s="4" t="s">
        <v>116</v>
      </c>
      <c r="M67" s="4">
        <v>17099497</v>
      </c>
      <c r="N67" s="4" t="s">
        <v>313</v>
      </c>
      <c r="O67" s="4" t="s">
        <v>314</v>
      </c>
      <c r="P67" s="4" t="s">
        <v>709</v>
      </c>
      <c r="Q67" s="6">
        <v>11116</v>
      </c>
      <c r="R67" s="6">
        <v>1301</v>
      </c>
      <c r="S67" s="4">
        <v>2.07E-2</v>
      </c>
      <c r="T67" s="4">
        <v>8.6999999999999994E-2</v>
      </c>
      <c r="U67" s="4">
        <v>0</v>
      </c>
      <c r="V67" s="4">
        <v>11116</v>
      </c>
      <c r="W67" s="4">
        <v>0</v>
      </c>
      <c r="X67" s="4">
        <v>1301</v>
      </c>
      <c r="Y67" s="21">
        <f t="shared" si="3"/>
        <v>230.1</v>
      </c>
      <c r="Z67" s="21">
        <f t="shared" si="4"/>
        <v>113.19</v>
      </c>
      <c r="AA67" s="21">
        <f t="shared" si="5"/>
        <v>343.28999999999996</v>
      </c>
      <c r="AB67" s="21">
        <f>SUM(AA65:AA67)</f>
        <v>418.81999999999994</v>
      </c>
    </row>
    <row r="68" spans="1:28" ht="42.75" x14ac:dyDescent="0.25">
      <c r="A68" s="1" t="s">
        <v>606</v>
      </c>
      <c r="B68" s="1" t="s">
        <v>602</v>
      </c>
      <c r="C68" s="1" t="s">
        <v>647</v>
      </c>
      <c r="D68" s="4" t="s">
        <v>538</v>
      </c>
      <c r="E68" s="4" t="s">
        <v>14</v>
      </c>
      <c r="F68" s="4" t="s">
        <v>15</v>
      </c>
      <c r="G68" s="4" t="s">
        <v>16</v>
      </c>
      <c r="H68" s="8">
        <v>24450</v>
      </c>
      <c r="I68" s="5">
        <v>1</v>
      </c>
      <c r="J68" s="5">
        <v>101</v>
      </c>
      <c r="K68" s="4" t="s">
        <v>18</v>
      </c>
      <c r="L68" s="8">
        <v>311</v>
      </c>
      <c r="M68" s="4">
        <v>17099527</v>
      </c>
      <c r="N68" s="4" t="s">
        <v>607</v>
      </c>
      <c r="O68" s="4" t="s">
        <v>608</v>
      </c>
      <c r="P68" s="4" t="s">
        <v>709</v>
      </c>
      <c r="Q68" s="6">
        <v>527</v>
      </c>
      <c r="R68" s="6">
        <v>12</v>
      </c>
      <c r="S68" s="4">
        <v>2.07E-2</v>
      </c>
      <c r="T68" s="4">
        <v>8.6999999999999994E-2</v>
      </c>
      <c r="U68" s="4">
        <v>0</v>
      </c>
      <c r="V68" s="4">
        <v>527</v>
      </c>
      <c r="W68" s="4">
        <v>0</v>
      </c>
      <c r="X68" s="4">
        <v>12</v>
      </c>
      <c r="Y68" s="21">
        <f t="shared" si="3"/>
        <v>10.91</v>
      </c>
      <c r="Z68" s="21">
        <f t="shared" si="4"/>
        <v>1.04</v>
      </c>
      <c r="AA68" s="21">
        <f t="shared" si="5"/>
        <v>11.95</v>
      </c>
      <c r="AB68" s="21"/>
    </row>
    <row r="69" spans="1:28" ht="42.75" x14ac:dyDescent="0.25">
      <c r="A69" s="1" t="s">
        <v>603</v>
      </c>
      <c r="B69" s="1" t="s">
        <v>602</v>
      </c>
      <c r="C69" s="1" t="s">
        <v>647</v>
      </c>
      <c r="D69" s="4" t="s">
        <v>538</v>
      </c>
      <c r="E69" s="4" t="s">
        <v>14</v>
      </c>
      <c r="F69" s="4" t="s">
        <v>15</v>
      </c>
      <c r="G69" s="4" t="s">
        <v>16</v>
      </c>
      <c r="H69" s="8">
        <v>24450</v>
      </c>
      <c r="I69" s="5">
        <v>1</v>
      </c>
      <c r="J69" s="5" t="s">
        <v>569</v>
      </c>
      <c r="K69" s="4" t="s">
        <v>25</v>
      </c>
      <c r="L69" s="8">
        <v>303</v>
      </c>
      <c r="M69" s="4">
        <v>17099697</v>
      </c>
      <c r="N69" s="4" t="s">
        <v>604</v>
      </c>
      <c r="O69" s="4" t="s">
        <v>605</v>
      </c>
      <c r="P69" s="4" t="s">
        <v>29</v>
      </c>
      <c r="Q69" s="6">
        <v>246</v>
      </c>
      <c r="R69" s="6">
        <v>0</v>
      </c>
      <c r="S69" s="4">
        <v>2.6200000000000001E-2</v>
      </c>
      <c r="T69" s="4">
        <v>0.11799999999999999</v>
      </c>
      <c r="U69" s="4">
        <v>0</v>
      </c>
      <c r="V69" s="4">
        <v>246</v>
      </c>
      <c r="W69" s="4">
        <v>0</v>
      </c>
      <c r="X69" s="4">
        <v>0</v>
      </c>
      <c r="Y69" s="21">
        <f t="shared" si="3"/>
        <v>6.45</v>
      </c>
      <c r="Z69" s="21">
        <f t="shared" si="4"/>
        <v>0</v>
      </c>
      <c r="AA69" s="21">
        <f t="shared" si="5"/>
        <v>6.45</v>
      </c>
      <c r="AB69" s="21">
        <f>SUM(AA68:AA69)</f>
        <v>18.399999999999999</v>
      </c>
    </row>
    <row r="70" spans="1:28" ht="42.75" x14ac:dyDescent="0.25">
      <c r="A70" s="1" t="s">
        <v>591</v>
      </c>
      <c r="B70" s="1" t="s">
        <v>590</v>
      </c>
      <c r="C70" s="1" t="s">
        <v>641</v>
      </c>
      <c r="D70" s="4" t="s">
        <v>538</v>
      </c>
      <c r="E70" s="4" t="s">
        <v>14</v>
      </c>
      <c r="F70" s="4" t="s">
        <v>15</v>
      </c>
      <c r="G70" s="4" t="s">
        <v>16</v>
      </c>
      <c r="H70" s="8">
        <v>24450</v>
      </c>
      <c r="I70" s="5">
        <v>3</v>
      </c>
      <c r="J70" s="5">
        <v>320</v>
      </c>
      <c r="K70" s="4" t="s">
        <v>25</v>
      </c>
      <c r="L70" s="8">
        <v>301</v>
      </c>
      <c r="M70" s="4">
        <v>17099695</v>
      </c>
      <c r="N70" s="4" t="s">
        <v>592</v>
      </c>
      <c r="O70" s="4" t="s">
        <v>593</v>
      </c>
      <c r="P70" s="4" t="s">
        <v>29</v>
      </c>
      <c r="Q70" s="6">
        <v>2433</v>
      </c>
      <c r="R70" s="6">
        <v>0</v>
      </c>
      <c r="S70" s="4">
        <v>2.6200000000000001E-2</v>
      </c>
      <c r="T70" s="4">
        <v>0.11799999999999999</v>
      </c>
      <c r="U70" s="4">
        <v>0</v>
      </c>
      <c r="V70" s="4">
        <v>2433</v>
      </c>
      <c r="W70" s="4">
        <v>0</v>
      </c>
      <c r="X70" s="4">
        <v>0</v>
      </c>
      <c r="Y70" s="21">
        <f t="shared" si="3"/>
        <v>63.74</v>
      </c>
      <c r="Z70" s="21">
        <f t="shared" si="4"/>
        <v>0</v>
      </c>
      <c r="AA70" s="21">
        <f t="shared" si="5"/>
        <v>63.74</v>
      </c>
      <c r="AB70" s="21"/>
    </row>
    <row r="71" spans="1:28" ht="42.75" x14ac:dyDescent="0.25">
      <c r="A71" s="1" t="s">
        <v>591</v>
      </c>
      <c r="B71" s="1" t="s">
        <v>590</v>
      </c>
      <c r="C71" s="1" t="s">
        <v>641</v>
      </c>
      <c r="D71" s="4" t="s">
        <v>538</v>
      </c>
      <c r="E71" s="4" t="s">
        <v>14</v>
      </c>
      <c r="F71" s="4" t="s">
        <v>15</v>
      </c>
      <c r="G71" s="4" t="s">
        <v>16</v>
      </c>
      <c r="H71" s="8">
        <v>24450</v>
      </c>
      <c r="I71" s="5">
        <v>3</v>
      </c>
      <c r="J71" s="5">
        <v>311</v>
      </c>
      <c r="K71" s="4" t="s">
        <v>18</v>
      </c>
      <c r="L71" s="8">
        <v>216</v>
      </c>
      <c r="M71" s="4">
        <v>17099528</v>
      </c>
      <c r="N71" s="4" t="s">
        <v>594</v>
      </c>
      <c r="O71" s="4" t="s">
        <v>595</v>
      </c>
      <c r="P71" s="4" t="s">
        <v>709</v>
      </c>
      <c r="Q71" s="6">
        <v>10407</v>
      </c>
      <c r="R71" s="6">
        <v>68</v>
      </c>
      <c r="S71" s="4">
        <v>2.07E-2</v>
      </c>
      <c r="T71" s="4">
        <v>8.6999999999999994E-2</v>
      </c>
      <c r="U71" s="4">
        <v>0</v>
      </c>
      <c r="V71" s="4">
        <v>10407</v>
      </c>
      <c r="W71" s="4">
        <v>0</v>
      </c>
      <c r="X71" s="4">
        <v>68</v>
      </c>
      <c r="Y71" s="21">
        <f t="shared" si="3"/>
        <v>215.42</v>
      </c>
      <c r="Z71" s="21">
        <f t="shared" si="4"/>
        <v>5.92</v>
      </c>
      <c r="AA71" s="21">
        <f t="shared" si="5"/>
        <v>221.33999999999997</v>
      </c>
      <c r="AB71" s="21">
        <f>SUM(AA70:AA71)</f>
        <v>285.08</v>
      </c>
    </row>
    <row r="72" spans="1:28" ht="42.75" x14ac:dyDescent="0.25">
      <c r="A72" s="1" t="s">
        <v>539</v>
      </c>
      <c r="B72" s="1" t="s">
        <v>32</v>
      </c>
      <c r="C72" s="1" t="s">
        <v>539</v>
      </c>
      <c r="D72" s="4" t="s">
        <v>538</v>
      </c>
      <c r="E72" s="4" t="s">
        <v>14</v>
      </c>
      <c r="F72" s="4" t="s">
        <v>15</v>
      </c>
      <c r="G72" s="4" t="s">
        <v>16</v>
      </c>
      <c r="H72" s="8">
        <v>24450</v>
      </c>
      <c r="I72" s="5">
        <v>2</v>
      </c>
      <c r="J72" s="5">
        <v>213</v>
      </c>
      <c r="K72" s="4" t="s">
        <v>25</v>
      </c>
      <c r="L72" s="8">
        <v>201</v>
      </c>
      <c r="M72" s="4">
        <v>17099686</v>
      </c>
      <c r="N72" s="4" t="s">
        <v>540</v>
      </c>
      <c r="O72" s="4" t="s">
        <v>541</v>
      </c>
      <c r="P72" s="4" t="s">
        <v>29</v>
      </c>
      <c r="Q72" s="6">
        <v>347</v>
      </c>
      <c r="R72" s="6">
        <v>0</v>
      </c>
      <c r="S72" s="4">
        <v>2.6200000000000001E-2</v>
      </c>
      <c r="T72" s="4">
        <v>0.11799999999999999</v>
      </c>
      <c r="U72" s="4">
        <v>0</v>
      </c>
      <c r="V72" s="4">
        <v>347</v>
      </c>
      <c r="W72" s="4">
        <v>0</v>
      </c>
      <c r="X72" s="4">
        <v>0</v>
      </c>
      <c r="Y72" s="21">
        <f t="shared" si="3"/>
        <v>9.09</v>
      </c>
      <c r="Z72" s="21">
        <f t="shared" si="4"/>
        <v>0</v>
      </c>
      <c r="AA72" s="21">
        <f t="shared" si="5"/>
        <v>9.09</v>
      </c>
      <c r="AB72" s="21"/>
    </row>
    <row r="73" spans="1:28" ht="42.75" x14ac:dyDescent="0.25">
      <c r="A73" s="1" t="s">
        <v>539</v>
      </c>
      <c r="B73" s="1" t="s">
        <v>32</v>
      </c>
      <c r="C73" s="1" t="s">
        <v>539</v>
      </c>
      <c r="D73" s="4" t="s">
        <v>538</v>
      </c>
      <c r="E73" s="4" t="s">
        <v>14</v>
      </c>
      <c r="F73" s="4" t="s">
        <v>15</v>
      </c>
      <c r="G73" s="4" t="s">
        <v>16</v>
      </c>
      <c r="H73" s="8">
        <v>24450</v>
      </c>
      <c r="I73" s="5">
        <v>2</v>
      </c>
      <c r="J73" s="5">
        <v>212</v>
      </c>
      <c r="K73" s="4" t="s">
        <v>25</v>
      </c>
      <c r="L73" s="8">
        <v>213</v>
      </c>
      <c r="M73" s="4">
        <v>17099699</v>
      </c>
      <c r="N73" s="4" t="s">
        <v>542</v>
      </c>
      <c r="O73" s="4" t="s">
        <v>543</v>
      </c>
      <c r="P73" s="4" t="s">
        <v>29</v>
      </c>
      <c r="Q73" s="6">
        <v>71</v>
      </c>
      <c r="R73" s="6">
        <v>0</v>
      </c>
      <c r="S73" s="4">
        <v>2.6200000000000001E-2</v>
      </c>
      <c r="T73" s="4">
        <v>0.11799999999999999</v>
      </c>
      <c r="U73" s="4">
        <v>0</v>
      </c>
      <c r="V73" s="4">
        <v>71</v>
      </c>
      <c r="W73" s="4">
        <v>0</v>
      </c>
      <c r="X73" s="4">
        <v>0</v>
      </c>
      <c r="Y73" s="21">
        <f t="shared" si="3"/>
        <v>1.86</v>
      </c>
      <c r="Z73" s="21">
        <f t="shared" si="4"/>
        <v>0</v>
      </c>
      <c r="AA73" s="21">
        <f t="shared" si="5"/>
        <v>1.86</v>
      </c>
      <c r="AB73" s="21"/>
    </row>
    <row r="74" spans="1:28" ht="42.75" x14ac:dyDescent="0.25">
      <c r="A74" s="1" t="s">
        <v>539</v>
      </c>
      <c r="B74" s="1" t="s">
        <v>32</v>
      </c>
      <c r="C74" s="1" t="s">
        <v>539</v>
      </c>
      <c r="D74" s="4" t="s">
        <v>538</v>
      </c>
      <c r="E74" s="4" t="s">
        <v>14</v>
      </c>
      <c r="F74" s="4" t="s">
        <v>15</v>
      </c>
      <c r="G74" s="4" t="s">
        <v>16</v>
      </c>
      <c r="H74" s="8">
        <v>24450</v>
      </c>
      <c r="I74" s="5">
        <v>2</v>
      </c>
      <c r="J74" s="5">
        <v>217</v>
      </c>
      <c r="K74" s="4" t="s">
        <v>117</v>
      </c>
      <c r="L74" s="8">
        <v>305</v>
      </c>
      <c r="M74" s="4">
        <v>17099451</v>
      </c>
      <c r="N74" s="4" t="s">
        <v>546</v>
      </c>
      <c r="O74" s="4" t="s">
        <v>547</v>
      </c>
      <c r="P74" s="4" t="s">
        <v>29</v>
      </c>
      <c r="Q74" s="6">
        <v>1040</v>
      </c>
      <c r="R74" s="6">
        <v>160</v>
      </c>
      <c r="S74" s="4">
        <v>2.6200000000000001E-2</v>
      </c>
      <c r="T74" s="4">
        <v>0.11799999999999999</v>
      </c>
      <c r="U74" s="4">
        <v>0</v>
      </c>
      <c r="V74" s="4">
        <v>1040</v>
      </c>
      <c r="W74" s="4">
        <v>0</v>
      </c>
      <c r="X74" s="4">
        <v>160</v>
      </c>
      <c r="Y74" s="21">
        <f t="shared" si="3"/>
        <v>27.25</v>
      </c>
      <c r="Z74" s="21">
        <f t="shared" si="4"/>
        <v>18.88</v>
      </c>
      <c r="AA74" s="21">
        <f t="shared" si="5"/>
        <v>46.129999999999995</v>
      </c>
      <c r="AB74" s="21"/>
    </row>
    <row r="75" spans="1:28" ht="42.75" x14ac:dyDescent="0.25">
      <c r="A75" s="1" t="s">
        <v>548</v>
      </c>
      <c r="B75" s="1" t="s">
        <v>32</v>
      </c>
      <c r="C75" s="1" t="s">
        <v>539</v>
      </c>
      <c r="D75" s="4" t="s">
        <v>538</v>
      </c>
      <c r="E75" s="4" t="s">
        <v>14</v>
      </c>
      <c r="F75" s="4" t="s">
        <v>15</v>
      </c>
      <c r="G75" s="4" t="s">
        <v>16</v>
      </c>
      <c r="H75" s="8">
        <v>24450</v>
      </c>
      <c r="I75" s="5">
        <v>2</v>
      </c>
      <c r="J75" s="5">
        <v>216</v>
      </c>
      <c r="K75" s="4" t="s">
        <v>18</v>
      </c>
      <c r="L75" s="4">
        <v>201</v>
      </c>
      <c r="M75" s="4">
        <v>17099499</v>
      </c>
      <c r="N75" s="4" t="s">
        <v>549</v>
      </c>
      <c r="O75" s="4" t="s">
        <v>550</v>
      </c>
      <c r="P75" s="4" t="s">
        <v>709</v>
      </c>
      <c r="Q75" s="6">
        <v>2549</v>
      </c>
      <c r="R75" s="6">
        <v>287</v>
      </c>
      <c r="S75" s="4">
        <v>2.07E-2</v>
      </c>
      <c r="T75" s="4">
        <v>8.6999999999999994E-2</v>
      </c>
      <c r="U75" s="4">
        <v>0</v>
      </c>
      <c r="V75" s="4">
        <v>2549</v>
      </c>
      <c r="W75" s="4">
        <v>0</v>
      </c>
      <c r="X75" s="4">
        <v>287</v>
      </c>
      <c r="Y75" s="21">
        <f t="shared" si="3"/>
        <v>52.76</v>
      </c>
      <c r="Z75" s="21">
        <f t="shared" si="4"/>
        <v>24.97</v>
      </c>
      <c r="AA75" s="21">
        <f t="shared" si="5"/>
        <v>77.72999999999999</v>
      </c>
      <c r="AB75" s="21">
        <f>SUM(AA72:AA75)</f>
        <v>134.81</v>
      </c>
    </row>
    <row r="76" spans="1:28" ht="42.75" x14ac:dyDescent="0.25">
      <c r="A76" s="1" t="s">
        <v>439</v>
      </c>
      <c r="B76" s="1" t="s">
        <v>221</v>
      </c>
      <c r="C76" s="1" t="s">
        <v>628</v>
      </c>
      <c r="D76" s="4" t="s">
        <v>63</v>
      </c>
      <c r="E76" s="4" t="s">
        <v>14</v>
      </c>
      <c r="F76" s="4" t="s">
        <v>15</v>
      </c>
      <c r="G76" s="4" t="s">
        <v>16</v>
      </c>
      <c r="H76" s="8">
        <v>24459</v>
      </c>
      <c r="I76" s="5">
        <v>3</v>
      </c>
      <c r="J76" s="5">
        <v>337</v>
      </c>
      <c r="K76" s="4" t="s">
        <v>162</v>
      </c>
      <c r="L76" s="8">
        <v>528</v>
      </c>
      <c r="M76" s="4">
        <v>17099456</v>
      </c>
      <c r="N76" s="4" t="s">
        <v>440</v>
      </c>
      <c r="O76" s="4" t="s">
        <v>441</v>
      </c>
      <c r="P76" s="4" t="s">
        <v>709</v>
      </c>
      <c r="Q76" s="6">
        <v>48147</v>
      </c>
      <c r="R76" s="6">
        <v>3998</v>
      </c>
      <c r="S76" s="4">
        <v>2.07E-2</v>
      </c>
      <c r="T76" s="4">
        <v>8.6999999999999994E-2</v>
      </c>
      <c r="U76" s="4">
        <v>0</v>
      </c>
      <c r="V76" s="4">
        <v>48147</v>
      </c>
      <c r="W76" s="4">
        <v>0</v>
      </c>
      <c r="X76" s="4">
        <v>3998</v>
      </c>
      <c r="Y76" s="21">
        <f t="shared" si="3"/>
        <v>996.64</v>
      </c>
      <c r="Z76" s="21">
        <f t="shared" si="4"/>
        <v>347.83</v>
      </c>
      <c r="AA76" s="21">
        <f t="shared" si="5"/>
        <v>1344.47</v>
      </c>
      <c r="AB76" s="21"/>
    </row>
    <row r="77" spans="1:28" ht="42.75" x14ac:dyDescent="0.25">
      <c r="A77" s="1" t="s">
        <v>439</v>
      </c>
      <c r="B77" s="1" t="s">
        <v>221</v>
      </c>
      <c r="C77" s="1" t="s">
        <v>628</v>
      </c>
      <c r="D77" s="4" t="s">
        <v>63</v>
      </c>
      <c r="E77" s="4" t="s">
        <v>14</v>
      </c>
      <c r="F77" s="4" t="s">
        <v>15</v>
      </c>
      <c r="G77" s="4" t="s">
        <v>16</v>
      </c>
      <c r="H77" s="8">
        <v>24459</v>
      </c>
      <c r="I77" s="5">
        <v>3</v>
      </c>
      <c r="J77" s="5">
        <v>323</v>
      </c>
      <c r="K77" s="4" t="s">
        <v>25</v>
      </c>
      <c r="L77" s="4" t="s">
        <v>17</v>
      </c>
      <c r="M77" s="4">
        <v>17099559</v>
      </c>
      <c r="N77" s="4" t="s">
        <v>222</v>
      </c>
      <c r="O77" s="4" t="s">
        <v>223</v>
      </c>
      <c r="P77" s="4" t="s">
        <v>29</v>
      </c>
      <c r="Q77" s="6">
        <v>1252</v>
      </c>
      <c r="R77" s="6">
        <v>0</v>
      </c>
      <c r="S77" s="4">
        <v>2.6200000000000001E-2</v>
      </c>
      <c r="T77" s="4">
        <v>0.11799999999999999</v>
      </c>
      <c r="U77" s="4">
        <v>0</v>
      </c>
      <c r="V77" s="4">
        <v>1252</v>
      </c>
      <c r="W77" s="4">
        <v>0</v>
      </c>
      <c r="X77" s="4">
        <v>0</v>
      </c>
      <c r="Y77" s="21">
        <f t="shared" si="3"/>
        <v>32.799999999999997</v>
      </c>
      <c r="Z77" s="21">
        <f t="shared" si="4"/>
        <v>0</v>
      </c>
      <c r="AA77" s="21">
        <f t="shared" si="5"/>
        <v>32.799999999999997</v>
      </c>
      <c r="AB77" s="21"/>
    </row>
    <row r="78" spans="1:28" ht="42.75" x14ac:dyDescent="0.25">
      <c r="A78" s="1" t="s">
        <v>439</v>
      </c>
      <c r="B78" s="1" t="s">
        <v>221</v>
      </c>
      <c r="C78" s="1" t="s">
        <v>628</v>
      </c>
      <c r="D78" s="4" t="s">
        <v>63</v>
      </c>
      <c r="E78" s="4" t="s">
        <v>14</v>
      </c>
      <c r="F78" s="4" t="s">
        <v>15</v>
      </c>
      <c r="G78" s="4" t="s">
        <v>16</v>
      </c>
      <c r="H78" s="8">
        <v>24459</v>
      </c>
      <c r="I78" s="5">
        <v>3</v>
      </c>
      <c r="J78" s="5">
        <v>320</v>
      </c>
      <c r="K78" s="4" t="s">
        <v>25</v>
      </c>
      <c r="L78" s="8">
        <v>444</v>
      </c>
      <c r="M78" s="4">
        <v>17099771</v>
      </c>
      <c r="N78" s="4" t="s">
        <v>319</v>
      </c>
      <c r="O78" s="4" t="s">
        <v>320</v>
      </c>
      <c r="P78" s="4" t="s">
        <v>29</v>
      </c>
      <c r="Q78" s="6">
        <v>27516</v>
      </c>
      <c r="R78" s="6">
        <v>0</v>
      </c>
      <c r="S78" s="4">
        <v>2.6200000000000001E-2</v>
      </c>
      <c r="T78" s="4">
        <v>0.11799999999999999</v>
      </c>
      <c r="U78" s="4">
        <v>0</v>
      </c>
      <c r="V78" s="4">
        <v>27516</v>
      </c>
      <c r="W78" s="4">
        <v>0</v>
      </c>
      <c r="X78" s="4">
        <v>0</v>
      </c>
      <c r="Y78" s="21">
        <f t="shared" si="3"/>
        <v>720.92</v>
      </c>
      <c r="Z78" s="21">
        <f t="shared" si="4"/>
        <v>0</v>
      </c>
      <c r="AA78" s="21">
        <f t="shared" si="5"/>
        <v>720.92</v>
      </c>
      <c r="AB78" s="21">
        <f>SUM(AA77:AA79)</f>
        <v>755.31999999999994</v>
      </c>
    </row>
    <row r="79" spans="1:28" ht="42.75" x14ac:dyDescent="0.25">
      <c r="A79" s="1" t="s">
        <v>698</v>
      </c>
      <c r="B79" s="1" t="s">
        <v>159</v>
      </c>
      <c r="C79" s="1" t="s">
        <v>629</v>
      </c>
      <c r="D79" s="4" t="s">
        <v>93</v>
      </c>
      <c r="E79" s="4" t="s">
        <v>14</v>
      </c>
      <c r="F79" s="4" t="s">
        <v>15</v>
      </c>
      <c r="G79" s="4" t="s">
        <v>16</v>
      </c>
      <c r="H79" s="8">
        <v>24450</v>
      </c>
      <c r="I79" s="5">
        <v>5</v>
      </c>
      <c r="J79" s="5">
        <v>509</v>
      </c>
      <c r="K79" s="4" t="s">
        <v>25</v>
      </c>
      <c r="L79" s="8">
        <v>708</v>
      </c>
      <c r="M79" s="4">
        <v>17099614</v>
      </c>
      <c r="N79" s="4" t="s">
        <v>160</v>
      </c>
      <c r="O79" s="4" t="s">
        <v>161</v>
      </c>
      <c r="P79" s="4" t="s">
        <v>29</v>
      </c>
      <c r="Q79" s="6">
        <v>61</v>
      </c>
      <c r="R79" s="6">
        <v>0</v>
      </c>
      <c r="S79" s="4">
        <v>2.6200000000000001E-2</v>
      </c>
      <c r="T79" s="4">
        <v>0.11799999999999999</v>
      </c>
      <c r="U79" s="4">
        <v>0</v>
      </c>
      <c r="V79" s="4">
        <v>61</v>
      </c>
      <c r="W79" s="4">
        <v>0</v>
      </c>
      <c r="X79" s="4">
        <v>0</v>
      </c>
      <c r="Y79" s="21">
        <f t="shared" si="3"/>
        <v>1.6</v>
      </c>
      <c r="Z79" s="21">
        <f t="shared" si="4"/>
        <v>0</v>
      </c>
      <c r="AA79" s="21">
        <f t="shared" si="5"/>
        <v>1.6</v>
      </c>
      <c r="AB79" s="21"/>
    </row>
    <row r="80" spans="1:28" ht="42.75" x14ac:dyDescent="0.25">
      <c r="A80" s="1" t="s">
        <v>698</v>
      </c>
      <c r="B80" s="1" t="s">
        <v>159</v>
      </c>
      <c r="C80" s="1" t="s">
        <v>629</v>
      </c>
      <c r="D80" s="4" t="s">
        <v>93</v>
      </c>
      <c r="E80" s="4" t="s">
        <v>14</v>
      </c>
      <c r="F80" s="4" t="s">
        <v>15</v>
      </c>
      <c r="G80" s="4" t="s">
        <v>16</v>
      </c>
      <c r="H80" s="8">
        <v>24450</v>
      </c>
      <c r="I80" s="5">
        <v>6</v>
      </c>
      <c r="J80" s="5">
        <v>605</v>
      </c>
      <c r="K80" s="4" t="s">
        <v>25</v>
      </c>
      <c r="L80" s="8">
        <v>609</v>
      </c>
      <c r="M80" s="4">
        <v>17099625</v>
      </c>
      <c r="N80" s="4" t="s">
        <v>512</v>
      </c>
      <c r="O80" s="4" t="s">
        <v>513</v>
      </c>
      <c r="P80" s="4" t="s">
        <v>29</v>
      </c>
      <c r="Q80" s="6">
        <v>86</v>
      </c>
      <c r="R80" s="6">
        <v>0</v>
      </c>
      <c r="S80" s="4">
        <v>2.6200000000000001E-2</v>
      </c>
      <c r="T80" s="4">
        <v>0.11799999999999999</v>
      </c>
      <c r="U80" s="4">
        <v>0</v>
      </c>
      <c r="V80" s="4">
        <v>86</v>
      </c>
      <c r="W80" s="4">
        <v>0</v>
      </c>
      <c r="X80" s="4">
        <v>0</v>
      </c>
      <c r="Y80" s="21">
        <f t="shared" si="3"/>
        <v>2.25</v>
      </c>
      <c r="Z80" s="21">
        <f t="shared" si="4"/>
        <v>0</v>
      </c>
      <c r="AA80" s="21">
        <f t="shared" si="5"/>
        <v>2.25</v>
      </c>
      <c r="AB80" s="21"/>
    </row>
    <row r="81" spans="1:28" ht="42.75" x14ac:dyDescent="0.25">
      <c r="A81" s="1" t="s">
        <v>698</v>
      </c>
      <c r="B81" s="1" t="s">
        <v>159</v>
      </c>
      <c r="C81" s="1" t="s">
        <v>629</v>
      </c>
      <c r="D81" s="4" t="s">
        <v>93</v>
      </c>
      <c r="E81" s="4" t="s">
        <v>14</v>
      </c>
      <c r="F81" s="4" t="s">
        <v>15</v>
      </c>
      <c r="G81" s="4" t="s">
        <v>16</v>
      </c>
      <c r="H81" s="8">
        <v>24450</v>
      </c>
      <c r="I81" s="5">
        <v>6</v>
      </c>
      <c r="J81" s="5">
        <v>620</v>
      </c>
      <c r="K81" s="4" t="s">
        <v>25</v>
      </c>
      <c r="L81" s="8">
        <v>502</v>
      </c>
      <c r="M81" s="4">
        <v>17099619</v>
      </c>
      <c r="N81" s="4" t="s">
        <v>522</v>
      </c>
      <c r="O81" s="4" t="s">
        <v>523</v>
      </c>
      <c r="P81" s="4" t="s">
        <v>29</v>
      </c>
      <c r="Q81" s="6">
        <v>313</v>
      </c>
      <c r="R81" s="6">
        <v>0</v>
      </c>
      <c r="S81" s="4">
        <v>2.6200000000000001E-2</v>
      </c>
      <c r="T81" s="4">
        <v>0.11799999999999999</v>
      </c>
      <c r="U81" s="4">
        <v>0</v>
      </c>
      <c r="V81" s="4">
        <v>313</v>
      </c>
      <c r="W81" s="4">
        <v>0</v>
      </c>
      <c r="X81" s="4">
        <v>0</v>
      </c>
      <c r="Y81" s="21">
        <f t="shared" si="3"/>
        <v>8.1999999999999993</v>
      </c>
      <c r="Z81" s="21">
        <f t="shared" si="4"/>
        <v>0</v>
      </c>
      <c r="AA81" s="21">
        <f t="shared" si="5"/>
        <v>8.1999999999999993</v>
      </c>
      <c r="AB81" s="21"/>
    </row>
    <row r="82" spans="1:28" ht="42.75" x14ac:dyDescent="0.25">
      <c r="A82" s="1" t="s">
        <v>698</v>
      </c>
      <c r="B82" s="1" t="s">
        <v>159</v>
      </c>
      <c r="C82" s="1" t="s">
        <v>629</v>
      </c>
      <c r="D82" s="4" t="s">
        <v>93</v>
      </c>
      <c r="E82" s="4" t="s">
        <v>14</v>
      </c>
      <c r="F82" s="4" t="s">
        <v>15</v>
      </c>
      <c r="G82" s="4" t="s">
        <v>16</v>
      </c>
      <c r="H82" s="8">
        <v>24450</v>
      </c>
      <c r="I82" s="5">
        <v>5</v>
      </c>
      <c r="J82" s="5">
        <v>502</v>
      </c>
      <c r="K82" s="4" t="s">
        <v>25</v>
      </c>
      <c r="L82" s="8">
        <v>507</v>
      </c>
      <c r="M82" s="4">
        <v>17099626</v>
      </c>
      <c r="N82" s="4" t="s">
        <v>526</v>
      </c>
      <c r="O82" s="4" t="s">
        <v>527</v>
      </c>
      <c r="P82" s="4" t="s">
        <v>29</v>
      </c>
      <c r="Q82" s="6">
        <v>52</v>
      </c>
      <c r="R82" s="6">
        <v>0</v>
      </c>
      <c r="S82" s="4">
        <v>2.6200000000000001E-2</v>
      </c>
      <c r="T82" s="4">
        <v>0.11799999999999999</v>
      </c>
      <c r="U82" s="4">
        <v>0</v>
      </c>
      <c r="V82" s="4">
        <v>52</v>
      </c>
      <c r="W82" s="4">
        <v>0</v>
      </c>
      <c r="X82" s="4">
        <v>0</v>
      </c>
      <c r="Y82" s="21">
        <f t="shared" si="3"/>
        <v>1.36</v>
      </c>
      <c r="Z82" s="21">
        <f t="shared" si="4"/>
        <v>0</v>
      </c>
      <c r="AA82" s="21">
        <f t="shared" si="5"/>
        <v>1.36</v>
      </c>
      <c r="AB82" s="21"/>
    </row>
    <row r="83" spans="1:28" ht="42.75" x14ac:dyDescent="0.25">
      <c r="A83" s="1" t="s">
        <v>698</v>
      </c>
      <c r="B83" s="1" t="s">
        <v>159</v>
      </c>
      <c r="C83" s="1" t="s">
        <v>629</v>
      </c>
      <c r="D83" s="4" t="s">
        <v>93</v>
      </c>
      <c r="E83" s="4" t="s">
        <v>14</v>
      </c>
      <c r="F83" s="4" t="s">
        <v>15</v>
      </c>
      <c r="G83" s="4" t="s">
        <v>16</v>
      </c>
      <c r="H83" s="8">
        <v>24450</v>
      </c>
      <c r="I83" s="5">
        <v>5</v>
      </c>
      <c r="J83" s="5">
        <v>507</v>
      </c>
      <c r="K83" s="4" t="s">
        <v>25</v>
      </c>
      <c r="L83" s="8">
        <v>717</v>
      </c>
      <c r="M83" s="4">
        <v>17099587</v>
      </c>
      <c r="N83" s="4" t="s">
        <v>528</v>
      </c>
      <c r="O83" s="4" t="s">
        <v>529</v>
      </c>
      <c r="P83" s="4" t="s">
        <v>29</v>
      </c>
      <c r="Q83" s="6">
        <v>89</v>
      </c>
      <c r="R83" s="6">
        <v>0</v>
      </c>
      <c r="S83" s="4">
        <v>2.6200000000000001E-2</v>
      </c>
      <c r="T83" s="4">
        <v>0.11799999999999999</v>
      </c>
      <c r="U83" s="4">
        <v>0</v>
      </c>
      <c r="V83" s="4">
        <v>89</v>
      </c>
      <c r="W83" s="4">
        <v>0</v>
      </c>
      <c r="X83" s="4">
        <v>0</v>
      </c>
      <c r="Y83" s="21">
        <f t="shared" si="3"/>
        <v>2.33</v>
      </c>
      <c r="Z83" s="21">
        <f t="shared" si="4"/>
        <v>0</v>
      </c>
      <c r="AA83" s="21">
        <f t="shared" si="5"/>
        <v>2.33</v>
      </c>
      <c r="AB83" s="21"/>
    </row>
    <row r="84" spans="1:28" ht="42.75" x14ac:dyDescent="0.25">
      <c r="A84" s="1" t="s">
        <v>698</v>
      </c>
      <c r="B84" s="1" t="s">
        <v>159</v>
      </c>
      <c r="C84" s="1" t="s">
        <v>629</v>
      </c>
      <c r="D84" s="4" t="s">
        <v>93</v>
      </c>
      <c r="E84" s="4" t="s">
        <v>14</v>
      </c>
      <c r="F84" s="4" t="s">
        <v>15</v>
      </c>
      <c r="G84" s="4" t="s">
        <v>16</v>
      </c>
      <c r="H84" s="8">
        <v>24450</v>
      </c>
      <c r="I84" s="5">
        <v>5</v>
      </c>
      <c r="J84" s="5">
        <v>508</v>
      </c>
      <c r="K84" s="4" t="s">
        <v>31</v>
      </c>
      <c r="L84" s="8">
        <v>709</v>
      </c>
      <c r="M84" s="4">
        <v>17099466</v>
      </c>
      <c r="N84" s="4" t="s">
        <v>409</v>
      </c>
      <c r="O84" s="4" t="s">
        <v>410</v>
      </c>
      <c r="P84" s="4" t="s">
        <v>709</v>
      </c>
      <c r="Q84" s="6">
        <v>2423</v>
      </c>
      <c r="R84" s="6">
        <v>181</v>
      </c>
      <c r="S84" s="4">
        <v>2.07E-2</v>
      </c>
      <c r="T84" s="4">
        <v>8.6999999999999994E-2</v>
      </c>
      <c r="U84" s="4">
        <v>0</v>
      </c>
      <c r="V84" s="4">
        <v>2423</v>
      </c>
      <c r="W84" s="4">
        <v>0</v>
      </c>
      <c r="X84" s="4">
        <v>181</v>
      </c>
      <c r="Y84" s="21">
        <f t="shared" si="3"/>
        <v>50.16</v>
      </c>
      <c r="Z84" s="21">
        <f t="shared" si="4"/>
        <v>15.75</v>
      </c>
      <c r="AA84" s="21">
        <f t="shared" si="5"/>
        <v>65.91</v>
      </c>
      <c r="AB84" s="21"/>
    </row>
    <row r="85" spans="1:28" ht="42.75" x14ac:dyDescent="0.25">
      <c r="A85" s="1" t="s">
        <v>698</v>
      </c>
      <c r="B85" s="1" t="s">
        <v>41</v>
      </c>
      <c r="C85" s="1" t="s">
        <v>645</v>
      </c>
      <c r="D85" s="4" t="s">
        <v>93</v>
      </c>
      <c r="E85" s="4" t="s">
        <v>14</v>
      </c>
      <c r="F85" s="4" t="s">
        <v>15</v>
      </c>
      <c r="G85" s="4" t="s">
        <v>16</v>
      </c>
      <c r="H85" s="8">
        <v>24450</v>
      </c>
      <c r="I85" s="5">
        <v>4</v>
      </c>
      <c r="J85" s="5">
        <v>407</v>
      </c>
      <c r="K85" s="4" t="s">
        <v>25</v>
      </c>
      <c r="L85" s="4" t="s">
        <v>94</v>
      </c>
      <c r="M85" s="4">
        <v>17099788</v>
      </c>
      <c r="N85" s="4" t="s">
        <v>95</v>
      </c>
      <c r="O85" s="4" t="s">
        <v>96</v>
      </c>
      <c r="P85" s="4" t="s">
        <v>29</v>
      </c>
      <c r="Q85" s="6">
        <v>980</v>
      </c>
      <c r="R85" s="6">
        <v>0</v>
      </c>
      <c r="S85" s="4">
        <v>2.6200000000000001E-2</v>
      </c>
      <c r="T85" s="4">
        <v>0.11799999999999999</v>
      </c>
      <c r="U85" s="4">
        <v>0</v>
      </c>
      <c r="V85" s="4">
        <v>980</v>
      </c>
      <c r="W85" s="4">
        <v>0</v>
      </c>
      <c r="X85" s="4">
        <v>0</v>
      </c>
      <c r="Y85" s="21">
        <f t="shared" si="3"/>
        <v>25.68</v>
      </c>
      <c r="Z85" s="21">
        <f t="shared" si="4"/>
        <v>0</v>
      </c>
      <c r="AA85" s="21">
        <f t="shared" si="5"/>
        <v>25.68</v>
      </c>
      <c r="AB85" s="21"/>
    </row>
    <row r="86" spans="1:28" ht="42.75" x14ac:dyDescent="0.25">
      <c r="A86" s="1" t="s">
        <v>698</v>
      </c>
      <c r="B86" s="1" t="s">
        <v>41</v>
      </c>
      <c r="C86" s="1" t="s">
        <v>645</v>
      </c>
      <c r="D86" s="4" t="s">
        <v>93</v>
      </c>
      <c r="E86" s="4" t="s">
        <v>14</v>
      </c>
      <c r="F86" s="4" t="s">
        <v>15</v>
      </c>
      <c r="G86" s="4" t="s">
        <v>16</v>
      </c>
      <c r="H86" s="8">
        <v>24450</v>
      </c>
      <c r="I86" s="5">
        <v>4</v>
      </c>
      <c r="J86" s="5">
        <v>428</v>
      </c>
      <c r="K86" s="4" t="s">
        <v>25</v>
      </c>
      <c r="L86" s="8">
        <v>601</v>
      </c>
      <c r="M86" s="4">
        <v>17099765</v>
      </c>
      <c r="N86" s="4" t="s">
        <v>103</v>
      </c>
      <c r="O86" s="4" t="s">
        <v>104</v>
      </c>
      <c r="P86" s="4" t="s">
        <v>29</v>
      </c>
      <c r="Q86" s="6">
        <v>1423</v>
      </c>
      <c r="R86" s="6">
        <v>0</v>
      </c>
      <c r="S86" s="4">
        <v>2.6200000000000001E-2</v>
      </c>
      <c r="T86" s="4">
        <v>0.11799999999999999</v>
      </c>
      <c r="U86" s="4">
        <v>0</v>
      </c>
      <c r="V86" s="4">
        <v>1423</v>
      </c>
      <c r="W86" s="4">
        <v>0</v>
      </c>
      <c r="X86" s="4">
        <v>0</v>
      </c>
      <c r="Y86" s="21">
        <f t="shared" si="3"/>
        <v>37.28</v>
      </c>
      <c r="Z86" s="21">
        <f t="shared" si="4"/>
        <v>0</v>
      </c>
      <c r="AA86" s="21">
        <f t="shared" si="5"/>
        <v>37.28</v>
      </c>
      <c r="AB86" s="21"/>
    </row>
    <row r="87" spans="1:28" ht="42.75" x14ac:dyDescent="0.25">
      <c r="A87" s="1" t="s">
        <v>698</v>
      </c>
      <c r="B87" s="1" t="s">
        <v>41</v>
      </c>
      <c r="C87" s="1" t="s">
        <v>645</v>
      </c>
      <c r="D87" s="4" t="s">
        <v>93</v>
      </c>
      <c r="E87" s="4" t="s">
        <v>14</v>
      </c>
      <c r="F87" s="4" t="s">
        <v>15</v>
      </c>
      <c r="G87" s="4" t="s">
        <v>16</v>
      </c>
      <c r="H87" s="8">
        <v>24450</v>
      </c>
      <c r="I87" s="5">
        <v>5</v>
      </c>
      <c r="J87" s="5">
        <v>506</v>
      </c>
      <c r="K87" s="4" t="s">
        <v>25</v>
      </c>
      <c r="L87" s="8">
        <v>304</v>
      </c>
      <c r="M87" s="4">
        <v>17099627</v>
      </c>
      <c r="N87" s="4" t="s">
        <v>293</v>
      </c>
      <c r="O87" s="4" t="s">
        <v>294</v>
      </c>
      <c r="P87" s="4" t="s">
        <v>29</v>
      </c>
      <c r="Q87" s="6">
        <v>435</v>
      </c>
      <c r="R87" s="6">
        <v>0</v>
      </c>
      <c r="S87" s="4">
        <v>2.6200000000000001E-2</v>
      </c>
      <c r="T87" s="4">
        <v>0.11799999999999999</v>
      </c>
      <c r="U87" s="4">
        <v>0</v>
      </c>
      <c r="V87" s="4">
        <v>435</v>
      </c>
      <c r="W87" s="4">
        <v>0</v>
      </c>
      <c r="X87" s="4">
        <v>0</v>
      </c>
      <c r="Y87" s="21">
        <f t="shared" si="3"/>
        <v>11.4</v>
      </c>
      <c r="Z87" s="21">
        <f t="shared" si="4"/>
        <v>0</v>
      </c>
      <c r="AA87" s="21">
        <f t="shared" si="5"/>
        <v>11.4</v>
      </c>
      <c r="AB87" s="21"/>
    </row>
    <row r="88" spans="1:28" ht="42.75" x14ac:dyDescent="0.25">
      <c r="A88" s="1" t="s">
        <v>698</v>
      </c>
      <c r="B88" s="1" t="s">
        <v>41</v>
      </c>
      <c r="C88" s="1" t="s">
        <v>645</v>
      </c>
      <c r="D88" s="4" t="s">
        <v>93</v>
      </c>
      <c r="E88" s="4" t="s">
        <v>14</v>
      </c>
      <c r="F88" s="4" t="s">
        <v>15</v>
      </c>
      <c r="G88" s="4" t="s">
        <v>16</v>
      </c>
      <c r="H88" s="8">
        <v>24450</v>
      </c>
      <c r="I88" s="5">
        <v>4</v>
      </c>
      <c r="J88" s="5">
        <v>427</v>
      </c>
      <c r="K88" s="4" t="s">
        <v>25</v>
      </c>
      <c r="L88" s="8">
        <v>404</v>
      </c>
      <c r="M88" s="4">
        <v>17099767</v>
      </c>
      <c r="N88" s="4" t="s">
        <v>518</v>
      </c>
      <c r="O88" s="4" t="s">
        <v>519</v>
      </c>
      <c r="P88" s="4" t="s">
        <v>29</v>
      </c>
      <c r="Q88" s="6">
        <v>907</v>
      </c>
      <c r="R88" s="6">
        <v>0</v>
      </c>
      <c r="S88" s="4">
        <v>2.6200000000000001E-2</v>
      </c>
      <c r="T88" s="4">
        <v>0.11799999999999999</v>
      </c>
      <c r="U88" s="4">
        <v>0</v>
      </c>
      <c r="V88" s="4">
        <v>907</v>
      </c>
      <c r="W88" s="4">
        <v>0</v>
      </c>
      <c r="X88" s="4">
        <v>0</v>
      </c>
      <c r="Y88" s="21">
        <f t="shared" si="3"/>
        <v>23.76</v>
      </c>
      <c r="Z88" s="21">
        <f t="shared" si="4"/>
        <v>0</v>
      </c>
      <c r="AA88" s="21">
        <f t="shared" si="5"/>
        <v>23.76</v>
      </c>
      <c r="AB88" s="21"/>
    </row>
    <row r="89" spans="1:28" ht="42.75" x14ac:dyDescent="0.25">
      <c r="A89" s="1" t="s">
        <v>698</v>
      </c>
      <c r="B89" s="1" t="s">
        <v>41</v>
      </c>
      <c r="C89" s="1" t="s">
        <v>645</v>
      </c>
      <c r="D89" s="4" t="s">
        <v>93</v>
      </c>
      <c r="E89" s="4" t="s">
        <v>14</v>
      </c>
      <c r="F89" s="4" t="s">
        <v>15</v>
      </c>
      <c r="G89" s="4" t="s">
        <v>16</v>
      </c>
      <c r="H89" s="8">
        <v>24450</v>
      </c>
      <c r="I89" s="5">
        <v>4</v>
      </c>
      <c r="J89" s="5">
        <v>426</v>
      </c>
      <c r="K89" s="4" t="s">
        <v>25</v>
      </c>
      <c r="L89" s="8">
        <v>427</v>
      </c>
      <c r="M89" s="4">
        <v>17099766</v>
      </c>
      <c r="N89" s="4" t="s">
        <v>534</v>
      </c>
      <c r="O89" s="4" t="s">
        <v>535</v>
      </c>
      <c r="P89" s="4" t="s">
        <v>29</v>
      </c>
      <c r="Q89" s="6">
        <v>1279</v>
      </c>
      <c r="R89" s="6">
        <v>0</v>
      </c>
      <c r="S89" s="4">
        <v>2.6200000000000001E-2</v>
      </c>
      <c r="T89" s="4">
        <v>0.11799999999999999</v>
      </c>
      <c r="U89" s="4">
        <v>0</v>
      </c>
      <c r="V89" s="4">
        <v>1279</v>
      </c>
      <c r="W89" s="4">
        <v>0</v>
      </c>
      <c r="X89" s="4">
        <v>0</v>
      </c>
      <c r="Y89" s="21">
        <f t="shared" si="3"/>
        <v>33.51</v>
      </c>
      <c r="Z89" s="21">
        <f t="shared" si="4"/>
        <v>0</v>
      </c>
      <c r="AA89" s="21">
        <f t="shared" si="5"/>
        <v>33.51</v>
      </c>
      <c r="AB89" s="21"/>
    </row>
    <row r="90" spans="1:28" ht="42.75" x14ac:dyDescent="0.25">
      <c r="A90" s="1" t="s">
        <v>698</v>
      </c>
      <c r="B90" s="1" t="s">
        <v>41</v>
      </c>
      <c r="C90" s="1" t="s">
        <v>645</v>
      </c>
      <c r="D90" s="4" t="s">
        <v>93</v>
      </c>
      <c r="E90" s="4" t="s">
        <v>14</v>
      </c>
      <c r="F90" s="4" t="s">
        <v>15</v>
      </c>
      <c r="G90" s="4" t="s">
        <v>16</v>
      </c>
      <c r="H90" s="8">
        <v>24450</v>
      </c>
      <c r="I90" s="5">
        <v>4</v>
      </c>
      <c r="J90" s="5">
        <v>404</v>
      </c>
      <c r="K90" s="4" t="s">
        <v>25</v>
      </c>
      <c r="L90" s="8">
        <v>428</v>
      </c>
      <c r="M90" s="4">
        <v>17099764</v>
      </c>
      <c r="N90" s="4" t="s">
        <v>536</v>
      </c>
      <c r="O90" s="4" t="s">
        <v>537</v>
      </c>
      <c r="P90" s="4" t="s">
        <v>29</v>
      </c>
      <c r="Q90" s="6">
        <v>5852</v>
      </c>
      <c r="R90" s="6">
        <v>0</v>
      </c>
      <c r="S90" s="4">
        <v>2.6200000000000001E-2</v>
      </c>
      <c r="T90" s="4">
        <v>0.11799999999999999</v>
      </c>
      <c r="U90" s="4">
        <v>0</v>
      </c>
      <c r="V90" s="4">
        <v>5852</v>
      </c>
      <c r="W90" s="4">
        <v>0</v>
      </c>
      <c r="X90" s="4">
        <v>0</v>
      </c>
      <c r="Y90" s="21">
        <f t="shared" si="3"/>
        <v>153.32</v>
      </c>
      <c r="Z90" s="21">
        <f t="shared" si="4"/>
        <v>0</v>
      </c>
      <c r="AA90" s="21">
        <f t="shared" si="5"/>
        <v>153.32</v>
      </c>
      <c r="AB90" s="21">
        <f>SUM(AA79:AA90)</f>
        <v>366.59999999999997</v>
      </c>
    </row>
    <row r="91" spans="1:28" ht="42.75" x14ac:dyDescent="0.25">
      <c r="A91" s="1" t="s">
        <v>442</v>
      </c>
      <c r="B91" s="1" t="s">
        <v>168</v>
      </c>
      <c r="C91" s="1" t="s">
        <v>630</v>
      </c>
      <c r="D91" s="4" t="s">
        <v>63</v>
      </c>
      <c r="E91" s="4" t="s">
        <v>14</v>
      </c>
      <c r="F91" s="4" t="s">
        <v>15</v>
      </c>
      <c r="G91" s="4" t="s">
        <v>16</v>
      </c>
      <c r="H91" s="8">
        <v>24459</v>
      </c>
      <c r="I91" s="5">
        <v>2</v>
      </c>
      <c r="J91" s="5">
        <v>227</v>
      </c>
      <c r="K91" s="4" t="s">
        <v>18</v>
      </c>
      <c r="L91" s="4" t="s">
        <v>17</v>
      </c>
      <c r="M91" s="4">
        <v>17099458</v>
      </c>
      <c r="N91" s="4" t="s">
        <v>443</v>
      </c>
      <c r="O91" s="4" t="s">
        <v>444</v>
      </c>
      <c r="P91" s="4" t="s">
        <v>709</v>
      </c>
      <c r="Q91" s="6">
        <v>34627</v>
      </c>
      <c r="R91" s="6">
        <v>2089</v>
      </c>
      <c r="S91" s="4">
        <v>2.07E-2</v>
      </c>
      <c r="T91" s="4">
        <v>8.6999999999999994E-2</v>
      </c>
      <c r="U91" s="4">
        <v>0</v>
      </c>
      <c r="V91" s="4">
        <v>34627</v>
      </c>
      <c r="W91" s="4">
        <v>0</v>
      </c>
      <c r="X91" s="4">
        <v>2089</v>
      </c>
      <c r="Y91" s="21">
        <f t="shared" si="3"/>
        <v>716.78</v>
      </c>
      <c r="Z91" s="21">
        <f t="shared" si="4"/>
        <v>181.74</v>
      </c>
      <c r="AA91" s="21">
        <f t="shared" si="5"/>
        <v>898.52</v>
      </c>
      <c r="AB91" s="21"/>
    </row>
    <row r="92" spans="1:28" ht="42.75" x14ac:dyDescent="0.25">
      <c r="A92" s="1" t="s">
        <v>442</v>
      </c>
      <c r="B92" s="1" t="s">
        <v>168</v>
      </c>
      <c r="C92" s="1" t="s">
        <v>630</v>
      </c>
      <c r="D92" s="4" t="s">
        <v>63</v>
      </c>
      <c r="E92" s="4" t="s">
        <v>14</v>
      </c>
      <c r="F92" s="4" t="s">
        <v>15</v>
      </c>
      <c r="G92" s="4" t="s">
        <v>16</v>
      </c>
      <c r="H92" s="8">
        <v>24459</v>
      </c>
      <c r="I92" s="5">
        <v>2</v>
      </c>
      <c r="J92" s="5">
        <v>226</v>
      </c>
      <c r="K92" s="4" t="s">
        <v>25</v>
      </c>
      <c r="L92" s="4" t="s">
        <v>17</v>
      </c>
      <c r="M92" s="4">
        <v>17099521</v>
      </c>
      <c r="N92" s="4" t="s">
        <v>169</v>
      </c>
      <c r="O92" s="4" t="s">
        <v>170</v>
      </c>
      <c r="P92" s="4" t="s">
        <v>29</v>
      </c>
      <c r="Q92" s="6">
        <v>1082</v>
      </c>
      <c r="R92" s="6">
        <v>0</v>
      </c>
      <c r="S92" s="4">
        <v>2.6200000000000001E-2</v>
      </c>
      <c r="T92" s="4">
        <v>0.11799999999999999</v>
      </c>
      <c r="U92" s="4">
        <v>0</v>
      </c>
      <c r="V92" s="4">
        <v>1082</v>
      </c>
      <c r="W92" s="4">
        <v>0</v>
      </c>
      <c r="X92" s="4">
        <v>0</v>
      </c>
      <c r="Y92" s="21">
        <f t="shared" si="3"/>
        <v>28.35</v>
      </c>
      <c r="Z92" s="21">
        <f t="shared" si="4"/>
        <v>0</v>
      </c>
      <c r="AA92" s="21">
        <f t="shared" si="5"/>
        <v>28.35</v>
      </c>
      <c r="AB92" s="21"/>
    </row>
    <row r="93" spans="1:28" ht="42.75" x14ac:dyDescent="0.25">
      <c r="A93" s="1" t="s">
        <v>442</v>
      </c>
      <c r="B93" s="1" t="s">
        <v>168</v>
      </c>
      <c r="C93" s="1" t="s">
        <v>630</v>
      </c>
      <c r="D93" s="4" t="s">
        <v>63</v>
      </c>
      <c r="E93" s="4" t="s">
        <v>14</v>
      </c>
      <c r="F93" s="4" t="s">
        <v>15</v>
      </c>
      <c r="G93" s="4" t="s">
        <v>16</v>
      </c>
      <c r="H93" s="8">
        <v>24459</v>
      </c>
      <c r="I93" s="5">
        <v>2</v>
      </c>
      <c r="J93" s="5">
        <v>222</v>
      </c>
      <c r="K93" s="4" t="s">
        <v>25</v>
      </c>
      <c r="L93" s="8">
        <v>220</v>
      </c>
      <c r="M93" s="4">
        <v>17099538</v>
      </c>
      <c r="N93" s="4" t="s">
        <v>216</v>
      </c>
      <c r="O93" s="4" t="s">
        <v>217</v>
      </c>
      <c r="P93" s="4" t="s">
        <v>29</v>
      </c>
      <c r="Q93" s="6">
        <v>796</v>
      </c>
      <c r="R93" s="6">
        <v>0</v>
      </c>
      <c r="S93" s="4">
        <v>2.6200000000000001E-2</v>
      </c>
      <c r="T93" s="4">
        <v>0.11799999999999999</v>
      </c>
      <c r="U93" s="4">
        <v>0</v>
      </c>
      <c r="V93" s="4">
        <v>796</v>
      </c>
      <c r="W93" s="4">
        <v>0</v>
      </c>
      <c r="X93" s="4">
        <v>0</v>
      </c>
      <c r="Y93" s="21">
        <f t="shared" si="3"/>
        <v>20.86</v>
      </c>
      <c r="Z93" s="21">
        <f t="shared" si="4"/>
        <v>0</v>
      </c>
      <c r="AA93" s="21">
        <f t="shared" si="5"/>
        <v>20.86</v>
      </c>
      <c r="AB93" s="21"/>
    </row>
    <row r="94" spans="1:28" ht="42.75" x14ac:dyDescent="0.25">
      <c r="A94" s="1" t="s">
        <v>442</v>
      </c>
      <c r="B94" s="1" t="s">
        <v>168</v>
      </c>
      <c r="C94" s="1" t="s">
        <v>630</v>
      </c>
      <c r="D94" s="4" t="s">
        <v>63</v>
      </c>
      <c r="E94" s="4" t="s">
        <v>14</v>
      </c>
      <c r="F94" s="4" t="s">
        <v>15</v>
      </c>
      <c r="G94" s="4" t="s">
        <v>16</v>
      </c>
      <c r="H94" s="8">
        <v>24459</v>
      </c>
      <c r="I94" s="5">
        <v>2</v>
      </c>
      <c r="J94" s="5">
        <v>231</v>
      </c>
      <c r="K94" s="4" t="s">
        <v>25</v>
      </c>
      <c r="L94" s="4" t="s">
        <v>165</v>
      </c>
      <c r="M94" s="4">
        <v>17099537</v>
      </c>
      <c r="N94" s="4" t="s">
        <v>224</v>
      </c>
      <c r="O94" s="4" t="s">
        <v>225</v>
      </c>
      <c r="P94" s="4" t="s">
        <v>29</v>
      </c>
      <c r="Q94" s="6">
        <v>1504</v>
      </c>
      <c r="R94" s="6">
        <v>0</v>
      </c>
      <c r="S94" s="4">
        <v>2.6200000000000001E-2</v>
      </c>
      <c r="T94" s="4">
        <v>0.11799999999999999</v>
      </c>
      <c r="U94" s="4">
        <v>0</v>
      </c>
      <c r="V94" s="4">
        <v>1504</v>
      </c>
      <c r="W94" s="4">
        <v>0</v>
      </c>
      <c r="X94" s="4">
        <v>0</v>
      </c>
      <c r="Y94" s="21">
        <f t="shared" si="3"/>
        <v>39.4</v>
      </c>
      <c r="Z94" s="21">
        <f t="shared" si="4"/>
        <v>0</v>
      </c>
      <c r="AA94" s="21">
        <f t="shared" si="5"/>
        <v>39.4</v>
      </c>
      <c r="AB94" s="21"/>
    </row>
    <row r="95" spans="1:28" ht="42.75" x14ac:dyDescent="0.25">
      <c r="A95" s="1" t="s">
        <v>442</v>
      </c>
      <c r="B95" s="1" t="s">
        <v>168</v>
      </c>
      <c r="C95" s="1" t="s">
        <v>630</v>
      </c>
      <c r="D95" s="4" t="s">
        <v>63</v>
      </c>
      <c r="E95" s="4" t="s">
        <v>14</v>
      </c>
      <c r="F95" s="4" t="s">
        <v>15</v>
      </c>
      <c r="G95" s="4" t="s">
        <v>16</v>
      </c>
      <c r="H95" s="8">
        <v>24459</v>
      </c>
      <c r="I95" s="5">
        <v>2</v>
      </c>
      <c r="J95" s="5">
        <v>236</v>
      </c>
      <c r="K95" s="4" t="s">
        <v>25</v>
      </c>
      <c r="L95" s="4" t="s">
        <v>17</v>
      </c>
      <c r="M95" s="4">
        <v>17099518</v>
      </c>
      <c r="N95" s="4" t="s">
        <v>240</v>
      </c>
      <c r="O95" s="4" t="s">
        <v>241</v>
      </c>
      <c r="P95" s="4" t="s">
        <v>29</v>
      </c>
      <c r="Q95" s="6">
        <v>938</v>
      </c>
      <c r="R95" s="6">
        <v>0</v>
      </c>
      <c r="S95" s="4">
        <v>2.6200000000000001E-2</v>
      </c>
      <c r="T95" s="4">
        <v>0.11799999999999999</v>
      </c>
      <c r="U95" s="4">
        <v>0</v>
      </c>
      <c r="V95" s="4">
        <v>938</v>
      </c>
      <c r="W95" s="4">
        <v>0</v>
      </c>
      <c r="X95" s="4">
        <v>0</v>
      </c>
      <c r="Y95" s="21">
        <f t="shared" si="3"/>
        <v>24.58</v>
      </c>
      <c r="Z95" s="21">
        <f t="shared" si="4"/>
        <v>0</v>
      </c>
      <c r="AA95" s="21">
        <f t="shared" si="5"/>
        <v>24.58</v>
      </c>
      <c r="AB95" s="21"/>
    </row>
    <row r="96" spans="1:28" ht="42.75" x14ac:dyDescent="0.25">
      <c r="A96" s="1" t="s">
        <v>442</v>
      </c>
      <c r="B96" s="1" t="s">
        <v>168</v>
      </c>
      <c r="C96" s="1" t="s">
        <v>630</v>
      </c>
      <c r="D96" s="4" t="s">
        <v>63</v>
      </c>
      <c r="E96" s="4" t="s">
        <v>14</v>
      </c>
      <c r="F96" s="4" t="s">
        <v>15</v>
      </c>
      <c r="G96" s="4" t="s">
        <v>16</v>
      </c>
      <c r="H96" s="8">
        <v>24459</v>
      </c>
      <c r="I96" s="5">
        <v>2</v>
      </c>
      <c r="J96" s="5">
        <v>223</v>
      </c>
      <c r="K96" s="4" t="s">
        <v>25</v>
      </c>
      <c r="L96" s="4" t="s">
        <v>17</v>
      </c>
      <c r="M96" s="4">
        <v>17099514</v>
      </c>
      <c r="N96" s="4" t="s">
        <v>247</v>
      </c>
      <c r="O96" s="4" t="s">
        <v>248</v>
      </c>
      <c r="P96" s="4" t="s">
        <v>29</v>
      </c>
      <c r="Q96" s="6">
        <v>1920</v>
      </c>
      <c r="R96" s="6">
        <v>0</v>
      </c>
      <c r="S96" s="4">
        <v>2.6200000000000001E-2</v>
      </c>
      <c r="T96" s="4">
        <v>0.11799999999999999</v>
      </c>
      <c r="U96" s="4">
        <v>0</v>
      </c>
      <c r="V96" s="4">
        <v>1920</v>
      </c>
      <c r="W96" s="4">
        <v>0</v>
      </c>
      <c r="X96" s="4">
        <v>0</v>
      </c>
      <c r="Y96" s="21">
        <f t="shared" si="3"/>
        <v>50.3</v>
      </c>
      <c r="Z96" s="21">
        <f t="shared" si="4"/>
        <v>0</v>
      </c>
      <c r="AA96" s="21">
        <f t="shared" si="5"/>
        <v>50.3</v>
      </c>
      <c r="AB96" s="21"/>
    </row>
    <row r="97" spans="1:28" ht="42.75" x14ac:dyDescent="0.25">
      <c r="A97" s="1" t="s">
        <v>442</v>
      </c>
      <c r="B97" s="1" t="s">
        <v>168</v>
      </c>
      <c r="C97" s="1" t="s">
        <v>630</v>
      </c>
      <c r="D97" s="4" t="s">
        <v>63</v>
      </c>
      <c r="E97" s="4" t="s">
        <v>14</v>
      </c>
      <c r="F97" s="4" t="s">
        <v>15</v>
      </c>
      <c r="G97" s="4" t="s">
        <v>16</v>
      </c>
      <c r="H97" s="8">
        <v>24459</v>
      </c>
      <c r="I97" s="5">
        <v>2</v>
      </c>
      <c r="J97" s="5">
        <v>232</v>
      </c>
      <c r="K97" s="4" t="s">
        <v>25</v>
      </c>
      <c r="L97" s="8">
        <v>320</v>
      </c>
      <c r="M97" s="4">
        <v>17099519</v>
      </c>
      <c r="N97" s="4" t="s">
        <v>249</v>
      </c>
      <c r="O97" s="4" t="s">
        <v>250</v>
      </c>
      <c r="P97" s="4" t="s">
        <v>709</v>
      </c>
      <c r="Q97" s="6">
        <v>649</v>
      </c>
      <c r="R97" s="6">
        <v>0</v>
      </c>
      <c r="S97" s="4">
        <v>2.07E-2</v>
      </c>
      <c r="T97" s="4">
        <v>8.6999999999999994E-2</v>
      </c>
      <c r="U97" s="4">
        <v>0</v>
      </c>
      <c r="V97" s="4">
        <v>649</v>
      </c>
      <c r="W97" s="4">
        <v>0</v>
      </c>
      <c r="X97" s="4">
        <v>0</v>
      </c>
      <c r="Y97" s="21">
        <f t="shared" si="3"/>
        <v>13.43</v>
      </c>
      <c r="Z97" s="21">
        <f t="shared" si="4"/>
        <v>0</v>
      </c>
      <c r="AA97" s="21">
        <f t="shared" si="5"/>
        <v>13.43</v>
      </c>
      <c r="AB97" s="21"/>
    </row>
    <row r="98" spans="1:28" ht="42.75" x14ac:dyDescent="0.25">
      <c r="A98" s="1" t="s">
        <v>442</v>
      </c>
      <c r="B98" s="1" t="s">
        <v>168</v>
      </c>
      <c r="C98" s="1" t="s">
        <v>630</v>
      </c>
      <c r="D98" s="4" t="s">
        <v>63</v>
      </c>
      <c r="E98" s="4" t="s">
        <v>14</v>
      </c>
      <c r="F98" s="4" t="s">
        <v>15</v>
      </c>
      <c r="G98" s="4" t="s">
        <v>16</v>
      </c>
      <c r="H98" s="8">
        <v>24459</v>
      </c>
      <c r="I98" s="5">
        <v>2</v>
      </c>
      <c r="J98" s="5">
        <v>206</v>
      </c>
      <c r="K98" s="4" t="s">
        <v>25</v>
      </c>
      <c r="L98" s="4" t="s">
        <v>17</v>
      </c>
      <c r="M98" s="4">
        <v>17099540</v>
      </c>
      <c r="N98" s="4" t="s">
        <v>264</v>
      </c>
      <c r="O98" s="4" t="s">
        <v>265</v>
      </c>
      <c r="P98" s="4" t="s">
        <v>29</v>
      </c>
      <c r="Q98" s="6">
        <v>723</v>
      </c>
      <c r="R98" s="6">
        <v>0</v>
      </c>
      <c r="S98" s="4">
        <v>2.6200000000000001E-2</v>
      </c>
      <c r="T98" s="4">
        <v>0.11799999999999999</v>
      </c>
      <c r="U98" s="4">
        <v>0</v>
      </c>
      <c r="V98" s="4">
        <v>723</v>
      </c>
      <c r="W98" s="4">
        <v>0</v>
      </c>
      <c r="X98" s="4">
        <v>0</v>
      </c>
      <c r="Y98" s="21">
        <f t="shared" si="3"/>
        <v>18.940000000000001</v>
      </c>
      <c r="Z98" s="21">
        <f t="shared" si="4"/>
        <v>0</v>
      </c>
      <c r="AA98" s="21">
        <f t="shared" si="5"/>
        <v>18.940000000000001</v>
      </c>
      <c r="AB98" s="21"/>
    </row>
    <row r="99" spans="1:28" ht="42.75" x14ac:dyDescent="0.25">
      <c r="A99" s="1" t="s">
        <v>442</v>
      </c>
      <c r="B99" s="1" t="s">
        <v>168</v>
      </c>
      <c r="C99" s="1" t="s">
        <v>630</v>
      </c>
      <c r="D99" s="4" t="s">
        <v>63</v>
      </c>
      <c r="E99" s="4" t="s">
        <v>14</v>
      </c>
      <c r="F99" s="4" t="s">
        <v>15</v>
      </c>
      <c r="G99" s="4" t="s">
        <v>16</v>
      </c>
      <c r="H99" s="8">
        <v>24459</v>
      </c>
      <c r="I99" s="5">
        <v>2</v>
      </c>
      <c r="J99" s="5">
        <v>221</v>
      </c>
      <c r="K99" s="4" t="s">
        <v>117</v>
      </c>
      <c r="L99" s="4" t="s">
        <v>17</v>
      </c>
      <c r="M99" s="4">
        <v>17099516</v>
      </c>
      <c r="N99" s="4" t="s">
        <v>459</v>
      </c>
      <c r="O99" s="4" t="s">
        <v>460</v>
      </c>
      <c r="P99" s="4" t="s">
        <v>29</v>
      </c>
      <c r="Q99" s="6">
        <v>473</v>
      </c>
      <c r="R99" s="6">
        <v>305</v>
      </c>
      <c r="S99" s="4">
        <v>2.6200000000000001E-2</v>
      </c>
      <c r="T99" s="4">
        <v>0.11799999999999999</v>
      </c>
      <c r="U99" s="4">
        <v>0</v>
      </c>
      <c r="V99" s="4">
        <v>473</v>
      </c>
      <c r="W99" s="4">
        <v>0</v>
      </c>
      <c r="X99" s="4">
        <v>305</v>
      </c>
      <c r="Y99" s="21">
        <f t="shared" si="3"/>
        <v>12.39</v>
      </c>
      <c r="Z99" s="21">
        <f t="shared" si="4"/>
        <v>35.99</v>
      </c>
      <c r="AA99" s="21">
        <f t="shared" si="5"/>
        <v>48.38</v>
      </c>
      <c r="AB99" s="21"/>
    </row>
    <row r="100" spans="1:28" ht="42.75" x14ac:dyDescent="0.25">
      <c r="A100" s="1" t="s">
        <v>442</v>
      </c>
      <c r="B100" s="1" t="s">
        <v>168</v>
      </c>
      <c r="C100" s="1" t="s">
        <v>630</v>
      </c>
      <c r="D100" s="4" t="s">
        <v>63</v>
      </c>
      <c r="E100" s="4" t="s">
        <v>14</v>
      </c>
      <c r="F100" s="4" t="s">
        <v>15</v>
      </c>
      <c r="G100" s="4" t="s">
        <v>16</v>
      </c>
      <c r="H100" s="8">
        <v>24459</v>
      </c>
      <c r="I100" s="5">
        <v>2</v>
      </c>
      <c r="J100" s="5">
        <v>220</v>
      </c>
      <c r="K100" s="4" t="s">
        <v>25</v>
      </c>
      <c r="L100" s="4" t="s">
        <v>17</v>
      </c>
      <c r="M100" s="4">
        <v>17099539</v>
      </c>
      <c r="N100" s="4" t="s">
        <v>463</v>
      </c>
      <c r="O100" s="4" t="s">
        <v>464</v>
      </c>
      <c r="P100" s="4" t="s">
        <v>29</v>
      </c>
      <c r="Q100" s="6">
        <v>936</v>
      </c>
      <c r="R100" s="6">
        <v>0</v>
      </c>
      <c r="S100" s="4">
        <v>2.6200000000000001E-2</v>
      </c>
      <c r="T100" s="4">
        <v>0.11799999999999999</v>
      </c>
      <c r="U100" s="4">
        <v>0</v>
      </c>
      <c r="V100" s="4">
        <v>936</v>
      </c>
      <c r="W100" s="4">
        <v>0</v>
      </c>
      <c r="X100" s="4">
        <v>0</v>
      </c>
      <c r="Y100" s="21">
        <f t="shared" si="3"/>
        <v>24.52</v>
      </c>
      <c r="Z100" s="21">
        <f t="shared" si="4"/>
        <v>0</v>
      </c>
      <c r="AA100" s="21">
        <f t="shared" si="5"/>
        <v>24.52</v>
      </c>
      <c r="AB100" s="21"/>
    </row>
    <row r="101" spans="1:28" ht="42.75" x14ac:dyDescent="0.25">
      <c r="A101" s="1" t="s">
        <v>442</v>
      </c>
      <c r="B101" s="1" t="s">
        <v>168</v>
      </c>
      <c r="C101" s="1" t="s">
        <v>630</v>
      </c>
      <c r="D101" s="4" t="s">
        <v>63</v>
      </c>
      <c r="E101" s="4" t="s">
        <v>14</v>
      </c>
      <c r="F101" s="4" t="s">
        <v>15</v>
      </c>
      <c r="G101" s="4" t="s">
        <v>16</v>
      </c>
      <c r="H101" s="8">
        <v>24459</v>
      </c>
      <c r="I101" s="5">
        <v>2</v>
      </c>
      <c r="J101" s="5">
        <v>224</v>
      </c>
      <c r="K101" s="4" t="s">
        <v>25</v>
      </c>
      <c r="L101" s="4" t="s">
        <v>17</v>
      </c>
      <c r="M101" s="4">
        <v>17099517</v>
      </c>
      <c r="N101" s="4" t="s">
        <v>495</v>
      </c>
      <c r="O101" s="4" t="s">
        <v>496</v>
      </c>
      <c r="P101" s="4" t="s">
        <v>29</v>
      </c>
      <c r="Q101" s="6">
        <v>0</v>
      </c>
      <c r="R101" s="6">
        <v>0</v>
      </c>
      <c r="S101" s="4">
        <v>2.6200000000000001E-2</v>
      </c>
      <c r="T101" s="4">
        <v>0.11799999999999999</v>
      </c>
      <c r="U101" s="4">
        <v>0</v>
      </c>
      <c r="V101" s="4">
        <v>0</v>
      </c>
      <c r="W101" s="4">
        <v>0</v>
      </c>
      <c r="X101" s="4">
        <v>0</v>
      </c>
      <c r="Y101" s="21">
        <f t="shared" si="3"/>
        <v>0</v>
      </c>
      <c r="Z101" s="21">
        <f t="shared" si="4"/>
        <v>0</v>
      </c>
      <c r="AA101" s="21">
        <f t="shared" si="5"/>
        <v>0</v>
      </c>
      <c r="AB101" s="21">
        <f>SUM(AA91:AA101)</f>
        <v>1167.2800000000002</v>
      </c>
    </row>
    <row r="102" spans="1:28" ht="42.75" x14ac:dyDescent="0.25">
      <c r="A102" s="1" t="s">
        <v>213</v>
      </c>
      <c r="B102" s="1"/>
      <c r="C102" s="1"/>
      <c r="D102" s="4" t="s">
        <v>63</v>
      </c>
      <c r="E102" s="4" t="s">
        <v>14</v>
      </c>
      <c r="F102" s="4" t="s">
        <v>15</v>
      </c>
      <c r="G102" s="4" t="s">
        <v>16</v>
      </c>
      <c r="H102" s="8">
        <v>24459</v>
      </c>
      <c r="I102" s="5">
        <v>5</v>
      </c>
      <c r="J102" s="5">
        <v>512</v>
      </c>
      <c r="K102" s="4" t="s">
        <v>212</v>
      </c>
      <c r="L102" s="4" t="s">
        <v>17</v>
      </c>
      <c r="M102" s="4">
        <v>17099480</v>
      </c>
      <c r="N102" s="4" t="s">
        <v>214</v>
      </c>
      <c r="O102" s="4" t="s">
        <v>215</v>
      </c>
      <c r="P102" s="4" t="s">
        <v>709</v>
      </c>
      <c r="Q102" s="6">
        <v>0</v>
      </c>
      <c r="R102" s="6">
        <v>0</v>
      </c>
      <c r="S102" s="4">
        <v>2.07E-2</v>
      </c>
      <c r="T102" s="4">
        <v>8.6999999999999994E-2</v>
      </c>
      <c r="U102" s="4">
        <v>0</v>
      </c>
      <c r="V102" s="4">
        <v>0</v>
      </c>
      <c r="W102" s="4">
        <v>0</v>
      </c>
      <c r="X102" s="4">
        <v>0</v>
      </c>
      <c r="Y102" s="21">
        <f t="shared" si="3"/>
        <v>0</v>
      </c>
      <c r="Z102" s="21">
        <f t="shared" si="4"/>
        <v>0</v>
      </c>
      <c r="AA102" s="21">
        <f t="shared" si="5"/>
        <v>0</v>
      </c>
      <c r="AB102" s="21"/>
    </row>
    <row r="103" spans="1:28" ht="42.75" x14ac:dyDescent="0.25">
      <c r="A103" s="1" t="s">
        <v>188</v>
      </c>
      <c r="B103" s="1" t="s">
        <v>187</v>
      </c>
      <c r="C103" s="1" t="s">
        <v>639</v>
      </c>
      <c r="D103" s="4" t="s">
        <v>39</v>
      </c>
      <c r="E103" s="4" t="s">
        <v>14</v>
      </c>
      <c r="F103" s="4" t="s">
        <v>15</v>
      </c>
      <c r="G103" s="4" t="s">
        <v>16</v>
      </c>
      <c r="H103" s="8">
        <v>24450</v>
      </c>
      <c r="I103" s="5">
        <v>3</v>
      </c>
      <c r="J103" s="5">
        <v>305</v>
      </c>
      <c r="K103" s="4" t="s">
        <v>25</v>
      </c>
      <c r="L103" s="8">
        <v>305</v>
      </c>
      <c r="M103" s="4">
        <v>17099578</v>
      </c>
      <c r="N103" s="4" t="s">
        <v>388</v>
      </c>
      <c r="O103" s="4" t="s">
        <v>389</v>
      </c>
      <c r="P103" s="4" t="s">
        <v>29</v>
      </c>
      <c r="Q103" s="6">
        <v>1381</v>
      </c>
      <c r="R103" s="6">
        <v>0</v>
      </c>
      <c r="S103" s="4">
        <v>2.6200000000000001E-2</v>
      </c>
      <c r="T103" s="4">
        <v>0.11799999999999999</v>
      </c>
      <c r="U103" s="4">
        <v>0</v>
      </c>
      <c r="V103" s="4">
        <v>1381</v>
      </c>
      <c r="W103" s="4">
        <v>0</v>
      </c>
      <c r="X103" s="4">
        <v>0</v>
      </c>
      <c r="Y103" s="21">
        <f t="shared" si="3"/>
        <v>36.18</v>
      </c>
      <c r="Z103" s="21">
        <f t="shared" si="4"/>
        <v>0</v>
      </c>
      <c r="AA103" s="21">
        <f t="shared" si="5"/>
        <v>36.18</v>
      </c>
      <c r="AB103" s="21"/>
    </row>
    <row r="104" spans="1:28" ht="42.75" x14ac:dyDescent="0.25">
      <c r="A104" s="1" t="s">
        <v>188</v>
      </c>
      <c r="B104" s="1" t="s">
        <v>187</v>
      </c>
      <c r="C104" s="1" t="s">
        <v>639</v>
      </c>
      <c r="D104" s="4" t="s">
        <v>39</v>
      </c>
      <c r="E104" s="4" t="s">
        <v>14</v>
      </c>
      <c r="F104" s="4" t="s">
        <v>15</v>
      </c>
      <c r="G104" s="4" t="s">
        <v>16</v>
      </c>
      <c r="H104" s="8">
        <v>24450</v>
      </c>
      <c r="I104" s="5">
        <v>3</v>
      </c>
      <c r="J104" s="5" t="s">
        <v>186</v>
      </c>
      <c r="K104" s="4" t="s">
        <v>25</v>
      </c>
      <c r="L104" s="4" t="s">
        <v>186</v>
      </c>
      <c r="M104" s="4">
        <v>17099573</v>
      </c>
      <c r="N104" s="4" t="s">
        <v>189</v>
      </c>
      <c r="O104" s="4" t="s">
        <v>190</v>
      </c>
      <c r="P104" s="4" t="s">
        <v>29</v>
      </c>
      <c r="Q104" s="6">
        <v>729</v>
      </c>
      <c r="R104" s="6">
        <v>0</v>
      </c>
      <c r="S104" s="4">
        <v>2.6200000000000001E-2</v>
      </c>
      <c r="T104" s="4">
        <v>0.11799999999999999</v>
      </c>
      <c r="U104" s="4">
        <v>0</v>
      </c>
      <c r="V104" s="4">
        <v>729</v>
      </c>
      <c r="W104" s="4">
        <v>0</v>
      </c>
      <c r="X104" s="4">
        <v>0</v>
      </c>
      <c r="Y104" s="21">
        <f t="shared" si="3"/>
        <v>19.100000000000001</v>
      </c>
      <c r="Z104" s="21">
        <f t="shared" si="4"/>
        <v>0</v>
      </c>
      <c r="AA104" s="21">
        <f t="shared" si="5"/>
        <v>19.100000000000001</v>
      </c>
      <c r="AB104" s="21"/>
    </row>
    <row r="105" spans="1:28" ht="42.75" x14ac:dyDescent="0.25">
      <c r="A105" s="1" t="s">
        <v>188</v>
      </c>
      <c r="B105" s="1" t="s">
        <v>187</v>
      </c>
      <c r="C105" s="1" t="s">
        <v>639</v>
      </c>
      <c r="D105" s="4" t="s">
        <v>39</v>
      </c>
      <c r="E105" s="4" t="s">
        <v>14</v>
      </c>
      <c r="F105" s="4" t="s">
        <v>15</v>
      </c>
      <c r="G105" s="4" t="s">
        <v>16</v>
      </c>
      <c r="H105" s="8">
        <v>24450</v>
      </c>
      <c r="I105" s="5">
        <v>3</v>
      </c>
      <c r="J105" s="5" t="s">
        <v>350</v>
      </c>
      <c r="K105" s="4" t="s">
        <v>25</v>
      </c>
      <c r="L105" s="4" t="s">
        <v>350</v>
      </c>
      <c r="M105" s="4">
        <v>17099575</v>
      </c>
      <c r="N105" s="4" t="s">
        <v>351</v>
      </c>
      <c r="O105" s="4" t="s">
        <v>352</v>
      </c>
      <c r="P105" s="4" t="s">
        <v>29</v>
      </c>
      <c r="Q105" s="6">
        <v>3</v>
      </c>
      <c r="R105" s="6">
        <v>0</v>
      </c>
      <c r="S105" s="4">
        <v>2.6200000000000001E-2</v>
      </c>
      <c r="T105" s="4">
        <v>0.11799999999999999</v>
      </c>
      <c r="U105" s="4">
        <v>0</v>
      </c>
      <c r="V105" s="4">
        <v>3</v>
      </c>
      <c r="W105" s="4">
        <v>0</v>
      </c>
      <c r="X105" s="4">
        <v>0</v>
      </c>
      <c r="Y105" s="21">
        <f t="shared" si="3"/>
        <v>0.08</v>
      </c>
      <c r="Z105" s="21">
        <f t="shared" si="4"/>
        <v>0</v>
      </c>
      <c r="AA105" s="21">
        <f t="shared" si="5"/>
        <v>0.08</v>
      </c>
      <c r="AB105" s="21"/>
    </row>
    <row r="106" spans="1:28" ht="42.75" x14ac:dyDescent="0.25">
      <c r="A106" s="1" t="s">
        <v>188</v>
      </c>
      <c r="B106" s="1" t="s">
        <v>187</v>
      </c>
      <c r="C106" s="1" t="s">
        <v>639</v>
      </c>
      <c r="D106" s="4" t="s">
        <v>39</v>
      </c>
      <c r="E106" s="4" t="s">
        <v>14</v>
      </c>
      <c r="F106" s="4" t="s">
        <v>15</v>
      </c>
      <c r="G106" s="4" t="s">
        <v>16</v>
      </c>
      <c r="H106" s="8">
        <v>24450</v>
      </c>
      <c r="I106" s="5">
        <v>3</v>
      </c>
      <c r="J106" s="5" t="s">
        <v>378</v>
      </c>
      <c r="K106" s="4" t="s">
        <v>25</v>
      </c>
      <c r="L106" s="4" t="s">
        <v>378</v>
      </c>
      <c r="M106" s="4">
        <v>17099572</v>
      </c>
      <c r="N106" s="4" t="s">
        <v>379</v>
      </c>
      <c r="O106" s="4" t="s">
        <v>380</v>
      </c>
      <c r="P106" s="4" t="s">
        <v>29</v>
      </c>
      <c r="Q106" s="6">
        <v>3829</v>
      </c>
      <c r="R106" s="6">
        <v>0</v>
      </c>
      <c r="S106" s="4">
        <v>2.6200000000000001E-2</v>
      </c>
      <c r="T106" s="4">
        <v>0.11799999999999999</v>
      </c>
      <c r="U106" s="4">
        <v>0</v>
      </c>
      <c r="V106" s="4">
        <v>3829</v>
      </c>
      <c r="W106" s="4">
        <v>0</v>
      </c>
      <c r="X106" s="4">
        <v>0</v>
      </c>
      <c r="Y106" s="21">
        <f t="shared" si="3"/>
        <v>100.32</v>
      </c>
      <c r="Z106" s="21">
        <f t="shared" si="4"/>
        <v>0</v>
      </c>
      <c r="AA106" s="21">
        <f t="shared" si="5"/>
        <v>100.32</v>
      </c>
      <c r="AB106" s="21"/>
    </row>
    <row r="107" spans="1:28" ht="42.75" x14ac:dyDescent="0.25">
      <c r="A107" s="1" t="s">
        <v>188</v>
      </c>
      <c r="B107" s="1" t="s">
        <v>187</v>
      </c>
      <c r="C107" s="1" t="s">
        <v>639</v>
      </c>
      <c r="D107" s="4" t="s">
        <v>39</v>
      </c>
      <c r="E107" s="4" t="s">
        <v>14</v>
      </c>
      <c r="F107" s="4" t="s">
        <v>15</v>
      </c>
      <c r="G107" s="4" t="s">
        <v>16</v>
      </c>
      <c r="H107" s="8">
        <v>24450</v>
      </c>
      <c r="I107" s="5">
        <v>3</v>
      </c>
      <c r="J107" s="5">
        <v>302</v>
      </c>
      <c r="K107" s="4" t="s">
        <v>25</v>
      </c>
      <c r="L107" s="8">
        <v>302</v>
      </c>
      <c r="M107" s="4">
        <v>17099574</v>
      </c>
      <c r="N107" s="4" t="s">
        <v>407</v>
      </c>
      <c r="O107" s="4" t="s">
        <v>408</v>
      </c>
      <c r="P107" s="4" t="s">
        <v>29</v>
      </c>
      <c r="Q107" s="6">
        <v>4</v>
      </c>
      <c r="R107" s="6">
        <v>0</v>
      </c>
      <c r="S107" s="4">
        <v>2.6200000000000001E-2</v>
      </c>
      <c r="T107" s="4">
        <v>0.11799999999999999</v>
      </c>
      <c r="U107" s="4">
        <v>0</v>
      </c>
      <c r="V107" s="4">
        <v>4</v>
      </c>
      <c r="W107" s="4">
        <v>0</v>
      </c>
      <c r="X107" s="4">
        <v>0</v>
      </c>
      <c r="Y107" s="21">
        <f t="shared" si="3"/>
        <v>0.1</v>
      </c>
      <c r="Z107" s="21">
        <f t="shared" si="4"/>
        <v>0</v>
      </c>
      <c r="AA107" s="21">
        <f t="shared" si="5"/>
        <v>0.1</v>
      </c>
      <c r="AB107" s="21">
        <f>SUM(AA103:AA107)</f>
        <v>155.78</v>
      </c>
    </row>
    <row r="108" spans="1:28" ht="42.75" x14ac:dyDescent="0.25">
      <c r="A108" s="1" t="s">
        <v>231</v>
      </c>
      <c r="B108" s="1" t="s">
        <v>687</v>
      </c>
      <c r="C108" s="1" t="s">
        <v>689</v>
      </c>
      <c r="D108" s="4" t="s">
        <v>688</v>
      </c>
      <c r="E108" s="4" t="s">
        <v>14</v>
      </c>
      <c r="F108" s="4" t="s">
        <v>15</v>
      </c>
      <c r="G108" s="4" t="s">
        <v>16</v>
      </c>
      <c r="H108" s="8">
        <v>24450</v>
      </c>
      <c r="I108" s="5">
        <v>3</v>
      </c>
      <c r="J108" s="5">
        <v>307</v>
      </c>
      <c r="K108" s="4" t="s">
        <v>25</v>
      </c>
      <c r="L108" s="8">
        <v>307</v>
      </c>
      <c r="M108" s="4">
        <v>17099623</v>
      </c>
      <c r="N108" s="4" t="s">
        <v>232</v>
      </c>
      <c r="O108" s="4" t="s">
        <v>233</v>
      </c>
      <c r="P108" s="4" t="s">
        <v>29</v>
      </c>
      <c r="Q108" s="6">
        <v>146</v>
      </c>
      <c r="R108" s="6">
        <v>0</v>
      </c>
      <c r="S108" s="4">
        <v>2.6200000000000001E-2</v>
      </c>
      <c r="T108" s="4">
        <v>0.11799999999999999</v>
      </c>
      <c r="U108" s="4">
        <v>0</v>
      </c>
      <c r="V108" s="4">
        <v>146</v>
      </c>
      <c r="W108" s="4">
        <v>0</v>
      </c>
      <c r="X108" s="4">
        <v>0</v>
      </c>
      <c r="Y108" s="21">
        <f t="shared" si="3"/>
        <v>3.83</v>
      </c>
      <c r="Z108" s="21">
        <f t="shared" si="4"/>
        <v>0</v>
      </c>
      <c r="AA108" s="21">
        <f t="shared" si="5"/>
        <v>3.83</v>
      </c>
      <c r="AB108" s="21"/>
    </row>
    <row r="109" spans="1:28" ht="42.75" x14ac:dyDescent="0.25">
      <c r="A109" s="1" t="s">
        <v>490</v>
      </c>
      <c r="B109" s="1" t="s">
        <v>687</v>
      </c>
      <c r="C109" s="1" t="s">
        <v>689</v>
      </c>
      <c r="D109" s="4" t="s">
        <v>688</v>
      </c>
      <c r="E109" s="4" t="s">
        <v>14</v>
      </c>
      <c r="F109" s="4" t="s">
        <v>15</v>
      </c>
      <c r="G109" s="4" t="s">
        <v>16</v>
      </c>
      <c r="H109" s="8">
        <v>24450</v>
      </c>
      <c r="I109" s="5">
        <v>3</v>
      </c>
      <c r="J109" s="5">
        <v>312</v>
      </c>
      <c r="K109" s="4" t="s">
        <v>31</v>
      </c>
      <c r="L109" s="8">
        <v>312</v>
      </c>
      <c r="M109" s="4">
        <v>17099481</v>
      </c>
      <c r="N109" s="4" t="s">
        <v>491</v>
      </c>
      <c r="O109" s="4" t="s">
        <v>492</v>
      </c>
      <c r="P109" s="4" t="s">
        <v>709</v>
      </c>
      <c r="Q109" s="6">
        <v>29493</v>
      </c>
      <c r="R109" s="6">
        <v>5916</v>
      </c>
      <c r="S109" s="4">
        <v>2.07E-2</v>
      </c>
      <c r="T109" s="4">
        <v>8.6999999999999994E-2</v>
      </c>
      <c r="U109" s="4">
        <v>0</v>
      </c>
      <c r="V109" s="4">
        <v>29493</v>
      </c>
      <c r="W109" s="4">
        <v>0</v>
      </c>
      <c r="X109" s="4">
        <v>5916</v>
      </c>
      <c r="Y109" s="21">
        <f t="shared" si="3"/>
        <v>610.51</v>
      </c>
      <c r="Z109" s="21">
        <f t="shared" si="4"/>
        <v>514.69000000000005</v>
      </c>
      <c r="AA109" s="21">
        <f t="shared" si="5"/>
        <v>1125.2</v>
      </c>
      <c r="AB109" s="21">
        <f>SUM(AA108:AA109)</f>
        <v>1129.03</v>
      </c>
    </row>
    <row r="110" spans="1:28" ht="42.75" x14ac:dyDescent="0.25">
      <c r="A110" s="1" t="s">
        <v>122</v>
      </c>
      <c r="B110" s="1" t="s">
        <v>98</v>
      </c>
      <c r="C110" s="1" t="s">
        <v>651</v>
      </c>
      <c r="D110" s="4" t="s">
        <v>113</v>
      </c>
      <c r="E110" s="4" t="s">
        <v>14</v>
      </c>
      <c r="F110" s="4" t="s">
        <v>15</v>
      </c>
      <c r="G110" s="4" t="s">
        <v>16</v>
      </c>
      <c r="H110" s="8">
        <v>24450</v>
      </c>
      <c r="I110" s="5">
        <v>1</v>
      </c>
      <c r="J110" s="5">
        <v>123</v>
      </c>
      <c r="K110" s="4" t="s">
        <v>25</v>
      </c>
      <c r="L110" s="8">
        <v>609</v>
      </c>
      <c r="M110" s="4">
        <v>17099783</v>
      </c>
      <c r="N110" s="4" t="s">
        <v>123</v>
      </c>
      <c r="O110" s="4" t="s">
        <v>124</v>
      </c>
      <c r="P110" s="4" t="s">
        <v>29</v>
      </c>
      <c r="Q110" s="6">
        <v>3601</v>
      </c>
      <c r="R110" s="6">
        <v>0</v>
      </c>
      <c r="S110" s="4">
        <v>2.6200000000000001E-2</v>
      </c>
      <c r="T110" s="4">
        <v>0.11799999999999999</v>
      </c>
      <c r="U110" s="4">
        <v>0</v>
      </c>
      <c r="V110" s="4">
        <v>3601</v>
      </c>
      <c r="W110" s="4">
        <v>0</v>
      </c>
      <c r="X110" s="4">
        <v>0</v>
      </c>
      <c r="Y110" s="21">
        <f t="shared" si="3"/>
        <v>94.35</v>
      </c>
      <c r="Z110" s="21">
        <f t="shared" si="4"/>
        <v>0</v>
      </c>
      <c r="AA110" s="21">
        <f t="shared" si="5"/>
        <v>94.35</v>
      </c>
      <c r="AB110" s="21">
        <f>Table14[[#This Row],[Device Total Click Charge]]</f>
        <v>94.35</v>
      </c>
    </row>
    <row r="111" spans="1:28" ht="42.75" x14ac:dyDescent="0.25">
      <c r="A111" s="1" t="s">
        <v>326</v>
      </c>
      <c r="B111" s="1" t="s">
        <v>325</v>
      </c>
      <c r="C111" s="1" t="s">
        <v>326</v>
      </c>
      <c r="D111" s="4" t="s">
        <v>63</v>
      </c>
      <c r="E111" s="4" t="s">
        <v>14</v>
      </c>
      <c r="F111" s="4" t="s">
        <v>15</v>
      </c>
      <c r="G111" s="4" t="s">
        <v>16</v>
      </c>
      <c r="H111" s="8">
        <v>24459</v>
      </c>
      <c r="I111" s="5">
        <v>5</v>
      </c>
      <c r="J111" s="5">
        <v>521</v>
      </c>
      <c r="K111" s="4" t="s">
        <v>25</v>
      </c>
      <c r="L111" s="8">
        <v>523</v>
      </c>
      <c r="M111" s="4">
        <v>17099544</v>
      </c>
      <c r="N111" s="4" t="s">
        <v>327</v>
      </c>
      <c r="O111" s="4" t="s">
        <v>328</v>
      </c>
      <c r="P111" s="4" t="s">
        <v>29</v>
      </c>
      <c r="Q111" s="6">
        <v>342</v>
      </c>
      <c r="R111" s="6">
        <v>0</v>
      </c>
      <c r="S111" s="4">
        <v>2.6200000000000001E-2</v>
      </c>
      <c r="T111" s="4">
        <v>0.11799999999999999</v>
      </c>
      <c r="U111" s="4">
        <v>0</v>
      </c>
      <c r="V111" s="4">
        <v>342</v>
      </c>
      <c r="W111" s="4">
        <v>0</v>
      </c>
      <c r="X111" s="4">
        <v>0</v>
      </c>
      <c r="Y111" s="21">
        <f t="shared" si="3"/>
        <v>8.9600000000000009</v>
      </c>
      <c r="Z111" s="21">
        <f t="shared" si="4"/>
        <v>0</v>
      </c>
      <c r="AA111" s="21">
        <f t="shared" si="5"/>
        <v>8.9600000000000009</v>
      </c>
      <c r="AB111" s="21"/>
    </row>
    <row r="112" spans="1:28" ht="42.75" x14ac:dyDescent="0.25">
      <c r="A112" s="1" t="s">
        <v>326</v>
      </c>
      <c r="B112" s="1" t="s">
        <v>325</v>
      </c>
      <c r="C112" s="1" t="s">
        <v>326</v>
      </c>
      <c r="D112" s="4" t="s">
        <v>63</v>
      </c>
      <c r="E112" s="4" t="s">
        <v>14</v>
      </c>
      <c r="F112" s="4" t="s">
        <v>15</v>
      </c>
      <c r="G112" s="4" t="s">
        <v>16</v>
      </c>
      <c r="H112" s="8">
        <v>24459</v>
      </c>
      <c r="I112" s="5">
        <v>5</v>
      </c>
      <c r="J112" s="5">
        <v>523</v>
      </c>
      <c r="K112" s="4" t="s">
        <v>25</v>
      </c>
      <c r="L112" s="8">
        <v>536</v>
      </c>
      <c r="M112" s="4">
        <v>17099543</v>
      </c>
      <c r="N112" s="4" t="s">
        <v>332</v>
      </c>
      <c r="O112" s="4" t="s">
        <v>333</v>
      </c>
      <c r="P112" s="4" t="s">
        <v>29</v>
      </c>
      <c r="Q112" s="6">
        <v>536</v>
      </c>
      <c r="R112" s="6">
        <v>0</v>
      </c>
      <c r="S112" s="4">
        <v>2.6200000000000001E-2</v>
      </c>
      <c r="T112" s="4">
        <v>0.11799999999999999</v>
      </c>
      <c r="U112" s="4">
        <v>0</v>
      </c>
      <c r="V112" s="4">
        <v>536</v>
      </c>
      <c r="W112" s="4">
        <v>0</v>
      </c>
      <c r="X112" s="4">
        <v>0</v>
      </c>
      <c r="Y112" s="21">
        <f t="shared" si="3"/>
        <v>14.04</v>
      </c>
      <c r="Z112" s="21">
        <f t="shared" si="4"/>
        <v>0</v>
      </c>
      <c r="AA112" s="21">
        <f t="shared" si="5"/>
        <v>14.04</v>
      </c>
      <c r="AB112" s="21"/>
    </row>
    <row r="113" spans="1:28" ht="42.75" x14ac:dyDescent="0.25">
      <c r="A113" s="1" t="s">
        <v>326</v>
      </c>
      <c r="B113" s="1" t="s">
        <v>325</v>
      </c>
      <c r="C113" s="1" t="s">
        <v>326</v>
      </c>
      <c r="D113" s="4" t="s">
        <v>63</v>
      </c>
      <c r="E113" s="4" t="s">
        <v>14</v>
      </c>
      <c r="F113" s="4" t="s">
        <v>15</v>
      </c>
      <c r="G113" s="4" t="s">
        <v>16</v>
      </c>
      <c r="H113" s="8">
        <v>24459</v>
      </c>
      <c r="I113" s="5">
        <v>5</v>
      </c>
      <c r="J113" s="5">
        <v>536</v>
      </c>
      <c r="K113" s="4" t="s">
        <v>25</v>
      </c>
      <c r="L113" s="8">
        <v>532</v>
      </c>
      <c r="M113" s="4">
        <v>17099546</v>
      </c>
      <c r="N113" s="4" t="s">
        <v>338</v>
      </c>
      <c r="O113" s="4" t="s">
        <v>339</v>
      </c>
      <c r="P113" s="4" t="s">
        <v>29</v>
      </c>
      <c r="Q113" s="6">
        <v>3192</v>
      </c>
      <c r="R113" s="6">
        <v>0</v>
      </c>
      <c r="S113" s="4">
        <v>2.6200000000000001E-2</v>
      </c>
      <c r="T113" s="4">
        <v>0.11799999999999999</v>
      </c>
      <c r="U113" s="4">
        <v>0</v>
      </c>
      <c r="V113" s="4">
        <v>3192</v>
      </c>
      <c r="W113" s="4">
        <v>0</v>
      </c>
      <c r="X113" s="4">
        <v>0</v>
      </c>
      <c r="Y113" s="21">
        <f t="shared" si="3"/>
        <v>83.63</v>
      </c>
      <c r="Z113" s="21">
        <f t="shared" si="4"/>
        <v>0</v>
      </c>
      <c r="AA113" s="21">
        <f t="shared" si="5"/>
        <v>83.63</v>
      </c>
      <c r="AB113" s="21"/>
    </row>
    <row r="114" spans="1:28" ht="42.75" x14ac:dyDescent="0.25">
      <c r="A114" s="1" t="s">
        <v>326</v>
      </c>
      <c r="B114" s="1" t="s">
        <v>325</v>
      </c>
      <c r="C114" s="1" t="s">
        <v>326</v>
      </c>
      <c r="D114" s="4" t="s">
        <v>63</v>
      </c>
      <c r="E114" s="4" t="s">
        <v>14</v>
      </c>
      <c r="F114" s="4" t="s">
        <v>15</v>
      </c>
      <c r="G114" s="4" t="s">
        <v>16</v>
      </c>
      <c r="H114" s="8">
        <v>24459</v>
      </c>
      <c r="I114" s="5">
        <v>5</v>
      </c>
      <c r="J114" s="5">
        <v>532</v>
      </c>
      <c r="K114" s="4" t="s">
        <v>25</v>
      </c>
      <c r="L114" s="8">
        <v>434</v>
      </c>
      <c r="M114" s="4">
        <v>17099545</v>
      </c>
      <c r="N114" s="4" t="s">
        <v>342</v>
      </c>
      <c r="O114" s="4" t="s">
        <v>343</v>
      </c>
      <c r="P114" s="4" t="s">
        <v>29</v>
      </c>
      <c r="Q114" s="6">
        <v>56</v>
      </c>
      <c r="R114" s="6">
        <v>0</v>
      </c>
      <c r="S114" s="4">
        <v>2.6200000000000001E-2</v>
      </c>
      <c r="T114" s="4">
        <v>0.11799999999999999</v>
      </c>
      <c r="U114" s="4">
        <v>0</v>
      </c>
      <c r="V114" s="4">
        <v>56</v>
      </c>
      <c r="W114" s="4">
        <v>0</v>
      </c>
      <c r="X114" s="4">
        <v>0</v>
      </c>
      <c r="Y114" s="21">
        <f t="shared" si="3"/>
        <v>1.47</v>
      </c>
      <c r="Z114" s="21">
        <f t="shared" si="4"/>
        <v>0</v>
      </c>
      <c r="AA114" s="21">
        <f t="shared" si="5"/>
        <v>1.47</v>
      </c>
      <c r="AB114" s="21"/>
    </row>
    <row r="115" spans="1:28" ht="42.75" x14ac:dyDescent="0.25">
      <c r="A115" s="1" t="s">
        <v>326</v>
      </c>
      <c r="B115" s="1" t="s">
        <v>325</v>
      </c>
      <c r="C115" s="1" t="s">
        <v>326</v>
      </c>
      <c r="D115" s="4" t="s">
        <v>63</v>
      </c>
      <c r="E115" s="4" t="s">
        <v>14</v>
      </c>
      <c r="F115" s="4" t="s">
        <v>15</v>
      </c>
      <c r="G115" s="4" t="s">
        <v>16</v>
      </c>
      <c r="H115" s="8">
        <v>24459</v>
      </c>
      <c r="I115" s="5">
        <v>5</v>
      </c>
      <c r="J115" s="5">
        <v>528</v>
      </c>
      <c r="K115" s="4" t="s">
        <v>18</v>
      </c>
      <c r="L115" s="8">
        <v>425</v>
      </c>
      <c r="M115" s="4">
        <v>17099485</v>
      </c>
      <c r="N115" s="4" t="s">
        <v>435</v>
      </c>
      <c r="O115" s="4" t="s">
        <v>436</v>
      </c>
      <c r="P115" s="4" t="s">
        <v>709</v>
      </c>
      <c r="Q115" s="6">
        <v>11030</v>
      </c>
      <c r="R115" s="6">
        <v>608</v>
      </c>
      <c r="S115" s="4">
        <v>2.07E-2</v>
      </c>
      <c r="T115" s="4">
        <v>8.6999999999999994E-2</v>
      </c>
      <c r="U115" s="4">
        <v>0</v>
      </c>
      <c r="V115" s="4">
        <v>11030</v>
      </c>
      <c r="W115" s="4">
        <v>0</v>
      </c>
      <c r="X115" s="4">
        <v>608</v>
      </c>
      <c r="Y115" s="21">
        <f t="shared" si="3"/>
        <v>228.32</v>
      </c>
      <c r="Z115" s="21">
        <f t="shared" si="4"/>
        <v>52.9</v>
      </c>
      <c r="AA115" s="21">
        <f t="shared" si="5"/>
        <v>281.21999999999997</v>
      </c>
      <c r="AB115" s="21">
        <f>SUM(AA111:AA115)</f>
        <v>389.31999999999994</v>
      </c>
    </row>
    <row r="116" spans="1:28" ht="71.25" x14ac:dyDescent="0.25">
      <c r="A116" s="1" t="s">
        <v>80</v>
      </c>
      <c r="B116" s="1" t="s">
        <v>79</v>
      </c>
      <c r="C116" s="1" t="s">
        <v>642</v>
      </c>
      <c r="D116" s="4" t="s">
        <v>76</v>
      </c>
      <c r="E116" s="4" t="s">
        <v>77</v>
      </c>
      <c r="F116" s="4" t="s">
        <v>15</v>
      </c>
      <c r="G116" s="4" t="s">
        <v>16</v>
      </c>
      <c r="H116" s="8">
        <v>22450</v>
      </c>
      <c r="I116" s="5">
        <v>1</v>
      </c>
      <c r="J116" s="5">
        <v>305</v>
      </c>
      <c r="K116" s="4" t="s">
        <v>18</v>
      </c>
      <c r="L116" s="8">
        <v>306</v>
      </c>
      <c r="M116" s="4">
        <v>17099494</v>
      </c>
      <c r="N116" s="4" t="s">
        <v>81</v>
      </c>
      <c r="O116" s="4" t="s">
        <v>82</v>
      </c>
      <c r="P116" s="4" t="s">
        <v>709</v>
      </c>
      <c r="Q116" s="6">
        <v>3991</v>
      </c>
      <c r="R116" s="6">
        <v>956</v>
      </c>
      <c r="S116" s="4">
        <v>2.07E-2</v>
      </c>
      <c r="T116" s="4">
        <v>8.6999999999999994E-2</v>
      </c>
      <c r="U116" s="4">
        <v>0</v>
      </c>
      <c r="V116" s="4">
        <v>3991</v>
      </c>
      <c r="W116" s="4">
        <v>0</v>
      </c>
      <c r="X116" s="4">
        <v>956</v>
      </c>
      <c r="Y116" s="21">
        <f t="shared" si="3"/>
        <v>82.61</v>
      </c>
      <c r="Z116" s="21">
        <f t="shared" si="4"/>
        <v>83.17</v>
      </c>
      <c r="AA116" s="21">
        <f t="shared" si="5"/>
        <v>165.78</v>
      </c>
      <c r="AB116" s="21"/>
    </row>
    <row r="117" spans="1:28" ht="71.25" x14ac:dyDescent="0.25">
      <c r="A117" s="1" t="s">
        <v>80</v>
      </c>
      <c r="B117" s="1" t="s">
        <v>79</v>
      </c>
      <c r="C117" s="1" t="s">
        <v>642</v>
      </c>
      <c r="D117" s="4" t="s">
        <v>76</v>
      </c>
      <c r="E117" s="4" t="s">
        <v>77</v>
      </c>
      <c r="F117" s="4" t="s">
        <v>15</v>
      </c>
      <c r="G117" s="4" t="s">
        <v>16</v>
      </c>
      <c r="H117" s="8">
        <v>22450</v>
      </c>
      <c r="I117" s="5">
        <v>2</v>
      </c>
      <c r="J117" s="5">
        <v>303</v>
      </c>
      <c r="K117" s="4" t="s">
        <v>25</v>
      </c>
      <c r="L117" s="8">
        <v>303</v>
      </c>
      <c r="M117" s="4">
        <v>17099441</v>
      </c>
      <c r="N117" s="4" t="s">
        <v>206</v>
      </c>
      <c r="O117" s="4" t="s">
        <v>207</v>
      </c>
      <c r="P117" s="4" t="s">
        <v>29</v>
      </c>
      <c r="Q117" s="6">
        <v>182</v>
      </c>
      <c r="R117" s="6">
        <v>0</v>
      </c>
      <c r="S117" s="4">
        <v>2.6200000000000001E-2</v>
      </c>
      <c r="T117" s="4">
        <v>0.11799999999999999</v>
      </c>
      <c r="U117" s="4">
        <v>0</v>
      </c>
      <c r="V117" s="4">
        <v>182</v>
      </c>
      <c r="W117" s="4">
        <v>0</v>
      </c>
      <c r="X117" s="4">
        <v>0</v>
      </c>
      <c r="Y117" s="21">
        <f t="shared" si="3"/>
        <v>4.7699999999999996</v>
      </c>
      <c r="Z117" s="21">
        <f t="shared" si="4"/>
        <v>0</v>
      </c>
      <c r="AA117" s="21">
        <f t="shared" si="5"/>
        <v>4.7699999999999996</v>
      </c>
      <c r="AB117" s="21"/>
    </row>
    <row r="118" spans="1:28" ht="71.25" x14ac:dyDescent="0.25">
      <c r="A118" s="1" t="s">
        <v>80</v>
      </c>
      <c r="B118" s="1" t="s">
        <v>79</v>
      </c>
      <c r="C118" s="1" t="s">
        <v>642</v>
      </c>
      <c r="D118" s="4" t="s">
        <v>76</v>
      </c>
      <c r="E118" s="4" t="s">
        <v>77</v>
      </c>
      <c r="F118" s="4" t="s">
        <v>15</v>
      </c>
      <c r="G118" s="4" t="s">
        <v>16</v>
      </c>
      <c r="H118" s="8">
        <v>22450</v>
      </c>
      <c r="I118" s="5">
        <v>2</v>
      </c>
      <c r="J118" s="5">
        <v>303</v>
      </c>
      <c r="K118" s="4" t="s">
        <v>25</v>
      </c>
      <c r="L118" s="8">
        <v>303</v>
      </c>
      <c r="M118" s="4">
        <v>17099509</v>
      </c>
      <c r="N118" s="4" t="s">
        <v>344</v>
      </c>
      <c r="O118" s="4" t="s">
        <v>345</v>
      </c>
      <c r="P118" s="4" t="s">
        <v>29</v>
      </c>
      <c r="Q118" s="6">
        <v>2024</v>
      </c>
      <c r="R118" s="6">
        <v>0</v>
      </c>
      <c r="S118" s="4">
        <v>2.6200000000000001E-2</v>
      </c>
      <c r="T118" s="4">
        <v>0.11799999999999999</v>
      </c>
      <c r="U118" s="4">
        <v>0</v>
      </c>
      <c r="V118" s="4">
        <v>2024</v>
      </c>
      <c r="W118" s="4">
        <v>0</v>
      </c>
      <c r="X118" s="4">
        <v>0</v>
      </c>
      <c r="Y118" s="21">
        <f t="shared" si="3"/>
        <v>53.03</v>
      </c>
      <c r="Z118" s="21">
        <f t="shared" si="4"/>
        <v>0</v>
      </c>
      <c r="AA118" s="21">
        <f t="shared" si="5"/>
        <v>53.03</v>
      </c>
      <c r="AB118" s="21"/>
    </row>
    <row r="119" spans="1:28" ht="71.25" x14ac:dyDescent="0.25">
      <c r="A119" s="1" t="s">
        <v>80</v>
      </c>
      <c r="B119" s="1" t="s">
        <v>79</v>
      </c>
      <c r="C119" s="1" t="s">
        <v>642</v>
      </c>
      <c r="D119" s="4" t="s">
        <v>76</v>
      </c>
      <c r="E119" s="4" t="s">
        <v>77</v>
      </c>
      <c r="F119" s="4" t="s">
        <v>15</v>
      </c>
      <c r="G119" s="4" t="s">
        <v>16</v>
      </c>
      <c r="H119" s="8">
        <v>22450</v>
      </c>
      <c r="I119" s="5">
        <v>1</v>
      </c>
      <c r="J119" s="5">
        <v>301</v>
      </c>
      <c r="K119" s="4" t="s">
        <v>25</v>
      </c>
      <c r="L119" s="8">
        <v>301</v>
      </c>
      <c r="M119" s="4">
        <v>17099508</v>
      </c>
      <c r="N119" s="4" t="s">
        <v>427</v>
      </c>
      <c r="O119" s="4" t="s">
        <v>428</v>
      </c>
      <c r="P119" s="4" t="s">
        <v>29</v>
      </c>
      <c r="Q119" s="6">
        <v>848</v>
      </c>
      <c r="R119" s="6">
        <v>0</v>
      </c>
      <c r="S119" s="4">
        <v>2.6200000000000001E-2</v>
      </c>
      <c r="T119" s="4">
        <v>0.11799999999999999</v>
      </c>
      <c r="U119" s="4">
        <v>0</v>
      </c>
      <c r="V119" s="4">
        <v>848</v>
      </c>
      <c r="W119" s="4">
        <v>0</v>
      </c>
      <c r="X119" s="4">
        <v>0</v>
      </c>
      <c r="Y119" s="21">
        <f t="shared" si="3"/>
        <v>22.22</v>
      </c>
      <c r="Z119" s="21">
        <f t="shared" si="4"/>
        <v>0</v>
      </c>
      <c r="AA119" s="21">
        <f t="shared" si="5"/>
        <v>22.22</v>
      </c>
      <c r="AB119" s="21"/>
    </row>
    <row r="120" spans="1:28" ht="71.25" x14ac:dyDescent="0.25">
      <c r="A120" s="1" t="s">
        <v>80</v>
      </c>
      <c r="B120" s="1" t="s">
        <v>79</v>
      </c>
      <c r="C120" s="1" t="s">
        <v>642</v>
      </c>
      <c r="D120" s="4" t="s">
        <v>76</v>
      </c>
      <c r="E120" s="4" t="s">
        <v>77</v>
      </c>
      <c r="F120" s="4" t="s">
        <v>15</v>
      </c>
      <c r="G120" s="4" t="s">
        <v>16</v>
      </c>
      <c r="H120" s="8">
        <v>22450</v>
      </c>
      <c r="I120" s="5">
        <v>2</v>
      </c>
      <c r="J120" s="5">
        <v>303</v>
      </c>
      <c r="K120" s="4" t="s">
        <v>25</v>
      </c>
      <c r="L120" s="8">
        <v>303</v>
      </c>
      <c r="M120" s="4">
        <v>17099510</v>
      </c>
      <c r="N120" s="4" t="s">
        <v>461</v>
      </c>
      <c r="O120" s="4" t="s">
        <v>462</v>
      </c>
      <c r="P120" s="4" t="s">
        <v>29</v>
      </c>
      <c r="Q120" s="6">
        <v>340</v>
      </c>
      <c r="R120" s="6">
        <v>0</v>
      </c>
      <c r="S120" s="4">
        <v>2.6200000000000001E-2</v>
      </c>
      <c r="T120" s="4">
        <v>0.11799999999999999</v>
      </c>
      <c r="U120" s="4">
        <v>0</v>
      </c>
      <c r="V120" s="4">
        <v>340</v>
      </c>
      <c r="W120" s="4">
        <v>0</v>
      </c>
      <c r="X120" s="4">
        <v>0</v>
      </c>
      <c r="Y120" s="21">
        <f t="shared" si="3"/>
        <v>8.91</v>
      </c>
      <c r="Z120" s="21">
        <f t="shared" si="4"/>
        <v>0</v>
      </c>
      <c r="AA120" s="21">
        <f t="shared" si="5"/>
        <v>8.91</v>
      </c>
      <c r="AB120" s="21">
        <f>SUM(AA116:AA120)</f>
        <v>254.71</v>
      </c>
    </row>
    <row r="121" spans="1:28" ht="42.75" x14ac:dyDescent="0.25">
      <c r="A121" s="1" t="s">
        <v>334</v>
      </c>
      <c r="B121" s="1" t="s">
        <v>335</v>
      </c>
      <c r="C121" s="1" t="s">
        <v>655</v>
      </c>
      <c r="D121" s="4" t="s">
        <v>334</v>
      </c>
      <c r="E121" s="4" t="s">
        <v>14</v>
      </c>
      <c r="F121" s="4" t="s">
        <v>15</v>
      </c>
      <c r="G121" s="4" t="s">
        <v>16</v>
      </c>
      <c r="H121" s="8">
        <v>24450</v>
      </c>
      <c r="I121" s="5">
        <v>2</v>
      </c>
      <c r="J121" s="5">
        <v>219</v>
      </c>
      <c r="K121" s="4" t="s">
        <v>18</v>
      </c>
      <c r="L121" s="8">
        <v>219</v>
      </c>
      <c r="M121" s="4">
        <v>17099495</v>
      </c>
      <c r="N121" s="4" t="s">
        <v>465</v>
      </c>
      <c r="O121" s="4" t="s">
        <v>466</v>
      </c>
      <c r="P121" s="4" t="s">
        <v>709</v>
      </c>
      <c r="Q121" s="6">
        <v>1531</v>
      </c>
      <c r="R121" s="6">
        <v>91</v>
      </c>
      <c r="S121" s="4">
        <v>2.07E-2</v>
      </c>
      <c r="T121" s="4">
        <v>8.6999999999999994E-2</v>
      </c>
      <c r="U121" s="4">
        <v>0</v>
      </c>
      <c r="V121" s="4">
        <v>1531</v>
      </c>
      <c r="W121" s="4">
        <v>0</v>
      </c>
      <c r="X121" s="4">
        <v>91</v>
      </c>
      <c r="Y121" s="21">
        <f t="shared" si="3"/>
        <v>31.69</v>
      </c>
      <c r="Z121" s="21">
        <f t="shared" si="4"/>
        <v>7.92</v>
      </c>
      <c r="AA121" s="21">
        <f t="shared" si="5"/>
        <v>39.61</v>
      </c>
      <c r="AB121" s="21"/>
    </row>
    <row r="122" spans="1:28" ht="42.75" x14ac:dyDescent="0.25">
      <c r="A122" s="1" t="s">
        <v>334</v>
      </c>
      <c r="B122" s="1" t="s">
        <v>335</v>
      </c>
      <c r="C122" s="1" t="s">
        <v>655</v>
      </c>
      <c r="D122" s="4" t="s">
        <v>334</v>
      </c>
      <c r="E122" s="4" t="s">
        <v>14</v>
      </c>
      <c r="F122" s="4" t="s">
        <v>15</v>
      </c>
      <c r="G122" s="4" t="s">
        <v>16</v>
      </c>
      <c r="H122" s="8">
        <v>24450</v>
      </c>
      <c r="I122" s="5">
        <v>1</v>
      </c>
      <c r="J122" s="5">
        <v>121</v>
      </c>
      <c r="K122" s="4" t="s">
        <v>18</v>
      </c>
      <c r="L122" s="8">
        <v>121</v>
      </c>
      <c r="M122" s="4">
        <v>17099496</v>
      </c>
      <c r="N122" s="4" t="s">
        <v>336</v>
      </c>
      <c r="O122" s="4" t="s">
        <v>337</v>
      </c>
      <c r="P122" s="4" t="s">
        <v>709</v>
      </c>
      <c r="Q122" s="6">
        <v>6620</v>
      </c>
      <c r="R122" s="6">
        <v>331</v>
      </c>
      <c r="S122" s="4">
        <v>2.07E-2</v>
      </c>
      <c r="T122" s="4">
        <v>8.6999999999999994E-2</v>
      </c>
      <c r="U122" s="4">
        <v>0</v>
      </c>
      <c r="V122" s="4">
        <v>6620</v>
      </c>
      <c r="W122" s="4">
        <v>0</v>
      </c>
      <c r="X122" s="4">
        <v>331</v>
      </c>
      <c r="Y122" s="21">
        <f t="shared" si="3"/>
        <v>137.03</v>
      </c>
      <c r="Z122" s="21">
        <f t="shared" si="4"/>
        <v>28.8</v>
      </c>
      <c r="AA122" s="21">
        <f t="shared" si="5"/>
        <v>165.83</v>
      </c>
      <c r="AB122" s="21"/>
    </row>
    <row r="123" spans="1:28" ht="42.75" x14ac:dyDescent="0.25">
      <c r="A123" s="1" t="s">
        <v>334</v>
      </c>
      <c r="B123" s="1" t="s">
        <v>335</v>
      </c>
      <c r="C123" s="1" t="s">
        <v>655</v>
      </c>
      <c r="D123" s="4" t="s">
        <v>334</v>
      </c>
      <c r="E123" s="4" t="s">
        <v>14</v>
      </c>
      <c r="F123" s="4" t="s">
        <v>15</v>
      </c>
      <c r="G123" s="4" t="s">
        <v>16</v>
      </c>
      <c r="H123" s="8">
        <v>24450</v>
      </c>
      <c r="I123" s="5">
        <v>1</v>
      </c>
      <c r="J123" s="5">
        <v>113</v>
      </c>
      <c r="K123" s="4" t="s">
        <v>25</v>
      </c>
      <c r="L123" s="8">
        <v>113</v>
      </c>
      <c r="M123" s="4">
        <v>17099635</v>
      </c>
      <c r="N123" s="4" t="s">
        <v>476</v>
      </c>
      <c r="O123" s="4" t="s">
        <v>477</v>
      </c>
      <c r="P123" s="4" t="s">
        <v>29</v>
      </c>
      <c r="Q123" s="6">
        <v>2218</v>
      </c>
      <c r="R123" s="6">
        <v>0</v>
      </c>
      <c r="S123" s="4">
        <v>2.6200000000000001E-2</v>
      </c>
      <c r="T123" s="4">
        <v>0.11799999999999999</v>
      </c>
      <c r="U123" s="4">
        <v>0</v>
      </c>
      <c r="V123" s="4">
        <v>2218</v>
      </c>
      <c r="W123" s="4">
        <v>0</v>
      </c>
      <c r="X123" s="4">
        <v>0</v>
      </c>
      <c r="Y123" s="21">
        <f t="shared" si="3"/>
        <v>58.11</v>
      </c>
      <c r="Z123" s="21">
        <f t="shared" si="4"/>
        <v>0</v>
      </c>
      <c r="AA123" s="21">
        <f t="shared" si="5"/>
        <v>58.11</v>
      </c>
      <c r="AB123" s="21">
        <f>SUM(AA121:AA123)</f>
        <v>263.55</v>
      </c>
    </row>
    <row r="124" spans="1:28" ht="42.75" x14ac:dyDescent="0.25">
      <c r="A124" s="1" t="s">
        <v>193</v>
      </c>
      <c r="B124" s="1" t="s">
        <v>316</v>
      </c>
      <c r="C124" s="1" t="s">
        <v>636</v>
      </c>
      <c r="D124" s="4" t="s">
        <v>93</v>
      </c>
      <c r="E124" s="4" t="s">
        <v>14</v>
      </c>
      <c r="F124" s="4" t="s">
        <v>15</v>
      </c>
      <c r="G124" s="4" t="s">
        <v>16</v>
      </c>
      <c r="H124" s="8">
        <v>24450</v>
      </c>
      <c r="I124" s="5">
        <v>3</v>
      </c>
      <c r="J124" s="5">
        <v>343</v>
      </c>
      <c r="K124" s="4" t="s">
        <v>162</v>
      </c>
      <c r="L124" s="8">
        <v>709</v>
      </c>
      <c r="M124" s="4">
        <v>17099400</v>
      </c>
      <c r="N124" s="4" t="s">
        <v>506</v>
      </c>
      <c r="O124" s="4" t="s">
        <v>507</v>
      </c>
      <c r="P124" s="4" t="s">
        <v>709</v>
      </c>
      <c r="Q124" s="6">
        <v>15784</v>
      </c>
      <c r="R124" s="6">
        <v>1830</v>
      </c>
      <c r="S124" s="4">
        <v>2.07E-2</v>
      </c>
      <c r="T124" s="4">
        <v>8.6999999999999994E-2</v>
      </c>
      <c r="U124" s="4">
        <v>0</v>
      </c>
      <c r="V124" s="4">
        <v>15784</v>
      </c>
      <c r="W124" s="4">
        <v>0</v>
      </c>
      <c r="X124" s="4">
        <v>1830</v>
      </c>
      <c r="Y124" s="21">
        <f t="shared" si="3"/>
        <v>326.73</v>
      </c>
      <c r="Z124" s="21">
        <f t="shared" si="4"/>
        <v>159.21</v>
      </c>
      <c r="AA124" s="21">
        <f t="shared" si="5"/>
        <v>485.94000000000005</v>
      </c>
      <c r="AB124" s="21"/>
    </row>
    <row r="125" spans="1:28" ht="42.75" x14ac:dyDescent="0.25">
      <c r="A125" s="1" t="s">
        <v>193</v>
      </c>
      <c r="B125" s="1" t="s">
        <v>316</v>
      </c>
      <c r="C125" s="1" t="s">
        <v>636</v>
      </c>
      <c r="D125" s="4" t="s">
        <v>93</v>
      </c>
      <c r="E125" s="4" t="s">
        <v>14</v>
      </c>
      <c r="F125" s="4" t="s">
        <v>15</v>
      </c>
      <c r="G125" s="4" t="s">
        <v>16</v>
      </c>
      <c r="H125" s="8">
        <v>24450</v>
      </c>
      <c r="I125" s="5">
        <v>3</v>
      </c>
      <c r="J125" s="5">
        <v>315</v>
      </c>
      <c r="K125" s="4" t="s">
        <v>25</v>
      </c>
      <c r="L125" s="8">
        <v>605</v>
      </c>
      <c r="M125" s="4">
        <v>17099640</v>
      </c>
      <c r="N125" s="4" t="s">
        <v>514</v>
      </c>
      <c r="O125" s="4" t="s">
        <v>515</v>
      </c>
      <c r="P125" s="4" t="s">
        <v>29</v>
      </c>
      <c r="Q125" s="6">
        <v>498</v>
      </c>
      <c r="R125" s="6">
        <v>0</v>
      </c>
      <c r="S125" s="4">
        <v>2.6200000000000001E-2</v>
      </c>
      <c r="T125" s="4">
        <v>0.11799999999999999</v>
      </c>
      <c r="U125" s="4">
        <v>0</v>
      </c>
      <c r="V125" s="4">
        <v>498</v>
      </c>
      <c r="W125" s="4">
        <v>0</v>
      </c>
      <c r="X125" s="4">
        <v>0</v>
      </c>
      <c r="Y125" s="21">
        <f t="shared" si="3"/>
        <v>13.05</v>
      </c>
      <c r="Z125" s="21">
        <f t="shared" si="4"/>
        <v>0</v>
      </c>
      <c r="AA125" s="21">
        <f t="shared" si="5"/>
        <v>13.05</v>
      </c>
      <c r="AB125" s="21"/>
    </row>
    <row r="126" spans="1:28" ht="42.75" x14ac:dyDescent="0.25">
      <c r="A126" s="1" t="s">
        <v>193</v>
      </c>
      <c r="B126" s="1" t="s">
        <v>41</v>
      </c>
      <c r="C126" s="1" t="s">
        <v>645</v>
      </c>
      <c r="D126" s="4" t="s">
        <v>93</v>
      </c>
      <c r="E126" s="4" t="s">
        <v>14</v>
      </c>
      <c r="F126" s="4" t="s">
        <v>15</v>
      </c>
      <c r="G126" s="4" t="s">
        <v>16</v>
      </c>
      <c r="H126" s="8">
        <v>24450</v>
      </c>
      <c r="I126" s="5">
        <v>3</v>
      </c>
      <c r="J126" s="5">
        <v>304</v>
      </c>
      <c r="K126" s="4" t="s">
        <v>25</v>
      </c>
      <c r="L126" s="8">
        <v>620</v>
      </c>
      <c r="M126" s="4">
        <v>17099645</v>
      </c>
      <c r="N126" s="4" t="s">
        <v>194</v>
      </c>
      <c r="O126" s="4" t="s">
        <v>195</v>
      </c>
      <c r="P126" s="4" t="s">
        <v>29</v>
      </c>
      <c r="Q126" s="6">
        <v>6</v>
      </c>
      <c r="R126" s="6">
        <v>0</v>
      </c>
      <c r="S126" s="4">
        <v>2.6200000000000001E-2</v>
      </c>
      <c r="T126" s="4">
        <v>0.11799999999999999</v>
      </c>
      <c r="U126" s="4">
        <v>0</v>
      </c>
      <c r="V126" s="4">
        <v>6</v>
      </c>
      <c r="W126" s="4">
        <v>0</v>
      </c>
      <c r="X126" s="4">
        <v>0</v>
      </c>
      <c r="Y126" s="21">
        <f t="shared" si="3"/>
        <v>0.16</v>
      </c>
      <c r="Z126" s="21">
        <f t="shared" si="4"/>
        <v>0</v>
      </c>
      <c r="AA126" s="21">
        <f t="shared" si="5"/>
        <v>0.16</v>
      </c>
      <c r="AB126" s="21">
        <f>SUM(AA124:AA126)</f>
        <v>499.15000000000009</v>
      </c>
    </row>
    <row r="127" spans="1:28" ht="42.75" x14ac:dyDescent="0.25">
      <c r="A127" s="1" t="s">
        <v>269</v>
      </c>
      <c r="B127" s="1" t="s">
        <v>390</v>
      </c>
      <c r="C127" s="1" t="s">
        <v>391</v>
      </c>
      <c r="D127" s="4" t="s">
        <v>268</v>
      </c>
      <c r="E127" s="4" t="s">
        <v>14</v>
      </c>
      <c r="F127" s="4" t="s">
        <v>15</v>
      </c>
      <c r="G127" s="4" t="s">
        <v>16</v>
      </c>
      <c r="H127" s="8">
        <v>24450</v>
      </c>
      <c r="I127" s="5">
        <v>1</v>
      </c>
      <c r="J127" s="5">
        <v>101</v>
      </c>
      <c r="K127" s="4" t="s">
        <v>84</v>
      </c>
      <c r="L127" s="8">
        <v>202</v>
      </c>
      <c r="M127" s="4">
        <v>17099533</v>
      </c>
      <c r="N127" s="4" t="s">
        <v>270</v>
      </c>
      <c r="O127" s="4" t="s">
        <v>271</v>
      </c>
      <c r="P127" s="4" t="s">
        <v>29</v>
      </c>
      <c r="Q127" s="6">
        <v>617</v>
      </c>
      <c r="R127" s="6">
        <v>0</v>
      </c>
      <c r="S127" s="4">
        <v>2.6200000000000001E-2</v>
      </c>
      <c r="T127" s="4">
        <v>0.11799999999999999</v>
      </c>
      <c r="U127" s="4">
        <v>0</v>
      </c>
      <c r="V127" s="4">
        <v>617</v>
      </c>
      <c r="W127" s="4">
        <v>0</v>
      </c>
      <c r="X127" s="4">
        <v>0</v>
      </c>
      <c r="Y127" s="21">
        <f t="shared" si="3"/>
        <v>16.170000000000002</v>
      </c>
      <c r="Z127" s="21">
        <f t="shared" si="4"/>
        <v>0</v>
      </c>
      <c r="AA127" s="21">
        <f t="shared" si="5"/>
        <v>16.170000000000002</v>
      </c>
      <c r="AB127" s="21">
        <f>Table14[[#This Row],[Device Total Click Charge]]</f>
        <v>16.170000000000002</v>
      </c>
    </row>
    <row r="128" spans="1:28" ht="42.75" x14ac:dyDescent="0.25">
      <c r="A128" s="1" t="s">
        <v>391</v>
      </c>
      <c r="B128" s="1" t="s">
        <v>390</v>
      </c>
      <c r="C128" s="1" t="s">
        <v>391</v>
      </c>
      <c r="D128" s="4" t="s">
        <v>63</v>
      </c>
      <c r="E128" s="4" t="s">
        <v>14</v>
      </c>
      <c r="F128" s="4" t="s">
        <v>15</v>
      </c>
      <c r="G128" s="4" t="s">
        <v>16</v>
      </c>
      <c r="H128" s="8">
        <v>24459</v>
      </c>
      <c r="I128" s="5">
        <v>4</v>
      </c>
      <c r="J128" s="5">
        <v>429</v>
      </c>
      <c r="K128" s="4" t="s">
        <v>25</v>
      </c>
      <c r="L128" s="4" t="s">
        <v>17</v>
      </c>
      <c r="M128" s="4">
        <v>17099547</v>
      </c>
      <c r="N128" s="4" t="s">
        <v>392</v>
      </c>
      <c r="O128" s="4" t="s">
        <v>393</v>
      </c>
      <c r="P128" s="4" t="s">
        <v>29</v>
      </c>
      <c r="Q128" s="6">
        <v>2346</v>
      </c>
      <c r="R128" s="6">
        <v>0</v>
      </c>
      <c r="S128" s="4">
        <v>2.6200000000000001E-2</v>
      </c>
      <c r="T128" s="4">
        <v>0.11799999999999999</v>
      </c>
      <c r="U128" s="4">
        <v>0</v>
      </c>
      <c r="V128" s="4">
        <v>2346</v>
      </c>
      <c r="W128" s="4">
        <v>0</v>
      </c>
      <c r="X128" s="4">
        <v>0</v>
      </c>
      <c r="Y128" s="21">
        <f t="shared" si="3"/>
        <v>61.47</v>
      </c>
      <c r="Z128" s="21">
        <f t="shared" si="4"/>
        <v>0</v>
      </c>
      <c r="AA128" s="21">
        <f t="shared" si="5"/>
        <v>61.47</v>
      </c>
      <c r="AB128" s="21"/>
    </row>
    <row r="129" spans="1:67" ht="42.75" x14ac:dyDescent="0.25">
      <c r="A129" s="1" t="s">
        <v>391</v>
      </c>
      <c r="B129" s="1" t="s">
        <v>390</v>
      </c>
      <c r="C129" s="1" t="s">
        <v>391</v>
      </c>
      <c r="D129" s="4" t="s">
        <v>63</v>
      </c>
      <c r="E129" s="4" t="s">
        <v>14</v>
      </c>
      <c r="F129" s="4" t="s">
        <v>15</v>
      </c>
      <c r="G129" s="4" t="s">
        <v>16</v>
      </c>
      <c r="H129" s="8">
        <v>24459</v>
      </c>
      <c r="I129" s="5">
        <v>4</v>
      </c>
      <c r="J129" s="5">
        <v>434</v>
      </c>
      <c r="K129" s="4" t="s">
        <v>25</v>
      </c>
      <c r="L129" s="8">
        <v>236</v>
      </c>
      <c r="M129" s="4">
        <v>17099550</v>
      </c>
      <c r="N129" s="4" t="s">
        <v>457</v>
      </c>
      <c r="O129" s="4" t="s">
        <v>458</v>
      </c>
      <c r="P129" s="4" t="s">
        <v>29</v>
      </c>
      <c r="Q129" s="6">
        <v>448</v>
      </c>
      <c r="R129" s="6">
        <v>0</v>
      </c>
      <c r="S129" s="4">
        <v>2.6200000000000001E-2</v>
      </c>
      <c r="T129" s="4">
        <v>0.11799999999999999</v>
      </c>
      <c r="U129" s="4">
        <v>0</v>
      </c>
      <c r="V129" s="4">
        <v>448</v>
      </c>
      <c r="W129" s="4">
        <v>0</v>
      </c>
      <c r="X129" s="4">
        <v>0</v>
      </c>
      <c r="Y129" s="21">
        <f t="shared" si="3"/>
        <v>11.74</v>
      </c>
      <c r="Z129" s="21">
        <f t="shared" si="4"/>
        <v>0</v>
      </c>
      <c r="AA129" s="21">
        <f t="shared" si="5"/>
        <v>11.74</v>
      </c>
      <c r="AB129" s="21"/>
    </row>
    <row r="130" spans="1:67" ht="42.75" x14ac:dyDescent="0.25">
      <c r="A130" s="1" t="s">
        <v>391</v>
      </c>
      <c r="B130" s="1" t="s">
        <v>390</v>
      </c>
      <c r="C130" s="1" t="s">
        <v>391</v>
      </c>
      <c r="D130" s="4" t="s">
        <v>63</v>
      </c>
      <c r="E130" s="4" t="s">
        <v>14</v>
      </c>
      <c r="F130" s="4" t="s">
        <v>15</v>
      </c>
      <c r="G130" s="4" t="s">
        <v>16</v>
      </c>
      <c r="H130" s="8">
        <v>24459</v>
      </c>
      <c r="I130" s="5">
        <v>4</v>
      </c>
      <c r="J130" s="5">
        <v>444</v>
      </c>
      <c r="K130" s="4" t="s">
        <v>18</v>
      </c>
      <c r="L130" s="4" t="s">
        <v>142</v>
      </c>
      <c r="M130" s="4">
        <v>17099486</v>
      </c>
      <c r="N130" s="4" t="s">
        <v>508</v>
      </c>
      <c r="O130" s="4" t="s">
        <v>509</v>
      </c>
      <c r="P130" s="4" t="s">
        <v>23</v>
      </c>
      <c r="Q130" s="6">
        <v>0</v>
      </c>
      <c r="R130" s="6">
        <v>0</v>
      </c>
      <c r="S130" s="4">
        <v>2.07E-2</v>
      </c>
      <c r="T130" s="4">
        <v>8.6999999999999994E-2</v>
      </c>
      <c r="U130" s="4">
        <v>0</v>
      </c>
      <c r="V130" s="4">
        <v>0</v>
      </c>
      <c r="W130" s="4">
        <v>0</v>
      </c>
      <c r="X130" s="4">
        <v>0</v>
      </c>
      <c r="Y130" s="21">
        <f t="shared" ref="Y130:Y193" si="6">ROUND((Q130*S130),2)</f>
        <v>0</v>
      </c>
      <c r="Z130" s="21">
        <f t="shared" ref="Z130:Z193" si="7">ROUND((R130*T130),2)</f>
        <v>0</v>
      </c>
      <c r="AA130" s="21">
        <f t="shared" ref="AA130:AA193" si="8">Y130+Z130</f>
        <v>0</v>
      </c>
      <c r="AB130" s="21">
        <f>SUM(AA128:AA130)</f>
        <v>73.209999999999994</v>
      </c>
    </row>
    <row r="131" spans="1:67" ht="42.75" x14ac:dyDescent="0.25">
      <c r="A131" s="1" t="s">
        <v>142</v>
      </c>
      <c r="B131" s="1" t="s">
        <v>143</v>
      </c>
      <c r="C131" s="1" t="s">
        <v>654</v>
      </c>
      <c r="D131" s="4" t="s">
        <v>105</v>
      </c>
      <c r="E131" s="4" t="s">
        <v>14</v>
      </c>
      <c r="F131" s="4" t="s">
        <v>15</v>
      </c>
      <c r="G131" s="4" t="s">
        <v>16</v>
      </c>
      <c r="H131" s="8">
        <v>24450</v>
      </c>
      <c r="I131" s="5">
        <v>2</v>
      </c>
      <c r="J131" s="5">
        <v>201</v>
      </c>
      <c r="K131" s="4" t="s">
        <v>117</v>
      </c>
      <c r="L131" s="4" t="s">
        <v>106</v>
      </c>
      <c r="M131" s="4">
        <v>17099622</v>
      </c>
      <c r="N131" s="4" t="s">
        <v>144</v>
      </c>
      <c r="O131" s="4" t="s">
        <v>145</v>
      </c>
      <c r="P131" s="4" t="s">
        <v>29</v>
      </c>
      <c r="Q131" s="6">
        <v>25</v>
      </c>
      <c r="R131" s="6">
        <v>27</v>
      </c>
      <c r="S131" s="4">
        <v>2.6200000000000001E-2</v>
      </c>
      <c r="T131" s="4">
        <v>0.11799999999999999</v>
      </c>
      <c r="U131" s="4">
        <v>0</v>
      </c>
      <c r="V131" s="4">
        <v>25</v>
      </c>
      <c r="W131" s="4">
        <v>0</v>
      </c>
      <c r="X131" s="4">
        <v>27</v>
      </c>
      <c r="Y131" s="21">
        <f t="shared" si="6"/>
        <v>0.66</v>
      </c>
      <c r="Z131" s="21">
        <f t="shared" si="7"/>
        <v>3.19</v>
      </c>
      <c r="AA131" s="21">
        <f t="shared" si="8"/>
        <v>3.85</v>
      </c>
      <c r="AB131" s="21"/>
    </row>
    <row r="132" spans="1:67" ht="42.75" x14ac:dyDescent="0.25">
      <c r="A132" s="1" t="s">
        <v>142</v>
      </c>
      <c r="B132" s="1" t="s">
        <v>143</v>
      </c>
      <c r="C132" s="1" t="s">
        <v>654</v>
      </c>
      <c r="D132" s="4" t="s">
        <v>105</v>
      </c>
      <c r="E132" s="4" t="s">
        <v>14</v>
      </c>
      <c r="F132" s="4" t="s">
        <v>15</v>
      </c>
      <c r="G132" s="4" t="s">
        <v>16</v>
      </c>
      <c r="H132" s="8">
        <v>24450</v>
      </c>
      <c r="I132" s="5">
        <v>2</v>
      </c>
      <c r="J132" s="5">
        <v>201</v>
      </c>
      <c r="K132" s="4" t="s">
        <v>84</v>
      </c>
      <c r="L132" s="4" t="s">
        <v>454</v>
      </c>
      <c r="M132" s="4">
        <v>17099401</v>
      </c>
      <c r="N132" s="4" t="s">
        <v>504</v>
      </c>
      <c r="O132" s="4" t="s">
        <v>505</v>
      </c>
      <c r="P132" s="4" t="s">
        <v>709</v>
      </c>
      <c r="Q132" s="6">
        <v>1996</v>
      </c>
      <c r="R132" s="6">
        <v>0</v>
      </c>
      <c r="S132" s="4">
        <v>2.6200000000000001E-2</v>
      </c>
      <c r="T132" s="4">
        <v>0.11799999999999999</v>
      </c>
      <c r="U132" s="4">
        <v>0</v>
      </c>
      <c r="V132" s="4">
        <v>1996</v>
      </c>
      <c r="W132" s="4">
        <v>0</v>
      </c>
      <c r="X132" s="4">
        <v>0</v>
      </c>
      <c r="Y132" s="21">
        <f t="shared" si="6"/>
        <v>52.3</v>
      </c>
      <c r="Z132" s="21">
        <f t="shared" si="7"/>
        <v>0</v>
      </c>
      <c r="AA132" s="21">
        <f t="shared" si="8"/>
        <v>52.3</v>
      </c>
      <c r="AB132" s="21">
        <f>SUM(AA131:AA132)</f>
        <v>56.15</v>
      </c>
    </row>
    <row r="133" spans="1:67" ht="42.75" x14ac:dyDescent="0.25">
      <c r="A133" s="1" t="s">
        <v>355</v>
      </c>
      <c r="B133" s="1" t="s">
        <v>354</v>
      </c>
      <c r="C133" s="1" t="s">
        <v>637</v>
      </c>
      <c r="D133" s="4" t="s">
        <v>39</v>
      </c>
      <c r="E133" s="4" t="s">
        <v>14</v>
      </c>
      <c r="F133" s="4" t="s">
        <v>15</v>
      </c>
      <c r="G133" s="4" t="s">
        <v>16</v>
      </c>
      <c r="H133" s="8">
        <v>24450</v>
      </c>
      <c r="I133" s="5">
        <v>2</v>
      </c>
      <c r="J133" s="5" t="s">
        <v>353</v>
      </c>
      <c r="K133" s="4" t="s">
        <v>25</v>
      </c>
      <c r="L133" s="4" t="s">
        <v>353</v>
      </c>
      <c r="M133" s="4">
        <v>17099754</v>
      </c>
      <c r="N133" s="4" t="s">
        <v>356</v>
      </c>
      <c r="O133" s="4" t="s">
        <v>357</v>
      </c>
      <c r="P133" s="4" t="s">
        <v>29</v>
      </c>
      <c r="Q133" s="6">
        <v>1973</v>
      </c>
      <c r="R133" s="6">
        <v>0</v>
      </c>
      <c r="S133" s="4">
        <v>2.6200000000000001E-2</v>
      </c>
      <c r="T133" s="4">
        <v>0.11799999999999999</v>
      </c>
      <c r="U133" s="4">
        <v>0</v>
      </c>
      <c r="V133" s="4">
        <v>1973</v>
      </c>
      <c r="W133" s="4">
        <v>0</v>
      </c>
      <c r="X133" s="4">
        <v>0</v>
      </c>
      <c r="Y133" s="21">
        <f t="shared" si="6"/>
        <v>51.69</v>
      </c>
      <c r="Z133" s="21">
        <f t="shared" si="7"/>
        <v>0</v>
      </c>
      <c r="AA133" s="21">
        <f t="shared" si="8"/>
        <v>51.69</v>
      </c>
      <c r="AB133" s="21">
        <f>Table14[[#This Row],[Device Total Click Charge]]</f>
        <v>51.69</v>
      </c>
    </row>
    <row r="134" spans="1:67" ht="42.75" x14ac:dyDescent="0.25">
      <c r="A134" s="1" t="s">
        <v>135</v>
      </c>
      <c r="B134" s="1" t="s">
        <v>134</v>
      </c>
      <c r="C134" s="1" t="s">
        <v>646</v>
      </c>
      <c r="D134" s="4" t="s">
        <v>88</v>
      </c>
      <c r="E134" s="4" t="s">
        <v>14</v>
      </c>
      <c r="F134" s="4" t="s">
        <v>15</v>
      </c>
      <c r="G134" s="4" t="s">
        <v>16</v>
      </c>
      <c r="H134" s="8">
        <v>23350</v>
      </c>
      <c r="I134" s="5">
        <v>1</v>
      </c>
      <c r="J134" s="5" t="s">
        <v>94</v>
      </c>
      <c r="K134" s="4" t="s">
        <v>84</v>
      </c>
      <c r="L134" s="4" t="s">
        <v>97</v>
      </c>
      <c r="M134" s="4">
        <v>17099535</v>
      </c>
      <c r="N134" s="4" t="s">
        <v>136</v>
      </c>
      <c r="O134" s="4" t="s">
        <v>137</v>
      </c>
      <c r="P134" s="4" t="s">
        <v>29</v>
      </c>
      <c r="Q134" s="6">
        <v>0</v>
      </c>
      <c r="R134" s="6">
        <v>0</v>
      </c>
      <c r="S134" s="4">
        <v>2.6200000000000001E-2</v>
      </c>
      <c r="T134" s="4">
        <v>0.11799999999999999</v>
      </c>
      <c r="U134" s="4">
        <v>0</v>
      </c>
      <c r="V134" s="4">
        <v>0</v>
      </c>
      <c r="W134" s="4">
        <v>0</v>
      </c>
      <c r="X134" s="4">
        <v>0</v>
      </c>
      <c r="Y134" s="21">
        <f t="shared" si="6"/>
        <v>0</v>
      </c>
      <c r="Z134" s="21">
        <f t="shared" si="7"/>
        <v>0</v>
      </c>
      <c r="AA134" s="21">
        <f t="shared" si="8"/>
        <v>0</v>
      </c>
      <c r="AB134" s="21">
        <f>Table14[[#This Row],[Device Total Click Charge]]</f>
        <v>0</v>
      </c>
    </row>
    <row r="135" spans="1:67" ht="42.75" x14ac:dyDescent="0.25">
      <c r="A135" s="1" t="s">
        <v>85</v>
      </c>
      <c r="B135" s="1" t="s">
        <v>150</v>
      </c>
      <c r="C135" s="1" t="s">
        <v>631</v>
      </c>
      <c r="D135" s="4" t="s">
        <v>83</v>
      </c>
      <c r="E135" s="4" t="s">
        <v>14</v>
      </c>
      <c r="F135" s="4" t="s">
        <v>15</v>
      </c>
      <c r="G135" s="4" t="s">
        <v>16</v>
      </c>
      <c r="H135" s="8">
        <v>24450</v>
      </c>
      <c r="I135" s="5">
        <v>4</v>
      </c>
      <c r="J135" s="5">
        <v>415</v>
      </c>
      <c r="K135" s="4" t="s">
        <v>25</v>
      </c>
      <c r="L135" s="8">
        <v>318</v>
      </c>
      <c r="M135" s="4">
        <v>17099579</v>
      </c>
      <c r="N135" s="4" t="s">
        <v>151</v>
      </c>
      <c r="O135" s="4" t="s">
        <v>152</v>
      </c>
      <c r="P135" s="4" t="s">
        <v>29</v>
      </c>
      <c r="Q135" s="6">
        <v>347</v>
      </c>
      <c r="R135" s="6">
        <v>0</v>
      </c>
      <c r="S135" s="4">
        <v>2.6200000000000001E-2</v>
      </c>
      <c r="T135" s="4">
        <v>0.11799999999999999</v>
      </c>
      <c r="U135" s="4">
        <v>0</v>
      </c>
      <c r="V135" s="4">
        <v>347</v>
      </c>
      <c r="W135" s="4">
        <v>0</v>
      </c>
      <c r="X135" s="4">
        <v>0</v>
      </c>
      <c r="Y135" s="21">
        <f t="shared" si="6"/>
        <v>9.09</v>
      </c>
      <c r="Z135" s="21">
        <f t="shared" si="7"/>
        <v>0</v>
      </c>
      <c r="AA135" s="21">
        <f t="shared" si="8"/>
        <v>9.09</v>
      </c>
      <c r="AB135" s="21"/>
    </row>
    <row r="136" spans="1:67" ht="42.75" x14ac:dyDescent="0.25">
      <c r="A136" s="1" t="s">
        <v>85</v>
      </c>
      <c r="B136" s="1" t="s">
        <v>150</v>
      </c>
      <c r="C136" s="1" t="s">
        <v>631</v>
      </c>
      <c r="D136" s="4" t="s">
        <v>83</v>
      </c>
      <c r="E136" s="4" t="s">
        <v>14</v>
      </c>
      <c r="F136" s="4" t="s">
        <v>15</v>
      </c>
      <c r="G136" s="4" t="s">
        <v>16</v>
      </c>
      <c r="H136" s="8">
        <v>24450</v>
      </c>
      <c r="I136" s="5">
        <v>4</v>
      </c>
      <c r="J136" s="5">
        <v>416</v>
      </c>
      <c r="K136" s="4" t="s">
        <v>162</v>
      </c>
      <c r="L136" s="8">
        <v>324</v>
      </c>
      <c r="M136" s="4">
        <v>17099492</v>
      </c>
      <c r="N136" s="4" t="s">
        <v>163</v>
      </c>
      <c r="O136" s="4" t="s">
        <v>164</v>
      </c>
      <c r="P136" s="4" t="s">
        <v>709</v>
      </c>
      <c r="Q136" s="6">
        <v>95324</v>
      </c>
      <c r="R136" s="6">
        <v>8929</v>
      </c>
      <c r="S136" s="4">
        <v>2.07E-2</v>
      </c>
      <c r="T136" s="4">
        <v>8.6999999999999994E-2</v>
      </c>
      <c r="U136" s="4">
        <v>0</v>
      </c>
      <c r="V136" s="4">
        <v>95324</v>
      </c>
      <c r="W136" s="4">
        <v>0</v>
      </c>
      <c r="X136" s="4">
        <v>8929</v>
      </c>
      <c r="Y136" s="21">
        <f t="shared" si="6"/>
        <v>1973.21</v>
      </c>
      <c r="Z136" s="21">
        <f t="shared" si="7"/>
        <v>776.82</v>
      </c>
      <c r="AA136" s="21">
        <f t="shared" si="8"/>
        <v>2750.03</v>
      </c>
      <c r="AB136" s="21"/>
    </row>
    <row r="137" spans="1:67" ht="42.75" x14ac:dyDescent="0.25">
      <c r="A137" s="1" t="s">
        <v>85</v>
      </c>
      <c r="B137" s="1" t="s">
        <v>150</v>
      </c>
      <c r="C137" s="1" t="s">
        <v>631</v>
      </c>
      <c r="D137" s="4" t="s">
        <v>83</v>
      </c>
      <c r="E137" s="4" t="s">
        <v>14</v>
      </c>
      <c r="F137" s="4" t="s">
        <v>15</v>
      </c>
      <c r="G137" s="4" t="s">
        <v>16</v>
      </c>
      <c r="H137" s="8">
        <v>24450</v>
      </c>
      <c r="I137" s="5">
        <v>4</v>
      </c>
      <c r="J137" s="5">
        <v>425</v>
      </c>
      <c r="K137" s="4" t="s">
        <v>25</v>
      </c>
      <c r="L137" s="8">
        <v>415</v>
      </c>
      <c r="M137" s="4">
        <v>17099582</v>
      </c>
      <c r="N137" s="4" t="s">
        <v>229</v>
      </c>
      <c r="O137" s="4" t="s">
        <v>230</v>
      </c>
      <c r="P137" s="4" t="s">
        <v>29</v>
      </c>
      <c r="Q137" s="6">
        <v>415</v>
      </c>
      <c r="R137" s="6">
        <v>0</v>
      </c>
      <c r="S137" s="4">
        <v>2.6200000000000001E-2</v>
      </c>
      <c r="T137" s="4">
        <v>0.11799999999999999</v>
      </c>
      <c r="U137" s="4">
        <v>0</v>
      </c>
      <c r="V137" s="4">
        <v>415</v>
      </c>
      <c r="W137" s="4">
        <v>0</v>
      </c>
      <c r="X137" s="4">
        <v>0</v>
      </c>
      <c r="Y137" s="21">
        <f t="shared" si="6"/>
        <v>10.87</v>
      </c>
      <c r="Z137" s="21">
        <f t="shared" si="7"/>
        <v>0</v>
      </c>
      <c r="AA137" s="21">
        <f t="shared" si="8"/>
        <v>10.87</v>
      </c>
      <c r="AB137" s="21"/>
    </row>
    <row r="138" spans="1:67" ht="42.75" x14ac:dyDescent="0.25">
      <c r="A138" s="1" t="s">
        <v>85</v>
      </c>
      <c r="B138" s="1" t="s">
        <v>41</v>
      </c>
      <c r="C138" s="1" t="s">
        <v>645</v>
      </c>
      <c r="D138" s="4" t="s">
        <v>83</v>
      </c>
      <c r="E138" s="4" t="s">
        <v>14</v>
      </c>
      <c r="F138" s="4" t="s">
        <v>15</v>
      </c>
      <c r="G138" s="4" t="s">
        <v>16</v>
      </c>
      <c r="H138" s="8">
        <v>24450</v>
      </c>
      <c r="I138" s="5">
        <v>3</v>
      </c>
      <c r="J138" s="5">
        <v>315</v>
      </c>
      <c r="K138" s="4" t="s">
        <v>84</v>
      </c>
      <c r="L138" s="8">
        <v>416</v>
      </c>
      <c r="M138" s="4">
        <v>17099464</v>
      </c>
      <c r="N138" s="4" t="s">
        <v>86</v>
      </c>
      <c r="O138" s="4" t="s">
        <v>87</v>
      </c>
      <c r="P138" s="4" t="s">
        <v>29</v>
      </c>
      <c r="Q138" s="6">
        <v>9</v>
      </c>
      <c r="R138" s="6">
        <v>0</v>
      </c>
      <c r="S138" s="4">
        <v>2.6200000000000001E-2</v>
      </c>
      <c r="T138" s="4">
        <v>0.11799999999999999</v>
      </c>
      <c r="U138" s="4">
        <v>0</v>
      </c>
      <c r="V138" s="4">
        <v>9</v>
      </c>
      <c r="W138" s="4">
        <v>0</v>
      </c>
      <c r="X138" s="4">
        <v>0</v>
      </c>
      <c r="Y138" s="21">
        <f t="shared" si="6"/>
        <v>0.24</v>
      </c>
      <c r="Z138" s="21">
        <f t="shared" si="7"/>
        <v>0</v>
      </c>
      <c r="AA138" s="21">
        <f t="shared" si="8"/>
        <v>0.24</v>
      </c>
      <c r="AB138" s="21"/>
    </row>
    <row r="139" spans="1:67" ht="42.75" x14ac:dyDescent="0.25">
      <c r="A139" s="1" t="s">
        <v>85</v>
      </c>
      <c r="B139" s="1" t="s">
        <v>41</v>
      </c>
      <c r="C139" s="1" t="s">
        <v>645</v>
      </c>
      <c r="D139" s="4" t="s">
        <v>83</v>
      </c>
      <c r="E139" s="4" t="s">
        <v>14</v>
      </c>
      <c r="F139" s="4" t="s">
        <v>15</v>
      </c>
      <c r="G139" s="4" t="s">
        <v>16</v>
      </c>
      <c r="H139" s="8">
        <v>24450</v>
      </c>
      <c r="I139" s="5">
        <v>4</v>
      </c>
      <c r="J139" s="5">
        <v>414</v>
      </c>
      <c r="K139" s="4" t="s">
        <v>25</v>
      </c>
      <c r="L139" s="4" t="s">
        <v>78</v>
      </c>
      <c r="M139" s="4">
        <v>17099786</v>
      </c>
      <c r="N139" s="4" t="s">
        <v>474</v>
      </c>
      <c r="O139" s="4" t="s">
        <v>475</v>
      </c>
      <c r="P139" s="4" t="s">
        <v>29</v>
      </c>
      <c r="Q139" s="6">
        <v>9528</v>
      </c>
      <c r="R139" s="6">
        <v>0</v>
      </c>
      <c r="S139" s="4">
        <v>2.6200000000000001E-2</v>
      </c>
      <c r="T139" s="4">
        <v>0.11799999999999999</v>
      </c>
      <c r="U139" s="4">
        <v>0</v>
      </c>
      <c r="V139" s="4">
        <v>9528</v>
      </c>
      <c r="W139" s="4">
        <v>0</v>
      </c>
      <c r="X139" s="4">
        <v>0</v>
      </c>
      <c r="Y139" s="21">
        <f t="shared" si="6"/>
        <v>249.63</v>
      </c>
      <c r="Z139" s="21">
        <f t="shared" si="7"/>
        <v>0</v>
      </c>
      <c r="AA139" s="21">
        <f t="shared" si="8"/>
        <v>249.63</v>
      </c>
      <c r="AB139" s="21">
        <f>SUM(AA135:AA139)</f>
        <v>3019.86</v>
      </c>
    </row>
    <row r="140" spans="1:67" ht="42.75" x14ac:dyDescent="0.25">
      <c r="A140" s="1" t="s">
        <v>631</v>
      </c>
      <c r="B140" s="1" t="s">
        <v>19</v>
      </c>
      <c r="C140" s="1" t="s">
        <v>632</v>
      </c>
      <c r="D140" s="4" t="s">
        <v>13</v>
      </c>
      <c r="E140" s="4" t="s">
        <v>14</v>
      </c>
      <c r="F140" s="4" t="s">
        <v>15</v>
      </c>
      <c r="G140" s="4" t="s">
        <v>16</v>
      </c>
      <c r="H140" s="8">
        <v>24450</v>
      </c>
      <c r="I140" s="5">
        <v>7</v>
      </c>
      <c r="J140" s="5">
        <v>700</v>
      </c>
      <c r="K140" s="4" t="s">
        <v>18</v>
      </c>
      <c r="L140" s="4" t="s">
        <v>660</v>
      </c>
      <c r="M140" s="4">
        <v>17099505</v>
      </c>
      <c r="N140" s="4" t="s">
        <v>21</v>
      </c>
      <c r="O140" s="4" t="s">
        <v>22</v>
      </c>
      <c r="P140" s="4" t="s">
        <v>709</v>
      </c>
      <c r="Q140" s="6">
        <v>361</v>
      </c>
      <c r="R140" s="6">
        <v>61</v>
      </c>
      <c r="S140" s="4">
        <v>2.07E-2</v>
      </c>
      <c r="T140" s="4">
        <v>8.6999999999999994E-2</v>
      </c>
      <c r="U140" s="4">
        <v>0</v>
      </c>
      <c r="V140" s="4">
        <v>361</v>
      </c>
      <c r="W140" s="4">
        <v>0</v>
      </c>
      <c r="X140" s="4">
        <v>61</v>
      </c>
      <c r="Y140" s="21">
        <f t="shared" si="6"/>
        <v>7.47</v>
      </c>
      <c r="Z140" s="21">
        <f t="shared" si="7"/>
        <v>5.31</v>
      </c>
      <c r="AA140" s="21">
        <f t="shared" si="8"/>
        <v>12.78</v>
      </c>
      <c r="AB140" s="21">
        <f>Table14[[#This Row],[Device Total Click Charge]]</f>
        <v>12.78</v>
      </c>
    </row>
    <row r="141" spans="1:67" ht="42.75" x14ac:dyDescent="0.25">
      <c r="A141" s="1" t="s">
        <v>469</v>
      </c>
      <c r="B141" s="1" t="s">
        <v>468</v>
      </c>
      <c r="C141" s="1" t="s">
        <v>469</v>
      </c>
      <c r="D141" s="4" t="s">
        <v>93</v>
      </c>
      <c r="E141" s="4" t="s">
        <v>14</v>
      </c>
      <c r="F141" s="4" t="s">
        <v>15</v>
      </c>
      <c r="G141" s="4" t="s">
        <v>16</v>
      </c>
      <c r="H141" s="8">
        <v>24450</v>
      </c>
      <c r="I141" s="5">
        <v>7</v>
      </c>
      <c r="J141" s="5">
        <v>709</v>
      </c>
      <c r="K141" s="4" t="s">
        <v>18</v>
      </c>
      <c r="L141" s="8">
        <v>508</v>
      </c>
      <c r="M141" s="4">
        <v>17099465</v>
      </c>
      <c r="N141" s="4" t="s">
        <v>470</v>
      </c>
      <c r="O141" s="4" t="s">
        <v>471</v>
      </c>
      <c r="P141" s="4" t="s">
        <v>709</v>
      </c>
      <c r="Q141" s="6">
        <v>22148</v>
      </c>
      <c r="R141" s="6">
        <v>1575</v>
      </c>
      <c r="S141" s="4">
        <v>2.07E-2</v>
      </c>
      <c r="T141" s="4">
        <v>8.6999999999999994E-2</v>
      </c>
      <c r="U141" s="4">
        <v>0</v>
      </c>
      <c r="V141" s="4">
        <v>22148</v>
      </c>
      <c r="W141" s="4">
        <v>0</v>
      </c>
      <c r="X141" s="4">
        <v>1575</v>
      </c>
      <c r="Y141" s="21">
        <f t="shared" si="6"/>
        <v>458.46</v>
      </c>
      <c r="Z141" s="21">
        <f t="shared" si="7"/>
        <v>137.03</v>
      </c>
      <c r="AA141" s="21">
        <f t="shared" si="8"/>
        <v>595.49</v>
      </c>
      <c r="AB141" s="21"/>
    </row>
    <row r="142" spans="1:67" ht="42.75" x14ac:dyDescent="0.25">
      <c r="A142" s="1" t="s">
        <v>469</v>
      </c>
      <c r="B142" s="1" t="s">
        <v>468</v>
      </c>
      <c r="C142" s="1" t="s">
        <v>469</v>
      </c>
      <c r="D142" s="4" t="s">
        <v>93</v>
      </c>
      <c r="E142" s="4" t="s">
        <v>14</v>
      </c>
      <c r="F142" s="4" t="s">
        <v>15</v>
      </c>
      <c r="G142" s="4" t="s">
        <v>16</v>
      </c>
      <c r="H142" s="8">
        <v>24450</v>
      </c>
      <c r="I142" s="5">
        <v>7</v>
      </c>
      <c r="J142" s="5">
        <v>717</v>
      </c>
      <c r="K142" s="4" t="s">
        <v>25</v>
      </c>
      <c r="L142" s="8">
        <v>315</v>
      </c>
      <c r="M142" s="4">
        <v>17099586</v>
      </c>
      <c r="N142" s="4" t="s">
        <v>516</v>
      </c>
      <c r="O142" s="4" t="s">
        <v>517</v>
      </c>
      <c r="P142" s="4" t="s">
        <v>29</v>
      </c>
      <c r="Q142" s="6">
        <v>40</v>
      </c>
      <c r="R142" s="6">
        <v>0</v>
      </c>
      <c r="S142" s="4">
        <v>2.6200000000000001E-2</v>
      </c>
      <c r="T142" s="4">
        <v>0.11799999999999999</v>
      </c>
      <c r="U142" s="4">
        <v>0</v>
      </c>
      <c r="V142" s="4">
        <v>40</v>
      </c>
      <c r="W142" s="4">
        <v>0</v>
      </c>
      <c r="X142" s="4">
        <v>0</v>
      </c>
      <c r="Y142" s="21">
        <f t="shared" si="6"/>
        <v>1.05</v>
      </c>
      <c r="Z142" s="21">
        <f t="shared" si="7"/>
        <v>0</v>
      </c>
      <c r="AA142" s="21">
        <f t="shared" si="8"/>
        <v>1.05</v>
      </c>
      <c r="AB142" s="21"/>
    </row>
    <row r="143" spans="1:67" s="10" customFormat="1" ht="42.75" x14ac:dyDescent="0.25">
      <c r="A143" s="1" t="s">
        <v>469</v>
      </c>
      <c r="B143" s="1" t="s">
        <v>468</v>
      </c>
      <c r="C143" s="1" t="s">
        <v>469</v>
      </c>
      <c r="D143" s="4" t="s">
        <v>93</v>
      </c>
      <c r="E143" s="4" t="s">
        <v>14</v>
      </c>
      <c r="F143" s="4" t="s">
        <v>15</v>
      </c>
      <c r="G143" s="4" t="s">
        <v>16</v>
      </c>
      <c r="H143" s="8">
        <v>24450</v>
      </c>
      <c r="I143" s="5">
        <v>7</v>
      </c>
      <c r="J143" s="5">
        <v>709</v>
      </c>
      <c r="K143" s="4" t="s">
        <v>117</v>
      </c>
      <c r="L143" s="4" t="s">
        <v>315</v>
      </c>
      <c r="M143" s="4">
        <v>17099632</v>
      </c>
      <c r="N143" s="4" t="s">
        <v>486</v>
      </c>
      <c r="O143" s="4" t="s">
        <v>487</v>
      </c>
      <c r="P143" s="4" t="s">
        <v>29</v>
      </c>
      <c r="Q143" s="6">
        <v>336</v>
      </c>
      <c r="R143" s="6">
        <v>254</v>
      </c>
      <c r="S143" s="4">
        <v>2.6200000000000001E-2</v>
      </c>
      <c r="T143" s="4">
        <v>0.11799999999999999</v>
      </c>
      <c r="U143" s="4">
        <v>0</v>
      </c>
      <c r="V143" s="4">
        <v>336</v>
      </c>
      <c r="W143" s="4">
        <v>0</v>
      </c>
      <c r="X143" s="4">
        <v>254</v>
      </c>
      <c r="Y143" s="21">
        <f t="shared" si="6"/>
        <v>8.8000000000000007</v>
      </c>
      <c r="Z143" s="21">
        <f t="shared" si="7"/>
        <v>29.97</v>
      </c>
      <c r="AA143" s="21">
        <f t="shared" si="8"/>
        <v>38.769999999999996</v>
      </c>
      <c r="AB143" s="21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</row>
    <row r="144" spans="1:67" ht="42.75" x14ac:dyDescent="0.25">
      <c r="A144" s="1" t="s">
        <v>469</v>
      </c>
      <c r="B144" s="1" t="s">
        <v>41</v>
      </c>
      <c r="C144" s="1" t="s">
        <v>645</v>
      </c>
      <c r="D144" s="4" t="s">
        <v>93</v>
      </c>
      <c r="E144" s="4" t="s">
        <v>14</v>
      </c>
      <c r="F144" s="4" t="s">
        <v>15</v>
      </c>
      <c r="G144" s="4" t="s">
        <v>16</v>
      </c>
      <c r="H144" s="8">
        <v>24450</v>
      </c>
      <c r="I144" s="5">
        <v>7</v>
      </c>
      <c r="J144" s="5">
        <v>708</v>
      </c>
      <c r="K144" s="4" t="s">
        <v>25</v>
      </c>
      <c r="L144" s="8">
        <v>701</v>
      </c>
      <c r="M144" s="4">
        <v>17099624</v>
      </c>
      <c r="N144" s="4" t="s">
        <v>497</v>
      </c>
      <c r="O144" s="4" t="s">
        <v>498</v>
      </c>
      <c r="P144" s="4" t="s">
        <v>29</v>
      </c>
      <c r="Q144" s="6">
        <v>314</v>
      </c>
      <c r="R144" s="6">
        <v>0</v>
      </c>
      <c r="S144" s="4">
        <v>2.6200000000000001E-2</v>
      </c>
      <c r="T144" s="4">
        <v>0.11799999999999999</v>
      </c>
      <c r="U144" s="4">
        <v>0</v>
      </c>
      <c r="V144" s="4">
        <v>314</v>
      </c>
      <c r="W144" s="4">
        <v>0</v>
      </c>
      <c r="X144" s="4">
        <v>0</v>
      </c>
      <c r="Y144" s="21">
        <f t="shared" si="6"/>
        <v>8.23</v>
      </c>
      <c r="Z144" s="21">
        <f t="shared" si="7"/>
        <v>0</v>
      </c>
      <c r="AA144" s="21">
        <f t="shared" si="8"/>
        <v>8.23</v>
      </c>
      <c r="AB144" s="21"/>
    </row>
    <row r="145" spans="1:28" ht="42.75" x14ac:dyDescent="0.25">
      <c r="A145" s="1" t="s">
        <v>469</v>
      </c>
      <c r="B145" s="1" t="s">
        <v>41</v>
      </c>
      <c r="C145" s="1" t="s">
        <v>645</v>
      </c>
      <c r="D145" s="4" t="s">
        <v>93</v>
      </c>
      <c r="E145" s="4" t="s">
        <v>14</v>
      </c>
      <c r="F145" s="4" t="s">
        <v>15</v>
      </c>
      <c r="G145" s="4" t="s">
        <v>16</v>
      </c>
      <c r="H145" s="8">
        <v>24450</v>
      </c>
      <c r="I145" s="5">
        <v>7</v>
      </c>
      <c r="J145" s="5">
        <v>701</v>
      </c>
      <c r="K145" s="4" t="s">
        <v>25</v>
      </c>
      <c r="L145" s="8">
        <v>506</v>
      </c>
      <c r="M145" s="4">
        <v>17099633</v>
      </c>
      <c r="N145" s="4" t="s">
        <v>530</v>
      </c>
      <c r="O145" s="4" t="s">
        <v>531</v>
      </c>
      <c r="P145" s="4" t="s">
        <v>29</v>
      </c>
      <c r="Q145" s="6">
        <v>5</v>
      </c>
      <c r="R145" s="6">
        <v>0</v>
      </c>
      <c r="S145" s="4">
        <v>2.6200000000000001E-2</v>
      </c>
      <c r="T145" s="4">
        <v>0.11799999999999999</v>
      </c>
      <c r="U145" s="4">
        <v>0</v>
      </c>
      <c r="V145" s="4">
        <v>5</v>
      </c>
      <c r="W145" s="4">
        <v>0</v>
      </c>
      <c r="X145" s="4">
        <v>0</v>
      </c>
      <c r="Y145" s="21">
        <f t="shared" si="6"/>
        <v>0.13</v>
      </c>
      <c r="Z145" s="21">
        <f t="shared" si="7"/>
        <v>0</v>
      </c>
      <c r="AA145" s="21">
        <f t="shared" si="8"/>
        <v>0.13</v>
      </c>
      <c r="AB145" s="21">
        <f>SUM(AA141:AA145)</f>
        <v>643.66999999999996</v>
      </c>
    </row>
    <row r="146" spans="1:28" ht="42.75" x14ac:dyDescent="0.25">
      <c r="A146" s="1" t="s">
        <v>108</v>
      </c>
      <c r="B146" s="1" t="s">
        <v>107</v>
      </c>
      <c r="C146" s="1" t="s">
        <v>653</v>
      </c>
      <c r="D146" s="4" t="s">
        <v>105</v>
      </c>
      <c r="E146" s="4" t="s">
        <v>14</v>
      </c>
      <c r="F146" s="4" t="s">
        <v>15</v>
      </c>
      <c r="G146" s="4" t="s">
        <v>16</v>
      </c>
      <c r="H146" s="8">
        <v>24450</v>
      </c>
      <c r="I146" s="5">
        <v>3</v>
      </c>
      <c r="J146" s="5">
        <v>401</v>
      </c>
      <c r="K146" s="4" t="s">
        <v>25</v>
      </c>
      <c r="L146" s="4" t="s">
        <v>30</v>
      </c>
      <c r="M146" s="4">
        <v>17099589</v>
      </c>
      <c r="N146" s="4" t="s">
        <v>109</v>
      </c>
      <c r="O146" s="4" t="s">
        <v>110</v>
      </c>
      <c r="P146" s="4" t="s">
        <v>29</v>
      </c>
      <c r="Q146" s="6">
        <v>61</v>
      </c>
      <c r="R146" s="6">
        <v>0</v>
      </c>
      <c r="S146" s="4">
        <v>2.6200000000000001E-2</v>
      </c>
      <c r="T146" s="4">
        <v>0.11799999999999999</v>
      </c>
      <c r="U146" s="4">
        <v>0</v>
      </c>
      <c r="V146" s="4">
        <v>61</v>
      </c>
      <c r="W146" s="4">
        <v>0</v>
      </c>
      <c r="X146" s="4">
        <v>0</v>
      </c>
      <c r="Y146" s="21">
        <f t="shared" si="6"/>
        <v>1.6</v>
      </c>
      <c r="Z146" s="21">
        <f t="shared" si="7"/>
        <v>0</v>
      </c>
      <c r="AA146" s="21">
        <f t="shared" si="8"/>
        <v>1.6</v>
      </c>
      <c r="AB146" s="21"/>
    </row>
    <row r="147" spans="1:28" ht="42.75" x14ac:dyDescent="0.25">
      <c r="A147" s="1" t="s">
        <v>108</v>
      </c>
      <c r="B147" s="1" t="s">
        <v>107</v>
      </c>
      <c r="C147" s="1" t="s">
        <v>653</v>
      </c>
      <c r="D147" s="4" t="s">
        <v>105</v>
      </c>
      <c r="E147" s="4" t="s">
        <v>14</v>
      </c>
      <c r="F147" s="4" t="s">
        <v>15</v>
      </c>
      <c r="G147" s="4" t="s">
        <v>16</v>
      </c>
      <c r="H147" s="8">
        <v>24450</v>
      </c>
      <c r="I147" s="5">
        <v>3</v>
      </c>
      <c r="J147" s="5">
        <v>401</v>
      </c>
      <c r="K147" s="4" t="s">
        <v>25</v>
      </c>
      <c r="L147" s="4" t="s">
        <v>106</v>
      </c>
      <c r="M147" s="4">
        <v>17099610</v>
      </c>
      <c r="N147" s="4" t="s">
        <v>411</v>
      </c>
      <c r="O147" s="4" t="s">
        <v>412</v>
      </c>
      <c r="P147" s="4" t="s">
        <v>29</v>
      </c>
      <c r="Q147" s="6">
        <v>383</v>
      </c>
      <c r="R147" s="6">
        <v>0</v>
      </c>
      <c r="S147" s="4">
        <v>2.6200000000000001E-2</v>
      </c>
      <c r="T147" s="4">
        <v>0.11799999999999999</v>
      </c>
      <c r="U147" s="4">
        <v>0</v>
      </c>
      <c r="V147" s="4">
        <v>383</v>
      </c>
      <c r="W147" s="4">
        <v>0</v>
      </c>
      <c r="X147" s="4">
        <v>0</v>
      </c>
      <c r="Y147" s="21">
        <f t="shared" si="6"/>
        <v>10.029999999999999</v>
      </c>
      <c r="Z147" s="21">
        <f t="shared" si="7"/>
        <v>0</v>
      </c>
      <c r="AA147" s="21">
        <f t="shared" si="8"/>
        <v>10.029999999999999</v>
      </c>
      <c r="AB147" s="21"/>
    </row>
    <row r="148" spans="1:28" ht="42.75" x14ac:dyDescent="0.25">
      <c r="A148" s="1" t="s">
        <v>108</v>
      </c>
      <c r="B148" s="1" t="s">
        <v>107</v>
      </c>
      <c r="C148" s="1" t="s">
        <v>653</v>
      </c>
      <c r="D148" s="4" t="s">
        <v>105</v>
      </c>
      <c r="E148" s="4" t="s">
        <v>14</v>
      </c>
      <c r="F148" s="4" t="s">
        <v>15</v>
      </c>
      <c r="G148" s="4" t="s">
        <v>16</v>
      </c>
      <c r="H148" s="8">
        <v>24450</v>
      </c>
      <c r="I148" s="5">
        <v>3</v>
      </c>
      <c r="J148" s="5">
        <v>401</v>
      </c>
      <c r="K148" s="4" t="s">
        <v>18</v>
      </c>
      <c r="L148" s="4" t="s">
        <v>142</v>
      </c>
      <c r="M148" s="4">
        <v>17099491</v>
      </c>
      <c r="N148" s="4" t="s">
        <v>455</v>
      </c>
      <c r="O148" s="4" t="s">
        <v>456</v>
      </c>
      <c r="P148" s="4" t="s">
        <v>709</v>
      </c>
      <c r="Q148" s="6">
        <v>2268</v>
      </c>
      <c r="R148" s="6">
        <v>916</v>
      </c>
      <c r="S148" s="4">
        <v>2.07E-2</v>
      </c>
      <c r="T148" s="4">
        <v>8.6999999999999994E-2</v>
      </c>
      <c r="U148" s="4">
        <v>0</v>
      </c>
      <c r="V148" s="4">
        <v>2268</v>
      </c>
      <c r="W148" s="4">
        <v>0</v>
      </c>
      <c r="X148" s="4">
        <v>916</v>
      </c>
      <c r="Y148" s="21">
        <f t="shared" si="6"/>
        <v>46.95</v>
      </c>
      <c r="Z148" s="21">
        <f t="shared" si="7"/>
        <v>79.69</v>
      </c>
      <c r="AA148" s="21">
        <f t="shared" si="8"/>
        <v>126.64</v>
      </c>
      <c r="AB148" s="21">
        <f>SUM(AA146:AA148)</f>
        <v>138.27000000000001</v>
      </c>
    </row>
    <row r="149" spans="1:28" ht="42.75" x14ac:dyDescent="0.25">
      <c r="A149" s="1" t="s">
        <v>499</v>
      </c>
      <c r="B149" s="1" t="s">
        <v>354</v>
      </c>
      <c r="C149" s="1" t="s">
        <v>637</v>
      </c>
      <c r="D149" s="4" t="s">
        <v>39</v>
      </c>
      <c r="E149" s="4" t="s">
        <v>14</v>
      </c>
      <c r="F149" s="4" t="s">
        <v>15</v>
      </c>
      <c r="G149" s="4" t="s">
        <v>16</v>
      </c>
      <c r="H149" s="8">
        <v>24450</v>
      </c>
      <c r="I149" s="5">
        <v>2</v>
      </c>
      <c r="J149" s="5">
        <v>203</v>
      </c>
      <c r="K149" s="4" t="s">
        <v>25</v>
      </c>
      <c r="L149" s="8">
        <v>203</v>
      </c>
      <c r="M149" s="4">
        <v>17099584</v>
      </c>
      <c r="N149" s="4" t="s">
        <v>500</v>
      </c>
      <c r="O149" s="4" t="s">
        <v>501</v>
      </c>
      <c r="P149" s="4" t="s">
        <v>29</v>
      </c>
      <c r="Q149" s="6">
        <v>218</v>
      </c>
      <c r="R149" s="6">
        <v>0</v>
      </c>
      <c r="S149" s="4">
        <v>2.6200000000000001E-2</v>
      </c>
      <c r="T149" s="4">
        <v>0.11799999999999999</v>
      </c>
      <c r="U149" s="4">
        <v>0</v>
      </c>
      <c r="V149" s="4">
        <v>218</v>
      </c>
      <c r="W149" s="4">
        <v>0</v>
      </c>
      <c r="X149" s="4">
        <v>0</v>
      </c>
      <c r="Y149" s="21">
        <f t="shared" si="6"/>
        <v>5.71</v>
      </c>
      <c r="Z149" s="21">
        <f t="shared" si="7"/>
        <v>0</v>
      </c>
      <c r="AA149" s="21">
        <f t="shared" si="8"/>
        <v>5.71</v>
      </c>
      <c r="AB149" s="21">
        <f>Table14[[#This Row],[Device Total Click Charge]]</f>
        <v>5.71</v>
      </c>
    </row>
    <row r="150" spans="1:28" ht="42.75" x14ac:dyDescent="0.25">
      <c r="A150" s="1" t="s">
        <v>65</v>
      </c>
      <c r="B150" s="1" t="s">
        <v>64</v>
      </c>
      <c r="C150" s="1" t="s">
        <v>65</v>
      </c>
      <c r="D150" s="4" t="s">
        <v>63</v>
      </c>
      <c r="E150" s="4" t="s">
        <v>14</v>
      </c>
      <c r="F150" s="4" t="s">
        <v>15</v>
      </c>
      <c r="G150" s="4" t="s">
        <v>16</v>
      </c>
      <c r="H150" s="8">
        <v>24459</v>
      </c>
      <c r="I150" s="5">
        <v>4</v>
      </c>
      <c r="J150" s="5">
        <v>541</v>
      </c>
      <c r="K150" s="4" t="s">
        <v>25</v>
      </c>
      <c r="L150" s="8">
        <v>521</v>
      </c>
      <c r="M150" s="4">
        <v>17099551</v>
      </c>
      <c r="N150" s="4" t="s">
        <v>66</v>
      </c>
      <c r="O150" s="4" t="s">
        <v>67</v>
      </c>
      <c r="P150" s="4" t="s">
        <v>29</v>
      </c>
      <c r="Q150" s="6">
        <v>1618</v>
      </c>
      <c r="R150" s="6">
        <v>0</v>
      </c>
      <c r="S150" s="4">
        <v>2.6200000000000001E-2</v>
      </c>
      <c r="T150" s="4">
        <v>0.11799999999999999</v>
      </c>
      <c r="U150" s="4">
        <v>0</v>
      </c>
      <c r="V150" s="4">
        <v>1618</v>
      </c>
      <c r="W150" s="4">
        <v>0</v>
      </c>
      <c r="X150" s="4">
        <v>0</v>
      </c>
      <c r="Y150" s="21">
        <f t="shared" si="6"/>
        <v>42.39</v>
      </c>
      <c r="Z150" s="21">
        <f t="shared" si="7"/>
        <v>0</v>
      </c>
      <c r="AA150" s="21">
        <f t="shared" si="8"/>
        <v>42.39</v>
      </c>
      <c r="AB150" s="21"/>
    </row>
    <row r="151" spans="1:28" ht="42.75" x14ac:dyDescent="0.25">
      <c r="A151" s="1" t="s">
        <v>65</v>
      </c>
      <c r="B151" s="1" t="s">
        <v>64</v>
      </c>
      <c r="C151" s="1" t="s">
        <v>65</v>
      </c>
      <c r="D151" s="4" t="s">
        <v>63</v>
      </c>
      <c r="E151" s="4" t="s">
        <v>14</v>
      </c>
      <c r="F151" s="4" t="s">
        <v>15</v>
      </c>
      <c r="G151" s="4" t="s">
        <v>16</v>
      </c>
      <c r="H151" s="8">
        <v>24459</v>
      </c>
      <c r="I151" s="5">
        <v>4</v>
      </c>
      <c r="J151" s="5">
        <v>416</v>
      </c>
      <c r="K151" s="4" t="s">
        <v>25</v>
      </c>
      <c r="L151" s="4" t="s">
        <v>17</v>
      </c>
      <c r="M151" s="4">
        <v>17099542</v>
      </c>
      <c r="N151" s="4" t="s">
        <v>399</v>
      </c>
      <c r="O151" s="4" t="s">
        <v>400</v>
      </c>
      <c r="P151" s="4" t="s">
        <v>29</v>
      </c>
      <c r="Q151" s="6">
        <v>2533</v>
      </c>
      <c r="R151" s="6">
        <v>0</v>
      </c>
      <c r="S151" s="4">
        <v>2.6200000000000001E-2</v>
      </c>
      <c r="T151" s="4">
        <v>0.11799999999999999</v>
      </c>
      <c r="U151" s="4">
        <v>0</v>
      </c>
      <c r="V151" s="4">
        <v>2533</v>
      </c>
      <c r="W151" s="4">
        <v>0</v>
      </c>
      <c r="X151" s="4">
        <v>0</v>
      </c>
      <c r="Y151" s="21">
        <f t="shared" si="6"/>
        <v>66.36</v>
      </c>
      <c r="Z151" s="21">
        <f t="shared" si="7"/>
        <v>0</v>
      </c>
      <c r="AA151" s="21">
        <f t="shared" si="8"/>
        <v>66.36</v>
      </c>
      <c r="AB151" s="21"/>
    </row>
    <row r="152" spans="1:28" ht="42.75" x14ac:dyDescent="0.25">
      <c r="A152" s="1" t="s">
        <v>65</v>
      </c>
      <c r="B152" s="1" t="s">
        <v>64</v>
      </c>
      <c r="C152" s="1" t="s">
        <v>65</v>
      </c>
      <c r="D152" s="4" t="s">
        <v>63</v>
      </c>
      <c r="E152" s="4" t="s">
        <v>14</v>
      </c>
      <c r="F152" s="4" t="s">
        <v>15</v>
      </c>
      <c r="G152" s="4" t="s">
        <v>16</v>
      </c>
      <c r="H152" s="8">
        <v>24459</v>
      </c>
      <c r="I152" s="5">
        <v>4</v>
      </c>
      <c r="J152" s="5">
        <v>425</v>
      </c>
      <c r="K152" s="4" t="s">
        <v>18</v>
      </c>
      <c r="L152" s="8">
        <v>227</v>
      </c>
      <c r="M152" s="4">
        <v>17099455</v>
      </c>
      <c r="N152" s="4" t="s">
        <v>403</v>
      </c>
      <c r="O152" s="4" t="s">
        <v>404</v>
      </c>
      <c r="P152" s="4" t="s">
        <v>709</v>
      </c>
      <c r="Q152" s="6">
        <v>10252</v>
      </c>
      <c r="R152" s="6">
        <v>74</v>
      </c>
      <c r="S152" s="4">
        <v>2.07E-2</v>
      </c>
      <c r="T152" s="4">
        <v>8.6999999999999994E-2</v>
      </c>
      <c r="U152" s="4">
        <v>0</v>
      </c>
      <c r="V152" s="4">
        <v>10252</v>
      </c>
      <c r="W152" s="4">
        <v>0</v>
      </c>
      <c r="X152" s="4">
        <v>74</v>
      </c>
      <c r="Y152" s="21">
        <f t="shared" si="6"/>
        <v>212.22</v>
      </c>
      <c r="Z152" s="21">
        <f t="shared" si="7"/>
        <v>6.44</v>
      </c>
      <c r="AA152" s="21">
        <f t="shared" si="8"/>
        <v>218.66</v>
      </c>
      <c r="AB152" s="21"/>
    </row>
    <row r="153" spans="1:28" ht="42.75" x14ac:dyDescent="0.25">
      <c r="A153" s="1" t="s">
        <v>65</v>
      </c>
      <c r="B153" s="1" t="s">
        <v>64</v>
      </c>
      <c r="C153" s="1" t="s">
        <v>65</v>
      </c>
      <c r="D153" s="4" t="s">
        <v>63</v>
      </c>
      <c r="E153" s="4" t="s">
        <v>14</v>
      </c>
      <c r="F153" s="4" t="s">
        <v>15</v>
      </c>
      <c r="G153" s="4" t="s">
        <v>16</v>
      </c>
      <c r="H153" s="8">
        <v>24459</v>
      </c>
      <c r="I153" s="5">
        <v>4</v>
      </c>
      <c r="J153" s="5">
        <v>424</v>
      </c>
      <c r="K153" s="4" t="s">
        <v>25</v>
      </c>
      <c r="L153" s="4" t="s">
        <v>17</v>
      </c>
      <c r="M153" s="4">
        <v>17099548</v>
      </c>
      <c r="N153" s="4" t="s">
        <v>467</v>
      </c>
      <c r="O153" s="4" t="s">
        <v>681</v>
      </c>
      <c r="P153" s="4" t="s">
        <v>29</v>
      </c>
      <c r="Q153" s="6">
        <v>0</v>
      </c>
      <c r="R153" s="6">
        <v>0</v>
      </c>
      <c r="S153" s="4">
        <v>2.6200000000000001E-2</v>
      </c>
      <c r="T153" s="4">
        <v>0.11799999999999999</v>
      </c>
      <c r="U153" s="4">
        <v>0</v>
      </c>
      <c r="V153" s="4">
        <v>0</v>
      </c>
      <c r="W153" s="4">
        <v>0</v>
      </c>
      <c r="X153" s="4">
        <v>0</v>
      </c>
      <c r="Y153" s="21">
        <f t="shared" si="6"/>
        <v>0</v>
      </c>
      <c r="Z153" s="21">
        <f t="shared" si="7"/>
        <v>0</v>
      </c>
      <c r="AA153" s="21">
        <f t="shared" si="8"/>
        <v>0</v>
      </c>
      <c r="AB153" s="21"/>
    </row>
    <row r="154" spans="1:28" ht="42.75" x14ac:dyDescent="0.25">
      <c r="A154" s="1" t="s">
        <v>65</v>
      </c>
      <c r="B154" s="1" t="s">
        <v>41</v>
      </c>
      <c r="C154" s="1" t="s">
        <v>645</v>
      </c>
      <c r="D154" s="4" t="s">
        <v>63</v>
      </c>
      <c r="E154" s="4" t="s">
        <v>14</v>
      </c>
      <c r="F154" s="4" t="s">
        <v>15</v>
      </c>
      <c r="G154" s="4" t="s">
        <v>16</v>
      </c>
      <c r="H154" s="8">
        <v>24450</v>
      </c>
      <c r="I154" s="5">
        <v>4</v>
      </c>
      <c r="J154" s="5">
        <v>418</v>
      </c>
      <c r="K154" s="4" t="s">
        <v>25</v>
      </c>
      <c r="L154" s="4" t="s">
        <v>17</v>
      </c>
      <c r="M154" s="4">
        <v>17099520</v>
      </c>
      <c r="N154" s="4" t="s">
        <v>166</v>
      </c>
      <c r="O154" s="4" t="s">
        <v>167</v>
      </c>
      <c r="P154" s="4" t="s">
        <v>29</v>
      </c>
      <c r="Q154" s="6">
        <v>18653</v>
      </c>
      <c r="R154" s="6">
        <v>0</v>
      </c>
      <c r="S154" s="4">
        <v>2.6200000000000001E-2</v>
      </c>
      <c r="T154" s="4">
        <v>0.11799999999999999</v>
      </c>
      <c r="U154" s="4">
        <v>0</v>
      </c>
      <c r="V154" s="4">
        <v>18653</v>
      </c>
      <c r="W154" s="4">
        <v>0</v>
      </c>
      <c r="X154" s="4">
        <v>0</v>
      </c>
      <c r="Y154" s="21">
        <f t="shared" si="6"/>
        <v>488.71</v>
      </c>
      <c r="Z154" s="21">
        <f t="shared" si="7"/>
        <v>0</v>
      </c>
      <c r="AA154" s="21">
        <f t="shared" si="8"/>
        <v>488.71</v>
      </c>
      <c r="AB154" s="21">
        <f>SUM(AA150:AA154)</f>
        <v>816.11999999999989</v>
      </c>
    </row>
    <row r="155" spans="1:28" ht="42.75" x14ac:dyDescent="0.25">
      <c r="A155" s="1" t="s">
        <v>302</v>
      </c>
      <c r="B155" s="1" t="s">
        <v>686</v>
      </c>
      <c r="C155" s="1" t="s">
        <v>685</v>
      </c>
      <c r="D155" s="4" t="s">
        <v>301</v>
      </c>
      <c r="E155" s="4" t="s">
        <v>14</v>
      </c>
      <c r="F155" s="4" t="s">
        <v>15</v>
      </c>
      <c r="G155" s="4" t="s">
        <v>16</v>
      </c>
      <c r="H155" s="8">
        <v>24450</v>
      </c>
      <c r="I155" s="5">
        <v>1</v>
      </c>
      <c r="J155" s="5">
        <v>105</v>
      </c>
      <c r="K155" s="4" t="s">
        <v>18</v>
      </c>
      <c r="L155" s="8">
        <v>105</v>
      </c>
      <c r="M155" s="4">
        <v>17099721</v>
      </c>
      <c r="N155" s="4" t="s">
        <v>303</v>
      </c>
      <c r="O155" s="4" t="s">
        <v>304</v>
      </c>
      <c r="P155" s="4" t="s">
        <v>709</v>
      </c>
      <c r="Q155" s="6">
        <v>7053</v>
      </c>
      <c r="R155" s="6">
        <v>3462</v>
      </c>
      <c r="S155" s="4">
        <v>2.07E-2</v>
      </c>
      <c r="T155" s="4">
        <v>8.6999999999999994E-2</v>
      </c>
      <c r="U155" s="4">
        <v>0</v>
      </c>
      <c r="V155" s="4">
        <v>7053</v>
      </c>
      <c r="W155" s="4">
        <v>0</v>
      </c>
      <c r="X155" s="4">
        <v>3462</v>
      </c>
      <c r="Y155" s="21">
        <f t="shared" si="6"/>
        <v>146</v>
      </c>
      <c r="Z155" s="21">
        <f t="shared" si="7"/>
        <v>301.19</v>
      </c>
      <c r="AA155" s="21">
        <f t="shared" si="8"/>
        <v>447.19</v>
      </c>
      <c r="AB155" s="21">
        <f>Table14[[#This Row],[Device Total Click Charge]]</f>
        <v>447.19</v>
      </c>
    </row>
    <row r="156" spans="1:28" ht="42.75" x14ac:dyDescent="0.25">
      <c r="A156" s="1" t="s">
        <v>56</v>
      </c>
      <c r="B156" s="1" t="s">
        <v>55</v>
      </c>
      <c r="C156" s="1" t="s">
        <v>633</v>
      </c>
      <c r="D156" s="4" t="s">
        <v>54</v>
      </c>
      <c r="E156" s="4" t="s">
        <v>14</v>
      </c>
      <c r="F156" s="4" t="s">
        <v>15</v>
      </c>
      <c r="G156" s="4" t="s">
        <v>16</v>
      </c>
      <c r="H156" s="8">
        <v>24450</v>
      </c>
      <c r="I156" s="5">
        <v>2</v>
      </c>
      <c r="J156" s="5">
        <v>2082</v>
      </c>
      <c r="K156" s="4" t="s">
        <v>25</v>
      </c>
      <c r="L156" s="8">
        <v>2082</v>
      </c>
      <c r="M156" s="4">
        <v>17099506</v>
      </c>
      <c r="N156" s="4" t="s">
        <v>57</v>
      </c>
      <c r="O156" s="4" t="s">
        <v>58</v>
      </c>
      <c r="P156" s="4" t="s">
        <v>29</v>
      </c>
      <c r="Q156" s="6">
        <v>109</v>
      </c>
      <c r="R156" s="6">
        <v>0</v>
      </c>
      <c r="S156" s="4">
        <v>2.6200000000000001E-2</v>
      </c>
      <c r="T156" s="4">
        <v>0.11799999999999999</v>
      </c>
      <c r="U156" s="4">
        <v>0</v>
      </c>
      <c r="V156" s="4">
        <v>109</v>
      </c>
      <c r="W156" s="4">
        <v>0</v>
      </c>
      <c r="X156" s="4">
        <v>0</v>
      </c>
      <c r="Y156" s="21">
        <f t="shared" si="6"/>
        <v>2.86</v>
      </c>
      <c r="Z156" s="21">
        <f t="shared" si="7"/>
        <v>0</v>
      </c>
      <c r="AA156" s="21">
        <f t="shared" si="8"/>
        <v>2.86</v>
      </c>
      <c r="AB156" s="21"/>
    </row>
    <row r="157" spans="1:28" ht="42.75" x14ac:dyDescent="0.25">
      <c r="A157" s="1" t="s">
        <v>56</v>
      </c>
      <c r="B157" s="1" t="s">
        <v>55</v>
      </c>
      <c r="C157" s="1" t="s">
        <v>633</v>
      </c>
      <c r="D157" s="4" t="s">
        <v>54</v>
      </c>
      <c r="E157" s="4" t="s">
        <v>14</v>
      </c>
      <c r="F157" s="4" t="s">
        <v>15</v>
      </c>
      <c r="G157" s="4" t="s">
        <v>16</v>
      </c>
      <c r="H157" s="8">
        <v>24450</v>
      </c>
      <c r="I157" s="5">
        <v>2</v>
      </c>
      <c r="J157" s="5">
        <v>2080</v>
      </c>
      <c r="K157" s="4" t="s">
        <v>25</v>
      </c>
      <c r="L157" s="8">
        <v>2080</v>
      </c>
      <c r="M157" s="8">
        <v>17099431</v>
      </c>
      <c r="N157" s="4" t="s">
        <v>138</v>
      </c>
      <c r="O157" s="4" t="s">
        <v>680</v>
      </c>
      <c r="P157" s="4" t="s">
        <v>29</v>
      </c>
      <c r="Q157" s="6">
        <v>0</v>
      </c>
      <c r="R157" s="6">
        <v>0</v>
      </c>
      <c r="S157" s="4">
        <v>2.6200000000000001E-2</v>
      </c>
      <c r="T157" s="4">
        <v>0.11799999999999999</v>
      </c>
      <c r="U157" s="4">
        <v>0</v>
      </c>
      <c r="V157" s="4">
        <v>0</v>
      </c>
      <c r="W157" s="4">
        <v>0</v>
      </c>
      <c r="X157" s="4">
        <v>0</v>
      </c>
      <c r="Y157" s="21">
        <f t="shared" si="6"/>
        <v>0</v>
      </c>
      <c r="Z157" s="21">
        <f t="shared" si="7"/>
        <v>0</v>
      </c>
      <c r="AA157" s="21">
        <f t="shared" si="8"/>
        <v>0</v>
      </c>
      <c r="AB157" s="21"/>
    </row>
    <row r="158" spans="1:28" ht="42.75" x14ac:dyDescent="0.25">
      <c r="A158" s="1" t="s">
        <v>56</v>
      </c>
      <c r="B158" s="1" t="s">
        <v>55</v>
      </c>
      <c r="C158" s="1" t="s">
        <v>633</v>
      </c>
      <c r="D158" s="4" t="s">
        <v>54</v>
      </c>
      <c r="E158" s="4" t="s">
        <v>14</v>
      </c>
      <c r="F158" s="4" t="s">
        <v>15</v>
      </c>
      <c r="G158" s="4" t="s">
        <v>16</v>
      </c>
      <c r="H158" s="8">
        <v>24450</v>
      </c>
      <c r="I158" s="5">
        <v>2</v>
      </c>
      <c r="J158" s="5">
        <v>2090</v>
      </c>
      <c r="K158" s="4" t="s">
        <v>25</v>
      </c>
      <c r="L158" s="8">
        <v>2090</v>
      </c>
      <c r="M158" s="4">
        <v>17099429</v>
      </c>
      <c r="N158" s="4" t="s">
        <v>425</v>
      </c>
      <c r="O158" s="4" t="s">
        <v>426</v>
      </c>
      <c r="P158" s="4" t="s">
        <v>29</v>
      </c>
      <c r="Q158" s="6">
        <v>154</v>
      </c>
      <c r="R158" s="6">
        <v>0</v>
      </c>
      <c r="S158" s="4">
        <v>2.6200000000000001E-2</v>
      </c>
      <c r="T158" s="4">
        <v>0.11799999999999999</v>
      </c>
      <c r="U158" s="4">
        <v>0</v>
      </c>
      <c r="V158" s="4">
        <v>154</v>
      </c>
      <c r="W158" s="4">
        <v>0</v>
      </c>
      <c r="X158" s="4">
        <v>0</v>
      </c>
      <c r="Y158" s="21">
        <f t="shared" si="6"/>
        <v>4.03</v>
      </c>
      <c r="Z158" s="21">
        <f t="shared" si="7"/>
        <v>0</v>
      </c>
      <c r="AA158" s="21">
        <f t="shared" si="8"/>
        <v>4.03</v>
      </c>
      <c r="AB158" s="21">
        <f>SUM(AA156:AA158)</f>
        <v>6.8900000000000006</v>
      </c>
    </row>
    <row r="159" spans="1:28" ht="42.75" x14ac:dyDescent="0.25">
      <c r="A159" s="1" t="s">
        <v>704</v>
      </c>
      <c r="B159" s="1" t="s">
        <v>396</v>
      </c>
      <c r="C159" s="1" t="s">
        <v>656</v>
      </c>
      <c r="D159" s="4" t="s">
        <v>88</v>
      </c>
      <c r="E159" s="4" t="s">
        <v>14</v>
      </c>
      <c r="F159" s="4" t="s">
        <v>15</v>
      </c>
      <c r="G159" s="4" t="s">
        <v>16</v>
      </c>
      <c r="H159" s="8">
        <v>23350</v>
      </c>
      <c r="I159" s="5">
        <v>2</v>
      </c>
      <c r="J159" s="5" t="s">
        <v>100</v>
      </c>
      <c r="K159" s="4" t="s">
        <v>84</v>
      </c>
      <c r="L159" s="4" t="s">
        <v>89</v>
      </c>
      <c r="M159" s="4">
        <v>17099701</v>
      </c>
      <c r="N159" s="4" t="s">
        <v>397</v>
      </c>
      <c r="O159" s="4" t="s">
        <v>398</v>
      </c>
      <c r="P159" s="4" t="s">
        <v>29</v>
      </c>
      <c r="Q159" s="6">
        <v>0</v>
      </c>
      <c r="R159" s="6">
        <v>0</v>
      </c>
      <c r="S159" s="4">
        <v>2.6200000000000001E-2</v>
      </c>
      <c r="T159" s="4">
        <v>0.11799999999999999</v>
      </c>
      <c r="U159" s="4">
        <v>0</v>
      </c>
      <c r="V159" s="4">
        <v>0</v>
      </c>
      <c r="W159" s="4">
        <v>0</v>
      </c>
      <c r="X159" s="4">
        <v>0</v>
      </c>
      <c r="Y159" s="21">
        <f t="shared" si="6"/>
        <v>0</v>
      </c>
      <c r="Z159" s="21">
        <f t="shared" si="7"/>
        <v>0</v>
      </c>
      <c r="AA159" s="21">
        <f t="shared" si="8"/>
        <v>0</v>
      </c>
      <c r="AB159" s="21">
        <f>Table14[[#This Row],[Device Total Click Charge]]</f>
        <v>0</v>
      </c>
    </row>
    <row r="160" spans="1:28" ht="42.75" x14ac:dyDescent="0.25">
      <c r="A160" s="1" t="s">
        <v>99</v>
      </c>
      <c r="B160" s="1" t="s">
        <v>98</v>
      </c>
      <c r="C160" s="1" t="s">
        <v>651</v>
      </c>
      <c r="D160" s="4" t="s">
        <v>88</v>
      </c>
      <c r="E160" s="4" t="s">
        <v>14</v>
      </c>
      <c r="F160" s="4" t="s">
        <v>15</v>
      </c>
      <c r="G160" s="4" t="s">
        <v>16</v>
      </c>
      <c r="H160" s="8">
        <v>23350</v>
      </c>
      <c r="I160" s="5">
        <v>2</v>
      </c>
      <c r="J160" s="5" t="s">
        <v>97</v>
      </c>
      <c r="K160" s="4" t="s">
        <v>84</v>
      </c>
      <c r="L160" s="4" t="s">
        <v>100</v>
      </c>
      <c r="M160" s="4">
        <v>17099536</v>
      </c>
      <c r="N160" s="4" t="s">
        <v>101</v>
      </c>
      <c r="O160" s="4" t="s">
        <v>102</v>
      </c>
      <c r="P160" s="4" t="s">
        <v>29</v>
      </c>
      <c r="Q160" s="6">
        <v>0</v>
      </c>
      <c r="R160" s="6">
        <v>0</v>
      </c>
      <c r="S160" s="4">
        <v>2.6200000000000001E-2</v>
      </c>
      <c r="T160" s="4">
        <v>0.11799999999999999</v>
      </c>
      <c r="U160" s="4">
        <v>0</v>
      </c>
      <c r="V160" s="4">
        <v>0</v>
      </c>
      <c r="W160" s="4">
        <v>0</v>
      </c>
      <c r="X160" s="4">
        <v>0</v>
      </c>
      <c r="Y160" s="21">
        <f t="shared" si="6"/>
        <v>0</v>
      </c>
      <c r="Z160" s="21">
        <f t="shared" si="7"/>
        <v>0</v>
      </c>
      <c r="AA160" s="21">
        <f t="shared" si="8"/>
        <v>0</v>
      </c>
      <c r="AB160" s="21">
        <f>Table14[[#This Row],[Device Total Click Charge]]</f>
        <v>0</v>
      </c>
    </row>
    <row r="161" spans="1:59" ht="42.75" x14ac:dyDescent="0.25">
      <c r="A161" s="1" t="s">
        <v>649</v>
      </c>
      <c r="B161" s="1" t="s">
        <v>235</v>
      </c>
      <c r="C161" s="1" t="s">
        <v>649</v>
      </c>
      <c r="D161" s="4" t="s">
        <v>445</v>
      </c>
      <c r="E161" s="4" t="s">
        <v>14</v>
      </c>
      <c r="F161" s="4" t="s">
        <v>15</v>
      </c>
      <c r="G161" s="4" t="s">
        <v>16</v>
      </c>
      <c r="H161" s="8">
        <v>24450</v>
      </c>
      <c r="I161" s="5">
        <v>1</v>
      </c>
      <c r="J161" s="5" t="s">
        <v>446</v>
      </c>
      <c r="K161" s="4" t="s">
        <v>31</v>
      </c>
      <c r="L161" s="4" t="s">
        <v>446</v>
      </c>
      <c r="M161" s="4">
        <v>17099488</v>
      </c>
      <c r="N161" s="4" t="s">
        <v>447</v>
      </c>
      <c r="O161" s="4" t="s">
        <v>448</v>
      </c>
      <c r="P161" s="4" t="s">
        <v>709</v>
      </c>
      <c r="Q161" s="6">
        <v>4515</v>
      </c>
      <c r="R161" s="6">
        <v>3891</v>
      </c>
      <c r="S161" s="4">
        <v>2.07E-2</v>
      </c>
      <c r="T161" s="4">
        <v>8.6999999999999994E-2</v>
      </c>
      <c r="U161" s="4">
        <v>0</v>
      </c>
      <c r="V161" s="4">
        <v>4515</v>
      </c>
      <c r="W161" s="4">
        <v>0</v>
      </c>
      <c r="X161" s="4">
        <v>3891</v>
      </c>
      <c r="Y161" s="21">
        <f t="shared" si="6"/>
        <v>93.46</v>
      </c>
      <c r="Z161" s="21">
        <f t="shared" si="7"/>
        <v>338.52</v>
      </c>
      <c r="AA161" s="21">
        <f t="shared" si="8"/>
        <v>431.97999999999996</v>
      </c>
      <c r="AB161" s="21"/>
    </row>
    <row r="162" spans="1:59" ht="42.75" x14ac:dyDescent="0.25">
      <c r="A162" s="1" t="s">
        <v>649</v>
      </c>
      <c r="B162" s="1" t="s">
        <v>235</v>
      </c>
      <c r="C162" s="1" t="s">
        <v>649</v>
      </c>
      <c r="D162" s="4" t="s">
        <v>234</v>
      </c>
      <c r="E162" s="4" t="s">
        <v>14</v>
      </c>
      <c r="F162" s="4" t="s">
        <v>15</v>
      </c>
      <c r="G162" s="4" t="s">
        <v>16</v>
      </c>
      <c r="H162" s="8">
        <v>24450</v>
      </c>
      <c r="I162" s="5">
        <v>2</v>
      </c>
      <c r="J162" s="5">
        <v>301</v>
      </c>
      <c r="K162" s="4" t="s">
        <v>25</v>
      </c>
      <c r="L162" s="8">
        <v>301</v>
      </c>
      <c r="M162" s="4">
        <v>17099561</v>
      </c>
      <c r="N162" s="4" t="s">
        <v>236</v>
      </c>
      <c r="O162" s="4" t="s">
        <v>237</v>
      </c>
      <c r="P162" s="4" t="s">
        <v>29</v>
      </c>
      <c r="Q162" s="6">
        <v>391</v>
      </c>
      <c r="R162" s="6">
        <v>0</v>
      </c>
      <c r="S162" s="4">
        <v>2.6200000000000001E-2</v>
      </c>
      <c r="T162" s="4">
        <v>0.11799999999999999</v>
      </c>
      <c r="U162" s="4">
        <v>0</v>
      </c>
      <c r="V162" s="4">
        <v>391</v>
      </c>
      <c r="W162" s="4">
        <v>0</v>
      </c>
      <c r="X162" s="4">
        <v>0</v>
      </c>
      <c r="Y162" s="21">
        <f t="shared" si="6"/>
        <v>10.24</v>
      </c>
      <c r="Z162" s="21">
        <f t="shared" si="7"/>
        <v>0</v>
      </c>
      <c r="AA162" s="21">
        <f t="shared" si="8"/>
        <v>10.24</v>
      </c>
      <c r="AB162" s="21"/>
    </row>
    <row r="163" spans="1:59" ht="42.75" x14ac:dyDescent="0.25">
      <c r="A163" s="1" t="s">
        <v>649</v>
      </c>
      <c r="B163" s="1" t="s">
        <v>235</v>
      </c>
      <c r="C163" s="1" t="s">
        <v>649</v>
      </c>
      <c r="D163" s="4" t="s">
        <v>234</v>
      </c>
      <c r="E163" s="4" t="s">
        <v>14</v>
      </c>
      <c r="F163" s="4" t="s">
        <v>15</v>
      </c>
      <c r="G163" s="4" t="s">
        <v>16</v>
      </c>
      <c r="H163" s="8">
        <v>24450</v>
      </c>
      <c r="I163" s="5">
        <v>2</v>
      </c>
      <c r="J163" s="5">
        <v>306</v>
      </c>
      <c r="K163" s="4" t="s">
        <v>25</v>
      </c>
      <c r="L163" s="8">
        <v>306</v>
      </c>
      <c r="M163" s="4">
        <v>17099567</v>
      </c>
      <c r="N163" s="4" t="s">
        <v>413</v>
      </c>
      <c r="O163" s="4" t="s">
        <v>414</v>
      </c>
      <c r="P163" s="4" t="s">
        <v>29</v>
      </c>
      <c r="Q163" s="6">
        <v>152</v>
      </c>
      <c r="R163" s="6">
        <v>0</v>
      </c>
      <c r="S163" s="4">
        <v>2.6200000000000001E-2</v>
      </c>
      <c r="T163" s="4">
        <v>0.11799999999999999</v>
      </c>
      <c r="U163" s="4">
        <v>0</v>
      </c>
      <c r="V163" s="4">
        <v>152</v>
      </c>
      <c r="W163" s="4">
        <v>0</v>
      </c>
      <c r="X163" s="4">
        <v>0</v>
      </c>
      <c r="Y163" s="21">
        <f t="shared" si="6"/>
        <v>3.98</v>
      </c>
      <c r="Z163" s="21">
        <f t="shared" si="7"/>
        <v>0</v>
      </c>
      <c r="AA163" s="21">
        <f t="shared" si="8"/>
        <v>3.98</v>
      </c>
      <c r="AB163" s="21">
        <f>SUM(AA161:AA163)</f>
        <v>446.2</v>
      </c>
    </row>
    <row r="164" spans="1:59" ht="42.75" x14ac:dyDescent="0.25">
      <c r="A164" s="1" t="s">
        <v>113</v>
      </c>
      <c r="B164" s="1" t="s">
        <v>118</v>
      </c>
      <c r="C164" s="1" t="s">
        <v>644</v>
      </c>
      <c r="D164" s="4" t="s">
        <v>113</v>
      </c>
      <c r="E164" s="4" t="s">
        <v>14</v>
      </c>
      <c r="F164" s="4" t="s">
        <v>15</v>
      </c>
      <c r="G164" s="4" t="s">
        <v>16</v>
      </c>
      <c r="H164" s="8">
        <v>24450</v>
      </c>
      <c r="I164" s="5">
        <v>1</v>
      </c>
      <c r="J164" s="5" t="s">
        <v>116</v>
      </c>
      <c r="K164" s="4" t="s">
        <v>117</v>
      </c>
      <c r="L164" s="4" t="s">
        <v>119</v>
      </c>
      <c r="M164" s="4">
        <v>17099702</v>
      </c>
      <c r="N164" s="4" t="s">
        <v>120</v>
      </c>
      <c r="O164" s="4" t="s">
        <v>121</v>
      </c>
      <c r="P164" s="4" t="s">
        <v>29</v>
      </c>
      <c r="Q164" s="6">
        <v>119</v>
      </c>
      <c r="R164" s="6">
        <v>177</v>
      </c>
      <c r="S164" s="4">
        <v>2.6200000000000001E-2</v>
      </c>
      <c r="T164" s="4">
        <v>0.11799999999999999</v>
      </c>
      <c r="U164" s="4">
        <v>0</v>
      </c>
      <c r="V164" s="4">
        <v>119</v>
      </c>
      <c r="W164" s="4">
        <v>0</v>
      </c>
      <c r="X164" s="4">
        <v>177</v>
      </c>
      <c r="Y164" s="21">
        <f t="shared" si="6"/>
        <v>3.12</v>
      </c>
      <c r="Z164" s="21">
        <f t="shared" si="7"/>
        <v>20.89</v>
      </c>
      <c r="AA164" s="21">
        <f t="shared" si="8"/>
        <v>24.01</v>
      </c>
      <c r="AB164" s="21">
        <f>Table14[[#This Row],[Device Total Click Charge]]</f>
        <v>24.01</v>
      </c>
    </row>
    <row r="165" spans="1:59" ht="42.75" x14ac:dyDescent="0.25">
      <c r="A165" s="1" t="s">
        <v>51</v>
      </c>
      <c r="B165" s="1" t="s">
        <v>50</v>
      </c>
      <c r="C165" s="1" t="s">
        <v>51</v>
      </c>
      <c r="D165" s="4" t="s">
        <v>49</v>
      </c>
      <c r="E165" s="4" t="s">
        <v>14</v>
      </c>
      <c r="F165" s="4" t="s">
        <v>15</v>
      </c>
      <c r="G165" s="4" t="s">
        <v>16</v>
      </c>
      <c r="H165" s="8">
        <v>24450</v>
      </c>
      <c r="I165" s="5">
        <v>3</v>
      </c>
      <c r="J165" s="5">
        <v>320</v>
      </c>
      <c r="K165" s="4" t="s">
        <v>25</v>
      </c>
      <c r="L165" s="8">
        <v>320</v>
      </c>
      <c r="M165" s="4">
        <v>17099598</v>
      </c>
      <c r="N165" s="4" t="s">
        <v>52</v>
      </c>
      <c r="O165" s="4" t="s">
        <v>53</v>
      </c>
      <c r="P165" s="4" t="s">
        <v>29</v>
      </c>
      <c r="Q165" s="6">
        <v>263</v>
      </c>
      <c r="R165" s="6">
        <v>0</v>
      </c>
      <c r="S165" s="4">
        <v>2.6200000000000001E-2</v>
      </c>
      <c r="T165" s="4">
        <v>0.11799999999999999</v>
      </c>
      <c r="U165" s="4">
        <v>0</v>
      </c>
      <c r="V165" s="4">
        <v>263</v>
      </c>
      <c r="W165" s="4">
        <v>0</v>
      </c>
      <c r="X165" s="4">
        <v>0</v>
      </c>
      <c r="Y165" s="21">
        <f t="shared" si="6"/>
        <v>6.89</v>
      </c>
      <c r="Z165" s="21">
        <f t="shared" si="7"/>
        <v>0</v>
      </c>
      <c r="AA165" s="21">
        <f t="shared" si="8"/>
        <v>6.89</v>
      </c>
      <c r="AB165" s="21"/>
    </row>
    <row r="166" spans="1:59" ht="42.75" x14ac:dyDescent="0.25">
      <c r="A166" s="1" t="s">
        <v>51</v>
      </c>
      <c r="B166" s="1" t="s">
        <v>50</v>
      </c>
      <c r="C166" s="1" t="s">
        <v>51</v>
      </c>
      <c r="D166" s="4" t="s">
        <v>49</v>
      </c>
      <c r="E166" s="4" t="s">
        <v>14</v>
      </c>
      <c r="F166" s="4" t="s">
        <v>15</v>
      </c>
      <c r="G166" s="4" t="s">
        <v>16</v>
      </c>
      <c r="H166" s="8">
        <v>24450</v>
      </c>
      <c r="I166" s="5">
        <v>3</v>
      </c>
      <c r="J166" s="5" t="s">
        <v>218</v>
      </c>
      <c r="K166" s="4" t="s">
        <v>25</v>
      </c>
      <c r="L166" s="4" t="s">
        <v>218</v>
      </c>
      <c r="M166" s="4">
        <v>17099720</v>
      </c>
      <c r="N166" s="4" t="s">
        <v>219</v>
      </c>
      <c r="O166" s="4" t="s">
        <v>220</v>
      </c>
      <c r="P166" s="4" t="s">
        <v>29</v>
      </c>
      <c r="Q166" s="6">
        <v>831</v>
      </c>
      <c r="R166" s="6">
        <v>0</v>
      </c>
      <c r="S166" s="4">
        <v>2.6200000000000001E-2</v>
      </c>
      <c r="T166" s="4">
        <v>0.11799999999999999</v>
      </c>
      <c r="U166" s="4">
        <v>0</v>
      </c>
      <c r="V166" s="4">
        <v>831</v>
      </c>
      <c r="W166" s="4">
        <v>0</v>
      </c>
      <c r="X166" s="4">
        <v>0</v>
      </c>
      <c r="Y166" s="21">
        <f t="shared" si="6"/>
        <v>21.77</v>
      </c>
      <c r="Z166" s="21">
        <f t="shared" si="7"/>
        <v>0</v>
      </c>
      <c r="AA166" s="21">
        <f t="shared" si="8"/>
        <v>21.77</v>
      </c>
      <c r="AB166" s="21"/>
    </row>
    <row r="167" spans="1:59" ht="42.75" x14ac:dyDescent="0.25">
      <c r="A167" s="1" t="s">
        <v>51</v>
      </c>
      <c r="B167" s="1" t="s">
        <v>50</v>
      </c>
      <c r="C167" s="1" t="s">
        <v>51</v>
      </c>
      <c r="D167" s="4" t="s">
        <v>49</v>
      </c>
      <c r="E167" s="4" t="s">
        <v>14</v>
      </c>
      <c r="F167" s="4" t="s">
        <v>15</v>
      </c>
      <c r="G167" s="4" t="s">
        <v>16</v>
      </c>
      <c r="H167" s="8">
        <v>24450</v>
      </c>
      <c r="I167" s="5">
        <v>3</v>
      </c>
      <c r="J167" s="5">
        <v>328</v>
      </c>
      <c r="K167" s="4" t="s">
        <v>31</v>
      </c>
      <c r="L167" s="4" t="s">
        <v>284</v>
      </c>
      <c r="M167" s="4">
        <v>17099461</v>
      </c>
      <c r="N167" s="4" t="s">
        <v>285</v>
      </c>
      <c r="O167" s="4" t="s">
        <v>286</v>
      </c>
      <c r="P167" s="4" t="s">
        <v>709</v>
      </c>
      <c r="Q167" s="6">
        <v>16527</v>
      </c>
      <c r="R167" s="6">
        <v>324</v>
      </c>
      <c r="S167" s="4">
        <v>2.07E-2</v>
      </c>
      <c r="T167" s="4">
        <v>8.6999999999999994E-2</v>
      </c>
      <c r="U167" s="4">
        <v>0</v>
      </c>
      <c r="V167" s="4">
        <v>16527</v>
      </c>
      <c r="W167" s="4">
        <v>0</v>
      </c>
      <c r="X167" s="4">
        <v>324</v>
      </c>
      <c r="Y167" s="21">
        <f t="shared" si="6"/>
        <v>342.11</v>
      </c>
      <c r="Z167" s="21">
        <f t="shared" si="7"/>
        <v>28.19</v>
      </c>
      <c r="AA167" s="21">
        <f t="shared" si="8"/>
        <v>370.3</v>
      </c>
      <c r="AB167" s="21">
        <f>SUM(AA165:AA167)</f>
        <v>398.96000000000004</v>
      </c>
    </row>
    <row r="168" spans="1:59" ht="42.75" x14ac:dyDescent="0.25">
      <c r="A168" s="1" t="s">
        <v>256</v>
      </c>
      <c r="B168" s="1" t="s">
        <v>257</v>
      </c>
      <c r="C168" s="1" t="s">
        <v>648</v>
      </c>
      <c r="D168" s="4" t="s">
        <v>256</v>
      </c>
      <c r="E168" s="4" t="s">
        <v>14</v>
      </c>
      <c r="F168" s="4" t="s">
        <v>15</v>
      </c>
      <c r="G168" s="4" t="s">
        <v>16</v>
      </c>
      <c r="H168" s="8">
        <v>24450</v>
      </c>
      <c r="I168" s="5">
        <v>1</v>
      </c>
      <c r="J168" s="5">
        <v>110</v>
      </c>
      <c r="K168" s="4" t="s">
        <v>84</v>
      </c>
      <c r="L168" s="8">
        <v>118</v>
      </c>
      <c r="M168" s="8">
        <v>17099402</v>
      </c>
      <c r="N168" s="4" t="s">
        <v>266</v>
      </c>
      <c r="O168" s="4" t="s">
        <v>267</v>
      </c>
      <c r="P168" s="4" t="s">
        <v>29</v>
      </c>
      <c r="Q168" s="6">
        <v>2196</v>
      </c>
      <c r="R168" s="6">
        <v>0</v>
      </c>
      <c r="S168" s="4">
        <v>2.6200000000000001E-2</v>
      </c>
      <c r="T168" s="4">
        <v>0.11799999999999999</v>
      </c>
      <c r="U168" s="4">
        <v>0</v>
      </c>
      <c r="V168" s="4">
        <v>2196</v>
      </c>
      <c r="W168" s="4">
        <v>0</v>
      </c>
      <c r="X168" s="4">
        <v>0</v>
      </c>
      <c r="Y168" s="21">
        <f t="shared" si="6"/>
        <v>57.54</v>
      </c>
      <c r="Z168" s="21">
        <f t="shared" si="7"/>
        <v>0</v>
      </c>
      <c r="AA168" s="21">
        <f t="shared" si="8"/>
        <v>57.54</v>
      </c>
      <c r="AB168" s="21"/>
    </row>
    <row r="169" spans="1:59" ht="42.75" x14ac:dyDescent="0.25">
      <c r="A169" s="1" t="s">
        <v>256</v>
      </c>
      <c r="B169" s="1" t="s">
        <v>257</v>
      </c>
      <c r="C169" s="1" t="s">
        <v>648</v>
      </c>
      <c r="D169" s="4" t="s">
        <v>256</v>
      </c>
      <c r="E169" s="4" t="s">
        <v>14</v>
      </c>
      <c r="F169" s="4" t="s">
        <v>15</v>
      </c>
      <c r="G169" s="4" t="s">
        <v>16</v>
      </c>
      <c r="H169" s="8">
        <v>24450</v>
      </c>
      <c r="I169" s="5">
        <v>1</v>
      </c>
      <c r="J169" s="5">
        <v>126</v>
      </c>
      <c r="K169" s="4" t="s">
        <v>25</v>
      </c>
      <c r="L169" s="8">
        <v>101</v>
      </c>
      <c r="M169" s="4">
        <v>17099599</v>
      </c>
      <c r="N169" s="4" t="s">
        <v>295</v>
      </c>
      <c r="O169" s="4" t="s">
        <v>296</v>
      </c>
      <c r="P169" s="4" t="s">
        <v>29</v>
      </c>
      <c r="Q169" s="6">
        <v>263</v>
      </c>
      <c r="R169" s="6">
        <v>0</v>
      </c>
      <c r="S169" s="4">
        <v>2.6200000000000001E-2</v>
      </c>
      <c r="T169" s="4">
        <v>0.11799999999999999</v>
      </c>
      <c r="U169" s="4">
        <v>0</v>
      </c>
      <c r="V169" s="4">
        <v>263</v>
      </c>
      <c r="W169" s="4">
        <v>0</v>
      </c>
      <c r="X169" s="4">
        <v>0</v>
      </c>
      <c r="Y169" s="21">
        <f t="shared" si="6"/>
        <v>6.89</v>
      </c>
      <c r="Z169" s="21">
        <f t="shared" si="7"/>
        <v>0</v>
      </c>
      <c r="AA169" s="21">
        <f t="shared" si="8"/>
        <v>6.89</v>
      </c>
      <c r="AB169" s="21"/>
    </row>
    <row r="170" spans="1:59" s="10" customFormat="1" ht="42.75" x14ac:dyDescent="0.25">
      <c r="A170" s="1" t="s">
        <v>256</v>
      </c>
      <c r="B170" s="1" t="s">
        <v>257</v>
      </c>
      <c r="C170" s="1" t="s">
        <v>648</v>
      </c>
      <c r="D170" s="4" t="s">
        <v>256</v>
      </c>
      <c r="E170" s="4" t="s">
        <v>14</v>
      </c>
      <c r="F170" s="4" t="s">
        <v>15</v>
      </c>
      <c r="G170" s="4" t="s">
        <v>16</v>
      </c>
      <c r="H170" s="8">
        <v>24450</v>
      </c>
      <c r="I170" s="5">
        <v>1</v>
      </c>
      <c r="J170" s="5">
        <v>132</v>
      </c>
      <c r="K170" s="4" t="s">
        <v>25</v>
      </c>
      <c r="L170" s="8">
        <v>126</v>
      </c>
      <c r="M170" s="4">
        <v>17099600</v>
      </c>
      <c r="N170" s="4" t="s">
        <v>482</v>
      </c>
      <c r="O170" s="4" t="s">
        <v>483</v>
      </c>
      <c r="P170" s="4" t="s">
        <v>29</v>
      </c>
      <c r="Q170" s="6">
        <v>372</v>
      </c>
      <c r="R170" s="6">
        <v>0</v>
      </c>
      <c r="S170" s="4">
        <v>2.6200000000000001E-2</v>
      </c>
      <c r="T170" s="4">
        <v>0.11799999999999999</v>
      </c>
      <c r="U170" s="4">
        <v>0</v>
      </c>
      <c r="V170" s="4">
        <v>372</v>
      </c>
      <c r="W170" s="4">
        <v>0</v>
      </c>
      <c r="X170" s="4">
        <v>0</v>
      </c>
      <c r="Y170" s="21">
        <f t="shared" si="6"/>
        <v>9.75</v>
      </c>
      <c r="Z170" s="21">
        <f t="shared" si="7"/>
        <v>0</v>
      </c>
      <c r="AA170" s="21">
        <f t="shared" si="8"/>
        <v>9.75</v>
      </c>
      <c r="AB170" s="21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</row>
    <row r="171" spans="1:59" ht="42.75" x14ac:dyDescent="0.25">
      <c r="A171" s="1" t="s">
        <v>256</v>
      </c>
      <c r="B171" s="1" t="s">
        <v>257</v>
      </c>
      <c r="C171" s="1" t="s">
        <v>648</v>
      </c>
      <c r="D171" s="4" t="s">
        <v>256</v>
      </c>
      <c r="E171" s="4" t="s">
        <v>14</v>
      </c>
      <c r="F171" s="4" t="s">
        <v>15</v>
      </c>
      <c r="G171" s="4" t="s">
        <v>16</v>
      </c>
      <c r="H171" s="8">
        <v>24450</v>
      </c>
      <c r="I171" s="5">
        <v>1</v>
      </c>
      <c r="J171" s="5">
        <v>135</v>
      </c>
      <c r="K171" s="4" t="s">
        <v>25</v>
      </c>
      <c r="L171" s="8">
        <v>132</v>
      </c>
      <c r="M171" s="4">
        <v>17099601</v>
      </c>
      <c r="N171" s="4" t="s">
        <v>488</v>
      </c>
      <c r="O171" s="4" t="s">
        <v>489</v>
      </c>
      <c r="P171" s="4" t="s">
        <v>29</v>
      </c>
      <c r="Q171" s="6">
        <v>64</v>
      </c>
      <c r="R171" s="6">
        <v>0</v>
      </c>
      <c r="S171" s="4">
        <v>2.6200000000000001E-2</v>
      </c>
      <c r="T171" s="4">
        <v>0.11799999999999999</v>
      </c>
      <c r="U171" s="4">
        <v>0</v>
      </c>
      <c r="V171" s="4">
        <v>64</v>
      </c>
      <c r="W171" s="4">
        <v>0</v>
      </c>
      <c r="X171" s="4">
        <v>0</v>
      </c>
      <c r="Y171" s="21">
        <f t="shared" si="6"/>
        <v>1.68</v>
      </c>
      <c r="Z171" s="21">
        <f t="shared" si="7"/>
        <v>0</v>
      </c>
      <c r="AA171" s="21">
        <f t="shared" si="8"/>
        <v>1.68</v>
      </c>
      <c r="AB171" s="21"/>
    </row>
    <row r="172" spans="1:59" ht="42.75" x14ac:dyDescent="0.25">
      <c r="A172" s="1" t="s">
        <v>256</v>
      </c>
      <c r="B172" s="1" t="s">
        <v>257</v>
      </c>
      <c r="C172" s="1" t="s">
        <v>648</v>
      </c>
      <c r="D172" s="4" t="s">
        <v>256</v>
      </c>
      <c r="E172" s="4" t="s">
        <v>14</v>
      </c>
      <c r="F172" s="4" t="s">
        <v>15</v>
      </c>
      <c r="G172" s="4" t="s">
        <v>16</v>
      </c>
      <c r="H172" s="8">
        <v>24450</v>
      </c>
      <c r="I172" s="5">
        <v>1</v>
      </c>
      <c r="J172" s="5">
        <v>118</v>
      </c>
      <c r="K172" s="4" t="s">
        <v>18</v>
      </c>
      <c r="L172" s="8">
        <v>135</v>
      </c>
      <c r="M172" s="4">
        <v>17099787</v>
      </c>
      <c r="N172" s="4" t="s">
        <v>258</v>
      </c>
      <c r="O172" s="4" t="s">
        <v>259</v>
      </c>
      <c r="P172" s="4" t="s">
        <v>709</v>
      </c>
      <c r="Q172" s="6">
        <v>8503</v>
      </c>
      <c r="R172" s="6">
        <v>2965</v>
      </c>
      <c r="S172" s="4">
        <v>2.07E-2</v>
      </c>
      <c r="T172" s="4">
        <v>8.6999999999999994E-2</v>
      </c>
      <c r="U172" s="4">
        <v>0</v>
      </c>
      <c r="V172" s="4">
        <v>8503</v>
      </c>
      <c r="W172" s="4">
        <v>0</v>
      </c>
      <c r="X172" s="4">
        <v>2965</v>
      </c>
      <c r="Y172" s="21">
        <f t="shared" si="6"/>
        <v>176.01</v>
      </c>
      <c r="Z172" s="21">
        <f t="shared" si="7"/>
        <v>257.95999999999998</v>
      </c>
      <c r="AA172" s="21">
        <f t="shared" si="8"/>
        <v>433.96999999999997</v>
      </c>
      <c r="AB172" s="21">
        <f>SUM(AA168:AA172)</f>
        <v>509.83</v>
      </c>
    </row>
    <row r="173" spans="1:59" ht="42.75" x14ac:dyDescent="0.25">
      <c r="A173" s="1" t="s">
        <v>699</v>
      </c>
      <c r="B173" s="1" t="s">
        <v>139</v>
      </c>
      <c r="C173" s="1" t="s">
        <v>634</v>
      </c>
      <c r="D173" s="4" t="s">
        <v>83</v>
      </c>
      <c r="E173" s="4" t="s">
        <v>14</v>
      </c>
      <c r="F173" s="4" t="s">
        <v>15</v>
      </c>
      <c r="G173" s="4" t="s">
        <v>16</v>
      </c>
      <c r="H173" s="8">
        <v>24450</v>
      </c>
      <c r="I173" s="5">
        <v>3</v>
      </c>
      <c r="J173" s="5">
        <v>328</v>
      </c>
      <c r="K173" s="4" t="s">
        <v>25</v>
      </c>
      <c r="L173" s="8">
        <v>425</v>
      </c>
      <c r="M173" s="4">
        <v>17099588</v>
      </c>
      <c r="N173" s="4" t="s">
        <v>140</v>
      </c>
      <c r="O173" s="4" t="s">
        <v>141</v>
      </c>
      <c r="P173" s="4" t="s">
        <v>29</v>
      </c>
      <c r="Q173" s="6">
        <v>261</v>
      </c>
      <c r="R173" s="6">
        <v>0</v>
      </c>
      <c r="S173" s="4">
        <v>2.6200000000000001E-2</v>
      </c>
      <c r="T173" s="4">
        <v>0.11799999999999999</v>
      </c>
      <c r="U173" s="4">
        <v>0</v>
      </c>
      <c r="V173" s="4">
        <v>261</v>
      </c>
      <c r="W173" s="4">
        <v>0</v>
      </c>
      <c r="X173" s="4">
        <v>0</v>
      </c>
      <c r="Y173" s="21">
        <f t="shared" si="6"/>
        <v>6.84</v>
      </c>
      <c r="Z173" s="21">
        <f t="shared" si="7"/>
        <v>0</v>
      </c>
      <c r="AA173" s="21">
        <f t="shared" si="8"/>
        <v>6.84</v>
      </c>
      <c r="AB173" s="21"/>
    </row>
    <row r="174" spans="1:59" ht="42.75" x14ac:dyDescent="0.25">
      <c r="A174" s="1" t="s">
        <v>699</v>
      </c>
      <c r="B174" s="1" t="s">
        <v>139</v>
      </c>
      <c r="C174" s="1" t="s">
        <v>634</v>
      </c>
      <c r="D174" s="4" t="s">
        <v>83</v>
      </c>
      <c r="E174" s="4" t="s">
        <v>14</v>
      </c>
      <c r="F174" s="4" t="s">
        <v>15</v>
      </c>
      <c r="G174" s="4" t="s">
        <v>16</v>
      </c>
      <c r="H174" s="8">
        <v>24450</v>
      </c>
      <c r="I174" s="5">
        <v>3</v>
      </c>
      <c r="J174" s="5">
        <v>324</v>
      </c>
      <c r="K174" s="4" t="s">
        <v>31</v>
      </c>
      <c r="L174" s="8">
        <v>328</v>
      </c>
      <c r="M174" s="4">
        <v>17099463</v>
      </c>
      <c r="N174" s="4" t="s">
        <v>173</v>
      </c>
      <c r="O174" s="4" t="s">
        <v>174</v>
      </c>
      <c r="P174" s="4" t="s">
        <v>709</v>
      </c>
      <c r="Q174" s="6">
        <v>10333</v>
      </c>
      <c r="R174" s="6">
        <v>795</v>
      </c>
      <c r="S174" s="4">
        <v>2.07E-2</v>
      </c>
      <c r="T174" s="4">
        <v>8.6999999999999994E-2</v>
      </c>
      <c r="U174" s="4">
        <v>0</v>
      </c>
      <c r="V174" s="4">
        <v>10333</v>
      </c>
      <c r="W174" s="4">
        <v>0</v>
      </c>
      <c r="X174" s="4">
        <v>795</v>
      </c>
      <c r="Y174" s="21">
        <f t="shared" si="6"/>
        <v>213.89</v>
      </c>
      <c r="Z174" s="21">
        <f t="shared" si="7"/>
        <v>69.17</v>
      </c>
      <c r="AA174" s="21">
        <f t="shared" si="8"/>
        <v>283.06</v>
      </c>
      <c r="AB174" s="21"/>
    </row>
    <row r="175" spans="1:59" ht="42.75" x14ac:dyDescent="0.25">
      <c r="A175" s="1" t="s">
        <v>699</v>
      </c>
      <c r="B175" s="1" t="s">
        <v>41</v>
      </c>
      <c r="C175" s="1" t="s">
        <v>645</v>
      </c>
      <c r="D175" s="4" t="s">
        <v>83</v>
      </c>
      <c r="E175" s="4" t="s">
        <v>14</v>
      </c>
      <c r="F175" s="4" t="s">
        <v>15</v>
      </c>
      <c r="G175" s="4" t="s">
        <v>16</v>
      </c>
      <c r="H175" s="8">
        <v>24450</v>
      </c>
      <c r="I175" s="5">
        <v>3</v>
      </c>
      <c r="J175" s="5">
        <v>318</v>
      </c>
      <c r="K175" s="4" t="s">
        <v>25</v>
      </c>
      <c r="L175" s="8">
        <v>214</v>
      </c>
      <c r="M175" s="4">
        <v>17099583</v>
      </c>
      <c r="N175" s="4" t="s">
        <v>480</v>
      </c>
      <c r="O175" s="4" t="s">
        <v>481</v>
      </c>
      <c r="P175" s="4" t="s">
        <v>29</v>
      </c>
      <c r="Q175" s="6">
        <v>24</v>
      </c>
      <c r="R175" s="6">
        <v>0</v>
      </c>
      <c r="S175" s="4">
        <v>2.6200000000000001E-2</v>
      </c>
      <c r="T175" s="4">
        <v>0.11799999999999999</v>
      </c>
      <c r="U175" s="4">
        <v>0</v>
      </c>
      <c r="V175" s="4">
        <v>24</v>
      </c>
      <c r="W175" s="4">
        <v>0</v>
      </c>
      <c r="X175" s="4">
        <v>0</v>
      </c>
      <c r="Y175" s="21">
        <f t="shared" si="6"/>
        <v>0.63</v>
      </c>
      <c r="Z175" s="21">
        <f t="shared" si="7"/>
        <v>0</v>
      </c>
      <c r="AA175" s="21">
        <f t="shared" si="8"/>
        <v>0.63</v>
      </c>
      <c r="AB175" s="21">
        <f>SUM(AA173:AA175)</f>
        <v>290.52999999999997</v>
      </c>
    </row>
    <row r="176" spans="1:59" ht="42.75" x14ac:dyDescent="0.25">
      <c r="A176" s="1" t="s">
        <v>13</v>
      </c>
      <c r="B176" s="1" t="s">
        <v>26</v>
      </c>
      <c r="C176" s="1" t="s">
        <v>635</v>
      </c>
      <c r="D176" s="4" t="s">
        <v>24</v>
      </c>
      <c r="E176" s="4" t="s">
        <v>14</v>
      </c>
      <c r="F176" s="4" t="s">
        <v>15</v>
      </c>
      <c r="G176" s="4" t="s">
        <v>16</v>
      </c>
      <c r="H176" s="8">
        <v>24450</v>
      </c>
      <c r="I176" s="5">
        <v>5</v>
      </c>
      <c r="J176" s="5">
        <v>500</v>
      </c>
      <c r="K176" s="4" t="s">
        <v>25</v>
      </c>
      <c r="L176" s="8">
        <v>503</v>
      </c>
      <c r="M176" s="4">
        <v>17099525</v>
      </c>
      <c r="N176" s="4" t="s">
        <v>27</v>
      </c>
      <c r="O176" s="4" t="s">
        <v>28</v>
      </c>
      <c r="P176" s="4" t="s">
        <v>29</v>
      </c>
      <c r="Q176" s="6">
        <v>0</v>
      </c>
      <c r="R176" s="6">
        <v>0</v>
      </c>
      <c r="S176" s="4">
        <v>2.6200000000000001E-2</v>
      </c>
      <c r="T176" s="4">
        <v>0.11799999999999999</v>
      </c>
      <c r="U176" s="4">
        <v>0</v>
      </c>
      <c r="V176" s="4">
        <v>0</v>
      </c>
      <c r="W176" s="4">
        <v>0</v>
      </c>
      <c r="X176" s="4">
        <v>0</v>
      </c>
      <c r="Y176" s="21">
        <f t="shared" si="6"/>
        <v>0</v>
      </c>
      <c r="Z176" s="21">
        <f t="shared" si="7"/>
        <v>0</v>
      </c>
      <c r="AA176" s="21">
        <f t="shared" si="8"/>
        <v>0</v>
      </c>
      <c r="AB176" s="21"/>
    </row>
    <row r="177" spans="1:28" ht="42.75" x14ac:dyDescent="0.25">
      <c r="A177" s="1" t="s">
        <v>13</v>
      </c>
      <c r="B177" s="1" t="s">
        <v>26</v>
      </c>
      <c r="C177" s="1" t="s">
        <v>635</v>
      </c>
      <c r="D177" s="4" t="s">
        <v>24</v>
      </c>
      <c r="E177" s="4" t="s">
        <v>14</v>
      </c>
      <c r="F177" s="4" t="s">
        <v>15</v>
      </c>
      <c r="G177" s="4" t="s">
        <v>16</v>
      </c>
      <c r="H177" s="8">
        <v>24450</v>
      </c>
      <c r="I177" s="5">
        <v>4</v>
      </c>
      <c r="J177" s="5" t="s">
        <v>36</v>
      </c>
      <c r="K177" s="4" t="s">
        <v>18</v>
      </c>
      <c r="L177" s="4" t="s">
        <v>20</v>
      </c>
      <c r="M177" s="4">
        <v>17099487</v>
      </c>
      <c r="N177" s="4" t="s">
        <v>37</v>
      </c>
      <c r="O177" s="4" t="s">
        <v>38</v>
      </c>
      <c r="P177" s="4" t="s">
        <v>709</v>
      </c>
      <c r="Q177" s="6">
        <v>589</v>
      </c>
      <c r="R177" s="6">
        <v>44</v>
      </c>
      <c r="S177" s="4">
        <v>2.07E-2</v>
      </c>
      <c r="T177" s="4">
        <v>8.6999999999999994E-2</v>
      </c>
      <c r="U177" s="4">
        <v>0</v>
      </c>
      <c r="V177" s="4">
        <v>589</v>
      </c>
      <c r="W177" s="4">
        <v>0</v>
      </c>
      <c r="X177" s="4">
        <v>44</v>
      </c>
      <c r="Y177" s="21">
        <f t="shared" si="6"/>
        <v>12.19</v>
      </c>
      <c r="Z177" s="21">
        <f t="shared" si="7"/>
        <v>3.83</v>
      </c>
      <c r="AA177" s="21">
        <f t="shared" si="8"/>
        <v>16.02</v>
      </c>
      <c r="AB177" s="21"/>
    </row>
    <row r="178" spans="1:28" ht="42.75" x14ac:dyDescent="0.25">
      <c r="A178" s="1" t="s">
        <v>13</v>
      </c>
      <c r="B178" s="1" t="s">
        <v>26</v>
      </c>
      <c r="C178" s="1" t="s">
        <v>635</v>
      </c>
      <c r="D178" s="4" t="s">
        <v>24</v>
      </c>
      <c r="E178" s="4" t="s">
        <v>14</v>
      </c>
      <c r="F178" s="4" t="s">
        <v>15</v>
      </c>
      <c r="G178" s="4" t="s">
        <v>16</v>
      </c>
      <c r="H178" s="8">
        <v>24450</v>
      </c>
      <c r="I178" s="5">
        <v>4</v>
      </c>
      <c r="J178" s="5">
        <v>401</v>
      </c>
      <c r="K178" s="4" t="s">
        <v>25</v>
      </c>
      <c r="L178" s="8">
        <v>601</v>
      </c>
      <c r="M178" s="4">
        <v>17099634</v>
      </c>
      <c r="N178" s="4" t="s">
        <v>208</v>
      </c>
      <c r="O178" s="4" t="s">
        <v>209</v>
      </c>
      <c r="P178" s="4" t="s">
        <v>29</v>
      </c>
      <c r="Q178" s="6">
        <v>459</v>
      </c>
      <c r="R178" s="6">
        <v>0</v>
      </c>
      <c r="S178" s="4">
        <v>2.6200000000000001E-2</v>
      </c>
      <c r="T178" s="4">
        <v>0.11799999999999999</v>
      </c>
      <c r="U178" s="4">
        <v>0</v>
      </c>
      <c r="V178" s="4">
        <v>459</v>
      </c>
      <c r="W178" s="4">
        <v>0</v>
      </c>
      <c r="X178" s="4">
        <v>0</v>
      </c>
      <c r="Y178" s="21">
        <f t="shared" si="6"/>
        <v>12.03</v>
      </c>
      <c r="Z178" s="21">
        <f t="shared" si="7"/>
        <v>0</v>
      </c>
      <c r="AA178" s="21">
        <f t="shared" si="8"/>
        <v>12.03</v>
      </c>
      <c r="AB178" s="21"/>
    </row>
    <row r="179" spans="1:28" ht="42.75" x14ac:dyDescent="0.25">
      <c r="A179" s="1" t="s">
        <v>13</v>
      </c>
      <c r="B179" s="1" t="s">
        <v>26</v>
      </c>
      <c r="C179" s="1" t="s">
        <v>635</v>
      </c>
      <c r="D179" s="4" t="s">
        <v>24</v>
      </c>
      <c r="E179" s="4" t="s">
        <v>14</v>
      </c>
      <c r="F179" s="4" t="s">
        <v>15</v>
      </c>
      <c r="G179" s="4" t="s">
        <v>16</v>
      </c>
      <c r="H179" s="8">
        <v>24450</v>
      </c>
      <c r="I179" s="5">
        <v>5</v>
      </c>
      <c r="J179" s="5">
        <v>502</v>
      </c>
      <c r="K179" s="4" t="s">
        <v>25</v>
      </c>
      <c r="L179" s="8">
        <v>650</v>
      </c>
      <c r="M179" s="4">
        <v>17099524</v>
      </c>
      <c r="N179" s="4" t="s">
        <v>245</v>
      </c>
      <c r="O179" s="4" t="s">
        <v>246</v>
      </c>
      <c r="P179" s="4" t="s">
        <v>29</v>
      </c>
      <c r="Q179" s="6">
        <v>4368</v>
      </c>
      <c r="R179" s="6">
        <v>0</v>
      </c>
      <c r="S179" s="4">
        <v>2.6200000000000001E-2</v>
      </c>
      <c r="T179" s="4">
        <v>0.11799999999999999</v>
      </c>
      <c r="U179" s="4">
        <v>0</v>
      </c>
      <c r="V179" s="4">
        <v>4368</v>
      </c>
      <c r="W179" s="4">
        <v>0</v>
      </c>
      <c r="X179" s="4">
        <v>0</v>
      </c>
      <c r="Y179" s="21">
        <f t="shared" si="6"/>
        <v>114.44</v>
      </c>
      <c r="Z179" s="21">
        <f t="shared" si="7"/>
        <v>0</v>
      </c>
      <c r="AA179" s="21">
        <f t="shared" si="8"/>
        <v>114.44</v>
      </c>
      <c r="AB179" s="21"/>
    </row>
    <row r="180" spans="1:28" ht="42.75" x14ac:dyDescent="0.25">
      <c r="A180" s="1" t="s">
        <v>13</v>
      </c>
      <c r="B180" s="1" t="s">
        <v>26</v>
      </c>
      <c r="C180" s="1" t="s">
        <v>635</v>
      </c>
      <c r="D180" s="4" t="s">
        <v>24</v>
      </c>
      <c r="E180" s="4" t="s">
        <v>14</v>
      </c>
      <c r="F180" s="4" t="s">
        <v>15</v>
      </c>
      <c r="G180" s="4" t="s">
        <v>16</v>
      </c>
      <c r="H180" s="8">
        <v>24450</v>
      </c>
      <c r="I180" s="5">
        <v>4</v>
      </c>
      <c r="J180" s="5">
        <v>401</v>
      </c>
      <c r="K180" s="4" t="s">
        <v>25</v>
      </c>
      <c r="L180" s="8">
        <v>501</v>
      </c>
      <c r="M180" s="4">
        <v>17099526</v>
      </c>
      <c r="N180" s="4" t="s">
        <v>260</v>
      </c>
      <c r="O180" s="4" t="s">
        <v>261</v>
      </c>
      <c r="P180" s="4" t="s">
        <v>29</v>
      </c>
      <c r="Q180" s="6">
        <v>2049</v>
      </c>
      <c r="R180" s="6">
        <v>0</v>
      </c>
      <c r="S180" s="4">
        <v>2.6200000000000001E-2</v>
      </c>
      <c r="T180" s="4">
        <v>0.11799999999999999</v>
      </c>
      <c r="U180" s="4">
        <v>0</v>
      </c>
      <c r="V180" s="4">
        <v>2049</v>
      </c>
      <c r="W180" s="4">
        <v>0</v>
      </c>
      <c r="X180" s="4">
        <v>0</v>
      </c>
      <c r="Y180" s="21">
        <f t="shared" si="6"/>
        <v>53.68</v>
      </c>
      <c r="Z180" s="21">
        <f t="shared" si="7"/>
        <v>0</v>
      </c>
      <c r="AA180" s="21">
        <f t="shared" si="8"/>
        <v>53.68</v>
      </c>
      <c r="AB180" s="21"/>
    </row>
    <row r="181" spans="1:28" ht="42.75" x14ac:dyDescent="0.25">
      <c r="A181" s="1" t="s">
        <v>13</v>
      </c>
      <c r="B181" s="1" t="s">
        <v>26</v>
      </c>
      <c r="C181" s="1" t="s">
        <v>635</v>
      </c>
      <c r="D181" s="4" t="s">
        <v>24</v>
      </c>
      <c r="E181" s="4" t="s">
        <v>14</v>
      </c>
      <c r="F181" s="4" t="s">
        <v>15</v>
      </c>
      <c r="G181" s="4" t="s">
        <v>16</v>
      </c>
      <c r="H181" s="8">
        <v>24450</v>
      </c>
      <c r="I181" s="5">
        <v>5</v>
      </c>
      <c r="J181" s="5">
        <v>501</v>
      </c>
      <c r="K181" s="4" t="s">
        <v>25</v>
      </c>
      <c r="L181" s="4" t="s">
        <v>30</v>
      </c>
      <c r="M181" s="4">
        <v>17099523</v>
      </c>
      <c r="N181" s="4" t="s">
        <v>282</v>
      </c>
      <c r="O181" s="4" t="s">
        <v>283</v>
      </c>
      <c r="P181" s="4" t="s">
        <v>29</v>
      </c>
      <c r="Q181" s="6">
        <v>25567</v>
      </c>
      <c r="R181" s="6">
        <v>0</v>
      </c>
      <c r="S181" s="4">
        <v>2.6200000000000001E-2</v>
      </c>
      <c r="T181" s="4">
        <v>0.11799999999999999</v>
      </c>
      <c r="U181" s="4">
        <v>0</v>
      </c>
      <c r="V181" s="4">
        <v>25567</v>
      </c>
      <c r="W181" s="4">
        <v>0</v>
      </c>
      <c r="X181" s="4">
        <v>0</v>
      </c>
      <c r="Y181" s="21">
        <f t="shared" si="6"/>
        <v>669.86</v>
      </c>
      <c r="Z181" s="21">
        <f t="shared" si="7"/>
        <v>0</v>
      </c>
      <c r="AA181" s="21">
        <f t="shared" si="8"/>
        <v>669.86</v>
      </c>
      <c r="AB181" s="21"/>
    </row>
    <row r="182" spans="1:28" ht="42.75" x14ac:dyDescent="0.25">
      <c r="A182" s="1" t="s">
        <v>13</v>
      </c>
      <c r="B182" s="1" t="s">
        <v>26</v>
      </c>
      <c r="C182" s="1" t="s">
        <v>635</v>
      </c>
      <c r="D182" s="4" t="s">
        <v>24</v>
      </c>
      <c r="E182" s="4" t="s">
        <v>14</v>
      </c>
      <c r="F182" s="4" t="s">
        <v>15</v>
      </c>
      <c r="G182" s="4" t="s">
        <v>16</v>
      </c>
      <c r="H182" s="8">
        <v>24450</v>
      </c>
      <c r="I182" s="5">
        <v>3</v>
      </c>
      <c r="J182" s="5" t="s">
        <v>30</v>
      </c>
      <c r="K182" s="4" t="s">
        <v>25</v>
      </c>
      <c r="L182" s="8">
        <v>110</v>
      </c>
      <c r="M182" s="4">
        <v>17099503</v>
      </c>
      <c r="N182" s="4" t="s">
        <v>287</v>
      </c>
      <c r="O182" s="4" t="s">
        <v>288</v>
      </c>
      <c r="P182" s="4" t="s">
        <v>29</v>
      </c>
      <c r="Q182" s="6">
        <v>5615</v>
      </c>
      <c r="R182" s="6">
        <v>0</v>
      </c>
      <c r="S182" s="4">
        <v>2.6200000000000001E-2</v>
      </c>
      <c r="T182" s="4">
        <v>0.11799999999999999</v>
      </c>
      <c r="U182" s="4">
        <v>0</v>
      </c>
      <c r="V182" s="4">
        <v>5615</v>
      </c>
      <c r="W182" s="4">
        <v>0</v>
      </c>
      <c r="X182" s="4">
        <v>0</v>
      </c>
      <c r="Y182" s="21">
        <f t="shared" si="6"/>
        <v>147.11000000000001</v>
      </c>
      <c r="Z182" s="21">
        <f t="shared" si="7"/>
        <v>0</v>
      </c>
      <c r="AA182" s="21">
        <f t="shared" si="8"/>
        <v>147.11000000000001</v>
      </c>
      <c r="AB182" s="21"/>
    </row>
    <row r="183" spans="1:28" ht="42.75" x14ac:dyDescent="0.25">
      <c r="A183" s="1" t="s">
        <v>13</v>
      </c>
      <c r="B183" s="1" t="s">
        <v>26</v>
      </c>
      <c r="C183" s="1" t="s">
        <v>635</v>
      </c>
      <c r="D183" s="4" t="s">
        <v>24</v>
      </c>
      <c r="E183" s="4" t="s">
        <v>14</v>
      </c>
      <c r="F183" s="4" t="s">
        <v>15</v>
      </c>
      <c r="G183" s="4" t="s">
        <v>16</v>
      </c>
      <c r="H183" s="8">
        <v>24450</v>
      </c>
      <c r="I183" s="5">
        <v>6</v>
      </c>
      <c r="J183" s="5">
        <v>650</v>
      </c>
      <c r="K183" s="4" t="s">
        <v>25</v>
      </c>
      <c r="L183" s="8">
        <v>303</v>
      </c>
      <c r="M183" s="4">
        <v>17099445</v>
      </c>
      <c r="N183" s="4" t="s">
        <v>321</v>
      </c>
      <c r="O183" s="4" t="s">
        <v>322</v>
      </c>
      <c r="P183" s="4" t="s">
        <v>29</v>
      </c>
      <c r="Q183" s="6">
        <v>3301</v>
      </c>
      <c r="R183" s="6">
        <v>0</v>
      </c>
      <c r="S183" s="4">
        <v>2.6200000000000001E-2</v>
      </c>
      <c r="T183" s="4">
        <v>0.11799999999999999</v>
      </c>
      <c r="U183" s="4">
        <v>0</v>
      </c>
      <c r="V183" s="4">
        <v>3301</v>
      </c>
      <c r="W183" s="4">
        <v>0</v>
      </c>
      <c r="X183" s="4">
        <v>0</v>
      </c>
      <c r="Y183" s="21">
        <f t="shared" si="6"/>
        <v>86.49</v>
      </c>
      <c r="Z183" s="21">
        <f t="shared" si="7"/>
        <v>0</v>
      </c>
      <c r="AA183" s="21">
        <f t="shared" si="8"/>
        <v>86.49</v>
      </c>
      <c r="AB183" s="21"/>
    </row>
    <row r="184" spans="1:28" ht="42.75" x14ac:dyDescent="0.25">
      <c r="A184" s="1" t="s">
        <v>13</v>
      </c>
      <c r="B184" s="1" t="s">
        <v>26</v>
      </c>
      <c r="C184" s="1" t="s">
        <v>635</v>
      </c>
      <c r="D184" s="4" t="s">
        <v>24</v>
      </c>
      <c r="E184" s="4" t="s">
        <v>14</v>
      </c>
      <c r="F184" s="4" t="s">
        <v>15</v>
      </c>
      <c r="G184" s="4" t="s">
        <v>16</v>
      </c>
      <c r="H184" s="8">
        <v>24450</v>
      </c>
      <c r="I184" s="5">
        <v>3</v>
      </c>
      <c r="J184" s="5">
        <v>303</v>
      </c>
      <c r="K184" s="4" t="s">
        <v>25</v>
      </c>
      <c r="L184" s="8">
        <v>401</v>
      </c>
      <c r="M184" s="4">
        <v>17099504</v>
      </c>
      <c r="N184" s="4" t="s">
        <v>340</v>
      </c>
      <c r="O184" s="4" t="s">
        <v>341</v>
      </c>
      <c r="P184" s="4" t="s">
        <v>29</v>
      </c>
      <c r="Q184" s="6">
        <v>1589</v>
      </c>
      <c r="R184" s="6">
        <v>0</v>
      </c>
      <c r="S184" s="4">
        <v>2.6200000000000001E-2</v>
      </c>
      <c r="T184" s="4">
        <v>0.11799999999999999</v>
      </c>
      <c r="U184" s="4">
        <v>0</v>
      </c>
      <c r="V184" s="4">
        <v>1589</v>
      </c>
      <c r="W184" s="4">
        <v>0</v>
      </c>
      <c r="X184" s="4">
        <v>0</v>
      </c>
      <c r="Y184" s="21">
        <f t="shared" si="6"/>
        <v>41.63</v>
      </c>
      <c r="Z184" s="21">
        <f t="shared" si="7"/>
        <v>0</v>
      </c>
      <c r="AA184" s="21">
        <f t="shared" si="8"/>
        <v>41.63</v>
      </c>
      <c r="AB184" s="21"/>
    </row>
    <row r="185" spans="1:28" ht="42.75" x14ac:dyDescent="0.25">
      <c r="A185" s="1" t="s">
        <v>13</v>
      </c>
      <c r="B185" s="1" t="s">
        <v>26</v>
      </c>
      <c r="C185" s="1" t="s">
        <v>635</v>
      </c>
      <c r="D185" s="4" t="s">
        <v>24</v>
      </c>
      <c r="E185" s="4" t="s">
        <v>14</v>
      </c>
      <c r="F185" s="4" t="s">
        <v>15</v>
      </c>
      <c r="G185" s="4" t="s">
        <v>16</v>
      </c>
      <c r="H185" s="8">
        <v>24450</v>
      </c>
      <c r="I185" s="5">
        <v>4</v>
      </c>
      <c r="J185" s="5">
        <v>401</v>
      </c>
      <c r="K185" s="4" t="s">
        <v>25</v>
      </c>
      <c r="L185" s="8">
        <v>401</v>
      </c>
      <c r="M185" s="4">
        <v>17099641</v>
      </c>
      <c r="N185" s="4" t="s">
        <v>370</v>
      </c>
      <c r="O185" s="4" t="s">
        <v>371</v>
      </c>
      <c r="P185" s="4" t="s">
        <v>29</v>
      </c>
      <c r="Q185" s="6">
        <v>169</v>
      </c>
      <c r="R185" s="6">
        <v>0</v>
      </c>
      <c r="S185" s="4">
        <v>2.6200000000000001E-2</v>
      </c>
      <c r="T185" s="4">
        <v>0.11799999999999999</v>
      </c>
      <c r="U185" s="4">
        <v>0</v>
      </c>
      <c r="V185" s="4">
        <v>169</v>
      </c>
      <c r="W185" s="4">
        <v>0</v>
      </c>
      <c r="X185" s="4">
        <v>0</v>
      </c>
      <c r="Y185" s="21">
        <f t="shared" si="6"/>
        <v>4.43</v>
      </c>
      <c r="Z185" s="21">
        <f t="shared" si="7"/>
        <v>0</v>
      </c>
      <c r="AA185" s="21">
        <f t="shared" si="8"/>
        <v>4.43</v>
      </c>
      <c r="AB185" s="21"/>
    </row>
    <row r="186" spans="1:28" ht="42.75" x14ac:dyDescent="0.25">
      <c r="A186" s="1" t="s">
        <v>13</v>
      </c>
      <c r="B186" s="1" t="s">
        <v>26</v>
      </c>
      <c r="C186" s="1" t="s">
        <v>635</v>
      </c>
      <c r="D186" s="4" t="s">
        <v>24</v>
      </c>
      <c r="E186" s="4" t="s">
        <v>14</v>
      </c>
      <c r="F186" s="4" t="s">
        <v>15</v>
      </c>
      <c r="G186" s="4" t="s">
        <v>16</v>
      </c>
      <c r="H186" s="8">
        <v>24450</v>
      </c>
      <c r="I186" s="5">
        <v>3</v>
      </c>
      <c r="J186" s="5">
        <v>302</v>
      </c>
      <c r="K186" s="4" t="s">
        <v>25</v>
      </c>
      <c r="L186" s="8">
        <v>502</v>
      </c>
      <c r="M186" s="4">
        <v>17099502</v>
      </c>
      <c r="N186" s="4" t="s">
        <v>433</v>
      </c>
      <c r="O186" s="4" t="s">
        <v>434</v>
      </c>
      <c r="P186" s="4" t="s">
        <v>29</v>
      </c>
      <c r="Q186" s="6">
        <v>1677</v>
      </c>
      <c r="R186" s="6">
        <v>0</v>
      </c>
      <c r="S186" s="4">
        <v>2.6200000000000001E-2</v>
      </c>
      <c r="T186" s="4">
        <v>0.11799999999999999</v>
      </c>
      <c r="U186" s="4">
        <v>0</v>
      </c>
      <c r="V186" s="4">
        <v>1677</v>
      </c>
      <c r="W186" s="4">
        <v>0</v>
      </c>
      <c r="X186" s="4">
        <v>0</v>
      </c>
      <c r="Y186" s="21">
        <f t="shared" si="6"/>
        <v>43.94</v>
      </c>
      <c r="Z186" s="21">
        <f t="shared" si="7"/>
        <v>0</v>
      </c>
      <c r="AA186" s="21">
        <f t="shared" si="8"/>
        <v>43.94</v>
      </c>
      <c r="AB186" s="21"/>
    </row>
    <row r="187" spans="1:28" ht="42.75" x14ac:dyDescent="0.25">
      <c r="A187" s="1" t="s">
        <v>13</v>
      </c>
      <c r="B187" s="1" t="s">
        <v>26</v>
      </c>
      <c r="C187" s="1" t="s">
        <v>635</v>
      </c>
      <c r="D187" s="4" t="s">
        <v>13</v>
      </c>
      <c r="E187" s="4" t="s">
        <v>14</v>
      </c>
      <c r="F187" s="4" t="s">
        <v>15</v>
      </c>
      <c r="G187" s="4" t="s">
        <v>16</v>
      </c>
      <c r="H187" s="8">
        <v>24450</v>
      </c>
      <c r="I187" s="5">
        <v>5</v>
      </c>
      <c r="J187" s="5" t="s">
        <v>682</v>
      </c>
      <c r="K187" s="4" t="s">
        <v>18</v>
      </c>
      <c r="L187" s="4" t="s">
        <v>36</v>
      </c>
      <c r="M187" s="4">
        <v>17099432</v>
      </c>
      <c r="N187" s="4" t="s">
        <v>111</v>
      </c>
      <c r="O187" s="4" t="s">
        <v>112</v>
      </c>
      <c r="P187" s="4" t="s">
        <v>709</v>
      </c>
      <c r="Q187" s="6">
        <v>10142</v>
      </c>
      <c r="R187" s="6">
        <v>2164</v>
      </c>
      <c r="S187" s="4">
        <v>2.07E-2</v>
      </c>
      <c r="T187" s="4">
        <v>8.6999999999999994E-2</v>
      </c>
      <c r="U187" s="4">
        <v>0</v>
      </c>
      <c r="V187" s="4">
        <v>10142</v>
      </c>
      <c r="W187" s="4">
        <v>0</v>
      </c>
      <c r="X187" s="4">
        <v>2164</v>
      </c>
      <c r="Y187" s="21">
        <f t="shared" si="6"/>
        <v>209.94</v>
      </c>
      <c r="Z187" s="21">
        <f t="shared" si="7"/>
        <v>188.27</v>
      </c>
      <c r="AA187" s="21">
        <f t="shared" si="8"/>
        <v>398.21000000000004</v>
      </c>
      <c r="AB187" s="21"/>
    </row>
    <row r="188" spans="1:28" ht="42.75" x14ac:dyDescent="0.25">
      <c r="A188" s="1" t="s">
        <v>13</v>
      </c>
      <c r="B188" s="1" t="s">
        <v>41</v>
      </c>
      <c r="C188" s="1" t="s">
        <v>645</v>
      </c>
      <c r="D188" s="4" t="s">
        <v>24</v>
      </c>
      <c r="E188" s="4" t="s">
        <v>14</v>
      </c>
      <c r="F188" s="4" t="s">
        <v>15</v>
      </c>
      <c r="G188" s="4" t="s">
        <v>16</v>
      </c>
      <c r="H188" s="8">
        <v>24450</v>
      </c>
      <c r="I188" s="5">
        <v>6</v>
      </c>
      <c r="J188" s="5">
        <v>601</v>
      </c>
      <c r="K188" s="4" t="s">
        <v>25</v>
      </c>
      <c r="L188" s="8">
        <v>302</v>
      </c>
      <c r="M188" s="4">
        <v>17099706</v>
      </c>
      <c r="N188" s="4" t="s">
        <v>204</v>
      </c>
      <c r="O188" s="4" t="s">
        <v>205</v>
      </c>
      <c r="P188" s="4" t="s">
        <v>29</v>
      </c>
      <c r="Q188" s="6">
        <v>1217</v>
      </c>
      <c r="R188" s="6">
        <v>0</v>
      </c>
      <c r="S188" s="4">
        <v>2.6200000000000001E-2</v>
      </c>
      <c r="T188" s="4">
        <v>0.11799999999999999</v>
      </c>
      <c r="U188" s="4">
        <v>0</v>
      </c>
      <c r="V188" s="4">
        <v>1217</v>
      </c>
      <c r="W188" s="4">
        <v>0</v>
      </c>
      <c r="X188" s="4">
        <v>0</v>
      </c>
      <c r="Y188" s="21">
        <f t="shared" si="6"/>
        <v>31.89</v>
      </c>
      <c r="Z188" s="21">
        <f t="shared" si="7"/>
        <v>0</v>
      </c>
      <c r="AA188" s="21">
        <f t="shared" si="8"/>
        <v>31.89</v>
      </c>
      <c r="AB188" s="21"/>
    </row>
    <row r="189" spans="1:28" ht="42.75" x14ac:dyDescent="0.25">
      <c r="A189" s="1" t="s">
        <v>13</v>
      </c>
      <c r="B189" s="1" t="s">
        <v>41</v>
      </c>
      <c r="C189" s="1" t="s">
        <v>645</v>
      </c>
      <c r="D189" s="4" t="s">
        <v>24</v>
      </c>
      <c r="E189" s="4" t="s">
        <v>14</v>
      </c>
      <c r="F189" s="4" t="s">
        <v>15</v>
      </c>
      <c r="G189" s="4" t="s">
        <v>16</v>
      </c>
      <c r="H189" s="8">
        <v>24450</v>
      </c>
      <c r="I189" s="5">
        <v>5</v>
      </c>
      <c r="J189" s="5">
        <v>503</v>
      </c>
      <c r="K189" s="4" t="s">
        <v>25</v>
      </c>
      <c r="L189" s="8">
        <v>401</v>
      </c>
      <c r="M189" s="4">
        <v>17099631</v>
      </c>
      <c r="N189" s="4" t="s">
        <v>415</v>
      </c>
      <c r="O189" s="4" t="s">
        <v>416</v>
      </c>
      <c r="P189" s="4" t="s">
        <v>29</v>
      </c>
      <c r="Q189" s="6">
        <v>22100</v>
      </c>
      <c r="R189" s="6">
        <v>0</v>
      </c>
      <c r="S189" s="4">
        <v>2.6200000000000001E-2</v>
      </c>
      <c r="T189" s="4">
        <v>0.11799999999999999</v>
      </c>
      <c r="U189" s="4">
        <v>0</v>
      </c>
      <c r="V189" s="4">
        <v>22100</v>
      </c>
      <c r="W189" s="4">
        <v>0</v>
      </c>
      <c r="X189" s="4">
        <v>0</v>
      </c>
      <c r="Y189" s="21">
        <f t="shared" si="6"/>
        <v>579.02</v>
      </c>
      <c r="Z189" s="21">
        <f t="shared" si="7"/>
        <v>0</v>
      </c>
      <c r="AA189" s="21">
        <f t="shared" si="8"/>
        <v>579.02</v>
      </c>
      <c r="AB189" s="21">
        <f>SUM(AA176:AA189)</f>
        <v>2198.75</v>
      </c>
    </row>
    <row r="190" spans="1:28" ht="71.25" x14ac:dyDescent="0.25">
      <c r="A190" s="1" t="s">
        <v>373</v>
      </c>
      <c r="B190" s="1" t="s">
        <v>372</v>
      </c>
      <c r="C190" s="1" t="s">
        <v>373</v>
      </c>
      <c r="D190" s="4" t="s">
        <v>76</v>
      </c>
      <c r="E190" s="4" t="s">
        <v>77</v>
      </c>
      <c r="F190" s="4" t="s">
        <v>15</v>
      </c>
      <c r="G190" s="4" t="s">
        <v>16</v>
      </c>
      <c r="H190" s="8">
        <v>22450</v>
      </c>
      <c r="I190" s="5">
        <v>1</v>
      </c>
      <c r="J190" s="5">
        <v>301</v>
      </c>
      <c r="K190" s="4" t="s">
        <v>25</v>
      </c>
      <c r="L190" s="8">
        <v>301</v>
      </c>
      <c r="M190" s="4">
        <v>17099422</v>
      </c>
      <c r="N190" s="4" t="s">
        <v>374</v>
      </c>
      <c r="O190" s="4" t="s">
        <v>375</v>
      </c>
      <c r="P190" s="4" t="s">
        <v>29</v>
      </c>
      <c r="Q190" s="6">
        <v>1181</v>
      </c>
      <c r="R190" s="6">
        <v>0</v>
      </c>
      <c r="S190" s="4">
        <v>2.6200000000000001E-2</v>
      </c>
      <c r="T190" s="4">
        <v>0.11799999999999999</v>
      </c>
      <c r="U190" s="4">
        <v>0</v>
      </c>
      <c r="V190" s="4">
        <v>1181</v>
      </c>
      <c r="W190" s="4">
        <v>0</v>
      </c>
      <c r="X190" s="4">
        <v>0</v>
      </c>
      <c r="Y190" s="21">
        <f t="shared" si="6"/>
        <v>30.94</v>
      </c>
      <c r="Z190" s="21">
        <f t="shared" si="7"/>
        <v>0</v>
      </c>
      <c r="AA190" s="21">
        <f t="shared" si="8"/>
        <v>30.94</v>
      </c>
      <c r="AB190" s="21">
        <f>Table14[[#This Row],[Device Total Click Charge]]</f>
        <v>30.94</v>
      </c>
    </row>
    <row r="191" spans="1:28" ht="42.75" x14ac:dyDescent="0.25">
      <c r="A191" s="1" t="s">
        <v>700</v>
      </c>
      <c r="B191" s="1" t="s">
        <v>175</v>
      </c>
      <c r="C191" s="1" t="s">
        <v>701</v>
      </c>
      <c r="D191" s="4" t="s">
        <v>39</v>
      </c>
      <c r="E191" s="4" t="s">
        <v>14</v>
      </c>
      <c r="F191" s="4" t="s">
        <v>15</v>
      </c>
      <c r="G191" s="4" t="s">
        <v>16</v>
      </c>
      <c r="H191" s="8">
        <v>24450</v>
      </c>
      <c r="I191" s="5">
        <v>4</v>
      </c>
      <c r="J191" s="5">
        <v>403</v>
      </c>
      <c r="K191" s="4" t="s">
        <v>162</v>
      </c>
      <c r="L191" s="8">
        <v>403</v>
      </c>
      <c r="M191" s="4">
        <v>17099452</v>
      </c>
      <c r="N191" s="4" t="s">
        <v>178</v>
      </c>
      <c r="O191" s="4" t="s">
        <v>179</v>
      </c>
      <c r="P191" s="4" t="s">
        <v>709</v>
      </c>
      <c r="Q191" s="6">
        <v>30747</v>
      </c>
      <c r="R191" s="6">
        <v>1649</v>
      </c>
      <c r="S191" s="4">
        <v>2.07E-2</v>
      </c>
      <c r="T191" s="4">
        <v>8.6999999999999994E-2</v>
      </c>
      <c r="U191" s="4">
        <v>0</v>
      </c>
      <c r="V191" s="4">
        <v>30747</v>
      </c>
      <c r="W191" s="4">
        <v>0</v>
      </c>
      <c r="X191" s="4">
        <v>1649</v>
      </c>
      <c r="Y191" s="21">
        <f t="shared" si="6"/>
        <v>636.46</v>
      </c>
      <c r="Z191" s="21">
        <f t="shared" si="7"/>
        <v>143.46</v>
      </c>
      <c r="AA191" s="21">
        <f t="shared" si="8"/>
        <v>779.92000000000007</v>
      </c>
      <c r="AB191" s="21"/>
    </row>
    <row r="192" spans="1:28" ht="42.75" x14ac:dyDescent="0.25">
      <c r="A192" s="1" t="s">
        <v>700</v>
      </c>
      <c r="B192" s="1" t="s">
        <v>175</v>
      </c>
      <c r="C192" s="1" t="s">
        <v>701</v>
      </c>
      <c r="D192" s="4" t="s">
        <v>39</v>
      </c>
      <c r="E192" s="4" t="s">
        <v>14</v>
      </c>
      <c r="F192" s="4" t="s">
        <v>15</v>
      </c>
      <c r="G192" s="4" t="s">
        <v>16</v>
      </c>
      <c r="H192" s="8">
        <v>24450</v>
      </c>
      <c r="I192" s="5">
        <v>4</v>
      </c>
      <c r="J192" s="5">
        <v>406</v>
      </c>
      <c r="K192" s="4" t="s">
        <v>25</v>
      </c>
      <c r="L192" s="8">
        <v>406</v>
      </c>
      <c r="M192" s="4">
        <v>17099571</v>
      </c>
      <c r="N192" s="4" t="s">
        <v>176</v>
      </c>
      <c r="O192" s="4" t="s">
        <v>177</v>
      </c>
      <c r="P192" s="4" t="s">
        <v>29</v>
      </c>
      <c r="Q192" s="6">
        <v>112</v>
      </c>
      <c r="R192" s="6">
        <v>0</v>
      </c>
      <c r="S192" s="4">
        <v>2.6200000000000001E-2</v>
      </c>
      <c r="T192" s="4">
        <v>0.11799999999999999</v>
      </c>
      <c r="U192" s="4">
        <v>0</v>
      </c>
      <c r="V192" s="4">
        <v>112</v>
      </c>
      <c r="W192" s="4">
        <v>0</v>
      </c>
      <c r="X192" s="4">
        <v>0</v>
      </c>
      <c r="Y192" s="21">
        <f t="shared" si="6"/>
        <v>2.93</v>
      </c>
      <c r="Z192" s="21">
        <f t="shared" si="7"/>
        <v>0</v>
      </c>
      <c r="AA192" s="21">
        <f t="shared" si="8"/>
        <v>2.93</v>
      </c>
      <c r="AB192" s="21"/>
    </row>
    <row r="193" spans="1:66" ht="42.75" x14ac:dyDescent="0.25">
      <c r="A193" s="1" t="s">
        <v>700</v>
      </c>
      <c r="B193" s="1" t="s">
        <v>175</v>
      </c>
      <c r="C193" s="1" t="s">
        <v>701</v>
      </c>
      <c r="D193" s="4" t="s">
        <v>39</v>
      </c>
      <c r="E193" s="4" t="s">
        <v>14</v>
      </c>
      <c r="F193" s="4" t="s">
        <v>15</v>
      </c>
      <c r="G193" s="4" t="s">
        <v>16</v>
      </c>
      <c r="H193" s="8">
        <v>24450</v>
      </c>
      <c r="I193" s="5">
        <v>4</v>
      </c>
      <c r="J193" s="5">
        <v>411</v>
      </c>
      <c r="K193" s="4" t="s">
        <v>25</v>
      </c>
      <c r="L193" s="8">
        <v>411</v>
      </c>
      <c r="M193" s="4">
        <v>17099757</v>
      </c>
      <c r="N193" s="4" t="s">
        <v>305</v>
      </c>
      <c r="O193" s="4" t="s">
        <v>306</v>
      </c>
      <c r="P193" s="4" t="s">
        <v>29</v>
      </c>
      <c r="Q193" s="6">
        <v>753</v>
      </c>
      <c r="R193" s="6">
        <v>0</v>
      </c>
      <c r="S193" s="4">
        <v>2.6200000000000001E-2</v>
      </c>
      <c r="T193" s="4">
        <v>0.11799999999999999</v>
      </c>
      <c r="U193" s="4">
        <v>0</v>
      </c>
      <c r="V193" s="4">
        <v>753</v>
      </c>
      <c r="W193" s="4">
        <v>0</v>
      </c>
      <c r="X193" s="4">
        <v>0</v>
      </c>
      <c r="Y193" s="21">
        <f t="shared" si="6"/>
        <v>19.73</v>
      </c>
      <c r="Z193" s="21">
        <f t="shared" si="7"/>
        <v>0</v>
      </c>
      <c r="AA193" s="21">
        <f t="shared" si="8"/>
        <v>19.73</v>
      </c>
      <c r="AB193" s="21"/>
    </row>
    <row r="194" spans="1:66" ht="42.75" x14ac:dyDescent="0.25">
      <c r="A194" s="1" t="s">
        <v>700</v>
      </c>
      <c r="B194" s="1" t="s">
        <v>175</v>
      </c>
      <c r="C194" s="1" t="s">
        <v>701</v>
      </c>
      <c r="D194" s="4" t="s">
        <v>39</v>
      </c>
      <c r="E194" s="4" t="s">
        <v>14</v>
      </c>
      <c r="F194" s="4" t="s">
        <v>15</v>
      </c>
      <c r="G194" s="4" t="s">
        <v>16</v>
      </c>
      <c r="H194" s="8">
        <v>24450</v>
      </c>
      <c r="I194" s="5">
        <v>4</v>
      </c>
      <c r="J194" s="5">
        <v>414</v>
      </c>
      <c r="K194" s="4" t="s">
        <v>25</v>
      </c>
      <c r="L194" s="8">
        <v>414</v>
      </c>
      <c r="M194" s="4">
        <v>17099585</v>
      </c>
      <c r="N194" s="4" t="s">
        <v>429</v>
      </c>
      <c r="O194" s="4" t="s">
        <v>430</v>
      </c>
      <c r="P194" s="4" t="s">
        <v>29</v>
      </c>
      <c r="Q194" s="6">
        <v>1586</v>
      </c>
      <c r="R194" s="6">
        <v>0</v>
      </c>
      <c r="S194" s="4">
        <v>2.6200000000000001E-2</v>
      </c>
      <c r="T194" s="4">
        <v>0.11799999999999999</v>
      </c>
      <c r="U194" s="4">
        <v>0</v>
      </c>
      <c r="V194" s="4">
        <v>1586</v>
      </c>
      <c r="W194" s="4">
        <v>0</v>
      </c>
      <c r="X194" s="4">
        <v>0</v>
      </c>
      <c r="Y194" s="21">
        <f t="shared" ref="Y194:Y218" si="9">ROUND((Q194*S194),2)</f>
        <v>41.55</v>
      </c>
      <c r="Z194" s="21">
        <f t="shared" ref="Z194:Z218" si="10">ROUND((R194*T194),2)</f>
        <v>0</v>
      </c>
      <c r="AA194" s="21">
        <f t="shared" ref="AA194:AA218" si="11">Y194+Z194</f>
        <v>41.55</v>
      </c>
      <c r="AB194" s="21">
        <f>SUM(AA191:AA194)</f>
        <v>844.13</v>
      </c>
    </row>
    <row r="195" spans="1:66" ht="42.75" x14ac:dyDescent="0.25">
      <c r="A195" s="1" t="s">
        <v>609</v>
      </c>
      <c r="B195" s="1" t="s">
        <v>602</v>
      </c>
      <c r="C195" s="1" t="s">
        <v>647</v>
      </c>
      <c r="D195" s="4" t="s">
        <v>538</v>
      </c>
      <c r="E195" s="4" t="s">
        <v>14</v>
      </c>
      <c r="F195" s="4" t="s">
        <v>15</v>
      </c>
      <c r="G195" s="4" t="s">
        <v>16</v>
      </c>
      <c r="H195" s="8">
        <v>24450</v>
      </c>
      <c r="I195" s="5">
        <v>1</v>
      </c>
      <c r="J195" s="5">
        <v>111</v>
      </c>
      <c r="K195" s="4" t="s">
        <v>84</v>
      </c>
      <c r="L195" s="8">
        <v>314</v>
      </c>
      <c r="M195" s="4">
        <v>17099530</v>
      </c>
      <c r="N195" s="4" t="s">
        <v>610</v>
      </c>
      <c r="O195" s="4" t="s">
        <v>611</v>
      </c>
      <c r="P195" s="4" t="s">
        <v>29</v>
      </c>
      <c r="Q195" s="6">
        <v>1147</v>
      </c>
      <c r="R195" s="6">
        <v>0</v>
      </c>
      <c r="S195" s="4">
        <v>2.6200000000000001E-2</v>
      </c>
      <c r="T195" s="4">
        <v>0.11799999999999999</v>
      </c>
      <c r="U195" s="4">
        <v>0</v>
      </c>
      <c r="V195" s="4">
        <v>1147</v>
      </c>
      <c r="W195" s="4">
        <v>0</v>
      </c>
      <c r="X195" s="4">
        <v>0</v>
      </c>
      <c r="Y195" s="21">
        <f t="shared" si="9"/>
        <v>30.05</v>
      </c>
      <c r="Z195" s="21">
        <f t="shared" si="10"/>
        <v>0</v>
      </c>
      <c r="AA195" s="21">
        <f t="shared" si="11"/>
        <v>30.05</v>
      </c>
      <c r="AB195" s="21">
        <f>Table14[[#This Row],[Device Total Click Charge]]</f>
        <v>30.05</v>
      </c>
    </row>
    <row r="196" spans="1:66" ht="42.75" x14ac:dyDescent="0.25">
      <c r="A196" s="1" t="s">
        <v>597</v>
      </c>
      <c r="B196" s="1" t="s">
        <v>596</v>
      </c>
      <c r="C196" s="1" t="s">
        <v>643</v>
      </c>
      <c r="D196" s="4" t="s">
        <v>538</v>
      </c>
      <c r="E196" s="4" t="s">
        <v>14</v>
      </c>
      <c r="F196" s="4" t="s">
        <v>15</v>
      </c>
      <c r="G196" s="4" t="s">
        <v>16</v>
      </c>
      <c r="H196" s="8">
        <v>24450</v>
      </c>
      <c r="I196" s="5">
        <v>3</v>
      </c>
      <c r="J196" s="5">
        <v>314</v>
      </c>
      <c r="K196" s="4" t="s">
        <v>90</v>
      </c>
      <c r="L196" s="4">
        <v>301</v>
      </c>
      <c r="M196" s="4">
        <v>17099500</v>
      </c>
      <c r="N196" s="4" t="s">
        <v>598</v>
      </c>
      <c r="O196" s="4" t="s">
        <v>599</v>
      </c>
      <c r="P196" s="4" t="s">
        <v>709</v>
      </c>
      <c r="Q196" s="6">
        <v>3200</v>
      </c>
      <c r="R196" s="6">
        <v>0</v>
      </c>
      <c r="S196" s="4">
        <v>2.07E-2</v>
      </c>
      <c r="T196" s="4">
        <v>8.6999999999999994E-2</v>
      </c>
      <c r="U196" s="4">
        <v>0</v>
      </c>
      <c r="V196" s="4">
        <v>3200</v>
      </c>
      <c r="W196" s="4">
        <v>0</v>
      </c>
      <c r="X196" s="4">
        <v>0</v>
      </c>
      <c r="Y196" s="21">
        <f t="shared" si="9"/>
        <v>66.239999999999995</v>
      </c>
      <c r="Z196" s="21">
        <f t="shared" si="10"/>
        <v>0</v>
      </c>
      <c r="AA196" s="21">
        <f t="shared" si="11"/>
        <v>66.239999999999995</v>
      </c>
      <c r="AB196" s="21">
        <f>Table14[[#This Row],[Device Total Click Charge]]</f>
        <v>66.239999999999995</v>
      </c>
    </row>
    <row r="197" spans="1:66" ht="42.75" x14ac:dyDescent="0.25">
      <c r="A197" s="1" t="s">
        <v>555</v>
      </c>
      <c r="B197" s="1" t="s">
        <v>552</v>
      </c>
      <c r="C197" s="1" t="s">
        <v>638</v>
      </c>
      <c r="D197" s="4" t="s">
        <v>551</v>
      </c>
      <c r="E197" s="4" t="s">
        <v>14</v>
      </c>
      <c r="F197" s="4" t="s">
        <v>15</v>
      </c>
      <c r="G197" s="4" t="s">
        <v>16</v>
      </c>
      <c r="H197" s="8">
        <v>24450</v>
      </c>
      <c r="I197" s="5">
        <v>3</v>
      </c>
      <c r="J197" s="5">
        <v>311</v>
      </c>
      <c r="K197" s="4" t="s">
        <v>25</v>
      </c>
      <c r="L197" s="8">
        <v>337</v>
      </c>
      <c r="M197" s="4">
        <v>17099656</v>
      </c>
      <c r="N197" s="4" t="s">
        <v>553</v>
      </c>
      <c r="O197" s="4" t="s">
        <v>554</v>
      </c>
      <c r="P197" s="4" t="s">
        <v>29</v>
      </c>
      <c r="Q197" s="6">
        <v>834</v>
      </c>
      <c r="R197" s="6">
        <v>0</v>
      </c>
      <c r="S197" s="4">
        <v>2.6200000000000001E-2</v>
      </c>
      <c r="T197" s="4">
        <v>0.11799999999999999</v>
      </c>
      <c r="U197" s="4">
        <v>0</v>
      </c>
      <c r="V197" s="4">
        <v>834</v>
      </c>
      <c r="W197" s="4">
        <v>0</v>
      </c>
      <c r="X197" s="4">
        <v>0</v>
      </c>
      <c r="Y197" s="21">
        <f t="shared" si="9"/>
        <v>21.85</v>
      </c>
      <c r="Z197" s="21">
        <f t="shared" si="10"/>
        <v>0</v>
      </c>
      <c r="AA197" s="21">
        <f t="shared" si="11"/>
        <v>21.85</v>
      </c>
      <c r="AB197" s="21"/>
    </row>
    <row r="198" spans="1:66" s="10" customFormat="1" ht="42.75" x14ac:dyDescent="0.25">
      <c r="A198" s="1" t="s">
        <v>555</v>
      </c>
      <c r="B198" s="1" t="s">
        <v>552</v>
      </c>
      <c r="C198" s="1" t="s">
        <v>638</v>
      </c>
      <c r="D198" s="4" t="s">
        <v>551</v>
      </c>
      <c r="E198" s="4" t="s">
        <v>14</v>
      </c>
      <c r="F198" s="4" t="s">
        <v>15</v>
      </c>
      <c r="G198" s="4" t="s">
        <v>16</v>
      </c>
      <c r="H198" s="8">
        <v>24450</v>
      </c>
      <c r="I198" s="5">
        <v>3</v>
      </c>
      <c r="J198" s="5">
        <v>303</v>
      </c>
      <c r="K198" s="4" t="s">
        <v>25</v>
      </c>
      <c r="L198" s="8">
        <v>311</v>
      </c>
      <c r="M198" s="4">
        <v>17099685</v>
      </c>
      <c r="N198" s="4" t="s">
        <v>556</v>
      </c>
      <c r="O198" s="4" t="s">
        <v>557</v>
      </c>
      <c r="P198" s="4" t="s">
        <v>29</v>
      </c>
      <c r="Q198" s="6">
        <v>1256</v>
      </c>
      <c r="R198" s="6">
        <v>0</v>
      </c>
      <c r="S198" s="4">
        <v>2.6200000000000001E-2</v>
      </c>
      <c r="T198" s="4">
        <v>0.11799999999999999</v>
      </c>
      <c r="U198" s="4">
        <v>0</v>
      </c>
      <c r="V198" s="4">
        <v>1256</v>
      </c>
      <c r="W198" s="4">
        <v>0</v>
      </c>
      <c r="X198" s="4">
        <v>0</v>
      </c>
      <c r="Y198" s="21">
        <f t="shared" si="9"/>
        <v>32.909999999999997</v>
      </c>
      <c r="Z198" s="21">
        <f t="shared" si="10"/>
        <v>0</v>
      </c>
      <c r="AA198" s="21">
        <f t="shared" si="11"/>
        <v>32.909999999999997</v>
      </c>
      <c r="AB198" s="21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</row>
    <row r="199" spans="1:66" ht="42.75" x14ac:dyDescent="0.25">
      <c r="A199" s="1" t="s">
        <v>555</v>
      </c>
      <c r="B199" s="1" t="s">
        <v>552</v>
      </c>
      <c r="C199" s="1" t="s">
        <v>638</v>
      </c>
      <c r="D199" s="4" t="s">
        <v>551</v>
      </c>
      <c r="E199" s="4" t="s">
        <v>14</v>
      </c>
      <c r="F199" s="4" t="s">
        <v>15</v>
      </c>
      <c r="G199" s="4" t="s">
        <v>16</v>
      </c>
      <c r="H199" s="8">
        <v>24450</v>
      </c>
      <c r="I199" s="5">
        <v>3</v>
      </c>
      <c r="J199" s="5">
        <v>303</v>
      </c>
      <c r="K199" s="4" t="s">
        <v>25</v>
      </c>
      <c r="L199" s="8">
        <v>303</v>
      </c>
      <c r="M199" s="4">
        <v>17099700</v>
      </c>
      <c r="N199" s="4" t="s">
        <v>558</v>
      </c>
      <c r="O199" s="4" t="s">
        <v>559</v>
      </c>
      <c r="P199" s="4" t="s">
        <v>29</v>
      </c>
      <c r="Q199" s="6">
        <v>4794</v>
      </c>
      <c r="R199" s="6">
        <v>0</v>
      </c>
      <c r="S199" s="4">
        <v>2.6200000000000001E-2</v>
      </c>
      <c r="T199" s="4">
        <v>0.11799999999999999</v>
      </c>
      <c r="U199" s="4">
        <v>0</v>
      </c>
      <c r="V199" s="4">
        <v>4794</v>
      </c>
      <c r="W199" s="4">
        <v>0</v>
      </c>
      <c r="X199" s="4">
        <v>0</v>
      </c>
      <c r="Y199" s="21">
        <f t="shared" si="9"/>
        <v>125.6</v>
      </c>
      <c r="Z199" s="21">
        <f t="shared" si="10"/>
        <v>0</v>
      </c>
      <c r="AA199" s="21">
        <f t="shared" si="11"/>
        <v>125.6</v>
      </c>
      <c r="AB199" s="21"/>
    </row>
    <row r="200" spans="1:66" ht="42.75" x14ac:dyDescent="0.25">
      <c r="A200" s="1" t="s">
        <v>555</v>
      </c>
      <c r="B200" s="1" t="s">
        <v>552</v>
      </c>
      <c r="C200" s="1" t="s">
        <v>638</v>
      </c>
      <c r="D200" s="4" t="s">
        <v>551</v>
      </c>
      <c r="E200" s="4" t="s">
        <v>14</v>
      </c>
      <c r="F200" s="4" t="s">
        <v>15</v>
      </c>
      <c r="G200" s="4" t="s">
        <v>16</v>
      </c>
      <c r="H200" s="8">
        <v>24450</v>
      </c>
      <c r="I200" s="5">
        <v>3</v>
      </c>
      <c r="J200" s="5">
        <v>301</v>
      </c>
      <c r="K200" s="4" t="s">
        <v>117</v>
      </c>
      <c r="L200" s="8">
        <v>303</v>
      </c>
      <c r="M200" s="4">
        <v>17099684</v>
      </c>
      <c r="N200" s="4" t="s">
        <v>560</v>
      </c>
      <c r="O200" s="4" t="s">
        <v>561</v>
      </c>
      <c r="P200" s="4" t="s">
        <v>29</v>
      </c>
      <c r="Q200" s="6">
        <v>846</v>
      </c>
      <c r="R200" s="6">
        <v>310</v>
      </c>
      <c r="S200" s="4">
        <v>2.6200000000000001E-2</v>
      </c>
      <c r="T200" s="4">
        <v>0.11799999999999999</v>
      </c>
      <c r="U200" s="4">
        <v>0</v>
      </c>
      <c r="V200" s="4">
        <v>846</v>
      </c>
      <c r="W200" s="4">
        <v>0</v>
      </c>
      <c r="X200" s="4">
        <v>310</v>
      </c>
      <c r="Y200" s="21">
        <f t="shared" si="9"/>
        <v>22.17</v>
      </c>
      <c r="Z200" s="21">
        <f t="shared" si="10"/>
        <v>36.58</v>
      </c>
      <c r="AA200" s="21">
        <f t="shared" si="11"/>
        <v>58.75</v>
      </c>
      <c r="AB200" s="21"/>
    </row>
    <row r="201" spans="1:66" ht="42.75" x14ac:dyDescent="0.25">
      <c r="A201" s="1" t="s">
        <v>555</v>
      </c>
      <c r="B201" s="1" t="s">
        <v>552</v>
      </c>
      <c r="C201" s="1" t="s">
        <v>638</v>
      </c>
      <c r="D201" s="4" t="s">
        <v>551</v>
      </c>
      <c r="E201" s="4" t="s">
        <v>14</v>
      </c>
      <c r="F201" s="4" t="s">
        <v>15</v>
      </c>
      <c r="G201" s="4" t="s">
        <v>16</v>
      </c>
      <c r="H201" s="8">
        <v>24450</v>
      </c>
      <c r="I201" s="5">
        <v>3</v>
      </c>
      <c r="J201" s="5">
        <v>312</v>
      </c>
      <c r="K201" s="4" t="s">
        <v>117</v>
      </c>
      <c r="L201" s="8">
        <v>301</v>
      </c>
      <c r="M201" s="4">
        <v>17099646</v>
      </c>
      <c r="N201" s="4" t="s">
        <v>562</v>
      </c>
      <c r="O201" s="4" t="s">
        <v>563</v>
      </c>
      <c r="P201" s="4" t="s">
        <v>29</v>
      </c>
      <c r="Q201" s="6">
        <v>1429</v>
      </c>
      <c r="R201" s="6">
        <v>214</v>
      </c>
      <c r="S201" s="4">
        <v>2.6200000000000001E-2</v>
      </c>
      <c r="T201" s="4">
        <v>0.11799999999999999</v>
      </c>
      <c r="U201" s="4">
        <v>0</v>
      </c>
      <c r="V201" s="4">
        <v>1429</v>
      </c>
      <c r="W201" s="4">
        <v>0</v>
      </c>
      <c r="X201" s="4">
        <v>214</v>
      </c>
      <c r="Y201" s="21">
        <f t="shared" si="9"/>
        <v>37.44</v>
      </c>
      <c r="Z201" s="21">
        <f t="shared" si="10"/>
        <v>25.25</v>
      </c>
      <c r="AA201" s="21">
        <f t="shared" si="11"/>
        <v>62.69</v>
      </c>
      <c r="AB201" s="21">
        <f>SUM(AA197:AA201)</f>
        <v>301.79999999999995</v>
      </c>
    </row>
    <row r="202" spans="1:66" ht="42.75" x14ac:dyDescent="0.25">
      <c r="A202" s="1" t="s">
        <v>538</v>
      </c>
      <c r="B202" s="1" t="s">
        <v>118</v>
      </c>
      <c r="C202" s="1" t="s">
        <v>644</v>
      </c>
      <c r="D202" s="4" t="s">
        <v>538</v>
      </c>
      <c r="E202" s="4" t="s">
        <v>14</v>
      </c>
      <c r="F202" s="4" t="s">
        <v>15</v>
      </c>
      <c r="G202" s="4" t="s">
        <v>16</v>
      </c>
      <c r="H202" s="8">
        <v>24450</v>
      </c>
      <c r="I202" s="5">
        <v>2</v>
      </c>
      <c r="J202" s="5">
        <v>208</v>
      </c>
      <c r="K202" s="4" t="s">
        <v>383</v>
      </c>
      <c r="L202" s="4">
        <v>208</v>
      </c>
      <c r="M202" s="4">
        <v>17099421</v>
      </c>
      <c r="N202" s="4" t="s">
        <v>600</v>
      </c>
      <c r="O202" s="4" t="s">
        <v>601</v>
      </c>
      <c r="P202" s="4" t="s">
        <v>709</v>
      </c>
      <c r="Q202" s="6">
        <v>12484</v>
      </c>
      <c r="R202" s="6">
        <v>31534</v>
      </c>
      <c r="S202" s="4">
        <v>2.07E-2</v>
      </c>
      <c r="T202" s="4">
        <v>8.6999999999999994E-2</v>
      </c>
      <c r="U202" s="4">
        <v>0</v>
      </c>
      <c r="V202" s="4">
        <v>12484</v>
      </c>
      <c r="W202" s="4">
        <v>0</v>
      </c>
      <c r="X202" s="4">
        <v>31534</v>
      </c>
      <c r="Y202" s="21">
        <f t="shared" si="9"/>
        <v>258.42</v>
      </c>
      <c r="Z202" s="21">
        <f t="shared" si="10"/>
        <v>2743.46</v>
      </c>
      <c r="AA202" s="21">
        <f t="shared" si="11"/>
        <v>3001.88</v>
      </c>
      <c r="AB202" s="21">
        <f>Table14[[#This Row],[Device Total Click Charge]]</f>
        <v>3001.88</v>
      </c>
    </row>
    <row r="203" spans="1:66" ht="42.75" x14ac:dyDescent="0.25">
      <c r="A203" s="1" t="s">
        <v>298</v>
      </c>
      <c r="B203" s="1" t="s">
        <v>297</v>
      </c>
      <c r="C203" s="1"/>
      <c r="D203" s="4" t="s">
        <v>146</v>
      </c>
      <c r="E203" s="4" t="s">
        <v>14</v>
      </c>
      <c r="F203" s="4" t="s">
        <v>15</v>
      </c>
      <c r="G203" s="4" t="s">
        <v>16</v>
      </c>
      <c r="H203" s="8">
        <v>22450</v>
      </c>
      <c r="I203" s="5">
        <v>2</v>
      </c>
      <c r="J203" s="5">
        <v>215</v>
      </c>
      <c r="K203" s="4" t="s">
        <v>25</v>
      </c>
      <c r="L203" s="8">
        <v>215</v>
      </c>
      <c r="M203" s="4">
        <v>17099566</v>
      </c>
      <c r="N203" s="4" t="s">
        <v>299</v>
      </c>
      <c r="O203" s="4" t="s">
        <v>300</v>
      </c>
      <c r="P203" s="4" t="s">
        <v>29</v>
      </c>
      <c r="Q203" s="6">
        <v>272</v>
      </c>
      <c r="R203" s="6">
        <v>0</v>
      </c>
      <c r="S203" s="4">
        <v>2.6200000000000001E-2</v>
      </c>
      <c r="T203" s="4">
        <v>0.11799999999999999</v>
      </c>
      <c r="U203" s="4">
        <v>0</v>
      </c>
      <c r="V203" s="4">
        <v>272</v>
      </c>
      <c r="W203" s="4">
        <v>0</v>
      </c>
      <c r="X203" s="4">
        <v>0</v>
      </c>
      <c r="Y203" s="21">
        <f t="shared" si="9"/>
        <v>7.13</v>
      </c>
      <c r="Z203" s="21">
        <f t="shared" si="10"/>
        <v>0</v>
      </c>
      <c r="AA203" s="21">
        <f t="shared" si="11"/>
        <v>7.13</v>
      </c>
      <c r="AB203" s="21">
        <f>Table14[[#This Row],[Device Total Click Charge]]</f>
        <v>7.13</v>
      </c>
    </row>
    <row r="204" spans="1:66" ht="42.75" x14ac:dyDescent="0.25">
      <c r="A204" s="1" t="s">
        <v>612</v>
      </c>
      <c r="B204" s="1" t="s">
        <v>602</v>
      </c>
      <c r="C204" s="1" t="s">
        <v>647</v>
      </c>
      <c r="D204" s="4" t="s">
        <v>538</v>
      </c>
      <c r="E204" s="4" t="s">
        <v>14</v>
      </c>
      <c r="F204" s="4" t="s">
        <v>15</v>
      </c>
      <c r="G204" s="4" t="s">
        <v>16</v>
      </c>
      <c r="H204" s="8">
        <v>24450</v>
      </c>
      <c r="I204" s="5">
        <v>1</v>
      </c>
      <c r="J204" s="5">
        <v>116</v>
      </c>
      <c r="K204" s="4" t="s">
        <v>84</v>
      </c>
      <c r="L204" s="8">
        <v>111</v>
      </c>
      <c r="M204" s="4">
        <v>17099531</v>
      </c>
      <c r="N204" s="4" t="s">
        <v>613</v>
      </c>
      <c r="O204" s="4" t="s">
        <v>614</v>
      </c>
      <c r="P204" s="4" t="s">
        <v>29</v>
      </c>
      <c r="Q204" s="6">
        <v>2029</v>
      </c>
      <c r="R204" s="6">
        <v>0</v>
      </c>
      <c r="S204" s="4">
        <v>2.6200000000000001E-2</v>
      </c>
      <c r="T204" s="4">
        <v>0.11799999999999999</v>
      </c>
      <c r="U204" s="4">
        <v>0</v>
      </c>
      <c r="V204" s="4">
        <v>2029</v>
      </c>
      <c r="W204" s="4">
        <v>0</v>
      </c>
      <c r="X204" s="4">
        <v>0</v>
      </c>
      <c r="Y204" s="21">
        <f t="shared" si="9"/>
        <v>53.16</v>
      </c>
      <c r="Z204" s="21">
        <f t="shared" si="10"/>
        <v>0</v>
      </c>
      <c r="AA204" s="21">
        <f t="shared" si="11"/>
        <v>53.16</v>
      </c>
      <c r="AB204" s="21">
        <f>Table14[[#This Row],[Device Total Click Charge]]</f>
        <v>53.16</v>
      </c>
    </row>
    <row r="205" spans="1:66" ht="42.75" x14ac:dyDescent="0.25">
      <c r="A205" s="1" t="s">
        <v>574</v>
      </c>
      <c r="B205" s="1" t="s">
        <v>564</v>
      </c>
      <c r="C205" s="1" t="s">
        <v>574</v>
      </c>
      <c r="D205" s="4" t="s">
        <v>538</v>
      </c>
      <c r="E205" s="4" t="s">
        <v>14</v>
      </c>
      <c r="F205" s="4" t="s">
        <v>15</v>
      </c>
      <c r="G205" s="4" t="s">
        <v>16</v>
      </c>
      <c r="H205" s="8">
        <v>24450</v>
      </c>
      <c r="I205" s="5">
        <v>2</v>
      </c>
      <c r="J205" s="5">
        <v>201</v>
      </c>
      <c r="K205" s="4" t="s">
        <v>31</v>
      </c>
      <c r="L205" s="8">
        <v>306</v>
      </c>
      <c r="M205" s="4">
        <v>17099498</v>
      </c>
      <c r="N205" s="4" t="s">
        <v>575</v>
      </c>
      <c r="O205" s="4" t="s">
        <v>576</v>
      </c>
      <c r="P205" s="4" t="s">
        <v>709</v>
      </c>
      <c r="Q205" s="6">
        <v>4247</v>
      </c>
      <c r="R205" s="6">
        <v>2074</v>
      </c>
      <c r="S205" s="4">
        <v>2.07E-2</v>
      </c>
      <c r="T205" s="4">
        <v>8.6999999999999994E-2</v>
      </c>
      <c r="U205" s="4">
        <v>0</v>
      </c>
      <c r="V205" s="4">
        <v>4247</v>
      </c>
      <c r="W205" s="4">
        <v>0</v>
      </c>
      <c r="X205" s="4">
        <v>2074</v>
      </c>
      <c r="Y205" s="21">
        <f t="shared" si="9"/>
        <v>87.91</v>
      </c>
      <c r="Z205" s="21">
        <f t="shared" si="10"/>
        <v>180.44</v>
      </c>
      <c r="AA205" s="21">
        <f t="shared" si="11"/>
        <v>268.35000000000002</v>
      </c>
      <c r="AB205" s="21"/>
    </row>
    <row r="206" spans="1:66" ht="42.75" x14ac:dyDescent="0.25">
      <c r="A206" s="1" t="s">
        <v>544</v>
      </c>
      <c r="B206" s="1" t="s">
        <v>564</v>
      </c>
      <c r="C206" s="1" t="s">
        <v>574</v>
      </c>
      <c r="D206" s="4" t="s">
        <v>538</v>
      </c>
      <c r="E206" s="4" t="s">
        <v>14</v>
      </c>
      <c r="F206" s="4" t="s">
        <v>15</v>
      </c>
      <c r="G206" s="4" t="s">
        <v>16</v>
      </c>
      <c r="H206" s="8">
        <v>24450</v>
      </c>
      <c r="I206" s="5">
        <v>2</v>
      </c>
      <c r="J206" s="5">
        <v>201</v>
      </c>
      <c r="K206" s="4" t="s">
        <v>25</v>
      </c>
      <c r="L206" s="8">
        <v>212</v>
      </c>
      <c r="M206" s="4">
        <v>17099687</v>
      </c>
      <c r="N206" s="4" t="s">
        <v>545</v>
      </c>
      <c r="P206" s="4" t="s">
        <v>29</v>
      </c>
      <c r="Q206" s="6">
        <v>0</v>
      </c>
      <c r="R206" s="6">
        <v>0</v>
      </c>
      <c r="S206" s="4">
        <v>2.6200000000000001E-2</v>
      </c>
      <c r="T206" s="4">
        <v>0.11799999999999999</v>
      </c>
      <c r="U206" s="4">
        <v>0</v>
      </c>
      <c r="V206" s="4">
        <v>0</v>
      </c>
      <c r="W206" s="4">
        <v>0</v>
      </c>
      <c r="X206" s="4">
        <v>0</v>
      </c>
      <c r="Y206" s="21">
        <f t="shared" si="9"/>
        <v>0</v>
      </c>
      <c r="Z206" s="21">
        <f t="shared" si="10"/>
        <v>0</v>
      </c>
      <c r="AA206" s="21">
        <f t="shared" si="11"/>
        <v>0</v>
      </c>
      <c r="AB206" s="21"/>
    </row>
    <row r="207" spans="1:66" ht="42.75" x14ac:dyDescent="0.25">
      <c r="A207" s="1" t="s">
        <v>544</v>
      </c>
      <c r="B207" s="1" t="s">
        <v>564</v>
      </c>
      <c r="C207" s="1" t="s">
        <v>574</v>
      </c>
      <c r="D207" s="4" t="s">
        <v>538</v>
      </c>
      <c r="E207" s="4" t="s">
        <v>14</v>
      </c>
      <c r="F207" s="4" t="s">
        <v>15</v>
      </c>
      <c r="G207" s="4" t="s">
        <v>16</v>
      </c>
      <c r="H207" s="8">
        <v>24450</v>
      </c>
      <c r="I207" s="5">
        <v>2</v>
      </c>
      <c r="J207" s="5">
        <v>201</v>
      </c>
      <c r="K207" s="4" t="s">
        <v>25</v>
      </c>
      <c r="L207" s="8">
        <v>207</v>
      </c>
      <c r="M207" s="4">
        <v>17099784</v>
      </c>
      <c r="N207" s="4" t="s">
        <v>565</v>
      </c>
      <c r="O207" s="4" t="s">
        <v>566</v>
      </c>
      <c r="P207" s="4" t="s">
        <v>29</v>
      </c>
      <c r="Q207" s="6">
        <v>355</v>
      </c>
      <c r="R207" s="6">
        <v>0</v>
      </c>
      <c r="S207" s="4">
        <v>2.6200000000000001E-2</v>
      </c>
      <c r="T207" s="4">
        <v>0.11799999999999999</v>
      </c>
      <c r="U207" s="4">
        <v>0</v>
      </c>
      <c r="V207" s="4">
        <v>355</v>
      </c>
      <c r="W207" s="4">
        <v>0</v>
      </c>
      <c r="X207" s="4">
        <v>0</v>
      </c>
      <c r="Y207" s="21">
        <f t="shared" si="9"/>
        <v>9.3000000000000007</v>
      </c>
      <c r="Z207" s="21">
        <f t="shared" si="10"/>
        <v>0</v>
      </c>
      <c r="AA207" s="21">
        <f t="shared" si="11"/>
        <v>9.3000000000000007</v>
      </c>
      <c r="AB207" s="21"/>
    </row>
    <row r="208" spans="1:66" ht="42.75" x14ac:dyDescent="0.25">
      <c r="A208" s="1" t="s">
        <v>544</v>
      </c>
      <c r="B208" s="1" t="s">
        <v>564</v>
      </c>
      <c r="C208" s="1" t="s">
        <v>574</v>
      </c>
      <c r="D208" s="4" t="s">
        <v>538</v>
      </c>
      <c r="E208" s="4" t="s">
        <v>14</v>
      </c>
      <c r="F208" s="4" t="s">
        <v>15</v>
      </c>
      <c r="G208" s="4" t="s">
        <v>16</v>
      </c>
      <c r="H208" s="8">
        <v>24450</v>
      </c>
      <c r="I208" s="5">
        <v>2</v>
      </c>
      <c r="J208" s="5">
        <v>201</v>
      </c>
      <c r="K208" s="4" t="s">
        <v>25</v>
      </c>
      <c r="L208" s="8">
        <v>201</v>
      </c>
      <c r="M208" s="4">
        <v>17099688</v>
      </c>
      <c r="N208" s="4" t="s">
        <v>567</v>
      </c>
      <c r="O208" s="4" t="s">
        <v>568</v>
      </c>
      <c r="P208" s="4" t="s">
        <v>29</v>
      </c>
      <c r="Q208" s="6">
        <v>764</v>
      </c>
      <c r="R208" s="6">
        <v>0</v>
      </c>
      <c r="S208" s="4">
        <v>2.6200000000000001E-2</v>
      </c>
      <c r="T208" s="4">
        <v>0.11799999999999999</v>
      </c>
      <c r="U208" s="4">
        <v>0</v>
      </c>
      <c r="V208" s="4">
        <v>764</v>
      </c>
      <c r="W208" s="4">
        <v>0</v>
      </c>
      <c r="X208" s="4">
        <v>0</v>
      </c>
      <c r="Y208" s="21">
        <f t="shared" si="9"/>
        <v>20.02</v>
      </c>
      <c r="Z208" s="21">
        <f t="shared" si="10"/>
        <v>0</v>
      </c>
      <c r="AA208" s="21">
        <f t="shared" si="11"/>
        <v>20.02</v>
      </c>
      <c r="AB208" s="21"/>
    </row>
    <row r="209" spans="1:28" ht="42.75" x14ac:dyDescent="0.25">
      <c r="A209" s="1" t="s">
        <v>544</v>
      </c>
      <c r="B209" s="1" t="s">
        <v>564</v>
      </c>
      <c r="C209" s="1" t="s">
        <v>574</v>
      </c>
      <c r="D209" s="4" t="s">
        <v>538</v>
      </c>
      <c r="E209" s="4" t="s">
        <v>14</v>
      </c>
      <c r="F209" s="4" t="s">
        <v>15</v>
      </c>
      <c r="G209" s="4" t="s">
        <v>16</v>
      </c>
      <c r="H209" s="8">
        <v>24450</v>
      </c>
      <c r="I209" s="5">
        <v>2</v>
      </c>
      <c r="J209" s="5">
        <v>201</v>
      </c>
      <c r="K209" s="4" t="s">
        <v>25</v>
      </c>
      <c r="L209" s="4" t="s">
        <v>569</v>
      </c>
      <c r="M209" s="4">
        <v>17099712</v>
      </c>
      <c r="N209" s="4" t="s">
        <v>570</v>
      </c>
      <c r="O209" s="4" t="s">
        <v>571</v>
      </c>
      <c r="P209" s="4" t="s">
        <v>29</v>
      </c>
      <c r="Q209" s="6">
        <v>1716</v>
      </c>
      <c r="R209" s="6">
        <v>0</v>
      </c>
      <c r="S209" s="4">
        <v>2.6200000000000001E-2</v>
      </c>
      <c r="T209" s="4">
        <v>0.11799999999999999</v>
      </c>
      <c r="U209" s="4">
        <v>0</v>
      </c>
      <c r="V209" s="4">
        <v>1716</v>
      </c>
      <c r="W209" s="4">
        <v>0</v>
      </c>
      <c r="X209" s="4">
        <v>0</v>
      </c>
      <c r="Y209" s="21">
        <f t="shared" si="9"/>
        <v>44.96</v>
      </c>
      <c r="Z209" s="21">
        <f t="shared" si="10"/>
        <v>0</v>
      </c>
      <c r="AA209" s="21">
        <f t="shared" si="11"/>
        <v>44.96</v>
      </c>
      <c r="AB209" s="21"/>
    </row>
    <row r="210" spans="1:28" ht="42.75" x14ac:dyDescent="0.25">
      <c r="A210" s="1" t="s">
        <v>544</v>
      </c>
      <c r="B210" s="1" t="s">
        <v>564</v>
      </c>
      <c r="C210" s="1" t="s">
        <v>574</v>
      </c>
      <c r="D210" s="4" t="s">
        <v>538</v>
      </c>
      <c r="E210" s="4" t="s">
        <v>14</v>
      </c>
      <c r="F210" s="4" t="s">
        <v>15</v>
      </c>
      <c r="G210" s="4" t="s">
        <v>16</v>
      </c>
      <c r="H210" s="8">
        <v>24450</v>
      </c>
      <c r="I210" s="5">
        <v>2</v>
      </c>
      <c r="J210" s="5">
        <v>201</v>
      </c>
      <c r="K210" s="4" t="s">
        <v>25</v>
      </c>
      <c r="L210" s="8">
        <v>201</v>
      </c>
      <c r="M210" s="4">
        <v>17099698</v>
      </c>
      <c r="N210" s="4" t="s">
        <v>572</v>
      </c>
      <c r="O210" s="4" t="s">
        <v>573</v>
      </c>
      <c r="P210" s="4" t="s">
        <v>29</v>
      </c>
      <c r="Q210" s="6">
        <v>0</v>
      </c>
      <c r="R210" s="6">
        <v>0</v>
      </c>
      <c r="S210" s="4">
        <v>2.6200000000000001E-2</v>
      </c>
      <c r="T210" s="4">
        <v>0.11799999999999999</v>
      </c>
      <c r="U210" s="4">
        <v>0</v>
      </c>
      <c r="V210" s="4">
        <v>0</v>
      </c>
      <c r="W210" s="4">
        <v>0</v>
      </c>
      <c r="X210" s="4">
        <v>0</v>
      </c>
      <c r="Y210" s="21">
        <f t="shared" si="9"/>
        <v>0</v>
      </c>
      <c r="Z210" s="21">
        <f t="shared" si="10"/>
        <v>0</v>
      </c>
      <c r="AA210" s="21">
        <f t="shared" si="11"/>
        <v>0</v>
      </c>
      <c r="AB210" s="21">
        <f>SUM(AA205:AA210)</f>
        <v>342.63</v>
      </c>
    </row>
    <row r="211" spans="1:28" ht="42.75" x14ac:dyDescent="0.25">
      <c r="A211" s="1" t="s">
        <v>419</v>
      </c>
      <c r="B211" s="1" t="s">
        <v>684</v>
      </c>
      <c r="C211" s="1" t="s">
        <v>695</v>
      </c>
      <c r="D211" s="4" t="s">
        <v>251</v>
      </c>
      <c r="E211" s="4" t="s">
        <v>14</v>
      </c>
      <c r="F211" s="4" t="s">
        <v>15</v>
      </c>
      <c r="G211" s="4" t="s">
        <v>16</v>
      </c>
      <c r="H211" s="8">
        <v>24450</v>
      </c>
      <c r="I211" s="5">
        <v>1</v>
      </c>
      <c r="J211" s="5" t="s">
        <v>419</v>
      </c>
      <c r="K211" s="4" t="s">
        <v>25</v>
      </c>
      <c r="L211" s="4" t="s">
        <v>419</v>
      </c>
      <c r="M211" s="4">
        <v>17099558</v>
      </c>
      <c r="N211" s="4" t="s">
        <v>420</v>
      </c>
      <c r="O211" s="4" t="s">
        <v>421</v>
      </c>
      <c r="P211" s="4" t="s">
        <v>29</v>
      </c>
      <c r="Q211" s="6">
        <v>599</v>
      </c>
      <c r="R211" s="6">
        <v>0</v>
      </c>
      <c r="S211" s="4">
        <v>2.6200000000000001E-2</v>
      </c>
      <c r="T211" s="4">
        <v>0.11799999999999999</v>
      </c>
      <c r="U211" s="4">
        <v>0</v>
      </c>
      <c r="V211" s="4">
        <v>599</v>
      </c>
      <c r="W211" s="4">
        <v>0</v>
      </c>
      <c r="X211" s="4">
        <v>0</v>
      </c>
      <c r="Y211" s="21">
        <f t="shared" si="9"/>
        <v>15.69</v>
      </c>
      <c r="Z211" s="21">
        <f t="shared" si="10"/>
        <v>0</v>
      </c>
      <c r="AA211" s="21">
        <f t="shared" si="11"/>
        <v>15.69</v>
      </c>
      <c r="AB211" s="21">
        <f>Table14[[#This Row],[Device Total Click Charge]]</f>
        <v>15.69</v>
      </c>
    </row>
    <row r="212" spans="1:28" ht="42.75" x14ac:dyDescent="0.25">
      <c r="A212" s="1" t="s">
        <v>583</v>
      </c>
      <c r="B212" s="1" t="s">
        <v>577</v>
      </c>
      <c r="C212" s="1" t="s">
        <v>640</v>
      </c>
      <c r="D212" s="4" t="s">
        <v>538</v>
      </c>
      <c r="E212" s="4" t="s">
        <v>14</v>
      </c>
      <c r="F212" s="4" t="s">
        <v>15</v>
      </c>
      <c r="G212" s="4" t="s">
        <v>16</v>
      </c>
      <c r="H212" s="8">
        <v>24450</v>
      </c>
      <c r="I212" s="5">
        <v>3</v>
      </c>
      <c r="J212" s="5">
        <v>301</v>
      </c>
      <c r="K212" s="4" t="s">
        <v>25</v>
      </c>
      <c r="L212" s="8">
        <v>201</v>
      </c>
      <c r="M212" s="4">
        <v>17099696</v>
      </c>
      <c r="N212" s="4" t="s">
        <v>584</v>
      </c>
      <c r="O212" s="4" t="s">
        <v>585</v>
      </c>
      <c r="P212" s="4" t="s">
        <v>29</v>
      </c>
      <c r="Q212" s="6">
        <v>508</v>
      </c>
      <c r="R212" s="6">
        <v>0</v>
      </c>
      <c r="S212" s="4">
        <v>2.6200000000000001E-2</v>
      </c>
      <c r="T212" s="4">
        <v>0.11799999999999999</v>
      </c>
      <c r="U212" s="4">
        <v>0</v>
      </c>
      <c r="V212" s="4">
        <v>508</v>
      </c>
      <c r="W212" s="4">
        <v>0</v>
      </c>
      <c r="X212" s="4">
        <v>0</v>
      </c>
      <c r="Y212" s="21">
        <f t="shared" si="9"/>
        <v>13.31</v>
      </c>
      <c r="Z212" s="21">
        <f t="shared" si="10"/>
        <v>0</v>
      </c>
      <c r="AA212" s="21">
        <f t="shared" si="11"/>
        <v>13.31</v>
      </c>
      <c r="AB212" s="21"/>
    </row>
    <row r="213" spans="1:28" ht="42.75" x14ac:dyDescent="0.25">
      <c r="A213" s="1" t="s">
        <v>583</v>
      </c>
      <c r="B213" s="1" t="s">
        <v>577</v>
      </c>
      <c r="C213" s="1" t="s">
        <v>640</v>
      </c>
      <c r="D213" s="4" t="s">
        <v>538</v>
      </c>
      <c r="E213" s="4" t="s">
        <v>14</v>
      </c>
      <c r="F213" s="4" t="s">
        <v>15</v>
      </c>
      <c r="G213" s="4" t="s">
        <v>16</v>
      </c>
      <c r="H213" s="8">
        <v>24450</v>
      </c>
      <c r="I213" s="5">
        <v>3</v>
      </c>
      <c r="J213" s="5">
        <v>305</v>
      </c>
      <c r="K213" s="4" t="s">
        <v>25</v>
      </c>
      <c r="L213" s="8">
        <v>320</v>
      </c>
      <c r="M213" s="4">
        <v>17099710</v>
      </c>
      <c r="N213" s="4" t="s">
        <v>586</v>
      </c>
      <c r="O213" s="4" t="s">
        <v>587</v>
      </c>
      <c r="P213" s="4" t="s">
        <v>29</v>
      </c>
      <c r="Q213" s="6">
        <v>585</v>
      </c>
      <c r="R213" s="6">
        <v>0</v>
      </c>
      <c r="S213" s="4">
        <v>2.6200000000000001E-2</v>
      </c>
      <c r="T213" s="4">
        <v>0.11799999999999999</v>
      </c>
      <c r="U213" s="4">
        <v>0</v>
      </c>
      <c r="V213" s="4">
        <v>585</v>
      </c>
      <c r="W213" s="4">
        <v>0</v>
      </c>
      <c r="X213" s="4">
        <v>0</v>
      </c>
      <c r="Y213" s="21">
        <f t="shared" si="9"/>
        <v>15.33</v>
      </c>
      <c r="Z213" s="21">
        <f t="shared" si="10"/>
        <v>0</v>
      </c>
      <c r="AA213" s="21">
        <f t="shared" si="11"/>
        <v>15.33</v>
      </c>
      <c r="AB213" s="21"/>
    </row>
    <row r="214" spans="1:28" ht="42.75" x14ac:dyDescent="0.25">
      <c r="A214" s="1" t="s">
        <v>583</v>
      </c>
      <c r="B214" s="1" t="s">
        <v>577</v>
      </c>
      <c r="C214" s="1" t="s">
        <v>640</v>
      </c>
      <c r="D214" s="4" t="s">
        <v>538</v>
      </c>
      <c r="E214" s="4" t="s">
        <v>14</v>
      </c>
      <c r="F214" s="4" t="s">
        <v>15</v>
      </c>
      <c r="G214" s="4" t="s">
        <v>16</v>
      </c>
      <c r="H214" s="8">
        <v>24450</v>
      </c>
      <c r="I214" s="5">
        <v>3</v>
      </c>
      <c r="J214" s="5">
        <v>306</v>
      </c>
      <c r="K214" s="4" t="s">
        <v>31</v>
      </c>
      <c r="L214" s="8">
        <v>101</v>
      </c>
      <c r="M214" s="4">
        <v>17099529</v>
      </c>
      <c r="N214" s="4" t="s">
        <v>588</v>
      </c>
      <c r="O214" s="4" t="s">
        <v>589</v>
      </c>
      <c r="P214" s="4" t="s">
        <v>709</v>
      </c>
      <c r="Q214" s="6">
        <v>7879</v>
      </c>
      <c r="R214" s="6">
        <v>5325</v>
      </c>
      <c r="S214" s="4">
        <v>2.07E-2</v>
      </c>
      <c r="T214" s="4">
        <v>8.6999999999999994E-2</v>
      </c>
      <c r="U214" s="4">
        <v>0</v>
      </c>
      <c r="V214" s="4">
        <v>7879</v>
      </c>
      <c r="W214" s="4">
        <v>0</v>
      </c>
      <c r="X214" s="4">
        <v>5325</v>
      </c>
      <c r="Y214" s="21">
        <f t="shared" si="9"/>
        <v>163.1</v>
      </c>
      <c r="Z214" s="21">
        <f t="shared" si="10"/>
        <v>463.28</v>
      </c>
      <c r="AA214" s="21">
        <f t="shared" si="11"/>
        <v>626.38</v>
      </c>
      <c r="AB214" s="21">
        <f>SUM(AA212:AA214)</f>
        <v>655.02</v>
      </c>
    </row>
    <row r="215" spans="1:28" ht="42.75" x14ac:dyDescent="0.25">
      <c r="A215" s="1" t="s">
        <v>329</v>
      </c>
      <c r="B215" s="1" t="s">
        <v>50</v>
      </c>
      <c r="C215" s="1" t="s">
        <v>51</v>
      </c>
      <c r="D215" s="4" t="s">
        <v>49</v>
      </c>
      <c r="E215" s="4" t="s">
        <v>14</v>
      </c>
      <c r="F215" s="4" t="s">
        <v>15</v>
      </c>
      <c r="G215" s="4" t="s">
        <v>16</v>
      </c>
      <c r="H215" s="8">
        <v>24450</v>
      </c>
      <c r="I215" s="5">
        <v>2</v>
      </c>
      <c r="J215" s="5" t="s">
        <v>329</v>
      </c>
      <c r="K215" s="4" t="s">
        <v>117</v>
      </c>
      <c r="L215" s="4" t="s">
        <v>329</v>
      </c>
      <c r="M215" s="8">
        <v>17099541</v>
      </c>
      <c r="N215" s="4" t="s">
        <v>330</v>
      </c>
      <c r="O215" s="4" t="s">
        <v>331</v>
      </c>
      <c r="P215" s="4" t="s">
        <v>29</v>
      </c>
      <c r="Q215" s="6">
        <v>204</v>
      </c>
      <c r="R215" s="6">
        <v>1</v>
      </c>
      <c r="S215" s="4">
        <v>2.6200000000000001E-2</v>
      </c>
      <c r="T215" s="4">
        <v>0.11799999999999999</v>
      </c>
      <c r="U215" s="4">
        <v>0</v>
      </c>
      <c r="V215" s="4">
        <v>204</v>
      </c>
      <c r="W215" s="4">
        <v>0</v>
      </c>
      <c r="X215" s="4">
        <v>1</v>
      </c>
      <c r="Y215" s="21">
        <f t="shared" si="9"/>
        <v>5.34</v>
      </c>
      <c r="Z215" s="21">
        <f t="shared" si="10"/>
        <v>0.12</v>
      </c>
      <c r="AA215" s="21">
        <f t="shared" si="11"/>
        <v>5.46</v>
      </c>
      <c r="AB215" s="21">
        <f>Table14[[#This Row],[Device Total Click Charge]]</f>
        <v>5.46</v>
      </c>
    </row>
    <row r="216" spans="1:28" ht="42.75" x14ac:dyDescent="0.25">
      <c r="A216" s="1" t="s">
        <v>367</v>
      </c>
      <c r="B216" s="1" t="s">
        <v>366</v>
      </c>
      <c r="C216" s="1" t="s">
        <v>367</v>
      </c>
      <c r="D216" s="4" t="s">
        <v>39</v>
      </c>
      <c r="E216" s="4" t="s">
        <v>14</v>
      </c>
      <c r="F216" s="4" t="s">
        <v>15</v>
      </c>
      <c r="G216" s="4" t="s">
        <v>16</v>
      </c>
      <c r="H216" s="8">
        <v>24450</v>
      </c>
      <c r="I216" s="5">
        <v>2</v>
      </c>
      <c r="J216" s="5">
        <v>219</v>
      </c>
      <c r="K216" s="4" t="s">
        <v>25</v>
      </c>
      <c r="L216" s="8">
        <v>219</v>
      </c>
      <c r="M216" s="4">
        <v>17099576</v>
      </c>
      <c r="N216" s="4" t="s">
        <v>368</v>
      </c>
      <c r="O216" s="4" t="s">
        <v>369</v>
      </c>
      <c r="P216" s="4" t="s">
        <v>29</v>
      </c>
      <c r="Q216" s="6">
        <v>23</v>
      </c>
      <c r="R216" s="6">
        <v>0</v>
      </c>
      <c r="S216" s="4">
        <v>2.6200000000000001E-2</v>
      </c>
      <c r="T216" s="4">
        <v>0.11799999999999999</v>
      </c>
      <c r="U216" s="4">
        <v>0</v>
      </c>
      <c r="V216" s="4">
        <v>23</v>
      </c>
      <c r="W216" s="4">
        <v>0</v>
      </c>
      <c r="X216" s="4">
        <v>0</v>
      </c>
      <c r="Y216" s="21">
        <f t="shared" si="9"/>
        <v>0.6</v>
      </c>
      <c r="Z216" s="21">
        <f t="shared" si="10"/>
        <v>0</v>
      </c>
      <c r="AA216" s="21">
        <f t="shared" si="11"/>
        <v>0.6</v>
      </c>
      <c r="AB216" s="21"/>
    </row>
    <row r="217" spans="1:28" ht="42.75" x14ac:dyDescent="0.25">
      <c r="A217" s="1" t="s">
        <v>367</v>
      </c>
      <c r="B217" s="1" t="s">
        <v>366</v>
      </c>
      <c r="C217" s="1" t="s">
        <v>367</v>
      </c>
      <c r="D217" s="4" t="s">
        <v>39</v>
      </c>
      <c r="E217" s="4" t="s">
        <v>14</v>
      </c>
      <c r="F217" s="4" t="s">
        <v>15</v>
      </c>
      <c r="G217" s="4" t="s">
        <v>16</v>
      </c>
      <c r="H217" s="8">
        <v>24450</v>
      </c>
      <c r="I217" s="5">
        <v>2</v>
      </c>
      <c r="J217" s="5">
        <v>215</v>
      </c>
      <c r="K217" s="4" t="s">
        <v>25</v>
      </c>
      <c r="L217" s="8">
        <v>215</v>
      </c>
      <c r="M217" s="4">
        <v>17099563</v>
      </c>
      <c r="N217" s="4" t="s">
        <v>376</v>
      </c>
      <c r="O217" s="4" t="s">
        <v>377</v>
      </c>
      <c r="P217" s="4" t="s">
        <v>29</v>
      </c>
      <c r="Q217" s="6">
        <v>2235</v>
      </c>
      <c r="R217" s="6">
        <v>0</v>
      </c>
      <c r="S217" s="4">
        <v>2.6200000000000001E-2</v>
      </c>
      <c r="T217" s="4">
        <v>0.11799999999999999</v>
      </c>
      <c r="U217" s="4">
        <v>0</v>
      </c>
      <c r="V217" s="4">
        <v>2235</v>
      </c>
      <c r="W217" s="4">
        <v>0</v>
      </c>
      <c r="X217" s="4">
        <v>0</v>
      </c>
      <c r="Y217" s="21">
        <f t="shared" si="9"/>
        <v>58.56</v>
      </c>
      <c r="Z217" s="21">
        <f t="shared" si="10"/>
        <v>0</v>
      </c>
      <c r="AA217" s="21">
        <f t="shared" si="11"/>
        <v>58.56</v>
      </c>
      <c r="AB217" s="21"/>
    </row>
    <row r="218" spans="1:28" ht="42.75" x14ac:dyDescent="0.25">
      <c r="A218" s="1" t="s">
        <v>367</v>
      </c>
      <c r="B218" s="1" t="s">
        <v>366</v>
      </c>
      <c r="C218" s="1" t="s">
        <v>367</v>
      </c>
      <c r="D218" s="4" t="s">
        <v>39</v>
      </c>
      <c r="E218" s="4" t="s">
        <v>14</v>
      </c>
      <c r="F218" s="4" t="s">
        <v>15</v>
      </c>
      <c r="G218" s="4" t="s">
        <v>16</v>
      </c>
      <c r="H218" s="8">
        <v>24450</v>
      </c>
      <c r="I218" s="5">
        <v>2</v>
      </c>
      <c r="J218" s="5">
        <v>217</v>
      </c>
      <c r="K218" s="4" t="s">
        <v>31</v>
      </c>
      <c r="L218" s="8">
        <v>217</v>
      </c>
      <c r="M218" s="4">
        <v>17099756</v>
      </c>
      <c r="N218" s="4" t="s">
        <v>401</v>
      </c>
      <c r="O218" s="4" t="s">
        <v>402</v>
      </c>
      <c r="P218" s="4" t="s">
        <v>709</v>
      </c>
      <c r="Q218" s="6">
        <v>2526</v>
      </c>
      <c r="R218" s="6">
        <v>328</v>
      </c>
      <c r="S218" s="4">
        <v>2.07E-2</v>
      </c>
      <c r="T218" s="4">
        <v>8.6999999999999994E-2</v>
      </c>
      <c r="U218" s="4">
        <v>0</v>
      </c>
      <c r="V218" s="4">
        <v>2526</v>
      </c>
      <c r="W218" s="4">
        <v>0</v>
      </c>
      <c r="X218" s="4">
        <v>328</v>
      </c>
      <c r="Y218" s="21">
        <f t="shared" si="9"/>
        <v>52.29</v>
      </c>
      <c r="Z218" s="21">
        <f t="shared" si="10"/>
        <v>28.54</v>
      </c>
      <c r="AA218" s="21">
        <f t="shared" si="11"/>
        <v>80.83</v>
      </c>
      <c r="AB218" s="21">
        <f>SUM(AA216:AA218)</f>
        <v>139.99</v>
      </c>
    </row>
    <row r="219" spans="1:28" ht="28.5" x14ac:dyDescent="0.25">
      <c r="A219" s="1"/>
      <c r="B219" s="1"/>
      <c r="C219" s="1"/>
      <c r="E219" s="4"/>
      <c r="K219" s="26" t="s">
        <v>619</v>
      </c>
      <c r="P219" s="4"/>
      <c r="Q219" s="4"/>
      <c r="R219" s="4"/>
      <c r="Y219" s="21">
        <f>SUBTOTAL(109,Y2:Y218)</f>
        <v>24989.28999999999</v>
      </c>
      <c r="Z219" s="21">
        <f>SUBTOTAL(109,Z2:Z218)</f>
        <v>11573.03</v>
      </c>
      <c r="AA219" s="21">
        <f>SUBTOTAL(109,AA2:AA218)</f>
        <v>36562.319999999985</v>
      </c>
      <c r="AB219" s="21">
        <f>SUBTOTAL(109,AB2:AB218)</f>
        <v>35219.449999999975</v>
      </c>
    </row>
    <row r="220" spans="1:28" x14ac:dyDescent="0.25">
      <c r="A220" s="1"/>
      <c r="B220" s="1"/>
      <c r="C220" s="1"/>
      <c r="E220" s="4"/>
      <c r="K220" s="26"/>
      <c r="P220" s="27"/>
      <c r="Q220" s="27" t="s">
        <v>673</v>
      </c>
      <c r="R220" s="27" t="s">
        <v>620</v>
      </c>
      <c r="Y220" s="21"/>
      <c r="Z220" s="21" t="s">
        <v>677</v>
      </c>
      <c r="AA220" s="21" t="s">
        <v>678</v>
      </c>
      <c r="AB220" s="21"/>
    </row>
    <row r="221" spans="1:28" x14ac:dyDescent="0.25">
      <c r="A221" s="1"/>
      <c r="B221" s="1"/>
      <c r="C221" s="1"/>
      <c r="E221" s="4"/>
      <c r="P221" s="27" t="s">
        <v>621</v>
      </c>
      <c r="Q221" s="28">
        <f>SUMIF($P$2:P$219,"MFP",Q$2:Q$219)</f>
        <v>852223</v>
      </c>
      <c r="R221" s="28">
        <f>SUMIF($P$2:P$219,"MFP",R$2:R$219)</f>
        <v>130005</v>
      </c>
      <c r="Y221" s="21"/>
      <c r="Z221" s="21">
        <f>SUMIF($P$2:P$218,"MFP",Y$2:Y$218)</f>
        <v>17651.989999999998</v>
      </c>
      <c r="AA221" s="21">
        <f>SUMIF($P$2:$P$218,"MFP",Z$2:Z$218)</f>
        <v>11310.48</v>
      </c>
      <c r="AB221" s="21"/>
    </row>
    <row r="222" spans="1:28" ht="28.5" x14ac:dyDescent="0.25">
      <c r="A222" s="1"/>
      <c r="B222" s="1"/>
      <c r="C222" s="1"/>
      <c r="E222" s="4"/>
      <c r="P222" s="27"/>
      <c r="Q222" s="27" t="s">
        <v>674</v>
      </c>
      <c r="R222" s="27" t="s">
        <v>622</v>
      </c>
      <c r="Y222" s="21"/>
      <c r="Z222" s="21" t="s">
        <v>674</v>
      </c>
      <c r="AA222" s="21" t="s">
        <v>622</v>
      </c>
      <c r="AB222" s="21"/>
    </row>
    <row r="223" spans="1:28" x14ac:dyDescent="0.25">
      <c r="A223" s="1"/>
      <c r="B223" s="1"/>
      <c r="C223" s="1"/>
      <c r="E223" s="4"/>
      <c r="P223" s="27" t="s">
        <v>623</v>
      </c>
      <c r="Q223" s="28">
        <f>SUMIF($P$2:P$219,"Printer",Q$2:Q$219)</f>
        <v>280049</v>
      </c>
      <c r="R223" s="28">
        <f>SUMIF($P$2:P$219,"Printer",R$2:R$219)</f>
        <v>2225</v>
      </c>
      <c r="Y223" s="21"/>
      <c r="Z223" s="21">
        <f>SUMIF($P$2:$P$219,"Printer",Y$2:Y$219)</f>
        <v>7337.2999999999993</v>
      </c>
      <c r="AA223" s="21">
        <f>SUMIF($P$2:$P$219,"Printer",Z$2:Z$219)</f>
        <v>262.55</v>
      </c>
      <c r="AB223" s="21"/>
    </row>
    <row r="224" spans="1:28" ht="28.5" x14ac:dyDescent="0.25">
      <c r="A224" s="1"/>
      <c r="B224" s="1"/>
      <c r="C224" s="1"/>
      <c r="E224" s="4"/>
      <c r="P224" s="27"/>
      <c r="Q224" s="27" t="s">
        <v>672</v>
      </c>
      <c r="R224" s="27" t="s">
        <v>675</v>
      </c>
      <c r="Y224" s="21"/>
      <c r="Z224" s="21" t="s">
        <v>676</v>
      </c>
      <c r="AA224" s="21" t="s">
        <v>679</v>
      </c>
      <c r="AB224" s="21"/>
    </row>
    <row r="225" spans="1:28" x14ac:dyDescent="0.25">
      <c r="A225" s="1"/>
      <c r="B225" s="1"/>
      <c r="C225" s="1"/>
      <c r="E225" s="4"/>
      <c r="P225" s="27" t="s">
        <v>706</v>
      </c>
      <c r="Q225" s="28">
        <f>SUM(Q2:Q218)</f>
        <v>1132272</v>
      </c>
      <c r="R225" s="28">
        <f>SUM(R2:R218)</f>
        <v>132230</v>
      </c>
      <c r="Y225" s="21"/>
      <c r="Z225" s="21">
        <f>SUM(Z223+Z221)</f>
        <v>24989.289999999997</v>
      </c>
      <c r="AA225" s="21">
        <f>SUM(AA221+AA223)</f>
        <v>11573.029999999999</v>
      </c>
      <c r="AB225" s="21"/>
    </row>
    <row r="226" spans="1:28" ht="28.5" x14ac:dyDescent="0.25">
      <c r="A226" s="1"/>
      <c r="B226" s="1"/>
      <c r="C226" s="1"/>
      <c r="E226" s="4"/>
      <c r="P226" s="27"/>
      <c r="Q226" s="27"/>
      <c r="R226" s="27"/>
      <c r="Y226" s="21"/>
      <c r="Z226" s="21" t="s">
        <v>624</v>
      </c>
      <c r="AA226" s="21">
        <f>SUM(Z225+AA225)</f>
        <v>36562.319999999992</v>
      </c>
      <c r="AB226" s="21"/>
    </row>
    <row r="227" spans="1:28" x14ac:dyDescent="0.25">
      <c r="A227" s="16"/>
      <c r="B227" s="2"/>
      <c r="C227" s="2"/>
      <c r="D227" s="14"/>
      <c r="E227" s="14"/>
      <c r="F227" s="14"/>
      <c r="G227" s="14"/>
      <c r="H227" s="17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5"/>
      <c r="Z227" s="15"/>
      <c r="AA227" s="15"/>
      <c r="AB227" s="18"/>
    </row>
  </sheetData>
  <dataConsolidate topLabels="1">
    <dataRefs count="1">
      <dataRef ref="A1:XFD1048576" sheet="Bill"/>
    </dataRefs>
  </dataConsolidate>
  <conditionalFormatting sqref="O1">
    <cfRule type="duplicateValues" dxfId="1" priority="5" stopIfTrue="1"/>
  </conditionalFormatting>
  <conditionalFormatting sqref="M1:O1">
    <cfRule type="duplicateValues" dxfId="0" priority="4" stopIfTrue="1"/>
  </conditionalFormatting>
  <conditionalFormatting sqref="B1">
    <cfRule type="duplicateValues" priority="2"/>
  </conditionalFormatting>
  <conditionalFormatting sqref="C1">
    <cfRule type="duplicateValues" priority="1"/>
  </conditionalFormatting>
  <printOptions horizontalCentered="1"/>
  <pageMargins left="0.25" right="0.25" top="0.75" bottom="0.75" header="0.3" footer="0.3"/>
  <pageSetup paperSize="17" scale="8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61"/>
  <sheetViews>
    <sheetView showGridLines="0" tabSelected="1" showRuler="0" zoomScaleNormal="100" workbookViewId="0">
      <pane ySplit="1" topLeftCell="A2" activePane="bottomLeft" state="frozen"/>
      <selection pane="bottomLeft" activeCell="N1" sqref="N1:U1048576"/>
    </sheetView>
  </sheetViews>
  <sheetFormatPr defaultColWidth="12.7109375" defaultRowHeight="15" outlineLevelRow="2" outlineLevelCol="1" x14ac:dyDescent="0.25"/>
  <cols>
    <col min="1" max="1" width="24.5703125" style="29" customWidth="1"/>
    <col min="2" max="2" width="26" style="29" bestFit="1" customWidth="1"/>
    <col min="3" max="3" width="16.42578125" style="29" customWidth="1"/>
    <col min="4" max="4" width="13.5703125" style="29" customWidth="1"/>
    <col min="5" max="5" width="10.7109375" style="45" bestFit="1" customWidth="1"/>
    <col min="6" max="6" width="11.7109375" style="48" bestFit="1" customWidth="1"/>
    <col min="7" max="7" width="4.140625" style="48" bestFit="1" customWidth="1"/>
    <col min="8" max="8" width="10.28515625" style="69" customWidth="1"/>
    <col min="9" max="9" width="6.7109375" style="29" bestFit="1" customWidth="1"/>
    <col min="10" max="10" width="6.5703125" style="29" bestFit="1" customWidth="1"/>
    <col min="11" max="12" width="9.5703125" style="29" customWidth="1"/>
    <col min="13" max="13" width="11" style="29" bestFit="1" customWidth="1"/>
    <col min="14" max="14" width="11.5703125" style="76" hidden="1" customWidth="1" outlineLevel="1"/>
    <col min="15" max="15" width="11.85546875" style="76" hidden="1" customWidth="1" outlineLevel="1"/>
    <col min="16" max="16" width="7.42578125" style="76" hidden="1" customWidth="1" outlineLevel="1"/>
    <col min="17" max="17" width="6.7109375" style="76" hidden="1" customWidth="1" outlineLevel="1"/>
    <col min="18" max="18" width="9.7109375" style="76" hidden="1" customWidth="1" outlineLevel="1"/>
    <col min="19" max="19" width="8.28515625" style="76" hidden="1" customWidth="1" outlineLevel="1"/>
    <col min="20" max="21" width="10.7109375" style="76" hidden="1" customWidth="1" outlineLevel="1"/>
    <col min="22" max="22" width="12.7109375" style="29" collapsed="1"/>
    <col min="23" max="16384" width="12.7109375" style="29"/>
  </cols>
  <sheetData>
    <row r="1" spans="1:28" ht="68.45" customHeight="1" thickBot="1" x14ac:dyDescent="0.3">
      <c r="A1" s="103" t="s">
        <v>794</v>
      </c>
      <c r="B1" s="102" t="s">
        <v>778</v>
      </c>
      <c r="C1" s="105" t="s">
        <v>708</v>
      </c>
      <c r="D1" s="106" t="s">
        <v>0</v>
      </c>
      <c r="E1" s="107" t="s">
        <v>6</v>
      </c>
      <c r="F1" s="106" t="s">
        <v>7</v>
      </c>
      <c r="G1" s="106" t="s">
        <v>10</v>
      </c>
      <c r="H1" s="109" t="s">
        <v>779</v>
      </c>
      <c r="I1" s="106" t="s">
        <v>780</v>
      </c>
      <c r="J1" s="106" t="s">
        <v>664</v>
      </c>
      <c r="K1" s="108" t="s">
        <v>783</v>
      </c>
      <c r="L1" s="108" t="s">
        <v>670</v>
      </c>
      <c r="M1" s="108" t="s">
        <v>671</v>
      </c>
      <c r="N1" s="70" t="s">
        <v>8</v>
      </c>
      <c r="O1" s="70" t="s">
        <v>9</v>
      </c>
      <c r="P1" s="70" t="s">
        <v>784</v>
      </c>
      <c r="Q1" s="70" t="s">
        <v>12</v>
      </c>
      <c r="R1" s="70" t="s">
        <v>781</v>
      </c>
      <c r="S1" s="70" t="s">
        <v>782</v>
      </c>
      <c r="T1" s="70" t="s">
        <v>667</v>
      </c>
      <c r="U1" s="70" t="s">
        <v>668</v>
      </c>
      <c r="V1" s="104"/>
      <c r="W1" s="104"/>
      <c r="X1" s="104"/>
      <c r="Y1" s="104"/>
      <c r="Z1" s="104"/>
      <c r="AA1" s="104"/>
      <c r="AB1" s="104"/>
    </row>
    <row r="2" spans="1:28" s="104" customFormat="1" outlineLevel="1" x14ac:dyDescent="0.25">
      <c r="A2" s="111"/>
      <c r="B2" s="102"/>
      <c r="C2" s="105"/>
      <c r="D2" s="106"/>
      <c r="E2" s="107"/>
      <c r="F2" s="106"/>
      <c r="G2" s="106"/>
      <c r="H2" s="109"/>
      <c r="I2" s="106"/>
      <c r="J2" s="106"/>
      <c r="K2" s="108"/>
      <c r="L2" s="108"/>
      <c r="M2" s="108"/>
      <c r="N2" s="112"/>
      <c r="O2" s="112"/>
      <c r="P2" s="112"/>
      <c r="Q2" s="112"/>
      <c r="R2" s="112"/>
      <c r="S2" s="112"/>
      <c r="T2" s="112"/>
      <c r="U2" s="112"/>
    </row>
    <row r="3" spans="1:28" s="30" customFormat="1" ht="30" outlineLevel="2" x14ac:dyDescent="0.25">
      <c r="A3" s="131" t="s">
        <v>310</v>
      </c>
      <c r="B3" s="57" t="s">
        <v>683</v>
      </c>
      <c r="C3" s="132" t="s">
        <v>310</v>
      </c>
      <c r="D3" s="53" t="s">
        <v>551</v>
      </c>
      <c r="E3" s="43">
        <v>301</v>
      </c>
      <c r="F3" s="46" t="s">
        <v>117</v>
      </c>
      <c r="G3" s="46" t="str">
        <f>VLOOKUP(F3,Tables!D$9:E$17,2,FALSE)</f>
        <v>PTR</v>
      </c>
      <c r="H3" s="66">
        <v>17099684</v>
      </c>
      <c r="I3" s="33">
        <f>S3-R3</f>
        <v>846</v>
      </c>
      <c r="J3" s="33">
        <f>U3-T3</f>
        <v>310</v>
      </c>
      <c r="K3" s="54">
        <f>I3*$P3</f>
        <v>22.165200000000002</v>
      </c>
      <c r="L3" s="54">
        <f>J3*$Q3</f>
        <v>36.58</v>
      </c>
      <c r="M3" s="62">
        <f>K3+L3</f>
        <v>58.745199999999997</v>
      </c>
      <c r="N3" s="53" t="s">
        <v>560</v>
      </c>
      <c r="O3" s="53" t="s">
        <v>561</v>
      </c>
      <c r="P3" s="71">
        <f>IF(G3="MFP",Tables!B$2,Tables!B$5)</f>
        <v>2.6200000000000001E-2</v>
      </c>
      <c r="Q3" s="72">
        <f>IF(G3="MFP",Tables!B$3,Tables!B$6)</f>
        <v>0.11799999999999999</v>
      </c>
      <c r="R3" s="73">
        <v>0</v>
      </c>
      <c r="S3" s="73">
        <v>846</v>
      </c>
      <c r="T3" s="73">
        <v>0</v>
      </c>
      <c r="U3" s="73">
        <v>310</v>
      </c>
      <c r="V3" s="56"/>
    </row>
    <row r="4" spans="1:28" s="56" customFormat="1" outlineLevel="1" x14ac:dyDescent="0.25">
      <c r="A4" s="131"/>
      <c r="B4" s="32" t="s">
        <v>710</v>
      </c>
      <c r="C4" s="132"/>
      <c r="D4" s="53"/>
      <c r="E4" s="43"/>
      <c r="F4" s="46"/>
      <c r="G4" s="46"/>
      <c r="H4" s="66"/>
      <c r="I4" s="33"/>
      <c r="J4" s="33"/>
      <c r="K4" s="54"/>
      <c r="L4" s="54"/>
      <c r="M4" s="62">
        <f>SUBTOTAL(9,M3:M3)</f>
        <v>58.745199999999997</v>
      </c>
      <c r="N4" s="53"/>
      <c r="O4" s="53"/>
      <c r="P4" s="71"/>
      <c r="Q4" s="72"/>
      <c r="R4" s="73"/>
      <c r="S4" s="73"/>
      <c r="T4" s="73"/>
      <c r="U4" s="73"/>
    </row>
    <row r="5" spans="1:28" s="30" customFormat="1" ht="30" outlineLevel="2" x14ac:dyDescent="0.25">
      <c r="A5" s="31" t="s">
        <v>702</v>
      </c>
      <c r="B5" s="57" t="s">
        <v>154</v>
      </c>
      <c r="C5" s="52" t="s">
        <v>702</v>
      </c>
      <c r="D5" s="132" t="s">
        <v>819</v>
      </c>
      <c r="E5" s="43" t="s">
        <v>824</v>
      </c>
      <c r="F5" s="46" t="s">
        <v>31</v>
      </c>
      <c r="G5" s="46" t="str">
        <f>VLOOKUP(F5,Tables!D$9:E$17,2,FALSE)</f>
        <v>MFP</v>
      </c>
      <c r="H5" s="66">
        <v>17099493</v>
      </c>
      <c r="I5" s="33">
        <f>S5-R5</f>
        <v>14954</v>
      </c>
      <c r="J5" s="33">
        <f>U5-T5</f>
        <v>5607</v>
      </c>
      <c r="K5" s="54">
        <f>I5*$P5</f>
        <v>309.5478</v>
      </c>
      <c r="L5" s="54">
        <f>J5*$Q5</f>
        <v>487.80899999999997</v>
      </c>
      <c r="M5" s="62">
        <f>K5+L5</f>
        <v>797.35680000000002</v>
      </c>
      <c r="N5" s="53" t="s">
        <v>155</v>
      </c>
      <c r="O5" s="53" t="s">
        <v>156</v>
      </c>
      <c r="P5" s="71">
        <f>IF(G5="MFP",Tables!B$2,Tables!B$5)</f>
        <v>2.07E-2</v>
      </c>
      <c r="Q5" s="72">
        <f>IF(G5="MFP",Tables!B$3,Tables!B$6)</f>
        <v>8.6999999999999994E-2</v>
      </c>
      <c r="R5" s="73">
        <v>0</v>
      </c>
      <c r="S5" s="73">
        <v>14954</v>
      </c>
      <c r="T5" s="73">
        <v>0</v>
      </c>
      <c r="U5" s="73">
        <v>5607</v>
      </c>
      <c r="V5" s="56"/>
    </row>
    <row r="6" spans="1:28" s="30" customFormat="1" ht="30" outlineLevel="2" x14ac:dyDescent="0.25">
      <c r="A6" s="31" t="s">
        <v>702</v>
      </c>
      <c r="B6" s="57" t="s">
        <v>154</v>
      </c>
      <c r="C6" s="52" t="s">
        <v>702</v>
      </c>
      <c r="D6" s="132" t="s">
        <v>821</v>
      </c>
      <c r="E6" s="43">
        <v>201</v>
      </c>
      <c r="F6" s="46" t="s">
        <v>25</v>
      </c>
      <c r="G6" s="46" t="str">
        <f>VLOOKUP(F6,Tables!D$9:E$17,2,FALSE)</f>
        <v>PTR</v>
      </c>
      <c r="H6" s="66">
        <v>17099512</v>
      </c>
      <c r="I6" s="33">
        <f>S6-R6</f>
        <v>48</v>
      </c>
      <c r="J6" s="33">
        <f>U6-T6</f>
        <v>0</v>
      </c>
      <c r="K6" s="54">
        <f>I6*$P6</f>
        <v>1.2576000000000001</v>
      </c>
      <c r="L6" s="54">
        <f>J6*$Q6</f>
        <v>0</v>
      </c>
      <c r="M6" s="62">
        <f>K6+L6</f>
        <v>1.2576000000000001</v>
      </c>
      <c r="N6" s="53" t="s">
        <v>437</v>
      </c>
      <c r="O6" s="53" t="s">
        <v>438</v>
      </c>
      <c r="P6" s="71">
        <f>IF(G6="MFP",Tables!B$2,Tables!B$5)</f>
        <v>2.6200000000000001E-2</v>
      </c>
      <c r="Q6" s="72">
        <f>IF(G6="MFP",Tables!B$3,Tables!B$6)</f>
        <v>0.11799999999999999</v>
      </c>
      <c r="R6" s="73">
        <v>0</v>
      </c>
      <c r="S6" s="73">
        <v>48</v>
      </c>
      <c r="T6" s="73">
        <v>0</v>
      </c>
      <c r="U6" s="73">
        <v>0</v>
      </c>
      <c r="V6" s="56"/>
    </row>
    <row r="7" spans="1:28" s="30" customFormat="1" ht="30" outlineLevel="2" x14ac:dyDescent="0.25">
      <c r="A7" s="31" t="s">
        <v>702</v>
      </c>
      <c r="B7" s="57" t="s">
        <v>154</v>
      </c>
      <c r="C7" s="52" t="s">
        <v>702</v>
      </c>
      <c r="D7" s="132" t="s">
        <v>821</v>
      </c>
      <c r="E7" s="43">
        <v>205</v>
      </c>
      <c r="F7" s="46" t="s">
        <v>117</v>
      </c>
      <c r="G7" s="46" t="str">
        <f>VLOOKUP(F7,Tables!D$9:E$17,2,FALSE)</f>
        <v>PTR</v>
      </c>
      <c r="H7" s="66">
        <v>17099513</v>
      </c>
      <c r="I7" s="33">
        <f>S7-R7</f>
        <v>795</v>
      </c>
      <c r="J7" s="33">
        <f>U7-T7</f>
        <v>418</v>
      </c>
      <c r="K7" s="54">
        <f>I7*$P7</f>
        <v>20.829000000000001</v>
      </c>
      <c r="L7" s="54">
        <f>J7*$Q7</f>
        <v>49.323999999999998</v>
      </c>
      <c r="M7" s="62">
        <f>K7+L7</f>
        <v>70.152999999999992</v>
      </c>
      <c r="N7" s="53" t="s">
        <v>254</v>
      </c>
      <c r="O7" s="53" t="s">
        <v>255</v>
      </c>
      <c r="P7" s="71">
        <f>IF(G7="MFP",Tables!B$2,Tables!B$5)</f>
        <v>2.6200000000000001E-2</v>
      </c>
      <c r="Q7" s="72">
        <f>IF(G7="MFP",Tables!B$3,Tables!B$6)</f>
        <v>0.11799999999999999</v>
      </c>
      <c r="R7" s="73">
        <v>0</v>
      </c>
      <c r="S7" s="73">
        <v>795</v>
      </c>
      <c r="T7" s="73">
        <v>0</v>
      </c>
      <c r="U7" s="73">
        <v>418</v>
      </c>
      <c r="V7" s="56"/>
    </row>
    <row r="8" spans="1:28" s="30" customFormat="1" ht="30" outlineLevel="2" x14ac:dyDescent="0.25">
      <c r="A8" s="31" t="s">
        <v>702</v>
      </c>
      <c r="B8" s="57" t="s">
        <v>154</v>
      </c>
      <c r="C8" s="52" t="s">
        <v>702</v>
      </c>
      <c r="D8" s="132" t="s">
        <v>821</v>
      </c>
      <c r="E8" s="43">
        <v>207</v>
      </c>
      <c r="F8" s="46" t="s">
        <v>25</v>
      </c>
      <c r="G8" s="46" t="str">
        <f>VLOOKUP(F8,Tables!D$9:E$17,2,FALSE)</f>
        <v>PTR</v>
      </c>
      <c r="H8" s="66">
        <v>17099440</v>
      </c>
      <c r="I8" s="33">
        <f>S8-R8</f>
        <v>471</v>
      </c>
      <c r="J8" s="33">
        <f>U8-T8</f>
        <v>0</v>
      </c>
      <c r="K8" s="54">
        <f>I8*$P8</f>
        <v>12.340200000000001</v>
      </c>
      <c r="L8" s="54">
        <f>J8*$Q8</f>
        <v>0</v>
      </c>
      <c r="M8" s="62">
        <f>K8+L8</f>
        <v>12.340200000000001</v>
      </c>
      <c r="N8" s="53" t="s">
        <v>346</v>
      </c>
      <c r="O8" s="53" t="s">
        <v>347</v>
      </c>
      <c r="P8" s="71">
        <f>IF(G8="MFP",Tables!B$2,Tables!B$5)</f>
        <v>2.6200000000000001E-2</v>
      </c>
      <c r="Q8" s="72">
        <f>IF(G8="MFP",Tables!B$3,Tables!B$6)</f>
        <v>0.11799999999999999</v>
      </c>
      <c r="R8" s="73">
        <v>0</v>
      </c>
      <c r="S8" s="73">
        <v>471</v>
      </c>
      <c r="T8" s="73">
        <v>0</v>
      </c>
      <c r="U8" s="73">
        <v>0</v>
      </c>
      <c r="V8" s="56"/>
    </row>
    <row r="9" spans="1:28" s="30" customFormat="1" ht="30" outlineLevel="2" x14ac:dyDescent="0.25">
      <c r="A9" s="31" t="s">
        <v>702</v>
      </c>
      <c r="B9" s="57" t="s">
        <v>154</v>
      </c>
      <c r="C9" s="52" t="s">
        <v>702</v>
      </c>
      <c r="D9" s="132" t="s">
        <v>821</v>
      </c>
      <c r="E9" s="43">
        <v>301</v>
      </c>
      <c r="F9" s="46" t="s">
        <v>117</v>
      </c>
      <c r="G9" s="46" t="str">
        <f>VLOOKUP(F9,Tables!D$9:E$17,2,FALSE)</f>
        <v>PTR</v>
      </c>
      <c r="H9" s="66">
        <v>17099522</v>
      </c>
      <c r="I9" s="33">
        <f>S9-R9</f>
        <v>716</v>
      </c>
      <c r="J9" s="33">
        <f>U9-T9</f>
        <v>141</v>
      </c>
      <c r="K9" s="54">
        <f>I9*$P9</f>
        <v>18.7592</v>
      </c>
      <c r="L9" s="54">
        <f>J9*$Q9</f>
        <v>16.637999999999998</v>
      </c>
      <c r="M9" s="62">
        <f>K9+L9</f>
        <v>35.397199999999998</v>
      </c>
      <c r="N9" s="53" t="s">
        <v>348</v>
      </c>
      <c r="O9" s="53" t="s">
        <v>349</v>
      </c>
      <c r="P9" s="71">
        <f>IF(G9="MFP",Tables!B$2,Tables!B$5)</f>
        <v>2.6200000000000001E-2</v>
      </c>
      <c r="Q9" s="72">
        <f>IF(G9="MFP",Tables!B$3,Tables!B$6)</f>
        <v>0.11799999999999999</v>
      </c>
      <c r="R9" s="73">
        <v>0</v>
      </c>
      <c r="S9" s="73">
        <v>716</v>
      </c>
      <c r="T9" s="73">
        <v>0</v>
      </c>
      <c r="U9" s="73">
        <v>141</v>
      </c>
      <c r="V9" s="56"/>
    </row>
    <row r="10" spans="1:28" s="30" customFormat="1" ht="30" outlineLevel="2" x14ac:dyDescent="0.25">
      <c r="A10" s="31" t="s">
        <v>702</v>
      </c>
      <c r="B10" s="57" t="s">
        <v>154</v>
      </c>
      <c r="C10" s="52" t="s">
        <v>702</v>
      </c>
      <c r="D10" s="132" t="s">
        <v>821</v>
      </c>
      <c r="E10" s="43">
        <v>302</v>
      </c>
      <c r="F10" s="46" t="s">
        <v>117</v>
      </c>
      <c r="G10" s="46" t="str">
        <f>VLOOKUP(F10,Tables!D$9:E$17,2,FALSE)</f>
        <v>PTR</v>
      </c>
      <c r="H10" s="66">
        <v>17099423</v>
      </c>
      <c r="I10" s="33">
        <f>S10-R10</f>
        <v>47</v>
      </c>
      <c r="J10" s="33">
        <f>U10-T10</f>
        <v>197</v>
      </c>
      <c r="K10" s="54">
        <f>I10*$P10</f>
        <v>1.2314000000000001</v>
      </c>
      <c r="L10" s="54">
        <f>J10*$Q10</f>
        <v>23.245999999999999</v>
      </c>
      <c r="M10" s="62">
        <f>K10+L10</f>
        <v>24.477399999999999</v>
      </c>
      <c r="N10" s="53" t="s">
        <v>405</v>
      </c>
      <c r="O10" s="53" t="s">
        <v>406</v>
      </c>
      <c r="P10" s="71">
        <f>IF(G10="MFP",Tables!B$2,Tables!B$5)</f>
        <v>2.6200000000000001E-2</v>
      </c>
      <c r="Q10" s="72">
        <f>IF(G10="MFP",Tables!B$3,Tables!B$6)</f>
        <v>0.11799999999999999</v>
      </c>
      <c r="R10" s="73">
        <v>0</v>
      </c>
      <c r="S10" s="73">
        <v>47</v>
      </c>
      <c r="T10" s="73">
        <v>0</v>
      </c>
      <c r="U10" s="73">
        <v>197</v>
      </c>
      <c r="V10" s="56"/>
    </row>
    <row r="11" spans="1:28" s="30" customFormat="1" ht="30" outlineLevel="2" x14ac:dyDescent="0.25">
      <c r="A11" s="31" t="s">
        <v>702</v>
      </c>
      <c r="B11" s="57" t="s">
        <v>154</v>
      </c>
      <c r="C11" s="52" t="s">
        <v>702</v>
      </c>
      <c r="D11" s="132" t="s">
        <v>821</v>
      </c>
      <c r="E11" s="43">
        <v>306</v>
      </c>
      <c r="F11" s="46" t="s">
        <v>117</v>
      </c>
      <c r="G11" s="46" t="str">
        <f>VLOOKUP(F11,Tables!D$9:E$17,2,FALSE)</f>
        <v>PTR</v>
      </c>
      <c r="H11" s="66">
        <v>17099511</v>
      </c>
      <c r="I11" s="33">
        <f>S11-R11</f>
        <v>89</v>
      </c>
      <c r="J11" s="33">
        <f>U11-T11</f>
        <v>3</v>
      </c>
      <c r="K11" s="54">
        <f>I11*$P11</f>
        <v>2.3318000000000003</v>
      </c>
      <c r="L11" s="54">
        <f>J11*$Q11</f>
        <v>0.35399999999999998</v>
      </c>
      <c r="M11" s="62">
        <f>K11+L11</f>
        <v>2.6858000000000004</v>
      </c>
      <c r="N11" s="53" t="s">
        <v>417</v>
      </c>
      <c r="O11" s="53" t="s">
        <v>418</v>
      </c>
      <c r="P11" s="71">
        <f>IF(G11="MFP",Tables!B$2,Tables!B$5)</f>
        <v>2.6200000000000001E-2</v>
      </c>
      <c r="Q11" s="72">
        <f>IF(G11="MFP",Tables!B$3,Tables!B$6)</f>
        <v>0.11799999999999999</v>
      </c>
      <c r="R11" s="73">
        <v>0</v>
      </c>
      <c r="S11" s="73">
        <v>89</v>
      </c>
      <c r="T11" s="73">
        <v>0</v>
      </c>
      <c r="U11" s="73">
        <v>3</v>
      </c>
      <c r="V11" s="56"/>
    </row>
    <row r="12" spans="1:28" s="56" customFormat="1" outlineLevel="1" x14ac:dyDescent="0.25">
      <c r="A12" s="31"/>
      <c r="B12" s="32" t="s">
        <v>711</v>
      </c>
      <c r="C12" s="52"/>
      <c r="D12" s="132"/>
      <c r="E12" s="43"/>
      <c r="F12" s="46"/>
      <c r="G12" s="46"/>
      <c r="H12" s="66"/>
      <c r="I12" s="33"/>
      <c r="J12" s="33"/>
      <c r="K12" s="54"/>
      <c r="L12" s="54"/>
      <c r="M12" s="62">
        <f>SUBTOTAL(9,M5:M11)</f>
        <v>943.66800000000001</v>
      </c>
      <c r="N12" s="53"/>
      <c r="O12" s="53"/>
      <c r="P12" s="71"/>
      <c r="Q12" s="72"/>
      <c r="R12" s="73"/>
      <c r="S12" s="73"/>
      <c r="T12" s="73"/>
      <c r="U12" s="73"/>
    </row>
    <row r="13" spans="1:28" s="30" customFormat="1" ht="24" outlineLevel="2" x14ac:dyDescent="0.25">
      <c r="A13" s="31" t="s">
        <v>42</v>
      </c>
      <c r="B13" s="57" t="s">
        <v>41</v>
      </c>
      <c r="C13" s="52" t="s">
        <v>777</v>
      </c>
      <c r="D13" s="53" t="s">
        <v>39</v>
      </c>
      <c r="E13" s="43" t="s">
        <v>40</v>
      </c>
      <c r="F13" s="46" t="s">
        <v>25</v>
      </c>
      <c r="G13" s="46" t="str">
        <f>VLOOKUP(F13,Tables!D$9:E$17,2,FALSE)</f>
        <v>PTR</v>
      </c>
      <c r="H13" s="66">
        <v>17099562</v>
      </c>
      <c r="I13" s="33">
        <f>S13-R13</f>
        <v>650</v>
      </c>
      <c r="J13" s="33">
        <f>U13-T13</f>
        <v>0</v>
      </c>
      <c r="K13" s="54">
        <f>I13*$P13</f>
        <v>17.03</v>
      </c>
      <c r="L13" s="54">
        <f>J13*$Q13</f>
        <v>0</v>
      </c>
      <c r="M13" s="62">
        <f>K13+L13</f>
        <v>17.03</v>
      </c>
      <c r="N13" s="53" t="s">
        <v>43</v>
      </c>
      <c r="O13" s="53" t="s">
        <v>44</v>
      </c>
      <c r="P13" s="71">
        <f>IF(G13="MFP",Tables!B$2,Tables!B$5)</f>
        <v>2.6200000000000001E-2</v>
      </c>
      <c r="Q13" s="72">
        <f>IF(G13="MFP",Tables!B$3,Tables!B$6)</f>
        <v>0.11799999999999999</v>
      </c>
      <c r="R13" s="73">
        <v>0</v>
      </c>
      <c r="S13" s="73">
        <v>650</v>
      </c>
      <c r="T13" s="73">
        <v>0</v>
      </c>
      <c r="U13" s="73">
        <v>0</v>
      </c>
    </row>
    <row r="14" spans="1:28" s="56" customFormat="1" outlineLevel="1" x14ac:dyDescent="0.25">
      <c r="A14" s="31"/>
      <c r="B14" s="32" t="s">
        <v>712</v>
      </c>
      <c r="C14" s="52"/>
      <c r="D14" s="53"/>
      <c r="E14" s="43"/>
      <c r="F14" s="46"/>
      <c r="G14" s="46"/>
      <c r="H14" s="66"/>
      <c r="I14" s="33"/>
      <c r="J14" s="33"/>
      <c r="K14" s="54"/>
      <c r="L14" s="54"/>
      <c r="M14" s="62">
        <f>SUBTOTAL(9,M13:M13)</f>
        <v>17.03</v>
      </c>
      <c r="N14" s="53"/>
      <c r="O14" s="53"/>
      <c r="P14" s="71"/>
      <c r="Q14" s="72"/>
      <c r="R14" s="73"/>
      <c r="S14" s="73"/>
      <c r="T14" s="73"/>
      <c r="U14" s="73"/>
    </row>
    <row r="15" spans="1:28" s="30" customFormat="1" ht="30" outlineLevel="2" x14ac:dyDescent="0.25">
      <c r="A15" s="131" t="s">
        <v>831</v>
      </c>
      <c r="B15" s="131" t="s">
        <v>830</v>
      </c>
      <c r="C15" s="132" t="s">
        <v>831</v>
      </c>
      <c r="D15" s="53" t="s">
        <v>39</v>
      </c>
      <c r="E15" s="43">
        <v>210</v>
      </c>
      <c r="F15" s="46" t="s">
        <v>18</v>
      </c>
      <c r="G15" s="46" t="str">
        <f>VLOOKUP(F15,Tables!D$9:E$17,2,FALSE)</f>
        <v>MFP</v>
      </c>
      <c r="H15" s="66">
        <v>17099459</v>
      </c>
      <c r="I15" s="33">
        <f>S15-R15</f>
        <v>11459</v>
      </c>
      <c r="J15" s="33">
        <f>U15-T15</f>
        <v>2435</v>
      </c>
      <c r="K15" s="54">
        <f>I15*$P15</f>
        <v>237.2013</v>
      </c>
      <c r="L15" s="54">
        <f>J15*$Q15</f>
        <v>211.845</v>
      </c>
      <c r="M15" s="62">
        <f>K15+L15</f>
        <v>449.04629999999997</v>
      </c>
      <c r="N15" s="53" t="s">
        <v>311</v>
      </c>
      <c r="O15" s="53" t="s">
        <v>312</v>
      </c>
      <c r="P15" s="71">
        <f>IF(G15="MFP",Tables!B$2,Tables!B$5)</f>
        <v>2.07E-2</v>
      </c>
      <c r="Q15" s="72">
        <f>IF(G15="MFP",Tables!B$3,Tables!B$6)</f>
        <v>8.6999999999999994E-2</v>
      </c>
      <c r="R15" s="73">
        <v>0</v>
      </c>
      <c r="S15" s="73">
        <v>11459</v>
      </c>
      <c r="T15" s="73">
        <v>0</v>
      </c>
      <c r="U15" s="73">
        <v>2435</v>
      </c>
    </row>
    <row r="16" spans="1:28" s="56" customFormat="1" outlineLevel="1" x14ac:dyDescent="0.25">
      <c r="A16" s="131"/>
      <c r="B16" s="150" t="s">
        <v>837</v>
      </c>
      <c r="C16" s="132"/>
      <c r="D16" s="53"/>
      <c r="E16" s="43"/>
      <c r="F16" s="46"/>
      <c r="G16" s="46"/>
      <c r="H16" s="66"/>
      <c r="I16" s="33"/>
      <c r="J16" s="33"/>
      <c r="K16" s="54"/>
      <c r="L16" s="54"/>
      <c r="M16" s="62">
        <f>SUBTOTAL(9,M15:M15)</f>
        <v>449.04629999999997</v>
      </c>
      <c r="N16" s="53"/>
      <c r="O16" s="53"/>
      <c r="P16" s="71"/>
      <c r="Q16" s="72"/>
      <c r="R16" s="73"/>
      <c r="S16" s="73"/>
      <c r="T16" s="73"/>
      <c r="U16" s="73"/>
    </row>
    <row r="17" spans="1:28" s="30" customFormat="1" ht="24" outlineLevel="2" x14ac:dyDescent="0.25">
      <c r="A17" s="31" t="s">
        <v>71</v>
      </c>
      <c r="B17" s="57" t="s">
        <v>70</v>
      </c>
      <c r="C17" s="52" t="s">
        <v>625</v>
      </c>
      <c r="D17" s="53" t="s">
        <v>54</v>
      </c>
      <c r="E17" s="43">
        <v>2012</v>
      </c>
      <c r="F17" s="46" t="s">
        <v>25</v>
      </c>
      <c r="G17" s="46" t="str">
        <f>VLOOKUP(F17,Tables!D$9:E$17,2,FALSE)</f>
        <v>PTR</v>
      </c>
      <c r="H17" s="66">
        <v>17099443</v>
      </c>
      <c r="I17" s="33">
        <f>S17-R17</f>
        <v>309</v>
      </c>
      <c r="J17" s="33">
        <f>U17-T17</f>
        <v>0</v>
      </c>
      <c r="K17" s="54">
        <f>I17*$P17</f>
        <v>8.0958000000000006</v>
      </c>
      <c r="L17" s="54">
        <f>J17*$Q17</f>
        <v>0</v>
      </c>
      <c r="M17" s="62">
        <f>K17+L17</f>
        <v>8.0958000000000006</v>
      </c>
      <c r="N17" s="53" t="s">
        <v>72</v>
      </c>
      <c r="O17" s="53" t="s">
        <v>73</v>
      </c>
      <c r="P17" s="71">
        <f>IF(G17="MFP",Tables!B$2,Tables!B$5)</f>
        <v>2.6200000000000001E-2</v>
      </c>
      <c r="Q17" s="72">
        <f>IF(G17="MFP",Tables!B$3,Tables!B$6)</f>
        <v>0.11799999999999999</v>
      </c>
      <c r="R17" s="73">
        <v>0</v>
      </c>
      <c r="S17" s="73">
        <v>309</v>
      </c>
      <c r="T17" s="73">
        <v>0</v>
      </c>
      <c r="U17" s="73">
        <v>0</v>
      </c>
    </row>
    <row r="18" spans="1:28" s="30" customFormat="1" ht="24" outlineLevel="2" x14ac:dyDescent="0.25">
      <c r="A18" s="31" t="s">
        <v>71</v>
      </c>
      <c r="B18" s="57" t="s">
        <v>70</v>
      </c>
      <c r="C18" s="52" t="s">
        <v>625</v>
      </c>
      <c r="D18" s="53" t="s">
        <v>54</v>
      </c>
      <c r="E18" s="43">
        <v>2018</v>
      </c>
      <c r="F18" s="46" t="s">
        <v>25</v>
      </c>
      <c r="G18" s="46" t="str">
        <f>VLOOKUP(F18,Tables!D$9:E$17,2,FALSE)</f>
        <v>PTR</v>
      </c>
      <c r="H18" s="66">
        <v>17099438</v>
      </c>
      <c r="I18" s="33">
        <f>S18-R18</f>
        <v>824</v>
      </c>
      <c r="J18" s="33">
        <f>U18-T18</f>
        <v>0</v>
      </c>
      <c r="K18" s="54">
        <f>I18*$P18</f>
        <v>21.588799999999999</v>
      </c>
      <c r="L18" s="54">
        <f>J18*$Q18</f>
        <v>0</v>
      </c>
      <c r="M18" s="62">
        <f>K18+L18</f>
        <v>21.588799999999999</v>
      </c>
      <c r="N18" s="53" t="s">
        <v>262</v>
      </c>
      <c r="O18" s="53" t="s">
        <v>263</v>
      </c>
      <c r="P18" s="71">
        <f>IF(G18="MFP",Tables!B$2,Tables!B$5)</f>
        <v>2.6200000000000001E-2</v>
      </c>
      <c r="Q18" s="72">
        <f>IF(G18="MFP",Tables!B$3,Tables!B$6)</f>
        <v>0.11799999999999999</v>
      </c>
      <c r="R18" s="73">
        <v>0</v>
      </c>
      <c r="S18" s="73">
        <v>824</v>
      </c>
      <c r="T18" s="73">
        <v>0</v>
      </c>
      <c r="U18" s="73">
        <v>0</v>
      </c>
    </row>
    <row r="19" spans="1:28" s="56" customFormat="1" outlineLevel="1" x14ac:dyDescent="0.25">
      <c r="A19" s="31"/>
      <c r="B19" s="32" t="s">
        <v>713</v>
      </c>
      <c r="C19" s="52"/>
      <c r="D19" s="53"/>
      <c r="E19" s="43"/>
      <c r="F19" s="46"/>
      <c r="G19" s="46"/>
      <c r="H19" s="66"/>
      <c r="I19" s="33"/>
      <c r="J19" s="33"/>
      <c r="K19" s="54"/>
      <c r="L19" s="54"/>
      <c r="M19" s="62">
        <f>SUBTOTAL(9,M17:M18)</f>
        <v>29.6846</v>
      </c>
      <c r="N19" s="53"/>
      <c r="O19" s="53"/>
      <c r="P19" s="71"/>
      <c r="Q19" s="72"/>
      <c r="R19" s="73"/>
      <c r="S19" s="73"/>
      <c r="T19" s="73"/>
      <c r="U19" s="73"/>
    </row>
    <row r="20" spans="1:28" s="30" customFormat="1" ht="24" outlineLevel="2" x14ac:dyDescent="0.25">
      <c r="A20" s="31" t="s">
        <v>60</v>
      </c>
      <c r="B20" s="57" t="s">
        <v>59</v>
      </c>
      <c r="C20" s="52" t="s">
        <v>626</v>
      </c>
      <c r="D20" s="53" t="s">
        <v>54</v>
      </c>
      <c r="E20" s="43">
        <v>2022</v>
      </c>
      <c r="F20" s="46" t="s">
        <v>31</v>
      </c>
      <c r="G20" s="46" t="str">
        <f>VLOOKUP(F20,Tables!D$9:E$17,2,FALSE)</f>
        <v>MFP</v>
      </c>
      <c r="H20" s="66">
        <v>17099434</v>
      </c>
      <c r="I20" s="33">
        <f>S20-R20</f>
        <v>41179</v>
      </c>
      <c r="J20" s="33">
        <f>U20-T20</f>
        <v>2092</v>
      </c>
      <c r="K20" s="54">
        <f>I20*$P20</f>
        <v>852.40530000000001</v>
      </c>
      <c r="L20" s="54">
        <f>J20*$Q20</f>
        <v>182.00399999999999</v>
      </c>
      <c r="M20" s="62">
        <f>K20+L20</f>
        <v>1034.4093</v>
      </c>
      <c r="N20" s="53" t="s">
        <v>478</v>
      </c>
      <c r="O20" s="53" t="s">
        <v>479</v>
      </c>
      <c r="P20" s="71">
        <f>IF(G20="MFP",Tables!B$2,Tables!B$5)</f>
        <v>2.07E-2</v>
      </c>
      <c r="Q20" s="72">
        <f>IF(G20="MFP",Tables!B$3,Tables!B$6)</f>
        <v>8.6999999999999994E-2</v>
      </c>
      <c r="R20" s="73">
        <v>0</v>
      </c>
      <c r="S20" s="73">
        <v>41179</v>
      </c>
      <c r="T20" s="73">
        <v>0</v>
      </c>
      <c r="U20" s="73">
        <v>2092</v>
      </c>
    </row>
    <row r="21" spans="1:28" s="30" customFormat="1" ht="24" outlineLevel="2" x14ac:dyDescent="0.25">
      <c r="A21" s="31" t="s">
        <v>60</v>
      </c>
      <c r="B21" s="57" t="s">
        <v>59</v>
      </c>
      <c r="C21" s="52" t="s">
        <v>626</v>
      </c>
      <c r="D21" s="53" t="s">
        <v>54</v>
      </c>
      <c r="E21" s="43">
        <v>2023</v>
      </c>
      <c r="F21" s="46" t="s">
        <v>25</v>
      </c>
      <c r="G21" s="46" t="str">
        <f>VLOOKUP(F21,Tables!D$9:E$17,2,FALSE)</f>
        <v>PTR</v>
      </c>
      <c r="H21" s="66">
        <v>17099435</v>
      </c>
      <c r="I21" s="33">
        <f>S21-R21</f>
        <v>214</v>
      </c>
      <c r="J21" s="33">
        <f>U21-T21</f>
        <v>0</v>
      </c>
      <c r="K21" s="54">
        <f>I21*$P21</f>
        <v>5.6067999999999998</v>
      </c>
      <c r="L21" s="54">
        <f>J21*$Q21</f>
        <v>0</v>
      </c>
      <c r="M21" s="62">
        <f>K21+L21</f>
        <v>5.6067999999999998</v>
      </c>
      <c r="N21" s="53" t="s">
        <v>238</v>
      </c>
      <c r="O21" s="53" t="s">
        <v>239</v>
      </c>
      <c r="P21" s="71">
        <f>IF(G21="MFP",Tables!B$2,Tables!B$5)</f>
        <v>2.6200000000000001E-2</v>
      </c>
      <c r="Q21" s="72">
        <f>IF(G21="MFP",Tables!B$3,Tables!B$6)</f>
        <v>0.11799999999999999</v>
      </c>
      <c r="R21" s="73">
        <v>0</v>
      </c>
      <c r="S21" s="73">
        <v>214</v>
      </c>
      <c r="T21" s="73">
        <v>0</v>
      </c>
      <c r="U21" s="73">
        <v>0</v>
      </c>
    </row>
    <row r="22" spans="1:28" s="30" customFormat="1" ht="24" outlineLevel="2" x14ac:dyDescent="0.25">
      <c r="A22" s="31" t="s">
        <v>60</v>
      </c>
      <c r="B22" s="57" t="s">
        <v>59</v>
      </c>
      <c r="C22" s="52" t="s">
        <v>626</v>
      </c>
      <c r="D22" s="53" t="s">
        <v>54</v>
      </c>
      <c r="E22" s="43">
        <v>2029</v>
      </c>
      <c r="F22" s="46" t="s">
        <v>25</v>
      </c>
      <c r="G22" s="46" t="str">
        <f>VLOOKUP(F22,Tables!D$9:E$17,2,FALSE)</f>
        <v>PTR</v>
      </c>
      <c r="H22" s="66">
        <v>17099446</v>
      </c>
      <c r="I22" s="33">
        <f>S22-R22</f>
        <v>149</v>
      </c>
      <c r="J22" s="33">
        <f>U22-T22</f>
        <v>0</v>
      </c>
      <c r="K22" s="54">
        <f>I22*$P22</f>
        <v>3.9038000000000004</v>
      </c>
      <c r="L22" s="54">
        <f>J22*$Q22</f>
        <v>0</v>
      </c>
      <c r="M22" s="62">
        <f>K22+L22</f>
        <v>3.9038000000000004</v>
      </c>
      <c r="N22" s="53" t="s">
        <v>68</v>
      </c>
      <c r="O22" s="53" t="s">
        <v>69</v>
      </c>
      <c r="P22" s="71">
        <f>IF(G22="MFP",Tables!B$2,Tables!B$5)</f>
        <v>2.6200000000000001E-2</v>
      </c>
      <c r="Q22" s="72">
        <f>IF(G22="MFP",Tables!B$3,Tables!B$6)</f>
        <v>0.11799999999999999</v>
      </c>
      <c r="R22" s="73">
        <v>0</v>
      </c>
      <c r="S22" s="73">
        <v>149</v>
      </c>
      <c r="T22" s="73">
        <v>0</v>
      </c>
      <c r="U22" s="73">
        <v>0</v>
      </c>
    </row>
    <row r="23" spans="1:28" s="30" customFormat="1" ht="24" outlineLevel="2" x14ac:dyDescent="0.25">
      <c r="A23" s="31" t="s">
        <v>60</v>
      </c>
      <c r="B23" s="57" t="s">
        <v>59</v>
      </c>
      <c r="C23" s="52" t="s">
        <v>626</v>
      </c>
      <c r="D23" s="53" t="s">
        <v>54</v>
      </c>
      <c r="E23" s="43">
        <v>2053</v>
      </c>
      <c r="F23" s="46" t="s">
        <v>25</v>
      </c>
      <c r="G23" s="46" t="str">
        <f>VLOOKUP(F23,Tables!D$9:E$17,2,FALSE)</f>
        <v>PTR</v>
      </c>
      <c r="H23" s="66">
        <v>17099437</v>
      </c>
      <c r="I23" s="33">
        <f>S23-R23</f>
        <v>400</v>
      </c>
      <c r="J23" s="33">
        <f>U23-T23</f>
        <v>0</v>
      </c>
      <c r="K23" s="54">
        <f>I23*$P23</f>
        <v>10.48</v>
      </c>
      <c r="L23" s="54">
        <f>J23*$Q23</f>
        <v>0</v>
      </c>
      <c r="M23" s="62">
        <f>K23+L23</f>
        <v>10.48</v>
      </c>
      <c r="N23" s="53" t="s">
        <v>210</v>
      </c>
      <c r="O23" s="53" t="s">
        <v>211</v>
      </c>
      <c r="P23" s="71">
        <f>IF(G23="MFP",Tables!B$2,Tables!B$5)</f>
        <v>2.6200000000000001E-2</v>
      </c>
      <c r="Q23" s="72">
        <f>IF(G23="MFP",Tables!B$3,Tables!B$6)</f>
        <v>0.11799999999999999</v>
      </c>
      <c r="R23" s="73">
        <v>0</v>
      </c>
      <c r="S23" s="73">
        <v>400</v>
      </c>
      <c r="T23" s="73">
        <v>0</v>
      </c>
      <c r="U23" s="73">
        <v>0</v>
      </c>
    </row>
    <row r="24" spans="1:28" s="30" customFormat="1" ht="24" outlineLevel="2" x14ac:dyDescent="0.25">
      <c r="A24" s="31" t="s">
        <v>60</v>
      </c>
      <c r="B24" s="57" t="s">
        <v>59</v>
      </c>
      <c r="C24" s="52" t="s">
        <v>626</v>
      </c>
      <c r="D24" s="53" t="s">
        <v>54</v>
      </c>
      <c r="E24" s="43">
        <v>2056</v>
      </c>
      <c r="F24" s="46" t="s">
        <v>25</v>
      </c>
      <c r="G24" s="46" t="str">
        <f>VLOOKUP(F24,Tables!D$9:E$17,2,FALSE)</f>
        <v>PTR</v>
      </c>
      <c r="H24" s="66">
        <v>17099436</v>
      </c>
      <c r="I24" s="33">
        <f>S24-R24</f>
        <v>798</v>
      </c>
      <c r="J24" s="33">
        <f>U24-T24</f>
        <v>0</v>
      </c>
      <c r="K24" s="54">
        <f>I24*$P24</f>
        <v>20.907600000000002</v>
      </c>
      <c r="L24" s="54">
        <f>J24*$Q24</f>
        <v>0</v>
      </c>
      <c r="M24" s="62">
        <f>K24+L24</f>
        <v>20.907600000000002</v>
      </c>
      <c r="N24" s="53" t="s">
        <v>180</v>
      </c>
      <c r="O24" s="53" t="s">
        <v>181</v>
      </c>
      <c r="P24" s="71">
        <f>IF(G24="MFP",Tables!B$2,Tables!B$5)</f>
        <v>2.6200000000000001E-2</v>
      </c>
      <c r="Q24" s="72">
        <f>IF(G24="MFP",Tables!B$3,Tables!B$6)</f>
        <v>0.11799999999999999</v>
      </c>
      <c r="R24" s="73">
        <v>0</v>
      </c>
      <c r="S24" s="73">
        <v>798</v>
      </c>
      <c r="T24" s="73">
        <v>0</v>
      </c>
      <c r="U24" s="73">
        <v>0</v>
      </c>
    </row>
    <row r="25" spans="1:28" s="30" customFormat="1" ht="24" outlineLevel="2" x14ac:dyDescent="0.25">
      <c r="A25" s="31" t="s">
        <v>60</v>
      </c>
      <c r="B25" s="57" t="s">
        <v>59</v>
      </c>
      <c r="C25" s="52" t="s">
        <v>626</v>
      </c>
      <c r="D25" s="53" t="s">
        <v>54</v>
      </c>
      <c r="E25" s="43">
        <v>2057</v>
      </c>
      <c r="F25" s="46" t="s">
        <v>25</v>
      </c>
      <c r="G25" s="46" t="str">
        <f>VLOOKUP(F25,Tables!D$9:E$17,2,FALSE)</f>
        <v>PTR</v>
      </c>
      <c r="H25" s="66">
        <v>17099444</v>
      </c>
      <c r="I25" s="33">
        <f>S25-R25</f>
        <v>1043</v>
      </c>
      <c r="J25" s="33">
        <f>U25-T25</f>
        <v>0</v>
      </c>
      <c r="K25" s="54">
        <f>I25*$P25</f>
        <v>27.326600000000003</v>
      </c>
      <c r="L25" s="54">
        <f>J25*$Q25</f>
        <v>0</v>
      </c>
      <c r="M25" s="62">
        <f>K25+L25</f>
        <v>27.326600000000003</v>
      </c>
      <c r="N25" s="53" t="s">
        <v>61</v>
      </c>
      <c r="O25" s="53" t="s">
        <v>62</v>
      </c>
      <c r="P25" s="71">
        <f>IF(G25="MFP",Tables!B$2,Tables!B$5)</f>
        <v>2.6200000000000001E-2</v>
      </c>
      <c r="Q25" s="72">
        <f>IF(G25="MFP",Tables!B$3,Tables!B$6)</f>
        <v>0.11799999999999999</v>
      </c>
      <c r="R25" s="73">
        <v>0</v>
      </c>
      <c r="S25" s="73">
        <v>1043</v>
      </c>
      <c r="T25" s="73">
        <v>0</v>
      </c>
      <c r="U25" s="73">
        <v>0</v>
      </c>
    </row>
    <row r="26" spans="1:28" s="30" customFormat="1" ht="24" outlineLevel="2" x14ac:dyDescent="0.25">
      <c r="A26" s="31" t="s">
        <v>60</v>
      </c>
      <c r="B26" s="57" t="s">
        <v>59</v>
      </c>
      <c r="C26" s="52" t="s">
        <v>626</v>
      </c>
      <c r="D26" s="53" t="s">
        <v>54</v>
      </c>
      <c r="E26" s="43">
        <v>2060</v>
      </c>
      <c r="F26" s="46" t="s">
        <v>25</v>
      </c>
      <c r="G26" s="46" t="str">
        <f>VLOOKUP(F26,Tables!D$9:E$17,2,FALSE)</f>
        <v>PTR</v>
      </c>
      <c r="H26" s="66">
        <v>17099430</v>
      </c>
      <c r="I26" s="33">
        <f>S26-R26</f>
        <v>118</v>
      </c>
      <c r="J26" s="33">
        <f>U26-T26</f>
        <v>0</v>
      </c>
      <c r="K26" s="54">
        <f>I26*$P26</f>
        <v>3.0916000000000001</v>
      </c>
      <c r="L26" s="54">
        <f>J26*$Q26</f>
        <v>0</v>
      </c>
      <c r="M26" s="62">
        <f>K26+L26</f>
        <v>3.0916000000000001</v>
      </c>
      <c r="N26" s="53" t="s">
        <v>184</v>
      </c>
      <c r="O26" s="53" t="s">
        <v>185</v>
      </c>
      <c r="P26" s="71">
        <f>IF(G26="MFP",Tables!B$2,Tables!B$5)</f>
        <v>2.6200000000000001E-2</v>
      </c>
      <c r="Q26" s="72">
        <f>IF(G26="MFP",Tables!B$3,Tables!B$6)</f>
        <v>0.11799999999999999</v>
      </c>
      <c r="R26" s="73">
        <v>0</v>
      </c>
      <c r="S26" s="73">
        <v>118</v>
      </c>
      <c r="T26" s="73">
        <v>0</v>
      </c>
      <c r="U26" s="73">
        <v>0</v>
      </c>
      <c r="V26" s="56"/>
      <c r="W26" s="56"/>
      <c r="X26" s="56"/>
      <c r="Y26" s="56"/>
      <c r="Z26" s="56"/>
      <c r="AA26" s="56"/>
      <c r="AB26" s="56"/>
    </row>
    <row r="27" spans="1:28" s="30" customFormat="1" ht="24" outlineLevel="2" x14ac:dyDescent="0.25">
      <c r="A27" s="31" t="s">
        <v>60</v>
      </c>
      <c r="B27" s="57" t="s">
        <v>59</v>
      </c>
      <c r="C27" s="52" t="s">
        <v>626</v>
      </c>
      <c r="D27" s="53" t="s">
        <v>54</v>
      </c>
      <c r="E27" s="43">
        <v>2061</v>
      </c>
      <c r="F27" s="46" t="s">
        <v>25</v>
      </c>
      <c r="G27" s="46" t="str">
        <f>VLOOKUP(F27,Tables!D$9:E$17,2,FALSE)</f>
        <v>PTR</v>
      </c>
      <c r="H27" s="66">
        <v>17099442</v>
      </c>
      <c r="I27" s="33">
        <f>S27-R27</f>
        <v>263</v>
      </c>
      <c r="J27" s="33">
        <f>U27-T27</f>
        <v>0</v>
      </c>
      <c r="K27" s="54">
        <f>I27*$P27</f>
        <v>6.8906000000000001</v>
      </c>
      <c r="L27" s="54">
        <f>J27*$Q27</f>
        <v>0</v>
      </c>
      <c r="M27" s="62">
        <f>K27+L27</f>
        <v>6.8906000000000001</v>
      </c>
      <c r="N27" s="53" t="s">
        <v>171</v>
      </c>
      <c r="O27" s="53" t="s">
        <v>172</v>
      </c>
      <c r="P27" s="71">
        <f>IF(G27="MFP",Tables!B$2,Tables!B$5)</f>
        <v>2.6200000000000001E-2</v>
      </c>
      <c r="Q27" s="72">
        <f>IF(G27="MFP",Tables!B$3,Tables!B$6)</f>
        <v>0.11799999999999999</v>
      </c>
      <c r="R27" s="73">
        <v>0</v>
      </c>
      <c r="S27" s="73">
        <v>263</v>
      </c>
      <c r="T27" s="73">
        <v>0</v>
      </c>
      <c r="U27" s="73">
        <v>0</v>
      </c>
    </row>
    <row r="28" spans="1:28" s="30" customFormat="1" ht="24" outlineLevel="2" x14ac:dyDescent="0.25">
      <c r="A28" s="31" t="s">
        <v>60</v>
      </c>
      <c r="B28" s="57" t="s">
        <v>59</v>
      </c>
      <c r="C28" s="52" t="s">
        <v>626</v>
      </c>
      <c r="D28" s="53" t="s">
        <v>54</v>
      </c>
      <c r="E28" s="43">
        <v>2063</v>
      </c>
      <c r="F28" s="46" t="s">
        <v>25</v>
      </c>
      <c r="G28" s="46" t="str">
        <f>VLOOKUP(F28,Tables!D$9:E$17,2,FALSE)</f>
        <v>PTR</v>
      </c>
      <c r="H28" s="66">
        <v>17099427</v>
      </c>
      <c r="I28" s="33">
        <f>S28-R28</f>
        <v>563</v>
      </c>
      <c r="J28" s="33">
        <f>U28-T28</f>
        <v>0</v>
      </c>
      <c r="K28" s="54">
        <f>I28*$P28</f>
        <v>14.7506</v>
      </c>
      <c r="L28" s="54">
        <f>J28*$Q28</f>
        <v>0</v>
      </c>
      <c r="M28" s="62">
        <f>K28+L28</f>
        <v>14.7506</v>
      </c>
      <c r="N28" s="53" t="s">
        <v>308</v>
      </c>
      <c r="O28" s="53" t="s">
        <v>309</v>
      </c>
      <c r="P28" s="71">
        <f>IF(G28="MFP",Tables!B$2,Tables!B$5)</f>
        <v>2.6200000000000001E-2</v>
      </c>
      <c r="Q28" s="72">
        <f>IF(G28="MFP",Tables!B$3,Tables!B$6)</f>
        <v>0.11799999999999999</v>
      </c>
      <c r="R28" s="73">
        <v>0</v>
      </c>
      <c r="S28" s="73">
        <v>563</v>
      </c>
      <c r="T28" s="73">
        <v>0</v>
      </c>
      <c r="U28" s="73">
        <v>0</v>
      </c>
    </row>
    <row r="29" spans="1:28" s="30" customFormat="1" ht="24" outlineLevel="2" x14ac:dyDescent="0.25">
      <c r="A29" s="31" t="s">
        <v>60</v>
      </c>
      <c r="B29" s="57" t="s">
        <v>59</v>
      </c>
      <c r="C29" s="52" t="s">
        <v>626</v>
      </c>
      <c r="D29" s="53" t="s">
        <v>54</v>
      </c>
      <c r="E29" s="43">
        <v>2064</v>
      </c>
      <c r="F29" s="46" t="s">
        <v>25</v>
      </c>
      <c r="G29" s="46" t="str">
        <f>VLOOKUP(F29,Tables!D$9:E$17,2,FALSE)</f>
        <v>PTR</v>
      </c>
      <c r="H29" s="66">
        <v>17099439</v>
      </c>
      <c r="I29" s="33">
        <f>S29-R29</f>
        <v>446</v>
      </c>
      <c r="J29" s="33">
        <f>U29-T29</f>
        <v>0</v>
      </c>
      <c r="K29" s="54">
        <f>I29*$P29</f>
        <v>11.6852</v>
      </c>
      <c r="L29" s="54">
        <f>J29*$Q29</f>
        <v>0</v>
      </c>
      <c r="M29" s="62">
        <f>K29+L29</f>
        <v>11.6852</v>
      </c>
      <c r="N29" s="53" t="s">
        <v>472</v>
      </c>
      <c r="O29" s="53" t="s">
        <v>473</v>
      </c>
      <c r="P29" s="71">
        <f>IF(G29="MFP",Tables!B$2,Tables!B$5)</f>
        <v>2.6200000000000001E-2</v>
      </c>
      <c r="Q29" s="72">
        <f>IF(G29="MFP",Tables!B$3,Tables!B$6)</f>
        <v>0.11799999999999999</v>
      </c>
      <c r="R29" s="73">
        <v>0</v>
      </c>
      <c r="S29" s="73">
        <v>446</v>
      </c>
      <c r="T29" s="73">
        <v>0</v>
      </c>
      <c r="U29" s="73">
        <v>0</v>
      </c>
    </row>
    <row r="30" spans="1:28" s="30" customFormat="1" ht="24" outlineLevel="2" x14ac:dyDescent="0.25">
      <c r="A30" s="31" t="s">
        <v>60</v>
      </c>
      <c r="B30" s="57" t="s">
        <v>59</v>
      </c>
      <c r="C30" s="52" t="s">
        <v>626</v>
      </c>
      <c r="D30" s="53" t="s">
        <v>54</v>
      </c>
      <c r="E30" s="43">
        <v>2066</v>
      </c>
      <c r="F30" s="46" t="s">
        <v>25</v>
      </c>
      <c r="G30" s="46" t="str">
        <f>VLOOKUP(F30,Tables!D$9:E$17,2,FALSE)</f>
        <v>PTR</v>
      </c>
      <c r="H30" s="66">
        <v>17099426</v>
      </c>
      <c r="I30" s="33">
        <f>S30-R30</f>
        <v>139</v>
      </c>
      <c r="J30" s="33">
        <f>U30-T30</f>
        <v>0</v>
      </c>
      <c r="K30" s="54">
        <f>I30*$P30</f>
        <v>3.6417999999999999</v>
      </c>
      <c r="L30" s="54">
        <f>J30*$Q30</f>
        <v>0</v>
      </c>
      <c r="M30" s="62">
        <f>K30+L30</f>
        <v>3.6417999999999999</v>
      </c>
      <c r="N30" s="53" t="s">
        <v>182</v>
      </c>
      <c r="O30" s="53" t="s">
        <v>183</v>
      </c>
      <c r="P30" s="71">
        <f>IF(G30="MFP",Tables!B$2,Tables!B$5)</f>
        <v>2.6200000000000001E-2</v>
      </c>
      <c r="Q30" s="72">
        <f>IF(G30="MFP",Tables!B$3,Tables!B$6)</f>
        <v>0.11799999999999999</v>
      </c>
      <c r="R30" s="73">
        <v>0</v>
      </c>
      <c r="S30" s="73">
        <v>139</v>
      </c>
      <c r="T30" s="73">
        <v>0</v>
      </c>
      <c r="U30" s="73">
        <v>0</v>
      </c>
    </row>
    <row r="31" spans="1:28" s="30" customFormat="1" ht="24" outlineLevel="2" x14ac:dyDescent="0.25">
      <c r="A31" s="31" t="s">
        <v>60</v>
      </c>
      <c r="B31" s="57" t="s">
        <v>59</v>
      </c>
      <c r="C31" s="52" t="s">
        <v>626</v>
      </c>
      <c r="D31" s="53" t="s">
        <v>54</v>
      </c>
      <c r="E31" s="43">
        <v>2067</v>
      </c>
      <c r="F31" s="46" t="s">
        <v>25</v>
      </c>
      <c r="G31" s="46" t="str">
        <f>VLOOKUP(F31,Tables!D$9:E$17,2,FALSE)</f>
        <v>PTR</v>
      </c>
      <c r="H31" s="66">
        <v>17099425</v>
      </c>
      <c r="I31" s="33">
        <f>S31-R31</f>
        <v>436</v>
      </c>
      <c r="J31" s="33">
        <f>U31-T31</f>
        <v>0</v>
      </c>
      <c r="K31" s="54">
        <f>I31*$P31</f>
        <v>11.423200000000001</v>
      </c>
      <c r="L31" s="54">
        <f>J31*$Q31</f>
        <v>0</v>
      </c>
      <c r="M31" s="62">
        <f>K31+L31</f>
        <v>11.423200000000001</v>
      </c>
      <c r="N31" s="53" t="s">
        <v>74</v>
      </c>
      <c r="O31" s="53" t="s">
        <v>75</v>
      </c>
      <c r="P31" s="71">
        <f>IF(G31="MFP",Tables!B$2,Tables!B$5)</f>
        <v>2.6200000000000001E-2</v>
      </c>
      <c r="Q31" s="72">
        <f>IF(G31="MFP",Tables!B$3,Tables!B$6)</f>
        <v>0.11799999999999999</v>
      </c>
      <c r="R31" s="73">
        <v>0</v>
      </c>
      <c r="S31" s="73">
        <v>436</v>
      </c>
      <c r="T31" s="73">
        <v>0</v>
      </c>
      <c r="U31" s="73">
        <v>0</v>
      </c>
    </row>
    <row r="32" spans="1:28" s="30" customFormat="1" ht="24" outlineLevel="2" x14ac:dyDescent="0.25">
      <c r="A32" s="31" t="s">
        <v>60</v>
      </c>
      <c r="B32" s="57" t="s">
        <v>59</v>
      </c>
      <c r="C32" s="52" t="s">
        <v>626</v>
      </c>
      <c r="D32" s="53" t="s">
        <v>54</v>
      </c>
      <c r="E32" s="43">
        <v>2070</v>
      </c>
      <c r="F32" s="46" t="s">
        <v>25</v>
      </c>
      <c r="G32" s="46" t="str">
        <f>VLOOKUP(F32,Tables!D$9:E$17,2,FALSE)</f>
        <v>PTR</v>
      </c>
      <c r="H32" s="66">
        <v>17099428</v>
      </c>
      <c r="I32" s="33">
        <f>S32-R32</f>
        <v>592</v>
      </c>
      <c r="J32" s="33">
        <f>U32-T32</f>
        <v>0</v>
      </c>
      <c r="K32" s="54">
        <f>I32*$P32</f>
        <v>15.510400000000001</v>
      </c>
      <c r="L32" s="54">
        <f>J32*$Q32</f>
        <v>0</v>
      </c>
      <c r="M32" s="62">
        <f>K32+L32</f>
        <v>15.510400000000001</v>
      </c>
      <c r="N32" s="53" t="s">
        <v>196</v>
      </c>
      <c r="O32" s="53" t="s">
        <v>197</v>
      </c>
      <c r="P32" s="71">
        <f>IF(G32="MFP",Tables!B$2,Tables!B$5)</f>
        <v>2.6200000000000001E-2</v>
      </c>
      <c r="Q32" s="72">
        <f>IF(G32="MFP",Tables!B$3,Tables!B$6)</f>
        <v>0.11799999999999999</v>
      </c>
      <c r="R32" s="73">
        <v>0</v>
      </c>
      <c r="S32" s="73">
        <v>592</v>
      </c>
      <c r="T32" s="73">
        <v>0</v>
      </c>
      <c r="U32" s="73">
        <v>0</v>
      </c>
    </row>
    <row r="33" spans="1:28" s="56" customFormat="1" outlineLevel="1" x14ac:dyDescent="0.25">
      <c r="A33" s="31"/>
      <c r="B33" s="32" t="s">
        <v>715</v>
      </c>
      <c r="C33" s="52"/>
      <c r="D33" s="53"/>
      <c r="E33" s="43"/>
      <c r="F33" s="46"/>
      <c r="G33" s="46"/>
      <c r="H33" s="66"/>
      <c r="I33" s="33"/>
      <c r="J33" s="33"/>
      <c r="K33" s="54"/>
      <c r="L33" s="54"/>
      <c r="M33" s="62">
        <f>SUBTOTAL(9,M20:M32)</f>
        <v>1169.6275000000001</v>
      </c>
      <c r="N33" s="53"/>
      <c r="O33" s="53"/>
      <c r="P33" s="71"/>
      <c r="Q33" s="72"/>
      <c r="R33" s="73"/>
      <c r="S33" s="73"/>
      <c r="T33" s="73"/>
      <c r="U33" s="73"/>
    </row>
    <row r="34" spans="1:28" s="30" customFormat="1" ht="30" outlineLevel="2" x14ac:dyDescent="0.25">
      <c r="A34" s="146" t="s">
        <v>797</v>
      </c>
      <c r="B34" s="146" t="s">
        <v>816</v>
      </c>
      <c r="C34" s="147" t="s">
        <v>797</v>
      </c>
      <c r="D34" s="134" t="s">
        <v>538</v>
      </c>
      <c r="E34" s="135">
        <v>116</v>
      </c>
      <c r="F34" s="136" t="s">
        <v>84</v>
      </c>
      <c r="G34" s="136" t="str">
        <f>VLOOKUP(F34,Tables!D$9:E$17,2,FALSE)</f>
        <v>MFP</v>
      </c>
      <c r="H34" s="137">
        <v>17099531</v>
      </c>
      <c r="I34" s="138">
        <f>S34-R34</f>
        <v>2029</v>
      </c>
      <c r="J34" s="138">
        <f>U34-T34</f>
        <v>0</v>
      </c>
      <c r="K34" s="139">
        <f>I34*$P34</f>
        <v>42.000299999999996</v>
      </c>
      <c r="L34" s="139">
        <f>J34*$Q34</f>
        <v>0</v>
      </c>
      <c r="M34" s="140">
        <f>K34+L34</f>
        <v>42.000299999999996</v>
      </c>
      <c r="N34" s="134" t="s">
        <v>613</v>
      </c>
      <c r="O34" s="134" t="s">
        <v>614</v>
      </c>
      <c r="P34" s="141">
        <f>IF(G34="MFP",Tables!B$2,Tables!B$5)</f>
        <v>2.07E-2</v>
      </c>
      <c r="Q34" s="142">
        <f>IF(G34="MFP",Tables!B$3,Tables!B$6)</f>
        <v>8.6999999999999994E-2</v>
      </c>
      <c r="R34" s="143">
        <v>0</v>
      </c>
      <c r="S34" s="143">
        <v>2029</v>
      </c>
      <c r="T34" s="143">
        <v>0</v>
      </c>
      <c r="U34" s="143">
        <v>0</v>
      </c>
      <c r="V34" s="144"/>
      <c r="W34" s="144"/>
      <c r="X34" s="144"/>
      <c r="Y34" s="144"/>
      <c r="Z34" s="144"/>
      <c r="AA34" s="144"/>
      <c r="AB34" s="144"/>
    </row>
    <row r="35" spans="1:28" s="56" customFormat="1" outlineLevel="1" x14ac:dyDescent="0.25">
      <c r="A35" s="146"/>
      <c r="B35" s="151" t="s">
        <v>826</v>
      </c>
      <c r="C35" s="147"/>
      <c r="D35" s="134"/>
      <c r="E35" s="135"/>
      <c r="F35" s="136"/>
      <c r="G35" s="136"/>
      <c r="H35" s="137"/>
      <c r="I35" s="138"/>
      <c r="J35" s="138"/>
      <c r="K35" s="139"/>
      <c r="L35" s="139"/>
      <c r="M35" s="140">
        <f>SUBTOTAL(9,M34:M34)</f>
        <v>42.000299999999996</v>
      </c>
      <c r="N35" s="134"/>
      <c r="O35" s="134"/>
      <c r="P35" s="141"/>
      <c r="Q35" s="142"/>
      <c r="R35" s="143"/>
      <c r="S35" s="143"/>
      <c r="T35" s="143"/>
      <c r="U35" s="143"/>
      <c r="V35" s="144"/>
      <c r="W35" s="144"/>
      <c r="X35" s="144"/>
      <c r="Y35" s="144"/>
      <c r="Z35" s="144"/>
      <c r="AA35" s="144"/>
      <c r="AB35" s="144"/>
    </row>
    <row r="36" spans="1:28" s="30" customFormat="1" ht="24" outlineLevel="2" x14ac:dyDescent="0.25">
      <c r="A36" s="31" t="s">
        <v>251</v>
      </c>
      <c r="B36" s="57" t="s">
        <v>684</v>
      </c>
      <c r="C36" s="52" t="s">
        <v>695</v>
      </c>
      <c r="D36" s="53" t="s">
        <v>146</v>
      </c>
      <c r="E36" s="43">
        <v>235</v>
      </c>
      <c r="F36" s="46" t="s">
        <v>383</v>
      </c>
      <c r="G36" s="46" t="str">
        <f>VLOOKUP(F36,Tables!D$9:E$17,2,FALSE)</f>
        <v>MFP</v>
      </c>
      <c r="H36" s="66">
        <v>17099490</v>
      </c>
      <c r="I36" s="33">
        <f>S36-R36</f>
        <v>15315</v>
      </c>
      <c r="J36" s="33">
        <f>U36-T36</f>
        <v>2952</v>
      </c>
      <c r="K36" s="54">
        <f>I36*$P36</f>
        <v>317.02049999999997</v>
      </c>
      <c r="L36" s="54">
        <f>J36*$Q36</f>
        <v>256.82399999999996</v>
      </c>
      <c r="M36" s="62">
        <f>K36+L36</f>
        <v>573.84449999999993</v>
      </c>
      <c r="N36" s="53" t="s">
        <v>386</v>
      </c>
      <c r="O36" s="53" t="s">
        <v>387</v>
      </c>
      <c r="P36" s="71">
        <f>IF(G36="MFP",Tables!B$2,Tables!B$5)</f>
        <v>2.07E-2</v>
      </c>
      <c r="Q36" s="72">
        <f>IF(G36="MFP",Tables!B$3,Tables!B$6)</f>
        <v>8.6999999999999994E-2</v>
      </c>
      <c r="R36" s="73">
        <v>0</v>
      </c>
      <c r="S36" s="73">
        <v>15315</v>
      </c>
      <c r="T36" s="73">
        <v>0</v>
      </c>
      <c r="U36" s="73">
        <v>2952</v>
      </c>
    </row>
    <row r="37" spans="1:28" s="30" customFormat="1" ht="24" outlineLevel="2" x14ac:dyDescent="0.25">
      <c r="A37" s="31" t="s">
        <v>251</v>
      </c>
      <c r="B37" s="57" t="s">
        <v>684</v>
      </c>
      <c r="C37" s="52" t="s">
        <v>695</v>
      </c>
      <c r="D37" s="53" t="s">
        <v>146</v>
      </c>
      <c r="E37" s="43">
        <v>241</v>
      </c>
      <c r="F37" s="46" t="s">
        <v>25</v>
      </c>
      <c r="G37" s="46" t="str">
        <f>VLOOKUP(F37,Tables!D$9:E$17,2,FALSE)</f>
        <v>PTR</v>
      </c>
      <c r="H37" s="66">
        <v>17099552</v>
      </c>
      <c r="I37" s="33">
        <f>S37-R37</f>
        <v>1199</v>
      </c>
      <c r="J37" s="33">
        <f>U37-T37</f>
        <v>0</v>
      </c>
      <c r="K37" s="54">
        <f>I37*$P37</f>
        <v>31.413800000000002</v>
      </c>
      <c r="L37" s="54">
        <f>J37*$Q37</f>
        <v>0</v>
      </c>
      <c r="M37" s="62">
        <f>K37+L37</f>
        <v>31.413800000000002</v>
      </c>
      <c r="N37" s="53" t="s">
        <v>502</v>
      </c>
      <c r="O37" s="53" t="s">
        <v>503</v>
      </c>
      <c r="P37" s="71">
        <f>IF(G37="MFP",Tables!B$2,Tables!B$5)</f>
        <v>2.6200000000000001E-2</v>
      </c>
      <c r="Q37" s="72">
        <f>IF(G37="MFP",Tables!B$3,Tables!B$6)</f>
        <v>0.11799999999999999</v>
      </c>
      <c r="R37" s="73">
        <v>0</v>
      </c>
      <c r="S37" s="73">
        <v>1199</v>
      </c>
      <c r="T37" s="73">
        <v>0</v>
      </c>
      <c r="U37" s="73">
        <v>0</v>
      </c>
    </row>
    <row r="38" spans="1:28" s="30" customFormat="1" ht="24" outlineLevel="2" x14ac:dyDescent="0.25">
      <c r="A38" s="31" t="s">
        <v>251</v>
      </c>
      <c r="B38" s="57" t="s">
        <v>684</v>
      </c>
      <c r="C38" s="52" t="s">
        <v>695</v>
      </c>
      <c r="D38" s="53" t="s">
        <v>146</v>
      </c>
      <c r="E38" s="43">
        <v>242</v>
      </c>
      <c r="F38" s="46" t="s">
        <v>25</v>
      </c>
      <c r="G38" s="46" t="str">
        <f>VLOOKUP(F38,Tables!D$9:E$17,2,FALSE)</f>
        <v>PTR</v>
      </c>
      <c r="H38" s="66">
        <v>17099553</v>
      </c>
      <c r="I38" s="33">
        <f>S38-R38</f>
        <v>491</v>
      </c>
      <c r="J38" s="33">
        <f>U38-T38</f>
        <v>0</v>
      </c>
      <c r="K38" s="54">
        <f>I38*$P38</f>
        <v>12.8642</v>
      </c>
      <c r="L38" s="54">
        <f>J38*$Q38</f>
        <v>0</v>
      </c>
      <c r="M38" s="62">
        <f>K38+L38</f>
        <v>12.8642</v>
      </c>
      <c r="N38" s="53" t="s">
        <v>289</v>
      </c>
      <c r="O38" s="53" t="s">
        <v>290</v>
      </c>
      <c r="P38" s="71">
        <f>IF(G38="MFP",Tables!B$2,Tables!B$5)</f>
        <v>2.6200000000000001E-2</v>
      </c>
      <c r="Q38" s="72">
        <f>IF(G38="MFP",Tables!B$3,Tables!B$6)</f>
        <v>0.11799999999999999</v>
      </c>
      <c r="R38" s="73">
        <v>0</v>
      </c>
      <c r="S38" s="73">
        <v>491</v>
      </c>
      <c r="T38" s="73">
        <v>0</v>
      </c>
      <c r="U38" s="73">
        <v>0</v>
      </c>
    </row>
    <row r="39" spans="1:28" s="30" customFormat="1" ht="24" outlineLevel="2" x14ac:dyDescent="0.25">
      <c r="A39" s="31" t="s">
        <v>251</v>
      </c>
      <c r="B39" s="57" t="s">
        <v>684</v>
      </c>
      <c r="C39" s="52" t="s">
        <v>695</v>
      </c>
      <c r="D39" s="53" t="s">
        <v>146</v>
      </c>
      <c r="E39" s="43">
        <v>302</v>
      </c>
      <c r="F39" s="46" t="s">
        <v>18</v>
      </c>
      <c r="G39" s="46" t="str">
        <f>VLOOKUP(F39,Tables!D$9:E$17,2,FALSE)</f>
        <v>MFP</v>
      </c>
      <c r="H39" s="66">
        <v>17099722</v>
      </c>
      <c r="I39" s="33">
        <f>S39-R39</f>
        <v>3285</v>
      </c>
      <c r="J39" s="33">
        <f>U39-T39</f>
        <v>6416</v>
      </c>
      <c r="K39" s="54">
        <f>I39*$P39</f>
        <v>67.999499999999998</v>
      </c>
      <c r="L39" s="54">
        <f>J39*$Q39</f>
        <v>558.19200000000001</v>
      </c>
      <c r="M39" s="62">
        <f>K39+L39</f>
        <v>626.19150000000002</v>
      </c>
      <c r="N39" s="53" t="s">
        <v>359</v>
      </c>
      <c r="O39" s="53" t="s">
        <v>360</v>
      </c>
      <c r="P39" s="71">
        <f>IF(G39="MFP",Tables!B$2,Tables!B$5)</f>
        <v>2.07E-2</v>
      </c>
      <c r="Q39" s="72">
        <f>IF(G39="MFP",Tables!B$3,Tables!B$6)</f>
        <v>8.6999999999999994E-2</v>
      </c>
      <c r="R39" s="73">
        <v>0</v>
      </c>
      <c r="S39" s="73">
        <v>3285</v>
      </c>
      <c r="T39" s="73">
        <v>0</v>
      </c>
      <c r="U39" s="73">
        <v>6416</v>
      </c>
    </row>
    <row r="40" spans="1:28" s="30" customFormat="1" ht="24" outlineLevel="2" x14ac:dyDescent="0.25">
      <c r="A40" s="31" t="s">
        <v>251</v>
      </c>
      <c r="B40" s="57" t="s">
        <v>684</v>
      </c>
      <c r="C40" s="52" t="s">
        <v>695</v>
      </c>
      <c r="D40" s="53" t="s">
        <v>146</v>
      </c>
      <c r="E40" s="43">
        <v>312</v>
      </c>
      <c r="F40" s="46" t="s">
        <v>25</v>
      </c>
      <c r="G40" s="46" t="str">
        <f>VLOOKUP(F40,Tables!D$9:E$17,2,FALSE)</f>
        <v>PTR</v>
      </c>
      <c r="H40" s="66">
        <v>17099555</v>
      </c>
      <c r="I40" s="33">
        <f>S40-R40</f>
        <v>480</v>
      </c>
      <c r="J40" s="33">
        <f>U40-T40</f>
        <v>0</v>
      </c>
      <c r="K40" s="54">
        <f>I40*$P40</f>
        <v>12.576000000000001</v>
      </c>
      <c r="L40" s="54">
        <f>J40*$Q40</f>
        <v>0</v>
      </c>
      <c r="M40" s="62">
        <f>K40+L40</f>
        <v>12.576000000000001</v>
      </c>
      <c r="N40" s="53" t="s">
        <v>484</v>
      </c>
      <c r="O40" s="53" t="s">
        <v>485</v>
      </c>
      <c r="P40" s="71">
        <f>IF(G40="MFP",Tables!B$2,Tables!B$5)</f>
        <v>2.6200000000000001E-2</v>
      </c>
      <c r="Q40" s="72">
        <f>IF(G40="MFP",Tables!B$3,Tables!B$6)</f>
        <v>0.11799999999999999</v>
      </c>
      <c r="R40" s="73">
        <v>0</v>
      </c>
      <c r="S40" s="73">
        <v>480</v>
      </c>
      <c r="T40" s="73">
        <v>0</v>
      </c>
      <c r="U40" s="73">
        <v>0</v>
      </c>
    </row>
    <row r="41" spans="1:28" s="30" customFormat="1" ht="24" outlineLevel="2" x14ac:dyDescent="0.25">
      <c r="A41" s="31" t="s">
        <v>251</v>
      </c>
      <c r="B41" s="57" t="s">
        <v>684</v>
      </c>
      <c r="C41" s="52" t="s">
        <v>695</v>
      </c>
      <c r="D41" s="53" t="s">
        <v>146</v>
      </c>
      <c r="E41" s="43" t="s">
        <v>17</v>
      </c>
      <c r="F41" s="46" t="s">
        <v>25</v>
      </c>
      <c r="G41" s="46" t="str">
        <f>VLOOKUP(F41,Tables!D$9:E$17,2,FALSE)</f>
        <v>PTR</v>
      </c>
      <c r="H41" s="66">
        <v>17099554</v>
      </c>
      <c r="I41" s="33">
        <f>S41-R41</f>
        <v>282</v>
      </c>
      <c r="J41" s="33">
        <f>U41-T41</f>
        <v>0</v>
      </c>
      <c r="K41" s="54">
        <f>I41*$P41</f>
        <v>7.3884000000000007</v>
      </c>
      <c r="L41" s="54">
        <f>J41*$Q41</f>
        <v>0</v>
      </c>
      <c r="M41" s="62">
        <f>K41+L41</f>
        <v>7.3884000000000007</v>
      </c>
      <c r="N41" s="53" t="s">
        <v>252</v>
      </c>
      <c r="O41" s="53" t="s">
        <v>253</v>
      </c>
      <c r="P41" s="71">
        <f>IF(G41="MFP",Tables!B$2,Tables!B$5)</f>
        <v>2.6200000000000001E-2</v>
      </c>
      <c r="Q41" s="72">
        <f>IF(G41="MFP",Tables!B$3,Tables!B$6)</f>
        <v>0.11799999999999999</v>
      </c>
      <c r="R41" s="73">
        <v>0</v>
      </c>
      <c r="S41" s="73">
        <v>282</v>
      </c>
      <c r="T41" s="73">
        <v>0</v>
      </c>
      <c r="U41" s="73">
        <v>0</v>
      </c>
    </row>
    <row r="42" spans="1:28" s="30" customFormat="1" ht="24" outlineLevel="2" x14ac:dyDescent="0.25">
      <c r="A42" s="31" t="s">
        <v>361</v>
      </c>
      <c r="B42" s="57" t="s">
        <v>684</v>
      </c>
      <c r="C42" s="52" t="s">
        <v>695</v>
      </c>
      <c r="D42" s="53" t="s">
        <v>146</v>
      </c>
      <c r="E42" s="43">
        <v>204</v>
      </c>
      <c r="F42" s="46" t="s">
        <v>84</v>
      </c>
      <c r="G42" s="46" t="str">
        <f>VLOOKUP(F42,Tables!D$9:E$17,2,FALSE)</f>
        <v>MFP</v>
      </c>
      <c r="H42" s="66">
        <v>17099507</v>
      </c>
      <c r="I42" s="33">
        <f>S42-R42</f>
        <v>4886</v>
      </c>
      <c r="J42" s="33">
        <f>U42-T42</f>
        <v>0</v>
      </c>
      <c r="K42" s="54">
        <f>I42*$P42</f>
        <v>101.14019999999999</v>
      </c>
      <c r="L42" s="54">
        <f>J42*$Q42</f>
        <v>0</v>
      </c>
      <c r="M42" s="62">
        <f>K42+L42</f>
        <v>101.14019999999999</v>
      </c>
      <c r="N42" s="53" t="s">
        <v>362</v>
      </c>
      <c r="O42" s="53" t="s">
        <v>363</v>
      </c>
      <c r="P42" s="71">
        <f>IF(G42="MFP",Tables!B$2,Tables!B$5)</f>
        <v>2.07E-2</v>
      </c>
      <c r="Q42" s="72">
        <f>IF(G42="MFP",Tables!B$3,Tables!B$6)</f>
        <v>8.6999999999999994E-2</v>
      </c>
      <c r="R42" s="73">
        <v>0</v>
      </c>
      <c r="S42" s="73">
        <v>4886</v>
      </c>
      <c r="T42" s="73">
        <v>0</v>
      </c>
      <c r="U42" s="73">
        <v>0</v>
      </c>
    </row>
    <row r="43" spans="1:28" s="56" customFormat="1" outlineLevel="1" x14ac:dyDescent="0.25">
      <c r="A43" s="31"/>
      <c r="B43" s="32" t="s">
        <v>716</v>
      </c>
      <c r="C43" s="52"/>
      <c r="D43" s="53"/>
      <c r="E43" s="43"/>
      <c r="F43" s="46"/>
      <c r="G43" s="46"/>
      <c r="H43" s="66"/>
      <c r="I43" s="33"/>
      <c r="J43" s="33"/>
      <c r="K43" s="54"/>
      <c r="L43" s="54"/>
      <c r="M43" s="62">
        <f>SUBTOTAL(9,M36:M42)</f>
        <v>1365.4186</v>
      </c>
      <c r="N43" s="53"/>
      <c r="O43" s="53"/>
      <c r="P43" s="71"/>
      <c r="Q43" s="72"/>
      <c r="R43" s="73"/>
      <c r="S43" s="73"/>
      <c r="T43" s="73"/>
      <c r="U43" s="73"/>
    </row>
    <row r="44" spans="1:28" s="30" customFormat="1" ht="24" outlineLevel="2" x14ac:dyDescent="0.25">
      <c r="A44" s="31" t="s">
        <v>147</v>
      </c>
      <c r="B44" s="57" t="s">
        <v>691</v>
      </c>
      <c r="C44" s="52" t="s">
        <v>690</v>
      </c>
      <c r="D44" s="53" t="s">
        <v>146</v>
      </c>
      <c r="E44" s="43">
        <v>231</v>
      </c>
      <c r="F44" s="46" t="s">
        <v>25</v>
      </c>
      <c r="G44" s="46" t="str">
        <f>VLOOKUP(F44,Tables!D$9:E$17,2,FALSE)</f>
        <v>PTR</v>
      </c>
      <c r="H44" s="66">
        <v>17099560</v>
      </c>
      <c r="I44" s="33">
        <f>S44-R44</f>
        <v>845</v>
      </c>
      <c r="J44" s="33">
        <f>U44-T44</f>
        <v>0</v>
      </c>
      <c r="K44" s="54">
        <f>I44*$P44</f>
        <v>22.138999999999999</v>
      </c>
      <c r="L44" s="54">
        <f>J44*$Q44</f>
        <v>0</v>
      </c>
      <c r="M44" s="62">
        <f>K44+L44</f>
        <v>22.138999999999999</v>
      </c>
      <c r="N44" s="53" t="s">
        <v>148</v>
      </c>
      <c r="O44" s="53" t="s">
        <v>149</v>
      </c>
      <c r="P44" s="71">
        <f>IF(G44="MFP",Tables!B$2,Tables!B$5)</f>
        <v>2.6200000000000001E-2</v>
      </c>
      <c r="Q44" s="72">
        <f>IF(G44="MFP",Tables!B$3,Tables!B$6)</f>
        <v>0.11799999999999999</v>
      </c>
      <c r="R44" s="73">
        <v>0</v>
      </c>
      <c r="S44" s="73">
        <v>845</v>
      </c>
      <c r="T44" s="73">
        <v>0</v>
      </c>
      <c r="U44" s="73">
        <v>0</v>
      </c>
    </row>
    <row r="45" spans="1:28" s="56" customFormat="1" outlineLevel="1" x14ac:dyDescent="0.25">
      <c r="A45" s="31"/>
      <c r="B45" s="32" t="s">
        <v>717</v>
      </c>
      <c r="C45" s="52"/>
      <c r="D45" s="53"/>
      <c r="E45" s="43"/>
      <c r="F45" s="46"/>
      <c r="G45" s="46"/>
      <c r="H45" s="66"/>
      <c r="I45" s="33"/>
      <c r="J45" s="33"/>
      <c r="K45" s="54"/>
      <c r="L45" s="54"/>
      <c r="M45" s="62">
        <f>SUBTOTAL(9,M44:M44)</f>
        <v>22.138999999999999</v>
      </c>
      <c r="N45" s="53"/>
      <c r="O45" s="53"/>
      <c r="P45" s="71"/>
      <c r="Q45" s="72"/>
      <c r="R45" s="73"/>
      <c r="S45" s="73"/>
      <c r="T45" s="73"/>
      <c r="U45" s="73"/>
    </row>
    <row r="46" spans="1:28" s="30" customFormat="1" ht="24" outlineLevel="2" x14ac:dyDescent="0.25">
      <c r="A46" s="31" t="s">
        <v>705</v>
      </c>
      <c r="B46" s="57" t="s">
        <v>692</v>
      </c>
      <c r="C46" s="52" t="s">
        <v>693</v>
      </c>
      <c r="D46" s="53" t="s">
        <v>146</v>
      </c>
      <c r="E46" s="43">
        <v>239</v>
      </c>
      <c r="F46" s="46" t="s">
        <v>25</v>
      </c>
      <c r="G46" s="46" t="str">
        <f>VLOOKUP(F46,Tables!D$9:E$17,2,FALSE)</f>
        <v>PTR</v>
      </c>
      <c r="H46" s="66">
        <v>17099565</v>
      </c>
      <c r="I46" s="33">
        <f>S46-R46</f>
        <v>192</v>
      </c>
      <c r="J46" s="33">
        <f>U46-T46</f>
        <v>0</v>
      </c>
      <c r="K46" s="54">
        <f>I46*$P46</f>
        <v>5.0304000000000002</v>
      </c>
      <c r="L46" s="54">
        <f>J46*$Q46</f>
        <v>0</v>
      </c>
      <c r="M46" s="62">
        <f>K46+L46</f>
        <v>5.0304000000000002</v>
      </c>
      <c r="N46" s="53" t="s">
        <v>191</v>
      </c>
      <c r="O46" s="53" t="s">
        <v>192</v>
      </c>
      <c r="P46" s="71">
        <f>IF(G46="MFP",Tables!B$2,Tables!B$5)</f>
        <v>2.6200000000000001E-2</v>
      </c>
      <c r="Q46" s="72">
        <f>IF(G46="MFP",Tables!B$3,Tables!B$6)</f>
        <v>0.11799999999999999</v>
      </c>
      <c r="R46" s="73">
        <v>0</v>
      </c>
      <c r="S46" s="73">
        <v>192</v>
      </c>
      <c r="T46" s="73">
        <v>0</v>
      </c>
      <c r="U46" s="73">
        <v>0</v>
      </c>
    </row>
    <row r="47" spans="1:28" s="56" customFormat="1" outlineLevel="1" x14ac:dyDescent="0.25">
      <c r="A47" s="31"/>
      <c r="B47" s="32" t="s">
        <v>718</v>
      </c>
      <c r="C47" s="52"/>
      <c r="D47" s="53"/>
      <c r="E47" s="43"/>
      <c r="F47" s="46"/>
      <c r="G47" s="46"/>
      <c r="H47" s="66"/>
      <c r="I47" s="33"/>
      <c r="J47" s="33"/>
      <c r="K47" s="54"/>
      <c r="L47" s="54"/>
      <c r="M47" s="62">
        <f>SUBTOTAL(9,M46:M46)</f>
        <v>5.0304000000000002</v>
      </c>
      <c r="N47" s="53"/>
      <c r="O47" s="53"/>
      <c r="P47" s="71"/>
      <c r="Q47" s="72"/>
      <c r="R47" s="73"/>
      <c r="S47" s="73"/>
      <c r="T47" s="73"/>
      <c r="U47" s="73"/>
    </row>
    <row r="48" spans="1:28" s="30" customFormat="1" ht="24" outlineLevel="2" x14ac:dyDescent="0.25">
      <c r="A48" s="31" t="s">
        <v>279</v>
      </c>
      <c r="B48" s="57" t="s">
        <v>278</v>
      </c>
      <c r="C48" s="52" t="s">
        <v>657</v>
      </c>
      <c r="D48" s="53" t="s">
        <v>49</v>
      </c>
      <c r="E48" s="43">
        <v>201</v>
      </c>
      <c r="F48" s="46" t="s">
        <v>18</v>
      </c>
      <c r="G48" s="46" t="str">
        <f>VLOOKUP(F48,Tables!D$9:E$17,2,FALSE)</f>
        <v>MFP</v>
      </c>
      <c r="H48" s="66">
        <v>17099424</v>
      </c>
      <c r="I48" s="33">
        <f>S48-R48</f>
        <v>1697</v>
      </c>
      <c r="J48" s="33">
        <f>U48-T48</f>
        <v>361</v>
      </c>
      <c r="K48" s="54">
        <f>I48*$P48</f>
        <v>35.127899999999997</v>
      </c>
      <c r="L48" s="54">
        <f>J48*$Q48</f>
        <v>31.406999999999996</v>
      </c>
      <c r="M48" s="62">
        <f>K48+L48</f>
        <v>66.534899999999993</v>
      </c>
      <c r="N48" s="53" t="s">
        <v>280</v>
      </c>
      <c r="O48" s="53" t="s">
        <v>281</v>
      </c>
      <c r="P48" s="71">
        <f>IF(G48="MFP",Tables!B$2,Tables!B$5)</f>
        <v>2.07E-2</v>
      </c>
      <c r="Q48" s="72">
        <f>IF(G48="MFP",Tables!B$3,Tables!B$6)</f>
        <v>8.6999999999999994E-2</v>
      </c>
      <c r="R48" s="73">
        <v>0</v>
      </c>
      <c r="S48" s="73">
        <v>1697</v>
      </c>
      <c r="T48" s="73">
        <v>0</v>
      </c>
      <c r="U48" s="73">
        <v>361</v>
      </c>
    </row>
    <row r="49" spans="1:21" s="56" customFormat="1" outlineLevel="1" x14ac:dyDescent="0.25">
      <c r="A49" s="31"/>
      <c r="B49" s="32" t="s">
        <v>719</v>
      </c>
      <c r="C49" s="52"/>
      <c r="D49" s="53"/>
      <c r="E49" s="43"/>
      <c r="F49" s="46"/>
      <c r="G49" s="46"/>
      <c r="H49" s="66"/>
      <c r="I49" s="33"/>
      <c r="J49" s="33"/>
      <c r="K49" s="54"/>
      <c r="L49" s="54"/>
      <c r="M49" s="62">
        <f>SUBTOTAL(9,M48:M48)</f>
        <v>66.534899999999993</v>
      </c>
      <c r="N49" s="53"/>
      <c r="O49" s="53"/>
      <c r="P49" s="71"/>
      <c r="Q49" s="72"/>
      <c r="R49" s="73"/>
      <c r="S49" s="73"/>
      <c r="T49" s="73"/>
      <c r="U49" s="73"/>
    </row>
    <row r="50" spans="1:21" s="30" customFormat="1" ht="24" outlineLevel="2" x14ac:dyDescent="0.25">
      <c r="A50" s="31" t="s">
        <v>616</v>
      </c>
      <c r="B50" s="57" t="s">
        <v>615</v>
      </c>
      <c r="C50" s="52" t="s">
        <v>652</v>
      </c>
      <c r="D50" s="53" t="s">
        <v>551</v>
      </c>
      <c r="E50" s="43">
        <v>207</v>
      </c>
      <c r="F50" s="46" t="s">
        <v>84</v>
      </c>
      <c r="G50" s="46" t="str">
        <f>VLOOKUP(F50,Tables!D$9:E$17,2,FALSE)</f>
        <v>MFP</v>
      </c>
      <c r="H50" s="66">
        <v>17099460</v>
      </c>
      <c r="I50" s="33">
        <f>S50-R50</f>
        <v>2983</v>
      </c>
      <c r="J50" s="33">
        <f>U50-T50</f>
        <v>0</v>
      </c>
      <c r="K50" s="54">
        <f>I50*$P50</f>
        <v>61.748100000000001</v>
      </c>
      <c r="L50" s="54">
        <f>J50*$Q50</f>
        <v>0</v>
      </c>
      <c r="M50" s="62">
        <f>K50+L50</f>
        <v>61.748100000000001</v>
      </c>
      <c r="N50" s="53" t="s">
        <v>617</v>
      </c>
      <c r="O50" s="53" t="s">
        <v>618</v>
      </c>
      <c r="P50" s="71">
        <f>IF(G50="MFP",Tables!B$2,Tables!B$5)</f>
        <v>2.07E-2</v>
      </c>
      <c r="Q50" s="72">
        <f>IF(G50="MFP",Tables!B$3,Tables!B$6)</f>
        <v>8.6999999999999994E-2</v>
      </c>
      <c r="R50" s="73">
        <v>0</v>
      </c>
      <c r="S50" s="73">
        <v>2983</v>
      </c>
      <c r="T50" s="73">
        <v>0</v>
      </c>
      <c r="U50" s="73">
        <v>0</v>
      </c>
    </row>
    <row r="51" spans="1:21" s="56" customFormat="1" outlineLevel="1" x14ac:dyDescent="0.25">
      <c r="A51" s="31"/>
      <c r="B51" s="32" t="s">
        <v>720</v>
      </c>
      <c r="C51" s="52"/>
      <c r="D51" s="53"/>
      <c r="E51" s="43"/>
      <c r="F51" s="46"/>
      <c r="G51" s="46"/>
      <c r="H51" s="66"/>
      <c r="I51" s="33"/>
      <c r="J51" s="33"/>
      <c r="K51" s="54"/>
      <c r="L51" s="54"/>
      <c r="M51" s="62">
        <f>SUBTOTAL(9,M50:M50)</f>
        <v>61.748100000000001</v>
      </c>
      <c r="N51" s="53"/>
      <c r="O51" s="53"/>
      <c r="P51" s="71"/>
      <c r="Q51" s="72"/>
      <c r="R51" s="73"/>
      <c r="S51" s="73"/>
      <c r="T51" s="73"/>
      <c r="U51" s="73"/>
    </row>
    <row r="52" spans="1:21" s="30" customFormat="1" ht="24" outlineLevel="2" x14ac:dyDescent="0.25">
      <c r="A52" s="31" t="s">
        <v>658</v>
      </c>
      <c r="B52" s="57" t="s">
        <v>41</v>
      </c>
      <c r="C52" s="52" t="s">
        <v>777</v>
      </c>
      <c r="D52" s="53" t="s">
        <v>88</v>
      </c>
      <c r="E52" s="43" t="s">
        <v>89</v>
      </c>
      <c r="F52" s="46" t="s">
        <v>90</v>
      </c>
      <c r="G52" s="46" t="str">
        <f>VLOOKUP(F52,Tables!D$9:E$17,2,FALSE)</f>
        <v>MFP</v>
      </c>
      <c r="H52" s="66">
        <v>17099482</v>
      </c>
      <c r="I52" s="33">
        <f>S52-R52</f>
        <v>142699</v>
      </c>
      <c r="J52" s="33">
        <f>U52-T52</f>
        <v>0</v>
      </c>
      <c r="K52" s="54">
        <f>I52*$P52</f>
        <v>2953.8692999999998</v>
      </c>
      <c r="L52" s="54">
        <f>J52*$Q52</f>
        <v>0</v>
      </c>
      <c r="M52" s="62">
        <f>K52+L52</f>
        <v>2953.8692999999998</v>
      </c>
      <c r="N52" s="53" t="s">
        <v>493</v>
      </c>
      <c r="O52" s="53" t="s">
        <v>494</v>
      </c>
      <c r="P52" s="71">
        <f>IF(G52="MFP",Tables!B$2,Tables!B$5)</f>
        <v>2.07E-2</v>
      </c>
      <c r="Q52" s="72">
        <f>IF(G52="MFP",Tables!B$3,Tables!B$6)</f>
        <v>8.6999999999999994E-2</v>
      </c>
      <c r="R52" s="73">
        <v>0</v>
      </c>
      <c r="S52" s="73">
        <v>142699</v>
      </c>
      <c r="T52" s="73">
        <v>0</v>
      </c>
      <c r="U52" s="73">
        <v>0</v>
      </c>
    </row>
    <row r="53" spans="1:21" s="30" customFormat="1" ht="24" outlineLevel="2" x14ac:dyDescent="0.25">
      <c r="A53" s="31" t="s">
        <v>658</v>
      </c>
      <c r="B53" s="57" t="s">
        <v>41</v>
      </c>
      <c r="C53" s="52" t="s">
        <v>777</v>
      </c>
      <c r="D53" s="53" t="s">
        <v>88</v>
      </c>
      <c r="E53" s="43" t="s">
        <v>89</v>
      </c>
      <c r="F53" s="46" t="s">
        <v>90</v>
      </c>
      <c r="G53" s="46" t="str">
        <f>VLOOKUP(F53,Tables!D$9:E$17,2,FALSE)</f>
        <v>MFP</v>
      </c>
      <c r="H53" s="66">
        <v>17099483</v>
      </c>
      <c r="I53" s="33">
        <f>S53-R53</f>
        <v>68697</v>
      </c>
      <c r="J53" s="33">
        <f>U53-T53</f>
        <v>0</v>
      </c>
      <c r="K53" s="54">
        <f>I53*$P53</f>
        <v>1422.0279</v>
      </c>
      <c r="L53" s="54">
        <f>J53*$Q53</f>
        <v>0</v>
      </c>
      <c r="M53" s="62">
        <f>K53+L53</f>
        <v>1422.0279</v>
      </c>
      <c r="N53" s="53" t="s">
        <v>91</v>
      </c>
      <c r="O53" s="53" t="s">
        <v>92</v>
      </c>
      <c r="P53" s="71">
        <f>IF(G53="MFP",Tables!B$2,Tables!B$5)</f>
        <v>2.07E-2</v>
      </c>
      <c r="Q53" s="72">
        <f>IF(G53="MFP",Tables!B$3,Tables!B$6)</f>
        <v>8.6999999999999994E-2</v>
      </c>
      <c r="R53" s="73">
        <v>0</v>
      </c>
      <c r="S53" s="73">
        <v>68697</v>
      </c>
      <c r="T53" s="73">
        <v>0</v>
      </c>
      <c r="U53" s="73">
        <v>0</v>
      </c>
    </row>
    <row r="54" spans="1:21" s="30" customFormat="1" ht="24" outlineLevel="2" x14ac:dyDescent="0.25">
      <c r="A54" s="31" t="s">
        <v>127</v>
      </c>
      <c r="B54" s="57" t="s">
        <v>41</v>
      </c>
      <c r="C54" s="52" t="s">
        <v>777</v>
      </c>
      <c r="D54" s="53" t="s">
        <v>83</v>
      </c>
      <c r="E54" s="43">
        <v>214</v>
      </c>
      <c r="F54" s="46" t="s">
        <v>25</v>
      </c>
      <c r="G54" s="46" t="str">
        <f>VLOOKUP(F54,Tables!D$9:E$17,2,FALSE)</f>
        <v>PTR</v>
      </c>
      <c r="H54" s="66">
        <v>17099580</v>
      </c>
      <c r="I54" s="33">
        <f>S54-R54</f>
        <v>1692</v>
      </c>
      <c r="J54" s="33">
        <f>U54-T54</f>
        <v>0</v>
      </c>
      <c r="K54" s="54">
        <f>I54*$P54</f>
        <v>44.330400000000004</v>
      </c>
      <c r="L54" s="54">
        <f>J54*$Q54</f>
        <v>0</v>
      </c>
      <c r="M54" s="62">
        <f>K54+L54</f>
        <v>44.330400000000004</v>
      </c>
      <c r="N54" s="53" t="s">
        <v>323</v>
      </c>
      <c r="O54" s="53" t="s">
        <v>324</v>
      </c>
      <c r="P54" s="71">
        <f>IF(G54="MFP",Tables!B$2,Tables!B$5)</f>
        <v>2.6200000000000001E-2</v>
      </c>
      <c r="Q54" s="72">
        <f>IF(G54="MFP",Tables!B$3,Tables!B$6)</f>
        <v>0.11799999999999999</v>
      </c>
      <c r="R54" s="73">
        <v>0</v>
      </c>
      <c r="S54" s="73">
        <v>1692</v>
      </c>
      <c r="T54" s="73">
        <v>0</v>
      </c>
      <c r="U54" s="73">
        <v>0</v>
      </c>
    </row>
    <row r="55" spans="1:21" s="56" customFormat="1" outlineLevel="1" x14ac:dyDescent="0.25">
      <c r="A55" s="31"/>
      <c r="B55" s="32" t="s">
        <v>712</v>
      </c>
      <c r="C55" s="52"/>
      <c r="D55" s="53"/>
      <c r="E55" s="43"/>
      <c r="F55" s="46"/>
      <c r="G55" s="46"/>
      <c r="H55" s="66"/>
      <c r="I55" s="33"/>
      <c r="J55" s="33"/>
      <c r="K55" s="54"/>
      <c r="L55" s="54"/>
      <c r="M55" s="62">
        <f>SUBTOTAL(9,M52:M54)</f>
        <v>4420.2275999999993</v>
      </c>
      <c r="N55" s="53"/>
      <c r="O55" s="53"/>
      <c r="P55" s="71"/>
      <c r="Q55" s="72"/>
      <c r="R55" s="73"/>
      <c r="S55" s="73"/>
      <c r="T55" s="73"/>
      <c r="U55" s="73"/>
    </row>
    <row r="56" spans="1:21" s="30" customFormat="1" ht="24" outlineLevel="2" x14ac:dyDescent="0.25">
      <c r="A56" s="31" t="s">
        <v>127</v>
      </c>
      <c r="B56" s="57" t="s">
        <v>832</v>
      </c>
      <c r="C56" s="52" t="s">
        <v>127</v>
      </c>
      <c r="D56" s="53" t="s">
        <v>125</v>
      </c>
      <c r="E56" s="43">
        <v>203</v>
      </c>
      <c r="F56" s="46" t="s">
        <v>18</v>
      </c>
      <c r="G56" s="46" t="str">
        <f>VLOOKUP(F56,Tables!D$9:E$17,2,FALSE)</f>
        <v>MFP</v>
      </c>
      <c r="H56" s="66">
        <v>17099484</v>
      </c>
      <c r="I56" s="33">
        <f>S56-R56</f>
        <v>5967</v>
      </c>
      <c r="J56" s="33">
        <f>U56-T56</f>
        <v>637</v>
      </c>
      <c r="K56" s="54">
        <f>I56*$P56</f>
        <v>123.51689999999999</v>
      </c>
      <c r="L56" s="54">
        <f>J56*$Q56</f>
        <v>55.418999999999997</v>
      </c>
      <c r="M56" s="62">
        <f>K56+L56</f>
        <v>178.9359</v>
      </c>
      <c r="N56" s="53" t="s">
        <v>520</v>
      </c>
      <c r="O56" s="53" t="s">
        <v>521</v>
      </c>
      <c r="P56" s="71">
        <f>IF(G56="MFP",Tables!B$2,Tables!B$5)</f>
        <v>2.07E-2</v>
      </c>
      <c r="Q56" s="72">
        <f>IF(G56="MFP",Tables!B$3,Tables!B$6)</f>
        <v>8.6999999999999994E-2</v>
      </c>
      <c r="R56" s="73">
        <v>0</v>
      </c>
      <c r="S56" s="73">
        <v>5967</v>
      </c>
      <c r="T56" s="73">
        <v>0</v>
      </c>
      <c r="U56" s="73">
        <v>637</v>
      </c>
    </row>
    <row r="57" spans="1:21" s="30" customFormat="1" ht="24" outlineLevel="2" x14ac:dyDescent="0.25">
      <c r="A57" s="31" t="s">
        <v>127</v>
      </c>
      <c r="B57" s="57" t="s">
        <v>832</v>
      </c>
      <c r="C57" s="52" t="s">
        <v>127</v>
      </c>
      <c r="D57" s="53" t="s">
        <v>125</v>
      </c>
      <c r="E57" s="43">
        <v>203</v>
      </c>
      <c r="F57" s="46" t="s">
        <v>25</v>
      </c>
      <c r="G57" s="46" t="str">
        <f>VLOOKUP(F57,Tables!D$9:E$17,2,FALSE)</f>
        <v>PTR</v>
      </c>
      <c r="H57" s="66">
        <v>17099613</v>
      </c>
      <c r="I57" s="33">
        <f>S57-R57</f>
        <v>1725</v>
      </c>
      <c r="J57" s="33">
        <f>U57-T57</f>
        <v>0</v>
      </c>
      <c r="K57" s="54">
        <f>I57*$P57</f>
        <v>45.195</v>
      </c>
      <c r="L57" s="54">
        <f>J57*$Q57</f>
        <v>0</v>
      </c>
      <c r="M57" s="62">
        <f>K57+L57</f>
        <v>45.195</v>
      </c>
      <c r="N57" s="53" t="s">
        <v>129</v>
      </c>
      <c r="O57" s="53" t="s">
        <v>130</v>
      </c>
      <c r="P57" s="71">
        <f>IF(G57="MFP",Tables!B$2,Tables!B$5)</f>
        <v>2.6200000000000001E-2</v>
      </c>
      <c r="Q57" s="72">
        <f>IF(G57="MFP",Tables!B$3,Tables!B$6)</f>
        <v>0.11799999999999999</v>
      </c>
      <c r="R57" s="73">
        <v>0</v>
      </c>
      <c r="S57" s="73">
        <v>1725</v>
      </c>
      <c r="T57" s="73">
        <v>0</v>
      </c>
      <c r="U57" s="73">
        <v>0</v>
      </c>
    </row>
    <row r="58" spans="1:21" s="30" customFormat="1" ht="24" outlineLevel="2" x14ac:dyDescent="0.25">
      <c r="A58" s="31" t="s">
        <v>127</v>
      </c>
      <c r="B58" s="57" t="s">
        <v>832</v>
      </c>
      <c r="C58" s="52" t="s">
        <v>127</v>
      </c>
      <c r="D58" s="53" t="s">
        <v>125</v>
      </c>
      <c r="E58" s="43" t="s">
        <v>131</v>
      </c>
      <c r="F58" s="46" t="s">
        <v>25</v>
      </c>
      <c r="G58" s="46" t="str">
        <f>VLOOKUP(F58,Tables!D$9:E$17,2,FALSE)</f>
        <v>PTR</v>
      </c>
      <c r="H58" s="66">
        <v>17099611</v>
      </c>
      <c r="I58" s="33">
        <f>S58-R58</f>
        <v>830</v>
      </c>
      <c r="J58" s="33">
        <f>U58-T58</f>
        <v>0</v>
      </c>
      <c r="K58" s="54">
        <f>I58*$P58</f>
        <v>21.746000000000002</v>
      </c>
      <c r="L58" s="54">
        <f>J58*$Q58</f>
        <v>0</v>
      </c>
      <c r="M58" s="62">
        <f>K58+L58</f>
        <v>21.746000000000002</v>
      </c>
      <c r="N58" s="53" t="s">
        <v>132</v>
      </c>
      <c r="O58" s="53" t="s">
        <v>133</v>
      </c>
      <c r="P58" s="71">
        <f>IF(G58="MFP",Tables!B$2,Tables!B$5)</f>
        <v>2.6200000000000001E-2</v>
      </c>
      <c r="Q58" s="72">
        <f>IF(G58="MFP",Tables!B$3,Tables!B$6)</f>
        <v>0.11799999999999999</v>
      </c>
      <c r="R58" s="73">
        <v>0</v>
      </c>
      <c r="S58" s="73">
        <v>830</v>
      </c>
      <c r="T58" s="73">
        <v>0</v>
      </c>
      <c r="U58" s="73">
        <v>0</v>
      </c>
    </row>
    <row r="59" spans="1:21" s="30" customFormat="1" ht="24" outlineLevel="2" x14ac:dyDescent="0.25">
      <c r="A59" s="31" t="s">
        <v>127</v>
      </c>
      <c r="B59" s="57" t="s">
        <v>832</v>
      </c>
      <c r="C59" s="52" t="s">
        <v>127</v>
      </c>
      <c r="D59" s="53" t="s">
        <v>125</v>
      </c>
      <c r="E59" s="43" t="s">
        <v>128</v>
      </c>
      <c r="F59" s="46" t="s">
        <v>25</v>
      </c>
      <c r="G59" s="46" t="str">
        <f>VLOOKUP(F59,Tables!D$9:E$17,2,FALSE)</f>
        <v>PTR</v>
      </c>
      <c r="H59" s="66">
        <v>17099569</v>
      </c>
      <c r="I59" s="33">
        <f>S59-R59</f>
        <v>116</v>
      </c>
      <c r="J59" s="33">
        <f>U59-T59</f>
        <v>0</v>
      </c>
      <c r="K59" s="54">
        <f>I59*$P59</f>
        <v>3.0392000000000001</v>
      </c>
      <c r="L59" s="54">
        <f>J59*$Q59</f>
        <v>0</v>
      </c>
      <c r="M59" s="62">
        <f>K59+L59</f>
        <v>3.0392000000000001</v>
      </c>
      <c r="N59" s="53" t="s">
        <v>276</v>
      </c>
      <c r="O59" s="53" t="s">
        <v>277</v>
      </c>
      <c r="P59" s="71">
        <f>IF(G59="MFP",Tables!B$2,Tables!B$5)</f>
        <v>2.6200000000000001E-2</v>
      </c>
      <c r="Q59" s="72">
        <f>IF(G59="MFP",Tables!B$3,Tables!B$6)</f>
        <v>0.11799999999999999</v>
      </c>
      <c r="R59" s="73">
        <v>0</v>
      </c>
      <c r="S59" s="73">
        <v>116</v>
      </c>
      <c r="T59" s="73">
        <v>0</v>
      </c>
      <c r="U59" s="73">
        <v>0</v>
      </c>
    </row>
    <row r="60" spans="1:21" s="30" customFormat="1" ht="24" outlineLevel="2" x14ac:dyDescent="0.25">
      <c r="A60" s="31" t="s">
        <v>127</v>
      </c>
      <c r="B60" s="57" t="s">
        <v>832</v>
      </c>
      <c r="C60" s="52" t="s">
        <v>127</v>
      </c>
      <c r="D60" s="53" t="s">
        <v>125</v>
      </c>
      <c r="E60" s="43" t="s">
        <v>201</v>
      </c>
      <c r="F60" s="46" t="s">
        <v>25</v>
      </c>
      <c r="G60" s="46" t="str">
        <f>VLOOKUP(F60,Tables!D$9:E$17,2,FALSE)</f>
        <v>PTR</v>
      </c>
      <c r="H60" s="66">
        <v>17099612</v>
      </c>
      <c r="I60" s="33">
        <f>S60-R60</f>
        <v>272</v>
      </c>
      <c r="J60" s="33">
        <f>U60-T60</f>
        <v>0</v>
      </c>
      <c r="K60" s="54">
        <f>I60*$P60</f>
        <v>7.1264000000000003</v>
      </c>
      <c r="L60" s="54">
        <f>J60*$Q60</f>
        <v>0</v>
      </c>
      <c r="M60" s="62">
        <f>K60+L60</f>
        <v>7.1264000000000003</v>
      </c>
      <c r="N60" s="53" t="s">
        <v>452</v>
      </c>
      <c r="O60" s="53" t="s">
        <v>453</v>
      </c>
      <c r="P60" s="71">
        <f>IF(G60="MFP",Tables!B$2,Tables!B$5)</f>
        <v>2.6200000000000001E-2</v>
      </c>
      <c r="Q60" s="72">
        <f>IF(G60="MFP",Tables!B$3,Tables!B$6)</f>
        <v>0.11799999999999999</v>
      </c>
      <c r="R60" s="73">
        <v>0</v>
      </c>
      <c r="S60" s="73">
        <v>272</v>
      </c>
      <c r="T60" s="73">
        <v>0</v>
      </c>
      <c r="U60" s="73">
        <v>0</v>
      </c>
    </row>
    <row r="61" spans="1:21" s="56" customFormat="1" outlineLevel="1" x14ac:dyDescent="0.25">
      <c r="A61" s="31"/>
      <c r="B61" s="32" t="s">
        <v>838</v>
      </c>
      <c r="C61" s="52"/>
      <c r="D61" s="53"/>
      <c r="E61" s="43"/>
      <c r="F61" s="46"/>
      <c r="G61" s="46"/>
      <c r="H61" s="66"/>
      <c r="I61" s="33"/>
      <c r="J61" s="33"/>
      <c r="K61" s="54"/>
      <c r="L61" s="54"/>
      <c r="M61" s="62">
        <f>SUBTOTAL(9,M56:M60)</f>
        <v>256.04250000000002</v>
      </c>
      <c r="N61" s="53"/>
      <c r="O61" s="53"/>
      <c r="P61" s="71"/>
      <c r="Q61" s="72"/>
      <c r="R61" s="73"/>
      <c r="S61" s="73"/>
      <c r="T61" s="73"/>
      <c r="U61" s="73"/>
    </row>
    <row r="62" spans="1:21" s="30" customFormat="1" ht="24" outlineLevel="2" x14ac:dyDescent="0.25">
      <c r="A62" s="31" t="s">
        <v>578</v>
      </c>
      <c r="B62" s="57" t="s">
        <v>577</v>
      </c>
      <c r="C62" s="52" t="s">
        <v>640</v>
      </c>
      <c r="D62" s="53" t="s">
        <v>538</v>
      </c>
      <c r="E62" s="43">
        <v>303</v>
      </c>
      <c r="F62" s="46" t="s">
        <v>25</v>
      </c>
      <c r="G62" s="46" t="str">
        <f>VLOOKUP(F62,Tables!D$9:E$17,2,FALSE)</f>
        <v>PTR</v>
      </c>
      <c r="H62" s="66">
        <v>17099709</v>
      </c>
      <c r="I62" s="33">
        <f>S62-R62</f>
        <v>231</v>
      </c>
      <c r="J62" s="33">
        <f>U62-T62</f>
        <v>0</v>
      </c>
      <c r="K62" s="54">
        <f>I62*$P62</f>
        <v>6.0522</v>
      </c>
      <c r="L62" s="54">
        <f>J62*$Q62</f>
        <v>0</v>
      </c>
      <c r="M62" s="62">
        <f>K62+L62</f>
        <v>6.0522</v>
      </c>
      <c r="N62" s="53" t="s">
        <v>579</v>
      </c>
      <c r="O62" s="53" t="s">
        <v>580</v>
      </c>
      <c r="P62" s="71">
        <f>IF(G62="MFP",Tables!B$2,Tables!B$5)</f>
        <v>2.6200000000000001E-2</v>
      </c>
      <c r="Q62" s="72">
        <f>IF(G62="MFP",Tables!B$3,Tables!B$6)</f>
        <v>0.11799999999999999</v>
      </c>
      <c r="R62" s="73">
        <v>0</v>
      </c>
      <c r="S62" s="73">
        <v>231</v>
      </c>
      <c r="T62" s="73">
        <v>0</v>
      </c>
      <c r="U62" s="73">
        <v>0</v>
      </c>
    </row>
    <row r="63" spans="1:21" s="30" customFormat="1" ht="24" outlineLevel="2" x14ac:dyDescent="0.25">
      <c r="A63" s="31" t="s">
        <v>578</v>
      </c>
      <c r="B63" s="57" t="s">
        <v>577</v>
      </c>
      <c r="C63" s="52" t="s">
        <v>640</v>
      </c>
      <c r="D63" s="53" t="s">
        <v>538</v>
      </c>
      <c r="E63" s="43">
        <v>303</v>
      </c>
      <c r="F63" s="46" t="s">
        <v>25</v>
      </c>
      <c r="G63" s="46" t="str">
        <f>VLOOKUP(F63,Tables!D$9:E$17,2,FALSE)</f>
        <v>PTR</v>
      </c>
      <c r="H63" s="66">
        <v>17099711</v>
      </c>
      <c r="I63" s="33">
        <f>S63-R63</f>
        <v>2654</v>
      </c>
      <c r="J63" s="33">
        <f>U63-T63</f>
        <v>0</v>
      </c>
      <c r="K63" s="54">
        <f>I63*$P63</f>
        <v>69.534800000000004</v>
      </c>
      <c r="L63" s="54">
        <f>J63*$Q63</f>
        <v>0</v>
      </c>
      <c r="M63" s="62">
        <f>K63+L63</f>
        <v>69.534800000000004</v>
      </c>
      <c r="N63" s="53" t="s">
        <v>581</v>
      </c>
      <c r="O63" s="53" t="s">
        <v>582</v>
      </c>
      <c r="P63" s="71">
        <f>IF(G63="MFP",Tables!B$2,Tables!B$5)</f>
        <v>2.6200000000000001E-2</v>
      </c>
      <c r="Q63" s="72">
        <f>IF(G63="MFP",Tables!B$3,Tables!B$6)</f>
        <v>0.11799999999999999</v>
      </c>
      <c r="R63" s="73">
        <v>0</v>
      </c>
      <c r="S63" s="73">
        <v>2654</v>
      </c>
      <c r="T63" s="73">
        <v>0</v>
      </c>
      <c r="U63" s="73">
        <v>0</v>
      </c>
    </row>
    <row r="64" spans="1:21" s="56" customFormat="1" outlineLevel="1" x14ac:dyDescent="0.25">
      <c r="A64" s="31"/>
      <c r="B64" s="32" t="s">
        <v>721</v>
      </c>
      <c r="C64" s="52"/>
      <c r="D64" s="53"/>
      <c r="E64" s="43"/>
      <c r="F64" s="46"/>
      <c r="G64" s="46"/>
      <c r="H64" s="66"/>
      <c r="I64" s="33"/>
      <c r="J64" s="33"/>
      <c r="K64" s="54"/>
      <c r="L64" s="54"/>
      <c r="M64" s="62">
        <f>SUBTOTAL(9,M62:M63)</f>
        <v>75.587000000000003</v>
      </c>
      <c r="N64" s="53"/>
      <c r="O64" s="53"/>
      <c r="P64" s="71"/>
      <c r="Q64" s="72"/>
      <c r="R64" s="73"/>
      <c r="S64" s="73"/>
      <c r="T64" s="73"/>
      <c r="U64" s="73"/>
    </row>
    <row r="65" spans="1:21" s="30" customFormat="1" ht="24.75" outlineLevel="2" x14ac:dyDescent="0.25">
      <c r="A65" s="31" t="s">
        <v>659</v>
      </c>
      <c r="B65" s="57" t="s">
        <v>226</v>
      </c>
      <c r="C65" s="52" t="s">
        <v>639</v>
      </c>
      <c r="D65" s="53" t="s">
        <v>39</v>
      </c>
      <c r="E65" s="43">
        <v>311</v>
      </c>
      <c r="F65" s="46" t="s">
        <v>25</v>
      </c>
      <c r="G65" s="46" t="str">
        <f>VLOOKUP(F65,Tables!D$9:E$17,2,FALSE)</f>
        <v>PTR</v>
      </c>
      <c r="H65" s="66">
        <v>17099570</v>
      </c>
      <c r="I65" s="33">
        <f>S65-R65</f>
        <v>666</v>
      </c>
      <c r="J65" s="33">
        <f>U65-T65</f>
        <v>0</v>
      </c>
      <c r="K65" s="54">
        <f>I65*$P65</f>
        <v>17.449200000000001</v>
      </c>
      <c r="L65" s="54">
        <f>J65*$Q65</f>
        <v>0</v>
      </c>
      <c r="M65" s="62">
        <f>K65+L65</f>
        <v>17.449200000000001</v>
      </c>
      <c r="N65" s="53" t="s">
        <v>364</v>
      </c>
      <c r="O65" s="53" t="s">
        <v>365</v>
      </c>
      <c r="P65" s="71">
        <f>IF(G65="MFP",Tables!B$2,Tables!B$5)</f>
        <v>2.6200000000000001E-2</v>
      </c>
      <c r="Q65" s="72">
        <f>IF(G65="MFP",Tables!B$3,Tables!B$6)</f>
        <v>0.11799999999999999</v>
      </c>
      <c r="R65" s="73">
        <v>0</v>
      </c>
      <c r="S65" s="73">
        <v>666</v>
      </c>
      <c r="T65" s="73">
        <v>0</v>
      </c>
      <c r="U65" s="73">
        <v>0</v>
      </c>
    </row>
    <row r="66" spans="1:21" s="30" customFormat="1" ht="24.75" outlineLevel="2" x14ac:dyDescent="0.25">
      <c r="A66" s="31" t="s">
        <v>659</v>
      </c>
      <c r="B66" s="57" t="s">
        <v>226</v>
      </c>
      <c r="C66" s="52" t="s">
        <v>639</v>
      </c>
      <c r="D66" s="53" t="s">
        <v>39</v>
      </c>
      <c r="E66" s="43">
        <v>312</v>
      </c>
      <c r="F66" s="46" t="s">
        <v>25</v>
      </c>
      <c r="G66" s="46" t="str">
        <f>VLOOKUP(F66,Tables!D$9:E$17,2,FALSE)</f>
        <v>PTR</v>
      </c>
      <c r="H66" s="66">
        <v>17099618</v>
      </c>
      <c r="I66" s="33">
        <f>S66-R66</f>
        <v>2046</v>
      </c>
      <c r="J66" s="33">
        <f>U66-T66</f>
        <v>0</v>
      </c>
      <c r="K66" s="54">
        <f>I66*$P66</f>
        <v>53.605200000000004</v>
      </c>
      <c r="L66" s="54">
        <f>J66*$Q66</f>
        <v>0</v>
      </c>
      <c r="M66" s="62">
        <f>K66+L66</f>
        <v>53.605200000000004</v>
      </c>
      <c r="N66" s="53" t="s">
        <v>431</v>
      </c>
      <c r="O66" s="53" t="s">
        <v>432</v>
      </c>
      <c r="P66" s="71">
        <f>IF(G66="MFP",Tables!B$2,Tables!B$5)</f>
        <v>2.6200000000000001E-2</v>
      </c>
      <c r="Q66" s="72">
        <f>IF(G66="MFP",Tables!B$3,Tables!B$6)</f>
        <v>0.11799999999999999</v>
      </c>
      <c r="R66" s="73">
        <v>0</v>
      </c>
      <c r="S66" s="73">
        <v>2046</v>
      </c>
      <c r="T66" s="73">
        <v>0</v>
      </c>
      <c r="U66" s="73">
        <v>0</v>
      </c>
    </row>
    <row r="67" spans="1:21" s="30" customFormat="1" ht="24.75" outlineLevel="2" x14ac:dyDescent="0.25">
      <c r="A67" s="31" t="s">
        <v>659</v>
      </c>
      <c r="B67" s="57" t="s">
        <v>226</v>
      </c>
      <c r="C67" s="52" t="s">
        <v>639</v>
      </c>
      <c r="D67" s="53" t="s">
        <v>39</v>
      </c>
      <c r="E67" s="43">
        <v>313</v>
      </c>
      <c r="F67" s="46" t="s">
        <v>25</v>
      </c>
      <c r="G67" s="46" t="str">
        <f>VLOOKUP(F67,Tables!D$9:E$17,2,FALSE)</f>
        <v>PTR</v>
      </c>
      <c r="H67" s="66">
        <v>17099617</v>
      </c>
      <c r="I67" s="33">
        <f>S67-R67</f>
        <v>205</v>
      </c>
      <c r="J67" s="33">
        <f>U67-T67</f>
        <v>0</v>
      </c>
      <c r="K67" s="54">
        <f>I67*$P67</f>
        <v>5.3710000000000004</v>
      </c>
      <c r="L67" s="54">
        <f>J67*$Q67</f>
        <v>0</v>
      </c>
      <c r="M67" s="62">
        <f>K67+L67</f>
        <v>5.3710000000000004</v>
      </c>
      <c r="N67" s="53" t="s">
        <v>227</v>
      </c>
      <c r="O67" s="53" t="s">
        <v>228</v>
      </c>
      <c r="P67" s="71">
        <f>IF(G67="MFP",Tables!B$2,Tables!B$5)</f>
        <v>2.6200000000000001E-2</v>
      </c>
      <c r="Q67" s="72">
        <f>IF(G67="MFP",Tables!B$3,Tables!B$6)</f>
        <v>0.11799999999999999</v>
      </c>
      <c r="R67" s="73">
        <v>0</v>
      </c>
      <c r="S67" s="73">
        <v>205</v>
      </c>
      <c r="T67" s="73">
        <v>0</v>
      </c>
      <c r="U67" s="73">
        <v>0</v>
      </c>
    </row>
    <row r="68" spans="1:21" s="56" customFormat="1" outlineLevel="1" x14ac:dyDescent="0.25">
      <c r="A68" s="31"/>
      <c r="B68" s="32" t="s">
        <v>722</v>
      </c>
      <c r="C68" s="52"/>
      <c r="D68" s="53"/>
      <c r="E68" s="43"/>
      <c r="F68" s="46"/>
      <c r="G68" s="46"/>
      <c r="H68" s="66"/>
      <c r="I68" s="33"/>
      <c r="J68" s="33"/>
      <c r="K68" s="54"/>
      <c r="L68" s="54"/>
      <c r="M68" s="62">
        <f>SUBTOTAL(9,M65:M67)</f>
        <v>76.425399999999996</v>
      </c>
      <c r="N68" s="53"/>
      <c r="O68" s="53"/>
      <c r="P68" s="71"/>
      <c r="Q68" s="72"/>
      <c r="R68" s="73"/>
      <c r="S68" s="73"/>
      <c r="T68" s="73"/>
      <c r="U68" s="73"/>
    </row>
    <row r="69" spans="1:21" s="30" customFormat="1" ht="36" outlineLevel="2" x14ac:dyDescent="0.25">
      <c r="A69" s="31" t="s">
        <v>45</v>
      </c>
      <c r="B69" s="57" t="s">
        <v>46</v>
      </c>
      <c r="C69" s="52" t="s">
        <v>45</v>
      </c>
      <c r="D69" s="53" t="s">
        <v>45</v>
      </c>
      <c r="E69" s="43">
        <v>201</v>
      </c>
      <c r="F69" s="46" t="s">
        <v>18</v>
      </c>
      <c r="G69" s="46" t="str">
        <f>VLOOKUP(F69,Tables!D$9:E$17,2,FALSE)</f>
        <v>MFP</v>
      </c>
      <c r="H69" s="66">
        <v>17099534</v>
      </c>
      <c r="I69" s="33">
        <f>S69-R69</f>
        <v>4600</v>
      </c>
      <c r="J69" s="33">
        <f>U69-T69</f>
        <v>3789</v>
      </c>
      <c r="K69" s="54">
        <f>I69*$P69</f>
        <v>95.22</v>
      </c>
      <c r="L69" s="54">
        <f>J69*$Q69</f>
        <v>329.64299999999997</v>
      </c>
      <c r="M69" s="62">
        <f>K69+L69</f>
        <v>424.86299999999994</v>
      </c>
      <c r="N69" s="53" t="s">
        <v>157</v>
      </c>
      <c r="O69" s="53" t="s">
        <v>158</v>
      </c>
      <c r="P69" s="71">
        <f>IF(G69="MFP",Tables!B$2,Tables!B$5)</f>
        <v>2.07E-2</v>
      </c>
      <c r="Q69" s="72">
        <f>IF(G69="MFP",Tables!B$3,Tables!B$6)</f>
        <v>8.6999999999999994E-2</v>
      </c>
      <c r="R69" s="73">
        <v>0</v>
      </c>
      <c r="S69" s="73">
        <v>4600</v>
      </c>
      <c r="T69" s="73">
        <v>0</v>
      </c>
      <c r="U69" s="73">
        <v>3789</v>
      </c>
    </row>
    <row r="70" spans="1:21" s="30" customFormat="1" ht="36" outlineLevel="2" x14ac:dyDescent="0.25">
      <c r="A70" s="31" t="s">
        <v>45</v>
      </c>
      <c r="B70" s="57" t="s">
        <v>46</v>
      </c>
      <c r="C70" s="52" t="s">
        <v>45</v>
      </c>
      <c r="D70" s="53" t="s">
        <v>45</v>
      </c>
      <c r="E70" s="43">
        <v>201</v>
      </c>
      <c r="F70" s="46" t="s">
        <v>25</v>
      </c>
      <c r="G70" s="46" t="str">
        <f>VLOOKUP(F70,Tables!D$9:E$17,2,FALSE)</f>
        <v>PTR</v>
      </c>
      <c r="H70" s="66">
        <v>17099602</v>
      </c>
      <c r="I70" s="33">
        <f>S70-R70</f>
        <v>1809</v>
      </c>
      <c r="J70" s="33">
        <f>U70-T70</f>
        <v>0</v>
      </c>
      <c r="K70" s="54">
        <f>I70*$P70</f>
        <v>47.395800000000001</v>
      </c>
      <c r="L70" s="54">
        <f>J70*$Q70</f>
        <v>0</v>
      </c>
      <c r="M70" s="62">
        <f>K70+L70</f>
        <v>47.395800000000001</v>
      </c>
      <c r="N70" s="53" t="s">
        <v>47</v>
      </c>
      <c r="O70" s="53" t="s">
        <v>48</v>
      </c>
      <c r="P70" s="71">
        <f>IF(G70="MFP",Tables!B$2,Tables!B$5)</f>
        <v>2.6200000000000001E-2</v>
      </c>
      <c r="Q70" s="72">
        <f>IF(G70="MFP",Tables!B$3,Tables!B$6)</f>
        <v>0.11799999999999999</v>
      </c>
      <c r="R70" s="73">
        <v>0</v>
      </c>
      <c r="S70" s="73">
        <v>1809</v>
      </c>
      <c r="T70" s="73">
        <v>0</v>
      </c>
      <c r="U70" s="73">
        <v>0</v>
      </c>
    </row>
    <row r="71" spans="1:21" s="30" customFormat="1" ht="36" outlineLevel="2" x14ac:dyDescent="0.25">
      <c r="A71" s="31" t="s">
        <v>45</v>
      </c>
      <c r="B71" s="57" t="s">
        <v>46</v>
      </c>
      <c r="C71" s="52" t="s">
        <v>45</v>
      </c>
      <c r="D71" s="53" t="s">
        <v>45</v>
      </c>
      <c r="E71" s="43">
        <v>201</v>
      </c>
      <c r="F71" s="46" t="s">
        <v>25</v>
      </c>
      <c r="G71" s="46" t="str">
        <f>VLOOKUP(F71,Tables!D$9:E$17,2,FALSE)</f>
        <v>PTR</v>
      </c>
      <c r="H71" s="66">
        <v>17099694</v>
      </c>
      <c r="I71" s="33">
        <f>S71-R71</f>
        <v>49</v>
      </c>
      <c r="J71" s="33">
        <f>U71-T71</f>
        <v>0</v>
      </c>
      <c r="K71" s="54">
        <f>I71*$P71</f>
        <v>1.2838000000000001</v>
      </c>
      <c r="L71" s="54">
        <f>J71*$Q71</f>
        <v>0</v>
      </c>
      <c r="M71" s="62">
        <f>K71+L71</f>
        <v>1.2838000000000001</v>
      </c>
      <c r="N71" s="53" t="s">
        <v>423</v>
      </c>
      <c r="O71" s="53" t="s">
        <v>424</v>
      </c>
      <c r="P71" s="71">
        <f>IF(G71="MFP",Tables!B$2,Tables!B$5)</f>
        <v>2.6200000000000001E-2</v>
      </c>
      <c r="Q71" s="72">
        <f>IF(G71="MFP",Tables!B$3,Tables!B$6)</f>
        <v>0.11799999999999999</v>
      </c>
      <c r="R71" s="73">
        <v>0</v>
      </c>
      <c r="S71" s="73">
        <v>49</v>
      </c>
      <c r="T71" s="73">
        <v>0</v>
      </c>
      <c r="U71" s="73">
        <v>0</v>
      </c>
    </row>
    <row r="72" spans="1:21" s="56" customFormat="1" outlineLevel="1" x14ac:dyDescent="0.25">
      <c r="A72" s="31"/>
      <c r="B72" s="32" t="s">
        <v>723</v>
      </c>
      <c r="C72" s="52"/>
      <c r="D72" s="53"/>
      <c r="E72" s="43"/>
      <c r="F72" s="46"/>
      <c r="G72" s="46"/>
      <c r="H72" s="66"/>
      <c r="I72" s="33"/>
      <c r="J72" s="33"/>
      <c r="K72" s="54"/>
      <c r="L72" s="54"/>
      <c r="M72" s="62">
        <f>SUBTOTAL(9,M69:M71)</f>
        <v>473.54259999999994</v>
      </c>
      <c r="N72" s="53"/>
      <c r="O72" s="53"/>
      <c r="P72" s="71"/>
      <c r="Q72" s="72"/>
      <c r="R72" s="73"/>
      <c r="S72" s="73"/>
      <c r="T72" s="73"/>
      <c r="U72" s="73"/>
    </row>
    <row r="73" spans="1:21" s="30" customFormat="1" ht="24" outlineLevel="2" x14ac:dyDescent="0.25">
      <c r="A73" s="31" t="s">
        <v>273</v>
      </c>
      <c r="B73" s="57" t="s">
        <v>272</v>
      </c>
      <c r="C73" s="52" t="s">
        <v>650</v>
      </c>
      <c r="D73" s="53" t="s">
        <v>268</v>
      </c>
      <c r="E73" s="43">
        <v>202</v>
      </c>
      <c r="F73" s="46" t="s">
        <v>84</v>
      </c>
      <c r="G73" s="46" t="str">
        <f>VLOOKUP(F73,Tables!D$9:E$17,2,FALSE)</f>
        <v>MFP</v>
      </c>
      <c r="H73" s="66">
        <v>17099532</v>
      </c>
      <c r="I73" s="33">
        <f>S73-R73</f>
        <v>2710</v>
      </c>
      <c r="J73" s="33">
        <f>U73-T73</f>
        <v>0</v>
      </c>
      <c r="K73" s="54">
        <f>I73*$P73</f>
        <v>56.097000000000001</v>
      </c>
      <c r="L73" s="54">
        <f>J73*$Q73</f>
        <v>0</v>
      </c>
      <c r="M73" s="62">
        <f>K73+L73</f>
        <v>56.097000000000001</v>
      </c>
      <c r="N73" s="53" t="s">
        <v>274</v>
      </c>
      <c r="O73" s="53" t="s">
        <v>275</v>
      </c>
      <c r="P73" s="71">
        <f>IF(G73="MFP",Tables!B$2,Tables!B$5)</f>
        <v>2.07E-2</v>
      </c>
      <c r="Q73" s="72">
        <f>IF(G73="MFP",Tables!B$3,Tables!B$6)</f>
        <v>8.6999999999999994E-2</v>
      </c>
      <c r="R73" s="73">
        <v>0</v>
      </c>
      <c r="S73" s="73">
        <v>2710</v>
      </c>
      <c r="T73" s="73">
        <v>0</v>
      </c>
      <c r="U73" s="73">
        <v>0</v>
      </c>
    </row>
    <row r="74" spans="1:21" s="56" customFormat="1" outlineLevel="1" x14ac:dyDescent="0.25">
      <c r="A74" s="31"/>
      <c r="B74" s="32" t="s">
        <v>724</v>
      </c>
      <c r="C74" s="52"/>
      <c r="D74" s="53"/>
      <c r="E74" s="43"/>
      <c r="F74" s="46"/>
      <c r="G74" s="46"/>
      <c r="H74" s="66"/>
      <c r="I74" s="33"/>
      <c r="J74" s="33"/>
      <c r="K74" s="54"/>
      <c r="L74" s="54"/>
      <c r="M74" s="62">
        <f>SUBTOTAL(9,M73:M73)</f>
        <v>56.097000000000001</v>
      </c>
      <c r="N74" s="53"/>
      <c r="O74" s="53"/>
      <c r="P74" s="71"/>
      <c r="Q74" s="72"/>
      <c r="R74" s="73"/>
      <c r="S74" s="73"/>
      <c r="T74" s="73"/>
      <c r="U74" s="73"/>
    </row>
    <row r="75" spans="1:21" s="30" customFormat="1" ht="24" outlineLevel="2" x14ac:dyDescent="0.25">
      <c r="A75" s="31" t="s">
        <v>200</v>
      </c>
      <c r="B75" s="57" t="s">
        <v>199</v>
      </c>
      <c r="C75" s="52" t="s">
        <v>200</v>
      </c>
      <c r="D75" s="53" t="s">
        <v>125</v>
      </c>
      <c r="E75" s="43">
        <v>303</v>
      </c>
      <c r="F75" s="46" t="s">
        <v>25</v>
      </c>
      <c r="G75" s="46" t="str">
        <f>VLOOKUP(F75,Tables!D$9:E$17,2,FALSE)</f>
        <v>PTR</v>
      </c>
      <c r="H75" s="66">
        <v>17099615</v>
      </c>
      <c r="I75" s="33">
        <f>S75-R75</f>
        <v>2620</v>
      </c>
      <c r="J75" s="33">
        <f>U75-T75</f>
        <v>0</v>
      </c>
      <c r="K75" s="54">
        <f>I75*$P75</f>
        <v>68.644000000000005</v>
      </c>
      <c r="L75" s="54">
        <f>J75*$Q75</f>
        <v>0</v>
      </c>
      <c r="M75" s="62">
        <f>K75+L75</f>
        <v>68.644000000000005</v>
      </c>
      <c r="N75" s="53" t="s">
        <v>510</v>
      </c>
      <c r="O75" s="53" t="s">
        <v>511</v>
      </c>
      <c r="P75" s="71">
        <f>IF(G75="MFP",Tables!B$2,Tables!B$5)</f>
        <v>2.6200000000000001E-2</v>
      </c>
      <c r="Q75" s="72">
        <f>IF(G75="MFP",Tables!B$3,Tables!B$6)</f>
        <v>0.11799999999999999</v>
      </c>
      <c r="R75" s="73">
        <v>0</v>
      </c>
      <c r="S75" s="73">
        <v>2620</v>
      </c>
      <c r="T75" s="73">
        <v>0</v>
      </c>
      <c r="U75" s="73">
        <v>0</v>
      </c>
    </row>
    <row r="76" spans="1:21" s="30" customFormat="1" ht="24" outlineLevel="2" x14ac:dyDescent="0.25">
      <c r="A76" s="31" t="s">
        <v>200</v>
      </c>
      <c r="B76" s="57" t="s">
        <v>199</v>
      </c>
      <c r="C76" s="52" t="s">
        <v>200</v>
      </c>
      <c r="D76" s="53" t="s">
        <v>125</v>
      </c>
      <c r="E76" s="43" t="s">
        <v>449</v>
      </c>
      <c r="F76" s="46" t="s">
        <v>31</v>
      </c>
      <c r="G76" s="46" t="str">
        <f>VLOOKUP(F76,Tables!D$9:E$17,2,FALSE)</f>
        <v>MFP</v>
      </c>
      <c r="H76" s="66">
        <v>17099462</v>
      </c>
      <c r="I76" s="33">
        <f>S76-R76</f>
        <v>15902</v>
      </c>
      <c r="J76" s="33">
        <f>U76-T76</f>
        <v>93</v>
      </c>
      <c r="K76" s="54">
        <f>I76*$P76</f>
        <v>329.17140000000001</v>
      </c>
      <c r="L76" s="54">
        <f>J76*$Q76</f>
        <v>8.0909999999999993</v>
      </c>
      <c r="M76" s="62">
        <f>K76+L76</f>
        <v>337.26240000000001</v>
      </c>
      <c r="N76" s="53" t="s">
        <v>450</v>
      </c>
      <c r="O76" s="53" t="s">
        <v>451</v>
      </c>
      <c r="P76" s="71">
        <f>IF(G76="MFP",Tables!B$2,Tables!B$5)</f>
        <v>2.07E-2</v>
      </c>
      <c r="Q76" s="72">
        <f>IF(G76="MFP",Tables!B$3,Tables!B$6)</f>
        <v>8.6999999999999994E-2</v>
      </c>
      <c r="R76" s="73">
        <v>0</v>
      </c>
      <c r="S76" s="73">
        <v>15902</v>
      </c>
      <c r="T76" s="73">
        <v>0</v>
      </c>
      <c r="U76" s="73">
        <v>93</v>
      </c>
    </row>
    <row r="77" spans="1:21" s="30" customFormat="1" ht="24" outlineLevel="2" x14ac:dyDescent="0.25">
      <c r="A77" s="31" t="s">
        <v>200</v>
      </c>
      <c r="B77" s="57" t="s">
        <v>199</v>
      </c>
      <c r="C77" s="52" t="s">
        <v>200</v>
      </c>
      <c r="D77" s="53" t="s">
        <v>125</v>
      </c>
      <c r="E77" s="43" t="s">
        <v>198</v>
      </c>
      <c r="F77" s="46" t="s">
        <v>25</v>
      </c>
      <c r="G77" s="46" t="str">
        <f>VLOOKUP(F77,Tables!D$9:E$17,2,FALSE)</f>
        <v>PTR</v>
      </c>
      <c r="H77" s="66">
        <v>17099616</v>
      </c>
      <c r="I77" s="33">
        <f>S77-R77</f>
        <v>1848</v>
      </c>
      <c r="J77" s="33">
        <f>U77-T77</f>
        <v>0</v>
      </c>
      <c r="K77" s="54">
        <f>I77*$P77</f>
        <v>48.4176</v>
      </c>
      <c r="L77" s="54">
        <f>J77*$Q77</f>
        <v>0</v>
      </c>
      <c r="M77" s="62">
        <f>K77+L77</f>
        <v>48.4176</v>
      </c>
      <c r="N77" s="53" t="s">
        <v>202</v>
      </c>
      <c r="O77" s="53" t="s">
        <v>203</v>
      </c>
      <c r="P77" s="71">
        <f>IF(G77="MFP",Tables!B$2,Tables!B$5)</f>
        <v>2.6200000000000001E-2</v>
      </c>
      <c r="Q77" s="72">
        <f>IF(G77="MFP",Tables!B$3,Tables!B$6)</f>
        <v>0.11799999999999999</v>
      </c>
      <c r="R77" s="73">
        <v>0</v>
      </c>
      <c r="S77" s="73">
        <v>1848</v>
      </c>
      <c r="T77" s="73">
        <v>0</v>
      </c>
      <c r="U77" s="73">
        <v>0</v>
      </c>
    </row>
    <row r="78" spans="1:21" s="56" customFormat="1" outlineLevel="1" x14ac:dyDescent="0.25">
      <c r="A78" s="31"/>
      <c r="B78" s="32" t="s">
        <v>725</v>
      </c>
      <c r="C78" s="52"/>
      <c r="D78" s="53"/>
      <c r="E78" s="43"/>
      <c r="F78" s="46"/>
      <c r="G78" s="46"/>
      <c r="H78" s="66"/>
      <c r="I78" s="33"/>
      <c r="J78" s="33"/>
      <c r="K78" s="54"/>
      <c r="L78" s="54"/>
      <c r="M78" s="62">
        <f>SUBTOTAL(9,M75:M77)</f>
        <v>454.32400000000001</v>
      </c>
      <c r="N78" s="53"/>
      <c r="O78" s="53"/>
      <c r="P78" s="71"/>
      <c r="Q78" s="72"/>
      <c r="R78" s="73"/>
      <c r="S78" s="73"/>
      <c r="T78" s="73"/>
      <c r="U78" s="73"/>
    </row>
    <row r="79" spans="1:21" s="30" customFormat="1" ht="24" outlineLevel="2" x14ac:dyDescent="0.25">
      <c r="A79" s="31" t="s">
        <v>697</v>
      </c>
      <c r="B79" s="57" t="s">
        <v>242</v>
      </c>
      <c r="C79" s="52" t="s">
        <v>627</v>
      </c>
      <c r="D79" s="53" t="s">
        <v>93</v>
      </c>
      <c r="E79" s="43">
        <v>410</v>
      </c>
      <c r="F79" s="46" t="s">
        <v>25</v>
      </c>
      <c r="G79" s="46" t="str">
        <f>VLOOKUP(F79,Tables!D$9:E$17,2,FALSE)</f>
        <v>PTR</v>
      </c>
      <c r="H79" s="66">
        <v>17099752</v>
      </c>
      <c r="I79" s="33">
        <f>S79-R79</f>
        <v>296</v>
      </c>
      <c r="J79" s="33">
        <f>U79-T79</f>
        <v>0</v>
      </c>
      <c r="K79" s="54">
        <f>I79*$P79</f>
        <v>7.7552000000000003</v>
      </c>
      <c r="L79" s="54">
        <f>J79*$Q79</f>
        <v>0</v>
      </c>
      <c r="M79" s="62">
        <f>K79+L79</f>
        <v>7.7552000000000003</v>
      </c>
      <c r="N79" s="53" t="s">
        <v>532</v>
      </c>
      <c r="O79" s="53" t="s">
        <v>533</v>
      </c>
      <c r="P79" s="71">
        <f>IF(G79="MFP",Tables!B$2,Tables!B$5)</f>
        <v>2.6200000000000001E-2</v>
      </c>
      <c r="Q79" s="72">
        <f>IF(G79="MFP",Tables!B$3,Tables!B$6)</f>
        <v>0.11799999999999999</v>
      </c>
      <c r="R79" s="73">
        <v>0</v>
      </c>
      <c r="S79" s="73">
        <v>296</v>
      </c>
      <c r="T79" s="73">
        <v>0</v>
      </c>
      <c r="U79" s="73">
        <v>0</v>
      </c>
    </row>
    <row r="80" spans="1:21" s="30" customFormat="1" ht="24" outlineLevel="2" x14ac:dyDescent="0.25">
      <c r="A80" s="31" t="s">
        <v>697</v>
      </c>
      <c r="B80" s="57" t="s">
        <v>242</v>
      </c>
      <c r="C80" s="52" t="s">
        <v>627</v>
      </c>
      <c r="D80" s="53" t="s">
        <v>93</v>
      </c>
      <c r="E80" s="43">
        <v>609</v>
      </c>
      <c r="F80" s="46" t="s">
        <v>25</v>
      </c>
      <c r="G80" s="46" t="str">
        <f>VLOOKUP(F80,Tables!D$9:E$17,2,FALSE)</f>
        <v>PTR</v>
      </c>
      <c r="H80" s="66">
        <v>17099621</v>
      </c>
      <c r="I80" s="33">
        <f>S80-R80</f>
        <v>99</v>
      </c>
      <c r="J80" s="33">
        <f>U80-T80</f>
        <v>0</v>
      </c>
      <c r="K80" s="54">
        <f>I80*$P80</f>
        <v>2.5937999999999999</v>
      </c>
      <c r="L80" s="54">
        <f>J80*$Q80</f>
        <v>0</v>
      </c>
      <c r="M80" s="62">
        <f>K80+L80</f>
        <v>2.5937999999999999</v>
      </c>
      <c r="N80" s="53" t="s">
        <v>524</v>
      </c>
      <c r="O80" s="53" t="s">
        <v>525</v>
      </c>
      <c r="P80" s="71">
        <f>IF(G80="MFP",Tables!B$2,Tables!B$5)</f>
        <v>2.6200000000000001E-2</v>
      </c>
      <c r="Q80" s="72">
        <f>IF(G80="MFP",Tables!B$3,Tables!B$6)</f>
        <v>0.11799999999999999</v>
      </c>
      <c r="R80" s="73">
        <v>0</v>
      </c>
      <c r="S80" s="73">
        <v>99</v>
      </c>
      <c r="T80" s="73">
        <v>0</v>
      </c>
      <c r="U80" s="73">
        <v>0</v>
      </c>
    </row>
    <row r="81" spans="1:28" s="30" customFormat="1" ht="24" outlineLevel="2" x14ac:dyDescent="0.25">
      <c r="A81" s="31" t="s">
        <v>697</v>
      </c>
      <c r="B81" s="57" t="s">
        <v>242</v>
      </c>
      <c r="C81" s="52" t="s">
        <v>627</v>
      </c>
      <c r="D81" s="53" t="s">
        <v>93</v>
      </c>
      <c r="E81" s="43">
        <v>609</v>
      </c>
      <c r="F81" s="46" t="s">
        <v>162</v>
      </c>
      <c r="G81" s="46" t="str">
        <f>VLOOKUP(F81,Tables!D$9:E$17,2,FALSE)</f>
        <v>MFP</v>
      </c>
      <c r="H81" s="66">
        <v>17099782</v>
      </c>
      <c r="I81" s="33">
        <f>S81-R81</f>
        <v>58198</v>
      </c>
      <c r="J81" s="33">
        <f>U81-T81</f>
        <v>18058</v>
      </c>
      <c r="K81" s="54">
        <f>I81*$P81</f>
        <v>1204.6985999999999</v>
      </c>
      <c r="L81" s="54">
        <f>J81*$Q81</f>
        <v>1571.0459999999998</v>
      </c>
      <c r="M81" s="62">
        <f>K81+L81</f>
        <v>2775.7446</v>
      </c>
      <c r="N81" s="53" t="s">
        <v>243</v>
      </c>
      <c r="O81" s="53" t="s">
        <v>244</v>
      </c>
      <c r="P81" s="71">
        <f>IF(G81="MFP",Tables!B$2,Tables!B$5)</f>
        <v>2.07E-2</v>
      </c>
      <c r="Q81" s="72">
        <f>IF(G81="MFP",Tables!B$3,Tables!B$6)</f>
        <v>8.6999999999999994E-2</v>
      </c>
      <c r="R81" s="73">
        <v>0</v>
      </c>
      <c r="S81" s="73">
        <v>58198</v>
      </c>
      <c r="T81" s="73">
        <v>0</v>
      </c>
      <c r="U81" s="73">
        <v>18058</v>
      </c>
    </row>
    <row r="82" spans="1:28" s="30" customFormat="1" ht="24" outlineLevel="2" x14ac:dyDescent="0.25">
      <c r="A82" s="31" t="s">
        <v>697</v>
      </c>
      <c r="B82" s="57" t="s">
        <v>242</v>
      </c>
      <c r="C82" s="52" t="s">
        <v>627</v>
      </c>
      <c r="D82" s="53" t="s">
        <v>93</v>
      </c>
      <c r="E82" s="43" t="s">
        <v>315</v>
      </c>
      <c r="F82" s="46" t="s">
        <v>117</v>
      </c>
      <c r="G82" s="46" t="str">
        <f>VLOOKUP(F82,Tables!D$9:E$17,2,FALSE)</f>
        <v>PTR</v>
      </c>
      <c r="H82" s="66">
        <v>17099740</v>
      </c>
      <c r="I82" s="33">
        <f>S82-R82</f>
        <v>202</v>
      </c>
      <c r="J82" s="33">
        <f>U82-T82</f>
        <v>18</v>
      </c>
      <c r="K82" s="54">
        <f>I82*$P82</f>
        <v>5.2924000000000007</v>
      </c>
      <c r="L82" s="54">
        <f>J82*$Q82</f>
        <v>2.1239999999999997</v>
      </c>
      <c r="M82" s="62">
        <f>K82+L82</f>
        <v>7.4164000000000003</v>
      </c>
      <c r="N82" s="53" t="s">
        <v>317</v>
      </c>
      <c r="O82" s="53" t="s">
        <v>318</v>
      </c>
      <c r="P82" s="71">
        <f>IF(G82="MFP",Tables!B$2,Tables!B$5)</f>
        <v>2.6200000000000001E-2</v>
      </c>
      <c r="Q82" s="72">
        <f>IF(G82="MFP",Tables!B$3,Tables!B$6)</f>
        <v>0.11799999999999999</v>
      </c>
      <c r="R82" s="73">
        <v>0</v>
      </c>
      <c r="S82" s="73">
        <v>202</v>
      </c>
      <c r="T82" s="73">
        <v>0</v>
      </c>
      <c r="U82" s="73">
        <v>18</v>
      </c>
    </row>
    <row r="83" spans="1:28" s="56" customFormat="1" outlineLevel="1" x14ac:dyDescent="0.25">
      <c r="A83" s="31"/>
      <c r="B83" s="32" t="s">
        <v>726</v>
      </c>
      <c r="C83" s="52"/>
      <c r="D83" s="53"/>
      <c r="E83" s="43"/>
      <c r="F83" s="46"/>
      <c r="G83" s="46"/>
      <c r="H83" s="66"/>
      <c r="I83" s="33"/>
      <c r="J83" s="33"/>
      <c r="K83" s="54"/>
      <c r="L83" s="54"/>
      <c r="M83" s="62">
        <f>SUBTOTAL(9,M79:M82)</f>
        <v>2793.51</v>
      </c>
      <c r="N83" s="53"/>
      <c r="O83" s="53"/>
      <c r="P83" s="71"/>
      <c r="Q83" s="72"/>
      <c r="R83" s="73"/>
      <c r="S83" s="73"/>
      <c r="T83" s="73"/>
      <c r="U83" s="73"/>
    </row>
    <row r="84" spans="1:28" s="30" customFormat="1" ht="24" outlineLevel="2" x14ac:dyDescent="0.25">
      <c r="A84" s="31" t="s">
        <v>697</v>
      </c>
      <c r="B84" s="57" t="s">
        <v>41</v>
      </c>
      <c r="C84" s="52" t="s">
        <v>777</v>
      </c>
      <c r="D84" s="53" t="s">
        <v>93</v>
      </c>
      <c r="E84" s="43">
        <v>601</v>
      </c>
      <c r="F84" s="46" t="s">
        <v>25</v>
      </c>
      <c r="G84" s="46" t="str">
        <f>VLOOKUP(F84,Tables!D$9:E$17,2,FALSE)</f>
        <v>PTR</v>
      </c>
      <c r="H84" s="66">
        <v>17099768</v>
      </c>
      <c r="I84" s="33">
        <f>S84-R84</f>
        <v>32415</v>
      </c>
      <c r="J84" s="33">
        <f>U84-T84</f>
        <v>0</v>
      </c>
      <c r="K84" s="54">
        <f>I84*$P84</f>
        <v>849.27300000000002</v>
      </c>
      <c r="L84" s="54">
        <f>J84*$Q84</f>
        <v>0</v>
      </c>
      <c r="M84" s="62">
        <f>K84+L84</f>
        <v>849.27300000000002</v>
      </c>
      <c r="N84" s="53" t="s">
        <v>394</v>
      </c>
      <c r="O84" s="53" t="s">
        <v>395</v>
      </c>
      <c r="P84" s="71">
        <f>IF(G84="MFP",Tables!B$2,Tables!B$5)</f>
        <v>2.6200000000000001E-2</v>
      </c>
      <c r="Q84" s="72">
        <f>IF(G84="MFP",Tables!B$3,Tables!B$6)</f>
        <v>0.11799999999999999</v>
      </c>
      <c r="R84" s="73">
        <v>0</v>
      </c>
      <c r="S84" s="73">
        <v>32415</v>
      </c>
      <c r="T84" s="73">
        <v>0</v>
      </c>
      <c r="U84" s="73">
        <v>0</v>
      </c>
    </row>
    <row r="85" spans="1:28" s="56" customFormat="1" outlineLevel="1" x14ac:dyDescent="0.25">
      <c r="A85" s="31"/>
      <c r="B85" s="32" t="s">
        <v>712</v>
      </c>
      <c r="C85" s="52"/>
      <c r="D85" s="53"/>
      <c r="E85" s="43"/>
      <c r="F85" s="46"/>
      <c r="G85" s="46"/>
      <c r="H85" s="66"/>
      <c r="I85" s="33"/>
      <c r="J85" s="33"/>
      <c r="K85" s="54"/>
      <c r="L85" s="54"/>
      <c r="M85" s="62">
        <f>SUBTOTAL(9,M84:M84)</f>
        <v>849.27300000000002</v>
      </c>
      <c r="N85" s="53"/>
      <c r="O85" s="53"/>
      <c r="P85" s="71"/>
      <c r="Q85" s="72"/>
      <c r="R85" s="73"/>
      <c r="S85" s="73"/>
      <c r="T85" s="73"/>
      <c r="U85" s="73"/>
    </row>
    <row r="86" spans="1:28" s="30" customFormat="1" ht="36" outlineLevel="2" x14ac:dyDescent="0.25">
      <c r="A86" s="31" t="s">
        <v>703</v>
      </c>
      <c r="B86" s="57" t="s">
        <v>98</v>
      </c>
      <c r="C86" s="52" t="s">
        <v>651</v>
      </c>
      <c r="D86" s="53" t="s">
        <v>113</v>
      </c>
      <c r="E86" s="43">
        <v>1</v>
      </c>
      <c r="F86" s="46" t="s">
        <v>162</v>
      </c>
      <c r="G86" s="46" t="str">
        <f>VLOOKUP(F86,Tables!D$9:E$17,2,FALSE)</f>
        <v>MFP</v>
      </c>
      <c r="H86" s="66">
        <v>17099497</v>
      </c>
      <c r="I86" s="33">
        <f>S86-R86</f>
        <v>11116</v>
      </c>
      <c r="J86" s="33">
        <f>U86-T86</f>
        <v>1301</v>
      </c>
      <c r="K86" s="54">
        <f>I86*$P86</f>
        <v>230.10120000000001</v>
      </c>
      <c r="L86" s="54">
        <f>J86*$Q86</f>
        <v>113.187</v>
      </c>
      <c r="M86" s="62">
        <f>K86+L86</f>
        <v>343.28820000000002</v>
      </c>
      <c r="N86" s="53" t="s">
        <v>313</v>
      </c>
      <c r="O86" s="53" t="s">
        <v>314</v>
      </c>
      <c r="P86" s="71">
        <f>IF(G86="MFP",Tables!B$2,Tables!B$5)</f>
        <v>2.07E-2</v>
      </c>
      <c r="Q86" s="72">
        <f>IF(G86="MFP",Tables!B$3,Tables!B$6)</f>
        <v>8.6999999999999994E-2</v>
      </c>
      <c r="R86" s="73">
        <v>0</v>
      </c>
      <c r="S86" s="73">
        <v>11116</v>
      </c>
      <c r="T86" s="73">
        <v>0</v>
      </c>
      <c r="U86" s="73">
        <v>1301</v>
      </c>
    </row>
    <row r="87" spans="1:28" s="30" customFormat="1" ht="36" outlineLevel="2" x14ac:dyDescent="0.25">
      <c r="A87" s="31" t="s">
        <v>703</v>
      </c>
      <c r="B87" s="57" t="s">
        <v>98</v>
      </c>
      <c r="C87" s="52" t="s">
        <v>651</v>
      </c>
      <c r="D87" s="53" t="s">
        <v>113</v>
      </c>
      <c r="E87" s="43">
        <v>131</v>
      </c>
      <c r="F87" s="46" t="s">
        <v>25</v>
      </c>
      <c r="G87" s="46" t="str">
        <f>VLOOKUP(F87,Tables!D$9:E$17,2,FALSE)</f>
        <v>PTR</v>
      </c>
      <c r="H87" s="66">
        <v>17099704</v>
      </c>
      <c r="I87" s="33">
        <f>S87-R87</f>
        <v>0</v>
      </c>
      <c r="J87" s="33">
        <f>U87-T87</f>
        <v>0</v>
      </c>
      <c r="K87" s="54">
        <f>I87*$P87</f>
        <v>0</v>
      </c>
      <c r="L87" s="54">
        <f>J87*$Q87</f>
        <v>0</v>
      </c>
      <c r="M87" s="62">
        <f>K87+L87</f>
        <v>0</v>
      </c>
      <c r="N87" s="53" t="s">
        <v>114</v>
      </c>
      <c r="O87" s="53" t="s">
        <v>115</v>
      </c>
      <c r="P87" s="71">
        <f>IF(G87="MFP",Tables!B$2,Tables!B$5)</f>
        <v>2.6200000000000001E-2</v>
      </c>
      <c r="Q87" s="72">
        <f>IF(G87="MFP",Tables!B$3,Tables!B$6)</f>
        <v>0.11799999999999999</v>
      </c>
      <c r="R87" s="73">
        <v>0</v>
      </c>
      <c r="S87" s="73">
        <v>0</v>
      </c>
      <c r="T87" s="73">
        <v>0</v>
      </c>
      <c r="U87" s="73">
        <v>0</v>
      </c>
    </row>
    <row r="88" spans="1:28" s="30" customFormat="1" ht="36" outlineLevel="2" x14ac:dyDescent="0.25">
      <c r="A88" s="31" t="s">
        <v>703</v>
      </c>
      <c r="B88" s="57" t="s">
        <v>98</v>
      </c>
      <c r="C88" s="52" t="s">
        <v>651</v>
      </c>
      <c r="D88" s="53" t="s">
        <v>113</v>
      </c>
      <c r="E88" s="43" t="s">
        <v>119</v>
      </c>
      <c r="F88" s="46" t="s">
        <v>25</v>
      </c>
      <c r="G88" s="46" t="str">
        <f>VLOOKUP(F88,Tables!D$9:E$17,2,FALSE)</f>
        <v>PTR</v>
      </c>
      <c r="H88" s="66">
        <v>17099703</v>
      </c>
      <c r="I88" s="33">
        <f>S88-R88</f>
        <v>2883</v>
      </c>
      <c r="J88" s="33">
        <f>U88-T88</f>
        <v>0</v>
      </c>
      <c r="K88" s="54">
        <f>I88*$P88</f>
        <v>75.534599999999998</v>
      </c>
      <c r="L88" s="54">
        <f>J88*$Q88</f>
        <v>0</v>
      </c>
      <c r="M88" s="62">
        <f>K88+L88</f>
        <v>75.534599999999998</v>
      </c>
      <c r="N88" s="53" t="s">
        <v>291</v>
      </c>
      <c r="O88" s="53" t="s">
        <v>292</v>
      </c>
      <c r="P88" s="71">
        <f>IF(G88="MFP",Tables!B$2,Tables!B$5)</f>
        <v>2.6200000000000001E-2</v>
      </c>
      <c r="Q88" s="72">
        <f>IF(G88="MFP",Tables!B$3,Tables!B$6)</f>
        <v>0.11799999999999999</v>
      </c>
      <c r="R88" s="73">
        <v>0</v>
      </c>
      <c r="S88" s="73">
        <v>2883</v>
      </c>
      <c r="T88" s="73">
        <v>0</v>
      </c>
      <c r="U88" s="73">
        <v>0</v>
      </c>
    </row>
    <row r="89" spans="1:28" s="56" customFormat="1" outlineLevel="1" x14ac:dyDescent="0.25">
      <c r="A89" s="31"/>
      <c r="B89" s="32" t="s">
        <v>727</v>
      </c>
      <c r="C89" s="52"/>
      <c r="D89" s="53"/>
      <c r="E89" s="43"/>
      <c r="F89" s="46"/>
      <c r="G89" s="46"/>
      <c r="H89" s="66"/>
      <c r="I89" s="33"/>
      <c r="J89" s="33"/>
      <c r="K89" s="54"/>
      <c r="L89" s="54"/>
      <c r="M89" s="62">
        <f>SUBTOTAL(9,M86:M88)</f>
        <v>418.82280000000003</v>
      </c>
      <c r="N89" s="53"/>
      <c r="O89" s="53"/>
      <c r="P89" s="71"/>
      <c r="Q89" s="72"/>
      <c r="R89" s="73"/>
      <c r="S89" s="73"/>
      <c r="T89" s="73"/>
      <c r="U89" s="73"/>
    </row>
    <row r="90" spans="1:28" s="144" customFormat="1" ht="24.75" outlineLevel="2" x14ac:dyDescent="0.25">
      <c r="A90" s="31" t="s">
        <v>603</v>
      </c>
      <c r="B90" s="57" t="s">
        <v>602</v>
      </c>
      <c r="C90" s="52" t="s">
        <v>647</v>
      </c>
      <c r="D90" s="53" t="s">
        <v>538</v>
      </c>
      <c r="E90" s="43" t="s">
        <v>569</v>
      </c>
      <c r="F90" s="46" t="s">
        <v>25</v>
      </c>
      <c r="G90" s="46" t="str">
        <f>VLOOKUP(F90,Tables!D$9:E$17,2,FALSE)</f>
        <v>PTR</v>
      </c>
      <c r="H90" s="66">
        <v>17099697</v>
      </c>
      <c r="I90" s="33">
        <f>S90-R90</f>
        <v>246</v>
      </c>
      <c r="J90" s="33">
        <f>U90-T90</f>
        <v>0</v>
      </c>
      <c r="K90" s="54">
        <f>I90*$P90</f>
        <v>6.4451999999999998</v>
      </c>
      <c r="L90" s="54">
        <f>J90*$Q90</f>
        <v>0</v>
      </c>
      <c r="M90" s="62">
        <f>K90+L90</f>
        <v>6.4451999999999998</v>
      </c>
      <c r="N90" s="53" t="s">
        <v>604</v>
      </c>
      <c r="O90" s="53" t="s">
        <v>605</v>
      </c>
      <c r="P90" s="71">
        <f>IF(G90="MFP",Tables!B$2,Tables!B$5)</f>
        <v>2.6200000000000001E-2</v>
      </c>
      <c r="Q90" s="72">
        <f>IF(G90="MFP",Tables!B$3,Tables!B$6)</f>
        <v>0.11799999999999999</v>
      </c>
      <c r="R90" s="73">
        <v>0</v>
      </c>
      <c r="S90" s="73">
        <v>246</v>
      </c>
      <c r="T90" s="73">
        <v>0</v>
      </c>
      <c r="U90" s="73">
        <v>0</v>
      </c>
      <c r="V90" s="56"/>
      <c r="W90" s="56"/>
      <c r="X90" s="56"/>
      <c r="Y90" s="56"/>
      <c r="Z90" s="56"/>
      <c r="AA90" s="56"/>
      <c r="AB90" s="56"/>
    </row>
    <row r="91" spans="1:28" s="144" customFormat="1" outlineLevel="1" x14ac:dyDescent="0.25">
      <c r="A91" s="31"/>
      <c r="B91" s="32" t="s">
        <v>728</v>
      </c>
      <c r="C91" s="52"/>
      <c r="D91" s="53"/>
      <c r="E91" s="43"/>
      <c r="F91" s="46"/>
      <c r="G91" s="46"/>
      <c r="H91" s="66"/>
      <c r="I91" s="33"/>
      <c r="J91" s="33"/>
      <c r="K91" s="54"/>
      <c r="L91" s="54"/>
      <c r="M91" s="62">
        <f>SUBTOTAL(9,M90:M90)</f>
        <v>6.4451999999999998</v>
      </c>
      <c r="N91" s="53"/>
      <c r="O91" s="53"/>
      <c r="P91" s="71"/>
      <c r="Q91" s="72"/>
      <c r="R91" s="73"/>
      <c r="S91" s="73"/>
      <c r="T91" s="73"/>
      <c r="U91" s="73"/>
      <c r="V91" s="56"/>
      <c r="W91" s="56"/>
      <c r="X91" s="56"/>
      <c r="Y91" s="56"/>
      <c r="Z91" s="56"/>
      <c r="AA91" s="56"/>
      <c r="AB91" s="56"/>
    </row>
    <row r="92" spans="1:28" s="30" customFormat="1" ht="24" outlineLevel="2" x14ac:dyDescent="0.25">
      <c r="A92" s="31" t="s">
        <v>591</v>
      </c>
      <c r="B92" s="57" t="s">
        <v>590</v>
      </c>
      <c r="C92" s="52" t="s">
        <v>641</v>
      </c>
      <c r="D92" s="53" t="s">
        <v>538</v>
      </c>
      <c r="E92" s="43">
        <v>311</v>
      </c>
      <c r="F92" s="46" t="s">
        <v>18</v>
      </c>
      <c r="G92" s="46" t="str">
        <f>VLOOKUP(F92,Tables!D$9:E$17,2,FALSE)</f>
        <v>MFP</v>
      </c>
      <c r="H92" s="66">
        <v>17099528</v>
      </c>
      <c r="I92" s="33">
        <f>S92-R92</f>
        <v>10407</v>
      </c>
      <c r="J92" s="33">
        <f>U92-T92</f>
        <v>68</v>
      </c>
      <c r="K92" s="54">
        <f>I92*$P92</f>
        <v>215.42490000000001</v>
      </c>
      <c r="L92" s="54">
        <f>J92*$Q92</f>
        <v>5.9159999999999995</v>
      </c>
      <c r="M92" s="62">
        <f>K92+L92</f>
        <v>221.3409</v>
      </c>
      <c r="N92" s="53" t="s">
        <v>594</v>
      </c>
      <c r="O92" s="53" t="s">
        <v>595</v>
      </c>
      <c r="P92" s="71">
        <f>IF(G92="MFP",Tables!B$2,Tables!B$5)</f>
        <v>2.07E-2</v>
      </c>
      <c r="Q92" s="72">
        <f>IF(G92="MFP",Tables!B$3,Tables!B$6)</f>
        <v>8.6999999999999994E-2</v>
      </c>
      <c r="R92" s="73">
        <v>0</v>
      </c>
      <c r="S92" s="73">
        <v>10407</v>
      </c>
      <c r="T92" s="73">
        <v>0</v>
      </c>
      <c r="U92" s="73">
        <v>68</v>
      </c>
    </row>
    <row r="93" spans="1:28" s="30" customFormat="1" ht="24" outlineLevel="2" x14ac:dyDescent="0.25">
      <c r="A93" s="31" t="s">
        <v>591</v>
      </c>
      <c r="B93" s="57" t="s">
        <v>590</v>
      </c>
      <c r="C93" s="52" t="s">
        <v>641</v>
      </c>
      <c r="D93" s="53" t="s">
        <v>538</v>
      </c>
      <c r="E93" s="43">
        <v>320</v>
      </c>
      <c r="F93" s="46" t="s">
        <v>25</v>
      </c>
      <c r="G93" s="46" t="str">
        <f>VLOOKUP(F93,Tables!D$9:E$17,2,FALSE)</f>
        <v>PTR</v>
      </c>
      <c r="H93" s="66">
        <v>17099695</v>
      </c>
      <c r="I93" s="33">
        <f>S93-R93</f>
        <v>2433</v>
      </c>
      <c r="J93" s="33">
        <f>U93-T93</f>
        <v>0</v>
      </c>
      <c r="K93" s="54">
        <f>I93*$P93</f>
        <v>63.744600000000005</v>
      </c>
      <c r="L93" s="54">
        <f>J93*$Q93</f>
        <v>0</v>
      </c>
      <c r="M93" s="62">
        <f>K93+L93</f>
        <v>63.744600000000005</v>
      </c>
      <c r="N93" s="53" t="s">
        <v>592</v>
      </c>
      <c r="O93" s="53" t="s">
        <v>593</v>
      </c>
      <c r="P93" s="71">
        <f>IF(G93="MFP",Tables!B$2,Tables!B$5)</f>
        <v>2.6200000000000001E-2</v>
      </c>
      <c r="Q93" s="72">
        <f>IF(G93="MFP",Tables!B$3,Tables!B$6)</f>
        <v>0.11799999999999999</v>
      </c>
      <c r="R93" s="73">
        <v>0</v>
      </c>
      <c r="S93" s="73">
        <v>2433</v>
      </c>
      <c r="T93" s="73">
        <v>0</v>
      </c>
      <c r="U93" s="73">
        <v>0</v>
      </c>
    </row>
    <row r="94" spans="1:28" s="56" customFormat="1" outlineLevel="1" x14ac:dyDescent="0.25">
      <c r="A94" s="31"/>
      <c r="B94" s="32" t="s">
        <v>729</v>
      </c>
      <c r="C94" s="52"/>
      <c r="D94" s="53"/>
      <c r="E94" s="43"/>
      <c r="F94" s="46"/>
      <c r="G94" s="46"/>
      <c r="H94" s="66"/>
      <c r="I94" s="33"/>
      <c r="J94" s="33"/>
      <c r="K94" s="54"/>
      <c r="L94" s="54"/>
      <c r="M94" s="62">
        <f>SUBTOTAL(9,M92:M93)</f>
        <v>285.08550000000002</v>
      </c>
      <c r="N94" s="53"/>
      <c r="O94" s="53"/>
      <c r="P94" s="71"/>
      <c r="Q94" s="72"/>
      <c r="R94" s="73"/>
      <c r="S94" s="73"/>
      <c r="T94" s="73"/>
      <c r="U94" s="73"/>
    </row>
    <row r="95" spans="1:28" s="30" customFormat="1" ht="24" outlineLevel="2" x14ac:dyDescent="0.25">
      <c r="A95" s="31" t="s">
        <v>539</v>
      </c>
      <c r="B95" s="57" t="s">
        <v>32</v>
      </c>
      <c r="C95" s="52" t="s">
        <v>539</v>
      </c>
      <c r="D95" s="53" t="s">
        <v>538</v>
      </c>
      <c r="E95" s="43">
        <v>212</v>
      </c>
      <c r="F95" s="46" t="s">
        <v>25</v>
      </c>
      <c r="G95" s="46" t="str">
        <f>VLOOKUP(F95,Tables!D$9:E$17,2,FALSE)</f>
        <v>PTR</v>
      </c>
      <c r="H95" s="66">
        <v>17099699</v>
      </c>
      <c r="I95" s="33">
        <f>S95-R95</f>
        <v>71</v>
      </c>
      <c r="J95" s="33">
        <f>U95-T95</f>
        <v>0</v>
      </c>
      <c r="K95" s="54">
        <f>I95*$P95</f>
        <v>1.8602000000000001</v>
      </c>
      <c r="L95" s="54">
        <f>J95*$Q95</f>
        <v>0</v>
      </c>
      <c r="M95" s="62">
        <f>K95+L95</f>
        <v>1.8602000000000001</v>
      </c>
      <c r="N95" s="53" t="s">
        <v>542</v>
      </c>
      <c r="O95" s="53" t="s">
        <v>543</v>
      </c>
      <c r="P95" s="71">
        <f>IF(G95="MFP",Tables!B$2,Tables!B$5)</f>
        <v>2.6200000000000001E-2</v>
      </c>
      <c r="Q95" s="72">
        <f>IF(G95="MFP",Tables!B$3,Tables!B$6)</f>
        <v>0.11799999999999999</v>
      </c>
      <c r="R95" s="73">
        <v>0</v>
      </c>
      <c r="S95" s="73">
        <v>71</v>
      </c>
      <c r="T95" s="73">
        <v>0</v>
      </c>
      <c r="U95" s="73">
        <v>0</v>
      </c>
    </row>
    <row r="96" spans="1:28" s="30" customFormat="1" ht="24" outlineLevel="2" x14ac:dyDescent="0.25">
      <c r="A96" s="31" t="s">
        <v>539</v>
      </c>
      <c r="B96" s="57" t="s">
        <v>32</v>
      </c>
      <c r="C96" s="52" t="s">
        <v>539</v>
      </c>
      <c r="D96" s="53" t="s">
        <v>538</v>
      </c>
      <c r="E96" s="43">
        <v>213</v>
      </c>
      <c r="F96" s="46" t="s">
        <v>25</v>
      </c>
      <c r="G96" s="46" t="str">
        <f>VLOOKUP(F96,Tables!D$9:E$17,2,FALSE)</f>
        <v>PTR</v>
      </c>
      <c r="H96" s="66">
        <v>17099686</v>
      </c>
      <c r="I96" s="33">
        <f>S96-R96</f>
        <v>347</v>
      </c>
      <c r="J96" s="33">
        <f>U96-T96</f>
        <v>0</v>
      </c>
      <c r="K96" s="54">
        <f>I96*$P96</f>
        <v>9.0914000000000001</v>
      </c>
      <c r="L96" s="54">
        <f>J96*$Q96</f>
        <v>0</v>
      </c>
      <c r="M96" s="62">
        <f>K96+L96</f>
        <v>9.0914000000000001</v>
      </c>
      <c r="N96" s="53" t="s">
        <v>540</v>
      </c>
      <c r="O96" s="53" t="s">
        <v>541</v>
      </c>
      <c r="P96" s="71">
        <f>IF(G96="MFP",Tables!B$2,Tables!B$5)</f>
        <v>2.6200000000000001E-2</v>
      </c>
      <c r="Q96" s="72">
        <f>IF(G96="MFP",Tables!B$3,Tables!B$6)</f>
        <v>0.11799999999999999</v>
      </c>
      <c r="R96" s="73">
        <v>0</v>
      </c>
      <c r="S96" s="73">
        <v>347</v>
      </c>
      <c r="T96" s="73">
        <v>0</v>
      </c>
      <c r="U96" s="73">
        <v>0</v>
      </c>
    </row>
    <row r="97" spans="1:21" s="30" customFormat="1" ht="24" outlineLevel="2" x14ac:dyDescent="0.25">
      <c r="A97" s="31" t="s">
        <v>539</v>
      </c>
      <c r="B97" s="57" t="s">
        <v>32</v>
      </c>
      <c r="C97" s="52" t="s">
        <v>539</v>
      </c>
      <c r="D97" s="53" t="s">
        <v>538</v>
      </c>
      <c r="E97" s="43">
        <v>217</v>
      </c>
      <c r="F97" s="46" t="s">
        <v>117</v>
      </c>
      <c r="G97" s="46" t="str">
        <f>VLOOKUP(F97,Tables!D$9:E$17,2,FALSE)</f>
        <v>PTR</v>
      </c>
      <c r="H97" s="66">
        <v>17099451</v>
      </c>
      <c r="I97" s="33">
        <f>S97-R97</f>
        <v>1040</v>
      </c>
      <c r="J97" s="33">
        <f>U97-T97</f>
        <v>160</v>
      </c>
      <c r="K97" s="54">
        <f>I97*$P97</f>
        <v>27.248000000000001</v>
      </c>
      <c r="L97" s="54">
        <f>J97*$Q97</f>
        <v>18.88</v>
      </c>
      <c r="M97" s="62">
        <f>K97+L97</f>
        <v>46.128</v>
      </c>
      <c r="N97" s="53" t="s">
        <v>546</v>
      </c>
      <c r="O97" s="53" t="s">
        <v>547</v>
      </c>
      <c r="P97" s="71">
        <f>IF(G97="MFP",Tables!B$2,Tables!B$5)</f>
        <v>2.6200000000000001E-2</v>
      </c>
      <c r="Q97" s="72">
        <f>IF(G97="MFP",Tables!B$3,Tables!B$6)</f>
        <v>0.11799999999999999</v>
      </c>
      <c r="R97" s="73">
        <v>0</v>
      </c>
      <c r="S97" s="73">
        <v>1040</v>
      </c>
      <c r="T97" s="73">
        <v>0</v>
      </c>
      <c r="U97" s="73">
        <v>160</v>
      </c>
    </row>
    <row r="98" spans="1:21" s="30" customFormat="1" ht="24" outlineLevel="2" x14ac:dyDescent="0.25">
      <c r="A98" s="31" t="s">
        <v>548</v>
      </c>
      <c r="B98" s="57" t="s">
        <v>32</v>
      </c>
      <c r="C98" s="52" t="s">
        <v>539</v>
      </c>
      <c r="D98" s="53" t="s">
        <v>538</v>
      </c>
      <c r="E98" s="43">
        <v>216</v>
      </c>
      <c r="F98" s="46" t="s">
        <v>18</v>
      </c>
      <c r="G98" s="46" t="str">
        <f>VLOOKUP(F98,Tables!D$9:E$17,2,FALSE)</f>
        <v>MFP</v>
      </c>
      <c r="H98" s="66">
        <v>17099499</v>
      </c>
      <c r="I98" s="33">
        <f>S98-R98</f>
        <v>2549</v>
      </c>
      <c r="J98" s="33">
        <f>U98-T98</f>
        <v>287</v>
      </c>
      <c r="K98" s="54">
        <f>I98*$P98</f>
        <v>52.764299999999999</v>
      </c>
      <c r="L98" s="54">
        <f>J98*$Q98</f>
        <v>24.968999999999998</v>
      </c>
      <c r="M98" s="62">
        <f>K98+L98</f>
        <v>77.7333</v>
      </c>
      <c r="N98" s="53" t="s">
        <v>549</v>
      </c>
      <c r="O98" s="53" t="s">
        <v>550</v>
      </c>
      <c r="P98" s="71">
        <f>IF(G98="MFP",Tables!B$2,Tables!B$5)</f>
        <v>2.07E-2</v>
      </c>
      <c r="Q98" s="72">
        <f>IF(G98="MFP",Tables!B$3,Tables!B$6)</f>
        <v>8.6999999999999994E-2</v>
      </c>
      <c r="R98" s="73">
        <v>0</v>
      </c>
      <c r="S98" s="73">
        <v>2549</v>
      </c>
      <c r="T98" s="73">
        <v>0</v>
      </c>
      <c r="U98" s="73">
        <v>287</v>
      </c>
    </row>
    <row r="99" spans="1:21" s="30" customFormat="1" ht="24" outlineLevel="2" x14ac:dyDescent="0.25">
      <c r="A99" s="31" t="s">
        <v>548</v>
      </c>
      <c r="B99" s="57" t="s">
        <v>32</v>
      </c>
      <c r="C99" s="52" t="s">
        <v>548</v>
      </c>
      <c r="D99" s="53" t="s">
        <v>538</v>
      </c>
      <c r="E99" s="43">
        <v>201</v>
      </c>
      <c r="F99" s="46" t="s">
        <v>25</v>
      </c>
      <c r="G99" s="46" t="str">
        <f>VLOOKUP(F99,Tables!D$9:E$17,2,FALSE)</f>
        <v>PTR</v>
      </c>
      <c r="H99" s="66">
        <v>17099687</v>
      </c>
      <c r="I99" s="33">
        <f>S99-R99</f>
        <v>0</v>
      </c>
      <c r="J99" s="33">
        <f>U99-T99</f>
        <v>0</v>
      </c>
      <c r="K99" s="54">
        <f>I99*$P99</f>
        <v>0</v>
      </c>
      <c r="L99" s="54">
        <f>J99*$Q99</f>
        <v>0</v>
      </c>
      <c r="M99" s="62">
        <f>K99+L99</f>
        <v>0</v>
      </c>
      <c r="N99" s="53" t="s">
        <v>545</v>
      </c>
      <c r="O99" s="74"/>
      <c r="P99" s="71">
        <f>IF(G99="MFP",Tables!B$2,Tables!B$5)</f>
        <v>2.6200000000000001E-2</v>
      </c>
      <c r="Q99" s="72">
        <f>IF(G99="MFP",Tables!B$3,Tables!B$6)</f>
        <v>0.11799999999999999</v>
      </c>
      <c r="R99" s="73">
        <v>0</v>
      </c>
      <c r="S99" s="73">
        <v>0</v>
      </c>
      <c r="T99" s="73">
        <v>0</v>
      </c>
      <c r="U99" s="73">
        <v>0</v>
      </c>
    </row>
    <row r="100" spans="1:21" s="56" customFormat="1" outlineLevel="1" x14ac:dyDescent="0.25">
      <c r="A100" s="31"/>
      <c r="B100" s="32" t="s">
        <v>730</v>
      </c>
      <c r="C100" s="52"/>
      <c r="D100" s="53"/>
      <c r="E100" s="43"/>
      <c r="F100" s="46"/>
      <c r="G100" s="46"/>
      <c r="H100" s="66"/>
      <c r="I100" s="33"/>
      <c r="J100" s="33"/>
      <c r="K100" s="54"/>
      <c r="L100" s="54"/>
      <c r="M100" s="62">
        <f>SUBTOTAL(9,M95:M99)</f>
        <v>134.81290000000001</v>
      </c>
      <c r="N100" s="53"/>
      <c r="O100" s="74"/>
      <c r="P100" s="71"/>
      <c r="Q100" s="72"/>
      <c r="R100" s="73"/>
      <c r="S100" s="73"/>
      <c r="T100" s="73"/>
      <c r="U100" s="73"/>
    </row>
    <row r="101" spans="1:21" s="30" customFormat="1" ht="24" outlineLevel="2" x14ac:dyDescent="0.25">
      <c r="A101" s="31" t="s">
        <v>439</v>
      </c>
      <c r="B101" s="57" t="s">
        <v>221</v>
      </c>
      <c r="C101" s="52" t="s">
        <v>628</v>
      </c>
      <c r="D101" s="53" t="s">
        <v>63</v>
      </c>
      <c r="E101" s="43">
        <v>320</v>
      </c>
      <c r="F101" s="46" t="s">
        <v>25</v>
      </c>
      <c r="G101" s="46" t="str">
        <f>VLOOKUP(F101,Tables!D$9:E$17,2,FALSE)</f>
        <v>PTR</v>
      </c>
      <c r="H101" s="66">
        <v>17099771</v>
      </c>
      <c r="I101" s="33">
        <f>S101-R101</f>
        <v>27516</v>
      </c>
      <c r="J101" s="33">
        <f>U101-T101</f>
        <v>0</v>
      </c>
      <c r="K101" s="54">
        <f>I101*$P101</f>
        <v>720.91920000000005</v>
      </c>
      <c r="L101" s="54">
        <f>J101*$Q101</f>
        <v>0</v>
      </c>
      <c r="M101" s="62">
        <f>K101+L101</f>
        <v>720.91920000000005</v>
      </c>
      <c r="N101" s="53" t="s">
        <v>319</v>
      </c>
      <c r="O101" s="53" t="s">
        <v>320</v>
      </c>
      <c r="P101" s="71">
        <f>IF(G101="MFP",Tables!B$2,Tables!B$5)</f>
        <v>2.6200000000000001E-2</v>
      </c>
      <c r="Q101" s="72">
        <f>IF(G101="MFP",Tables!B$3,Tables!B$6)</f>
        <v>0.11799999999999999</v>
      </c>
      <c r="R101" s="73">
        <v>0</v>
      </c>
      <c r="S101" s="73">
        <v>27516</v>
      </c>
      <c r="T101" s="73">
        <v>0</v>
      </c>
      <c r="U101" s="73">
        <v>0</v>
      </c>
    </row>
    <row r="102" spans="1:21" s="30" customFormat="1" ht="24" outlineLevel="2" x14ac:dyDescent="0.25">
      <c r="A102" s="31" t="s">
        <v>439</v>
      </c>
      <c r="B102" s="57" t="s">
        <v>221</v>
      </c>
      <c r="C102" s="52" t="s">
        <v>628</v>
      </c>
      <c r="D102" s="53" t="s">
        <v>63</v>
      </c>
      <c r="E102" s="43">
        <v>337</v>
      </c>
      <c r="F102" s="46" t="s">
        <v>162</v>
      </c>
      <c r="G102" s="46" t="str">
        <f>VLOOKUP(F102,Tables!D$9:E$17,2,FALSE)</f>
        <v>MFP</v>
      </c>
      <c r="H102" s="66">
        <v>17099456</v>
      </c>
      <c r="I102" s="33">
        <f>S102-R102</f>
        <v>48147</v>
      </c>
      <c r="J102" s="33">
        <f>U102-T102</f>
        <v>3998</v>
      </c>
      <c r="K102" s="54">
        <f>I102*$P102</f>
        <v>996.64289999999994</v>
      </c>
      <c r="L102" s="54">
        <f>J102*$Q102</f>
        <v>347.82599999999996</v>
      </c>
      <c r="M102" s="62">
        <f>K102+L102</f>
        <v>1344.4688999999998</v>
      </c>
      <c r="N102" s="53" t="s">
        <v>440</v>
      </c>
      <c r="O102" s="53" t="s">
        <v>441</v>
      </c>
      <c r="P102" s="71">
        <f>IF(G102="MFP",Tables!B$2,Tables!B$5)</f>
        <v>2.07E-2</v>
      </c>
      <c r="Q102" s="72">
        <f>IF(G102="MFP",Tables!B$3,Tables!B$6)</f>
        <v>8.6999999999999994E-2</v>
      </c>
      <c r="R102" s="73">
        <v>0</v>
      </c>
      <c r="S102" s="73">
        <v>48147</v>
      </c>
      <c r="T102" s="73">
        <v>0</v>
      </c>
      <c r="U102" s="73">
        <v>3998</v>
      </c>
    </row>
    <row r="103" spans="1:21" s="56" customFormat="1" outlineLevel="1" x14ac:dyDescent="0.25">
      <c r="A103" s="31"/>
      <c r="B103" s="32" t="s">
        <v>731</v>
      </c>
      <c r="C103" s="52"/>
      <c r="D103" s="53"/>
      <c r="E103" s="43"/>
      <c r="F103" s="46"/>
      <c r="G103" s="46"/>
      <c r="H103" s="66"/>
      <c r="I103" s="33"/>
      <c r="J103" s="33"/>
      <c r="K103" s="54"/>
      <c r="L103" s="54"/>
      <c r="M103" s="62">
        <f>SUBTOTAL(9,M101:M102)</f>
        <v>2065.3881000000001</v>
      </c>
      <c r="N103" s="53"/>
      <c r="O103" s="53"/>
      <c r="P103" s="71"/>
      <c r="Q103" s="72"/>
      <c r="R103" s="73"/>
      <c r="S103" s="73"/>
      <c r="T103" s="73"/>
      <c r="U103" s="73"/>
    </row>
    <row r="104" spans="1:21" s="30" customFormat="1" ht="24" outlineLevel="2" x14ac:dyDescent="0.25">
      <c r="A104" s="31" t="s">
        <v>698</v>
      </c>
      <c r="B104" s="57" t="s">
        <v>159</v>
      </c>
      <c r="C104" s="52" t="s">
        <v>629</v>
      </c>
      <c r="D104" s="53" t="s">
        <v>93</v>
      </c>
      <c r="E104" s="43">
        <v>502</v>
      </c>
      <c r="F104" s="46" t="s">
        <v>25</v>
      </c>
      <c r="G104" s="46" t="str">
        <f>VLOOKUP(F104,Tables!D$9:E$17,2,FALSE)</f>
        <v>PTR</v>
      </c>
      <c r="H104" s="66">
        <v>17099626</v>
      </c>
      <c r="I104" s="33">
        <f>S104-R104</f>
        <v>52</v>
      </c>
      <c r="J104" s="33">
        <f>U104-T104</f>
        <v>0</v>
      </c>
      <c r="K104" s="54">
        <f>I104*$P104</f>
        <v>1.3624000000000001</v>
      </c>
      <c r="L104" s="54">
        <f>J104*$Q104</f>
        <v>0</v>
      </c>
      <c r="M104" s="62">
        <f>K104+L104</f>
        <v>1.3624000000000001</v>
      </c>
      <c r="N104" s="53" t="s">
        <v>526</v>
      </c>
      <c r="O104" s="53" t="s">
        <v>527</v>
      </c>
      <c r="P104" s="71">
        <f>IF(G104="MFP",Tables!B$2,Tables!B$5)</f>
        <v>2.6200000000000001E-2</v>
      </c>
      <c r="Q104" s="72">
        <f>IF(G104="MFP",Tables!B$3,Tables!B$6)</f>
        <v>0.11799999999999999</v>
      </c>
      <c r="R104" s="73">
        <v>0</v>
      </c>
      <c r="S104" s="73">
        <v>52</v>
      </c>
      <c r="T104" s="73">
        <v>0</v>
      </c>
      <c r="U104" s="73">
        <v>0</v>
      </c>
    </row>
    <row r="105" spans="1:21" s="30" customFormat="1" ht="24" outlineLevel="2" x14ac:dyDescent="0.25">
      <c r="A105" s="31" t="s">
        <v>698</v>
      </c>
      <c r="B105" s="57" t="s">
        <v>159</v>
      </c>
      <c r="C105" s="52" t="s">
        <v>629</v>
      </c>
      <c r="D105" s="53" t="s">
        <v>93</v>
      </c>
      <c r="E105" s="43">
        <v>507</v>
      </c>
      <c r="F105" s="46" t="s">
        <v>25</v>
      </c>
      <c r="G105" s="46" t="str">
        <f>VLOOKUP(F105,Tables!D$9:E$17,2,FALSE)</f>
        <v>PTR</v>
      </c>
      <c r="H105" s="66">
        <v>17099587</v>
      </c>
      <c r="I105" s="33">
        <f>S105-R105</f>
        <v>89</v>
      </c>
      <c r="J105" s="33">
        <f>U105-T105</f>
        <v>0</v>
      </c>
      <c r="K105" s="54">
        <f>I105*$P105</f>
        <v>2.3318000000000003</v>
      </c>
      <c r="L105" s="54">
        <f>J105*$Q105</f>
        <v>0</v>
      </c>
      <c r="M105" s="62">
        <f>K105+L105</f>
        <v>2.3318000000000003</v>
      </c>
      <c r="N105" s="53" t="s">
        <v>528</v>
      </c>
      <c r="O105" s="53" t="s">
        <v>529</v>
      </c>
      <c r="P105" s="71">
        <f>IF(G105="MFP",Tables!B$2,Tables!B$5)</f>
        <v>2.6200000000000001E-2</v>
      </c>
      <c r="Q105" s="72">
        <f>IF(G105="MFP",Tables!B$3,Tables!B$6)</f>
        <v>0.11799999999999999</v>
      </c>
      <c r="R105" s="73">
        <v>0</v>
      </c>
      <c r="S105" s="73">
        <v>89</v>
      </c>
      <c r="T105" s="73">
        <v>0</v>
      </c>
      <c r="U105" s="73">
        <v>0</v>
      </c>
    </row>
    <row r="106" spans="1:21" s="30" customFormat="1" ht="24" outlineLevel="2" x14ac:dyDescent="0.25">
      <c r="A106" s="31" t="s">
        <v>698</v>
      </c>
      <c r="B106" s="57" t="s">
        <v>159</v>
      </c>
      <c r="C106" s="52" t="s">
        <v>629</v>
      </c>
      <c r="D106" s="53" t="s">
        <v>93</v>
      </c>
      <c r="E106" s="43">
        <v>508</v>
      </c>
      <c r="F106" s="46" t="s">
        <v>31</v>
      </c>
      <c r="G106" s="46" t="str">
        <f>VLOOKUP(F106,Tables!D$9:E$17,2,FALSE)</f>
        <v>MFP</v>
      </c>
      <c r="H106" s="66">
        <v>17099466</v>
      </c>
      <c r="I106" s="33">
        <f>S106-R106</f>
        <v>2423</v>
      </c>
      <c r="J106" s="33">
        <f>U106-T106</f>
        <v>181</v>
      </c>
      <c r="K106" s="54">
        <f>I106*$P106</f>
        <v>50.156100000000002</v>
      </c>
      <c r="L106" s="54">
        <f>J106*$Q106</f>
        <v>15.746999999999998</v>
      </c>
      <c r="M106" s="62">
        <f>K106+L106</f>
        <v>65.903099999999995</v>
      </c>
      <c r="N106" s="53" t="s">
        <v>409</v>
      </c>
      <c r="O106" s="53" t="s">
        <v>410</v>
      </c>
      <c r="P106" s="71">
        <f>IF(G106="MFP",Tables!B$2,Tables!B$5)</f>
        <v>2.07E-2</v>
      </c>
      <c r="Q106" s="72">
        <f>IF(G106="MFP",Tables!B$3,Tables!B$6)</f>
        <v>8.6999999999999994E-2</v>
      </c>
      <c r="R106" s="73">
        <v>0</v>
      </c>
      <c r="S106" s="73">
        <v>2423</v>
      </c>
      <c r="T106" s="73">
        <v>0</v>
      </c>
      <c r="U106" s="73">
        <v>181</v>
      </c>
    </row>
    <row r="107" spans="1:21" s="30" customFormat="1" ht="24" outlineLevel="2" x14ac:dyDescent="0.25">
      <c r="A107" s="31" t="s">
        <v>698</v>
      </c>
      <c r="B107" s="57" t="s">
        <v>159</v>
      </c>
      <c r="C107" s="52" t="s">
        <v>629</v>
      </c>
      <c r="D107" s="53" t="s">
        <v>93</v>
      </c>
      <c r="E107" s="43">
        <v>509</v>
      </c>
      <c r="F107" s="46" t="s">
        <v>25</v>
      </c>
      <c r="G107" s="46" t="str">
        <f>VLOOKUP(F107,Tables!D$9:E$17,2,FALSE)</f>
        <v>PTR</v>
      </c>
      <c r="H107" s="66">
        <v>17099614</v>
      </c>
      <c r="I107" s="33">
        <f>S107-R107</f>
        <v>61</v>
      </c>
      <c r="J107" s="33">
        <f>U107-T107</f>
        <v>0</v>
      </c>
      <c r="K107" s="54">
        <f>I107*$P107</f>
        <v>1.5982000000000001</v>
      </c>
      <c r="L107" s="54">
        <f>J107*$Q107</f>
        <v>0</v>
      </c>
      <c r="M107" s="62">
        <f>K107+L107</f>
        <v>1.5982000000000001</v>
      </c>
      <c r="N107" s="53" t="s">
        <v>160</v>
      </c>
      <c r="O107" s="53" t="s">
        <v>161</v>
      </c>
      <c r="P107" s="71">
        <f>IF(G107="MFP",Tables!B$2,Tables!B$5)</f>
        <v>2.6200000000000001E-2</v>
      </c>
      <c r="Q107" s="72">
        <f>IF(G107="MFP",Tables!B$3,Tables!B$6)</f>
        <v>0.11799999999999999</v>
      </c>
      <c r="R107" s="73">
        <v>0</v>
      </c>
      <c r="S107" s="73">
        <v>61</v>
      </c>
      <c r="T107" s="73">
        <v>0</v>
      </c>
      <c r="U107" s="73">
        <v>0</v>
      </c>
    </row>
    <row r="108" spans="1:21" s="30" customFormat="1" ht="24" outlineLevel="2" x14ac:dyDescent="0.25">
      <c r="A108" s="31" t="s">
        <v>698</v>
      </c>
      <c r="B108" s="57" t="s">
        <v>159</v>
      </c>
      <c r="C108" s="52" t="s">
        <v>629</v>
      </c>
      <c r="D108" s="53" t="s">
        <v>93</v>
      </c>
      <c r="E108" s="43">
        <v>605</v>
      </c>
      <c r="F108" s="46" t="s">
        <v>25</v>
      </c>
      <c r="G108" s="46" t="str">
        <f>VLOOKUP(F108,Tables!D$9:E$17,2,FALSE)</f>
        <v>PTR</v>
      </c>
      <c r="H108" s="66">
        <v>17099625</v>
      </c>
      <c r="I108" s="33">
        <f>S108-R108</f>
        <v>86</v>
      </c>
      <c r="J108" s="33">
        <f>U108-T108</f>
        <v>0</v>
      </c>
      <c r="K108" s="54">
        <f>I108*$P108</f>
        <v>2.2532000000000001</v>
      </c>
      <c r="L108" s="54">
        <f>J108*$Q108</f>
        <v>0</v>
      </c>
      <c r="M108" s="62">
        <f>K108+L108</f>
        <v>2.2532000000000001</v>
      </c>
      <c r="N108" s="53" t="s">
        <v>512</v>
      </c>
      <c r="O108" s="53" t="s">
        <v>513</v>
      </c>
      <c r="P108" s="71">
        <f>IF(G108="MFP",Tables!B$2,Tables!B$5)</f>
        <v>2.6200000000000001E-2</v>
      </c>
      <c r="Q108" s="72">
        <f>IF(G108="MFP",Tables!B$3,Tables!B$6)</f>
        <v>0.11799999999999999</v>
      </c>
      <c r="R108" s="73">
        <v>0</v>
      </c>
      <c r="S108" s="73">
        <v>86</v>
      </c>
      <c r="T108" s="73">
        <v>0</v>
      </c>
      <c r="U108" s="73">
        <v>0</v>
      </c>
    </row>
    <row r="109" spans="1:21" s="30" customFormat="1" ht="24" outlineLevel="2" x14ac:dyDescent="0.25">
      <c r="A109" s="31" t="s">
        <v>698</v>
      </c>
      <c r="B109" s="57" t="s">
        <v>159</v>
      </c>
      <c r="C109" s="52" t="s">
        <v>629</v>
      </c>
      <c r="D109" s="53" t="s">
        <v>93</v>
      </c>
      <c r="E109" s="43">
        <v>620</v>
      </c>
      <c r="F109" s="46" t="s">
        <v>25</v>
      </c>
      <c r="G109" s="46" t="str">
        <f>VLOOKUP(F109,Tables!D$9:E$17,2,FALSE)</f>
        <v>PTR</v>
      </c>
      <c r="H109" s="66">
        <v>17099619</v>
      </c>
      <c r="I109" s="33">
        <f>S109-R109</f>
        <v>313</v>
      </c>
      <c r="J109" s="33">
        <f>U109-T109</f>
        <v>0</v>
      </c>
      <c r="K109" s="54">
        <f>I109*$P109</f>
        <v>8.2005999999999997</v>
      </c>
      <c r="L109" s="54">
        <f>J109*$Q109</f>
        <v>0</v>
      </c>
      <c r="M109" s="62">
        <f>K109+L109</f>
        <v>8.2005999999999997</v>
      </c>
      <c r="N109" s="53" t="s">
        <v>522</v>
      </c>
      <c r="O109" s="53" t="s">
        <v>523</v>
      </c>
      <c r="P109" s="71">
        <f>IF(G109="MFP",Tables!B$2,Tables!B$5)</f>
        <v>2.6200000000000001E-2</v>
      </c>
      <c r="Q109" s="72">
        <f>IF(G109="MFP",Tables!B$3,Tables!B$6)</f>
        <v>0.11799999999999999</v>
      </c>
      <c r="R109" s="73">
        <v>0</v>
      </c>
      <c r="S109" s="73">
        <v>313</v>
      </c>
      <c r="T109" s="73">
        <v>0</v>
      </c>
      <c r="U109" s="73">
        <v>0</v>
      </c>
    </row>
    <row r="110" spans="1:21" s="56" customFormat="1" outlineLevel="1" x14ac:dyDescent="0.25">
      <c r="A110" s="31"/>
      <c r="B110" s="32" t="s">
        <v>732</v>
      </c>
      <c r="C110" s="52"/>
      <c r="D110" s="53"/>
      <c r="E110" s="43"/>
      <c r="F110" s="46"/>
      <c r="G110" s="46"/>
      <c r="H110" s="66"/>
      <c r="I110" s="33"/>
      <c r="J110" s="33"/>
      <c r="K110" s="54"/>
      <c r="L110" s="54"/>
      <c r="M110" s="62">
        <f>SUBTOTAL(9,M104:M109)</f>
        <v>81.649299999999997</v>
      </c>
      <c r="N110" s="53"/>
      <c r="O110" s="53"/>
      <c r="P110" s="71"/>
      <c r="Q110" s="72"/>
      <c r="R110" s="73"/>
      <c r="S110" s="73"/>
      <c r="T110" s="73"/>
      <c r="U110" s="73"/>
    </row>
    <row r="111" spans="1:21" s="30" customFormat="1" ht="24" outlineLevel="2" x14ac:dyDescent="0.25">
      <c r="A111" s="31" t="s">
        <v>698</v>
      </c>
      <c r="B111" s="57" t="s">
        <v>41</v>
      </c>
      <c r="C111" s="52" t="s">
        <v>777</v>
      </c>
      <c r="D111" s="53" t="s">
        <v>93</v>
      </c>
      <c r="E111" s="43">
        <v>404</v>
      </c>
      <c r="F111" s="46" t="s">
        <v>25</v>
      </c>
      <c r="G111" s="46" t="str">
        <f>VLOOKUP(F111,Tables!D$9:E$17,2,FALSE)</f>
        <v>PTR</v>
      </c>
      <c r="H111" s="66">
        <v>17099764</v>
      </c>
      <c r="I111" s="33">
        <f>S111-R111</f>
        <v>5852</v>
      </c>
      <c r="J111" s="33">
        <f>U111-T111</f>
        <v>0</v>
      </c>
      <c r="K111" s="54">
        <f>I111*$P111</f>
        <v>153.32240000000002</v>
      </c>
      <c r="L111" s="54">
        <f>J111*$Q111</f>
        <v>0</v>
      </c>
      <c r="M111" s="62">
        <f>K111+L111</f>
        <v>153.32240000000002</v>
      </c>
      <c r="N111" s="53" t="s">
        <v>536</v>
      </c>
      <c r="O111" s="53" t="s">
        <v>537</v>
      </c>
      <c r="P111" s="71">
        <f>IF(G111="MFP",Tables!B$2,Tables!B$5)</f>
        <v>2.6200000000000001E-2</v>
      </c>
      <c r="Q111" s="72">
        <f>IF(G111="MFP",Tables!B$3,Tables!B$6)</f>
        <v>0.11799999999999999</v>
      </c>
      <c r="R111" s="73">
        <v>0</v>
      </c>
      <c r="S111" s="73">
        <v>5852</v>
      </c>
      <c r="T111" s="73">
        <v>0</v>
      </c>
      <c r="U111" s="73">
        <v>0</v>
      </c>
    </row>
    <row r="112" spans="1:21" s="30" customFormat="1" ht="24" outlineLevel="2" x14ac:dyDescent="0.25">
      <c r="A112" s="31" t="s">
        <v>698</v>
      </c>
      <c r="B112" s="57" t="s">
        <v>41</v>
      </c>
      <c r="C112" s="52" t="s">
        <v>777</v>
      </c>
      <c r="D112" s="53" t="s">
        <v>93</v>
      </c>
      <c r="E112" s="43">
        <v>407</v>
      </c>
      <c r="F112" s="46" t="s">
        <v>25</v>
      </c>
      <c r="G112" s="46" t="str">
        <f>VLOOKUP(F112,Tables!D$9:E$17,2,FALSE)</f>
        <v>PTR</v>
      </c>
      <c r="H112" s="66">
        <v>17099788</v>
      </c>
      <c r="I112" s="33">
        <f>S112-R112</f>
        <v>980</v>
      </c>
      <c r="J112" s="33">
        <f>U112-T112</f>
        <v>0</v>
      </c>
      <c r="K112" s="54">
        <f>I112*$P112</f>
        <v>25.676000000000002</v>
      </c>
      <c r="L112" s="54">
        <f>J112*$Q112</f>
        <v>0</v>
      </c>
      <c r="M112" s="62">
        <f>K112+L112</f>
        <v>25.676000000000002</v>
      </c>
      <c r="N112" s="53" t="s">
        <v>95</v>
      </c>
      <c r="O112" s="53" t="s">
        <v>96</v>
      </c>
      <c r="P112" s="71">
        <f>IF(G112="MFP",Tables!B$2,Tables!B$5)</f>
        <v>2.6200000000000001E-2</v>
      </c>
      <c r="Q112" s="72">
        <f>IF(G112="MFP",Tables!B$3,Tables!B$6)</f>
        <v>0.11799999999999999</v>
      </c>
      <c r="R112" s="73">
        <v>0</v>
      </c>
      <c r="S112" s="73">
        <v>980</v>
      </c>
      <c r="T112" s="73">
        <v>0</v>
      </c>
      <c r="U112" s="73">
        <v>0</v>
      </c>
    </row>
    <row r="113" spans="1:21" s="30" customFormat="1" ht="24" outlineLevel="2" x14ac:dyDescent="0.25">
      <c r="A113" s="31" t="s">
        <v>698</v>
      </c>
      <c r="B113" s="57" t="s">
        <v>41</v>
      </c>
      <c r="C113" s="52" t="s">
        <v>777</v>
      </c>
      <c r="D113" s="53" t="s">
        <v>93</v>
      </c>
      <c r="E113" s="43">
        <v>426</v>
      </c>
      <c r="F113" s="46" t="s">
        <v>25</v>
      </c>
      <c r="G113" s="46" t="str">
        <f>VLOOKUP(F113,Tables!D$9:E$17,2,FALSE)</f>
        <v>PTR</v>
      </c>
      <c r="H113" s="66">
        <v>17099766</v>
      </c>
      <c r="I113" s="33">
        <f>S113-R113</f>
        <v>1279</v>
      </c>
      <c r="J113" s="33">
        <f>U113-T113</f>
        <v>0</v>
      </c>
      <c r="K113" s="54">
        <f>I113*$P113</f>
        <v>33.509799999999998</v>
      </c>
      <c r="L113" s="54">
        <f>J113*$Q113</f>
        <v>0</v>
      </c>
      <c r="M113" s="62">
        <f>K113+L113</f>
        <v>33.509799999999998</v>
      </c>
      <c r="N113" s="53" t="s">
        <v>534</v>
      </c>
      <c r="O113" s="53" t="s">
        <v>535</v>
      </c>
      <c r="P113" s="71">
        <f>IF(G113="MFP",Tables!B$2,Tables!B$5)</f>
        <v>2.6200000000000001E-2</v>
      </c>
      <c r="Q113" s="72">
        <f>IF(G113="MFP",Tables!B$3,Tables!B$6)</f>
        <v>0.11799999999999999</v>
      </c>
      <c r="R113" s="73">
        <v>0</v>
      </c>
      <c r="S113" s="73">
        <v>1279</v>
      </c>
      <c r="T113" s="73">
        <v>0</v>
      </c>
      <c r="U113" s="73">
        <v>0</v>
      </c>
    </row>
    <row r="114" spans="1:21" s="30" customFormat="1" ht="24" outlineLevel="2" x14ac:dyDescent="0.25">
      <c r="A114" s="31" t="s">
        <v>698</v>
      </c>
      <c r="B114" s="57" t="s">
        <v>41</v>
      </c>
      <c r="C114" s="52" t="s">
        <v>777</v>
      </c>
      <c r="D114" s="53" t="s">
        <v>93</v>
      </c>
      <c r="E114" s="43">
        <v>427</v>
      </c>
      <c r="F114" s="46" t="s">
        <v>25</v>
      </c>
      <c r="G114" s="46" t="str">
        <f>VLOOKUP(F114,Tables!D$9:E$17,2,FALSE)</f>
        <v>PTR</v>
      </c>
      <c r="H114" s="66">
        <v>17099767</v>
      </c>
      <c r="I114" s="33">
        <f>S114-R114</f>
        <v>907</v>
      </c>
      <c r="J114" s="33">
        <f>U114-T114</f>
        <v>0</v>
      </c>
      <c r="K114" s="54">
        <f>I114*$P114</f>
        <v>23.763400000000001</v>
      </c>
      <c r="L114" s="54">
        <f>J114*$Q114</f>
        <v>0</v>
      </c>
      <c r="M114" s="62">
        <f>K114+L114</f>
        <v>23.763400000000001</v>
      </c>
      <c r="N114" s="53" t="s">
        <v>518</v>
      </c>
      <c r="O114" s="53" t="s">
        <v>519</v>
      </c>
      <c r="P114" s="71">
        <f>IF(G114="MFP",Tables!B$2,Tables!B$5)</f>
        <v>2.6200000000000001E-2</v>
      </c>
      <c r="Q114" s="72">
        <f>IF(G114="MFP",Tables!B$3,Tables!B$6)</f>
        <v>0.11799999999999999</v>
      </c>
      <c r="R114" s="73">
        <v>0</v>
      </c>
      <c r="S114" s="73">
        <v>907</v>
      </c>
      <c r="T114" s="73">
        <v>0</v>
      </c>
      <c r="U114" s="73">
        <v>0</v>
      </c>
    </row>
    <row r="115" spans="1:21" s="30" customFormat="1" ht="24" outlineLevel="2" x14ac:dyDescent="0.25">
      <c r="A115" s="31" t="s">
        <v>698</v>
      </c>
      <c r="B115" s="57" t="s">
        <v>41</v>
      </c>
      <c r="C115" s="52" t="s">
        <v>777</v>
      </c>
      <c r="D115" s="53" t="s">
        <v>93</v>
      </c>
      <c r="E115" s="43">
        <v>428</v>
      </c>
      <c r="F115" s="46" t="s">
        <v>25</v>
      </c>
      <c r="G115" s="46" t="str">
        <f>VLOOKUP(F115,Tables!D$9:E$17,2,FALSE)</f>
        <v>PTR</v>
      </c>
      <c r="H115" s="66">
        <v>17099765</v>
      </c>
      <c r="I115" s="33">
        <f>S115-R115</f>
        <v>1423</v>
      </c>
      <c r="J115" s="33">
        <f>U115-T115</f>
        <v>0</v>
      </c>
      <c r="K115" s="54">
        <f>I115*$P115</f>
        <v>37.282600000000002</v>
      </c>
      <c r="L115" s="54">
        <f>J115*$Q115</f>
        <v>0</v>
      </c>
      <c r="M115" s="62">
        <f>K115+L115</f>
        <v>37.282600000000002</v>
      </c>
      <c r="N115" s="53" t="s">
        <v>103</v>
      </c>
      <c r="O115" s="53" t="s">
        <v>104</v>
      </c>
      <c r="P115" s="71">
        <f>IF(G115="MFP",Tables!B$2,Tables!B$5)</f>
        <v>2.6200000000000001E-2</v>
      </c>
      <c r="Q115" s="72">
        <f>IF(G115="MFP",Tables!B$3,Tables!B$6)</f>
        <v>0.11799999999999999</v>
      </c>
      <c r="R115" s="73">
        <v>0</v>
      </c>
      <c r="S115" s="73">
        <v>1423</v>
      </c>
      <c r="T115" s="73">
        <v>0</v>
      </c>
      <c r="U115" s="73">
        <v>0</v>
      </c>
    </row>
    <row r="116" spans="1:21" s="30" customFormat="1" ht="24" outlineLevel="2" x14ac:dyDescent="0.25">
      <c r="A116" s="31" t="s">
        <v>698</v>
      </c>
      <c r="B116" s="57" t="s">
        <v>41</v>
      </c>
      <c r="C116" s="52" t="s">
        <v>777</v>
      </c>
      <c r="D116" s="53" t="s">
        <v>93</v>
      </c>
      <c r="E116" s="43">
        <v>506</v>
      </c>
      <c r="F116" s="46" t="s">
        <v>25</v>
      </c>
      <c r="G116" s="46" t="str">
        <f>VLOOKUP(F116,Tables!D$9:E$17,2,FALSE)</f>
        <v>PTR</v>
      </c>
      <c r="H116" s="66">
        <v>17099627</v>
      </c>
      <c r="I116" s="33">
        <f>S116-R116</f>
        <v>435</v>
      </c>
      <c r="J116" s="33">
        <f>U116-T116</f>
        <v>0</v>
      </c>
      <c r="K116" s="54">
        <f>I116*$P116</f>
        <v>11.397</v>
      </c>
      <c r="L116" s="54">
        <f>J116*$Q116</f>
        <v>0</v>
      </c>
      <c r="M116" s="62">
        <f>K116+L116</f>
        <v>11.397</v>
      </c>
      <c r="N116" s="53" t="s">
        <v>293</v>
      </c>
      <c r="O116" s="53" t="s">
        <v>294</v>
      </c>
      <c r="P116" s="71">
        <f>IF(G116="MFP",Tables!B$2,Tables!B$5)</f>
        <v>2.6200000000000001E-2</v>
      </c>
      <c r="Q116" s="72">
        <f>IF(G116="MFP",Tables!B$3,Tables!B$6)</f>
        <v>0.11799999999999999</v>
      </c>
      <c r="R116" s="73">
        <v>0</v>
      </c>
      <c r="S116" s="73">
        <v>435</v>
      </c>
      <c r="T116" s="73">
        <v>0</v>
      </c>
      <c r="U116" s="73">
        <v>0</v>
      </c>
    </row>
    <row r="117" spans="1:21" s="56" customFormat="1" outlineLevel="1" x14ac:dyDescent="0.25">
      <c r="A117" s="31"/>
      <c r="B117" s="32" t="s">
        <v>712</v>
      </c>
      <c r="C117" s="52"/>
      <c r="D117" s="53"/>
      <c r="E117" s="43"/>
      <c r="F117" s="46"/>
      <c r="G117" s="46"/>
      <c r="H117" s="66"/>
      <c r="I117" s="33"/>
      <c r="J117" s="33"/>
      <c r="K117" s="54"/>
      <c r="L117" s="54"/>
      <c r="M117" s="62">
        <f>SUBTOTAL(9,M111:M116)</f>
        <v>284.95119999999997</v>
      </c>
      <c r="N117" s="53"/>
      <c r="O117" s="53"/>
      <c r="P117" s="71"/>
      <c r="Q117" s="72"/>
      <c r="R117" s="73"/>
      <c r="S117" s="73"/>
      <c r="T117" s="73"/>
      <c r="U117" s="73"/>
    </row>
    <row r="118" spans="1:21" s="30" customFormat="1" ht="24" outlineLevel="2" x14ac:dyDescent="0.25">
      <c r="A118" s="31" t="s">
        <v>442</v>
      </c>
      <c r="B118" s="57" t="s">
        <v>168</v>
      </c>
      <c r="C118" s="52" t="s">
        <v>630</v>
      </c>
      <c r="D118" s="53" t="s">
        <v>63</v>
      </c>
      <c r="E118" s="43">
        <v>206</v>
      </c>
      <c r="F118" s="46" t="s">
        <v>25</v>
      </c>
      <c r="G118" s="46" t="str">
        <f>VLOOKUP(F118,Tables!D$9:E$17,2,FALSE)</f>
        <v>PTR</v>
      </c>
      <c r="H118" s="66">
        <v>17099540</v>
      </c>
      <c r="I118" s="33">
        <f>S118-R118</f>
        <v>723</v>
      </c>
      <c r="J118" s="33">
        <f>U118-T118</f>
        <v>0</v>
      </c>
      <c r="K118" s="54">
        <f>I118*$P118</f>
        <v>18.942600000000002</v>
      </c>
      <c r="L118" s="54">
        <f>J118*$Q118</f>
        <v>0</v>
      </c>
      <c r="M118" s="62">
        <f>K118+L118</f>
        <v>18.942600000000002</v>
      </c>
      <c r="N118" s="53" t="s">
        <v>264</v>
      </c>
      <c r="O118" s="53" t="s">
        <v>265</v>
      </c>
      <c r="P118" s="71">
        <f>IF(G118="MFP",Tables!B$2,Tables!B$5)</f>
        <v>2.6200000000000001E-2</v>
      </c>
      <c r="Q118" s="72">
        <f>IF(G118="MFP",Tables!B$3,Tables!B$6)</f>
        <v>0.11799999999999999</v>
      </c>
      <c r="R118" s="73">
        <v>0</v>
      </c>
      <c r="S118" s="73">
        <v>723</v>
      </c>
      <c r="T118" s="73">
        <v>0</v>
      </c>
      <c r="U118" s="73">
        <v>0</v>
      </c>
    </row>
    <row r="119" spans="1:21" s="30" customFormat="1" ht="24" outlineLevel="2" x14ac:dyDescent="0.25">
      <c r="A119" s="31" t="s">
        <v>442</v>
      </c>
      <c r="B119" s="57" t="s">
        <v>168</v>
      </c>
      <c r="C119" s="52" t="s">
        <v>630</v>
      </c>
      <c r="D119" s="53" t="s">
        <v>63</v>
      </c>
      <c r="E119" s="43">
        <v>220</v>
      </c>
      <c r="F119" s="46" t="s">
        <v>25</v>
      </c>
      <c r="G119" s="46" t="str">
        <f>VLOOKUP(F119,Tables!D$9:E$17,2,FALSE)</f>
        <v>PTR</v>
      </c>
      <c r="H119" s="66">
        <v>17099539</v>
      </c>
      <c r="I119" s="33">
        <f>S119-R119</f>
        <v>936</v>
      </c>
      <c r="J119" s="33">
        <f>U119-T119</f>
        <v>0</v>
      </c>
      <c r="K119" s="54">
        <f>I119*$P119</f>
        <v>24.523200000000003</v>
      </c>
      <c r="L119" s="54">
        <f>J119*$Q119</f>
        <v>0</v>
      </c>
      <c r="M119" s="62">
        <f>K119+L119</f>
        <v>24.523200000000003</v>
      </c>
      <c r="N119" s="53" t="s">
        <v>463</v>
      </c>
      <c r="O119" s="53" t="s">
        <v>464</v>
      </c>
      <c r="P119" s="71">
        <f>IF(G119="MFP",Tables!B$2,Tables!B$5)</f>
        <v>2.6200000000000001E-2</v>
      </c>
      <c r="Q119" s="72">
        <f>IF(G119="MFP",Tables!B$3,Tables!B$6)</f>
        <v>0.11799999999999999</v>
      </c>
      <c r="R119" s="73">
        <v>0</v>
      </c>
      <c r="S119" s="73">
        <v>936</v>
      </c>
      <c r="T119" s="73">
        <v>0</v>
      </c>
      <c r="U119" s="73">
        <v>0</v>
      </c>
    </row>
    <row r="120" spans="1:21" s="30" customFormat="1" ht="24" outlineLevel="2" x14ac:dyDescent="0.25">
      <c r="A120" s="31" t="s">
        <v>442</v>
      </c>
      <c r="B120" s="57" t="s">
        <v>168</v>
      </c>
      <c r="C120" s="52" t="s">
        <v>630</v>
      </c>
      <c r="D120" s="53" t="s">
        <v>63</v>
      </c>
      <c r="E120" s="43">
        <v>221</v>
      </c>
      <c r="F120" s="46" t="s">
        <v>117</v>
      </c>
      <c r="G120" s="46" t="str">
        <f>VLOOKUP(F120,Tables!D$9:E$17,2,FALSE)</f>
        <v>PTR</v>
      </c>
      <c r="H120" s="66">
        <v>17099516</v>
      </c>
      <c r="I120" s="33">
        <f>S120-R120</f>
        <v>473</v>
      </c>
      <c r="J120" s="33">
        <f>U120-T120</f>
        <v>305</v>
      </c>
      <c r="K120" s="54">
        <f>I120*$P120</f>
        <v>12.3926</v>
      </c>
      <c r="L120" s="54">
        <f>J120*$Q120</f>
        <v>35.989999999999995</v>
      </c>
      <c r="M120" s="62">
        <f>K120+L120</f>
        <v>48.382599999999996</v>
      </c>
      <c r="N120" s="53" t="s">
        <v>459</v>
      </c>
      <c r="O120" s="53" t="s">
        <v>460</v>
      </c>
      <c r="P120" s="71">
        <f>IF(G120="MFP",Tables!B$2,Tables!B$5)</f>
        <v>2.6200000000000001E-2</v>
      </c>
      <c r="Q120" s="72">
        <f>IF(G120="MFP",Tables!B$3,Tables!B$6)</f>
        <v>0.11799999999999999</v>
      </c>
      <c r="R120" s="73">
        <v>0</v>
      </c>
      <c r="S120" s="73">
        <v>473</v>
      </c>
      <c r="T120" s="73">
        <v>0</v>
      </c>
      <c r="U120" s="73">
        <v>305</v>
      </c>
    </row>
    <row r="121" spans="1:21" s="30" customFormat="1" ht="24" outlineLevel="2" x14ac:dyDescent="0.25">
      <c r="A121" s="31" t="s">
        <v>442</v>
      </c>
      <c r="B121" s="57" t="s">
        <v>168</v>
      </c>
      <c r="C121" s="52" t="s">
        <v>630</v>
      </c>
      <c r="D121" s="53" t="s">
        <v>63</v>
      </c>
      <c r="E121" s="43">
        <v>222</v>
      </c>
      <c r="F121" s="46" t="s">
        <v>25</v>
      </c>
      <c r="G121" s="46" t="str">
        <f>VLOOKUP(F121,Tables!D$9:E$17,2,FALSE)</f>
        <v>PTR</v>
      </c>
      <c r="H121" s="66">
        <v>17099538</v>
      </c>
      <c r="I121" s="33">
        <f>S121-R121</f>
        <v>796</v>
      </c>
      <c r="J121" s="33">
        <f>U121-T121</f>
        <v>0</v>
      </c>
      <c r="K121" s="54">
        <f>I121*$P121</f>
        <v>20.8552</v>
      </c>
      <c r="L121" s="54">
        <f>J121*$Q121</f>
        <v>0</v>
      </c>
      <c r="M121" s="62">
        <f>K121+L121</f>
        <v>20.8552</v>
      </c>
      <c r="N121" s="53" t="s">
        <v>216</v>
      </c>
      <c r="O121" s="53" t="s">
        <v>217</v>
      </c>
      <c r="P121" s="71">
        <f>IF(G121="MFP",Tables!B$2,Tables!B$5)</f>
        <v>2.6200000000000001E-2</v>
      </c>
      <c r="Q121" s="72">
        <f>IF(G121="MFP",Tables!B$3,Tables!B$6)</f>
        <v>0.11799999999999999</v>
      </c>
      <c r="R121" s="73">
        <v>0</v>
      </c>
      <c r="S121" s="73">
        <v>796</v>
      </c>
      <c r="T121" s="73">
        <v>0</v>
      </c>
      <c r="U121" s="73">
        <v>0</v>
      </c>
    </row>
    <row r="122" spans="1:21" s="30" customFormat="1" ht="24" outlineLevel="2" x14ac:dyDescent="0.25">
      <c r="A122" s="31" t="s">
        <v>442</v>
      </c>
      <c r="B122" s="57" t="s">
        <v>168</v>
      </c>
      <c r="C122" s="52" t="s">
        <v>630</v>
      </c>
      <c r="D122" s="53" t="s">
        <v>63</v>
      </c>
      <c r="E122" s="43">
        <v>223</v>
      </c>
      <c r="F122" s="46" t="s">
        <v>25</v>
      </c>
      <c r="G122" s="46" t="str">
        <f>VLOOKUP(F122,Tables!D$9:E$17,2,FALSE)</f>
        <v>PTR</v>
      </c>
      <c r="H122" s="66">
        <v>17099514</v>
      </c>
      <c r="I122" s="33">
        <f>S122-R122</f>
        <v>1920</v>
      </c>
      <c r="J122" s="33">
        <f>U122-T122</f>
        <v>0</v>
      </c>
      <c r="K122" s="54">
        <f>I122*$P122</f>
        <v>50.304000000000002</v>
      </c>
      <c r="L122" s="54">
        <f>J122*$Q122</f>
        <v>0</v>
      </c>
      <c r="M122" s="62">
        <f>K122+L122</f>
        <v>50.304000000000002</v>
      </c>
      <c r="N122" s="53" t="s">
        <v>247</v>
      </c>
      <c r="O122" s="53" t="s">
        <v>248</v>
      </c>
      <c r="P122" s="71">
        <f>IF(G122="MFP",Tables!B$2,Tables!B$5)</f>
        <v>2.6200000000000001E-2</v>
      </c>
      <c r="Q122" s="72">
        <f>IF(G122="MFP",Tables!B$3,Tables!B$6)</f>
        <v>0.11799999999999999</v>
      </c>
      <c r="R122" s="73">
        <v>0</v>
      </c>
      <c r="S122" s="73">
        <v>1920</v>
      </c>
      <c r="T122" s="73">
        <v>0</v>
      </c>
      <c r="U122" s="73">
        <v>0</v>
      </c>
    </row>
    <row r="123" spans="1:21" s="30" customFormat="1" ht="24" outlineLevel="2" x14ac:dyDescent="0.25">
      <c r="A123" s="31" t="s">
        <v>442</v>
      </c>
      <c r="B123" s="57" t="s">
        <v>168</v>
      </c>
      <c r="C123" s="52" t="s">
        <v>630</v>
      </c>
      <c r="D123" s="53" t="s">
        <v>63</v>
      </c>
      <c r="E123" s="43">
        <v>224</v>
      </c>
      <c r="F123" s="46" t="s">
        <v>25</v>
      </c>
      <c r="G123" s="46" t="str">
        <f>VLOOKUP(F123,Tables!D$9:E$17,2,FALSE)</f>
        <v>PTR</v>
      </c>
      <c r="H123" s="66">
        <v>17099517</v>
      </c>
      <c r="I123" s="33">
        <f>S123-R123</f>
        <v>0</v>
      </c>
      <c r="J123" s="33">
        <f>U123-T123</f>
        <v>0</v>
      </c>
      <c r="K123" s="54">
        <f>I123*$P123</f>
        <v>0</v>
      </c>
      <c r="L123" s="54">
        <f>J123*$Q123</f>
        <v>0</v>
      </c>
      <c r="M123" s="62">
        <f>K123+L123</f>
        <v>0</v>
      </c>
      <c r="N123" s="53" t="s">
        <v>495</v>
      </c>
      <c r="O123" s="53" t="s">
        <v>496</v>
      </c>
      <c r="P123" s="71">
        <f>IF(G123="MFP",Tables!B$2,Tables!B$5)</f>
        <v>2.6200000000000001E-2</v>
      </c>
      <c r="Q123" s="72">
        <f>IF(G123="MFP",Tables!B$3,Tables!B$6)</f>
        <v>0.11799999999999999</v>
      </c>
      <c r="R123" s="73">
        <v>0</v>
      </c>
      <c r="S123" s="73">
        <v>0</v>
      </c>
      <c r="T123" s="73">
        <v>0</v>
      </c>
      <c r="U123" s="73">
        <v>0</v>
      </c>
    </row>
    <row r="124" spans="1:21" s="30" customFormat="1" ht="24" outlineLevel="2" x14ac:dyDescent="0.25">
      <c r="A124" s="31" t="s">
        <v>442</v>
      </c>
      <c r="B124" s="57" t="s">
        <v>168</v>
      </c>
      <c r="C124" s="52" t="s">
        <v>630</v>
      </c>
      <c r="D124" s="53" t="s">
        <v>63</v>
      </c>
      <c r="E124" s="43">
        <v>226</v>
      </c>
      <c r="F124" s="46" t="s">
        <v>25</v>
      </c>
      <c r="G124" s="46" t="str">
        <f>VLOOKUP(F124,Tables!D$9:E$17,2,FALSE)</f>
        <v>PTR</v>
      </c>
      <c r="H124" s="66">
        <v>17099521</v>
      </c>
      <c r="I124" s="33">
        <f>S124-R124</f>
        <v>1082</v>
      </c>
      <c r="J124" s="33">
        <f>U124-T124</f>
        <v>0</v>
      </c>
      <c r="K124" s="54">
        <f>I124*$P124</f>
        <v>28.348400000000002</v>
      </c>
      <c r="L124" s="54">
        <f>J124*$Q124</f>
        <v>0</v>
      </c>
      <c r="M124" s="62">
        <f>K124+L124</f>
        <v>28.348400000000002</v>
      </c>
      <c r="N124" s="53" t="s">
        <v>169</v>
      </c>
      <c r="O124" s="53" t="s">
        <v>170</v>
      </c>
      <c r="P124" s="71">
        <f>IF(G124="MFP",Tables!B$2,Tables!B$5)</f>
        <v>2.6200000000000001E-2</v>
      </c>
      <c r="Q124" s="72">
        <f>IF(G124="MFP",Tables!B$3,Tables!B$6)</f>
        <v>0.11799999999999999</v>
      </c>
      <c r="R124" s="73">
        <v>0</v>
      </c>
      <c r="S124" s="73">
        <v>1082</v>
      </c>
      <c r="T124" s="73">
        <v>0</v>
      </c>
      <c r="U124" s="73">
        <v>0</v>
      </c>
    </row>
    <row r="125" spans="1:21" s="30" customFormat="1" ht="24" outlineLevel="2" x14ac:dyDescent="0.25">
      <c r="A125" s="31" t="s">
        <v>442</v>
      </c>
      <c r="B125" s="57" t="s">
        <v>168</v>
      </c>
      <c r="C125" s="52" t="s">
        <v>630</v>
      </c>
      <c r="D125" s="53" t="s">
        <v>63</v>
      </c>
      <c r="E125" s="43">
        <v>227</v>
      </c>
      <c r="F125" s="46" t="s">
        <v>18</v>
      </c>
      <c r="G125" s="46" t="str">
        <f>VLOOKUP(F125,Tables!D$9:E$17,2,FALSE)</f>
        <v>MFP</v>
      </c>
      <c r="H125" s="66">
        <v>17099458</v>
      </c>
      <c r="I125" s="33">
        <f>S125-R125</f>
        <v>34627</v>
      </c>
      <c r="J125" s="33">
        <f>U125-T125</f>
        <v>2089</v>
      </c>
      <c r="K125" s="54">
        <f>I125*$P125</f>
        <v>716.77890000000002</v>
      </c>
      <c r="L125" s="54">
        <f>J125*$Q125</f>
        <v>181.74299999999999</v>
      </c>
      <c r="M125" s="62">
        <f>K125+L125</f>
        <v>898.52189999999996</v>
      </c>
      <c r="N125" s="53" t="s">
        <v>443</v>
      </c>
      <c r="O125" s="53" t="s">
        <v>444</v>
      </c>
      <c r="P125" s="71">
        <f>IF(G125="MFP",Tables!B$2,Tables!B$5)</f>
        <v>2.07E-2</v>
      </c>
      <c r="Q125" s="72">
        <f>IF(G125="MFP",Tables!B$3,Tables!B$6)</f>
        <v>8.6999999999999994E-2</v>
      </c>
      <c r="R125" s="73">
        <v>0</v>
      </c>
      <c r="S125" s="73">
        <v>34627</v>
      </c>
      <c r="T125" s="73">
        <v>0</v>
      </c>
      <c r="U125" s="73">
        <v>2089</v>
      </c>
    </row>
    <row r="126" spans="1:21" s="30" customFormat="1" ht="24" outlineLevel="2" x14ac:dyDescent="0.25">
      <c r="A126" s="31" t="s">
        <v>442</v>
      </c>
      <c r="B126" s="57" t="s">
        <v>168</v>
      </c>
      <c r="C126" s="52" t="s">
        <v>630</v>
      </c>
      <c r="D126" s="53" t="s">
        <v>63</v>
      </c>
      <c r="E126" s="43">
        <v>231</v>
      </c>
      <c r="F126" s="46" t="s">
        <v>25</v>
      </c>
      <c r="G126" s="46" t="str">
        <f>VLOOKUP(F126,Tables!D$9:E$17,2,FALSE)</f>
        <v>PTR</v>
      </c>
      <c r="H126" s="66">
        <v>17099537</v>
      </c>
      <c r="I126" s="33">
        <f>S126-R126</f>
        <v>1504</v>
      </c>
      <c r="J126" s="33">
        <f>U126-T126</f>
        <v>0</v>
      </c>
      <c r="K126" s="54">
        <f>I126*$P126</f>
        <v>39.404800000000002</v>
      </c>
      <c r="L126" s="54">
        <f>J126*$Q126</f>
        <v>0</v>
      </c>
      <c r="M126" s="62">
        <f>K126+L126</f>
        <v>39.404800000000002</v>
      </c>
      <c r="N126" s="53" t="s">
        <v>224</v>
      </c>
      <c r="O126" s="53" t="s">
        <v>225</v>
      </c>
      <c r="P126" s="71">
        <f>IF(G126="MFP",Tables!B$2,Tables!B$5)</f>
        <v>2.6200000000000001E-2</v>
      </c>
      <c r="Q126" s="72">
        <f>IF(G126="MFP",Tables!B$3,Tables!B$6)</f>
        <v>0.11799999999999999</v>
      </c>
      <c r="R126" s="73">
        <v>0</v>
      </c>
      <c r="S126" s="73">
        <v>1504</v>
      </c>
      <c r="T126" s="73">
        <v>0</v>
      </c>
      <c r="U126" s="73">
        <v>0</v>
      </c>
    </row>
    <row r="127" spans="1:21" s="30" customFormat="1" ht="24" outlineLevel="2" x14ac:dyDescent="0.25">
      <c r="A127" s="31" t="s">
        <v>442</v>
      </c>
      <c r="B127" s="57" t="s">
        <v>168</v>
      </c>
      <c r="C127" s="52" t="s">
        <v>630</v>
      </c>
      <c r="D127" s="53" t="s">
        <v>63</v>
      </c>
      <c r="E127" s="43">
        <v>232</v>
      </c>
      <c r="F127" s="46" t="s">
        <v>25</v>
      </c>
      <c r="G127" s="46" t="str">
        <f>VLOOKUP(F127,Tables!D$9:E$17,2,FALSE)</f>
        <v>PTR</v>
      </c>
      <c r="H127" s="66">
        <v>17099519</v>
      </c>
      <c r="I127" s="33">
        <f>S127-R127</f>
        <v>649</v>
      </c>
      <c r="J127" s="33">
        <f>U127-T127</f>
        <v>0</v>
      </c>
      <c r="K127" s="54">
        <f>I127*$P127</f>
        <v>17.003800000000002</v>
      </c>
      <c r="L127" s="54">
        <f>J127*$Q127</f>
        <v>0</v>
      </c>
      <c r="M127" s="62">
        <f>K127+L127</f>
        <v>17.003800000000002</v>
      </c>
      <c r="N127" s="53" t="s">
        <v>249</v>
      </c>
      <c r="O127" s="53" t="s">
        <v>250</v>
      </c>
      <c r="P127" s="71">
        <f>IF(G127="MFP",Tables!B$2,Tables!B$5)</f>
        <v>2.6200000000000001E-2</v>
      </c>
      <c r="Q127" s="72">
        <f>IF(G127="MFP",Tables!B$3,Tables!B$6)</f>
        <v>0.11799999999999999</v>
      </c>
      <c r="R127" s="73">
        <v>0</v>
      </c>
      <c r="S127" s="73">
        <v>649</v>
      </c>
      <c r="T127" s="73">
        <v>0</v>
      </c>
      <c r="U127" s="73">
        <v>0</v>
      </c>
    </row>
    <row r="128" spans="1:21" s="30" customFormat="1" ht="24" outlineLevel="2" x14ac:dyDescent="0.25">
      <c r="A128" s="31" t="s">
        <v>442</v>
      </c>
      <c r="B128" s="57" t="s">
        <v>168</v>
      </c>
      <c r="C128" s="52" t="s">
        <v>630</v>
      </c>
      <c r="D128" s="53" t="s">
        <v>63</v>
      </c>
      <c r="E128" s="43">
        <v>236</v>
      </c>
      <c r="F128" s="46" t="s">
        <v>25</v>
      </c>
      <c r="G128" s="46" t="str">
        <f>VLOOKUP(F128,Tables!D$9:E$17,2,FALSE)</f>
        <v>PTR</v>
      </c>
      <c r="H128" s="66">
        <v>17099518</v>
      </c>
      <c r="I128" s="33">
        <f>S128-R128</f>
        <v>938</v>
      </c>
      <c r="J128" s="33">
        <f>U128-T128</f>
        <v>0</v>
      </c>
      <c r="K128" s="54">
        <f>I128*$P128</f>
        <v>24.575600000000001</v>
      </c>
      <c r="L128" s="54">
        <f>J128*$Q128</f>
        <v>0</v>
      </c>
      <c r="M128" s="62">
        <f>K128+L128</f>
        <v>24.575600000000001</v>
      </c>
      <c r="N128" s="53" t="s">
        <v>240</v>
      </c>
      <c r="O128" s="53" t="s">
        <v>241</v>
      </c>
      <c r="P128" s="71">
        <f>IF(G128="MFP",Tables!B$2,Tables!B$5)</f>
        <v>2.6200000000000001E-2</v>
      </c>
      <c r="Q128" s="72">
        <f>IF(G128="MFP",Tables!B$3,Tables!B$6)</f>
        <v>0.11799999999999999</v>
      </c>
      <c r="R128" s="73">
        <v>0</v>
      </c>
      <c r="S128" s="73">
        <v>938</v>
      </c>
      <c r="T128" s="73">
        <v>0</v>
      </c>
      <c r="U128" s="73">
        <v>0</v>
      </c>
    </row>
    <row r="129" spans="1:21" s="56" customFormat="1" outlineLevel="1" x14ac:dyDescent="0.25">
      <c r="A129" s="31"/>
      <c r="B129" s="32" t="s">
        <v>733</v>
      </c>
      <c r="C129" s="52"/>
      <c r="D129" s="53"/>
      <c r="E129" s="43"/>
      <c r="F129" s="46"/>
      <c r="G129" s="46"/>
      <c r="H129" s="66"/>
      <c r="I129" s="33"/>
      <c r="J129" s="33"/>
      <c r="K129" s="54"/>
      <c r="L129" s="54"/>
      <c r="M129" s="62">
        <f>SUBTOTAL(9,M118:M128)</f>
        <v>1170.8620999999998</v>
      </c>
      <c r="N129" s="53"/>
      <c r="O129" s="53"/>
      <c r="P129" s="71"/>
      <c r="Q129" s="72"/>
      <c r="R129" s="73"/>
      <c r="S129" s="73"/>
      <c r="T129" s="73"/>
      <c r="U129" s="73"/>
    </row>
    <row r="130" spans="1:21" s="30" customFormat="1" ht="24" outlineLevel="2" x14ac:dyDescent="0.25">
      <c r="A130" s="131" t="s">
        <v>442</v>
      </c>
      <c r="B130" s="131" t="s">
        <v>823</v>
      </c>
      <c r="C130" s="131" t="s">
        <v>800</v>
      </c>
      <c r="D130" s="53" t="s">
        <v>63</v>
      </c>
      <c r="E130" s="43">
        <v>323</v>
      </c>
      <c r="F130" s="46" t="s">
        <v>25</v>
      </c>
      <c r="G130" s="46" t="str">
        <f>VLOOKUP(F130,Tables!D$9:E$17,2,FALSE)</f>
        <v>PTR</v>
      </c>
      <c r="H130" s="66">
        <v>17099559</v>
      </c>
      <c r="I130" s="33">
        <f>S130-R130</f>
        <v>1252</v>
      </c>
      <c r="J130" s="33">
        <f>U130-T130</f>
        <v>0</v>
      </c>
      <c r="K130" s="54">
        <f>I130*$P130</f>
        <v>32.802399999999999</v>
      </c>
      <c r="L130" s="54">
        <f>J130*$Q130</f>
        <v>0</v>
      </c>
      <c r="M130" s="62">
        <f>K130+L130</f>
        <v>32.802399999999999</v>
      </c>
      <c r="N130" s="53" t="s">
        <v>222</v>
      </c>
      <c r="O130" s="53" t="s">
        <v>223</v>
      </c>
      <c r="P130" s="71">
        <f>IF(G130="MFP",Tables!B$2,Tables!B$5)</f>
        <v>2.6200000000000001E-2</v>
      </c>
      <c r="Q130" s="72">
        <f>IF(G130="MFP",Tables!B$3,Tables!B$6)</f>
        <v>0.11799999999999999</v>
      </c>
      <c r="R130" s="73">
        <v>0</v>
      </c>
      <c r="S130" s="73">
        <v>1252</v>
      </c>
      <c r="T130" s="73">
        <v>0</v>
      </c>
      <c r="U130" s="73">
        <v>0</v>
      </c>
    </row>
    <row r="131" spans="1:21" s="56" customFormat="1" outlineLevel="1" x14ac:dyDescent="0.25">
      <c r="A131" s="131"/>
      <c r="B131" s="150" t="s">
        <v>827</v>
      </c>
      <c r="C131" s="131"/>
      <c r="D131" s="53"/>
      <c r="E131" s="43"/>
      <c r="F131" s="46"/>
      <c r="G131" s="46"/>
      <c r="H131" s="66"/>
      <c r="I131" s="33"/>
      <c r="J131" s="33"/>
      <c r="K131" s="54"/>
      <c r="L131" s="54"/>
      <c r="M131" s="62">
        <f>SUBTOTAL(9,M130:M130)</f>
        <v>32.802399999999999</v>
      </c>
      <c r="N131" s="53"/>
      <c r="O131" s="53"/>
      <c r="P131" s="71"/>
      <c r="Q131" s="72"/>
      <c r="R131" s="73"/>
      <c r="S131" s="73"/>
      <c r="T131" s="73"/>
      <c r="U131" s="73"/>
    </row>
    <row r="132" spans="1:21" s="30" customFormat="1" ht="24" outlineLevel="2" x14ac:dyDescent="0.25">
      <c r="A132" s="31" t="s">
        <v>213</v>
      </c>
      <c r="B132" s="57" t="s">
        <v>118</v>
      </c>
      <c r="C132" s="52" t="s">
        <v>644</v>
      </c>
      <c r="D132" s="53" t="s">
        <v>39</v>
      </c>
      <c r="E132" s="43">
        <v>307</v>
      </c>
      <c r="F132" s="46" t="s">
        <v>383</v>
      </c>
      <c r="G132" s="46" t="str">
        <f>VLOOKUP(F132,Tables!D$9:E$17,2,FALSE)</f>
        <v>MFP</v>
      </c>
      <c r="H132" s="66">
        <v>17099454</v>
      </c>
      <c r="I132" s="33">
        <f>S132-R132</f>
        <v>32149</v>
      </c>
      <c r="J132" s="33">
        <f>U132-T132</f>
        <v>3700</v>
      </c>
      <c r="K132" s="54">
        <f>I132*$P132</f>
        <v>665.48429999999996</v>
      </c>
      <c r="L132" s="54">
        <f>J132*$Q132</f>
        <v>321.89999999999998</v>
      </c>
      <c r="M132" s="62">
        <f>K132+L132</f>
        <v>987.38429999999994</v>
      </c>
      <c r="N132" s="53" t="s">
        <v>384</v>
      </c>
      <c r="O132" s="53" t="s">
        <v>385</v>
      </c>
      <c r="P132" s="71">
        <f>IF(G132="MFP",Tables!B$2,Tables!B$5)</f>
        <v>2.07E-2</v>
      </c>
      <c r="Q132" s="72">
        <f>IF(G132="MFP",Tables!B$3,Tables!B$6)</f>
        <v>8.6999999999999994E-2</v>
      </c>
      <c r="R132" s="73">
        <v>0</v>
      </c>
      <c r="S132" s="73">
        <v>32149</v>
      </c>
      <c r="T132" s="73">
        <v>0</v>
      </c>
      <c r="U132" s="73">
        <v>3700</v>
      </c>
    </row>
    <row r="133" spans="1:21" s="30" customFormat="1" ht="24" outlineLevel="2" x14ac:dyDescent="0.25">
      <c r="A133" s="31" t="s">
        <v>213</v>
      </c>
      <c r="B133" s="57" t="s">
        <v>118</v>
      </c>
      <c r="C133" s="52" t="s">
        <v>644</v>
      </c>
      <c r="D133" s="53" t="s">
        <v>113</v>
      </c>
      <c r="E133" s="43" t="s">
        <v>116</v>
      </c>
      <c r="F133" s="46" t="s">
        <v>117</v>
      </c>
      <c r="G133" s="46" t="str">
        <f>VLOOKUP(F133,Tables!D$9:E$17,2,FALSE)</f>
        <v>PTR</v>
      </c>
      <c r="H133" s="66">
        <v>17099702</v>
      </c>
      <c r="I133" s="33">
        <f>S133-R133</f>
        <v>119</v>
      </c>
      <c r="J133" s="33">
        <f>U133-T133</f>
        <v>177</v>
      </c>
      <c r="K133" s="54">
        <f>I133*$P133</f>
        <v>3.1177999999999999</v>
      </c>
      <c r="L133" s="54">
        <f>J133*$Q133</f>
        <v>20.885999999999999</v>
      </c>
      <c r="M133" s="62">
        <f>K133+L133</f>
        <v>24.003799999999998</v>
      </c>
      <c r="N133" s="53" t="s">
        <v>120</v>
      </c>
      <c r="O133" s="53" t="s">
        <v>121</v>
      </c>
      <c r="P133" s="71">
        <f>IF(G133="MFP",Tables!B$2,Tables!B$5)</f>
        <v>2.6200000000000001E-2</v>
      </c>
      <c r="Q133" s="72">
        <f>IF(G133="MFP",Tables!B$3,Tables!B$6)</f>
        <v>0.11799999999999999</v>
      </c>
      <c r="R133" s="73">
        <v>0</v>
      </c>
      <c r="S133" s="73">
        <v>119</v>
      </c>
      <c r="T133" s="73">
        <v>0</v>
      </c>
      <c r="U133" s="73">
        <v>177</v>
      </c>
    </row>
    <row r="134" spans="1:21" s="30" customFormat="1" ht="24" outlineLevel="2" x14ac:dyDescent="0.25">
      <c r="A134" s="31" t="s">
        <v>213</v>
      </c>
      <c r="B134" s="57" t="s">
        <v>118</v>
      </c>
      <c r="C134" s="52" t="s">
        <v>644</v>
      </c>
      <c r="D134" s="53" t="s">
        <v>63</v>
      </c>
      <c r="E134" s="43">
        <v>512</v>
      </c>
      <c r="F134" s="46" t="s">
        <v>212</v>
      </c>
      <c r="G134" s="46" t="str">
        <f>VLOOKUP(F134,Tables!D$9:E$17,2,FALSE)</f>
        <v>MFP</v>
      </c>
      <c r="H134" s="66">
        <v>17099480</v>
      </c>
      <c r="I134" s="33">
        <f>S134-R134</f>
        <v>0</v>
      </c>
      <c r="J134" s="33">
        <f>U134-T134</f>
        <v>0</v>
      </c>
      <c r="K134" s="54">
        <f>I134*$P134</f>
        <v>0</v>
      </c>
      <c r="L134" s="54">
        <f>J134*$Q134</f>
        <v>0</v>
      </c>
      <c r="M134" s="62">
        <f>K134+L134</f>
        <v>0</v>
      </c>
      <c r="N134" s="53" t="s">
        <v>214</v>
      </c>
      <c r="O134" s="53" t="s">
        <v>215</v>
      </c>
      <c r="P134" s="71">
        <f>IF(G134="MFP",Tables!B$2,Tables!B$5)</f>
        <v>2.07E-2</v>
      </c>
      <c r="Q134" s="72">
        <f>IF(G134="MFP",Tables!B$3,Tables!B$6)</f>
        <v>8.6999999999999994E-2</v>
      </c>
      <c r="R134" s="73">
        <v>0</v>
      </c>
      <c r="S134" s="73">
        <v>0</v>
      </c>
      <c r="T134" s="73">
        <v>0</v>
      </c>
      <c r="U134" s="73">
        <v>0</v>
      </c>
    </row>
    <row r="135" spans="1:21" s="30" customFormat="1" ht="24" outlineLevel="2" x14ac:dyDescent="0.25">
      <c r="A135" s="31" t="s">
        <v>213</v>
      </c>
      <c r="B135" s="57" t="s">
        <v>118</v>
      </c>
      <c r="C135" s="52" t="s">
        <v>644</v>
      </c>
      <c r="D135" s="53" t="s">
        <v>538</v>
      </c>
      <c r="E135" s="43">
        <v>208</v>
      </c>
      <c r="F135" s="46" t="s">
        <v>383</v>
      </c>
      <c r="G135" s="46" t="str">
        <f>VLOOKUP(F135,Tables!D$9:E$17,2,FALSE)</f>
        <v>MFP</v>
      </c>
      <c r="H135" s="66">
        <v>17099421</v>
      </c>
      <c r="I135" s="33">
        <f>S135-R135</f>
        <v>12484</v>
      </c>
      <c r="J135" s="33">
        <f>U135-T135</f>
        <v>31534</v>
      </c>
      <c r="K135" s="54">
        <f>I135*$P135</f>
        <v>258.41879999999998</v>
      </c>
      <c r="L135" s="54">
        <f>J135*$Q135</f>
        <v>2743.4579999999996</v>
      </c>
      <c r="M135" s="62">
        <f>K135+L135</f>
        <v>3001.8767999999995</v>
      </c>
      <c r="N135" s="53" t="s">
        <v>600</v>
      </c>
      <c r="O135" s="53" t="s">
        <v>601</v>
      </c>
      <c r="P135" s="71">
        <f>IF(G135="MFP",Tables!B$2,Tables!B$5)</f>
        <v>2.07E-2</v>
      </c>
      <c r="Q135" s="72">
        <f>IF(G135="MFP",Tables!B$3,Tables!B$6)</f>
        <v>8.6999999999999994E-2</v>
      </c>
      <c r="R135" s="73">
        <v>0</v>
      </c>
      <c r="S135" s="73">
        <v>12484</v>
      </c>
      <c r="T135" s="73">
        <v>0</v>
      </c>
      <c r="U135" s="73">
        <v>31534</v>
      </c>
    </row>
    <row r="136" spans="1:21" s="56" customFormat="1" outlineLevel="1" x14ac:dyDescent="0.25">
      <c r="A136" s="31"/>
      <c r="B136" s="32" t="s">
        <v>751</v>
      </c>
      <c r="C136" s="52"/>
      <c r="D136" s="53"/>
      <c r="E136" s="43"/>
      <c r="F136" s="46"/>
      <c r="G136" s="46"/>
      <c r="H136" s="66"/>
      <c r="I136" s="33"/>
      <c r="J136" s="33"/>
      <c r="K136" s="54"/>
      <c r="L136" s="54"/>
      <c r="M136" s="62">
        <f>SUBTOTAL(9,M132:M135)</f>
        <v>4013.2648999999992</v>
      </c>
      <c r="N136" s="53"/>
      <c r="O136" s="53"/>
      <c r="P136" s="71"/>
      <c r="Q136" s="72"/>
      <c r="R136" s="73"/>
      <c r="S136" s="73"/>
      <c r="T136" s="73"/>
      <c r="U136" s="73"/>
    </row>
    <row r="137" spans="1:21" s="30" customFormat="1" ht="24" outlineLevel="2" x14ac:dyDescent="0.25">
      <c r="A137" s="31" t="s">
        <v>188</v>
      </c>
      <c r="B137" s="57" t="s">
        <v>187</v>
      </c>
      <c r="C137" s="52" t="s">
        <v>639</v>
      </c>
      <c r="D137" s="53" t="s">
        <v>39</v>
      </c>
      <c r="E137" s="43">
        <v>302</v>
      </c>
      <c r="F137" s="46" t="s">
        <v>25</v>
      </c>
      <c r="G137" s="46" t="str">
        <f>VLOOKUP(F137,Tables!D$9:E$17,2,FALSE)</f>
        <v>PTR</v>
      </c>
      <c r="H137" s="66">
        <v>17099574</v>
      </c>
      <c r="I137" s="33">
        <f>S137-R137</f>
        <v>4</v>
      </c>
      <c r="J137" s="33">
        <f>U137-T137</f>
        <v>0</v>
      </c>
      <c r="K137" s="54">
        <f>I137*$P137</f>
        <v>0.1048</v>
      </c>
      <c r="L137" s="54">
        <f>J137*$Q137</f>
        <v>0</v>
      </c>
      <c r="M137" s="62">
        <f>K137+L137</f>
        <v>0.1048</v>
      </c>
      <c r="N137" s="53" t="s">
        <v>407</v>
      </c>
      <c r="O137" s="53" t="s">
        <v>408</v>
      </c>
      <c r="P137" s="71">
        <f>IF(G137="MFP",Tables!B$2,Tables!B$5)</f>
        <v>2.6200000000000001E-2</v>
      </c>
      <c r="Q137" s="72">
        <f>IF(G137="MFP",Tables!B$3,Tables!B$6)</f>
        <v>0.11799999999999999</v>
      </c>
      <c r="R137" s="73">
        <v>0</v>
      </c>
      <c r="S137" s="73">
        <v>4</v>
      </c>
      <c r="T137" s="73">
        <v>0</v>
      </c>
      <c r="U137" s="73">
        <v>0</v>
      </c>
    </row>
    <row r="138" spans="1:21" s="30" customFormat="1" ht="24" outlineLevel="2" x14ac:dyDescent="0.25">
      <c r="A138" s="31" t="s">
        <v>188</v>
      </c>
      <c r="B138" s="57" t="s">
        <v>187</v>
      </c>
      <c r="C138" s="52" t="s">
        <v>639</v>
      </c>
      <c r="D138" s="53" t="s">
        <v>39</v>
      </c>
      <c r="E138" s="43" t="s">
        <v>350</v>
      </c>
      <c r="F138" s="46" t="s">
        <v>25</v>
      </c>
      <c r="G138" s="46" t="str">
        <f>VLOOKUP(F138,Tables!D$9:E$17,2,FALSE)</f>
        <v>PTR</v>
      </c>
      <c r="H138" s="66">
        <v>17099575</v>
      </c>
      <c r="I138" s="33">
        <f>S138-R138</f>
        <v>3</v>
      </c>
      <c r="J138" s="33">
        <f>U138-T138</f>
        <v>0</v>
      </c>
      <c r="K138" s="54">
        <f>I138*$P138</f>
        <v>7.8600000000000003E-2</v>
      </c>
      <c r="L138" s="54">
        <f>J138*$Q138</f>
        <v>0</v>
      </c>
      <c r="M138" s="62">
        <f>K138+L138</f>
        <v>7.8600000000000003E-2</v>
      </c>
      <c r="N138" s="53" t="s">
        <v>351</v>
      </c>
      <c r="O138" s="53" t="s">
        <v>352</v>
      </c>
      <c r="P138" s="71">
        <f>IF(G138="MFP",Tables!B$2,Tables!B$5)</f>
        <v>2.6200000000000001E-2</v>
      </c>
      <c r="Q138" s="72">
        <f>IF(G138="MFP",Tables!B$3,Tables!B$6)</f>
        <v>0.11799999999999999</v>
      </c>
      <c r="R138" s="73">
        <v>0</v>
      </c>
      <c r="S138" s="73">
        <v>3</v>
      </c>
      <c r="T138" s="73">
        <v>0</v>
      </c>
      <c r="U138" s="73">
        <v>0</v>
      </c>
    </row>
    <row r="139" spans="1:21" s="30" customFormat="1" ht="24" outlineLevel="2" x14ac:dyDescent="0.25">
      <c r="A139" s="31" t="s">
        <v>188</v>
      </c>
      <c r="B139" s="57" t="s">
        <v>187</v>
      </c>
      <c r="C139" s="52" t="s">
        <v>639</v>
      </c>
      <c r="D139" s="53" t="s">
        <v>39</v>
      </c>
      <c r="E139" s="43" t="s">
        <v>378</v>
      </c>
      <c r="F139" s="46" t="s">
        <v>25</v>
      </c>
      <c r="G139" s="46" t="str">
        <f>VLOOKUP(F139,Tables!D$9:E$17,2,FALSE)</f>
        <v>PTR</v>
      </c>
      <c r="H139" s="66">
        <v>17099572</v>
      </c>
      <c r="I139" s="33">
        <f>S139-R139</f>
        <v>3829</v>
      </c>
      <c r="J139" s="33">
        <f>U139-T139</f>
        <v>0</v>
      </c>
      <c r="K139" s="54">
        <f>I139*$P139</f>
        <v>100.3198</v>
      </c>
      <c r="L139" s="54">
        <f>J139*$Q139</f>
        <v>0</v>
      </c>
      <c r="M139" s="62">
        <f>K139+L139</f>
        <v>100.3198</v>
      </c>
      <c r="N139" s="53" t="s">
        <v>379</v>
      </c>
      <c r="O139" s="53" t="s">
        <v>380</v>
      </c>
      <c r="P139" s="71">
        <f>IF(G139="MFP",Tables!B$2,Tables!B$5)</f>
        <v>2.6200000000000001E-2</v>
      </c>
      <c r="Q139" s="72">
        <f>IF(G139="MFP",Tables!B$3,Tables!B$6)</f>
        <v>0.11799999999999999</v>
      </c>
      <c r="R139" s="73">
        <v>0</v>
      </c>
      <c r="S139" s="73">
        <v>3829</v>
      </c>
      <c r="T139" s="73">
        <v>0</v>
      </c>
      <c r="U139" s="73">
        <v>0</v>
      </c>
    </row>
    <row r="140" spans="1:21" s="30" customFormat="1" ht="24" outlineLevel="2" x14ac:dyDescent="0.25">
      <c r="A140" s="31" t="s">
        <v>188</v>
      </c>
      <c r="B140" s="57" t="s">
        <v>187</v>
      </c>
      <c r="C140" s="52" t="s">
        <v>639</v>
      </c>
      <c r="D140" s="53" t="s">
        <v>39</v>
      </c>
      <c r="E140" s="43" t="s">
        <v>186</v>
      </c>
      <c r="F140" s="46" t="s">
        <v>25</v>
      </c>
      <c r="G140" s="46" t="str">
        <f>VLOOKUP(F140,Tables!D$9:E$17,2,FALSE)</f>
        <v>PTR</v>
      </c>
      <c r="H140" s="66">
        <v>17099573</v>
      </c>
      <c r="I140" s="33">
        <f>S140-R140</f>
        <v>729</v>
      </c>
      <c r="J140" s="33">
        <f>U140-T140</f>
        <v>0</v>
      </c>
      <c r="K140" s="54">
        <f>I140*$P140</f>
        <v>19.099800000000002</v>
      </c>
      <c r="L140" s="54">
        <f>J140*$Q140</f>
        <v>0</v>
      </c>
      <c r="M140" s="62">
        <f>K140+L140</f>
        <v>19.099800000000002</v>
      </c>
      <c r="N140" s="53" t="s">
        <v>189</v>
      </c>
      <c r="O140" s="53" t="s">
        <v>190</v>
      </c>
      <c r="P140" s="71">
        <f>IF(G140="MFP",Tables!B$2,Tables!B$5)</f>
        <v>2.6200000000000001E-2</v>
      </c>
      <c r="Q140" s="72">
        <f>IF(G140="MFP",Tables!B$3,Tables!B$6)</f>
        <v>0.11799999999999999</v>
      </c>
      <c r="R140" s="73">
        <v>0</v>
      </c>
      <c r="S140" s="73">
        <v>729</v>
      </c>
      <c r="T140" s="73">
        <v>0</v>
      </c>
      <c r="U140" s="73">
        <v>0</v>
      </c>
    </row>
    <row r="141" spans="1:21" s="56" customFormat="1" outlineLevel="1" x14ac:dyDescent="0.25">
      <c r="A141" s="31"/>
      <c r="B141" s="32" t="s">
        <v>734</v>
      </c>
      <c r="C141" s="52"/>
      <c r="D141" s="53"/>
      <c r="E141" s="43"/>
      <c r="F141" s="46"/>
      <c r="G141" s="46"/>
      <c r="H141" s="66"/>
      <c r="I141" s="33"/>
      <c r="J141" s="33"/>
      <c r="K141" s="54"/>
      <c r="L141" s="54"/>
      <c r="M141" s="62">
        <f>SUBTOTAL(9,M137:M140)</f>
        <v>119.60300000000001</v>
      </c>
      <c r="N141" s="53"/>
      <c r="O141" s="53"/>
      <c r="P141" s="71"/>
      <c r="Q141" s="72"/>
      <c r="R141" s="73"/>
      <c r="S141" s="73"/>
      <c r="T141" s="73"/>
      <c r="U141" s="73"/>
    </row>
    <row r="142" spans="1:21" s="30" customFormat="1" ht="24" outlineLevel="2" x14ac:dyDescent="0.25">
      <c r="A142" s="31" t="s">
        <v>231</v>
      </c>
      <c r="B142" s="57" t="s">
        <v>687</v>
      </c>
      <c r="C142" s="52" t="s">
        <v>689</v>
      </c>
      <c r="D142" s="53" t="s">
        <v>688</v>
      </c>
      <c r="E142" s="43">
        <v>307</v>
      </c>
      <c r="F142" s="46" t="s">
        <v>25</v>
      </c>
      <c r="G142" s="46" t="str">
        <f>VLOOKUP(F142,Tables!D$9:E$17,2,FALSE)</f>
        <v>PTR</v>
      </c>
      <c r="H142" s="66">
        <v>17099623</v>
      </c>
      <c r="I142" s="33">
        <f>S142-R142</f>
        <v>146</v>
      </c>
      <c r="J142" s="33">
        <f>U142-T142</f>
        <v>0</v>
      </c>
      <c r="K142" s="54">
        <f>I142*$P142</f>
        <v>3.8252000000000002</v>
      </c>
      <c r="L142" s="54">
        <f>J142*$Q142</f>
        <v>0</v>
      </c>
      <c r="M142" s="62">
        <f>K142+L142</f>
        <v>3.8252000000000002</v>
      </c>
      <c r="N142" s="53" t="s">
        <v>232</v>
      </c>
      <c r="O142" s="53" t="s">
        <v>233</v>
      </c>
      <c r="P142" s="71">
        <f>IF(G142="MFP",Tables!B$2,Tables!B$5)</f>
        <v>2.6200000000000001E-2</v>
      </c>
      <c r="Q142" s="72">
        <f>IF(G142="MFP",Tables!B$3,Tables!B$6)</f>
        <v>0.11799999999999999</v>
      </c>
      <c r="R142" s="73">
        <v>0</v>
      </c>
      <c r="S142" s="73">
        <v>146</v>
      </c>
      <c r="T142" s="73">
        <v>0</v>
      </c>
      <c r="U142" s="73">
        <v>0</v>
      </c>
    </row>
    <row r="143" spans="1:21" s="30" customFormat="1" ht="24" outlineLevel="2" x14ac:dyDescent="0.25">
      <c r="A143" s="31" t="s">
        <v>490</v>
      </c>
      <c r="B143" s="57" t="s">
        <v>687</v>
      </c>
      <c r="C143" s="52" t="s">
        <v>689</v>
      </c>
      <c r="D143" s="53" t="s">
        <v>688</v>
      </c>
      <c r="E143" s="43">
        <v>312</v>
      </c>
      <c r="F143" s="46" t="s">
        <v>31</v>
      </c>
      <c r="G143" s="46" t="str">
        <f>VLOOKUP(F143,Tables!D$9:E$17,2,FALSE)</f>
        <v>MFP</v>
      </c>
      <c r="H143" s="66">
        <v>17099481</v>
      </c>
      <c r="I143" s="33">
        <f>S143-R143</f>
        <v>29493</v>
      </c>
      <c r="J143" s="33">
        <f>U143-T143</f>
        <v>5916</v>
      </c>
      <c r="K143" s="54">
        <f>I143*$P143</f>
        <v>610.50509999999997</v>
      </c>
      <c r="L143" s="54">
        <f>J143*$Q143</f>
        <v>514.69200000000001</v>
      </c>
      <c r="M143" s="62">
        <f>K143+L143</f>
        <v>1125.1970999999999</v>
      </c>
      <c r="N143" s="53" t="s">
        <v>491</v>
      </c>
      <c r="O143" s="53" t="s">
        <v>492</v>
      </c>
      <c r="P143" s="71">
        <f>IF(G143="MFP",Tables!B$2,Tables!B$5)</f>
        <v>2.07E-2</v>
      </c>
      <c r="Q143" s="72">
        <f>IF(G143="MFP",Tables!B$3,Tables!B$6)</f>
        <v>8.6999999999999994E-2</v>
      </c>
      <c r="R143" s="73">
        <v>0</v>
      </c>
      <c r="S143" s="73">
        <v>29493</v>
      </c>
      <c r="T143" s="73">
        <v>0</v>
      </c>
      <c r="U143" s="73">
        <v>5916</v>
      </c>
    </row>
    <row r="144" spans="1:21" s="56" customFormat="1" outlineLevel="1" x14ac:dyDescent="0.25">
      <c r="A144" s="31"/>
      <c r="B144" s="32" t="s">
        <v>735</v>
      </c>
      <c r="C144" s="52"/>
      <c r="D144" s="53"/>
      <c r="E144" s="43"/>
      <c r="F144" s="46"/>
      <c r="G144" s="46"/>
      <c r="H144" s="66"/>
      <c r="I144" s="33"/>
      <c r="J144" s="33"/>
      <c r="K144" s="54"/>
      <c r="L144" s="54"/>
      <c r="M144" s="62">
        <f>SUBTOTAL(9,M142:M143)</f>
        <v>1129.0222999999999</v>
      </c>
      <c r="N144" s="53"/>
      <c r="O144" s="53"/>
      <c r="P144" s="71"/>
      <c r="Q144" s="72"/>
      <c r="R144" s="73"/>
      <c r="S144" s="73"/>
      <c r="T144" s="73"/>
      <c r="U144" s="73"/>
    </row>
    <row r="145" spans="1:28" s="30" customFormat="1" ht="36" outlineLevel="2" x14ac:dyDescent="0.25">
      <c r="A145" s="31" t="s">
        <v>122</v>
      </c>
      <c r="B145" s="57" t="s">
        <v>98</v>
      </c>
      <c r="C145" s="52" t="s">
        <v>651</v>
      </c>
      <c r="D145" s="53" t="s">
        <v>113</v>
      </c>
      <c r="E145" s="43">
        <v>123</v>
      </c>
      <c r="F145" s="46" t="s">
        <v>25</v>
      </c>
      <c r="G145" s="46" t="str">
        <f>VLOOKUP(F145,Tables!D$9:E$17,2,FALSE)</f>
        <v>PTR</v>
      </c>
      <c r="H145" s="66">
        <v>17099783</v>
      </c>
      <c r="I145" s="33">
        <f>S145-R145</f>
        <v>3601</v>
      </c>
      <c r="J145" s="33">
        <f>U145-T145</f>
        <v>0</v>
      </c>
      <c r="K145" s="54">
        <f>I145*$P145</f>
        <v>94.34620000000001</v>
      </c>
      <c r="L145" s="54">
        <f>J145*$Q145</f>
        <v>0</v>
      </c>
      <c r="M145" s="62">
        <f>K145+L145</f>
        <v>94.34620000000001</v>
      </c>
      <c r="N145" s="53" t="s">
        <v>123</v>
      </c>
      <c r="O145" s="53" t="s">
        <v>124</v>
      </c>
      <c r="P145" s="71">
        <f>IF(G145="MFP",Tables!B$2,Tables!B$5)</f>
        <v>2.6200000000000001E-2</v>
      </c>
      <c r="Q145" s="72">
        <f>IF(G145="MFP",Tables!B$3,Tables!B$6)</f>
        <v>0.11799999999999999</v>
      </c>
      <c r="R145" s="73">
        <v>0</v>
      </c>
      <c r="S145" s="73">
        <v>3601</v>
      </c>
      <c r="T145" s="73">
        <v>0</v>
      </c>
      <c r="U145" s="73">
        <v>0</v>
      </c>
    </row>
    <row r="146" spans="1:28" s="56" customFormat="1" outlineLevel="1" x14ac:dyDescent="0.25">
      <c r="A146" s="31"/>
      <c r="B146" s="32" t="s">
        <v>727</v>
      </c>
      <c r="C146" s="52"/>
      <c r="D146" s="53"/>
      <c r="E146" s="43"/>
      <c r="F146" s="46"/>
      <c r="G146" s="46"/>
      <c r="H146" s="66"/>
      <c r="I146" s="33"/>
      <c r="J146" s="33"/>
      <c r="K146" s="54"/>
      <c r="L146" s="54"/>
      <c r="M146" s="62">
        <f>SUBTOTAL(9,M145:M145)</f>
        <v>94.34620000000001</v>
      </c>
      <c r="N146" s="53"/>
      <c r="O146" s="53"/>
      <c r="P146" s="71"/>
      <c r="Q146" s="72"/>
      <c r="R146" s="73"/>
      <c r="S146" s="73"/>
      <c r="T146" s="73"/>
      <c r="U146" s="73"/>
    </row>
    <row r="147" spans="1:28" s="30" customFormat="1" ht="24" outlineLevel="2" x14ac:dyDescent="0.25">
      <c r="A147" s="31" t="s">
        <v>326</v>
      </c>
      <c r="B147" s="57" t="s">
        <v>325</v>
      </c>
      <c r="C147" s="52" t="s">
        <v>326</v>
      </c>
      <c r="D147" s="53" t="s">
        <v>63</v>
      </c>
      <c r="E147" s="43">
        <v>521</v>
      </c>
      <c r="F147" s="46" t="s">
        <v>25</v>
      </c>
      <c r="G147" s="46" t="str">
        <f>VLOOKUP(F147,Tables!D$9:E$17,2,FALSE)</f>
        <v>PTR</v>
      </c>
      <c r="H147" s="66">
        <v>17099544</v>
      </c>
      <c r="I147" s="33">
        <f>S147-R147</f>
        <v>342</v>
      </c>
      <c r="J147" s="33">
        <f>U147-T147</f>
        <v>0</v>
      </c>
      <c r="K147" s="54">
        <f>I147*$P147</f>
        <v>8.9603999999999999</v>
      </c>
      <c r="L147" s="54">
        <f>J147*$Q147</f>
        <v>0</v>
      </c>
      <c r="M147" s="62">
        <f>K147+L147</f>
        <v>8.9603999999999999</v>
      </c>
      <c r="N147" s="53" t="s">
        <v>327</v>
      </c>
      <c r="O147" s="53" t="s">
        <v>328</v>
      </c>
      <c r="P147" s="71">
        <f>IF(G147="MFP",Tables!B$2,Tables!B$5)</f>
        <v>2.6200000000000001E-2</v>
      </c>
      <c r="Q147" s="72">
        <f>IF(G147="MFP",Tables!B$3,Tables!B$6)</f>
        <v>0.11799999999999999</v>
      </c>
      <c r="R147" s="73">
        <v>0</v>
      </c>
      <c r="S147" s="73">
        <v>342</v>
      </c>
      <c r="T147" s="73">
        <v>0</v>
      </c>
      <c r="U147" s="73">
        <v>0</v>
      </c>
    </row>
    <row r="148" spans="1:28" s="30" customFormat="1" ht="24" outlineLevel="2" x14ac:dyDescent="0.25">
      <c r="A148" s="31" t="s">
        <v>326</v>
      </c>
      <c r="B148" s="57" t="s">
        <v>325</v>
      </c>
      <c r="C148" s="52" t="s">
        <v>326</v>
      </c>
      <c r="D148" s="53" t="s">
        <v>63</v>
      </c>
      <c r="E148" s="43">
        <v>523</v>
      </c>
      <c r="F148" s="46" t="s">
        <v>25</v>
      </c>
      <c r="G148" s="46" t="str">
        <f>VLOOKUP(F148,Tables!D$9:E$17,2,FALSE)</f>
        <v>PTR</v>
      </c>
      <c r="H148" s="66">
        <v>17099543</v>
      </c>
      <c r="I148" s="33">
        <f>S148-R148</f>
        <v>536</v>
      </c>
      <c r="J148" s="33">
        <f>U148-T148</f>
        <v>0</v>
      </c>
      <c r="K148" s="54">
        <f>I148*$P148</f>
        <v>14.043200000000001</v>
      </c>
      <c r="L148" s="54">
        <f>J148*$Q148</f>
        <v>0</v>
      </c>
      <c r="M148" s="62">
        <f>K148+L148</f>
        <v>14.043200000000001</v>
      </c>
      <c r="N148" s="53" t="s">
        <v>332</v>
      </c>
      <c r="O148" s="53" t="s">
        <v>333</v>
      </c>
      <c r="P148" s="71">
        <f>IF(G148="MFP",Tables!B$2,Tables!B$5)</f>
        <v>2.6200000000000001E-2</v>
      </c>
      <c r="Q148" s="72">
        <f>IF(G148="MFP",Tables!B$3,Tables!B$6)</f>
        <v>0.11799999999999999</v>
      </c>
      <c r="R148" s="73">
        <v>0</v>
      </c>
      <c r="S148" s="73">
        <v>536</v>
      </c>
      <c r="T148" s="73">
        <v>0</v>
      </c>
      <c r="U148" s="73">
        <v>0</v>
      </c>
      <c r="V148" s="56"/>
      <c r="W148" s="56"/>
      <c r="X148" s="56"/>
      <c r="Y148" s="56"/>
      <c r="Z148" s="56"/>
      <c r="AA148" s="56"/>
      <c r="AB148" s="56"/>
    </row>
    <row r="149" spans="1:28" s="30" customFormat="1" ht="24" outlineLevel="2" x14ac:dyDescent="0.25">
      <c r="A149" s="31" t="s">
        <v>326</v>
      </c>
      <c r="B149" s="57" t="s">
        <v>325</v>
      </c>
      <c r="C149" s="52" t="s">
        <v>326</v>
      </c>
      <c r="D149" s="53" t="s">
        <v>63</v>
      </c>
      <c r="E149" s="43">
        <v>528</v>
      </c>
      <c r="F149" s="46" t="s">
        <v>18</v>
      </c>
      <c r="G149" s="46" t="str">
        <f>VLOOKUP(F149,Tables!D$9:E$17,2,FALSE)</f>
        <v>MFP</v>
      </c>
      <c r="H149" s="66">
        <v>17099485</v>
      </c>
      <c r="I149" s="33">
        <f>S149-R149</f>
        <v>11030</v>
      </c>
      <c r="J149" s="33">
        <f>U149-T149</f>
        <v>608</v>
      </c>
      <c r="K149" s="54">
        <f>I149*$P149</f>
        <v>228.321</v>
      </c>
      <c r="L149" s="54">
        <f>J149*$Q149</f>
        <v>52.895999999999994</v>
      </c>
      <c r="M149" s="62">
        <f>K149+L149</f>
        <v>281.21699999999998</v>
      </c>
      <c r="N149" s="53" t="s">
        <v>435</v>
      </c>
      <c r="O149" s="53" t="s">
        <v>436</v>
      </c>
      <c r="P149" s="71">
        <f>IF(G149="MFP",Tables!B$2,Tables!B$5)</f>
        <v>2.07E-2</v>
      </c>
      <c r="Q149" s="72">
        <f>IF(G149="MFP",Tables!B$3,Tables!B$6)</f>
        <v>8.6999999999999994E-2</v>
      </c>
      <c r="R149" s="73">
        <v>0</v>
      </c>
      <c r="S149" s="73">
        <v>11030</v>
      </c>
      <c r="T149" s="73">
        <v>0</v>
      </c>
      <c r="U149" s="73">
        <v>608</v>
      </c>
    </row>
    <row r="150" spans="1:28" s="30" customFormat="1" ht="24" outlineLevel="2" x14ac:dyDescent="0.25">
      <c r="A150" s="31" t="s">
        <v>326</v>
      </c>
      <c r="B150" s="57" t="s">
        <v>325</v>
      </c>
      <c r="C150" s="52" t="s">
        <v>326</v>
      </c>
      <c r="D150" s="53" t="s">
        <v>63</v>
      </c>
      <c r="E150" s="43">
        <v>532</v>
      </c>
      <c r="F150" s="46" t="s">
        <v>25</v>
      </c>
      <c r="G150" s="46" t="str">
        <f>VLOOKUP(F150,Tables!D$9:E$17,2,FALSE)</f>
        <v>PTR</v>
      </c>
      <c r="H150" s="66">
        <v>17099545</v>
      </c>
      <c r="I150" s="33">
        <f>S150-R150</f>
        <v>56</v>
      </c>
      <c r="J150" s="33">
        <f>U150-T150</f>
        <v>0</v>
      </c>
      <c r="K150" s="54">
        <f>I150*$P150</f>
        <v>1.4672000000000001</v>
      </c>
      <c r="L150" s="54">
        <f>J150*$Q150</f>
        <v>0</v>
      </c>
      <c r="M150" s="62">
        <f>K150+L150</f>
        <v>1.4672000000000001</v>
      </c>
      <c r="N150" s="53" t="s">
        <v>342</v>
      </c>
      <c r="O150" s="53" t="s">
        <v>343</v>
      </c>
      <c r="P150" s="71">
        <f>IF(G150="MFP",Tables!B$2,Tables!B$5)</f>
        <v>2.6200000000000001E-2</v>
      </c>
      <c r="Q150" s="72">
        <f>IF(G150="MFP",Tables!B$3,Tables!B$6)</f>
        <v>0.11799999999999999</v>
      </c>
      <c r="R150" s="73">
        <v>0</v>
      </c>
      <c r="S150" s="73">
        <v>56</v>
      </c>
      <c r="T150" s="73">
        <v>0</v>
      </c>
      <c r="U150" s="73">
        <v>0</v>
      </c>
    </row>
    <row r="151" spans="1:28" s="30" customFormat="1" ht="24" outlineLevel="2" x14ac:dyDescent="0.25">
      <c r="A151" s="31" t="s">
        <v>326</v>
      </c>
      <c r="B151" s="57" t="s">
        <v>325</v>
      </c>
      <c r="C151" s="52" t="s">
        <v>326</v>
      </c>
      <c r="D151" s="53" t="s">
        <v>63</v>
      </c>
      <c r="E151" s="43">
        <v>536</v>
      </c>
      <c r="F151" s="46" t="s">
        <v>25</v>
      </c>
      <c r="G151" s="46" t="str">
        <f>VLOOKUP(F151,Tables!D$9:E$17,2,FALSE)</f>
        <v>PTR</v>
      </c>
      <c r="H151" s="66">
        <v>17099546</v>
      </c>
      <c r="I151" s="33">
        <f>S151-R151</f>
        <v>3192</v>
      </c>
      <c r="J151" s="33">
        <f>U151-T151</f>
        <v>0</v>
      </c>
      <c r="K151" s="54">
        <f>I151*$P151</f>
        <v>83.630400000000009</v>
      </c>
      <c r="L151" s="54">
        <f>J151*$Q151</f>
        <v>0</v>
      </c>
      <c r="M151" s="62">
        <f>K151+L151</f>
        <v>83.630400000000009</v>
      </c>
      <c r="N151" s="53" t="s">
        <v>338</v>
      </c>
      <c r="O151" s="53" t="s">
        <v>339</v>
      </c>
      <c r="P151" s="71">
        <f>IF(G151="MFP",Tables!B$2,Tables!B$5)</f>
        <v>2.6200000000000001E-2</v>
      </c>
      <c r="Q151" s="72">
        <f>IF(G151="MFP",Tables!B$3,Tables!B$6)</f>
        <v>0.11799999999999999</v>
      </c>
      <c r="R151" s="73">
        <v>0</v>
      </c>
      <c r="S151" s="73">
        <v>3192</v>
      </c>
      <c r="T151" s="73">
        <v>0</v>
      </c>
      <c r="U151" s="73">
        <v>0</v>
      </c>
    </row>
    <row r="152" spans="1:28" s="56" customFormat="1" outlineLevel="1" x14ac:dyDescent="0.25">
      <c r="A152" s="31"/>
      <c r="B152" s="32" t="s">
        <v>736</v>
      </c>
      <c r="C152" s="52"/>
      <c r="D152" s="53"/>
      <c r="E152" s="43"/>
      <c r="F152" s="46"/>
      <c r="G152" s="46"/>
      <c r="H152" s="66"/>
      <c r="I152" s="33"/>
      <c r="J152" s="33"/>
      <c r="K152" s="54"/>
      <c r="L152" s="54"/>
      <c r="M152" s="62">
        <f>SUBTOTAL(9,M147:M151)</f>
        <v>389.31819999999999</v>
      </c>
      <c r="N152" s="53"/>
      <c r="O152" s="53"/>
      <c r="P152" s="71"/>
      <c r="Q152" s="72"/>
      <c r="R152" s="73"/>
      <c r="S152" s="73"/>
      <c r="T152" s="73"/>
      <c r="U152" s="73"/>
    </row>
    <row r="153" spans="1:28" s="30" customFormat="1" ht="30" outlineLevel="2" x14ac:dyDescent="0.25">
      <c r="A153" s="31" t="s">
        <v>80</v>
      </c>
      <c r="B153" s="57" t="s">
        <v>79</v>
      </c>
      <c r="C153" s="52" t="s">
        <v>642</v>
      </c>
      <c r="D153" s="132" t="s">
        <v>817</v>
      </c>
      <c r="E153" s="43">
        <v>301</v>
      </c>
      <c r="F153" s="46" t="s">
        <v>25</v>
      </c>
      <c r="G153" s="46" t="str">
        <f>VLOOKUP(F153,Tables!D$9:E$17,2,FALSE)</f>
        <v>PTR</v>
      </c>
      <c r="H153" s="66">
        <v>17099508</v>
      </c>
      <c r="I153" s="33">
        <f>S153-R153</f>
        <v>848</v>
      </c>
      <c r="J153" s="33">
        <f>U153-T153</f>
        <v>0</v>
      </c>
      <c r="K153" s="54">
        <f>I153*$P153</f>
        <v>22.217600000000001</v>
      </c>
      <c r="L153" s="54">
        <f>J153*$Q153</f>
        <v>0</v>
      </c>
      <c r="M153" s="62">
        <f>K153+L153</f>
        <v>22.217600000000001</v>
      </c>
      <c r="N153" s="53" t="s">
        <v>427</v>
      </c>
      <c r="O153" s="53" t="s">
        <v>428</v>
      </c>
      <c r="P153" s="71">
        <f>IF(G153="MFP",Tables!B$2,Tables!B$5)</f>
        <v>2.6200000000000001E-2</v>
      </c>
      <c r="Q153" s="72">
        <f>IF(G153="MFP",Tables!B$3,Tables!B$6)</f>
        <v>0.11799999999999999</v>
      </c>
      <c r="R153" s="73">
        <v>0</v>
      </c>
      <c r="S153" s="73">
        <v>848</v>
      </c>
      <c r="T153" s="73">
        <v>0</v>
      </c>
      <c r="U153" s="73">
        <v>0</v>
      </c>
    </row>
    <row r="154" spans="1:28" s="30" customFormat="1" ht="30" outlineLevel="2" x14ac:dyDescent="0.25">
      <c r="A154" s="31" t="s">
        <v>80</v>
      </c>
      <c r="B154" s="57" t="s">
        <v>79</v>
      </c>
      <c r="C154" s="52" t="s">
        <v>642</v>
      </c>
      <c r="D154" s="132" t="s">
        <v>818</v>
      </c>
      <c r="E154" s="43">
        <v>303</v>
      </c>
      <c r="F154" s="46" t="s">
        <v>25</v>
      </c>
      <c r="G154" s="46" t="str">
        <f>VLOOKUP(F154,Tables!D$9:E$17,2,FALSE)</f>
        <v>PTR</v>
      </c>
      <c r="H154" s="66">
        <v>17099441</v>
      </c>
      <c r="I154" s="33">
        <f>S154-R154</f>
        <v>182</v>
      </c>
      <c r="J154" s="33">
        <f>U154-T154</f>
        <v>0</v>
      </c>
      <c r="K154" s="54">
        <f>I154*$P154</f>
        <v>4.7683999999999997</v>
      </c>
      <c r="L154" s="54">
        <f>J154*$Q154</f>
        <v>0</v>
      </c>
      <c r="M154" s="62">
        <f>K154+L154</f>
        <v>4.7683999999999997</v>
      </c>
      <c r="N154" s="53" t="s">
        <v>206</v>
      </c>
      <c r="O154" s="53" t="s">
        <v>207</v>
      </c>
      <c r="P154" s="71">
        <f>IF(G154="MFP",Tables!B$2,Tables!B$5)</f>
        <v>2.6200000000000001E-2</v>
      </c>
      <c r="Q154" s="72">
        <f>IF(G154="MFP",Tables!B$3,Tables!B$6)</f>
        <v>0.11799999999999999</v>
      </c>
      <c r="R154" s="73">
        <v>0</v>
      </c>
      <c r="S154" s="73">
        <v>182</v>
      </c>
      <c r="T154" s="73">
        <v>0</v>
      </c>
      <c r="U154" s="73">
        <v>0</v>
      </c>
    </row>
    <row r="155" spans="1:28" s="30" customFormat="1" ht="30" outlineLevel="2" x14ac:dyDescent="0.25">
      <c r="A155" s="31" t="s">
        <v>80</v>
      </c>
      <c r="B155" s="57" t="s">
        <v>79</v>
      </c>
      <c r="C155" s="52" t="s">
        <v>642</v>
      </c>
      <c r="D155" s="132" t="s">
        <v>819</v>
      </c>
      <c r="E155" s="43">
        <v>303</v>
      </c>
      <c r="F155" s="46" t="s">
        <v>25</v>
      </c>
      <c r="G155" s="46" t="str">
        <f>VLOOKUP(F155,Tables!D$9:E$17,2,FALSE)</f>
        <v>PTR</v>
      </c>
      <c r="H155" s="66">
        <v>17099509</v>
      </c>
      <c r="I155" s="33">
        <f>S155-R155</f>
        <v>2024</v>
      </c>
      <c r="J155" s="33">
        <f>U155-T155</f>
        <v>0</v>
      </c>
      <c r="K155" s="54">
        <f>I155*$P155</f>
        <v>53.028800000000004</v>
      </c>
      <c r="L155" s="54">
        <f>J155*$Q155</f>
        <v>0</v>
      </c>
      <c r="M155" s="62">
        <f>K155+L155</f>
        <v>53.028800000000004</v>
      </c>
      <c r="N155" s="53" t="s">
        <v>344</v>
      </c>
      <c r="O155" s="53" t="s">
        <v>345</v>
      </c>
      <c r="P155" s="71">
        <f>IF(G155="MFP",Tables!B$2,Tables!B$5)</f>
        <v>2.6200000000000001E-2</v>
      </c>
      <c r="Q155" s="72">
        <f>IF(G155="MFP",Tables!B$3,Tables!B$6)</f>
        <v>0.11799999999999999</v>
      </c>
      <c r="R155" s="73">
        <v>0</v>
      </c>
      <c r="S155" s="73">
        <v>2024</v>
      </c>
      <c r="T155" s="73">
        <v>0</v>
      </c>
      <c r="U155" s="73">
        <v>0</v>
      </c>
    </row>
    <row r="156" spans="1:28" s="30" customFormat="1" ht="30" outlineLevel="2" x14ac:dyDescent="0.25">
      <c r="A156" s="31" t="s">
        <v>80</v>
      </c>
      <c r="B156" s="57" t="s">
        <v>79</v>
      </c>
      <c r="C156" s="52" t="s">
        <v>642</v>
      </c>
      <c r="D156" s="132" t="s">
        <v>820</v>
      </c>
      <c r="E156" s="43">
        <v>303</v>
      </c>
      <c r="F156" s="46" t="s">
        <v>25</v>
      </c>
      <c r="G156" s="46" t="str">
        <f>VLOOKUP(F156,Tables!D$9:E$17,2,FALSE)</f>
        <v>PTR</v>
      </c>
      <c r="H156" s="66">
        <v>17099510</v>
      </c>
      <c r="I156" s="33">
        <f>S156-R156</f>
        <v>340</v>
      </c>
      <c r="J156" s="33">
        <f>U156-T156</f>
        <v>0</v>
      </c>
      <c r="K156" s="54">
        <f>I156*$P156</f>
        <v>8.9080000000000013</v>
      </c>
      <c r="L156" s="54">
        <f>J156*$Q156</f>
        <v>0</v>
      </c>
      <c r="M156" s="62">
        <f>K156+L156</f>
        <v>8.9080000000000013</v>
      </c>
      <c r="N156" s="53" t="s">
        <v>461</v>
      </c>
      <c r="O156" s="53" t="s">
        <v>462</v>
      </c>
      <c r="P156" s="71">
        <f>IF(G156="MFP",Tables!B$2,Tables!B$5)</f>
        <v>2.6200000000000001E-2</v>
      </c>
      <c r="Q156" s="72">
        <f>IF(G156="MFP",Tables!B$3,Tables!B$6)</f>
        <v>0.11799999999999999</v>
      </c>
      <c r="R156" s="73">
        <v>0</v>
      </c>
      <c r="S156" s="73">
        <v>340</v>
      </c>
      <c r="T156" s="73">
        <v>0</v>
      </c>
      <c r="U156" s="73">
        <v>0</v>
      </c>
    </row>
    <row r="157" spans="1:28" s="30" customFormat="1" ht="30" outlineLevel="2" x14ac:dyDescent="0.25">
      <c r="A157" s="31" t="s">
        <v>80</v>
      </c>
      <c r="B157" s="57" t="s">
        <v>79</v>
      </c>
      <c r="C157" s="52" t="s">
        <v>642</v>
      </c>
      <c r="D157" s="132" t="s">
        <v>821</v>
      </c>
      <c r="E157" s="43">
        <v>305</v>
      </c>
      <c r="F157" s="46" t="s">
        <v>18</v>
      </c>
      <c r="G157" s="46" t="str">
        <f>VLOOKUP(F157,Tables!D$9:E$17,2,FALSE)</f>
        <v>MFP</v>
      </c>
      <c r="H157" s="66">
        <v>17099494</v>
      </c>
      <c r="I157" s="33">
        <f>S157-R157</f>
        <v>3991</v>
      </c>
      <c r="J157" s="33">
        <f>U157-T157</f>
        <v>956</v>
      </c>
      <c r="K157" s="54">
        <f>I157*$P157</f>
        <v>82.613699999999994</v>
      </c>
      <c r="L157" s="54">
        <f>J157*$Q157</f>
        <v>83.171999999999997</v>
      </c>
      <c r="M157" s="62">
        <f>K157+L157</f>
        <v>165.78569999999999</v>
      </c>
      <c r="N157" s="53" t="s">
        <v>81</v>
      </c>
      <c r="O157" s="53" t="s">
        <v>82</v>
      </c>
      <c r="P157" s="71">
        <f>IF(G157="MFP",Tables!B$2,Tables!B$5)</f>
        <v>2.07E-2</v>
      </c>
      <c r="Q157" s="72">
        <f>IF(G157="MFP",Tables!B$3,Tables!B$6)</f>
        <v>8.6999999999999994E-2</v>
      </c>
      <c r="R157" s="73">
        <v>0</v>
      </c>
      <c r="S157" s="73">
        <v>3991</v>
      </c>
      <c r="T157" s="73">
        <v>0</v>
      </c>
      <c r="U157" s="73">
        <v>956</v>
      </c>
    </row>
    <row r="158" spans="1:28" s="56" customFormat="1" outlineLevel="1" x14ac:dyDescent="0.25">
      <c r="A158" s="31"/>
      <c r="B158" s="32" t="s">
        <v>737</v>
      </c>
      <c r="C158" s="52"/>
      <c r="D158" s="132"/>
      <c r="E158" s="43"/>
      <c r="F158" s="46"/>
      <c r="G158" s="46"/>
      <c r="H158" s="66"/>
      <c r="I158" s="33"/>
      <c r="J158" s="33"/>
      <c r="K158" s="54"/>
      <c r="L158" s="54"/>
      <c r="M158" s="62">
        <f>SUBTOTAL(9,M153:M157)</f>
        <v>254.70850000000002</v>
      </c>
      <c r="N158" s="53"/>
      <c r="O158" s="53"/>
      <c r="P158" s="71"/>
      <c r="Q158" s="72"/>
      <c r="R158" s="73"/>
      <c r="S158" s="73"/>
      <c r="T158" s="73"/>
      <c r="U158" s="73"/>
    </row>
    <row r="159" spans="1:28" s="30" customFormat="1" ht="24" outlineLevel="2" x14ac:dyDescent="0.25">
      <c r="A159" s="31" t="s">
        <v>334</v>
      </c>
      <c r="B159" s="57" t="s">
        <v>335</v>
      </c>
      <c r="C159" s="52" t="s">
        <v>655</v>
      </c>
      <c r="D159" s="53" t="s">
        <v>334</v>
      </c>
      <c r="E159" s="43">
        <v>113</v>
      </c>
      <c r="F159" s="46" t="s">
        <v>25</v>
      </c>
      <c r="G159" s="46" t="str">
        <f>VLOOKUP(F159,Tables!D$9:E$17,2,FALSE)</f>
        <v>PTR</v>
      </c>
      <c r="H159" s="66">
        <v>17099635</v>
      </c>
      <c r="I159" s="33">
        <f>S159-R159</f>
        <v>2218</v>
      </c>
      <c r="J159" s="33">
        <f>U159-T159</f>
        <v>0</v>
      </c>
      <c r="K159" s="54">
        <f>I159*$P159</f>
        <v>58.111600000000003</v>
      </c>
      <c r="L159" s="54">
        <f>J159*$Q159</f>
        <v>0</v>
      </c>
      <c r="M159" s="62">
        <f>K159+L159</f>
        <v>58.111600000000003</v>
      </c>
      <c r="N159" s="53" t="s">
        <v>476</v>
      </c>
      <c r="O159" s="53" t="s">
        <v>477</v>
      </c>
      <c r="P159" s="71">
        <f>IF(G159="MFP",Tables!B$2,Tables!B$5)</f>
        <v>2.6200000000000001E-2</v>
      </c>
      <c r="Q159" s="72">
        <f>IF(G159="MFP",Tables!B$3,Tables!B$6)</f>
        <v>0.11799999999999999</v>
      </c>
      <c r="R159" s="73">
        <v>0</v>
      </c>
      <c r="S159" s="73">
        <v>2218</v>
      </c>
      <c r="T159" s="73">
        <v>0</v>
      </c>
      <c r="U159" s="73">
        <v>0</v>
      </c>
    </row>
    <row r="160" spans="1:28" s="30" customFormat="1" ht="24" outlineLevel="2" x14ac:dyDescent="0.25">
      <c r="A160" s="31" t="s">
        <v>334</v>
      </c>
      <c r="B160" s="57" t="s">
        <v>335</v>
      </c>
      <c r="C160" s="52" t="s">
        <v>655</v>
      </c>
      <c r="D160" s="53" t="s">
        <v>334</v>
      </c>
      <c r="E160" s="43">
        <v>121</v>
      </c>
      <c r="F160" s="46" t="s">
        <v>18</v>
      </c>
      <c r="G160" s="46" t="str">
        <f>VLOOKUP(F160,Tables!D$9:E$17,2,FALSE)</f>
        <v>MFP</v>
      </c>
      <c r="H160" s="66">
        <v>17099496</v>
      </c>
      <c r="I160" s="33">
        <f>S160-R160</f>
        <v>6620</v>
      </c>
      <c r="J160" s="33">
        <f>U160-T160</f>
        <v>331</v>
      </c>
      <c r="K160" s="54">
        <f>I160*$P160</f>
        <v>137.03399999999999</v>
      </c>
      <c r="L160" s="54">
        <f>J160*$Q160</f>
        <v>28.796999999999997</v>
      </c>
      <c r="M160" s="62">
        <f>K160+L160</f>
        <v>165.83099999999999</v>
      </c>
      <c r="N160" s="53" t="s">
        <v>336</v>
      </c>
      <c r="O160" s="53" t="s">
        <v>337</v>
      </c>
      <c r="P160" s="71">
        <f>IF(G160="MFP",Tables!B$2,Tables!B$5)</f>
        <v>2.07E-2</v>
      </c>
      <c r="Q160" s="72">
        <f>IF(G160="MFP",Tables!B$3,Tables!B$6)</f>
        <v>8.6999999999999994E-2</v>
      </c>
      <c r="R160" s="73">
        <v>0</v>
      </c>
      <c r="S160" s="73">
        <v>6620</v>
      </c>
      <c r="T160" s="73">
        <v>0</v>
      </c>
      <c r="U160" s="73">
        <v>331</v>
      </c>
    </row>
    <row r="161" spans="1:28" s="30" customFormat="1" ht="24" outlineLevel="2" x14ac:dyDescent="0.25">
      <c r="A161" s="31" t="s">
        <v>334</v>
      </c>
      <c r="B161" s="57" t="s">
        <v>335</v>
      </c>
      <c r="C161" s="52" t="s">
        <v>655</v>
      </c>
      <c r="D161" s="53" t="s">
        <v>334</v>
      </c>
      <c r="E161" s="43">
        <v>219</v>
      </c>
      <c r="F161" s="46" t="s">
        <v>18</v>
      </c>
      <c r="G161" s="46" t="str">
        <f>VLOOKUP(F161,Tables!D$9:E$17,2,FALSE)</f>
        <v>MFP</v>
      </c>
      <c r="H161" s="66">
        <v>17099495</v>
      </c>
      <c r="I161" s="33">
        <f>S161-R161</f>
        <v>1531</v>
      </c>
      <c r="J161" s="33">
        <f>U161-T161</f>
        <v>91</v>
      </c>
      <c r="K161" s="54">
        <f>I161*$P161</f>
        <v>31.691700000000001</v>
      </c>
      <c r="L161" s="54">
        <f>J161*$Q161</f>
        <v>7.9169999999999998</v>
      </c>
      <c r="M161" s="62">
        <f>K161+L161</f>
        <v>39.608699999999999</v>
      </c>
      <c r="N161" s="53" t="s">
        <v>465</v>
      </c>
      <c r="O161" s="53" t="s">
        <v>466</v>
      </c>
      <c r="P161" s="71">
        <f>IF(G161="MFP",Tables!B$2,Tables!B$5)</f>
        <v>2.07E-2</v>
      </c>
      <c r="Q161" s="72">
        <f>IF(G161="MFP",Tables!B$3,Tables!B$6)</f>
        <v>8.6999999999999994E-2</v>
      </c>
      <c r="R161" s="73">
        <v>0</v>
      </c>
      <c r="S161" s="73">
        <v>1531</v>
      </c>
      <c r="T161" s="73">
        <v>0</v>
      </c>
      <c r="U161" s="73">
        <v>91</v>
      </c>
    </row>
    <row r="162" spans="1:28" s="56" customFormat="1" outlineLevel="1" x14ac:dyDescent="0.25">
      <c r="A162" s="31"/>
      <c r="B162" s="32" t="s">
        <v>738</v>
      </c>
      <c r="C162" s="52"/>
      <c r="D162" s="53"/>
      <c r="E162" s="43"/>
      <c r="F162" s="46"/>
      <c r="G162" s="46"/>
      <c r="H162" s="66"/>
      <c r="I162" s="33"/>
      <c r="J162" s="33"/>
      <c r="K162" s="54"/>
      <c r="L162" s="54"/>
      <c r="M162" s="62">
        <f>SUBTOTAL(9,M159:M161)</f>
        <v>263.55129999999997</v>
      </c>
      <c r="N162" s="53"/>
      <c r="O162" s="53"/>
      <c r="P162" s="71"/>
      <c r="Q162" s="72"/>
      <c r="R162" s="73"/>
      <c r="S162" s="73"/>
      <c r="T162" s="73"/>
      <c r="U162" s="73"/>
    </row>
    <row r="163" spans="1:28" s="30" customFormat="1" ht="24" outlineLevel="2" x14ac:dyDescent="0.25">
      <c r="A163" s="31" t="s">
        <v>193</v>
      </c>
      <c r="B163" s="57" t="s">
        <v>316</v>
      </c>
      <c r="C163" s="52" t="s">
        <v>636</v>
      </c>
      <c r="D163" s="53" t="s">
        <v>93</v>
      </c>
      <c r="E163" s="43">
        <v>315</v>
      </c>
      <c r="F163" s="46" t="s">
        <v>25</v>
      </c>
      <c r="G163" s="46" t="str">
        <f>VLOOKUP(F163,Tables!D$9:E$17,2,FALSE)</f>
        <v>PTR</v>
      </c>
      <c r="H163" s="66">
        <v>17099640</v>
      </c>
      <c r="I163" s="33">
        <f>S163-R163</f>
        <v>498</v>
      </c>
      <c r="J163" s="33">
        <f>U163-T163</f>
        <v>0</v>
      </c>
      <c r="K163" s="54">
        <f>I163*$P163</f>
        <v>13.047600000000001</v>
      </c>
      <c r="L163" s="54">
        <f>J163*$Q163</f>
        <v>0</v>
      </c>
      <c r="M163" s="62">
        <f>K163+L163</f>
        <v>13.047600000000001</v>
      </c>
      <c r="N163" s="53" t="s">
        <v>514</v>
      </c>
      <c r="O163" s="53" t="s">
        <v>515</v>
      </c>
      <c r="P163" s="71">
        <f>IF(G163="MFP",Tables!B$2,Tables!B$5)</f>
        <v>2.6200000000000001E-2</v>
      </c>
      <c r="Q163" s="72">
        <f>IF(G163="MFP",Tables!B$3,Tables!B$6)</f>
        <v>0.11799999999999999</v>
      </c>
      <c r="R163" s="73">
        <v>0</v>
      </c>
      <c r="S163" s="73">
        <v>498</v>
      </c>
      <c r="T163" s="73">
        <v>0</v>
      </c>
      <c r="U163" s="73">
        <v>0</v>
      </c>
    </row>
    <row r="164" spans="1:28" s="30" customFormat="1" ht="24" outlineLevel="2" x14ac:dyDescent="0.25">
      <c r="A164" s="31" t="s">
        <v>193</v>
      </c>
      <c r="B164" s="57" t="s">
        <v>316</v>
      </c>
      <c r="C164" s="52" t="s">
        <v>636</v>
      </c>
      <c r="D164" s="53" t="s">
        <v>93</v>
      </c>
      <c r="E164" s="43">
        <v>343</v>
      </c>
      <c r="F164" s="46" t="s">
        <v>162</v>
      </c>
      <c r="G164" s="46" t="str">
        <f>VLOOKUP(F164,Tables!D$9:E$17,2,FALSE)</f>
        <v>MFP</v>
      </c>
      <c r="H164" s="66">
        <v>17099400</v>
      </c>
      <c r="I164" s="33">
        <f>S164-R164</f>
        <v>15784</v>
      </c>
      <c r="J164" s="33">
        <f>U164-T164</f>
        <v>1830</v>
      </c>
      <c r="K164" s="54">
        <f>I164*$P164</f>
        <v>326.72879999999998</v>
      </c>
      <c r="L164" s="54">
        <f>J164*$Q164</f>
        <v>159.20999999999998</v>
      </c>
      <c r="M164" s="62">
        <f>K164+L164</f>
        <v>485.93879999999996</v>
      </c>
      <c r="N164" s="53" t="s">
        <v>506</v>
      </c>
      <c r="O164" s="53" t="s">
        <v>507</v>
      </c>
      <c r="P164" s="71">
        <f>IF(G164="MFP",Tables!B$2,Tables!B$5)</f>
        <v>2.07E-2</v>
      </c>
      <c r="Q164" s="72">
        <f>IF(G164="MFP",Tables!B$3,Tables!B$6)</f>
        <v>8.6999999999999994E-2</v>
      </c>
      <c r="R164" s="73">
        <v>0</v>
      </c>
      <c r="S164" s="73">
        <v>15784</v>
      </c>
      <c r="T164" s="73">
        <v>0</v>
      </c>
      <c r="U164" s="73">
        <v>1830</v>
      </c>
    </row>
    <row r="165" spans="1:28" s="56" customFormat="1" outlineLevel="1" x14ac:dyDescent="0.25">
      <c r="A165" s="31"/>
      <c r="B165" s="32" t="s">
        <v>739</v>
      </c>
      <c r="C165" s="52"/>
      <c r="D165" s="53"/>
      <c r="E165" s="43"/>
      <c r="F165" s="46"/>
      <c r="G165" s="46"/>
      <c r="H165" s="66"/>
      <c r="I165" s="33"/>
      <c r="J165" s="33"/>
      <c r="K165" s="54"/>
      <c r="L165" s="54"/>
      <c r="M165" s="62">
        <f>SUBTOTAL(9,M163:M164)</f>
        <v>498.98639999999995</v>
      </c>
      <c r="N165" s="53"/>
      <c r="O165" s="53"/>
      <c r="P165" s="71"/>
      <c r="Q165" s="72"/>
      <c r="R165" s="73"/>
      <c r="S165" s="73"/>
      <c r="T165" s="73"/>
      <c r="U165" s="73"/>
    </row>
    <row r="166" spans="1:28" s="30" customFormat="1" ht="24" outlineLevel="2" x14ac:dyDescent="0.25">
      <c r="A166" s="31" t="s">
        <v>193</v>
      </c>
      <c r="B166" s="57" t="s">
        <v>41</v>
      </c>
      <c r="C166" s="52" t="s">
        <v>777</v>
      </c>
      <c r="D166" s="53" t="s">
        <v>93</v>
      </c>
      <c r="E166" s="43">
        <v>304</v>
      </c>
      <c r="F166" s="46" t="s">
        <v>25</v>
      </c>
      <c r="G166" s="46" t="str">
        <f>VLOOKUP(F166,Tables!D$9:E$17,2,FALSE)</f>
        <v>PTR</v>
      </c>
      <c r="H166" s="66">
        <v>17099645</v>
      </c>
      <c r="I166" s="33">
        <f>S166-R166</f>
        <v>6</v>
      </c>
      <c r="J166" s="33">
        <f>U166-T166</f>
        <v>0</v>
      </c>
      <c r="K166" s="54">
        <f>I166*$P166</f>
        <v>0.15720000000000001</v>
      </c>
      <c r="L166" s="54">
        <f>J166*$Q166</f>
        <v>0</v>
      </c>
      <c r="M166" s="62">
        <f>K166+L166</f>
        <v>0.15720000000000001</v>
      </c>
      <c r="N166" s="53" t="s">
        <v>194</v>
      </c>
      <c r="O166" s="53" t="s">
        <v>195</v>
      </c>
      <c r="P166" s="71">
        <f>IF(G166="MFP",Tables!B$2,Tables!B$5)</f>
        <v>2.6200000000000001E-2</v>
      </c>
      <c r="Q166" s="72">
        <f>IF(G166="MFP",Tables!B$3,Tables!B$6)</f>
        <v>0.11799999999999999</v>
      </c>
      <c r="R166" s="73">
        <v>0</v>
      </c>
      <c r="S166" s="73">
        <v>6</v>
      </c>
      <c r="T166" s="73">
        <v>0</v>
      </c>
      <c r="U166" s="73">
        <v>0</v>
      </c>
      <c r="V166" s="56"/>
      <c r="W166" s="56"/>
      <c r="X166" s="56"/>
      <c r="Y166" s="56"/>
      <c r="Z166" s="56"/>
      <c r="AA166" s="56"/>
      <c r="AB166" s="56"/>
    </row>
    <row r="167" spans="1:28" s="56" customFormat="1" outlineLevel="1" x14ac:dyDescent="0.25">
      <c r="A167" s="31"/>
      <c r="B167" s="32" t="s">
        <v>712</v>
      </c>
      <c r="C167" s="52"/>
      <c r="D167" s="53"/>
      <c r="E167" s="43"/>
      <c r="F167" s="46"/>
      <c r="G167" s="46"/>
      <c r="H167" s="66"/>
      <c r="I167" s="33"/>
      <c r="J167" s="33"/>
      <c r="K167" s="54"/>
      <c r="L167" s="54"/>
      <c r="M167" s="62">
        <f>SUBTOTAL(9,M166:M166)</f>
        <v>0.15720000000000001</v>
      </c>
      <c r="N167" s="53"/>
      <c r="O167" s="53"/>
      <c r="P167" s="71"/>
      <c r="Q167" s="72"/>
      <c r="R167" s="73"/>
      <c r="S167" s="73"/>
      <c r="T167" s="73"/>
      <c r="U167" s="73"/>
    </row>
    <row r="168" spans="1:28" s="30" customFormat="1" ht="24" outlineLevel="2" x14ac:dyDescent="0.25">
      <c r="A168" s="31" t="s">
        <v>269</v>
      </c>
      <c r="B168" s="57" t="s">
        <v>834</v>
      </c>
      <c r="C168" s="52" t="s">
        <v>269</v>
      </c>
      <c r="D168" s="53" t="s">
        <v>268</v>
      </c>
      <c r="E168" s="43">
        <v>101</v>
      </c>
      <c r="F168" s="46" t="s">
        <v>84</v>
      </c>
      <c r="G168" s="46" t="str">
        <f>VLOOKUP(F168,Tables!D$9:E$17,2,FALSE)</f>
        <v>MFP</v>
      </c>
      <c r="H168" s="66">
        <v>17099533</v>
      </c>
      <c r="I168" s="33">
        <f>S168-R168</f>
        <v>617</v>
      </c>
      <c r="J168" s="33">
        <f>U168-T168</f>
        <v>0</v>
      </c>
      <c r="K168" s="54">
        <f>I168*$P168</f>
        <v>12.7719</v>
      </c>
      <c r="L168" s="54">
        <f>J168*$Q168</f>
        <v>0</v>
      </c>
      <c r="M168" s="62">
        <f>K168+L168</f>
        <v>12.7719</v>
      </c>
      <c r="N168" s="53" t="s">
        <v>270</v>
      </c>
      <c r="O168" s="53" t="s">
        <v>271</v>
      </c>
      <c r="P168" s="71">
        <f>IF(G168="MFP",Tables!B$2,Tables!B$5)</f>
        <v>2.07E-2</v>
      </c>
      <c r="Q168" s="72">
        <f>IF(G168="MFP",Tables!B$3,Tables!B$6)</f>
        <v>8.6999999999999994E-2</v>
      </c>
      <c r="R168" s="73">
        <v>0</v>
      </c>
      <c r="S168" s="73">
        <v>617</v>
      </c>
      <c r="T168" s="73">
        <v>0</v>
      </c>
      <c r="U168" s="73">
        <v>0</v>
      </c>
      <c r="V168" s="56"/>
      <c r="W168" s="56"/>
      <c r="X168" s="56"/>
      <c r="Y168" s="56"/>
      <c r="Z168" s="56"/>
      <c r="AA168" s="56"/>
      <c r="AB168" s="56"/>
    </row>
    <row r="169" spans="1:28" s="56" customFormat="1" outlineLevel="1" x14ac:dyDescent="0.25">
      <c r="A169" s="31"/>
      <c r="B169" s="32" t="s">
        <v>839</v>
      </c>
      <c r="C169" s="52"/>
      <c r="D169" s="53"/>
      <c r="E169" s="43"/>
      <c r="F169" s="46"/>
      <c r="G169" s="46"/>
      <c r="H169" s="66"/>
      <c r="I169" s="33"/>
      <c r="J169" s="33"/>
      <c r="K169" s="54"/>
      <c r="L169" s="54"/>
      <c r="M169" s="62">
        <f>SUBTOTAL(9,M168:M168)</f>
        <v>12.7719</v>
      </c>
      <c r="N169" s="53"/>
      <c r="O169" s="53"/>
      <c r="P169" s="71"/>
      <c r="Q169" s="72"/>
      <c r="R169" s="73"/>
      <c r="S169" s="73"/>
      <c r="T169" s="73"/>
      <c r="U169" s="73"/>
    </row>
    <row r="170" spans="1:28" s="30" customFormat="1" ht="24" outlineLevel="2" x14ac:dyDescent="0.25">
      <c r="A170" s="31" t="s">
        <v>391</v>
      </c>
      <c r="B170" s="57" t="s">
        <v>835</v>
      </c>
      <c r="C170" s="52" t="s">
        <v>391</v>
      </c>
      <c r="D170" s="53" t="s">
        <v>63</v>
      </c>
      <c r="E170" s="43">
        <v>429</v>
      </c>
      <c r="F170" s="46" t="s">
        <v>25</v>
      </c>
      <c r="G170" s="46" t="str">
        <f>VLOOKUP(F170,Tables!D$9:E$17,2,FALSE)</f>
        <v>PTR</v>
      </c>
      <c r="H170" s="66">
        <v>17099547</v>
      </c>
      <c r="I170" s="33">
        <f>S170-R170</f>
        <v>2346</v>
      </c>
      <c r="J170" s="33">
        <f>U170-T170</f>
        <v>0</v>
      </c>
      <c r="K170" s="54">
        <f>I170*$P170</f>
        <v>61.465200000000003</v>
      </c>
      <c r="L170" s="54">
        <f>J170*$Q170</f>
        <v>0</v>
      </c>
      <c r="M170" s="62">
        <f>K170+L170</f>
        <v>61.465200000000003</v>
      </c>
      <c r="N170" s="53" t="s">
        <v>392</v>
      </c>
      <c r="O170" s="53" t="s">
        <v>393</v>
      </c>
      <c r="P170" s="71">
        <f>IF(G170="MFP",Tables!B$2,Tables!B$5)</f>
        <v>2.6200000000000001E-2</v>
      </c>
      <c r="Q170" s="72">
        <f>IF(G170="MFP",Tables!B$3,Tables!B$6)</f>
        <v>0.11799999999999999</v>
      </c>
      <c r="R170" s="73">
        <v>0</v>
      </c>
      <c r="S170" s="73">
        <v>2346</v>
      </c>
      <c r="T170" s="73">
        <v>0</v>
      </c>
      <c r="U170" s="73">
        <v>0</v>
      </c>
    </row>
    <row r="171" spans="1:28" s="30" customFormat="1" ht="24" outlineLevel="2" x14ac:dyDescent="0.25">
      <c r="A171" s="31" t="s">
        <v>391</v>
      </c>
      <c r="B171" s="57" t="s">
        <v>835</v>
      </c>
      <c r="C171" s="52" t="s">
        <v>391</v>
      </c>
      <c r="D171" s="53" t="s">
        <v>63</v>
      </c>
      <c r="E171" s="43">
        <v>434</v>
      </c>
      <c r="F171" s="46" t="s">
        <v>25</v>
      </c>
      <c r="G171" s="46" t="str">
        <f>VLOOKUP(F171,Tables!D$9:E$17,2,FALSE)</f>
        <v>PTR</v>
      </c>
      <c r="H171" s="66">
        <v>17099550</v>
      </c>
      <c r="I171" s="33">
        <f>S171-R171</f>
        <v>448</v>
      </c>
      <c r="J171" s="33">
        <f>U171-T171</f>
        <v>0</v>
      </c>
      <c r="K171" s="54">
        <f>I171*$P171</f>
        <v>11.7376</v>
      </c>
      <c r="L171" s="54">
        <f>J171*$Q171</f>
        <v>0</v>
      </c>
      <c r="M171" s="62">
        <f>K171+L171</f>
        <v>11.7376</v>
      </c>
      <c r="N171" s="53" t="s">
        <v>457</v>
      </c>
      <c r="O171" s="53" t="s">
        <v>458</v>
      </c>
      <c r="P171" s="71">
        <f>IF(G171="MFP",Tables!B$2,Tables!B$5)</f>
        <v>2.6200000000000001E-2</v>
      </c>
      <c r="Q171" s="72">
        <f>IF(G171="MFP",Tables!B$3,Tables!B$6)</f>
        <v>0.11799999999999999</v>
      </c>
      <c r="R171" s="73">
        <v>0</v>
      </c>
      <c r="S171" s="73">
        <v>448</v>
      </c>
      <c r="T171" s="73">
        <v>0</v>
      </c>
      <c r="U171" s="73">
        <v>0</v>
      </c>
    </row>
    <row r="172" spans="1:28" s="30" customFormat="1" ht="24" outlineLevel="2" x14ac:dyDescent="0.25">
      <c r="A172" s="31" t="s">
        <v>391</v>
      </c>
      <c r="B172" s="57" t="s">
        <v>835</v>
      </c>
      <c r="C172" s="52" t="s">
        <v>391</v>
      </c>
      <c r="D172" s="53" t="s">
        <v>63</v>
      </c>
      <c r="E172" s="43">
        <v>444</v>
      </c>
      <c r="F172" s="46" t="s">
        <v>18</v>
      </c>
      <c r="G172" s="46" t="str">
        <f>VLOOKUP(F172,Tables!D$9:E$17,2,FALSE)</f>
        <v>MFP</v>
      </c>
      <c r="H172" s="66">
        <v>17099486</v>
      </c>
      <c r="I172" s="33">
        <f>S172-R172</f>
        <v>0</v>
      </c>
      <c r="J172" s="33">
        <f>U172-T172</f>
        <v>0</v>
      </c>
      <c r="K172" s="54">
        <f>I172*$P172</f>
        <v>0</v>
      </c>
      <c r="L172" s="54">
        <f>J172*$Q172</f>
        <v>0</v>
      </c>
      <c r="M172" s="62">
        <f>K172+L172</f>
        <v>0</v>
      </c>
      <c r="N172" s="53" t="s">
        <v>508</v>
      </c>
      <c r="O172" s="53" t="s">
        <v>509</v>
      </c>
      <c r="P172" s="71">
        <f>IF(G172="MFP",Tables!B$2,Tables!B$5)</f>
        <v>2.07E-2</v>
      </c>
      <c r="Q172" s="72">
        <f>IF(G172="MFP",Tables!B$3,Tables!B$6)</f>
        <v>8.6999999999999994E-2</v>
      </c>
      <c r="R172" s="73">
        <v>0</v>
      </c>
      <c r="S172" s="73">
        <v>0</v>
      </c>
      <c r="T172" s="73">
        <v>0</v>
      </c>
      <c r="U172" s="73">
        <v>0</v>
      </c>
    </row>
    <row r="173" spans="1:28" s="56" customFormat="1" outlineLevel="1" x14ac:dyDescent="0.25">
      <c r="A173" s="31"/>
      <c r="B173" s="32" t="s">
        <v>840</v>
      </c>
      <c r="C173" s="52"/>
      <c r="D173" s="53"/>
      <c r="E173" s="43"/>
      <c r="F173" s="46"/>
      <c r="G173" s="46"/>
      <c r="H173" s="66"/>
      <c r="I173" s="33"/>
      <c r="J173" s="33"/>
      <c r="K173" s="54"/>
      <c r="L173" s="54"/>
      <c r="M173" s="62">
        <f>SUBTOTAL(9,M170:M172)</f>
        <v>73.202799999999996</v>
      </c>
      <c r="N173" s="53"/>
      <c r="O173" s="53"/>
      <c r="P173" s="71"/>
      <c r="Q173" s="72"/>
      <c r="R173" s="73"/>
      <c r="S173" s="73"/>
      <c r="T173" s="73"/>
      <c r="U173" s="73"/>
    </row>
    <row r="174" spans="1:28" s="30" customFormat="1" ht="24" outlineLevel="2" x14ac:dyDescent="0.25">
      <c r="A174" s="31" t="s">
        <v>142</v>
      </c>
      <c r="B174" s="57" t="s">
        <v>143</v>
      </c>
      <c r="C174" s="52" t="s">
        <v>654</v>
      </c>
      <c r="D174" s="53" t="s">
        <v>105</v>
      </c>
      <c r="E174" s="43">
        <v>201</v>
      </c>
      <c r="F174" s="46" t="s">
        <v>84</v>
      </c>
      <c r="G174" s="46" t="str">
        <f>VLOOKUP(F174,Tables!D$9:E$17,2,FALSE)</f>
        <v>MFP</v>
      </c>
      <c r="H174" s="66">
        <v>17099401</v>
      </c>
      <c r="I174" s="33">
        <f>S174-R174</f>
        <v>1996</v>
      </c>
      <c r="J174" s="33">
        <f>U174-T174</f>
        <v>0</v>
      </c>
      <c r="K174" s="54">
        <f>I174*$P174</f>
        <v>41.3172</v>
      </c>
      <c r="L174" s="54">
        <f>J174*$Q174</f>
        <v>0</v>
      </c>
      <c r="M174" s="62">
        <f>K174+L174</f>
        <v>41.3172</v>
      </c>
      <c r="N174" s="53" t="s">
        <v>504</v>
      </c>
      <c r="O174" s="53" t="s">
        <v>505</v>
      </c>
      <c r="P174" s="71">
        <f>IF(G174="MFP",Tables!B$2,Tables!B$5)</f>
        <v>2.07E-2</v>
      </c>
      <c r="Q174" s="72">
        <f>IF(G174="MFP",Tables!B$3,Tables!B$6)</f>
        <v>8.6999999999999994E-2</v>
      </c>
      <c r="R174" s="73">
        <v>0</v>
      </c>
      <c r="S174" s="73">
        <v>1996</v>
      </c>
      <c r="T174" s="73">
        <v>0</v>
      </c>
      <c r="U174" s="73">
        <v>0</v>
      </c>
    </row>
    <row r="175" spans="1:28" s="30" customFormat="1" ht="24" outlineLevel="2" x14ac:dyDescent="0.25">
      <c r="A175" s="31" t="s">
        <v>142</v>
      </c>
      <c r="B175" s="57" t="s">
        <v>143</v>
      </c>
      <c r="C175" s="52" t="s">
        <v>654</v>
      </c>
      <c r="D175" s="53" t="s">
        <v>105</v>
      </c>
      <c r="E175" s="43">
        <v>201</v>
      </c>
      <c r="F175" s="46" t="s">
        <v>117</v>
      </c>
      <c r="G175" s="46" t="str">
        <f>VLOOKUP(F175,Tables!D$9:E$17,2,FALSE)</f>
        <v>PTR</v>
      </c>
      <c r="H175" s="66">
        <v>17099622</v>
      </c>
      <c r="I175" s="33">
        <f>S175-R175</f>
        <v>25</v>
      </c>
      <c r="J175" s="33">
        <f>U175-T175</f>
        <v>27</v>
      </c>
      <c r="K175" s="54">
        <f>I175*$P175</f>
        <v>0.65500000000000003</v>
      </c>
      <c r="L175" s="54">
        <f>J175*$Q175</f>
        <v>3.1859999999999999</v>
      </c>
      <c r="M175" s="62">
        <f>K175+L175</f>
        <v>3.8410000000000002</v>
      </c>
      <c r="N175" s="53" t="s">
        <v>144</v>
      </c>
      <c r="O175" s="53" t="s">
        <v>145</v>
      </c>
      <c r="P175" s="71">
        <f>IF(G175="MFP",Tables!B$2,Tables!B$5)</f>
        <v>2.6200000000000001E-2</v>
      </c>
      <c r="Q175" s="72">
        <f>IF(G175="MFP",Tables!B$3,Tables!B$6)</f>
        <v>0.11799999999999999</v>
      </c>
      <c r="R175" s="73">
        <v>0</v>
      </c>
      <c r="S175" s="73">
        <v>25</v>
      </c>
      <c r="T175" s="73">
        <v>0</v>
      </c>
      <c r="U175" s="73">
        <v>27</v>
      </c>
    </row>
    <row r="176" spans="1:28" s="56" customFormat="1" outlineLevel="1" x14ac:dyDescent="0.25">
      <c r="A176" s="31"/>
      <c r="B176" s="32" t="s">
        <v>740</v>
      </c>
      <c r="C176" s="52"/>
      <c r="D176" s="53"/>
      <c r="E176" s="43"/>
      <c r="F176" s="46"/>
      <c r="G176" s="46"/>
      <c r="H176" s="66"/>
      <c r="I176" s="33"/>
      <c r="J176" s="33"/>
      <c r="K176" s="54"/>
      <c r="L176" s="54"/>
      <c r="M176" s="62">
        <f>SUBTOTAL(9,M174:M175)</f>
        <v>45.158200000000001</v>
      </c>
      <c r="N176" s="53"/>
      <c r="O176" s="53"/>
      <c r="P176" s="71"/>
      <c r="Q176" s="72"/>
      <c r="R176" s="73"/>
      <c r="S176" s="73"/>
      <c r="T176" s="73"/>
      <c r="U176" s="73"/>
    </row>
    <row r="177" spans="1:21" s="30" customFormat="1" ht="24" outlineLevel="2" x14ac:dyDescent="0.25">
      <c r="A177" s="31" t="s">
        <v>355</v>
      </c>
      <c r="B177" s="57" t="s">
        <v>354</v>
      </c>
      <c r="C177" s="52" t="s">
        <v>637</v>
      </c>
      <c r="D177" s="53" t="s">
        <v>39</v>
      </c>
      <c r="E177" s="43">
        <v>209</v>
      </c>
      <c r="F177" s="46" t="s">
        <v>25</v>
      </c>
      <c r="G177" s="46" t="str">
        <f>VLOOKUP(F177,Tables!D$9:E$17,2,FALSE)</f>
        <v>PTR</v>
      </c>
      <c r="H177" s="66">
        <v>17099577</v>
      </c>
      <c r="I177" s="33">
        <f>S177-R177</f>
        <v>3</v>
      </c>
      <c r="J177" s="33">
        <f>U177-T177</f>
        <v>0</v>
      </c>
      <c r="K177" s="54">
        <f>I177*$P177</f>
        <v>7.8600000000000003E-2</v>
      </c>
      <c r="L177" s="54">
        <f>J177*$Q177</f>
        <v>0</v>
      </c>
      <c r="M177" s="62">
        <f>K177+L177</f>
        <v>7.8600000000000003E-2</v>
      </c>
      <c r="N177" s="53" t="s">
        <v>381</v>
      </c>
      <c r="O177" s="53" t="s">
        <v>382</v>
      </c>
      <c r="P177" s="71">
        <f>IF(G177="MFP",Tables!B$2,Tables!B$5)</f>
        <v>2.6200000000000001E-2</v>
      </c>
      <c r="Q177" s="72">
        <f>IF(G177="MFP",Tables!B$3,Tables!B$6)</f>
        <v>0.11799999999999999</v>
      </c>
      <c r="R177" s="73">
        <v>0</v>
      </c>
      <c r="S177" s="73">
        <v>3</v>
      </c>
      <c r="T177" s="73">
        <v>0</v>
      </c>
      <c r="U177" s="73">
        <v>0</v>
      </c>
    </row>
    <row r="178" spans="1:21" s="30" customFormat="1" ht="24" outlineLevel="2" x14ac:dyDescent="0.25">
      <c r="A178" s="31" t="s">
        <v>355</v>
      </c>
      <c r="B178" s="57" t="s">
        <v>354</v>
      </c>
      <c r="C178" s="52" t="s">
        <v>637</v>
      </c>
      <c r="D178" s="53" t="s">
        <v>39</v>
      </c>
      <c r="E178" s="43" t="s">
        <v>353</v>
      </c>
      <c r="F178" s="46" t="s">
        <v>25</v>
      </c>
      <c r="G178" s="46" t="str">
        <f>VLOOKUP(F178,Tables!D$9:E$17,2,FALSE)</f>
        <v>PTR</v>
      </c>
      <c r="H178" s="66">
        <v>17099754</v>
      </c>
      <c r="I178" s="33">
        <f>S178-R178</f>
        <v>1973</v>
      </c>
      <c r="J178" s="33">
        <f>U178-T178</f>
        <v>0</v>
      </c>
      <c r="K178" s="54">
        <f>I178*$P178</f>
        <v>51.692599999999999</v>
      </c>
      <c r="L178" s="54">
        <f>J178*$Q178</f>
        <v>0</v>
      </c>
      <c r="M178" s="62">
        <f>K178+L178</f>
        <v>51.692599999999999</v>
      </c>
      <c r="N178" s="53" t="s">
        <v>356</v>
      </c>
      <c r="O178" s="53" t="s">
        <v>357</v>
      </c>
      <c r="P178" s="71">
        <f>IF(G178="MFP",Tables!B$2,Tables!B$5)</f>
        <v>2.6200000000000001E-2</v>
      </c>
      <c r="Q178" s="72">
        <f>IF(G178="MFP",Tables!B$3,Tables!B$6)</f>
        <v>0.11799999999999999</v>
      </c>
      <c r="R178" s="73">
        <v>0</v>
      </c>
      <c r="S178" s="73">
        <v>1973</v>
      </c>
      <c r="T178" s="73">
        <v>0</v>
      </c>
      <c r="U178" s="73">
        <v>0</v>
      </c>
    </row>
    <row r="179" spans="1:21" s="56" customFormat="1" outlineLevel="1" x14ac:dyDescent="0.25">
      <c r="A179" s="31"/>
      <c r="B179" s="32" t="s">
        <v>741</v>
      </c>
      <c r="C179" s="52"/>
      <c r="D179" s="53"/>
      <c r="E179" s="43"/>
      <c r="F179" s="46"/>
      <c r="G179" s="46"/>
      <c r="H179" s="66"/>
      <c r="I179" s="33"/>
      <c r="J179" s="33"/>
      <c r="K179" s="54"/>
      <c r="L179" s="54"/>
      <c r="M179" s="62">
        <f>SUBTOTAL(9,M177:M178)</f>
        <v>51.7712</v>
      </c>
      <c r="N179" s="53"/>
      <c r="O179" s="53"/>
      <c r="P179" s="71"/>
      <c r="Q179" s="72"/>
      <c r="R179" s="73"/>
      <c r="S179" s="73"/>
      <c r="T179" s="73"/>
      <c r="U179" s="73"/>
    </row>
    <row r="180" spans="1:21" s="30" customFormat="1" ht="24" outlineLevel="2" x14ac:dyDescent="0.25">
      <c r="A180" s="31" t="s">
        <v>135</v>
      </c>
      <c r="B180" s="57" t="s">
        <v>134</v>
      </c>
      <c r="C180" s="52" t="s">
        <v>646</v>
      </c>
      <c r="D180" s="53" t="s">
        <v>88</v>
      </c>
      <c r="E180" s="43" t="s">
        <v>94</v>
      </c>
      <c r="F180" s="46" t="s">
        <v>84</v>
      </c>
      <c r="G180" s="46" t="str">
        <f>VLOOKUP(F180,Tables!D$9:E$17,2,FALSE)</f>
        <v>MFP</v>
      </c>
      <c r="H180" s="66">
        <v>17099535</v>
      </c>
      <c r="I180" s="33">
        <f>S180-R180</f>
        <v>0</v>
      </c>
      <c r="J180" s="33">
        <f>U180-T180</f>
        <v>0</v>
      </c>
      <c r="K180" s="54">
        <f>I180*$P180</f>
        <v>0</v>
      </c>
      <c r="L180" s="54">
        <f>J180*$Q180</f>
        <v>0</v>
      </c>
      <c r="M180" s="62">
        <f>K180+L180</f>
        <v>0</v>
      </c>
      <c r="N180" s="53" t="s">
        <v>136</v>
      </c>
      <c r="O180" s="53" t="s">
        <v>137</v>
      </c>
      <c r="P180" s="71">
        <f>IF(G180="MFP",Tables!B$2,Tables!B$5)</f>
        <v>2.07E-2</v>
      </c>
      <c r="Q180" s="72">
        <f>IF(G180="MFP",Tables!B$3,Tables!B$6)</f>
        <v>8.6999999999999994E-2</v>
      </c>
      <c r="R180" s="73">
        <v>0</v>
      </c>
      <c r="S180" s="73">
        <v>0</v>
      </c>
      <c r="T180" s="73">
        <v>0</v>
      </c>
      <c r="U180" s="73">
        <v>0</v>
      </c>
    </row>
    <row r="181" spans="1:21" s="56" customFormat="1" outlineLevel="1" x14ac:dyDescent="0.25">
      <c r="A181" s="31"/>
      <c r="B181" s="32" t="s">
        <v>742</v>
      </c>
      <c r="C181" s="52"/>
      <c r="D181" s="53"/>
      <c r="E181" s="43"/>
      <c r="F181" s="46"/>
      <c r="G181" s="46"/>
      <c r="H181" s="66"/>
      <c r="I181" s="33"/>
      <c r="J181" s="33"/>
      <c r="K181" s="54"/>
      <c r="L181" s="54"/>
      <c r="M181" s="62">
        <f>SUBTOTAL(9,M180:M180)</f>
        <v>0</v>
      </c>
      <c r="N181" s="53"/>
      <c r="O181" s="53"/>
      <c r="P181" s="71"/>
      <c r="Q181" s="72"/>
      <c r="R181" s="73"/>
      <c r="S181" s="73"/>
      <c r="T181" s="73"/>
      <c r="U181" s="73"/>
    </row>
    <row r="182" spans="1:21" s="30" customFormat="1" ht="24" outlineLevel="2" x14ac:dyDescent="0.25">
      <c r="A182" s="31" t="s">
        <v>833</v>
      </c>
      <c r="B182" s="57" t="s">
        <v>41</v>
      </c>
      <c r="C182" s="52" t="s">
        <v>777</v>
      </c>
      <c r="D182" s="53" t="s">
        <v>83</v>
      </c>
      <c r="E182" s="43">
        <v>318</v>
      </c>
      <c r="F182" s="46" t="s">
        <v>25</v>
      </c>
      <c r="G182" s="46" t="str">
        <f>VLOOKUP(F182,Tables!D$9:E$17,2,FALSE)</f>
        <v>PTR</v>
      </c>
      <c r="H182" s="66">
        <v>17099583</v>
      </c>
      <c r="I182" s="33">
        <f>S182-R182</f>
        <v>24</v>
      </c>
      <c r="J182" s="33">
        <f>U182-T182</f>
        <v>0</v>
      </c>
      <c r="K182" s="54">
        <f>I182*$P182</f>
        <v>0.62880000000000003</v>
      </c>
      <c r="L182" s="54">
        <f>J182*$Q182</f>
        <v>0</v>
      </c>
      <c r="M182" s="62">
        <f>K182+L182</f>
        <v>0.62880000000000003</v>
      </c>
      <c r="N182" s="53" t="s">
        <v>480</v>
      </c>
      <c r="O182" s="53" t="s">
        <v>481</v>
      </c>
      <c r="P182" s="71">
        <f>IF(G182="MFP",Tables!B$2,Tables!B$5)</f>
        <v>2.6200000000000001E-2</v>
      </c>
      <c r="Q182" s="72">
        <f>IF(G182="MFP",Tables!B$3,Tables!B$6)</f>
        <v>0.11799999999999999</v>
      </c>
      <c r="R182" s="73">
        <v>0</v>
      </c>
      <c r="S182" s="73">
        <v>24</v>
      </c>
      <c r="T182" s="73">
        <v>0</v>
      </c>
      <c r="U182" s="73">
        <v>0</v>
      </c>
    </row>
    <row r="183" spans="1:21" s="56" customFormat="1" outlineLevel="1" x14ac:dyDescent="0.25">
      <c r="A183" s="31"/>
      <c r="B183" s="32" t="s">
        <v>712</v>
      </c>
      <c r="C183" s="52"/>
      <c r="D183" s="53"/>
      <c r="E183" s="43"/>
      <c r="F183" s="46"/>
      <c r="G183" s="46"/>
      <c r="H183" s="66"/>
      <c r="I183" s="33"/>
      <c r="J183" s="33"/>
      <c r="K183" s="54"/>
      <c r="L183" s="54"/>
      <c r="M183" s="62">
        <f>SUBTOTAL(9,M182:M182)</f>
        <v>0.62880000000000003</v>
      </c>
      <c r="N183" s="53"/>
      <c r="O183" s="53"/>
      <c r="P183" s="71"/>
      <c r="Q183" s="72"/>
      <c r="R183" s="73"/>
      <c r="S183" s="73"/>
      <c r="T183" s="73"/>
      <c r="U183" s="73"/>
    </row>
    <row r="184" spans="1:21" s="30" customFormat="1" ht="24" outlineLevel="2" x14ac:dyDescent="0.25">
      <c r="A184" s="31" t="s">
        <v>760</v>
      </c>
      <c r="B184" s="57" t="s">
        <v>150</v>
      </c>
      <c r="C184" s="52" t="s">
        <v>631</v>
      </c>
      <c r="D184" s="53" t="s">
        <v>83</v>
      </c>
      <c r="E184" s="43">
        <v>415</v>
      </c>
      <c r="F184" s="46" t="s">
        <v>25</v>
      </c>
      <c r="G184" s="46" t="str">
        <f>VLOOKUP(F184,Tables!D$9:E$17,2,FALSE)</f>
        <v>PTR</v>
      </c>
      <c r="H184" s="66">
        <v>17099579</v>
      </c>
      <c r="I184" s="33">
        <f>S184-R184</f>
        <v>347</v>
      </c>
      <c r="J184" s="33">
        <f>U184-T184</f>
        <v>0</v>
      </c>
      <c r="K184" s="54">
        <f>I184*$P184</f>
        <v>9.0914000000000001</v>
      </c>
      <c r="L184" s="54">
        <f>J184*$Q184</f>
        <v>0</v>
      </c>
      <c r="M184" s="62">
        <f>K184+L184</f>
        <v>9.0914000000000001</v>
      </c>
      <c r="N184" s="53" t="s">
        <v>151</v>
      </c>
      <c r="O184" s="53" t="s">
        <v>152</v>
      </c>
      <c r="P184" s="71">
        <f>IF(G184="MFP",Tables!B$2,Tables!B$5)</f>
        <v>2.6200000000000001E-2</v>
      </c>
      <c r="Q184" s="72">
        <f>IF(G184="MFP",Tables!B$3,Tables!B$6)</f>
        <v>0.11799999999999999</v>
      </c>
      <c r="R184" s="73">
        <v>0</v>
      </c>
      <c r="S184" s="73">
        <v>347</v>
      </c>
      <c r="T184" s="73">
        <v>0</v>
      </c>
      <c r="U184" s="73">
        <v>0</v>
      </c>
    </row>
    <row r="185" spans="1:21" s="30" customFormat="1" ht="24" outlineLevel="2" x14ac:dyDescent="0.25">
      <c r="A185" s="31" t="s">
        <v>760</v>
      </c>
      <c r="B185" s="57" t="s">
        <v>150</v>
      </c>
      <c r="C185" s="52" t="s">
        <v>631</v>
      </c>
      <c r="D185" s="53" t="s">
        <v>83</v>
      </c>
      <c r="E185" s="43">
        <v>416</v>
      </c>
      <c r="F185" s="46" t="s">
        <v>162</v>
      </c>
      <c r="G185" s="46" t="str">
        <f>VLOOKUP(F185,Tables!D$9:E$17,2,FALSE)</f>
        <v>MFP</v>
      </c>
      <c r="H185" s="66">
        <v>17099492</v>
      </c>
      <c r="I185" s="33">
        <f>S185-R185</f>
        <v>95324</v>
      </c>
      <c r="J185" s="33">
        <f>U185-T185</f>
        <v>8929</v>
      </c>
      <c r="K185" s="54">
        <f>I185*$P185</f>
        <v>1973.2067999999999</v>
      </c>
      <c r="L185" s="54">
        <f>J185*$Q185</f>
        <v>776.82299999999998</v>
      </c>
      <c r="M185" s="62">
        <f>K185+L185</f>
        <v>2750.0297999999998</v>
      </c>
      <c r="N185" s="53" t="s">
        <v>163</v>
      </c>
      <c r="O185" s="53" t="s">
        <v>164</v>
      </c>
      <c r="P185" s="71">
        <f>IF(G185="MFP",Tables!B$2,Tables!B$5)</f>
        <v>2.07E-2</v>
      </c>
      <c r="Q185" s="72">
        <f>IF(G185="MFP",Tables!B$3,Tables!B$6)</f>
        <v>8.6999999999999994E-2</v>
      </c>
      <c r="R185" s="73">
        <v>0</v>
      </c>
      <c r="S185" s="73">
        <v>95324</v>
      </c>
      <c r="T185" s="73">
        <v>0</v>
      </c>
      <c r="U185" s="73">
        <v>8929</v>
      </c>
    </row>
    <row r="186" spans="1:21" s="30" customFormat="1" ht="24" outlineLevel="2" x14ac:dyDescent="0.25">
      <c r="A186" s="31" t="s">
        <v>760</v>
      </c>
      <c r="B186" s="57" t="s">
        <v>150</v>
      </c>
      <c r="C186" s="52" t="s">
        <v>631</v>
      </c>
      <c r="D186" s="53" t="s">
        <v>83</v>
      </c>
      <c r="E186" s="43">
        <v>425</v>
      </c>
      <c r="F186" s="46" t="s">
        <v>25</v>
      </c>
      <c r="G186" s="46" t="str">
        <f>VLOOKUP(F186,Tables!D$9:E$17,2,FALSE)</f>
        <v>PTR</v>
      </c>
      <c r="H186" s="66">
        <v>17099582</v>
      </c>
      <c r="I186" s="33">
        <f>S186-R186</f>
        <v>415</v>
      </c>
      <c r="J186" s="33">
        <f>U186-T186</f>
        <v>0</v>
      </c>
      <c r="K186" s="54">
        <f>I186*$P186</f>
        <v>10.873000000000001</v>
      </c>
      <c r="L186" s="54">
        <f>J186*$Q186</f>
        <v>0</v>
      </c>
      <c r="M186" s="62">
        <f>K186+L186</f>
        <v>10.873000000000001</v>
      </c>
      <c r="N186" s="53" t="s">
        <v>229</v>
      </c>
      <c r="O186" s="53" t="s">
        <v>230</v>
      </c>
      <c r="P186" s="71">
        <f>IF(G186="MFP",Tables!B$2,Tables!B$5)</f>
        <v>2.6200000000000001E-2</v>
      </c>
      <c r="Q186" s="72">
        <f>IF(G186="MFP",Tables!B$3,Tables!B$6)</f>
        <v>0.11799999999999999</v>
      </c>
      <c r="R186" s="73">
        <v>0</v>
      </c>
      <c r="S186" s="73">
        <v>415</v>
      </c>
      <c r="T186" s="73">
        <v>0</v>
      </c>
      <c r="U186" s="73">
        <v>0</v>
      </c>
    </row>
    <row r="187" spans="1:21" s="56" customFormat="1" outlineLevel="1" x14ac:dyDescent="0.25">
      <c r="A187" s="31"/>
      <c r="B187" s="32" t="s">
        <v>743</v>
      </c>
      <c r="C187" s="52"/>
      <c r="D187" s="53"/>
      <c r="E187" s="43"/>
      <c r="F187" s="46"/>
      <c r="G187" s="46"/>
      <c r="H187" s="66"/>
      <c r="I187" s="33"/>
      <c r="J187" s="33"/>
      <c r="K187" s="54"/>
      <c r="L187" s="54"/>
      <c r="M187" s="62">
        <f>SUBTOTAL(9,M184:M186)</f>
        <v>2769.9941999999996</v>
      </c>
      <c r="N187" s="53"/>
      <c r="O187" s="53"/>
      <c r="P187" s="71"/>
      <c r="Q187" s="72"/>
      <c r="R187" s="73"/>
      <c r="S187" s="73"/>
      <c r="T187" s="73"/>
      <c r="U187" s="73"/>
    </row>
    <row r="188" spans="1:21" s="30" customFormat="1" ht="24" outlineLevel="2" x14ac:dyDescent="0.25">
      <c r="A188" s="31" t="s">
        <v>85</v>
      </c>
      <c r="B188" s="57" t="s">
        <v>41</v>
      </c>
      <c r="C188" s="52" t="s">
        <v>777</v>
      </c>
      <c r="D188" s="53" t="s">
        <v>83</v>
      </c>
      <c r="E188" s="43">
        <v>315</v>
      </c>
      <c r="F188" s="46" t="s">
        <v>84</v>
      </c>
      <c r="G188" s="46" t="str">
        <f>VLOOKUP(F188,Tables!D$9:E$17,2,FALSE)</f>
        <v>MFP</v>
      </c>
      <c r="H188" s="66">
        <v>17099464</v>
      </c>
      <c r="I188" s="33">
        <f>S188-R188</f>
        <v>9</v>
      </c>
      <c r="J188" s="33">
        <f>U188-T188</f>
        <v>0</v>
      </c>
      <c r="K188" s="54">
        <f>I188*$P188</f>
        <v>0.18629999999999999</v>
      </c>
      <c r="L188" s="54">
        <f>J188*$Q188</f>
        <v>0</v>
      </c>
      <c r="M188" s="62">
        <f>K188+L188</f>
        <v>0.18629999999999999</v>
      </c>
      <c r="N188" s="53" t="s">
        <v>86</v>
      </c>
      <c r="O188" s="53" t="s">
        <v>87</v>
      </c>
      <c r="P188" s="71">
        <f>IF(G188="MFP",Tables!B$2,Tables!B$5)</f>
        <v>2.07E-2</v>
      </c>
      <c r="Q188" s="72">
        <f>IF(G188="MFP",Tables!B$3,Tables!B$6)</f>
        <v>8.6999999999999994E-2</v>
      </c>
      <c r="R188" s="73">
        <v>0</v>
      </c>
      <c r="S188" s="73">
        <v>9</v>
      </c>
      <c r="T188" s="73">
        <v>0</v>
      </c>
      <c r="U188" s="73">
        <v>0</v>
      </c>
    </row>
    <row r="189" spans="1:21" s="30" customFormat="1" ht="24" outlineLevel="2" x14ac:dyDescent="0.25">
      <c r="A189" s="31" t="s">
        <v>85</v>
      </c>
      <c r="B189" s="57" t="s">
        <v>41</v>
      </c>
      <c r="C189" s="52" t="s">
        <v>777</v>
      </c>
      <c r="D189" s="53" t="s">
        <v>83</v>
      </c>
      <c r="E189" s="43">
        <v>414</v>
      </c>
      <c r="F189" s="46" t="s">
        <v>25</v>
      </c>
      <c r="G189" s="46" t="str">
        <f>VLOOKUP(F189,Tables!D$9:E$17,2,FALSE)</f>
        <v>PTR</v>
      </c>
      <c r="H189" s="66">
        <v>17099786</v>
      </c>
      <c r="I189" s="33">
        <f>S189-R189</f>
        <v>9528</v>
      </c>
      <c r="J189" s="33">
        <f>U189-T189</f>
        <v>0</v>
      </c>
      <c r="K189" s="54">
        <f>I189*$P189</f>
        <v>249.6336</v>
      </c>
      <c r="L189" s="54">
        <f>J189*$Q189</f>
        <v>0</v>
      </c>
      <c r="M189" s="62">
        <f>K189+L189</f>
        <v>249.6336</v>
      </c>
      <c r="N189" s="53" t="s">
        <v>474</v>
      </c>
      <c r="O189" s="53" t="s">
        <v>475</v>
      </c>
      <c r="P189" s="71">
        <f>IF(G189="MFP",Tables!B$2,Tables!B$5)</f>
        <v>2.6200000000000001E-2</v>
      </c>
      <c r="Q189" s="72">
        <f>IF(G189="MFP",Tables!B$3,Tables!B$6)</f>
        <v>0.11799999999999999</v>
      </c>
      <c r="R189" s="73">
        <v>0</v>
      </c>
      <c r="S189" s="73">
        <v>9528</v>
      </c>
      <c r="T189" s="73">
        <v>0</v>
      </c>
      <c r="U189" s="73">
        <v>0</v>
      </c>
    </row>
    <row r="190" spans="1:21" s="56" customFormat="1" outlineLevel="1" x14ac:dyDescent="0.25">
      <c r="A190" s="31"/>
      <c r="B190" s="32" t="s">
        <v>712</v>
      </c>
      <c r="C190" s="52"/>
      <c r="D190" s="53"/>
      <c r="E190" s="43"/>
      <c r="F190" s="46"/>
      <c r="G190" s="46"/>
      <c r="H190" s="66"/>
      <c r="I190" s="33"/>
      <c r="J190" s="33"/>
      <c r="K190" s="54"/>
      <c r="L190" s="54"/>
      <c r="M190" s="62">
        <f>SUBTOTAL(9,M188:M189)</f>
        <v>249.81989999999999</v>
      </c>
      <c r="N190" s="53"/>
      <c r="O190" s="53"/>
      <c r="P190" s="71"/>
      <c r="Q190" s="72"/>
      <c r="R190" s="73"/>
      <c r="S190" s="73"/>
      <c r="T190" s="73"/>
      <c r="U190" s="73"/>
    </row>
    <row r="191" spans="1:21" s="30" customFormat="1" ht="24" outlineLevel="2" x14ac:dyDescent="0.25">
      <c r="A191" s="31" t="s">
        <v>631</v>
      </c>
      <c r="B191" s="57" t="s">
        <v>19</v>
      </c>
      <c r="C191" s="52" t="s">
        <v>632</v>
      </c>
      <c r="D191" s="53" t="s">
        <v>13</v>
      </c>
      <c r="E191" s="43">
        <v>700</v>
      </c>
      <c r="F191" s="46" t="s">
        <v>18</v>
      </c>
      <c r="G191" s="46" t="str">
        <f>VLOOKUP(F191,Tables!D$9:E$17,2,FALSE)</f>
        <v>MFP</v>
      </c>
      <c r="H191" s="66">
        <v>17099505</v>
      </c>
      <c r="I191" s="33">
        <f>S191-R191</f>
        <v>361</v>
      </c>
      <c r="J191" s="33">
        <f>U191-T191</f>
        <v>61</v>
      </c>
      <c r="K191" s="54">
        <f>I191*$P191</f>
        <v>7.4726999999999997</v>
      </c>
      <c r="L191" s="54">
        <f>J191*$Q191</f>
        <v>5.3069999999999995</v>
      </c>
      <c r="M191" s="62">
        <f>K191+L191</f>
        <v>12.779699999999998</v>
      </c>
      <c r="N191" s="53" t="s">
        <v>21</v>
      </c>
      <c r="O191" s="53" t="s">
        <v>22</v>
      </c>
      <c r="P191" s="71">
        <f>IF(G191="MFP",Tables!B$2,Tables!B$5)</f>
        <v>2.07E-2</v>
      </c>
      <c r="Q191" s="72">
        <f>IF(G191="MFP",Tables!B$3,Tables!B$6)</f>
        <v>8.6999999999999994E-2</v>
      </c>
      <c r="R191" s="73">
        <v>0</v>
      </c>
      <c r="S191" s="73">
        <v>361</v>
      </c>
      <c r="T191" s="73">
        <v>0</v>
      </c>
      <c r="U191" s="73">
        <v>61</v>
      </c>
    </row>
    <row r="192" spans="1:21" s="56" customFormat="1" outlineLevel="1" x14ac:dyDescent="0.25">
      <c r="A192" s="31"/>
      <c r="B192" s="32" t="s">
        <v>744</v>
      </c>
      <c r="C192" s="52"/>
      <c r="D192" s="53"/>
      <c r="E192" s="43"/>
      <c r="F192" s="46"/>
      <c r="G192" s="46"/>
      <c r="H192" s="66"/>
      <c r="I192" s="33"/>
      <c r="J192" s="33"/>
      <c r="K192" s="54"/>
      <c r="L192" s="54"/>
      <c r="M192" s="62">
        <f>SUBTOTAL(9,M191:M191)</f>
        <v>12.779699999999998</v>
      </c>
      <c r="N192" s="53"/>
      <c r="O192" s="53"/>
      <c r="P192" s="71"/>
      <c r="Q192" s="72"/>
      <c r="R192" s="73"/>
      <c r="S192" s="73"/>
      <c r="T192" s="73"/>
      <c r="U192" s="73"/>
    </row>
    <row r="193" spans="1:21" s="30" customFormat="1" ht="24" outlineLevel="2" x14ac:dyDescent="0.25">
      <c r="A193" s="31" t="s">
        <v>469</v>
      </c>
      <c r="B193" s="57" t="s">
        <v>468</v>
      </c>
      <c r="C193" s="52" t="s">
        <v>469</v>
      </c>
      <c r="D193" s="53" t="s">
        <v>93</v>
      </c>
      <c r="E193" s="43">
        <v>709</v>
      </c>
      <c r="F193" s="46" t="s">
        <v>18</v>
      </c>
      <c r="G193" s="46" t="str">
        <f>VLOOKUP(F193,Tables!D$9:E$17,2,FALSE)</f>
        <v>MFP</v>
      </c>
      <c r="H193" s="66">
        <v>17099465</v>
      </c>
      <c r="I193" s="33">
        <f>S193-R193</f>
        <v>22148</v>
      </c>
      <c r="J193" s="33">
        <f>U193-T193</f>
        <v>1575</v>
      </c>
      <c r="K193" s="54">
        <f>I193*$P193</f>
        <v>458.46359999999999</v>
      </c>
      <c r="L193" s="54">
        <f>J193*$Q193</f>
        <v>137.02499999999998</v>
      </c>
      <c r="M193" s="62">
        <f>K193+L193</f>
        <v>595.48859999999991</v>
      </c>
      <c r="N193" s="53" t="s">
        <v>470</v>
      </c>
      <c r="O193" s="53" t="s">
        <v>471</v>
      </c>
      <c r="P193" s="71">
        <f>IF(G193="MFP",Tables!B$2,Tables!B$5)</f>
        <v>2.07E-2</v>
      </c>
      <c r="Q193" s="72">
        <f>IF(G193="MFP",Tables!B$3,Tables!B$6)</f>
        <v>8.6999999999999994E-2</v>
      </c>
      <c r="R193" s="73">
        <v>0</v>
      </c>
      <c r="S193" s="73">
        <v>22148</v>
      </c>
      <c r="T193" s="73">
        <v>0</v>
      </c>
      <c r="U193" s="73">
        <v>1575</v>
      </c>
    </row>
    <row r="194" spans="1:21" s="30" customFormat="1" ht="24" outlineLevel="2" x14ac:dyDescent="0.25">
      <c r="A194" s="31" t="s">
        <v>469</v>
      </c>
      <c r="B194" s="57" t="s">
        <v>468</v>
      </c>
      <c r="C194" s="52" t="s">
        <v>469</v>
      </c>
      <c r="D194" s="53" t="s">
        <v>93</v>
      </c>
      <c r="E194" s="43">
        <v>709</v>
      </c>
      <c r="F194" s="46" t="s">
        <v>117</v>
      </c>
      <c r="G194" s="46" t="str">
        <f>VLOOKUP(F194,Tables!D$9:E$17,2,FALSE)</f>
        <v>PTR</v>
      </c>
      <c r="H194" s="66">
        <v>17099632</v>
      </c>
      <c r="I194" s="33">
        <f>S194-R194</f>
        <v>336</v>
      </c>
      <c r="J194" s="33">
        <f>U194-T194</f>
        <v>254</v>
      </c>
      <c r="K194" s="54">
        <f>I194*$P194</f>
        <v>8.8032000000000004</v>
      </c>
      <c r="L194" s="54">
        <f>J194*$Q194</f>
        <v>29.971999999999998</v>
      </c>
      <c r="M194" s="62">
        <f>K194+L194</f>
        <v>38.775199999999998</v>
      </c>
      <c r="N194" s="53" t="s">
        <v>486</v>
      </c>
      <c r="O194" s="53" t="s">
        <v>487</v>
      </c>
      <c r="P194" s="71">
        <f>IF(G194="MFP",Tables!B$2,Tables!B$5)</f>
        <v>2.6200000000000001E-2</v>
      </c>
      <c r="Q194" s="72">
        <f>IF(G194="MFP",Tables!B$3,Tables!B$6)</f>
        <v>0.11799999999999999</v>
      </c>
      <c r="R194" s="73">
        <v>0</v>
      </c>
      <c r="S194" s="73">
        <v>336</v>
      </c>
      <c r="T194" s="73">
        <v>0</v>
      </c>
      <c r="U194" s="73">
        <v>254</v>
      </c>
    </row>
    <row r="195" spans="1:21" s="30" customFormat="1" ht="24" outlineLevel="2" x14ac:dyDescent="0.25">
      <c r="A195" s="31" t="s">
        <v>469</v>
      </c>
      <c r="B195" s="57" t="s">
        <v>468</v>
      </c>
      <c r="C195" s="52" t="s">
        <v>469</v>
      </c>
      <c r="D195" s="53" t="s">
        <v>93</v>
      </c>
      <c r="E195" s="43">
        <v>717</v>
      </c>
      <c r="F195" s="46" t="s">
        <v>25</v>
      </c>
      <c r="G195" s="46" t="str">
        <f>VLOOKUP(F195,Tables!D$9:E$17,2,FALSE)</f>
        <v>PTR</v>
      </c>
      <c r="H195" s="66">
        <v>17099586</v>
      </c>
      <c r="I195" s="33">
        <f>S195-R195</f>
        <v>40</v>
      </c>
      <c r="J195" s="33">
        <f>U195-T195</f>
        <v>0</v>
      </c>
      <c r="K195" s="54">
        <f>I195*$P195</f>
        <v>1.048</v>
      </c>
      <c r="L195" s="54">
        <f>J195*$Q195</f>
        <v>0</v>
      </c>
      <c r="M195" s="62">
        <f>K195+L195</f>
        <v>1.048</v>
      </c>
      <c r="N195" s="53" t="s">
        <v>516</v>
      </c>
      <c r="O195" s="53" t="s">
        <v>517</v>
      </c>
      <c r="P195" s="71">
        <f>IF(G195="MFP",Tables!B$2,Tables!B$5)</f>
        <v>2.6200000000000001E-2</v>
      </c>
      <c r="Q195" s="72">
        <f>IF(G195="MFP",Tables!B$3,Tables!B$6)</f>
        <v>0.11799999999999999</v>
      </c>
      <c r="R195" s="73">
        <v>0</v>
      </c>
      <c r="S195" s="73">
        <v>40</v>
      </c>
      <c r="T195" s="73">
        <v>0</v>
      </c>
      <c r="U195" s="73">
        <v>0</v>
      </c>
    </row>
    <row r="196" spans="1:21" s="56" customFormat="1" outlineLevel="1" x14ac:dyDescent="0.25">
      <c r="A196" s="31"/>
      <c r="B196" s="32" t="s">
        <v>745</v>
      </c>
      <c r="C196" s="52"/>
      <c r="D196" s="53"/>
      <c r="E196" s="43"/>
      <c r="F196" s="46"/>
      <c r="G196" s="46"/>
      <c r="H196" s="66"/>
      <c r="I196" s="33"/>
      <c r="J196" s="33"/>
      <c r="K196" s="54"/>
      <c r="L196" s="54"/>
      <c r="M196" s="62">
        <f>SUBTOTAL(9,M193:M195)</f>
        <v>635.31179999999995</v>
      </c>
      <c r="N196" s="53"/>
      <c r="O196" s="53"/>
      <c r="P196" s="71"/>
      <c r="Q196" s="72"/>
      <c r="R196" s="73"/>
      <c r="S196" s="73"/>
      <c r="T196" s="73"/>
      <c r="U196" s="73"/>
    </row>
    <row r="197" spans="1:21" s="30" customFormat="1" ht="24" outlineLevel="2" x14ac:dyDescent="0.25">
      <c r="A197" s="31" t="s">
        <v>469</v>
      </c>
      <c r="B197" s="57" t="s">
        <v>41</v>
      </c>
      <c r="C197" s="52" t="s">
        <v>777</v>
      </c>
      <c r="D197" s="53" t="s">
        <v>93</v>
      </c>
      <c r="E197" s="43">
        <v>701</v>
      </c>
      <c r="F197" s="46" t="s">
        <v>25</v>
      </c>
      <c r="G197" s="46" t="str">
        <f>VLOOKUP(F197,Tables!D$9:E$17,2,FALSE)</f>
        <v>PTR</v>
      </c>
      <c r="H197" s="66">
        <v>17099633</v>
      </c>
      <c r="I197" s="33">
        <f>S197-R197</f>
        <v>5</v>
      </c>
      <c r="J197" s="33">
        <f>U197-T197</f>
        <v>0</v>
      </c>
      <c r="K197" s="54">
        <f>I197*$P197</f>
        <v>0.13100000000000001</v>
      </c>
      <c r="L197" s="54">
        <f>J197*$Q197</f>
        <v>0</v>
      </c>
      <c r="M197" s="62">
        <f>K197+L197</f>
        <v>0.13100000000000001</v>
      </c>
      <c r="N197" s="53" t="s">
        <v>530</v>
      </c>
      <c r="O197" s="53" t="s">
        <v>531</v>
      </c>
      <c r="P197" s="71">
        <f>IF(G197="MFP",Tables!B$2,Tables!B$5)</f>
        <v>2.6200000000000001E-2</v>
      </c>
      <c r="Q197" s="72">
        <f>IF(G197="MFP",Tables!B$3,Tables!B$6)</f>
        <v>0.11799999999999999</v>
      </c>
      <c r="R197" s="73">
        <v>0</v>
      </c>
      <c r="S197" s="73">
        <v>5</v>
      </c>
      <c r="T197" s="73">
        <v>0</v>
      </c>
      <c r="U197" s="73">
        <v>0</v>
      </c>
    </row>
    <row r="198" spans="1:21" s="30" customFormat="1" ht="24" outlineLevel="2" x14ac:dyDescent="0.25">
      <c r="A198" s="31" t="s">
        <v>469</v>
      </c>
      <c r="B198" s="57" t="s">
        <v>41</v>
      </c>
      <c r="C198" s="52" t="s">
        <v>777</v>
      </c>
      <c r="D198" s="53" t="s">
        <v>93</v>
      </c>
      <c r="E198" s="43">
        <v>708</v>
      </c>
      <c r="F198" s="46" t="s">
        <v>25</v>
      </c>
      <c r="G198" s="46" t="str">
        <f>VLOOKUP(F198,Tables!D$9:E$17,2,FALSE)</f>
        <v>PTR</v>
      </c>
      <c r="H198" s="66">
        <v>17099624</v>
      </c>
      <c r="I198" s="33">
        <f>S198-R198</f>
        <v>314</v>
      </c>
      <c r="J198" s="33">
        <f>U198-T198</f>
        <v>0</v>
      </c>
      <c r="K198" s="54">
        <f>I198*$P198</f>
        <v>8.2268000000000008</v>
      </c>
      <c r="L198" s="54">
        <f>J198*$Q198</f>
        <v>0</v>
      </c>
      <c r="M198" s="62">
        <f>K198+L198</f>
        <v>8.2268000000000008</v>
      </c>
      <c r="N198" s="53" t="s">
        <v>497</v>
      </c>
      <c r="O198" s="53" t="s">
        <v>498</v>
      </c>
      <c r="P198" s="71">
        <f>IF(G198="MFP",Tables!B$2,Tables!B$5)</f>
        <v>2.6200000000000001E-2</v>
      </c>
      <c r="Q198" s="72">
        <f>IF(G198="MFP",Tables!B$3,Tables!B$6)</f>
        <v>0.11799999999999999</v>
      </c>
      <c r="R198" s="73">
        <v>0</v>
      </c>
      <c r="S198" s="73">
        <v>314</v>
      </c>
      <c r="T198" s="73">
        <v>0</v>
      </c>
      <c r="U198" s="73">
        <v>0</v>
      </c>
    </row>
    <row r="199" spans="1:21" s="56" customFormat="1" outlineLevel="1" x14ac:dyDescent="0.25">
      <c r="A199" s="31"/>
      <c r="B199" s="32" t="s">
        <v>712</v>
      </c>
      <c r="C199" s="52"/>
      <c r="D199" s="53"/>
      <c r="E199" s="43"/>
      <c r="F199" s="46"/>
      <c r="G199" s="46"/>
      <c r="H199" s="66"/>
      <c r="I199" s="33"/>
      <c r="J199" s="33"/>
      <c r="K199" s="54"/>
      <c r="L199" s="54"/>
      <c r="M199" s="62">
        <f>SUBTOTAL(9,M197:M198)</f>
        <v>8.357800000000001</v>
      </c>
      <c r="N199" s="53"/>
      <c r="O199" s="53"/>
      <c r="P199" s="71"/>
      <c r="Q199" s="72"/>
      <c r="R199" s="73"/>
      <c r="S199" s="73"/>
      <c r="T199" s="73"/>
      <c r="U199" s="73"/>
    </row>
    <row r="200" spans="1:21" s="30" customFormat="1" ht="24" outlineLevel="2" x14ac:dyDescent="0.25">
      <c r="A200" s="31" t="s">
        <v>108</v>
      </c>
      <c r="B200" s="57" t="s">
        <v>107</v>
      </c>
      <c r="C200" s="52" t="s">
        <v>653</v>
      </c>
      <c r="D200" s="53" t="s">
        <v>105</v>
      </c>
      <c r="E200" s="43">
        <v>401</v>
      </c>
      <c r="F200" s="46" t="s">
        <v>18</v>
      </c>
      <c r="G200" s="46" t="str">
        <f>VLOOKUP(F200,Tables!D$9:E$17,2,FALSE)</f>
        <v>MFP</v>
      </c>
      <c r="H200" s="66">
        <v>17099491</v>
      </c>
      <c r="I200" s="33">
        <f>S200-R200</f>
        <v>2268</v>
      </c>
      <c r="J200" s="33">
        <f>U200-T200</f>
        <v>916</v>
      </c>
      <c r="K200" s="54">
        <f>I200*$P200</f>
        <v>46.947600000000001</v>
      </c>
      <c r="L200" s="54">
        <f>J200*$Q200</f>
        <v>79.691999999999993</v>
      </c>
      <c r="M200" s="62">
        <f>K200+L200</f>
        <v>126.6396</v>
      </c>
      <c r="N200" s="53" t="s">
        <v>455</v>
      </c>
      <c r="O200" s="53" t="s">
        <v>456</v>
      </c>
      <c r="P200" s="71">
        <f>IF(G200="MFP",Tables!B$2,Tables!B$5)</f>
        <v>2.07E-2</v>
      </c>
      <c r="Q200" s="72">
        <f>IF(G200="MFP",Tables!B$3,Tables!B$6)</f>
        <v>8.6999999999999994E-2</v>
      </c>
      <c r="R200" s="73">
        <v>0</v>
      </c>
      <c r="S200" s="73">
        <v>2268</v>
      </c>
      <c r="T200" s="73">
        <v>0</v>
      </c>
      <c r="U200" s="73">
        <v>916</v>
      </c>
    </row>
    <row r="201" spans="1:21" s="30" customFormat="1" ht="24" outlineLevel="2" x14ac:dyDescent="0.25">
      <c r="A201" s="31" t="s">
        <v>108</v>
      </c>
      <c r="B201" s="57" t="s">
        <v>107</v>
      </c>
      <c r="C201" s="52" t="s">
        <v>653</v>
      </c>
      <c r="D201" s="53" t="s">
        <v>105</v>
      </c>
      <c r="E201" s="43">
        <v>401</v>
      </c>
      <c r="F201" s="46" t="s">
        <v>25</v>
      </c>
      <c r="G201" s="46" t="str">
        <f>VLOOKUP(F201,Tables!D$9:E$17,2,FALSE)</f>
        <v>PTR</v>
      </c>
      <c r="H201" s="66">
        <v>17099589</v>
      </c>
      <c r="I201" s="33">
        <f>S201-R201</f>
        <v>61</v>
      </c>
      <c r="J201" s="33">
        <f>U201-T201</f>
        <v>0</v>
      </c>
      <c r="K201" s="54">
        <f>I201*$P201</f>
        <v>1.5982000000000001</v>
      </c>
      <c r="L201" s="54">
        <f>J201*$Q201</f>
        <v>0</v>
      </c>
      <c r="M201" s="62">
        <f>K201+L201</f>
        <v>1.5982000000000001</v>
      </c>
      <c r="N201" s="53" t="s">
        <v>109</v>
      </c>
      <c r="O201" s="53" t="s">
        <v>110</v>
      </c>
      <c r="P201" s="71">
        <f>IF(G201="MFP",Tables!B$2,Tables!B$5)</f>
        <v>2.6200000000000001E-2</v>
      </c>
      <c r="Q201" s="72">
        <f>IF(G201="MFP",Tables!B$3,Tables!B$6)</f>
        <v>0.11799999999999999</v>
      </c>
      <c r="R201" s="73">
        <v>0</v>
      </c>
      <c r="S201" s="73">
        <v>61</v>
      </c>
      <c r="T201" s="73">
        <v>0</v>
      </c>
      <c r="U201" s="73">
        <v>0</v>
      </c>
    </row>
    <row r="202" spans="1:21" s="30" customFormat="1" ht="24" outlineLevel="2" x14ac:dyDescent="0.25">
      <c r="A202" s="31" t="s">
        <v>108</v>
      </c>
      <c r="B202" s="57" t="s">
        <v>107</v>
      </c>
      <c r="C202" s="52" t="s">
        <v>653</v>
      </c>
      <c r="D202" s="53" t="s">
        <v>105</v>
      </c>
      <c r="E202" s="43">
        <v>401</v>
      </c>
      <c r="F202" s="46" t="s">
        <v>25</v>
      </c>
      <c r="G202" s="46" t="str">
        <f>VLOOKUP(F202,Tables!D$9:E$17,2,FALSE)</f>
        <v>PTR</v>
      </c>
      <c r="H202" s="66">
        <v>17099610</v>
      </c>
      <c r="I202" s="33">
        <f>S202-R202</f>
        <v>383</v>
      </c>
      <c r="J202" s="33">
        <f>U202-T202</f>
        <v>0</v>
      </c>
      <c r="K202" s="54">
        <f>I202*$P202</f>
        <v>10.034600000000001</v>
      </c>
      <c r="L202" s="54">
        <f>J202*$Q202</f>
        <v>0</v>
      </c>
      <c r="M202" s="62">
        <f>K202+L202</f>
        <v>10.034600000000001</v>
      </c>
      <c r="N202" s="53" t="s">
        <v>411</v>
      </c>
      <c r="O202" s="53" t="s">
        <v>412</v>
      </c>
      <c r="P202" s="71">
        <f>IF(G202="MFP",Tables!B$2,Tables!B$5)</f>
        <v>2.6200000000000001E-2</v>
      </c>
      <c r="Q202" s="72">
        <f>IF(G202="MFP",Tables!B$3,Tables!B$6)</f>
        <v>0.11799999999999999</v>
      </c>
      <c r="R202" s="73">
        <v>0</v>
      </c>
      <c r="S202" s="73">
        <v>383</v>
      </c>
      <c r="T202" s="73">
        <v>0</v>
      </c>
      <c r="U202" s="73">
        <v>0</v>
      </c>
    </row>
    <row r="203" spans="1:21" s="56" customFormat="1" outlineLevel="1" x14ac:dyDescent="0.25">
      <c r="A203" s="31"/>
      <c r="B203" s="32" t="s">
        <v>746</v>
      </c>
      <c r="C203" s="52"/>
      <c r="D203" s="53"/>
      <c r="E203" s="43"/>
      <c r="F203" s="46"/>
      <c r="G203" s="46"/>
      <c r="H203" s="66"/>
      <c r="I203" s="33"/>
      <c r="J203" s="33"/>
      <c r="K203" s="54"/>
      <c r="L203" s="54"/>
      <c r="M203" s="62">
        <f>SUBTOTAL(9,M200:M202)</f>
        <v>138.2724</v>
      </c>
      <c r="N203" s="53"/>
      <c r="O203" s="53"/>
      <c r="P203" s="71"/>
      <c r="Q203" s="72"/>
      <c r="R203" s="73"/>
      <c r="S203" s="73"/>
      <c r="T203" s="73"/>
      <c r="U203" s="73"/>
    </row>
    <row r="204" spans="1:21" s="30" customFormat="1" ht="24" outlineLevel="2" x14ac:dyDescent="0.25">
      <c r="A204" s="31" t="s">
        <v>499</v>
      </c>
      <c r="B204" s="57" t="s">
        <v>354</v>
      </c>
      <c r="C204" s="52" t="s">
        <v>637</v>
      </c>
      <c r="D204" s="53" t="s">
        <v>39</v>
      </c>
      <c r="E204" s="43">
        <v>203</v>
      </c>
      <c r="F204" s="46" t="s">
        <v>25</v>
      </c>
      <c r="G204" s="46" t="str">
        <f>VLOOKUP(F204,Tables!D$9:E$17,2,FALSE)</f>
        <v>PTR</v>
      </c>
      <c r="H204" s="66">
        <v>17099584</v>
      </c>
      <c r="I204" s="33">
        <f>S204-R204</f>
        <v>218</v>
      </c>
      <c r="J204" s="33">
        <f>U204-T204</f>
        <v>0</v>
      </c>
      <c r="K204" s="54">
        <f>I204*$P204</f>
        <v>5.7116000000000007</v>
      </c>
      <c r="L204" s="54">
        <f>J204*$Q204</f>
        <v>0</v>
      </c>
      <c r="M204" s="62">
        <f>K204+L204</f>
        <v>5.7116000000000007</v>
      </c>
      <c r="N204" s="53" t="s">
        <v>500</v>
      </c>
      <c r="O204" s="53" t="s">
        <v>501</v>
      </c>
      <c r="P204" s="71">
        <f>IF(G204="MFP",Tables!B$2,Tables!B$5)</f>
        <v>2.6200000000000001E-2</v>
      </c>
      <c r="Q204" s="72">
        <f>IF(G204="MFP",Tables!B$3,Tables!B$6)</f>
        <v>0.11799999999999999</v>
      </c>
      <c r="R204" s="73">
        <v>0</v>
      </c>
      <c r="S204" s="73">
        <v>218</v>
      </c>
      <c r="T204" s="73">
        <v>0</v>
      </c>
      <c r="U204" s="73">
        <v>0</v>
      </c>
    </row>
    <row r="205" spans="1:21" s="56" customFormat="1" outlineLevel="1" x14ac:dyDescent="0.25">
      <c r="A205" s="31"/>
      <c r="B205" s="32" t="s">
        <v>741</v>
      </c>
      <c r="C205" s="52"/>
      <c r="D205" s="53"/>
      <c r="E205" s="43"/>
      <c r="F205" s="46"/>
      <c r="G205" s="46"/>
      <c r="H205" s="66"/>
      <c r="I205" s="33"/>
      <c r="J205" s="33"/>
      <c r="K205" s="54"/>
      <c r="L205" s="54"/>
      <c r="M205" s="62">
        <f>SUBTOTAL(9,M204:M204)</f>
        <v>5.7116000000000007</v>
      </c>
      <c r="N205" s="53"/>
      <c r="O205" s="53"/>
      <c r="P205" s="71"/>
      <c r="Q205" s="72"/>
      <c r="R205" s="73"/>
      <c r="S205" s="73"/>
      <c r="T205" s="73"/>
      <c r="U205" s="73"/>
    </row>
    <row r="206" spans="1:21" s="30" customFormat="1" ht="24" outlineLevel="2" x14ac:dyDescent="0.25">
      <c r="A206" s="31" t="s">
        <v>65</v>
      </c>
      <c r="B206" s="57" t="s">
        <v>64</v>
      </c>
      <c r="C206" s="52" t="s">
        <v>65</v>
      </c>
      <c r="D206" s="53" t="s">
        <v>63</v>
      </c>
      <c r="E206" s="43">
        <v>416</v>
      </c>
      <c r="F206" s="46" t="s">
        <v>25</v>
      </c>
      <c r="G206" s="46" t="str">
        <f>VLOOKUP(F206,Tables!D$9:E$17,2,FALSE)</f>
        <v>PTR</v>
      </c>
      <c r="H206" s="66">
        <v>17099542</v>
      </c>
      <c r="I206" s="33">
        <f>S206-R206</f>
        <v>2533</v>
      </c>
      <c r="J206" s="33">
        <f>U206-T206</f>
        <v>0</v>
      </c>
      <c r="K206" s="54">
        <f>I206*$P206</f>
        <v>66.364599999999996</v>
      </c>
      <c r="L206" s="54">
        <f>J206*$Q206</f>
        <v>0</v>
      </c>
      <c r="M206" s="62">
        <f>K206+L206</f>
        <v>66.364599999999996</v>
      </c>
      <c r="N206" s="53" t="s">
        <v>399</v>
      </c>
      <c r="O206" s="53" t="s">
        <v>400</v>
      </c>
      <c r="P206" s="71">
        <f>IF(G206="MFP",Tables!B$2,Tables!B$5)</f>
        <v>2.6200000000000001E-2</v>
      </c>
      <c r="Q206" s="72">
        <f>IF(G206="MFP",Tables!B$3,Tables!B$6)</f>
        <v>0.11799999999999999</v>
      </c>
      <c r="R206" s="73">
        <v>0</v>
      </c>
      <c r="S206" s="73">
        <v>2533</v>
      </c>
      <c r="T206" s="73">
        <v>0</v>
      </c>
      <c r="U206" s="73">
        <v>0</v>
      </c>
    </row>
    <row r="207" spans="1:21" s="30" customFormat="1" ht="24" outlineLevel="2" x14ac:dyDescent="0.25">
      <c r="A207" s="31" t="s">
        <v>65</v>
      </c>
      <c r="B207" s="57" t="s">
        <v>64</v>
      </c>
      <c r="C207" s="52" t="s">
        <v>65</v>
      </c>
      <c r="D207" s="53" t="s">
        <v>63</v>
      </c>
      <c r="E207" s="43">
        <v>424</v>
      </c>
      <c r="F207" s="46" t="s">
        <v>25</v>
      </c>
      <c r="G207" s="46" t="str">
        <f>VLOOKUP(F207,Tables!D$9:E$17,2,FALSE)</f>
        <v>PTR</v>
      </c>
      <c r="H207" s="66">
        <v>17099548</v>
      </c>
      <c r="I207" s="33">
        <f>S207-R207</f>
        <v>0</v>
      </c>
      <c r="J207" s="33">
        <f>U207-T207</f>
        <v>0</v>
      </c>
      <c r="K207" s="54">
        <f>I207*$P207</f>
        <v>0</v>
      </c>
      <c r="L207" s="54">
        <f>J207*$Q207</f>
        <v>0</v>
      </c>
      <c r="M207" s="62">
        <f>K207+L207</f>
        <v>0</v>
      </c>
      <c r="N207" s="53" t="s">
        <v>467</v>
      </c>
      <c r="O207" s="53" t="s">
        <v>681</v>
      </c>
      <c r="P207" s="71">
        <f>IF(G207="MFP",Tables!B$2,Tables!B$5)</f>
        <v>2.6200000000000001E-2</v>
      </c>
      <c r="Q207" s="72">
        <f>IF(G207="MFP",Tables!B$3,Tables!B$6)</f>
        <v>0.11799999999999999</v>
      </c>
      <c r="R207" s="73">
        <v>0</v>
      </c>
      <c r="S207" s="73">
        <v>0</v>
      </c>
      <c r="T207" s="73">
        <v>0</v>
      </c>
      <c r="U207" s="73">
        <v>0</v>
      </c>
    </row>
    <row r="208" spans="1:21" s="30" customFormat="1" ht="24" outlineLevel="2" x14ac:dyDescent="0.25">
      <c r="A208" s="31" t="s">
        <v>65</v>
      </c>
      <c r="B208" s="57" t="s">
        <v>64</v>
      </c>
      <c r="C208" s="52" t="s">
        <v>65</v>
      </c>
      <c r="D208" s="53" t="s">
        <v>63</v>
      </c>
      <c r="E208" s="43">
        <v>425</v>
      </c>
      <c r="F208" s="46" t="s">
        <v>18</v>
      </c>
      <c r="G208" s="46" t="str">
        <f>VLOOKUP(F208,Tables!D$9:E$17,2,FALSE)</f>
        <v>MFP</v>
      </c>
      <c r="H208" s="66">
        <v>17099455</v>
      </c>
      <c r="I208" s="33">
        <f>S208-R208</f>
        <v>10252</v>
      </c>
      <c r="J208" s="33">
        <f>U208-T208</f>
        <v>74</v>
      </c>
      <c r="K208" s="54">
        <f>I208*$P208</f>
        <v>212.21639999999999</v>
      </c>
      <c r="L208" s="54">
        <f>J208*$Q208</f>
        <v>6.4379999999999997</v>
      </c>
      <c r="M208" s="62">
        <f>K208+L208</f>
        <v>218.65439999999998</v>
      </c>
      <c r="N208" s="53" t="s">
        <v>403</v>
      </c>
      <c r="O208" s="53" t="s">
        <v>404</v>
      </c>
      <c r="P208" s="71">
        <f>IF(G208="MFP",Tables!B$2,Tables!B$5)</f>
        <v>2.07E-2</v>
      </c>
      <c r="Q208" s="72">
        <f>IF(G208="MFP",Tables!B$3,Tables!B$6)</f>
        <v>8.6999999999999994E-2</v>
      </c>
      <c r="R208" s="73">
        <v>0</v>
      </c>
      <c r="S208" s="73">
        <v>10252</v>
      </c>
      <c r="T208" s="73">
        <v>0</v>
      </c>
      <c r="U208" s="73">
        <v>74</v>
      </c>
    </row>
    <row r="209" spans="1:28" s="30" customFormat="1" ht="24" outlineLevel="2" x14ac:dyDescent="0.25">
      <c r="A209" s="31" t="s">
        <v>65</v>
      </c>
      <c r="B209" s="57" t="s">
        <v>64</v>
      </c>
      <c r="C209" s="52" t="s">
        <v>65</v>
      </c>
      <c r="D209" s="53" t="s">
        <v>63</v>
      </c>
      <c r="E209" s="43">
        <v>541</v>
      </c>
      <c r="F209" s="46" t="s">
        <v>25</v>
      </c>
      <c r="G209" s="46" t="str">
        <f>VLOOKUP(F209,Tables!D$9:E$17,2,FALSE)</f>
        <v>PTR</v>
      </c>
      <c r="H209" s="66">
        <v>17099551</v>
      </c>
      <c r="I209" s="33">
        <f>S209-R209</f>
        <v>1618</v>
      </c>
      <c r="J209" s="33">
        <f>U209-T209</f>
        <v>0</v>
      </c>
      <c r="K209" s="54">
        <f>I209*$P209</f>
        <v>42.391600000000004</v>
      </c>
      <c r="L209" s="54">
        <f>J209*$Q209</f>
        <v>0</v>
      </c>
      <c r="M209" s="62">
        <f>K209+L209</f>
        <v>42.391600000000004</v>
      </c>
      <c r="N209" s="53" t="s">
        <v>66</v>
      </c>
      <c r="O209" s="53" t="s">
        <v>67</v>
      </c>
      <c r="P209" s="71">
        <f>IF(G209="MFP",Tables!B$2,Tables!B$5)</f>
        <v>2.6200000000000001E-2</v>
      </c>
      <c r="Q209" s="72">
        <f>IF(G209="MFP",Tables!B$3,Tables!B$6)</f>
        <v>0.11799999999999999</v>
      </c>
      <c r="R209" s="73">
        <v>0</v>
      </c>
      <c r="S209" s="73">
        <v>1618</v>
      </c>
      <c r="T209" s="73">
        <v>0</v>
      </c>
      <c r="U209" s="73">
        <v>0</v>
      </c>
    </row>
    <row r="210" spans="1:28" s="56" customFormat="1" outlineLevel="1" x14ac:dyDescent="0.25">
      <c r="A210" s="31"/>
      <c r="B210" s="32" t="s">
        <v>747</v>
      </c>
      <c r="C210" s="52"/>
      <c r="D210" s="53"/>
      <c r="E210" s="43"/>
      <c r="F210" s="46"/>
      <c r="G210" s="46"/>
      <c r="H210" s="66"/>
      <c r="I210" s="33"/>
      <c r="J210" s="33"/>
      <c r="K210" s="54"/>
      <c r="L210" s="54"/>
      <c r="M210" s="62">
        <f>SUBTOTAL(9,M206:M209)</f>
        <v>327.41059999999999</v>
      </c>
      <c r="N210" s="53"/>
      <c r="O210" s="53"/>
      <c r="P210" s="71"/>
      <c r="Q210" s="72"/>
      <c r="R210" s="73"/>
      <c r="S210" s="73"/>
      <c r="T210" s="73"/>
      <c r="U210" s="73"/>
    </row>
    <row r="211" spans="1:28" s="30" customFormat="1" ht="24" outlineLevel="2" x14ac:dyDescent="0.25">
      <c r="A211" s="31" t="s">
        <v>65</v>
      </c>
      <c r="B211" s="57" t="s">
        <v>41</v>
      </c>
      <c r="C211" s="52" t="s">
        <v>777</v>
      </c>
      <c r="D211" s="53" t="s">
        <v>63</v>
      </c>
      <c r="E211" s="43">
        <v>418</v>
      </c>
      <c r="F211" s="46" t="s">
        <v>25</v>
      </c>
      <c r="G211" s="46" t="str">
        <f>VLOOKUP(F211,Tables!D$9:E$17,2,FALSE)</f>
        <v>PTR</v>
      </c>
      <c r="H211" s="66">
        <v>17099520</v>
      </c>
      <c r="I211" s="33">
        <f>S211-R211</f>
        <v>18653</v>
      </c>
      <c r="J211" s="33">
        <f>U211-T211</f>
        <v>0</v>
      </c>
      <c r="K211" s="54">
        <f>I211*$P211</f>
        <v>488.70860000000005</v>
      </c>
      <c r="L211" s="54">
        <f>J211*$Q211</f>
        <v>0</v>
      </c>
      <c r="M211" s="62">
        <f>K211+L211</f>
        <v>488.70860000000005</v>
      </c>
      <c r="N211" s="53" t="s">
        <v>166</v>
      </c>
      <c r="O211" s="53" t="s">
        <v>167</v>
      </c>
      <c r="P211" s="71">
        <f>IF(G211="MFP",Tables!B$2,Tables!B$5)</f>
        <v>2.6200000000000001E-2</v>
      </c>
      <c r="Q211" s="72">
        <f>IF(G211="MFP",Tables!B$3,Tables!B$6)</f>
        <v>0.11799999999999999</v>
      </c>
      <c r="R211" s="73">
        <v>0</v>
      </c>
      <c r="S211" s="73">
        <v>18653</v>
      </c>
      <c r="T211" s="73">
        <v>0</v>
      </c>
      <c r="U211" s="73">
        <v>0</v>
      </c>
    </row>
    <row r="212" spans="1:28" s="56" customFormat="1" outlineLevel="1" x14ac:dyDescent="0.25">
      <c r="A212" s="31"/>
      <c r="B212" s="32" t="s">
        <v>712</v>
      </c>
      <c r="C212" s="52"/>
      <c r="D212" s="53"/>
      <c r="E212" s="43"/>
      <c r="F212" s="46"/>
      <c r="G212" s="46"/>
      <c r="H212" s="66"/>
      <c r="I212" s="33"/>
      <c r="J212" s="33"/>
      <c r="K212" s="54"/>
      <c r="L212" s="54"/>
      <c r="M212" s="62">
        <f>SUBTOTAL(9,M211:M211)</f>
        <v>488.70860000000005</v>
      </c>
      <c r="N212" s="53"/>
      <c r="O212" s="53"/>
      <c r="P212" s="71"/>
      <c r="Q212" s="72"/>
      <c r="R212" s="73"/>
      <c r="S212" s="73"/>
      <c r="T212" s="73"/>
      <c r="U212" s="73"/>
    </row>
    <row r="213" spans="1:28" s="30" customFormat="1" ht="24" outlineLevel="2" x14ac:dyDescent="0.25">
      <c r="A213" s="31" t="s">
        <v>302</v>
      </c>
      <c r="B213" s="57" t="s">
        <v>686</v>
      </c>
      <c r="C213" s="52" t="s">
        <v>685</v>
      </c>
      <c r="D213" s="53" t="s">
        <v>301</v>
      </c>
      <c r="E213" s="43">
        <v>105</v>
      </c>
      <c r="F213" s="46" t="s">
        <v>18</v>
      </c>
      <c r="G213" s="46" t="str">
        <f>VLOOKUP(F213,Tables!D$9:E$17,2,FALSE)</f>
        <v>MFP</v>
      </c>
      <c r="H213" s="66">
        <v>17099721</v>
      </c>
      <c r="I213" s="33">
        <f>S213-R213</f>
        <v>7053</v>
      </c>
      <c r="J213" s="33">
        <f>U213-T213</f>
        <v>3462</v>
      </c>
      <c r="K213" s="54">
        <f>I213*$P213</f>
        <v>145.99709999999999</v>
      </c>
      <c r="L213" s="54">
        <f>J213*$Q213</f>
        <v>301.19399999999996</v>
      </c>
      <c r="M213" s="62">
        <f>K213+L213</f>
        <v>447.19109999999995</v>
      </c>
      <c r="N213" s="53" t="s">
        <v>303</v>
      </c>
      <c r="O213" s="53" t="s">
        <v>304</v>
      </c>
      <c r="P213" s="71">
        <f>IF(G213="MFP",Tables!B$2,Tables!B$5)</f>
        <v>2.07E-2</v>
      </c>
      <c r="Q213" s="72">
        <f>IF(G213="MFP",Tables!B$3,Tables!B$6)</f>
        <v>8.6999999999999994E-2</v>
      </c>
      <c r="R213" s="73">
        <v>0</v>
      </c>
      <c r="S213" s="73">
        <v>7053</v>
      </c>
      <c r="T213" s="73">
        <v>0</v>
      </c>
      <c r="U213" s="73">
        <v>3462</v>
      </c>
    </row>
    <row r="214" spans="1:28" s="56" customFormat="1" outlineLevel="1" x14ac:dyDescent="0.25">
      <c r="A214" s="31"/>
      <c r="B214" s="32" t="s">
        <v>748</v>
      </c>
      <c r="C214" s="52"/>
      <c r="D214" s="53"/>
      <c r="E214" s="43"/>
      <c r="F214" s="46"/>
      <c r="G214" s="46"/>
      <c r="H214" s="66"/>
      <c r="I214" s="33"/>
      <c r="J214" s="33"/>
      <c r="K214" s="54"/>
      <c r="L214" s="54"/>
      <c r="M214" s="62">
        <f>SUBTOTAL(9,M213:M213)</f>
        <v>447.19109999999995</v>
      </c>
      <c r="N214" s="53"/>
      <c r="O214" s="53"/>
      <c r="P214" s="71"/>
      <c r="Q214" s="72"/>
      <c r="R214" s="73"/>
      <c r="S214" s="73"/>
      <c r="T214" s="73"/>
      <c r="U214" s="73"/>
    </row>
    <row r="215" spans="1:28" s="30" customFormat="1" ht="24" outlineLevel="2" x14ac:dyDescent="0.25">
      <c r="A215" s="31" t="s">
        <v>56</v>
      </c>
      <c r="B215" s="57" t="s">
        <v>55</v>
      </c>
      <c r="C215" s="52" t="s">
        <v>633</v>
      </c>
      <c r="D215" s="53" t="s">
        <v>54</v>
      </c>
      <c r="E215" s="43">
        <v>2080</v>
      </c>
      <c r="F215" s="46" t="s">
        <v>25</v>
      </c>
      <c r="G215" s="46" t="str">
        <f>VLOOKUP(F215,Tables!D$9:E$17,2,FALSE)</f>
        <v>PTR</v>
      </c>
      <c r="H215" s="66">
        <v>17099431</v>
      </c>
      <c r="I215" s="33">
        <f>S215-R215</f>
        <v>0</v>
      </c>
      <c r="J215" s="33">
        <f>U215-T215</f>
        <v>0</v>
      </c>
      <c r="K215" s="54">
        <f>I215*$P215</f>
        <v>0</v>
      </c>
      <c r="L215" s="54">
        <f>J215*$Q215</f>
        <v>0</v>
      </c>
      <c r="M215" s="62">
        <f>K215+L215</f>
        <v>0</v>
      </c>
      <c r="N215" s="53" t="s">
        <v>138</v>
      </c>
      <c r="O215" s="53" t="s">
        <v>680</v>
      </c>
      <c r="P215" s="71">
        <f>IF(G215="MFP",Tables!B$2,Tables!B$5)</f>
        <v>2.6200000000000001E-2</v>
      </c>
      <c r="Q215" s="72">
        <f>IF(G215="MFP",Tables!B$3,Tables!B$6)</f>
        <v>0.11799999999999999</v>
      </c>
      <c r="R215" s="73">
        <v>0</v>
      </c>
      <c r="S215" s="73">
        <v>0</v>
      </c>
      <c r="T215" s="73">
        <v>0</v>
      </c>
      <c r="U215" s="73">
        <v>0</v>
      </c>
    </row>
    <row r="216" spans="1:28" s="30" customFormat="1" ht="24" outlineLevel="2" x14ac:dyDescent="0.25">
      <c r="A216" s="31" t="s">
        <v>56</v>
      </c>
      <c r="B216" s="57" t="s">
        <v>55</v>
      </c>
      <c r="C216" s="52" t="s">
        <v>633</v>
      </c>
      <c r="D216" s="53" t="s">
        <v>54</v>
      </c>
      <c r="E216" s="43">
        <v>2082</v>
      </c>
      <c r="F216" s="46" t="s">
        <v>25</v>
      </c>
      <c r="G216" s="46" t="str">
        <f>VLOOKUP(F216,Tables!D$9:E$17,2,FALSE)</f>
        <v>PTR</v>
      </c>
      <c r="H216" s="66">
        <v>17099506</v>
      </c>
      <c r="I216" s="33">
        <f>S216-R216</f>
        <v>109</v>
      </c>
      <c r="J216" s="33">
        <f>U216-T216</f>
        <v>0</v>
      </c>
      <c r="K216" s="54">
        <f>I216*$P216</f>
        <v>2.8558000000000003</v>
      </c>
      <c r="L216" s="54">
        <f>J216*$Q216</f>
        <v>0</v>
      </c>
      <c r="M216" s="62">
        <f>K216+L216</f>
        <v>2.8558000000000003</v>
      </c>
      <c r="N216" s="53" t="s">
        <v>57</v>
      </c>
      <c r="O216" s="53" t="s">
        <v>58</v>
      </c>
      <c r="P216" s="71">
        <f>IF(G216="MFP",Tables!B$2,Tables!B$5)</f>
        <v>2.6200000000000001E-2</v>
      </c>
      <c r="Q216" s="72">
        <f>IF(G216="MFP",Tables!B$3,Tables!B$6)</f>
        <v>0.11799999999999999</v>
      </c>
      <c r="R216" s="73">
        <v>0</v>
      </c>
      <c r="S216" s="73">
        <v>109</v>
      </c>
      <c r="T216" s="73">
        <v>0</v>
      </c>
      <c r="U216" s="73">
        <v>0</v>
      </c>
    </row>
    <row r="217" spans="1:28" s="30" customFormat="1" ht="24" outlineLevel="2" x14ac:dyDescent="0.25">
      <c r="A217" s="31" t="s">
        <v>56</v>
      </c>
      <c r="B217" s="57" t="s">
        <v>55</v>
      </c>
      <c r="C217" s="52" t="s">
        <v>633</v>
      </c>
      <c r="D217" s="53" t="s">
        <v>54</v>
      </c>
      <c r="E217" s="43">
        <v>2090</v>
      </c>
      <c r="F217" s="46" t="s">
        <v>25</v>
      </c>
      <c r="G217" s="46" t="str">
        <f>VLOOKUP(F217,Tables!D$9:E$17,2,FALSE)</f>
        <v>PTR</v>
      </c>
      <c r="H217" s="66">
        <v>17099429</v>
      </c>
      <c r="I217" s="33">
        <f>S217-R217</f>
        <v>154</v>
      </c>
      <c r="J217" s="33">
        <f>U217-T217</f>
        <v>0</v>
      </c>
      <c r="K217" s="54">
        <f>I217*$P217</f>
        <v>4.0348000000000006</v>
      </c>
      <c r="L217" s="54">
        <f>J217*$Q217</f>
        <v>0</v>
      </c>
      <c r="M217" s="62">
        <f>K217+L217</f>
        <v>4.0348000000000006</v>
      </c>
      <c r="N217" s="53" t="s">
        <v>425</v>
      </c>
      <c r="O217" s="53" t="s">
        <v>426</v>
      </c>
      <c r="P217" s="71">
        <f>IF(G217="MFP",Tables!B$2,Tables!B$5)</f>
        <v>2.6200000000000001E-2</v>
      </c>
      <c r="Q217" s="72">
        <f>IF(G217="MFP",Tables!B$3,Tables!B$6)</f>
        <v>0.11799999999999999</v>
      </c>
      <c r="R217" s="73">
        <v>0</v>
      </c>
      <c r="S217" s="73">
        <v>154</v>
      </c>
      <c r="T217" s="73">
        <v>0</v>
      </c>
      <c r="U217" s="73">
        <v>0</v>
      </c>
    </row>
    <row r="218" spans="1:28" s="56" customFormat="1" outlineLevel="1" x14ac:dyDescent="0.25">
      <c r="A218" s="31"/>
      <c r="B218" s="32" t="s">
        <v>749</v>
      </c>
      <c r="C218" s="52"/>
      <c r="D218" s="53"/>
      <c r="E218" s="43"/>
      <c r="F218" s="46"/>
      <c r="G218" s="46"/>
      <c r="H218" s="66"/>
      <c r="I218" s="33"/>
      <c r="J218" s="33"/>
      <c r="K218" s="54"/>
      <c r="L218" s="54"/>
      <c r="M218" s="62">
        <f>SUBTOTAL(9,M215:M217)</f>
        <v>6.8906000000000009</v>
      </c>
      <c r="N218" s="53"/>
      <c r="O218" s="53"/>
      <c r="P218" s="71"/>
      <c r="Q218" s="72"/>
      <c r="R218" s="73"/>
      <c r="S218" s="73"/>
      <c r="T218" s="73"/>
      <c r="U218" s="73"/>
    </row>
    <row r="219" spans="1:28" s="30" customFormat="1" ht="24" outlineLevel="2" x14ac:dyDescent="0.25">
      <c r="A219" s="31" t="s">
        <v>704</v>
      </c>
      <c r="B219" s="57" t="s">
        <v>396</v>
      </c>
      <c r="C219" s="52" t="s">
        <v>656</v>
      </c>
      <c r="D219" s="53" t="s">
        <v>88</v>
      </c>
      <c r="E219" s="43" t="s">
        <v>100</v>
      </c>
      <c r="F219" s="46" t="s">
        <v>84</v>
      </c>
      <c r="G219" s="46" t="str">
        <f>VLOOKUP(F219,Tables!D$9:E$17,2,FALSE)</f>
        <v>MFP</v>
      </c>
      <c r="H219" s="66">
        <v>17099701</v>
      </c>
      <c r="I219" s="33">
        <f>S219-R219</f>
        <v>0</v>
      </c>
      <c r="J219" s="33">
        <f>U219-T219</f>
        <v>0</v>
      </c>
      <c r="K219" s="54">
        <f>I219*$P219</f>
        <v>0</v>
      </c>
      <c r="L219" s="54">
        <f>J219*$Q219</f>
        <v>0</v>
      </c>
      <c r="M219" s="62">
        <f>K219+L219</f>
        <v>0</v>
      </c>
      <c r="N219" s="53" t="s">
        <v>397</v>
      </c>
      <c r="O219" s="53" t="s">
        <v>398</v>
      </c>
      <c r="P219" s="71">
        <f>IF(G219="MFP",Tables!B$2,Tables!B$5)</f>
        <v>2.07E-2</v>
      </c>
      <c r="Q219" s="72">
        <f>IF(G219="MFP",Tables!B$3,Tables!B$6)</f>
        <v>8.6999999999999994E-2</v>
      </c>
      <c r="R219" s="73">
        <v>0</v>
      </c>
      <c r="S219" s="73">
        <v>0</v>
      </c>
      <c r="T219" s="73">
        <v>0</v>
      </c>
      <c r="U219" s="73">
        <v>0</v>
      </c>
    </row>
    <row r="220" spans="1:28" s="56" customFormat="1" outlineLevel="1" x14ac:dyDescent="0.25">
      <c r="A220" s="31"/>
      <c r="B220" s="32" t="s">
        <v>750</v>
      </c>
      <c r="C220" s="52"/>
      <c r="D220" s="53"/>
      <c r="E220" s="43"/>
      <c r="F220" s="46"/>
      <c r="G220" s="46"/>
      <c r="H220" s="66"/>
      <c r="I220" s="33"/>
      <c r="J220" s="33"/>
      <c r="K220" s="54"/>
      <c r="L220" s="54"/>
      <c r="M220" s="62">
        <f>SUBTOTAL(9,M219:M219)</f>
        <v>0</v>
      </c>
      <c r="N220" s="53"/>
      <c r="O220" s="53"/>
      <c r="P220" s="71"/>
      <c r="Q220" s="72"/>
      <c r="R220" s="73"/>
      <c r="S220" s="73"/>
      <c r="T220" s="73"/>
      <c r="U220" s="73"/>
    </row>
    <row r="221" spans="1:28" s="30" customFormat="1" ht="36" outlineLevel="2" x14ac:dyDescent="0.25">
      <c r="A221" s="31" t="s">
        <v>99</v>
      </c>
      <c r="B221" s="57" t="s">
        <v>98</v>
      </c>
      <c r="C221" s="52" t="s">
        <v>651</v>
      </c>
      <c r="D221" s="53" t="s">
        <v>88</v>
      </c>
      <c r="E221" s="43" t="s">
        <v>97</v>
      </c>
      <c r="F221" s="46" t="s">
        <v>84</v>
      </c>
      <c r="G221" s="46" t="str">
        <f>VLOOKUP(F221,Tables!D$9:E$17,2,FALSE)</f>
        <v>MFP</v>
      </c>
      <c r="H221" s="66">
        <v>17099536</v>
      </c>
      <c r="I221" s="33">
        <f>S221-R221</f>
        <v>0</v>
      </c>
      <c r="J221" s="33">
        <f>U221-T221</f>
        <v>0</v>
      </c>
      <c r="K221" s="54">
        <f>I221*$P221</f>
        <v>0</v>
      </c>
      <c r="L221" s="54">
        <f>J221*$Q221</f>
        <v>0</v>
      </c>
      <c r="M221" s="62">
        <f>K221+L221</f>
        <v>0</v>
      </c>
      <c r="N221" s="53" t="s">
        <v>101</v>
      </c>
      <c r="O221" s="53" t="s">
        <v>102</v>
      </c>
      <c r="P221" s="71">
        <f>IF(G221="MFP",Tables!B$2,Tables!B$5)</f>
        <v>2.07E-2</v>
      </c>
      <c r="Q221" s="72">
        <f>IF(G221="MFP",Tables!B$3,Tables!B$6)</f>
        <v>8.6999999999999994E-2</v>
      </c>
      <c r="R221" s="73">
        <v>0</v>
      </c>
      <c r="S221" s="73">
        <v>0</v>
      </c>
      <c r="T221" s="73">
        <v>0</v>
      </c>
      <c r="U221" s="73">
        <v>0</v>
      </c>
      <c r="V221" s="56"/>
      <c r="W221" s="56"/>
      <c r="X221" s="56"/>
      <c r="Y221" s="56"/>
      <c r="Z221" s="56"/>
      <c r="AA221" s="56"/>
      <c r="AB221" s="56"/>
    </row>
    <row r="222" spans="1:28" s="56" customFormat="1" outlineLevel="1" x14ac:dyDescent="0.25">
      <c r="A222" s="31"/>
      <c r="B222" s="32" t="s">
        <v>727</v>
      </c>
      <c r="C222" s="52"/>
      <c r="D222" s="53"/>
      <c r="E222" s="43"/>
      <c r="F222" s="46"/>
      <c r="G222" s="46"/>
      <c r="H222" s="66"/>
      <c r="I222" s="33"/>
      <c r="J222" s="33"/>
      <c r="K222" s="54"/>
      <c r="L222" s="54"/>
      <c r="M222" s="62">
        <f>SUBTOTAL(9,M221:M221)</f>
        <v>0</v>
      </c>
      <c r="N222" s="53"/>
      <c r="O222" s="53"/>
      <c r="P222" s="71"/>
      <c r="Q222" s="72"/>
      <c r="R222" s="73"/>
      <c r="S222" s="73"/>
      <c r="T222" s="73"/>
      <c r="U222" s="73"/>
    </row>
    <row r="223" spans="1:28" s="49" customFormat="1" ht="24" outlineLevel="2" x14ac:dyDescent="0.25">
      <c r="A223" s="31" t="s">
        <v>649</v>
      </c>
      <c r="B223" s="57" t="s">
        <v>577</v>
      </c>
      <c r="C223" s="52" t="s">
        <v>640</v>
      </c>
      <c r="D223" s="53" t="s">
        <v>795</v>
      </c>
      <c r="E223" s="43">
        <v>301</v>
      </c>
      <c r="F223" s="46" t="s">
        <v>25</v>
      </c>
      <c r="G223" s="46" t="str">
        <f>VLOOKUP(F223,Tables!D$9:E$17,2,FALSE)</f>
        <v>PTR</v>
      </c>
      <c r="H223" s="66">
        <v>17099561</v>
      </c>
      <c r="I223" s="33">
        <f>S223-R223</f>
        <v>391</v>
      </c>
      <c r="J223" s="33">
        <f>U223-T223</f>
        <v>0</v>
      </c>
      <c r="K223" s="54">
        <f>I223*$P223</f>
        <v>10.244200000000001</v>
      </c>
      <c r="L223" s="54">
        <f>J223*$Q223</f>
        <v>0</v>
      </c>
      <c r="M223" s="62">
        <f>K223+L223</f>
        <v>10.244200000000001</v>
      </c>
      <c r="N223" s="53" t="s">
        <v>236</v>
      </c>
      <c r="O223" s="53" t="s">
        <v>237</v>
      </c>
      <c r="P223" s="71">
        <f>IF(G223="MFP",Tables!B$2,Tables!B$5)</f>
        <v>2.6200000000000001E-2</v>
      </c>
      <c r="Q223" s="72">
        <f>IF(G223="MFP",Tables!B$3,Tables!B$6)</f>
        <v>0.11799999999999999</v>
      </c>
      <c r="R223" s="73">
        <v>0</v>
      </c>
      <c r="S223" s="73">
        <v>391</v>
      </c>
      <c r="T223" s="73">
        <v>0</v>
      </c>
      <c r="U223" s="73">
        <v>0</v>
      </c>
      <c r="V223" s="113"/>
      <c r="W223" s="113"/>
      <c r="X223" s="113"/>
      <c r="Y223" s="113"/>
      <c r="Z223" s="113"/>
      <c r="AA223" s="113"/>
      <c r="AB223" s="113"/>
    </row>
    <row r="224" spans="1:28" s="113" customFormat="1" outlineLevel="1" x14ac:dyDescent="0.25">
      <c r="A224" s="31"/>
      <c r="B224" s="32" t="s">
        <v>721</v>
      </c>
      <c r="C224" s="52"/>
      <c r="D224" s="53"/>
      <c r="E224" s="43"/>
      <c r="F224" s="46"/>
      <c r="G224" s="46"/>
      <c r="H224" s="66"/>
      <c r="I224" s="33"/>
      <c r="J224" s="33"/>
      <c r="K224" s="54"/>
      <c r="L224" s="54"/>
      <c r="M224" s="62">
        <f>SUBTOTAL(9,M223:M223)</f>
        <v>10.244200000000001</v>
      </c>
      <c r="N224" s="53"/>
      <c r="O224" s="53"/>
      <c r="P224" s="71"/>
      <c r="Q224" s="72"/>
      <c r="R224" s="73"/>
      <c r="S224" s="73"/>
      <c r="T224" s="73"/>
      <c r="U224" s="73"/>
    </row>
    <row r="225" spans="1:28" s="49" customFormat="1" ht="24" outlineLevel="2" x14ac:dyDescent="0.25">
      <c r="A225" s="31" t="s">
        <v>649</v>
      </c>
      <c r="B225" s="57" t="s">
        <v>787</v>
      </c>
      <c r="C225" s="52" t="s">
        <v>649</v>
      </c>
      <c r="D225" s="53" t="s">
        <v>795</v>
      </c>
      <c r="E225" s="43" t="s">
        <v>446</v>
      </c>
      <c r="F225" s="46" t="s">
        <v>31</v>
      </c>
      <c r="G225" s="46" t="str">
        <f>VLOOKUP(F225,Tables!D$9:E$17,2,FALSE)</f>
        <v>MFP</v>
      </c>
      <c r="H225" s="66">
        <v>17099488</v>
      </c>
      <c r="I225" s="33">
        <f>S225-R225</f>
        <v>4515</v>
      </c>
      <c r="J225" s="33">
        <f>U225-T225</f>
        <v>3891</v>
      </c>
      <c r="K225" s="54">
        <f>I225*$P225</f>
        <v>93.460499999999996</v>
      </c>
      <c r="L225" s="54">
        <f>J225*$Q225</f>
        <v>338.517</v>
      </c>
      <c r="M225" s="62">
        <f>K225+L225</f>
        <v>431.97749999999996</v>
      </c>
      <c r="N225" s="53" t="s">
        <v>447</v>
      </c>
      <c r="O225" s="53" t="s">
        <v>448</v>
      </c>
      <c r="P225" s="71">
        <f>IF(G225="MFP",Tables!B$2,Tables!B$5)</f>
        <v>2.07E-2</v>
      </c>
      <c r="Q225" s="72">
        <f>IF(G225="MFP",Tables!B$3,Tables!B$6)</f>
        <v>8.6999999999999994E-2</v>
      </c>
      <c r="R225" s="73">
        <v>0</v>
      </c>
      <c r="S225" s="73">
        <v>4515</v>
      </c>
      <c r="T225" s="73">
        <v>0</v>
      </c>
      <c r="U225" s="73">
        <v>3891</v>
      </c>
      <c r="V225" s="56"/>
      <c r="W225" s="56"/>
      <c r="X225" s="56"/>
      <c r="Y225" s="56"/>
      <c r="Z225" s="56"/>
      <c r="AA225" s="56"/>
      <c r="AB225" s="56"/>
    </row>
    <row r="226" spans="1:28" s="30" customFormat="1" ht="24" outlineLevel="2" x14ac:dyDescent="0.25">
      <c r="A226" s="31" t="s">
        <v>649</v>
      </c>
      <c r="B226" s="57" t="s">
        <v>787</v>
      </c>
      <c r="C226" s="52" t="s">
        <v>649</v>
      </c>
      <c r="D226" s="53" t="s">
        <v>795</v>
      </c>
      <c r="E226" s="43">
        <v>306</v>
      </c>
      <c r="F226" s="46" t="s">
        <v>25</v>
      </c>
      <c r="G226" s="46" t="str">
        <f>VLOOKUP(F226,Tables!D$9:E$17,2,FALSE)</f>
        <v>PTR</v>
      </c>
      <c r="H226" s="66">
        <v>17099567</v>
      </c>
      <c r="I226" s="33">
        <f>S226-R226</f>
        <v>152</v>
      </c>
      <c r="J226" s="33">
        <f>U226-T226</f>
        <v>0</v>
      </c>
      <c r="K226" s="54">
        <f>I226*$P226</f>
        <v>3.9824000000000002</v>
      </c>
      <c r="L226" s="54">
        <f>J226*$Q226</f>
        <v>0</v>
      </c>
      <c r="M226" s="62">
        <f>K226+L226</f>
        <v>3.9824000000000002</v>
      </c>
      <c r="N226" s="53" t="s">
        <v>413</v>
      </c>
      <c r="O226" s="53" t="s">
        <v>414</v>
      </c>
      <c r="P226" s="71">
        <f>IF(G226="MFP",Tables!B$2,Tables!B$5)</f>
        <v>2.6200000000000001E-2</v>
      </c>
      <c r="Q226" s="72">
        <f>IF(G226="MFP",Tables!B$3,Tables!B$6)</f>
        <v>0.11799999999999999</v>
      </c>
      <c r="R226" s="73">
        <v>0</v>
      </c>
      <c r="S226" s="73">
        <v>152</v>
      </c>
      <c r="T226" s="73">
        <v>0</v>
      </c>
      <c r="U226" s="73">
        <v>0</v>
      </c>
      <c r="V226" s="113"/>
      <c r="W226" s="113"/>
      <c r="X226" s="113"/>
      <c r="Y226" s="113"/>
      <c r="Z226" s="113"/>
      <c r="AA226" s="113"/>
      <c r="AB226" s="113"/>
    </row>
    <row r="227" spans="1:28" s="56" customFormat="1" outlineLevel="1" x14ac:dyDescent="0.25">
      <c r="A227" s="31"/>
      <c r="B227" s="32" t="s">
        <v>790</v>
      </c>
      <c r="C227" s="52"/>
      <c r="D227" s="53"/>
      <c r="E227" s="43"/>
      <c r="F227" s="46"/>
      <c r="G227" s="46"/>
      <c r="H227" s="66"/>
      <c r="I227" s="33"/>
      <c r="J227" s="33"/>
      <c r="K227" s="54"/>
      <c r="L227" s="54"/>
      <c r="M227" s="62">
        <f>SUBTOTAL(9,M225:M226)</f>
        <v>435.95989999999995</v>
      </c>
      <c r="N227" s="53"/>
      <c r="O227" s="53"/>
      <c r="P227" s="71"/>
      <c r="Q227" s="72"/>
      <c r="R227" s="73"/>
      <c r="S227" s="73"/>
      <c r="T227" s="73"/>
      <c r="U227" s="73"/>
      <c r="V227" s="113"/>
      <c r="W227" s="113"/>
      <c r="X227" s="113"/>
      <c r="Y227" s="113"/>
      <c r="Z227" s="113"/>
      <c r="AA227" s="113"/>
      <c r="AB227" s="113"/>
    </row>
    <row r="228" spans="1:28" s="30" customFormat="1" ht="60" outlineLevel="2" x14ac:dyDescent="0.25">
      <c r="A228" s="147" t="s">
        <v>796</v>
      </c>
      <c r="B228" s="146" t="s">
        <v>815</v>
      </c>
      <c r="C228" s="147" t="s">
        <v>796</v>
      </c>
      <c r="D228" s="134" t="s">
        <v>538</v>
      </c>
      <c r="E228" s="135">
        <v>101</v>
      </c>
      <c r="F228" s="136" t="s">
        <v>18</v>
      </c>
      <c r="G228" s="136" t="str">
        <f>VLOOKUP(F228,Tables!D$9:E$17,2,FALSE)</f>
        <v>MFP</v>
      </c>
      <c r="H228" s="137">
        <v>17099527</v>
      </c>
      <c r="I228" s="138">
        <f>S228-R228</f>
        <v>527</v>
      </c>
      <c r="J228" s="138">
        <f>U228-T228</f>
        <v>12</v>
      </c>
      <c r="K228" s="139">
        <f>I228*$P228</f>
        <v>10.908899999999999</v>
      </c>
      <c r="L228" s="139">
        <f>J228*$Q228</f>
        <v>1.044</v>
      </c>
      <c r="M228" s="140">
        <f>K228+L228</f>
        <v>11.9529</v>
      </c>
      <c r="N228" s="134" t="s">
        <v>607</v>
      </c>
      <c r="O228" s="134" t="s">
        <v>608</v>
      </c>
      <c r="P228" s="141">
        <f>IF(G228="MFP",Tables!B$2,Tables!B$5)</f>
        <v>2.07E-2</v>
      </c>
      <c r="Q228" s="142">
        <f>IF(G228="MFP",Tables!B$3,Tables!B$6)</f>
        <v>8.6999999999999994E-2</v>
      </c>
      <c r="R228" s="143">
        <v>0</v>
      </c>
      <c r="S228" s="143">
        <v>527</v>
      </c>
      <c r="T228" s="143">
        <v>0</v>
      </c>
      <c r="U228" s="143">
        <v>12</v>
      </c>
      <c r="V228" s="144"/>
      <c r="W228" s="144"/>
      <c r="X228" s="144"/>
      <c r="Y228" s="144"/>
      <c r="Z228" s="144"/>
      <c r="AA228" s="144"/>
      <c r="AB228" s="144"/>
    </row>
    <row r="229" spans="1:28" s="56" customFormat="1" outlineLevel="1" x14ac:dyDescent="0.25">
      <c r="A229" s="147"/>
      <c r="B229" s="151" t="s">
        <v>828</v>
      </c>
      <c r="C229" s="147"/>
      <c r="D229" s="134"/>
      <c r="E229" s="135"/>
      <c r="F229" s="136"/>
      <c r="G229" s="136"/>
      <c r="H229" s="137"/>
      <c r="I229" s="138"/>
      <c r="J229" s="138"/>
      <c r="K229" s="139"/>
      <c r="L229" s="139"/>
      <c r="M229" s="140">
        <f>SUBTOTAL(9,M228:M228)</f>
        <v>11.9529</v>
      </c>
      <c r="N229" s="134"/>
      <c r="O229" s="134"/>
      <c r="P229" s="141"/>
      <c r="Q229" s="142"/>
      <c r="R229" s="143"/>
      <c r="S229" s="143"/>
      <c r="T229" s="143"/>
      <c r="U229" s="143"/>
      <c r="V229" s="144"/>
      <c r="W229" s="144"/>
      <c r="X229" s="144"/>
      <c r="Y229" s="144"/>
      <c r="Z229" s="144"/>
      <c r="AA229" s="144"/>
      <c r="AB229" s="144"/>
    </row>
    <row r="230" spans="1:28" s="30" customFormat="1" ht="24" outlineLevel="2" x14ac:dyDescent="0.25">
      <c r="A230" s="31" t="s">
        <v>51</v>
      </c>
      <c r="B230" s="57" t="s">
        <v>50</v>
      </c>
      <c r="C230" s="52" t="s">
        <v>51</v>
      </c>
      <c r="D230" s="53" t="s">
        <v>49</v>
      </c>
      <c r="E230" s="43">
        <v>320</v>
      </c>
      <c r="F230" s="46" t="s">
        <v>25</v>
      </c>
      <c r="G230" s="46" t="str">
        <f>VLOOKUP(F230,Tables!D$9:E$17,2,FALSE)</f>
        <v>PTR</v>
      </c>
      <c r="H230" s="66">
        <v>17099598</v>
      </c>
      <c r="I230" s="33">
        <f>S230-R230</f>
        <v>263</v>
      </c>
      <c r="J230" s="33">
        <f>U230-T230</f>
        <v>0</v>
      </c>
      <c r="K230" s="54">
        <f>I230*$P230</f>
        <v>6.8906000000000001</v>
      </c>
      <c r="L230" s="54">
        <f>J230*$Q230</f>
        <v>0</v>
      </c>
      <c r="M230" s="62">
        <f>K230+L230</f>
        <v>6.8906000000000001</v>
      </c>
      <c r="N230" s="53" t="s">
        <v>52</v>
      </c>
      <c r="O230" s="53" t="s">
        <v>53</v>
      </c>
      <c r="P230" s="71">
        <f>IF(G230="MFP",Tables!B$2,Tables!B$5)</f>
        <v>2.6200000000000001E-2</v>
      </c>
      <c r="Q230" s="72">
        <f>IF(G230="MFP",Tables!B$3,Tables!B$6)</f>
        <v>0.11799999999999999</v>
      </c>
      <c r="R230" s="73">
        <v>0</v>
      </c>
      <c r="S230" s="73">
        <v>263</v>
      </c>
      <c r="T230" s="73">
        <v>0</v>
      </c>
      <c r="U230" s="73">
        <v>0</v>
      </c>
    </row>
    <row r="231" spans="1:28" s="30" customFormat="1" ht="24" outlineLevel="2" x14ac:dyDescent="0.25">
      <c r="A231" s="31" t="s">
        <v>51</v>
      </c>
      <c r="B231" s="57" t="s">
        <v>50</v>
      </c>
      <c r="C231" s="52" t="s">
        <v>51</v>
      </c>
      <c r="D231" s="53" t="s">
        <v>49</v>
      </c>
      <c r="E231" s="43">
        <v>328</v>
      </c>
      <c r="F231" s="46" t="s">
        <v>31</v>
      </c>
      <c r="G231" s="46" t="str">
        <f>VLOOKUP(F231,Tables!D$9:E$17,2,FALSE)</f>
        <v>MFP</v>
      </c>
      <c r="H231" s="66">
        <v>17099461</v>
      </c>
      <c r="I231" s="33">
        <f>S231-R231</f>
        <v>16527</v>
      </c>
      <c r="J231" s="33">
        <f>U231-T231</f>
        <v>324</v>
      </c>
      <c r="K231" s="54">
        <f>I231*$P231</f>
        <v>342.10890000000001</v>
      </c>
      <c r="L231" s="54">
        <f>J231*$Q231</f>
        <v>28.187999999999999</v>
      </c>
      <c r="M231" s="62">
        <f>K231+L231</f>
        <v>370.29689999999999</v>
      </c>
      <c r="N231" s="53" t="s">
        <v>285</v>
      </c>
      <c r="O231" s="53" t="s">
        <v>286</v>
      </c>
      <c r="P231" s="71">
        <f>IF(G231="MFP",Tables!B$2,Tables!B$5)</f>
        <v>2.07E-2</v>
      </c>
      <c r="Q231" s="72">
        <f>IF(G231="MFP",Tables!B$3,Tables!B$6)</f>
        <v>8.6999999999999994E-2</v>
      </c>
      <c r="R231" s="73">
        <v>0</v>
      </c>
      <c r="S231" s="73">
        <v>16527</v>
      </c>
      <c r="T231" s="73">
        <v>0</v>
      </c>
      <c r="U231" s="73">
        <v>324</v>
      </c>
    </row>
    <row r="232" spans="1:28" s="30" customFormat="1" ht="24" outlineLevel="2" x14ac:dyDescent="0.25">
      <c r="A232" s="31" t="s">
        <v>51</v>
      </c>
      <c r="B232" s="57" t="s">
        <v>50</v>
      </c>
      <c r="C232" s="52" t="s">
        <v>51</v>
      </c>
      <c r="D232" s="53" t="s">
        <v>49</v>
      </c>
      <c r="E232" s="43" t="s">
        <v>218</v>
      </c>
      <c r="F232" s="46" t="s">
        <v>25</v>
      </c>
      <c r="G232" s="46" t="str">
        <f>VLOOKUP(F232,Tables!D$9:E$17,2,FALSE)</f>
        <v>PTR</v>
      </c>
      <c r="H232" s="66">
        <v>17099720</v>
      </c>
      <c r="I232" s="33">
        <f>S232-R232</f>
        <v>831</v>
      </c>
      <c r="J232" s="33">
        <f>U232-T232</f>
        <v>0</v>
      </c>
      <c r="K232" s="54">
        <f>I232*$P232</f>
        <v>21.772200000000002</v>
      </c>
      <c r="L232" s="54">
        <f>J232*$Q232</f>
        <v>0</v>
      </c>
      <c r="M232" s="62">
        <f>K232+L232</f>
        <v>21.772200000000002</v>
      </c>
      <c r="N232" s="53" t="s">
        <v>219</v>
      </c>
      <c r="O232" s="53" t="s">
        <v>220</v>
      </c>
      <c r="P232" s="71">
        <f>IF(G232="MFP",Tables!B$2,Tables!B$5)</f>
        <v>2.6200000000000001E-2</v>
      </c>
      <c r="Q232" s="72">
        <f>IF(G232="MFP",Tables!B$3,Tables!B$6)</f>
        <v>0.11799999999999999</v>
      </c>
      <c r="R232" s="73">
        <v>0</v>
      </c>
      <c r="S232" s="73">
        <v>831</v>
      </c>
      <c r="T232" s="73">
        <v>0</v>
      </c>
      <c r="U232" s="73">
        <v>0</v>
      </c>
    </row>
    <row r="233" spans="1:28" s="56" customFormat="1" outlineLevel="1" x14ac:dyDescent="0.25">
      <c r="A233" s="31"/>
      <c r="B233" s="32" t="s">
        <v>752</v>
      </c>
      <c r="C233" s="52"/>
      <c r="D233" s="53"/>
      <c r="E233" s="43"/>
      <c r="F233" s="46"/>
      <c r="G233" s="46"/>
      <c r="H233" s="66"/>
      <c r="I233" s="33"/>
      <c r="J233" s="33"/>
      <c r="K233" s="54"/>
      <c r="L233" s="54"/>
      <c r="M233" s="62">
        <f>SUBTOTAL(9,M230:M232)</f>
        <v>398.9597</v>
      </c>
      <c r="N233" s="53"/>
      <c r="O233" s="53"/>
      <c r="P233" s="71"/>
      <c r="Q233" s="72"/>
      <c r="R233" s="73"/>
      <c r="S233" s="73"/>
      <c r="T233" s="73"/>
      <c r="U233" s="73"/>
    </row>
    <row r="234" spans="1:28" s="30" customFormat="1" ht="24" outlineLevel="2" x14ac:dyDescent="0.25">
      <c r="A234" s="31" t="s">
        <v>256</v>
      </c>
      <c r="B234" s="57" t="s">
        <v>257</v>
      </c>
      <c r="C234" s="52" t="s">
        <v>648</v>
      </c>
      <c r="D234" s="53" t="s">
        <v>256</v>
      </c>
      <c r="E234" s="43">
        <v>110</v>
      </c>
      <c r="F234" s="46" t="s">
        <v>84</v>
      </c>
      <c r="G234" s="46" t="str">
        <f>VLOOKUP(F234,Tables!D$9:E$17,2,FALSE)</f>
        <v>MFP</v>
      </c>
      <c r="H234" s="66">
        <v>17099402</v>
      </c>
      <c r="I234" s="33">
        <f>S234-R234</f>
        <v>2196</v>
      </c>
      <c r="J234" s="33">
        <f>U234-T234</f>
        <v>0</v>
      </c>
      <c r="K234" s="54">
        <f>I234*$P234</f>
        <v>45.4572</v>
      </c>
      <c r="L234" s="54">
        <f>J234*$Q234</f>
        <v>0</v>
      </c>
      <c r="M234" s="62">
        <f>K234+L234</f>
        <v>45.4572</v>
      </c>
      <c r="N234" s="53" t="s">
        <v>266</v>
      </c>
      <c r="O234" s="53" t="s">
        <v>267</v>
      </c>
      <c r="P234" s="71">
        <f>IF(G234="MFP",Tables!B$2,Tables!B$5)</f>
        <v>2.07E-2</v>
      </c>
      <c r="Q234" s="72">
        <f>IF(G234="MFP",Tables!B$3,Tables!B$6)</f>
        <v>8.6999999999999994E-2</v>
      </c>
      <c r="R234" s="73">
        <v>0</v>
      </c>
      <c r="S234" s="73">
        <v>2196</v>
      </c>
      <c r="T234" s="73">
        <v>0</v>
      </c>
      <c r="U234" s="73">
        <v>0</v>
      </c>
    </row>
    <row r="235" spans="1:28" s="30" customFormat="1" ht="24" outlineLevel="2" x14ac:dyDescent="0.25">
      <c r="A235" s="31" t="s">
        <v>256</v>
      </c>
      <c r="B235" s="57" t="s">
        <v>257</v>
      </c>
      <c r="C235" s="52" t="s">
        <v>648</v>
      </c>
      <c r="D235" s="53" t="s">
        <v>256</v>
      </c>
      <c r="E235" s="43">
        <v>118</v>
      </c>
      <c r="F235" s="46" t="s">
        <v>18</v>
      </c>
      <c r="G235" s="46" t="str">
        <f>VLOOKUP(F235,Tables!D$9:E$17,2,FALSE)</f>
        <v>MFP</v>
      </c>
      <c r="H235" s="66">
        <v>17099787</v>
      </c>
      <c r="I235" s="33">
        <f>S235-R235</f>
        <v>8503</v>
      </c>
      <c r="J235" s="33">
        <f>U235-T235</f>
        <v>2965</v>
      </c>
      <c r="K235" s="54">
        <f>I235*$P235</f>
        <v>176.0121</v>
      </c>
      <c r="L235" s="54">
        <f>J235*$Q235</f>
        <v>257.95499999999998</v>
      </c>
      <c r="M235" s="62">
        <f>K235+L235</f>
        <v>433.96709999999996</v>
      </c>
      <c r="N235" s="53" t="s">
        <v>258</v>
      </c>
      <c r="O235" s="53" t="s">
        <v>259</v>
      </c>
      <c r="P235" s="71">
        <f>IF(G235="MFP",Tables!B$2,Tables!B$5)</f>
        <v>2.07E-2</v>
      </c>
      <c r="Q235" s="72">
        <f>IF(G235="MFP",Tables!B$3,Tables!B$6)</f>
        <v>8.6999999999999994E-2</v>
      </c>
      <c r="R235" s="73">
        <v>0</v>
      </c>
      <c r="S235" s="73">
        <v>8503</v>
      </c>
      <c r="T235" s="73">
        <v>0</v>
      </c>
      <c r="U235" s="73">
        <v>2965</v>
      </c>
    </row>
    <row r="236" spans="1:28" s="30" customFormat="1" ht="24" outlineLevel="2" x14ac:dyDescent="0.25">
      <c r="A236" s="31" t="s">
        <v>256</v>
      </c>
      <c r="B236" s="57" t="s">
        <v>257</v>
      </c>
      <c r="C236" s="52" t="s">
        <v>648</v>
      </c>
      <c r="D236" s="53" t="s">
        <v>256</v>
      </c>
      <c r="E236" s="43">
        <v>126</v>
      </c>
      <c r="F236" s="46" t="s">
        <v>25</v>
      </c>
      <c r="G236" s="46" t="str">
        <f>VLOOKUP(F236,Tables!D$9:E$17,2,FALSE)</f>
        <v>PTR</v>
      </c>
      <c r="H236" s="66">
        <v>17099599</v>
      </c>
      <c r="I236" s="33">
        <f>S236-R236</f>
        <v>263</v>
      </c>
      <c r="J236" s="33">
        <f>U236-T236</f>
        <v>0</v>
      </c>
      <c r="K236" s="54">
        <f>I236*$P236</f>
        <v>6.8906000000000001</v>
      </c>
      <c r="L236" s="54">
        <f>J236*$Q236</f>
        <v>0</v>
      </c>
      <c r="M236" s="62">
        <f>K236+L236</f>
        <v>6.8906000000000001</v>
      </c>
      <c r="N236" s="53" t="s">
        <v>295</v>
      </c>
      <c r="O236" s="53" t="s">
        <v>296</v>
      </c>
      <c r="P236" s="71">
        <f>IF(G236="MFP",Tables!B$2,Tables!B$5)</f>
        <v>2.6200000000000001E-2</v>
      </c>
      <c r="Q236" s="72">
        <f>IF(G236="MFP",Tables!B$3,Tables!B$6)</f>
        <v>0.11799999999999999</v>
      </c>
      <c r="R236" s="73">
        <v>0</v>
      </c>
      <c r="S236" s="73">
        <v>263</v>
      </c>
      <c r="T236" s="73">
        <v>0</v>
      </c>
      <c r="U236" s="73">
        <v>0</v>
      </c>
    </row>
    <row r="237" spans="1:28" s="30" customFormat="1" ht="24" outlineLevel="2" x14ac:dyDescent="0.25">
      <c r="A237" s="31" t="s">
        <v>256</v>
      </c>
      <c r="B237" s="57" t="s">
        <v>257</v>
      </c>
      <c r="C237" s="52" t="s">
        <v>648</v>
      </c>
      <c r="D237" s="53" t="s">
        <v>256</v>
      </c>
      <c r="E237" s="43">
        <v>132</v>
      </c>
      <c r="F237" s="46" t="s">
        <v>25</v>
      </c>
      <c r="G237" s="46" t="str">
        <f>VLOOKUP(F237,Tables!D$9:E$17,2,FALSE)</f>
        <v>PTR</v>
      </c>
      <c r="H237" s="66">
        <v>17099600</v>
      </c>
      <c r="I237" s="33">
        <f>S237-R237</f>
        <v>372</v>
      </c>
      <c r="J237" s="33">
        <f>U237-T237</f>
        <v>0</v>
      </c>
      <c r="K237" s="54">
        <f>I237*$P237</f>
        <v>9.7464000000000013</v>
      </c>
      <c r="L237" s="54">
        <f>J237*$Q237</f>
        <v>0</v>
      </c>
      <c r="M237" s="62">
        <f>K237+L237</f>
        <v>9.7464000000000013</v>
      </c>
      <c r="N237" s="53" t="s">
        <v>482</v>
      </c>
      <c r="O237" s="53" t="s">
        <v>483</v>
      </c>
      <c r="P237" s="71">
        <f>IF(G237="MFP",Tables!B$2,Tables!B$5)</f>
        <v>2.6200000000000001E-2</v>
      </c>
      <c r="Q237" s="72">
        <f>IF(G237="MFP",Tables!B$3,Tables!B$6)</f>
        <v>0.11799999999999999</v>
      </c>
      <c r="R237" s="73">
        <v>0</v>
      </c>
      <c r="S237" s="73">
        <v>372</v>
      </c>
      <c r="T237" s="73">
        <v>0</v>
      </c>
      <c r="U237" s="73">
        <v>0</v>
      </c>
    </row>
    <row r="238" spans="1:28" s="30" customFormat="1" ht="24" outlineLevel="2" x14ac:dyDescent="0.25">
      <c r="A238" s="31" t="s">
        <v>256</v>
      </c>
      <c r="B238" s="57" t="s">
        <v>257</v>
      </c>
      <c r="C238" s="52" t="s">
        <v>648</v>
      </c>
      <c r="D238" s="53" t="s">
        <v>256</v>
      </c>
      <c r="E238" s="43">
        <v>135</v>
      </c>
      <c r="F238" s="46" t="s">
        <v>25</v>
      </c>
      <c r="G238" s="46" t="str">
        <f>VLOOKUP(F238,Tables!D$9:E$17,2,FALSE)</f>
        <v>PTR</v>
      </c>
      <c r="H238" s="66">
        <v>17099601</v>
      </c>
      <c r="I238" s="33">
        <f>S238-R238</f>
        <v>64</v>
      </c>
      <c r="J238" s="33">
        <f>U238-T238</f>
        <v>0</v>
      </c>
      <c r="K238" s="54">
        <f>I238*$P238</f>
        <v>1.6768000000000001</v>
      </c>
      <c r="L238" s="54">
        <f>J238*$Q238</f>
        <v>0</v>
      </c>
      <c r="M238" s="62">
        <f>K238+L238</f>
        <v>1.6768000000000001</v>
      </c>
      <c r="N238" s="53" t="s">
        <v>488</v>
      </c>
      <c r="O238" s="53" t="s">
        <v>489</v>
      </c>
      <c r="P238" s="71">
        <f>IF(G238="MFP",Tables!B$2,Tables!B$5)</f>
        <v>2.6200000000000001E-2</v>
      </c>
      <c r="Q238" s="72">
        <f>IF(G238="MFP",Tables!B$3,Tables!B$6)</f>
        <v>0.11799999999999999</v>
      </c>
      <c r="R238" s="73">
        <v>0</v>
      </c>
      <c r="S238" s="73">
        <v>64</v>
      </c>
      <c r="T238" s="73">
        <v>0</v>
      </c>
      <c r="U238" s="73">
        <v>0</v>
      </c>
    </row>
    <row r="239" spans="1:28" s="56" customFormat="1" outlineLevel="1" x14ac:dyDescent="0.25">
      <c r="A239" s="31"/>
      <c r="B239" s="32" t="s">
        <v>753</v>
      </c>
      <c r="C239" s="52"/>
      <c r="D239" s="53"/>
      <c r="E239" s="43"/>
      <c r="F239" s="46"/>
      <c r="G239" s="46"/>
      <c r="H239" s="66"/>
      <c r="I239" s="33"/>
      <c r="J239" s="33"/>
      <c r="K239" s="54"/>
      <c r="L239" s="54"/>
      <c r="M239" s="62">
        <f>SUBTOTAL(9,M234:M238)</f>
        <v>497.73809999999997</v>
      </c>
      <c r="N239" s="53"/>
      <c r="O239" s="53"/>
      <c r="P239" s="71"/>
      <c r="Q239" s="72"/>
      <c r="R239" s="73"/>
      <c r="S239" s="73"/>
      <c r="T239" s="73"/>
      <c r="U239" s="73"/>
    </row>
    <row r="240" spans="1:28" s="30" customFormat="1" ht="24" outlineLevel="2" x14ac:dyDescent="0.25">
      <c r="A240" s="31" t="s">
        <v>634</v>
      </c>
      <c r="B240" s="57" t="s">
        <v>836</v>
      </c>
      <c r="C240" s="52" t="s">
        <v>634</v>
      </c>
      <c r="D240" s="53" t="s">
        <v>83</v>
      </c>
      <c r="E240" s="43">
        <v>324</v>
      </c>
      <c r="F240" s="46" t="s">
        <v>31</v>
      </c>
      <c r="G240" s="46" t="str">
        <f>VLOOKUP(F240,Tables!D$9:E$17,2,FALSE)</f>
        <v>MFP</v>
      </c>
      <c r="H240" s="66">
        <v>17099463</v>
      </c>
      <c r="I240" s="33">
        <f>S240-R240</f>
        <v>10333</v>
      </c>
      <c r="J240" s="33">
        <f>U240-T240</f>
        <v>795</v>
      </c>
      <c r="K240" s="54">
        <f>I240*$P240</f>
        <v>213.8931</v>
      </c>
      <c r="L240" s="54">
        <f>J240*$Q240</f>
        <v>69.164999999999992</v>
      </c>
      <c r="M240" s="62">
        <f>K240+L240</f>
        <v>283.05809999999997</v>
      </c>
      <c r="N240" s="53" t="s">
        <v>173</v>
      </c>
      <c r="O240" s="53" t="s">
        <v>174</v>
      </c>
      <c r="P240" s="71">
        <f>IF(G240="MFP",Tables!B$2,Tables!B$5)</f>
        <v>2.07E-2</v>
      </c>
      <c r="Q240" s="72">
        <f>IF(G240="MFP",Tables!B$3,Tables!B$6)</f>
        <v>8.6999999999999994E-2</v>
      </c>
      <c r="R240" s="73">
        <v>0</v>
      </c>
      <c r="S240" s="73">
        <v>10333</v>
      </c>
      <c r="T240" s="73">
        <v>0</v>
      </c>
      <c r="U240" s="73">
        <v>795</v>
      </c>
    </row>
    <row r="241" spans="1:21" s="30" customFormat="1" ht="24" outlineLevel="2" x14ac:dyDescent="0.25">
      <c r="A241" s="31" t="s">
        <v>634</v>
      </c>
      <c r="B241" s="57" t="s">
        <v>836</v>
      </c>
      <c r="C241" s="52" t="s">
        <v>634</v>
      </c>
      <c r="D241" s="53" t="s">
        <v>83</v>
      </c>
      <c r="E241" s="43">
        <v>328</v>
      </c>
      <c r="F241" s="46" t="s">
        <v>25</v>
      </c>
      <c r="G241" s="46" t="str">
        <f>VLOOKUP(F241,Tables!D$9:E$17,2,FALSE)</f>
        <v>PTR</v>
      </c>
      <c r="H241" s="66">
        <v>17099588</v>
      </c>
      <c r="I241" s="33">
        <f>S241-R241</f>
        <v>261</v>
      </c>
      <c r="J241" s="33">
        <f>U241-T241</f>
        <v>0</v>
      </c>
      <c r="K241" s="54">
        <f>I241*$P241</f>
        <v>6.8382000000000005</v>
      </c>
      <c r="L241" s="54">
        <f>J241*$Q241</f>
        <v>0</v>
      </c>
      <c r="M241" s="62">
        <f>K241+L241</f>
        <v>6.8382000000000005</v>
      </c>
      <c r="N241" s="53" t="s">
        <v>140</v>
      </c>
      <c r="O241" s="53" t="s">
        <v>141</v>
      </c>
      <c r="P241" s="71">
        <f>IF(G241="MFP",Tables!B$2,Tables!B$5)</f>
        <v>2.6200000000000001E-2</v>
      </c>
      <c r="Q241" s="72">
        <f>IF(G241="MFP",Tables!B$3,Tables!B$6)</f>
        <v>0.11799999999999999</v>
      </c>
      <c r="R241" s="73">
        <v>0</v>
      </c>
      <c r="S241" s="73">
        <v>261</v>
      </c>
      <c r="T241" s="73">
        <v>0</v>
      </c>
      <c r="U241" s="73">
        <v>0</v>
      </c>
    </row>
    <row r="242" spans="1:21" s="56" customFormat="1" outlineLevel="1" x14ac:dyDescent="0.25">
      <c r="A242" s="31"/>
      <c r="B242" s="32" t="s">
        <v>841</v>
      </c>
      <c r="C242" s="52"/>
      <c r="D242" s="53"/>
      <c r="E242" s="43"/>
      <c r="F242" s="46"/>
      <c r="G242" s="46"/>
      <c r="H242" s="66"/>
      <c r="I242" s="33"/>
      <c r="J242" s="33"/>
      <c r="K242" s="54"/>
      <c r="L242" s="54"/>
      <c r="M242" s="62">
        <f>SUBTOTAL(9,M240:M241)</f>
        <v>289.8963</v>
      </c>
      <c r="N242" s="53"/>
      <c r="O242" s="53"/>
      <c r="P242" s="71"/>
      <c r="Q242" s="72"/>
      <c r="R242" s="73"/>
      <c r="S242" s="73"/>
      <c r="T242" s="73"/>
      <c r="U242" s="73"/>
    </row>
    <row r="243" spans="1:21" s="30" customFormat="1" ht="30" outlineLevel="2" x14ac:dyDescent="0.25">
      <c r="A243" s="31" t="s">
        <v>13</v>
      </c>
      <c r="B243" s="57" t="s">
        <v>26</v>
      </c>
      <c r="C243" s="52" t="s">
        <v>635</v>
      </c>
      <c r="D243" s="132" t="s">
        <v>13</v>
      </c>
      <c r="E243" s="43">
        <v>302</v>
      </c>
      <c r="F243" s="46" t="s">
        <v>25</v>
      </c>
      <c r="G243" s="46" t="str">
        <f>VLOOKUP(F243,Tables!D$9:E$17,2,FALSE)</f>
        <v>PTR</v>
      </c>
      <c r="H243" s="66">
        <v>17099502</v>
      </c>
      <c r="I243" s="33">
        <f>S243-R243</f>
        <v>1677</v>
      </c>
      <c r="J243" s="33">
        <f>U243-T243</f>
        <v>0</v>
      </c>
      <c r="K243" s="54">
        <f>I243*$P243</f>
        <v>43.937400000000004</v>
      </c>
      <c r="L243" s="54">
        <f>J243*$Q243</f>
        <v>0</v>
      </c>
      <c r="M243" s="62">
        <f>K243+L243</f>
        <v>43.937400000000004</v>
      </c>
      <c r="N243" s="53" t="s">
        <v>433</v>
      </c>
      <c r="O243" s="53" t="s">
        <v>434</v>
      </c>
      <c r="P243" s="71">
        <f>IF(G243="MFP",Tables!B$2,Tables!B$5)</f>
        <v>2.6200000000000001E-2</v>
      </c>
      <c r="Q243" s="72">
        <f>IF(G243="MFP",Tables!B$3,Tables!B$6)</f>
        <v>0.11799999999999999</v>
      </c>
      <c r="R243" s="73">
        <v>0</v>
      </c>
      <c r="S243" s="73">
        <v>1677</v>
      </c>
      <c r="T243" s="73">
        <v>0</v>
      </c>
      <c r="U243" s="73">
        <v>0</v>
      </c>
    </row>
    <row r="244" spans="1:21" s="30" customFormat="1" ht="30" outlineLevel="2" x14ac:dyDescent="0.25">
      <c r="A244" s="31" t="s">
        <v>13</v>
      </c>
      <c r="B244" s="57" t="s">
        <v>26</v>
      </c>
      <c r="C244" s="52" t="s">
        <v>635</v>
      </c>
      <c r="D244" s="132" t="s">
        <v>13</v>
      </c>
      <c r="E244" s="43">
        <v>303</v>
      </c>
      <c r="F244" s="46" t="s">
        <v>25</v>
      </c>
      <c r="G244" s="46" t="str">
        <f>VLOOKUP(F244,Tables!D$9:E$17,2,FALSE)</f>
        <v>PTR</v>
      </c>
      <c r="H244" s="66">
        <v>17099504</v>
      </c>
      <c r="I244" s="33">
        <f>S244-R244</f>
        <v>1589</v>
      </c>
      <c r="J244" s="33">
        <f>U244-T244</f>
        <v>0</v>
      </c>
      <c r="K244" s="54">
        <f>I244*$P244</f>
        <v>41.631799999999998</v>
      </c>
      <c r="L244" s="54">
        <f>J244*$Q244</f>
        <v>0</v>
      </c>
      <c r="M244" s="62">
        <f>K244+L244</f>
        <v>41.631799999999998</v>
      </c>
      <c r="N244" s="53" t="s">
        <v>340</v>
      </c>
      <c r="O244" s="53" t="s">
        <v>341</v>
      </c>
      <c r="P244" s="71">
        <f>IF(G244="MFP",Tables!B$2,Tables!B$5)</f>
        <v>2.6200000000000001E-2</v>
      </c>
      <c r="Q244" s="72">
        <f>IF(G244="MFP",Tables!B$3,Tables!B$6)</f>
        <v>0.11799999999999999</v>
      </c>
      <c r="R244" s="73">
        <v>0</v>
      </c>
      <c r="S244" s="73">
        <v>1589</v>
      </c>
      <c r="T244" s="73">
        <v>0</v>
      </c>
      <c r="U244" s="73">
        <v>0</v>
      </c>
    </row>
    <row r="245" spans="1:21" s="30" customFormat="1" ht="30" outlineLevel="2" x14ac:dyDescent="0.25">
      <c r="A245" s="31" t="s">
        <v>13</v>
      </c>
      <c r="B245" s="57" t="s">
        <v>26</v>
      </c>
      <c r="C245" s="52" t="s">
        <v>635</v>
      </c>
      <c r="D245" s="132" t="s">
        <v>13</v>
      </c>
      <c r="E245" s="43">
        <v>401</v>
      </c>
      <c r="F245" s="46" t="s">
        <v>25</v>
      </c>
      <c r="G245" s="46" t="str">
        <f>VLOOKUP(F245,Tables!D$9:E$17,2,FALSE)</f>
        <v>PTR</v>
      </c>
      <c r="H245" s="66">
        <v>17099526</v>
      </c>
      <c r="I245" s="33">
        <f>S245-R245</f>
        <v>2049</v>
      </c>
      <c r="J245" s="33">
        <f>U245-T245</f>
        <v>0</v>
      </c>
      <c r="K245" s="54">
        <f>I245*$P245</f>
        <v>53.683800000000005</v>
      </c>
      <c r="L245" s="54">
        <f>J245*$Q245</f>
        <v>0</v>
      </c>
      <c r="M245" s="62">
        <f>K245+L245</f>
        <v>53.683800000000005</v>
      </c>
      <c r="N245" s="53" t="s">
        <v>260</v>
      </c>
      <c r="O245" s="53" t="s">
        <v>261</v>
      </c>
      <c r="P245" s="71">
        <f>IF(G245="MFP",Tables!B$2,Tables!B$5)</f>
        <v>2.6200000000000001E-2</v>
      </c>
      <c r="Q245" s="72">
        <f>IF(G245="MFP",Tables!B$3,Tables!B$6)</f>
        <v>0.11799999999999999</v>
      </c>
      <c r="R245" s="73">
        <v>0</v>
      </c>
      <c r="S245" s="73">
        <v>2049</v>
      </c>
      <c r="T245" s="73">
        <v>0</v>
      </c>
      <c r="U245" s="73">
        <v>0</v>
      </c>
    </row>
    <row r="246" spans="1:21" s="30" customFormat="1" ht="30" outlineLevel="2" x14ac:dyDescent="0.25">
      <c r="A246" s="31" t="s">
        <v>13</v>
      </c>
      <c r="B246" s="57" t="s">
        <v>26</v>
      </c>
      <c r="C246" s="52" t="s">
        <v>635</v>
      </c>
      <c r="D246" s="132" t="s">
        <v>13</v>
      </c>
      <c r="E246" s="43">
        <v>401</v>
      </c>
      <c r="F246" s="46" t="s">
        <v>25</v>
      </c>
      <c r="G246" s="46" t="str">
        <f>VLOOKUP(F246,Tables!D$9:E$17,2,FALSE)</f>
        <v>PTR</v>
      </c>
      <c r="H246" s="66">
        <v>17099634</v>
      </c>
      <c r="I246" s="33">
        <f>S246-R246</f>
        <v>459</v>
      </c>
      <c r="J246" s="33">
        <f>U246-T246</f>
        <v>0</v>
      </c>
      <c r="K246" s="54">
        <f>I246*$P246</f>
        <v>12.0258</v>
      </c>
      <c r="L246" s="54">
        <f>J246*$Q246</f>
        <v>0</v>
      </c>
      <c r="M246" s="62">
        <f>K246+L246</f>
        <v>12.0258</v>
      </c>
      <c r="N246" s="53" t="s">
        <v>208</v>
      </c>
      <c r="O246" s="53" t="s">
        <v>209</v>
      </c>
      <c r="P246" s="71">
        <f>IF(G246="MFP",Tables!B$2,Tables!B$5)</f>
        <v>2.6200000000000001E-2</v>
      </c>
      <c r="Q246" s="72">
        <f>IF(G246="MFP",Tables!B$3,Tables!B$6)</f>
        <v>0.11799999999999999</v>
      </c>
      <c r="R246" s="73">
        <v>0</v>
      </c>
      <c r="S246" s="73">
        <v>459</v>
      </c>
      <c r="T246" s="73">
        <v>0</v>
      </c>
      <c r="U246" s="73">
        <v>0</v>
      </c>
    </row>
    <row r="247" spans="1:21" s="30" customFormat="1" ht="30" outlineLevel="2" x14ac:dyDescent="0.25">
      <c r="A247" s="31" t="s">
        <v>13</v>
      </c>
      <c r="B247" s="57" t="s">
        <v>26</v>
      </c>
      <c r="C247" s="52" t="s">
        <v>635</v>
      </c>
      <c r="D247" s="132" t="s">
        <v>13</v>
      </c>
      <c r="E247" s="43">
        <v>401</v>
      </c>
      <c r="F247" s="46" t="s">
        <v>25</v>
      </c>
      <c r="G247" s="46" t="str">
        <f>VLOOKUP(F247,Tables!D$9:E$17,2,FALSE)</f>
        <v>PTR</v>
      </c>
      <c r="H247" s="66">
        <v>17099641</v>
      </c>
      <c r="I247" s="33">
        <f>S247-R247</f>
        <v>169</v>
      </c>
      <c r="J247" s="33">
        <f>U247-T247</f>
        <v>0</v>
      </c>
      <c r="K247" s="54">
        <f>I247*$P247</f>
        <v>4.4278000000000004</v>
      </c>
      <c r="L247" s="54">
        <f>J247*$Q247</f>
        <v>0</v>
      </c>
      <c r="M247" s="62">
        <f>K247+L247</f>
        <v>4.4278000000000004</v>
      </c>
      <c r="N247" s="53" t="s">
        <v>370</v>
      </c>
      <c r="O247" s="53" t="s">
        <v>371</v>
      </c>
      <c r="P247" s="71">
        <f>IF(G247="MFP",Tables!B$2,Tables!B$5)</f>
        <v>2.6200000000000001E-2</v>
      </c>
      <c r="Q247" s="72">
        <f>IF(G247="MFP",Tables!B$3,Tables!B$6)</f>
        <v>0.11799999999999999</v>
      </c>
      <c r="R247" s="73">
        <v>0</v>
      </c>
      <c r="S247" s="73">
        <v>169</v>
      </c>
      <c r="T247" s="73">
        <v>0</v>
      </c>
      <c r="U247" s="73">
        <v>0</v>
      </c>
    </row>
    <row r="248" spans="1:21" s="30" customFormat="1" ht="30" outlineLevel="2" x14ac:dyDescent="0.25">
      <c r="A248" s="31" t="s">
        <v>13</v>
      </c>
      <c r="B248" s="57" t="s">
        <v>26</v>
      </c>
      <c r="C248" s="52" t="s">
        <v>635</v>
      </c>
      <c r="D248" s="132" t="s">
        <v>13</v>
      </c>
      <c r="E248" s="43">
        <v>500</v>
      </c>
      <c r="F248" s="46" t="s">
        <v>25</v>
      </c>
      <c r="G248" s="46" t="str">
        <f>VLOOKUP(F248,Tables!D$9:E$17,2,FALSE)</f>
        <v>PTR</v>
      </c>
      <c r="H248" s="66">
        <v>17099525</v>
      </c>
      <c r="I248" s="33">
        <f>S248-R248</f>
        <v>0</v>
      </c>
      <c r="J248" s="33">
        <f>U248-T248</f>
        <v>0</v>
      </c>
      <c r="K248" s="54">
        <f>I248*$P248</f>
        <v>0</v>
      </c>
      <c r="L248" s="54">
        <f>J248*$Q248</f>
        <v>0</v>
      </c>
      <c r="M248" s="62">
        <f>K248+L248</f>
        <v>0</v>
      </c>
      <c r="N248" s="53" t="s">
        <v>27</v>
      </c>
      <c r="O248" s="53" t="s">
        <v>28</v>
      </c>
      <c r="P248" s="71">
        <f>IF(G248="MFP",Tables!B$2,Tables!B$5)</f>
        <v>2.6200000000000001E-2</v>
      </c>
      <c r="Q248" s="72">
        <f>IF(G248="MFP",Tables!B$3,Tables!B$6)</f>
        <v>0.11799999999999999</v>
      </c>
      <c r="R248" s="73">
        <v>0</v>
      </c>
      <c r="S248" s="73">
        <v>0</v>
      </c>
      <c r="T248" s="73">
        <v>0</v>
      </c>
      <c r="U248" s="73">
        <v>0</v>
      </c>
    </row>
    <row r="249" spans="1:21" s="30" customFormat="1" ht="30" outlineLevel="2" x14ac:dyDescent="0.25">
      <c r="A249" s="31" t="s">
        <v>13</v>
      </c>
      <c r="B249" s="57" t="s">
        <v>26</v>
      </c>
      <c r="C249" s="52" t="s">
        <v>635</v>
      </c>
      <c r="D249" s="132" t="s">
        <v>13</v>
      </c>
      <c r="E249" s="43">
        <v>501</v>
      </c>
      <c r="F249" s="46" t="s">
        <v>25</v>
      </c>
      <c r="G249" s="46" t="str">
        <f>VLOOKUP(F249,Tables!D$9:E$17,2,FALSE)</f>
        <v>PTR</v>
      </c>
      <c r="H249" s="66">
        <v>17099523</v>
      </c>
      <c r="I249" s="33">
        <f>S249-R249</f>
        <v>25567</v>
      </c>
      <c r="J249" s="33">
        <f>U249-T249</f>
        <v>0</v>
      </c>
      <c r="K249" s="54">
        <f>I249*$P249</f>
        <v>669.85540000000003</v>
      </c>
      <c r="L249" s="54">
        <f>J249*$Q249</f>
        <v>0</v>
      </c>
      <c r="M249" s="62">
        <f>K249+L249</f>
        <v>669.85540000000003</v>
      </c>
      <c r="N249" s="53" t="s">
        <v>282</v>
      </c>
      <c r="O249" s="53" t="s">
        <v>283</v>
      </c>
      <c r="P249" s="71">
        <f>IF(G249="MFP",Tables!B$2,Tables!B$5)</f>
        <v>2.6200000000000001E-2</v>
      </c>
      <c r="Q249" s="72">
        <f>IF(G249="MFP",Tables!B$3,Tables!B$6)</f>
        <v>0.11799999999999999</v>
      </c>
      <c r="R249" s="73">
        <v>0</v>
      </c>
      <c r="S249" s="73">
        <v>25567</v>
      </c>
      <c r="T249" s="73">
        <v>0</v>
      </c>
      <c r="U249" s="73">
        <v>0</v>
      </c>
    </row>
    <row r="250" spans="1:21" s="30" customFormat="1" ht="30" outlineLevel="2" x14ac:dyDescent="0.25">
      <c r="A250" s="31" t="s">
        <v>13</v>
      </c>
      <c r="B250" s="57" t="s">
        <v>26</v>
      </c>
      <c r="C250" s="52" t="s">
        <v>635</v>
      </c>
      <c r="D250" s="132" t="s">
        <v>13</v>
      </c>
      <c r="E250" s="43">
        <v>502</v>
      </c>
      <c r="F250" s="46" t="s">
        <v>25</v>
      </c>
      <c r="G250" s="46" t="str">
        <f>VLOOKUP(F250,Tables!D$9:E$17,2,FALSE)</f>
        <v>PTR</v>
      </c>
      <c r="H250" s="66">
        <v>17099524</v>
      </c>
      <c r="I250" s="33">
        <f>S250-R250</f>
        <v>4368</v>
      </c>
      <c r="J250" s="33">
        <f>U250-T250</f>
        <v>0</v>
      </c>
      <c r="K250" s="54">
        <f>I250*$P250</f>
        <v>114.44160000000001</v>
      </c>
      <c r="L250" s="54">
        <f>J250*$Q250</f>
        <v>0</v>
      </c>
      <c r="M250" s="62">
        <f>K250+L250</f>
        <v>114.44160000000001</v>
      </c>
      <c r="N250" s="53" t="s">
        <v>245</v>
      </c>
      <c r="O250" s="53" t="s">
        <v>246</v>
      </c>
      <c r="P250" s="71">
        <f>IF(G250="MFP",Tables!B$2,Tables!B$5)</f>
        <v>2.6200000000000001E-2</v>
      </c>
      <c r="Q250" s="72">
        <f>IF(G250="MFP",Tables!B$3,Tables!B$6)</f>
        <v>0.11799999999999999</v>
      </c>
      <c r="R250" s="73">
        <v>0</v>
      </c>
      <c r="S250" s="73">
        <v>4368</v>
      </c>
      <c r="T250" s="73">
        <v>0</v>
      </c>
      <c r="U250" s="73">
        <v>0</v>
      </c>
    </row>
    <row r="251" spans="1:21" s="30" customFormat="1" ht="30" outlineLevel="2" x14ac:dyDescent="0.25">
      <c r="A251" s="31" t="s">
        <v>13</v>
      </c>
      <c r="B251" s="57" t="s">
        <v>26</v>
      </c>
      <c r="C251" s="52" t="s">
        <v>635</v>
      </c>
      <c r="D251" s="132" t="s">
        <v>13</v>
      </c>
      <c r="E251" s="43">
        <v>650</v>
      </c>
      <c r="F251" s="46" t="s">
        <v>25</v>
      </c>
      <c r="G251" s="46" t="str">
        <f>VLOOKUP(F251,Tables!D$9:E$17,2,FALSE)</f>
        <v>PTR</v>
      </c>
      <c r="H251" s="66">
        <v>17099445</v>
      </c>
      <c r="I251" s="33">
        <f>S251-R251</f>
        <v>3301</v>
      </c>
      <c r="J251" s="33">
        <f>U251-T251</f>
        <v>0</v>
      </c>
      <c r="K251" s="54">
        <f>I251*$P251</f>
        <v>86.486199999999997</v>
      </c>
      <c r="L251" s="54">
        <f>J251*$Q251</f>
        <v>0</v>
      </c>
      <c r="M251" s="62">
        <f>K251+L251</f>
        <v>86.486199999999997</v>
      </c>
      <c r="N251" s="53" t="s">
        <v>321</v>
      </c>
      <c r="O251" s="53" t="s">
        <v>322</v>
      </c>
      <c r="P251" s="71">
        <f>IF(G251="MFP",Tables!B$2,Tables!B$5)</f>
        <v>2.6200000000000001E-2</v>
      </c>
      <c r="Q251" s="72">
        <f>IF(G251="MFP",Tables!B$3,Tables!B$6)</f>
        <v>0.11799999999999999</v>
      </c>
      <c r="R251" s="73">
        <v>0</v>
      </c>
      <c r="S251" s="73">
        <v>3301</v>
      </c>
      <c r="T251" s="73">
        <v>0</v>
      </c>
      <c r="U251" s="73">
        <v>0</v>
      </c>
    </row>
    <row r="252" spans="1:21" s="30" customFormat="1" ht="30" outlineLevel="2" x14ac:dyDescent="0.25">
      <c r="A252" s="31" t="s">
        <v>13</v>
      </c>
      <c r="B252" s="57" t="s">
        <v>26</v>
      </c>
      <c r="C252" s="52" t="s">
        <v>635</v>
      </c>
      <c r="D252" s="132" t="s">
        <v>13</v>
      </c>
      <c r="E252" s="43" t="s">
        <v>30</v>
      </c>
      <c r="F252" s="46" t="s">
        <v>25</v>
      </c>
      <c r="G252" s="46" t="str">
        <f>VLOOKUP(F252,Tables!D$9:E$17,2,FALSE)</f>
        <v>PTR</v>
      </c>
      <c r="H252" s="66">
        <v>17099503</v>
      </c>
      <c r="I252" s="33">
        <f>S252-R252</f>
        <v>5615</v>
      </c>
      <c r="J252" s="33">
        <f>U252-T252</f>
        <v>0</v>
      </c>
      <c r="K252" s="54">
        <f>I252*$P252</f>
        <v>147.113</v>
      </c>
      <c r="L252" s="54">
        <f>J252*$Q252</f>
        <v>0</v>
      </c>
      <c r="M252" s="62">
        <f>K252+L252</f>
        <v>147.113</v>
      </c>
      <c r="N252" s="53" t="s">
        <v>287</v>
      </c>
      <c r="O252" s="53" t="s">
        <v>288</v>
      </c>
      <c r="P252" s="71">
        <f>IF(G252="MFP",Tables!B$2,Tables!B$5)</f>
        <v>2.6200000000000001E-2</v>
      </c>
      <c r="Q252" s="72">
        <f>IF(G252="MFP",Tables!B$3,Tables!B$6)</f>
        <v>0.11799999999999999</v>
      </c>
      <c r="R252" s="73">
        <v>0</v>
      </c>
      <c r="S252" s="73">
        <v>5615</v>
      </c>
      <c r="T252" s="73">
        <v>0</v>
      </c>
      <c r="U252" s="73">
        <v>0</v>
      </c>
    </row>
    <row r="253" spans="1:21" s="30" customFormat="1" ht="30" outlineLevel="2" x14ac:dyDescent="0.25">
      <c r="A253" s="31" t="s">
        <v>13</v>
      </c>
      <c r="B253" s="57" t="s">
        <v>26</v>
      </c>
      <c r="C253" s="52" t="s">
        <v>635</v>
      </c>
      <c r="D253" s="132" t="s">
        <v>13</v>
      </c>
      <c r="E253" s="43" t="s">
        <v>36</v>
      </c>
      <c r="F253" s="46" t="s">
        <v>18</v>
      </c>
      <c r="G253" s="46" t="str">
        <f>VLOOKUP(F253,Tables!D$9:E$17,2,FALSE)</f>
        <v>MFP</v>
      </c>
      <c r="H253" s="66">
        <v>17099487</v>
      </c>
      <c r="I253" s="33">
        <f>S253-R253</f>
        <v>589</v>
      </c>
      <c r="J253" s="33">
        <f>U253-T253</f>
        <v>44</v>
      </c>
      <c r="K253" s="54">
        <f>I253*$P253</f>
        <v>12.192299999999999</v>
      </c>
      <c r="L253" s="54">
        <f>J253*$Q253</f>
        <v>3.8279999999999998</v>
      </c>
      <c r="M253" s="62">
        <f>K253+L253</f>
        <v>16.020299999999999</v>
      </c>
      <c r="N253" s="53" t="s">
        <v>37</v>
      </c>
      <c r="O253" s="53" t="s">
        <v>38</v>
      </c>
      <c r="P253" s="71">
        <f>IF(G253="MFP",Tables!B$2,Tables!B$5)</f>
        <v>2.07E-2</v>
      </c>
      <c r="Q253" s="72">
        <f>IF(G253="MFP",Tables!B$3,Tables!B$6)</f>
        <v>8.6999999999999994E-2</v>
      </c>
      <c r="R253" s="73">
        <v>0</v>
      </c>
      <c r="S253" s="73">
        <v>589</v>
      </c>
      <c r="T253" s="73">
        <v>0</v>
      </c>
      <c r="U253" s="73">
        <v>44</v>
      </c>
    </row>
    <row r="254" spans="1:21" s="30" customFormat="1" ht="30" outlineLevel="2" x14ac:dyDescent="0.25">
      <c r="A254" s="31" t="s">
        <v>13</v>
      </c>
      <c r="B254" s="57" t="s">
        <v>26</v>
      </c>
      <c r="C254" s="52" t="s">
        <v>635</v>
      </c>
      <c r="D254" s="132" t="s">
        <v>13</v>
      </c>
      <c r="E254" s="43" t="s">
        <v>682</v>
      </c>
      <c r="F254" s="46" t="s">
        <v>18</v>
      </c>
      <c r="G254" s="46" t="str">
        <f>VLOOKUP(F254,Tables!D$9:E$17,2,FALSE)</f>
        <v>MFP</v>
      </c>
      <c r="H254" s="66">
        <v>17099432</v>
      </c>
      <c r="I254" s="33">
        <f>S254-R254</f>
        <v>10142</v>
      </c>
      <c r="J254" s="33">
        <f>U254-T254</f>
        <v>2164</v>
      </c>
      <c r="K254" s="54">
        <f>I254*$P254</f>
        <v>209.93940000000001</v>
      </c>
      <c r="L254" s="54">
        <f>J254*$Q254</f>
        <v>188.268</v>
      </c>
      <c r="M254" s="62">
        <f>K254+L254</f>
        <v>398.20740000000001</v>
      </c>
      <c r="N254" s="53" t="s">
        <v>111</v>
      </c>
      <c r="O254" s="53" t="s">
        <v>112</v>
      </c>
      <c r="P254" s="71">
        <f>IF(G254="MFP",Tables!B$2,Tables!B$5)</f>
        <v>2.07E-2</v>
      </c>
      <c r="Q254" s="72">
        <f>IF(G254="MFP",Tables!B$3,Tables!B$6)</f>
        <v>8.6999999999999994E-2</v>
      </c>
      <c r="R254" s="73">
        <v>0</v>
      </c>
      <c r="S254" s="73">
        <v>10142</v>
      </c>
      <c r="T254" s="73">
        <v>0</v>
      </c>
      <c r="U254" s="73">
        <v>2164</v>
      </c>
    </row>
    <row r="255" spans="1:21" s="56" customFormat="1" outlineLevel="1" x14ac:dyDescent="0.25">
      <c r="A255" s="31"/>
      <c r="B255" s="32" t="s">
        <v>714</v>
      </c>
      <c r="C255" s="52"/>
      <c r="D255" s="132"/>
      <c r="E255" s="43"/>
      <c r="F255" s="46"/>
      <c r="G255" s="46"/>
      <c r="H255" s="66"/>
      <c r="I255" s="33"/>
      <c r="J255" s="33"/>
      <c r="K255" s="54"/>
      <c r="L255" s="54"/>
      <c r="M255" s="62">
        <f>SUBTOTAL(9,M243:M254)</f>
        <v>1587.8305</v>
      </c>
      <c r="N255" s="53"/>
      <c r="O255" s="53"/>
      <c r="P255" s="71"/>
      <c r="Q255" s="72"/>
      <c r="R255" s="73"/>
      <c r="S255" s="73"/>
      <c r="T255" s="73"/>
      <c r="U255" s="73"/>
    </row>
    <row r="256" spans="1:21" s="30" customFormat="1" ht="30" outlineLevel="2" x14ac:dyDescent="0.25">
      <c r="A256" s="31" t="s">
        <v>13</v>
      </c>
      <c r="B256" s="57" t="s">
        <v>41</v>
      </c>
      <c r="C256" s="131" t="s">
        <v>777</v>
      </c>
      <c r="D256" s="132" t="s">
        <v>13</v>
      </c>
      <c r="E256" s="43">
        <v>503</v>
      </c>
      <c r="F256" s="46" t="s">
        <v>25</v>
      </c>
      <c r="G256" s="46" t="str">
        <f>VLOOKUP(F256,Tables!D$9:E$17,2,FALSE)</f>
        <v>PTR</v>
      </c>
      <c r="H256" s="66">
        <v>17099631</v>
      </c>
      <c r="I256" s="33">
        <f>S256-R256</f>
        <v>22100</v>
      </c>
      <c r="J256" s="33">
        <f>U256-T256</f>
        <v>0</v>
      </c>
      <c r="K256" s="54">
        <f>I256*$P256</f>
        <v>579.02</v>
      </c>
      <c r="L256" s="54">
        <f>J256*$Q256</f>
        <v>0</v>
      </c>
      <c r="M256" s="62">
        <f>K256+L256</f>
        <v>579.02</v>
      </c>
      <c r="N256" s="53" t="s">
        <v>415</v>
      </c>
      <c r="O256" s="53" t="s">
        <v>416</v>
      </c>
      <c r="P256" s="71">
        <f>IF(G256="MFP",Tables!B$2,Tables!B$5)</f>
        <v>2.6200000000000001E-2</v>
      </c>
      <c r="Q256" s="72">
        <f>IF(G256="MFP",Tables!B$3,Tables!B$6)</f>
        <v>0.11799999999999999</v>
      </c>
      <c r="R256" s="73">
        <v>0</v>
      </c>
      <c r="S256" s="73">
        <v>22100</v>
      </c>
      <c r="T256" s="73">
        <v>0</v>
      </c>
      <c r="U256" s="73">
        <v>0</v>
      </c>
    </row>
    <row r="257" spans="1:21" s="30" customFormat="1" ht="30" outlineLevel="2" x14ac:dyDescent="0.25">
      <c r="A257" s="31" t="s">
        <v>13</v>
      </c>
      <c r="B257" s="57" t="s">
        <v>41</v>
      </c>
      <c r="C257" s="131" t="s">
        <v>777</v>
      </c>
      <c r="D257" s="132" t="s">
        <v>13</v>
      </c>
      <c r="E257" s="43">
        <v>601</v>
      </c>
      <c r="F257" s="46" t="s">
        <v>25</v>
      </c>
      <c r="G257" s="46" t="str">
        <f>VLOOKUP(F257,Tables!D$9:E$17,2,FALSE)</f>
        <v>PTR</v>
      </c>
      <c r="H257" s="66">
        <v>17099706</v>
      </c>
      <c r="I257" s="33">
        <f>S257-R257</f>
        <v>1217</v>
      </c>
      <c r="J257" s="33">
        <f>U257-T257</f>
        <v>0</v>
      </c>
      <c r="K257" s="54">
        <f>I257*$P257</f>
        <v>31.885400000000001</v>
      </c>
      <c r="L257" s="54">
        <f>J257*$Q257</f>
        <v>0</v>
      </c>
      <c r="M257" s="62">
        <f>K257+L257</f>
        <v>31.885400000000001</v>
      </c>
      <c r="N257" s="53" t="s">
        <v>204</v>
      </c>
      <c r="O257" s="53" t="s">
        <v>205</v>
      </c>
      <c r="P257" s="71">
        <f>IF(G257="MFP",Tables!B$2,Tables!B$5)</f>
        <v>2.6200000000000001E-2</v>
      </c>
      <c r="Q257" s="72">
        <f>IF(G257="MFP",Tables!B$3,Tables!B$6)</f>
        <v>0.11799999999999999</v>
      </c>
      <c r="R257" s="73">
        <v>0</v>
      </c>
      <c r="S257" s="73">
        <v>1217</v>
      </c>
      <c r="T257" s="73">
        <v>0</v>
      </c>
      <c r="U257" s="73">
        <v>0</v>
      </c>
    </row>
    <row r="258" spans="1:21" s="56" customFormat="1" outlineLevel="1" x14ac:dyDescent="0.25">
      <c r="A258" s="31"/>
      <c r="B258" s="32" t="s">
        <v>712</v>
      </c>
      <c r="C258" s="131"/>
      <c r="D258" s="132"/>
      <c r="E258" s="43"/>
      <c r="F258" s="46"/>
      <c r="G258" s="46"/>
      <c r="H258" s="66"/>
      <c r="I258" s="33"/>
      <c r="J258" s="33"/>
      <c r="K258" s="54"/>
      <c r="L258" s="54"/>
      <c r="M258" s="62">
        <f>SUBTOTAL(9,M256:M257)</f>
        <v>610.90539999999999</v>
      </c>
      <c r="N258" s="53"/>
      <c r="O258" s="53"/>
      <c r="P258" s="71"/>
      <c r="Q258" s="72"/>
      <c r="R258" s="73"/>
      <c r="S258" s="73"/>
      <c r="T258" s="73"/>
      <c r="U258" s="73"/>
    </row>
    <row r="259" spans="1:21" s="30" customFormat="1" ht="30" outlineLevel="2" x14ac:dyDescent="0.25">
      <c r="A259" s="31" t="s">
        <v>373</v>
      </c>
      <c r="B259" s="57" t="s">
        <v>372</v>
      </c>
      <c r="C259" s="52" t="s">
        <v>373</v>
      </c>
      <c r="D259" s="132" t="s">
        <v>822</v>
      </c>
      <c r="E259" s="43">
        <v>301</v>
      </c>
      <c r="F259" s="46" t="s">
        <v>25</v>
      </c>
      <c r="G259" s="46" t="str">
        <f>VLOOKUP(F259,Tables!D$9:E$17,2,FALSE)</f>
        <v>PTR</v>
      </c>
      <c r="H259" s="66">
        <v>17099422</v>
      </c>
      <c r="I259" s="33">
        <f>S259-R259</f>
        <v>1181</v>
      </c>
      <c r="J259" s="33">
        <f>U259-T259</f>
        <v>0</v>
      </c>
      <c r="K259" s="54">
        <f>I259*$P259</f>
        <v>30.9422</v>
      </c>
      <c r="L259" s="54">
        <f>J259*$Q259</f>
        <v>0</v>
      </c>
      <c r="M259" s="62">
        <f>K259+L259</f>
        <v>30.9422</v>
      </c>
      <c r="N259" s="53" t="s">
        <v>374</v>
      </c>
      <c r="O259" s="53" t="s">
        <v>375</v>
      </c>
      <c r="P259" s="71">
        <f>IF(G259="MFP",Tables!B$2,Tables!B$5)</f>
        <v>2.6200000000000001E-2</v>
      </c>
      <c r="Q259" s="72">
        <f>IF(G259="MFP",Tables!B$3,Tables!B$6)</f>
        <v>0.11799999999999999</v>
      </c>
      <c r="R259" s="73">
        <v>0</v>
      </c>
      <c r="S259" s="73">
        <v>1181</v>
      </c>
      <c r="T259" s="73">
        <v>0</v>
      </c>
      <c r="U259" s="73">
        <v>0</v>
      </c>
    </row>
    <row r="260" spans="1:21" s="56" customFormat="1" outlineLevel="1" x14ac:dyDescent="0.25">
      <c r="A260" s="31"/>
      <c r="B260" s="32" t="s">
        <v>754</v>
      </c>
      <c r="C260" s="52"/>
      <c r="D260" s="132"/>
      <c r="E260" s="43"/>
      <c r="F260" s="46"/>
      <c r="G260" s="46"/>
      <c r="H260" s="66"/>
      <c r="I260" s="33"/>
      <c r="J260" s="33"/>
      <c r="K260" s="54"/>
      <c r="L260" s="54"/>
      <c r="M260" s="62">
        <f>SUBTOTAL(9,M259:M259)</f>
        <v>30.9422</v>
      </c>
      <c r="N260" s="53"/>
      <c r="O260" s="53"/>
      <c r="P260" s="71"/>
      <c r="Q260" s="72"/>
      <c r="R260" s="73"/>
      <c r="S260" s="73"/>
      <c r="T260" s="73"/>
      <c r="U260" s="73"/>
    </row>
    <row r="261" spans="1:21" s="30" customFormat="1" ht="24" outlineLevel="2" x14ac:dyDescent="0.25">
      <c r="A261" s="31" t="s">
        <v>701</v>
      </c>
      <c r="B261" s="57" t="s">
        <v>175</v>
      </c>
      <c r="C261" s="52" t="s">
        <v>701</v>
      </c>
      <c r="D261" s="53" t="s">
        <v>39</v>
      </c>
      <c r="E261" s="43">
        <v>305</v>
      </c>
      <c r="F261" s="46" t="s">
        <v>25</v>
      </c>
      <c r="G261" s="46" t="str">
        <f>VLOOKUP(F261,Tables!D$9:E$17,2,FALSE)</f>
        <v>PTR</v>
      </c>
      <c r="H261" s="66">
        <v>17099578</v>
      </c>
      <c r="I261" s="33">
        <f>S261-R261</f>
        <v>1381</v>
      </c>
      <c r="J261" s="33">
        <f>U261-T261</f>
        <v>0</v>
      </c>
      <c r="K261" s="54">
        <f>I261*$P261</f>
        <v>36.182200000000002</v>
      </c>
      <c r="L261" s="54">
        <f>J261*$Q261</f>
        <v>0</v>
      </c>
      <c r="M261" s="62">
        <f>K261+L261</f>
        <v>36.182200000000002</v>
      </c>
      <c r="N261" s="53" t="s">
        <v>388</v>
      </c>
      <c r="O261" s="53" t="s">
        <v>389</v>
      </c>
      <c r="P261" s="71">
        <f>IF(G261="MFP",Tables!B$2,Tables!B$5)</f>
        <v>2.6200000000000001E-2</v>
      </c>
      <c r="Q261" s="72">
        <f>IF(G261="MFP",Tables!B$3,Tables!B$6)</f>
        <v>0.11799999999999999</v>
      </c>
      <c r="R261" s="73">
        <v>0</v>
      </c>
      <c r="S261" s="73">
        <v>1381</v>
      </c>
      <c r="T261" s="73">
        <v>0</v>
      </c>
      <c r="U261" s="73">
        <v>0</v>
      </c>
    </row>
    <row r="262" spans="1:21" s="30" customFormat="1" ht="24" outlineLevel="2" x14ac:dyDescent="0.25">
      <c r="A262" s="31" t="s">
        <v>701</v>
      </c>
      <c r="B262" s="57" t="s">
        <v>175</v>
      </c>
      <c r="C262" s="52" t="s">
        <v>701</v>
      </c>
      <c r="D262" s="53" t="s">
        <v>39</v>
      </c>
      <c r="E262" s="43">
        <v>403</v>
      </c>
      <c r="F262" s="46" t="s">
        <v>162</v>
      </c>
      <c r="G262" s="46" t="str">
        <f>VLOOKUP(F262,Tables!D$9:E$17,2,FALSE)</f>
        <v>MFP</v>
      </c>
      <c r="H262" s="66">
        <v>17099452</v>
      </c>
      <c r="I262" s="33">
        <f>S262-R262</f>
        <v>30747</v>
      </c>
      <c r="J262" s="33">
        <f>U262-T262</f>
        <v>1649</v>
      </c>
      <c r="K262" s="54">
        <f>I262*$P262</f>
        <v>636.46289999999999</v>
      </c>
      <c r="L262" s="54">
        <f>J262*$Q262</f>
        <v>143.46299999999999</v>
      </c>
      <c r="M262" s="62">
        <f>K262+L262</f>
        <v>779.92589999999996</v>
      </c>
      <c r="N262" s="53" t="s">
        <v>178</v>
      </c>
      <c r="O262" s="53" t="s">
        <v>179</v>
      </c>
      <c r="P262" s="71">
        <f>IF(G262="MFP",Tables!B$2,Tables!B$5)</f>
        <v>2.07E-2</v>
      </c>
      <c r="Q262" s="72">
        <f>IF(G262="MFP",Tables!B$3,Tables!B$6)</f>
        <v>8.6999999999999994E-2</v>
      </c>
      <c r="R262" s="73">
        <v>0</v>
      </c>
      <c r="S262" s="73">
        <v>30747</v>
      </c>
      <c r="T262" s="73">
        <v>0</v>
      </c>
      <c r="U262" s="73">
        <v>1649</v>
      </c>
    </row>
    <row r="263" spans="1:21" s="30" customFormat="1" ht="24" outlineLevel="2" x14ac:dyDescent="0.25">
      <c r="A263" s="31" t="s">
        <v>701</v>
      </c>
      <c r="B263" s="57" t="s">
        <v>175</v>
      </c>
      <c r="C263" s="52" t="s">
        <v>701</v>
      </c>
      <c r="D263" s="53" t="s">
        <v>39</v>
      </c>
      <c r="E263" s="43">
        <v>406</v>
      </c>
      <c r="F263" s="46" t="s">
        <v>25</v>
      </c>
      <c r="G263" s="46" t="str">
        <f>VLOOKUP(F263,Tables!D$9:E$17,2,FALSE)</f>
        <v>PTR</v>
      </c>
      <c r="H263" s="66">
        <v>17099571</v>
      </c>
      <c r="I263" s="33">
        <f>S263-R263</f>
        <v>112</v>
      </c>
      <c r="J263" s="33">
        <f>U263-T263</f>
        <v>0</v>
      </c>
      <c r="K263" s="54">
        <f>I263*$P263</f>
        <v>2.9344000000000001</v>
      </c>
      <c r="L263" s="54">
        <f>J263*$Q263</f>
        <v>0</v>
      </c>
      <c r="M263" s="62">
        <f>K263+L263</f>
        <v>2.9344000000000001</v>
      </c>
      <c r="N263" s="53" t="s">
        <v>176</v>
      </c>
      <c r="O263" s="53" t="s">
        <v>177</v>
      </c>
      <c r="P263" s="71">
        <f>IF(G263="MFP",Tables!B$2,Tables!B$5)</f>
        <v>2.6200000000000001E-2</v>
      </c>
      <c r="Q263" s="72">
        <f>IF(G263="MFP",Tables!B$3,Tables!B$6)</f>
        <v>0.11799999999999999</v>
      </c>
      <c r="R263" s="73">
        <v>0</v>
      </c>
      <c r="S263" s="73">
        <v>112</v>
      </c>
      <c r="T263" s="73">
        <v>0</v>
      </c>
      <c r="U263" s="73">
        <v>0</v>
      </c>
    </row>
    <row r="264" spans="1:21" s="30" customFormat="1" ht="24" outlineLevel="2" x14ac:dyDescent="0.25">
      <c r="A264" s="31" t="s">
        <v>701</v>
      </c>
      <c r="B264" s="57" t="s">
        <v>175</v>
      </c>
      <c r="C264" s="52" t="s">
        <v>701</v>
      </c>
      <c r="D264" s="53" t="s">
        <v>39</v>
      </c>
      <c r="E264" s="43">
        <v>411</v>
      </c>
      <c r="F264" s="46" t="s">
        <v>25</v>
      </c>
      <c r="G264" s="46" t="str">
        <f>VLOOKUP(F264,Tables!D$9:E$17,2,FALSE)</f>
        <v>PTR</v>
      </c>
      <c r="H264" s="66">
        <v>17099757</v>
      </c>
      <c r="I264" s="33">
        <f>S264-R264</f>
        <v>753</v>
      </c>
      <c r="J264" s="33">
        <f>U264-T264</f>
        <v>0</v>
      </c>
      <c r="K264" s="54">
        <f>I264*$P264</f>
        <v>19.7286</v>
      </c>
      <c r="L264" s="54">
        <f>J264*$Q264</f>
        <v>0</v>
      </c>
      <c r="M264" s="62">
        <f>K264+L264</f>
        <v>19.7286</v>
      </c>
      <c r="N264" s="53" t="s">
        <v>305</v>
      </c>
      <c r="O264" s="53" t="s">
        <v>306</v>
      </c>
      <c r="P264" s="71">
        <f>IF(G264="MFP",Tables!B$2,Tables!B$5)</f>
        <v>2.6200000000000001E-2</v>
      </c>
      <c r="Q264" s="72">
        <f>IF(G264="MFP",Tables!B$3,Tables!B$6)</f>
        <v>0.11799999999999999</v>
      </c>
      <c r="R264" s="73">
        <v>0</v>
      </c>
      <c r="S264" s="73">
        <v>753</v>
      </c>
      <c r="T264" s="73">
        <v>0</v>
      </c>
      <c r="U264" s="73">
        <v>0</v>
      </c>
    </row>
    <row r="265" spans="1:21" s="30" customFormat="1" ht="24" outlineLevel="2" x14ac:dyDescent="0.25">
      <c r="A265" s="31" t="s">
        <v>701</v>
      </c>
      <c r="B265" s="57" t="s">
        <v>175</v>
      </c>
      <c r="C265" s="52" t="s">
        <v>701</v>
      </c>
      <c r="D265" s="53" t="s">
        <v>39</v>
      </c>
      <c r="E265" s="43">
        <v>414</v>
      </c>
      <c r="F265" s="46" t="s">
        <v>25</v>
      </c>
      <c r="G265" s="46" t="str">
        <f>VLOOKUP(F265,Tables!D$9:E$17,2,FALSE)</f>
        <v>PTR</v>
      </c>
      <c r="H265" s="66">
        <v>17099585</v>
      </c>
      <c r="I265" s="33">
        <f>S265-R265</f>
        <v>1586</v>
      </c>
      <c r="J265" s="33">
        <f>U265-T265</f>
        <v>0</v>
      </c>
      <c r="K265" s="54">
        <f>I265*$P265</f>
        <v>41.553200000000004</v>
      </c>
      <c r="L265" s="54">
        <f>J265*$Q265</f>
        <v>0</v>
      </c>
      <c r="M265" s="62">
        <f>K265+L265</f>
        <v>41.553200000000004</v>
      </c>
      <c r="N265" s="53" t="s">
        <v>429</v>
      </c>
      <c r="O265" s="53" t="s">
        <v>430</v>
      </c>
      <c r="P265" s="71">
        <f>IF(G265="MFP",Tables!B$2,Tables!B$5)</f>
        <v>2.6200000000000001E-2</v>
      </c>
      <c r="Q265" s="72">
        <f>IF(G265="MFP",Tables!B$3,Tables!B$6)</f>
        <v>0.11799999999999999</v>
      </c>
      <c r="R265" s="73">
        <v>0</v>
      </c>
      <c r="S265" s="73">
        <v>1586</v>
      </c>
      <c r="T265" s="73">
        <v>0</v>
      </c>
      <c r="U265" s="73">
        <v>0</v>
      </c>
    </row>
    <row r="266" spans="1:21" s="56" customFormat="1" outlineLevel="1" x14ac:dyDescent="0.25">
      <c r="A266" s="31"/>
      <c r="B266" s="32" t="s">
        <v>755</v>
      </c>
      <c r="C266" s="52"/>
      <c r="D266" s="53"/>
      <c r="E266" s="43"/>
      <c r="F266" s="46"/>
      <c r="G266" s="46"/>
      <c r="H266" s="66"/>
      <c r="I266" s="33"/>
      <c r="J266" s="33"/>
      <c r="K266" s="54"/>
      <c r="L266" s="54"/>
      <c r="M266" s="62">
        <f>SUBTOTAL(9,M261:M265)</f>
        <v>880.32429999999999</v>
      </c>
      <c r="N266" s="53"/>
      <c r="O266" s="53"/>
      <c r="P266" s="71"/>
      <c r="Q266" s="72"/>
      <c r="R266" s="73"/>
      <c r="S266" s="73"/>
      <c r="T266" s="73"/>
      <c r="U266" s="73"/>
    </row>
    <row r="267" spans="1:21" s="30" customFormat="1" ht="24" outlineLevel="2" x14ac:dyDescent="0.25">
      <c r="A267" s="31" t="s">
        <v>609</v>
      </c>
      <c r="B267" s="57" t="s">
        <v>602</v>
      </c>
      <c r="C267" s="52" t="s">
        <v>647</v>
      </c>
      <c r="D267" s="53" t="s">
        <v>538</v>
      </c>
      <c r="E267" s="43">
        <v>111</v>
      </c>
      <c r="F267" s="46" t="s">
        <v>84</v>
      </c>
      <c r="G267" s="46" t="str">
        <f>VLOOKUP(F267,Tables!D$9:E$17,2,FALSE)</f>
        <v>MFP</v>
      </c>
      <c r="H267" s="66">
        <v>17099530</v>
      </c>
      <c r="I267" s="33">
        <f>S267-R267</f>
        <v>1147</v>
      </c>
      <c r="J267" s="33">
        <f>U267-T267</f>
        <v>0</v>
      </c>
      <c r="K267" s="54">
        <f>I267*$P267</f>
        <v>23.742899999999999</v>
      </c>
      <c r="L267" s="54">
        <f>J267*$Q267</f>
        <v>0</v>
      </c>
      <c r="M267" s="62">
        <f>K267+L267</f>
        <v>23.742899999999999</v>
      </c>
      <c r="N267" s="53" t="s">
        <v>610</v>
      </c>
      <c r="O267" s="53" t="s">
        <v>611</v>
      </c>
      <c r="P267" s="71">
        <f>IF(G267="MFP",Tables!B$2,Tables!B$5)</f>
        <v>2.07E-2</v>
      </c>
      <c r="Q267" s="72">
        <f>IF(G267="MFP",Tables!B$3,Tables!B$6)</f>
        <v>8.6999999999999994E-2</v>
      </c>
      <c r="R267" s="73">
        <v>0</v>
      </c>
      <c r="S267" s="73">
        <v>1147</v>
      </c>
      <c r="T267" s="73">
        <v>0</v>
      </c>
      <c r="U267" s="73">
        <v>0</v>
      </c>
    </row>
    <row r="268" spans="1:21" s="56" customFormat="1" outlineLevel="1" x14ac:dyDescent="0.25">
      <c r="A268" s="31"/>
      <c r="B268" s="32" t="s">
        <v>728</v>
      </c>
      <c r="C268" s="52"/>
      <c r="D268" s="53"/>
      <c r="E268" s="43"/>
      <c r="F268" s="46"/>
      <c r="G268" s="46"/>
      <c r="H268" s="66"/>
      <c r="I268" s="33"/>
      <c r="J268" s="33"/>
      <c r="K268" s="54"/>
      <c r="L268" s="54"/>
      <c r="M268" s="62">
        <f>SUBTOTAL(9,M267:M267)</f>
        <v>23.742899999999999</v>
      </c>
      <c r="N268" s="53"/>
      <c r="O268" s="53"/>
      <c r="P268" s="71"/>
      <c r="Q268" s="72"/>
      <c r="R268" s="73"/>
      <c r="S268" s="73"/>
      <c r="T268" s="73"/>
      <c r="U268" s="73"/>
    </row>
    <row r="269" spans="1:21" s="30" customFormat="1" ht="24" outlineLevel="2" x14ac:dyDescent="0.25">
      <c r="A269" s="31" t="s">
        <v>597</v>
      </c>
      <c r="B269" s="57" t="s">
        <v>596</v>
      </c>
      <c r="C269" s="52" t="s">
        <v>643</v>
      </c>
      <c r="D269" s="53" t="s">
        <v>538</v>
      </c>
      <c r="E269" s="43">
        <v>314</v>
      </c>
      <c r="F269" s="46" t="s">
        <v>90</v>
      </c>
      <c r="G269" s="46" t="str">
        <f>VLOOKUP(F269,Tables!D$9:E$17,2,FALSE)</f>
        <v>MFP</v>
      </c>
      <c r="H269" s="66">
        <v>17099500</v>
      </c>
      <c r="I269" s="33">
        <f>S269-R269</f>
        <v>3200</v>
      </c>
      <c r="J269" s="33">
        <f>U269-T269</f>
        <v>0</v>
      </c>
      <c r="K269" s="54">
        <f>I269*$P269</f>
        <v>66.239999999999995</v>
      </c>
      <c r="L269" s="54">
        <f>J269*$Q269</f>
        <v>0</v>
      </c>
      <c r="M269" s="62">
        <f>K269+L269</f>
        <v>66.239999999999995</v>
      </c>
      <c r="N269" s="53" t="s">
        <v>598</v>
      </c>
      <c r="O269" s="53" t="s">
        <v>599</v>
      </c>
      <c r="P269" s="71">
        <f>IF(G269="MFP",Tables!B$2,Tables!B$5)</f>
        <v>2.07E-2</v>
      </c>
      <c r="Q269" s="72">
        <f>IF(G269="MFP",Tables!B$3,Tables!B$6)</f>
        <v>8.6999999999999994E-2</v>
      </c>
      <c r="R269" s="73">
        <v>0</v>
      </c>
      <c r="S269" s="73">
        <v>3200</v>
      </c>
      <c r="T269" s="73">
        <v>0</v>
      </c>
      <c r="U269" s="73">
        <v>0</v>
      </c>
    </row>
    <row r="270" spans="1:21" s="56" customFormat="1" outlineLevel="1" x14ac:dyDescent="0.25">
      <c r="A270" s="31"/>
      <c r="B270" s="32" t="s">
        <v>756</v>
      </c>
      <c r="C270" s="52"/>
      <c r="D270" s="53"/>
      <c r="E270" s="43"/>
      <c r="F270" s="46"/>
      <c r="G270" s="46"/>
      <c r="H270" s="66"/>
      <c r="I270" s="33"/>
      <c r="J270" s="33"/>
      <c r="K270" s="54"/>
      <c r="L270" s="54"/>
      <c r="M270" s="62">
        <f>SUBTOTAL(9,M269:M269)</f>
        <v>66.239999999999995</v>
      </c>
      <c r="N270" s="53"/>
      <c r="O270" s="53"/>
      <c r="P270" s="71"/>
      <c r="Q270" s="72"/>
      <c r="R270" s="73"/>
      <c r="S270" s="73"/>
      <c r="T270" s="73"/>
      <c r="U270" s="73"/>
    </row>
    <row r="271" spans="1:21" s="30" customFormat="1" ht="24" outlineLevel="2" x14ac:dyDescent="0.25">
      <c r="A271" s="31" t="s">
        <v>555</v>
      </c>
      <c r="B271" s="57" t="s">
        <v>552</v>
      </c>
      <c r="C271" s="52" t="s">
        <v>638</v>
      </c>
      <c r="D271" s="53" t="s">
        <v>551</v>
      </c>
      <c r="E271" s="43">
        <v>303</v>
      </c>
      <c r="F271" s="46" t="s">
        <v>25</v>
      </c>
      <c r="G271" s="46" t="str">
        <f>VLOOKUP(F271,Tables!D$9:E$17,2,FALSE)</f>
        <v>PTR</v>
      </c>
      <c r="H271" s="66">
        <v>17099685</v>
      </c>
      <c r="I271" s="33">
        <f>S271-R271</f>
        <v>1256</v>
      </c>
      <c r="J271" s="33">
        <f>U271-T271</f>
        <v>0</v>
      </c>
      <c r="K271" s="54">
        <f>I271*$P271</f>
        <v>32.907200000000003</v>
      </c>
      <c r="L271" s="54">
        <f>J271*$Q271</f>
        <v>0</v>
      </c>
      <c r="M271" s="62">
        <f>K271+L271</f>
        <v>32.907200000000003</v>
      </c>
      <c r="N271" s="53" t="s">
        <v>556</v>
      </c>
      <c r="O271" s="53" t="s">
        <v>557</v>
      </c>
      <c r="P271" s="71">
        <f>IF(G271="MFP",Tables!B$2,Tables!B$5)</f>
        <v>2.6200000000000001E-2</v>
      </c>
      <c r="Q271" s="72">
        <f>IF(G271="MFP",Tables!B$3,Tables!B$6)</f>
        <v>0.11799999999999999</v>
      </c>
      <c r="R271" s="73">
        <v>0</v>
      </c>
      <c r="S271" s="73">
        <v>1256</v>
      </c>
      <c r="T271" s="73">
        <v>0</v>
      </c>
      <c r="U271" s="73">
        <v>0</v>
      </c>
    </row>
    <row r="272" spans="1:21" s="30" customFormat="1" ht="24" outlineLevel="2" x14ac:dyDescent="0.25">
      <c r="A272" s="31" t="s">
        <v>555</v>
      </c>
      <c r="B272" s="57" t="s">
        <v>552</v>
      </c>
      <c r="C272" s="52" t="s">
        <v>638</v>
      </c>
      <c r="D272" s="53" t="s">
        <v>551</v>
      </c>
      <c r="E272" s="43">
        <v>303</v>
      </c>
      <c r="F272" s="46" t="s">
        <v>25</v>
      </c>
      <c r="G272" s="46" t="str">
        <f>VLOOKUP(F272,Tables!D$9:E$17,2,FALSE)</f>
        <v>PTR</v>
      </c>
      <c r="H272" s="66">
        <v>17099700</v>
      </c>
      <c r="I272" s="33">
        <f>S272-R272</f>
        <v>4794</v>
      </c>
      <c r="J272" s="33">
        <f>U272-T272</f>
        <v>0</v>
      </c>
      <c r="K272" s="54">
        <f>I272*$P272</f>
        <v>125.6028</v>
      </c>
      <c r="L272" s="54">
        <f>J272*$Q272</f>
        <v>0</v>
      </c>
      <c r="M272" s="62">
        <f>K272+L272</f>
        <v>125.6028</v>
      </c>
      <c r="N272" s="53" t="s">
        <v>558</v>
      </c>
      <c r="O272" s="53" t="s">
        <v>559</v>
      </c>
      <c r="P272" s="71">
        <f>IF(G272="MFP",Tables!B$2,Tables!B$5)</f>
        <v>2.6200000000000001E-2</v>
      </c>
      <c r="Q272" s="72">
        <f>IF(G272="MFP",Tables!B$3,Tables!B$6)</f>
        <v>0.11799999999999999</v>
      </c>
      <c r="R272" s="73">
        <v>0</v>
      </c>
      <c r="S272" s="73">
        <v>4794</v>
      </c>
      <c r="T272" s="73">
        <v>0</v>
      </c>
      <c r="U272" s="73">
        <v>0</v>
      </c>
    </row>
    <row r="273" spans="1:28" s="30" customFormat="1" ht="24" outlineLevel="2" x14ac:dyDescent="0.25">
      <c r="A273" s="31" t="s">
        <v>555</v>
      </c>
      <c r="B273" s="57" t="s">
        <v>552</v>
      </c>
      <c r="C273" s="52" t="s">
        <v>638</v>
      </c>
      <c r="D273" s="53" t="s">
        <v>551</v>
      </c>
      <c r="E273" s="43">
        <v>311</v>
      </c>
      <c r="F273" s="46" t="s">
        <v>25</v>
      </c>
      <c r="G273" s="46" t="str">
        <f>VLOOKUP(F273,Tables!D$9:E$17,2,FALSE)</f>
        <v>PTR</v>
      </c>
      <c r="H273" s="66">
        <v>17099656</v>
      </c>
      <c r="I273" s="33">
        <f>S273-R273</f>
        <v>834</v>
      </c>
      <c r="J273" s="33">
        <f>U273-T273</f>
        <v>0</v>
      </c>
      <c r="K273" s="54">
        <f>I273*$P273</f>
        <v>21.8508</v>
      </c>
      <c r="L273" s="54">
        <f>J273*$Q273</f>
        <v>0</v>
      </c>
      <c r="M273" s="62">
        <f>K273+L273</f>
        <v>21.8508</v>
      </c>
      <c r="N273" s="53" t="s">
        <v>553</v>
      </c>
      <c r="O273" s="53" t="s">
        <v>554</v>
      </c>
      <c r="P273" s="71">
        <f>IF(G273="MFP",Tables!B$2,Tables!B$5)</f>
        <v>2.6200000000000001E-2</v>
      </c>
      <c r="Q273" s="72">
        <f>IF(G273="MFP",Tables!B$3,Tables!B$6)</f>
        <v>0.11799999999999999</v>
      </c>
      <c r="R273" s="73">
        <v>0</v>
      </c>
      <c r="S273" s="73">
        <v>834</v>
      </c>
      <c r="T273" s="73">
        <v>0</v>
      </c>
      <c r="U273" s="73">
        <v>0</v>
      </c>
    </row>
    <row r="274" spans="1:28" s="30" customFormat="1" ht="24" outlineLevel="2" x14ac:dyDescent="0.25">
      <c r="A274" s="31" t="s">
        <v>555</v>
      </c>
      <c r="B274" s="57" t="s">
        <v>552</v>
      </c>
      <c r="C274" s="52" t="s">
        <v>638</v>
      </c>
      <c r="D274" s="53" t="s">
        <v>551</v>
      </c>
      <c r="E274" s="43">
        <v>312</v>
      </c>
      <c r="F274" s="46" t="s">
        <v>117</v>
      </c>
      <c r="G274" s="46" t="str">
        <f>VLOOKUP(F274,Tables!D$9:E$17,2,FALSE)</f>
        <v>PTR</v>
      </c>
      <c r="H274" s="66">
        <v>17099646</v>
      </c>
      <c r="I274" s="33">
        <f>S274-R274</f>
        <v>1429</v>
      </c>
      <c r="J274" s="33">
        <f>U274-T274</f>
        <v>214</v>
      </c>
      <c r="K274" s="54">
        <f>I274*$P274</f>
        <v>37.439799999999998</v>
      </c>
      <c r="L274" s="54">
        <f>J274*$Q274</f>
        <v>25.251999999999999</v>
      </c>
      <c r="M274" s="62">
        <f>K274+L274</f>
        <v>62.691800000000001</v>
      </c>
      <c r="N274" s="53" t="s">
        <v>562</v>
      </c>
      <c r="O274" s="53" t="s">
        <v>563</v>
      </c>
      <c r="P274" s="71">
        <f>IF(G274="MFP",Tables!B$2,Tables!B$5)</f>
        <v>2.6200000000000001E-2</v>
      </c>
      <c r="Q274" s="72">
        <f>IF(G274="MFP",Tables!B$3,Tables!B$6)</f>
        <v>0.11799999999999999</v>
      </c>
      <c r="R274" s="73">
        <v>0</v>
      </c>
      <c r="S274" s="73">
        <v>1429</v>
      </c>
      <c r="T274" s="73">
        <v>0</v>
      </c>
      <c r="U274" s="73">
        <v>214</v>
      </c>
    </row>
    <row r="275" spans="1:28" s="56" customFormat="1" outlineLevel="1" x14ac:dyDescent="0.25">
      <c r="A275" s="31"/>
      <c r="B275" s="32" t="s">
        <v>757</v>
      </c>
      <c r="C275" s="52"/>
      <c r="D275" s="53"/>
      <c r="E275" s="43"/>
      <c r="F275" s="46"/>
      <c r="G275" s="46"/>
      <c r="H275" s="66"/>
      <c r="I275" s="33"/>
      <c r="J275" s="33"/>
      <c r="K275" s="54"/>
      <c r="L275" s="54"/>
      <c r="M275" s="62">
        <f>SUBTOTAL(9,M271:M274)</f>
        <v>243.05259999999998</v>
      </c>
      <c r="N275" s="53"/>
      <c r="O275" s="53"/>
      <c r="P275" s="71"/>
      <c r="Q275" s="72"/>
      <c r="R275" s="73"/>
      <c r="S275" s="73"/>
      <c r="T275" s="73"/>
      <c r="U275" s="73"/>
    </row>
    <row r="276" spans="1:28" s="144" customFormat="1" ht="24" outlineLevel="2" x14ac:dyDescent="0.25">
      <c r="A276" s="31" t="s">
        <v>298</v>
      </c>
      <c r="B276" s="57" t="s">
        <v>684</v>
      </c>
      <c r="C276" s="52" t="s">
        <v>695</v>
      </c>
      <c r="D276" s="53" t="s">
        <v>146</v>
      </c>
      <c r="E276" s="43">
        <v>215</v>
      </c>
      <c r="F276" s="46" t="s">
        <v>25</v>
      </c>
      <c r="G276" s="46" t="str">
        <f>VLOOKUP(F276,Tables!D$9:E$17,2,FALSE)</f>
        <v>PTR</v>
      </c>
      <c r="H276" s="66">
        <v>17099566</v>
      </c>
      <c r="I276" s="33">
        <f>S276-R276</f>
        <v>272</v>
      </c>
      <c r="J276" s="33">
        <f>U276-T276</f>
        <v>0</v>
      </c>
      <c r="K276" s="54">
        <f>I276*$P276</f>
        <v>7.1264000000000003</v>
      </c>
      <c r="L276" s="54">
        <f>J276*$Q276</f>
        <v>0</v>
      </c>
      <c r="M276" s="62">
        <f>K276+L276</f>
        <v>7.1264000000000003</v>
      </c>
      <c r="N276" s="53" t="s">
        <v>299</v>
      </c>
      <c r="O276" s="53" t="s">
        <v>300</v>
      </c>
      <c r="P276" s="71">
        <f>IF(G276="MFP",Tables!B$2,Tables!B$5)</f>
        <v>2.6200000000000001E-2</v>
      </c>
      <c r="Q276" s="72">
        <f>IF(G276="MFP",Tables!B$3,Tables!B$6)</f>
        <v>0.11799999999999999</v>
      </c>
      <c r="R276" s="73">
        <v>0</v>
      </c>
      <c r="S276" s="73">
        <v>272</v>
      </c>
      <c r="T276" s="73">
        <v>0</v>
      </c>
      <c r="U276" s="73">
        <v>0</v>
      </c>
      <c r="V276" s="56"/>
      <c r="W276" s="56"/>
      <c r="X276" s="56"/>
      <c r="Y276" s="56"/>
      <c r="Z276" s="56"/>
      <c r="AA276" s="56"/>
      <c r="AB276" s="56"/>
    </row>
    <row r="277" spans="1:28" s="144" customFormat="1" outlineLevel="1" x14ac:dyDescent="0.25">
      <c r="A277" s="31"/>
      <c r="B277" s="32" t="s">
        <v>716</v>
      </c>
      <c r="C277" s="52"/>
      <c r="D277" s="53"/>
      <c r="E277" s="43"/>
      <c r="F277" s="46"/>
      <c r="G277" s="46"/>
      <c r="H277" s="66"/>
      <c r="I277" s="33"/>
      <c r="J277" s="33"/>
      <c r="K277" s="54"/>
      <c r="L277" s="54"/>
      <c r="M277" s="62">
        <f>SUBTOTAL(9,M276:M276)</f>
        <v>7.1264000000000003</v>
      </c>
      <c r="N277" s="53"/>
      <c r="O277" s="53"/>
      <c r="P277" s="71"/>
      <c r="Q277" s="72"/>
      <c r="R277" s="73"/>
      <c r="S277" s="73"/>
      <c r="T277" s="73"/>
      <c r="U277" s="73"/>
      <c r="V277" s="56"/>
      <c r="W277" s="56"/>
      <c r="X277" s="56"/>
      <c r="Y277" s="56"/>
      <c r="Z277" s="56"/>
      <c r="AA277" s="56"/>
      <c r="AB277" s="56"/>
    </row>
    <row r="278" spans="1:28" s="30" customFormat="1" ht="24" outlineLevel="2" x14ac:dyDescent="0.25">
      <c r="A278" s="31" t="s">
        <v>574</v>
      </c>
      <c r="B278" s="57" t="s">
        <v>564</v>
      </c>
      <c r="C278" s="52" t="s">
        <v>574</v>
      </c>
      <c r="D278" s="53" t="s">
        <v>538</v>
      </c>
      <c r="E278" s="43">
        <v>201</v>
      </c>
      <c r="F278" s="46" t="s">
        <v>31</v>
      </c>
      <c r="G278" s="46" t="str">
        <f>VLOOKUP(F278,Tables!D$9:E$17,2,FALSE)</f>
        <v>MFP</v>
      </c>
      <c r="H278" s="66">
        <v>17099498</v>
      </c>
      <c r="I278" s="33">
        <f>S278-R278</f>
        <v>4247</v>
      </c>
      <c r="J278" s="33">
        <f>U278-T278</f>
        <v>2074</v>
      </c>
      <c r="K278" s="54">
        <f>I278*$P278</f>
        <v>87.912899999999993</v>
      </c>
      <c r="L278" s="54">
        <f>J278*$Q278</f>
        <v>180.43799999999999</v>
      </c>
      <c r="M278" s="62">
        <f>K278+L278</f>
        <v>268.35089999999997</v>
      </c>
      <c r="N278" s="53" t="s">
        <v>575</v>
      </c>
      <c r="O278" s="53" t="s">
        <v>576</v>
      </c>
      <c r="P278" s="71">
        <f>IF(G278="MFP",Tables!B$2,Tables!B$5)</f>
        <v>2.07E-2</v>
      </c>
      <c r="Q278" s="72">
        <f>IF(G278="MFP",Tables!B$3,Tables!B$6)</f>
        <v>8.6999999999999994E-2</v>
      </c>
      <c r="R278" s="73">
        <v>0</v>
      </c>
      <c r="S278" s="73">
        <v>4247</v>
      </c>
      <c r="T278" s="73">
        <v>0</v>
      </c>
      <c r="U278" s="73">
        <v>2074</v>
      </c>
      <c r="V278" s="56"/>
      <c r="W278" s="56"/>
      <c r="X278" s="56"/>
      <c r="Y278" s="56"/>
      <c r="Z278" s="56"/>
      <c r="AA278" s="56"/>
      <c r="AB278" s="56"/>
    </row>
    <row r="279" spans="1:28" s="30" customFormat="1" ht="24" outlineLevel="2" x14ac:dyDescent="0.25">
      <c r="A279" s="31" t="s">
        <v>544</v>
      </c>
      <c r="B279" s="57" t="s">
        <v>564</v>
      </c>
      <c r="C279" s="52" t="s">
        <v>574</v>
      </c>
      <c r="D279" s="53" t="s">
        <v>538</v>
      </c>
      <c r="E279" s="43">
        <v>201</v>
      </c>
      <c r="F279" s="46" t="s">
        <v>25</v>
      </c>
      <c r="G279" s="46" t="str">
        <f>VLOOKUP(F279,Tables!D$9:E$17,2,FALSE)</f>
        <v>PTR</v>
      </c>
      <c r="H279" s="66">
        <v>17099688</v>
      </c>
      <c r="I279" s="33">
        <f>S279-R279</f>
        <v>764</v>
      </c>
      <c r="J279" s="33">
        <f>U279-T279</f>
        <v>0</v>
      </c>
      <c r="K279" s="54">
        <f>I279*$P279</f>
        <v>20.0168</v>
      </c>
      <c r="L279" s="54">
        <f>J279*$Q279</f>
        <v>0</v>
      </c>
      <c r="M279" s="62">
        <f>K279+L279</f>
        <v>20.0168</v>
      </c>
      <c r="N279" s="53" t="s">
        <v>567</v>
      </c>
      <c r="O279" s="53" t="s">
        <v>568</v>
      </c>
      <c r="P279" s="71">
        <f>IF(G279="MFP",Tables!B$2,Tables!B$5)</f>
        <v>2.6200000000000001E-2</v>
      </c>
      <c r="Q279" s="72">
        <f>IF(G279="MFP",Tables!B$3,Tables!B$6)</f>
        <v>0.11799999999999999</v>
      </c>
      <c r="R279" s="73">
        <v>0</v>
      </c>
      <c r="S279" s="73">
        <v>764</v>
      </c>
      <c r="T279" s="73">
        <v>0</v>
      </c>
      <c r="U279" s="73">
        <v>0</v>
      </c>
    </row>
    <row r="280" spans="1:28" s="30" customFormat="1" ht="24" outlineLevel="2" x14ac:dyDescent="0.25">
      <c r="A280" s="31" t="s">
        <v>544</v>
      </c>
      <c r="B280" s="57" t="s">
        <v>564</v>
      </c>
      <c r="C280" s="52" t="s">
        <v>574</v>
      </c>
      <c r="D280" s="53" t="s">
        <v>538</v>
      </c>
      <c r="E280" s="43">
        <v>201</v>
      </c>
      <c r="F280" s="46" t="s">
        <v>25</v>
      </c>
      <c r="G280" s="46" t="str">
        <f>VLOOKUP(F280,Tables!D$9:E$17,2,FALSE)</f>
        <v>PTR</v>
      </c>
      <c r="H280" s="66">
        <v>17099698</v>
      </c>
      <c r="I280" s="33">
        <f>S280-R280</f>
        <v>0</v>
      </c>
      <c r="J280" s="33">
        <f>U280-T280</f>
        <v>0</v>
      </c>
      <c r="K280" s="54">
        <f>I280*$P280</f>
        <v>0</v>
      </c>
      <c r="L280" s="54">
        <f>J280*$Q280</f>
        <v>0</v>
      </c>
      <c r="M280" s="62">
        <f>K280+L280</f>
        <v>0</v>
      </c>
      <c r="N280" s="53" t="s">
        <v>572</v>
      </c>
      <c r="O280" s="53" t="s">
        <v>573</v>
      </c>
      <c r="P280" s="71">
        <f>IF(G280="MFP",Tables!B$2,Tables!B$5)</f>
        <v>2.6200000000000001E-2</v>
      </c>
      <c r="Q280" s="72">
        <f>IF(G280="MFP",Tables!B$3,Tables!B$6)</f>
        <v>0.11799999999999999</v>
      </c>
      <c r="R280" s="73">
        <v>0</v>
      </c>
      <c r="S280" s="73">
        <v>0</v>
      </c>
      <c r="T280" s="73">
        <v>0</v>
      </c>
      <c r="U280" s="73">
        <v>0</v>
      </c>
    </row>
    <row r="281" spans="1:28" s="30" customFormat="1" ht="24" outlineLevel="2" x14ac:dyDescent="0.25">
      <c r="A281" s="31" t="s">
        <v>544</v>
      </c>
      <c r="B281" s="57" t="s">
        <v>564</v>
      </c>
      <c r="C281" s="52" t="s">
        <v>574</v>
      </c>
      <c r="D281" s="53" t="s">
        <v>538</v>
      </c>
      <c r="E281" s="43">
        <v>201</v>
      </c>
      <c r="F281" s="46" t="s">
        <v>25</v>
      </c>
      <c r="G281" s="46" t="str">
        <f>VLOOKUP(F281,Tables!D$9:E$17,2,FALSE)</f>
        <v>PTR</v>
      </c>
      <c r="H281" s="66">
        <v>17099712</v>
      </c>
      <c r="I281" s="33">
        <f>S281-R281</f>
        <v>1716</v>
      </c>
      <c r="J281" s="33">
        <f>U281-T281</f>
        <v>0</v>
      </c>
      <c r="K281" s="54">
        <f>I281*$P281</f>
        <v>44.959200000000003</v>
      </c>
      <c r="L281" s="54">
        <f>J281*$Q281</f>
        <v>0</v>
      </c>
      <c r="M281" s="62">
        <f>K281+L281</f>
        <v>44.959200000000003</v>
      </c>
      <c r="N281" s="53" t="s">
        <v>570</v>
      </c>
      <c r="O281" s="53" t="s">
        <v>571</v>
      </c>
      <c r="P281" s="71">
        <f>IF(G281="MFP",Tables!B$2,Tables!B$5)</f>
        <v>2.6200000000000001E-2</v>
      </c>
      <c r="Q281" s="72">
        <f>IF(G281="MFP",Tables!B$3,Tables!B$6)</f>
        <v>0.11799999999999999</v>
      </c>
      <c r="R281" s="73">
        <v>0</v>
      </c>
      <c r="S281" s="73">
        <v>1716</v>
      </c>
      <c r="T281" s="73">
        <v>0</v>
      </c>
      <c r="U281" s="73">
        <v>0</v>
      </c>
    </row>
    <row r="282" spans="1:28" s="30" customFormat="1" ht="24" outlineLevel="2" x14ac:dyDescent="0.25">
      <c r="A282" s="31" t="s">
        <v>544</v>
      </c>
      <c r="B282" s="57" t="s">
        <v>564</v>
      </c>
      <c r="C282" s="52" t="s">
        <v>574</v>
      </c>
      <c r="D282" s="53" t="s">
        <v>538</v>
      </c>
      <c r="E282" s="43">
        <v>201</v>
      </c>
      <c r="F282" s="46" t="s">
        <v>25</v>
      </c>
      <c r="G282" s="46" t="str">
        <f>VLOOKUP(F282,Tables!D$9:E$17,2,FALSE)</f>
        <v>PTR</v>
      </c>
      <c r="H282" s="66">
        <v>17099784</v>
      </c>
      <c r="I282" s="33">
        <f>S282-R282</f>
        <v>355</v>
      </c>
      <c r="J282" s="33">
        <f>U282-T282</f>
        <v>0</v>
      </c>
      <c r="K282" s="54">
        <f>I282*$P282</f>
        <v>9.3010000000000002</v>
      </c>
      <c r="L282" s="54">
        <f>J282*$Q282</f>
        <v>0</v>
      </c>
      <c r="M282" s="62">
        <f>K282+L282</f>
        <v>9.3010000000000002</v>
      </c>
      <c r="N282" s="53" t="s">
        <v>565</v>
      </c>
      <c r="O282" s="53" t="s">
        <v>566</v>
      </c>
      <c r="P282" s="71">
        <f>IF(G282="MFP",Tables!B$2,Tables!B$5)</f>
        <v>2.6200000000000001E-2</v>
      </c>
      <c r="Q282" s="72">
        <f>IF(G282="MFP",Tables!B$3,Tables!B$6)</f>
        <v>0.11799999999999999</v>
      </c>
      <c r="R282" s="73">
        <v>0</v>
      </c>
      <c r="S282" s="73">
        <v>355</v>
      </c>
      <c r="T282" s="73">
        <v>0</v>
      </c>
      <c r="U282" s="73">
        <v>0</v>
      </c>
    </row>
    <row r="283" spans="1:28" s="56" customFormat="1" outlineLevel="1" x14ac:dyDescent="0.25">
      <c r="A283" s="31"/>
      <c r="B283" s="32" t="s">
        <v>758</v>
      </c>
      <c r="C283" s="52"/>
      <c r="D283" s="53"/>
      <c r="E283" s="43"/>
      <c r="F283" s="46"/>
      <c r="G283" s="46"/>
      <c r="H283" s="66"/>
      <c r="I283" s="33"/>
      <c r="J283" s="33"/>
      <c r="K283" s="54"/>
      <c r="L283" s="54"/>
      <c r="M283" s="62">
        <f>SUBTOTAL(9,M278:M282)</f>
        <v>342.62789999999995</v>
      </c>
      <c r="N283" s="53"/>
      <c r="O283" s="53"/>
      <c r="P283" s="71"/>
      <c r="Q283" s="72"/>
      <c r="R283" s="73"/>
      <c r="S283" s="73"/>
      <c r="T283" s="73"/>
      <c r="U283" s="73"/>
    </row>
    <row r="284" spans="1:28" s="30" customFormat="1" ht="24" outlineLevel="2" x14ac:dyDescent="0.25">
      <c r="A284" s="31" t="s">
        <v>419</v>
      </c>
      <c r="B284" s="57" t="s">
        <v>684</v>
      </c>
      <c r="C284" s="52" t="s">
        <v>695</v>
      </c>
      <c r="D284" s="132" t="s">
        <v>146</v>
      </c>
      <c r="E284" s="148">
        <v>314</v>
      </c>
      <c r="F284" s="46" t="s">
        <v>25</v>
      </c>
      <c r="G284" s="46" t="str">
        <f>VLOOKUP(F284,Tables!D$9:E$17,2,FALSE)</f>
        <v>PTR</v>
      </c>
      <c r="H284" s="66">
        <v>17099558</v>
      </c>
      <c r="I284" s="33">
        <f>S284-R284</f>
        <v>599</v>
      </c>
      <c r="J284" s="33">
        <f>U284-T284</f>
        <v>0</v>
      </c>
      <c r="K284" s="54">
        <f>I284*$P284</f>
        <v>15.693800000000001</v>
      </c>
      <c r="L284" s="54">
        <f>J284*$Q284</f>
        <v>0</v>
      </c>
      <c r="M284" s="62">
        <f>K284+L284</f>
        <v>15.693800000000001</v>
      </c>
      <c r="N284" s="53" t="s">
        <v>420</v>
      </c>
      <c r="O284" s="53" t="s">
        <v>421</v>
      </c>
      <c r="P284" s="71">
        <f>IF(G284="MFP",Tables!B$2,Tables!B$5)</f>
        <v>2.6200000000000001E-2</v>
      </c>
      <c r="Q284" s="72">
        <f>IF(G284="MFP",Tables!B$3,Tables!B$6)</f>
        <v>0.11799999999999999</v>
      </c>
      <c r="R284" s="73">
        <v>0</v>
      </c>
      <c r="S284" s="73">
        <v>599</v>
      </c>
      <c r="T284" s="73">
        <v>0</v>
      </c>
      <c r="U284" s="73">
        <v>0</v>
      </c>
    </row>
    <row r="285" spans="1:28" s="56" customFormat="1" outlineLevel="1" x14ac:dyDescent="0.25">
      <c r="A285" s="31"/>
      <c r="B285" s="32" t="s">
        <v>716</v>
      </c>
      <c r="C285" s="52"/>
      <c r="D285" s="132"/>
      <c r="E285" s="145"/>
      <c r="F285" s="46"/>
      <c r="G285" s="46"/>
      <c r="H285" s="66"/>
      <c r="I285" s="33"/>
      <c r="J285" s="33"/>
      <c r="K285" s="54"/>
      <c r="L285" s="54"/>
      <c r="M285" s="62">
        <f>SUBTOTAL(9,M284:M284)</f>
        <v>15.693800000000001</v>
      </c>
      <c r="N285" s="53"/>
      <c r="O285" s="53"/>
      <c r="P285" s="71"/>
      <c r="Q285" s="72"/>
      <c r="R285" s="73"/>
      <c r="S285" s="73"/>
      <c r="T285" s="73"/>
      <c r="U285" s="73"/>
    </row>
    <row r="286" spans="1:28" s="30" customFormat="1" ht="24" outlineLevel="2" x14ac:dyDescent="0.25">
      <c r="A286" s="31" t="s">
        <v>583</v>
      </c>
      <c r="B286" s="57" t="s">
        <v>577</v>
      </c>
      <c r="C286" s="52" t="s">
        <v>640</v>
      </c>
      <c r="D286" s="53" t="s">
        <v>538</v>
      </c>
      <c r="E286" s="149">
        <v>301</v>
      </c>
      <c r="F286" s="46" t="s">
        <v>25</v>
      </c>
      <c r="G286" s="46" t="str">
        <f>VLOOKUP(F286,Tables!D$9:E$17,2,FALSE)</f>
        <v>PTR</v>
      </c>
      <c r="H286" s="66">
        <v>17099696</v>
      </c>
      <c r="I286" s="33">
        <f>S286-R286</f>
        <v>508</v>
      </c>
      <c r="J286" s="33">
        <f>U286-T286</f>
        <v>0</v>
      </c>
      <c r="K286" s="54">
        <f>I286*$P286</f>
        <v>13.3096</v>
      </c>
      <c r="L286" s="54">
        <f>J286*$Q286</f>
        <v>0</v>
      </c>
      <c r="M286" s="62">
        <f>K286+L286</f>
        <v>13.3096</v>
      </c>
      <c r="N286" s="53" t="s">
        <v>584</v>
      </c>
      <c r="O286" s="53" t="s">
        <v>585</v>
      </c>
      <c r="P286" s="71">
        <f>IF(G286="MFP",Tables!B$2,Tables!B$5)</f>
        <v>2.6200000000000001E-2</v>
      </c>
      <c r="Q286" s="72">
        <f>IF(G286="MFP",Tables!B$3,Tables!B$6)</f>
        <v>0.11799999999999999</v>
      </c>
      <c r="R286" s="73">
        <v>0</v>
      </c>
      <c r="S286" s="73">
        <v>508</v>
      </c>
      <c r="T286" s="73">
        <v>0</v>
      </c>
      <c r="U286" s="73">
        <v>0</v>
      </c>
    </row>
    <row r="287" spans="1:28" s="30" customFormat="1" ht="24" outlineLevel="2" x14ac:dyDescent="0.25">
      <c r="A287" s="31" t="s">
        <v>583</v>
      </c>
      <c r="B287" s="57" t="s">
        <v>577</v>
      </c>
      <c r="C287" s="52" t="s">
        <v>640</v>
      </c>
      <c r="D287" s="53" t="s">
        <v>538</v>
      </c>
      <c r="E287" s="43">
        <v>305</v>
      </c>
      <c r="F287" s="46" t="s">
        <v>25</v>
      </c>
      <c r="G287" s="46" t="str">
        <f>VLOOKUP(F287,Tables!D$9:E$17,2,FALSE)</f>
        <v>PTR</v>
      </c>
      <c r="H287" s="66">
        <v>17099710</v>
      </c>
      <c r="I287" s="33">
        <f>S287-R287</f>
        <v>585</v>
      </c>
      <c r="J287" s="33">
        <f>U287-T287</f>
        <v>0</v>
      </c>
      <c r="K287" s="54">
        <f>I287*$P287</f>
        <v>15.327</v>
      </c>
      <c r="L287" s="54">
        <f>J287*$Q287</f>
        <v>0</v>
      </c>
      <c r="M287" s="62">
        <f>K287+L287</f>
        <v>15.327</v>
      </c>
      <c r="N287" s="53" t="s">
        <v>586</v>
      </c>
      <c r="O287" s="53" t="s">
        <v>587</v>
      </c>
      <c r="P287" s="71">
        <f>IF(G287="MFP",Tables!B$2,Tables!B$5)</f>
        <v>2.6200000000000001E-2</v>
      </c>
      <c r="Q287" s="72">
        <f>IF(G287="MFP",Tables!B$3,Tables!B$6)</f>
        <v>0.11799999999999999</v>
      </c>
      <c r="R287" s="73">
        <v>0</v>
      </c>
      <c r="S287" s="73">
        <v>585</v>
      </c>
      <c r="T287" s="73">
        <v>0</v>
      </c>
      <c r="U287" s="73">
        <v>0</v>
      </c>
    </row>
    <row r="288" spans="1:28" s="30" customFormat="1" ht="24" outlineLevel="2" x14ac:dyDescent="0.25">
      <c r="A288" s="31" t="s">
        <v>583</v>
      </c>
      <c r="B288" s="57" t="s">
        <v>577</v>
      </c>
      <c r="C288" s="52" t="s">
        <v>640</v>
      </c>
      <c r="D288" s="53" t="s">
        <v>538</v>
      </c>
      <c r="E288" s="43">
        <v>306</v>
      </c>
      <c r="F288" s="46" t="s">
        <v>31</v>
      </c>
      <c r="G288" s="46" t="str">
        <f>VLOOKUP(F288,Tables!D$9:E$17,2,FALSE)</f>
        <v>MFP</v>
      </c>
      <c r="H288" s="66">
        <v>17099529</v>
      </c>
      <c r="I288" s="33">
        <f>S288-R288</f>
        <v>7879</v>
      </c>
      <c r="J288" s="33">
        <f>U288-T288</f>
        <v>5325</v>
      </c>
      <c r="K288" s="54">
        <f>I288*$P288</f>
        <v>163.09530000000001</v>
      </c>
      <c r="L288" s="54">
        <f>J288*$Q288</f>
        <v>463.27499999999998</v>
      </c>
      <c r="M288" s="62">
        <f>K288+L288</f>
        <v>626.37030000000004</v>
      </c>
      <c r="N288" s="53" t="s">
        <v>588</v>
      </c>
      <c r="O288" s="53" t="s">
        <v>589</v>
      </c>
      <c r="P288" s="71">
        <f>IF(G288="MFP",Tables!B$2,Tables!B$5)</f>
        <v>2.07E-2</v>
      </c>
      <c r="Q288" s="72">
        <f>IF(G288="MFP",Tables!B$3,Tables!B$6)</f>
        <v>8.6999999999999994E-2</v>
      </c>
      <c r="R288" s="73">
        <v>0</v>
      </c>
      <c r="S288" s="73">
        <v>7879</v>
      </c>
      <c r="T288" s="73">
        <v>0</v>
      </c>
      <c r="U288" s="73">
        <v>5325</v>
      </c>
    </row>
    <row r="289" spans="1:21" s="56" customFormat="1" outlineLevel="1" x14ac:dyDescent="0.25">
      <c r="A289" s="31"/>
      <c r="B289" s="32" t="s">
        <v>721</v>
      </c>
      <c r="C289" s="52"/>
      <c r="D289" s="53"/>
      <c r="E289" s="43"/>
      <c r="F289" s="46"/>
      <c r="G289" s="46"/>
      <c r="H289" s="66"/>
      <c r="I289" s="33"/>
      <c r="J289" s="33"/>
      <c r="K289" s="54"/>
      <c r="L289" s="54"/>
      <c r="M289" s="62">
        <f>SUBTOTAL(9,M286:M288)</f>
        <v>655.00690000000009</v>
      </c>
      <c r="N289" s="53"/>
      <c r="O289" s="53"/>
      <c r="P289" s="71"/>
      <c r="Q289" s="72"/>
      <c r="R289" s="73"/>
      <c r="S289" s="73"/>
      <c r="T289" s="73"/>
      <c r="U289" s="73"/>
    </row>
    <row r="290" spans="1:21" s="30" customFormat="1" ht="45" outlineLevel="2" x14ac:dyDescent="0.25">
      <c r="A290" s="132" t="s">
        <v>799</v>
      </c>
      <c r="B290" s="132" t="s">
        <v>804</v>
      </c>
      <c r="C290" s="132" t="s">
        <v>799</v>
      </c>
      <c r="D290" s="53" t="s">
        <v>13</v>
      </c>
      <c r="E290" s="135" t="s">
        <v>798</v>
      </c>
      <c r="F290" s="46" t="s">
        <v>31</v>
      </c>
      <c r="G290" s="46" t="str">
        <f>VLOOKUP(F290,Tables!D$9:E$17,2,FALSE)</f>
        <v>MFP</v>
      </c>
      <c r="H290" s="66">
        <v>17099489</v>
      </c>
      <c r="I290" s="33">
        <f>S290-R290</f>
        <v>1248</v>
      </c>
      <c r="J290" s="33">
        <f>U290-T290</f>
        <v>87</v>
      </c>
      <c r="K290" s="54">
        <f>I290*$P290</f>
        <v>25.833600000000001</v>
      </c>
      <c r="L290" s="54">
        <f>J290*$Q290</f>
        <v>7.5689999999999991</v>
      </c>
      <c r="M290" s="62">
        <f>K290+L290</f>
        <v>33.4026</v>
      </c>
      <c r="N290" s="53" t="s">
        <v>34</v>
      </c>
      <c r="O290" s="53" t="s">
        <v>35</v>
      </c>
      <c r="P290" s="71">
        <f>IF(G290="MFP",Tables!B$2,Tables!B$5)</f>
        <v>2.07E-2</v>
      </c>
      <c r="Q290" s="72">
        <f>IF(G290="MFP",Tables!B$3,Tables!B$6)</f>
        <v>8.6999999999999994E-2</v>
      </c>
      <c r="R290" s="73">
        <v>0</v>
      </c>
      <c r="S290" s="73">
        <v>1248</v>
      </c>
      <c r="T290" s="73">
        <v>0</v>
      </c>
      <c r="U290" s="73">
        <v>87</v>
      </c>
    </row>
    <row r="291" spans="1:21" s="56" customFormat="1" outlineLevel="1" x14ac:dyDescent="0.25">
      <c r="A291" s="132"/>
      <c r="B291" s="152" t="s">
        <v>829</v>
      </c>
      <c r="C291" s="132"/>
      <c r="D291" s="53"/>
      <c r="E291" s="135"/>
      <c r="F291" s="46"/>
      <c r="G291" s="46"/>
      <c r="H291" s="66"/>
      <c r="I291" s="33"/>
      <c r="J291" s="33"/>
      <c r="K291" s="54"/>
      <c r="L291" s="54"/>
      <c r="M291" s="62">
        <f>SUBTOTAL(9,M290:M290)</f>
        <v>33.4026</v>
      </c>
      <c r="N291" s="53"/>
      <c r="O291" s="53"/>
      <c r="P291" s="71"/>
      <c r="Q291" s="72"/>
      <c r="R291" s="73"/>
      <c r="S291" s="73"/>
      <c r="T291" s="73"/>
      <c r="U291" s="73"/>
    </row>
    <row r="292" spans="1:21" s="30" customFormat="1" ht="24" outlineLevel="2" x14ac:dyDescent="0.25">
      <c r="A292" s="31" t="s">
        <v>329</v>
      </c>
      <c r="B292" s="57" t="s">
        <v>50</v>
      </c>
      <c r="C292" s="52" t="s">
        <v>51</v>
      </c>
      <c r="D292" s="53" t="s">
        <v>49</v>
      </c>
      <c r="E292" s="43" t="s">
        <v>329</v>
      </c>
      <c r="F292" s="46" t="s">
        <v>117</v>
      </c>
      <c r="G292" s="46" t="str">
        <f>VLOOKUP(F292,Tables!D$9:E$17,2,FALSE)</f>
        <v>PTR</v>
      </c>
      <c r="H292" s="66">
        <v>17099541</v>
      </c>
      <c r="I292" s="33">
        <f>S292-R292</f>
        <v>204</v>
      </c>
      <c r="J292" s="33">
        <f>U292-T292</f>
        <v>1</v>
      </c>
      <c r="K292" s="54">
        <f>I292*$P292</f>
        <v>5.3448000000000002</v>
      </c>
      <c r="L292" s="54">
        <f>J292*$Q292</f>
        <v>0.11799999999999999</v>
      </c>
      <c r="M292" s="62">
        <f>K292+L292</f>
        <v>5.4628000000000005</v>
      </c>
      <c r="N292" s="53" t="s">
        <v>330</v>
      </c>
      <c r="O292" s="53" t="s">
        <v>331</v>
      </c>
      <c r="P292" s="71">
        <f>IF(G292="MFP",Tables!B$2,Tables!B$5)</f>
        <v>2.6200000000000001E-2</v>
      </c>
      <c r="Q292" s="72">
        <f>IF(G292="MFP",Tables!B$3,Tables!B$6)</f>
        <v>0.11799999999999999</v>
      </c>
      <c r="R292" s="73">
        <v>0</v>
      </c>
      <c r="S292" s="73">
        <v>204</v>
      </c>
      <c r="T292" s="73">
        <v>0</v>
      </c>
      <c r="U292" s="73">
        <v>1</v>
      </c>
    </row>
    <row r="293" spans="1:21" s="56" customFormat="1" outlineLevel="1" x14ac:dyDescent="0.25">
      <c r="A293" s="31"/>
      <c r="B293" s="32" t="s">
        <v>752</v>
      </c>
      <c r="C293" s="52"/>
      <c r="D293" s="53"/>
      <c r="E293" s="43"/>
      <c r="F293" s="46"/>
      <c r="G293" s="46"/>
      <c r="H293" s="66"/>
      <c r="I293" s="33"/>
      <c r="J293" s="33"/>
      <c r="K293" s="54"/>
      <c r="L293" s="54"/>
      <c r="M293" s="62">
        <f>SUBTOTAL(9,M292:M292)</f>
        <v>5.4628000000000005</v>
      </c>
      <c r="N293" s="53"/>
      <c r="O293" s="53"/>
      <c r="P293" s="71"/>
      <c r="Q293" s="72"/>
      <c r="R293" s="73"/>
      <c r="S293" s="73"/>
      <c r="T293" s="73"/>
      <c r="U293" s="73"/>
    </row>
    <row r="294" spans="1:21" s="30" customFormat="1" ht="24" outlineLevel="2" x14ac:dyDescent="0.25">
      <c r="A294" s="31" t="s">
        <v>367</v>
      </c>
      <c r="B294" s="57" t="s">
        <v>366</v>
      </c>
      <c r="C294" s="52" t="s">
        <v>367</v>
      </c>
      <c r="D294" s="53" t="s">
        <v>39</v>
      </c>
      <c r="E294" s="43">
        <v>215</v>
      </c>
      <c r="F294" s="46" t="s">
        <v>25</v>
      </c>
      <c r="G294" s="46" t="str">
        <f>VLOOKUP(F294,Tables!D$9:E$17,2,FALSE)</f>
        <v>PTR</v>
      </c>
      <c r="H294" s="66">
        <v>17099563</v>
      </c>
      <c r="I294" s="33">
        <f>S294-R294</f>
        <v>2235</v>
      </c>
      <c r="J294" s="33">
        <f>U294-T294</f>
        <v>0</v>
      </c>
      <c r="K294" s="54">
        <f>I294*$P294</f>
        <v>58.557000000000002</v>
      </c>
      <c r="L294" s="54">
        <f>J294*$Q294</f>
        <v>0</v>
      </c>
      <c r="M294" s="62">
        <f>K294+L294</f>
        <v>58.557000000000002</v>
      </c>
      <c r="N294" s="53" t="s">
        <v>376</v>
      </c>
      <c r="O294" s="53" t="s">
        <v>377</v>
      </c>
      <c r="P294" s="71">
        <f>IF(G294="MFP",Tables!B$2,Tables!B$5)</f>
        <v>2.6200000000000001E-2</v>
      </c>
      <c r="Q294" s="72">
        <f>IF(G294="MFP",Tables!B$3,Tables!B$6)</f>
        <v>0.11799999999999999</v>
      </c>
      <c r="R294" s="73">
        <v>0</v>
      </c>
      <c r="S294" s="73">
        <v>2235</v>
      </c>
      <c r="T294" s="73">
        <v>0</v>
      </c>
      <c r="U294" s="73">
        <v>0</v>
      </c>
    </row>
    <row r="295" spans="1:21" s="30" customFormat="1" ht="24" outlineLevel="2" x14ac:dyDescent="0.25">
      <c r="A295" s="31" t="s">
        <v>367</v>
      </c>
      <c r="B295" s="57" t="s">
        <v>366</v>
      </c>
      <c r="C295" s="52" t="s">
        <v>367</v>
      </c>
      <c r="D295" s="53" t="s">
        <v>39</v>
      </c>
      <c r="E295" s="43">
        <v>217</v>
      </c>
      <c r="F295" s="46" t="s">
        <v>31</v>
      </c>
      <c r="G295" s="46" t="str">
        <f>VLOOKUP(F295,Tables!D$9:E$17,2,FALSE)</f>
        <v>MFP</v>
      </c>
      <c r="H295" s="66">
        <v>17099756</v>
      </c>
      <c r="I295" s="33">
        <f>S295-R295</f>
        <v>2526</v>
      </c>
      <c r="J295" s="33">
        <f>U295-T295</f>
        <v>328</v>
      </c>
      <c r="K295" s="54">
        <f>I295*$P295</f>
        <v>52.288199999999996</v>
      </c>
      <c r="L295" s="54">
        <f>J295*$Q295</f>
        <v>28.535999999999998</v>
      </c>
      <c r="M295" s="62">
        <f>K295+L295</f>
        <v>80.82419999999999</v>
      </c>
      <c r="N295" s="53" t="s">
        <v>401</v>
      </c>
      <c r="O295" s="53" t="s">
        <v>402</v>
      </c>
      <c r="P295" s="71">
        <f>IF(G295="MFP",Tables!B$2,Tables!B$5)</f>
        <v>2.07E-2</v>
      </c>
      <c r="Q295" s="72">
        <f>IF(G295="MFP",Tables!B$3,Tables!B$6)</f>
        <v>8.6999999999999994E-2</v>
      </c>
      <c r="R295" s="73">
        <v>0</v>
      </c>
      <c r="S295" s="73">
        <v>2526</v>
      </c>
      <c r="T295" s="73">
        <v>0</v>
      </c>
      <c r="U295" s="73">
        <v>328</v>
      </c>
    </row>
    <row r="296" spans="1:21" s="30" customFormat="1" ht="24" outlineLevel="2" x14ac:dyDescent="0.25">
      <c r="A296" s="31" t="s">
        <v>367</v>
      </c>
      <c r="B296" s="57" t="s">
        <v>366</v>
      </c>
      <c r="C296" s="52" t="s">
        <v>367</v>
      </c>
      <c r="D296" s="53" t="s">
        <v>39</v>
      </c>
      <c r="E296" s="43">
        <v>219</v>
      </c>
      <c r="F296" s="46" t="s">
        <v>25</v>
      </c>
      <c r="G296" s="46" t="str">
        <f>VLOOKUP(F296,Tables!D$9:E$17,2,FALSE)</f>
        <v>PTR</v>
      </c>
      <c r="H296" s="66">
        <v>17099576</v>
      </c>
      <c r="I296" s="33">
        <f>S296-R296</f>
        <v>23</v>
      </c>
      <c r="J296" s="33">
        <f>U296-T296</f>
        <v>0</v>
      </c>
      <c r="K296" s="54">
        <f>I296*$P296</f>
        <v>0.60260000000000002</v>
      </c>
      <c r="L296" s="54">
        <f>J296*$Q296</f>
        <v>0</v>
      </c>
      <c r="M296" s="62">
        <f>K296+L296</f>
        <v>0.60260000000000002</v>
      </c>
      <c r="N296" s="53" t="s">
        <v>368</v>
      </c>
      <c r="O296" s="53" t="s">
        <v>369</v>
      </c>
      <c r="P296" s="71">
        <f>IF(G296="MFP",Tables!B$2,Tables!B$5)</f>
        <v>2.6200000000000001E-2</v>
      </c>
      <c r="Q296" s="72">
        <f>IF(G296="MFP",Tables!B$3,Tables!B$6)</f>
        <v>0.11799999999999999</v>
      </c>
      <c r="R296" s="73">
        <v>0</v>
      </c>
      <c r="S296" s="73">
        <v>23</v>
      </c>
      <c r="T296" s="73">
        <v>0</v>
      </c>
      <c r="U296" s="73">
        <v>0</v>
      </c>
    </row>
    <row r="297" spans="1:21" s="56" customFormat="1" outlineLevel="1" x14ac:dyDescent="0.25">
      <c r="A297" s="34"/>
      <c r="B297" s="35" t="s">
        <v>759</v>
      </c>
      <c r="C297" s="36"/>
      <c r="D297" s="55"/>
      <c r="E297" s="44"/>
      <c r="F297" s="47"/>
      <c r="G297" s="47"/>
      <c r="H297" s="67"/>
      <c r="I297" s="37"/>
      <c r="J297" s="37"/>
      <c r="K297" s="38"/>
      <c r="L297" s="38"/>
      <c r="M297" s="63">
        <f>SUBTOTAL(9,M294:M296)</f>
        <v>139.98379999999997</v>
      </c>
      <c r="N297" s="55"/>
      <c r="O297" s="55"/>
      <c r="P297" s="64"/>
      <c r="Q297" s="65"/>
      <c r="R297" s="75"/>
      <c r="S297" s="75"/>
      <c r="T297" s="75"/>
      <c r="U297" s="75"/>
    </row>
    <row r="298" spans="1:21" s="30" customFormat="1" outlineLevel="1" x14ac:dyDescent="0.25">
      <c r="A298" s="51"/>
      <c r="B298" s="51"/>
      <c r="C298" s="51"/>
      <c r="D298" s="51"/>
      <c r="E298" s="51"/>
      <c r="F298" s="51"/>
      <c r="G298" s="51"/>
      <c r="H298" s="68"/>
      <c r="I298" s="51"/>
      <c r="J298" s="51"/>
      <c r="K298" s="51"/>
      <c r="L298" s="51"/>
      <c r="M298" s="51"/>
      <c r="N298" s="55"/>
      <c r="O298" s="55"/>
      <c r="P298" s="64"/>
      <c r="Q298" s="65"/>
      <c r="R298" s="61"/>
      <c r="S298" s="61"/>
      <c r="T298" s="61"/>
      <c r="U298" s="61"/>
    </row>
    <row r="299" spans="1:21" outlineLevel="1" x14ac:dyDescent="0.25">
      <c r="N299" s="29"/>
      <c r="O299" s="29"/>
      <c r="P299" s="29"/>
      <c r="Q299" s="29"/>
      <c r="R299" s="29"/>
      <c r="S299" s="29"/>
      <c r="T299" s="29"/>
      <c r="U299" s="29"/>
    </row>
    <row r="300" spans="1:21" outlineLevel="1" x14ac:dyDescent="0.25">
      <c r="H300" s="110"/>
      <c r="I300" s="104"/>
      <c r="J300" s="104"/>
      <c r="K300" s="104"/>
      <c r="L300" s="104"/>
      <c r="M300" s="104"/>
      <c r="N300" s="29"/>
      <c r="O300" s="29"/>
      <c r="P300" s="29"/>
      <c r="Q300" s="29"/>
      <c r="R300" s="29"/>
      <c r="S300" s="29"/>
      <c r="T300" s="29"/>
      <c r="U300" s="29"/>
    </row>
    <row r="301" spans="1:21" outlineLevel="1" x14ac:dyDescent="0.25">
      <c r="N301" s="29"/>
      <c r="O301" s="29"/>
      <c r="P301" s="29"/>
      <c r="Q301" s="29"/>
      <c r="R301" s="29"/>
      <c r="S301" s="29"/>
      <c r="T301" s="29"/>
      <c r="U301" s="29"/>
    </row>
    <row r="302" spans="1:21" outlineLevel="1" x14ac:dyDescent="0.25">
      <c r="N302" s="29"/>
      <c r="O302" s="29"/>
      <c r="P302" s="29"/>
      <c r="Q302" s="29"/>
      <c r="R302" s="29"/>
      <c r="S302" s="29"/>
      <c r="T302" s="29"/>
      <c r="U302" s="29"/>
    </row>
    <row r="303" spans="1:21" outlineLevel="1" x14ac:dyDescent="0.25">
      <c r="N303" s="29"/>
      <c r="O303" s="29"/>
      <c r="P303" s="29"/>
      <c r="Q303" s="29"/>
      <c r="R303" s="29"/>
      <c r="S303" s="29"/>
      <c r="T303" s="29"/>
      <c r="U303" s="29"/>
    </row>
    <row r="304" spans="1:21" outlineLevel="1" x14ac:dyDescent="0.25">
      <c r="N304" s="29"/>
      <c r="O304" s="29"/>
      <c r="P304" s="29"/>
      <c r="Q304" s="29"/>
      <c r="R304" s="29"/>
      <c r="S304" s="29"/>
      <c r="T304" s="29"/>
      <c r="U304" s="29"/>
    </row>
    <row r="305" spans="14:21" outlineLevel="1" x14ac:dyDescent="0.25">
      <c r="N305" s="29"/>
      <c r="O305" s="29"/>
      <c r="P305" s="29"/>
      <c r="Q305" s="29"/>
      <c r="R305" s="29"/>
      <c r="S305" s="29"/>
      <c r="T305" s="29"/>
      <c r="U305" s="29"/>
    </row>
    <row r="306" spans="14:21" outlineLevel="1" x14ac:dyDescent="0.25">
      <c r="N306" s="29"/>
      <c r="O306" s="29"/>
      <c r="P306" s="29"/>
      <c r="Q306" s="29"/>
      <c r="R306" s="29"/>
      <c r="S306" s="29"/>
      <c r="T306" s="29"/>
      <c r="U306" s="29"/>
    </row>
    <row r="307" spans="14:21" outlineLevel="1" x14ac:dyDescent="0.25">
      <c r="N307" s="29"/>
      <c r="O307" s="29"/>
      <c r="P307" s="29"/>
      <c r="Q307" s="29"/>
      <c r="R307" s="29"/>
      <c r="S307" s="29"/>
      <c r="T307" s="29"/>
      <c r="U307" s="29"/>
    </row>
    <row r="308" spans="14:21" outlineLevel="1" x14ac:dyDescent="0.25">
      <c r="N308" s="29"/>
      <c r="O308" s="29"/>
      <c r="P308" s="29"/>
      <c r="Q308" s="29"/>
      <c r="R308" s="29"/>
      <c r="S308" s="29"/>
      <c r="T308" s="29"/>
      <c r="U308" s="29"/>
    </row>
    <row r="309" spans="14:21" outlineLevel="1" x14ac:dyDescent="0.25">
      <c r="N309" s="29"/>
      <c r="O309" s="29"/>
      <c r="P309" s="29"/>
      <c r="Q309" s="29"/>
      <c r="R309" s="29"/>
      <c r="S309" s="29"/>
      <c r="T309" s="29"/>
      <c r="U309" s="29"/>
    </row>
    <row r="310" spans="14:21" outlineLevel="1" x14ac:dyDescent="0.25"/>
    <row r="311" spans="14:21" outlineLevel="1" x14ac:dyDescent="0.25"/>
    <row r="312" spans="14:21" outlineLevel="1" x14ac:dyDescent="0.25"/>
    <row r="313" spans="14:21" outlineLevel="1" x14ac:dyDescent="0.25"/>
    <row r="314" spans="14:21" outlineLevel="1" x14ac:dyDescent="0.25"/>
    <row r="315" spans="14:21" outlineLevel="1" x14ac:dyDescent="0.25"/>
    <row r="316" spans="14:21" outlineLevel="1" x14ac:dyDescent="0.25"/>
    <row r="317" spans="14:21" outlineLevel="1" x14ac:dyDescent="0.25"/>
    <row r="318" spans="14:21" outlineLevel="1" x14ac:dyDescent="0.25"/>
    <row r="319" spans="14:21" outlineLevel="1" x14ac:dyDescent="0.25"/>
    <row r="320" spans="14:21" outlineLevel="1" x14ac:dyDescent="0.25"/>
    <row r="321" outlineLevel="1" x14ac:dyDescent="0.25"/>
    <row r="322" outlineLevel="1" x14ac:dyDescent="0.25"/>
    <row r="323" outlineLevel="1" x14ac:dyDescent="0.25"/>
    <row r="324" outlineLevel="1" x14ac:dyDescent="0.25"/>
    <row r="325" outlineLevel="1" x14ac:dyDescent="0.25"/>
    <row r="326" outlineLevel="1" x14ac:dyDescent="0.25"/>
    <row r="327" outlineLevel="1" x14ac:dyDescent="0.25"/>
    <row r="328" outlineLevel="1" x14ac:dyDescent="0.25"/>
    <row r="329" outlineLevel="1" x14ac:dyDescent="0.25"/>
    <row r="330" outlineLevel="1" x14ac:dyDescent="0.25"/>
    <row r="331" outlineLevel="1" x14ac:dyDescent="0.25"/>
    <row r="332" outlineLevel="1" x14ac:dyDescent="0.25"/>
    <row r="333" outlineLevel="1" x14ac:dyDescent="0.25"/>
    <row r="334" outlineLevel="1" x14ac:dyDescent="0.25"/>
    <row r="335" outlineLevel="1" x14ac:dyDescent="0.25"/>
    <row r="336" outlineLevel="1" x14ac:dyDescent="0.25"/>
    <row r="337" outlineLevel="1" x14ac:dyDescent="0.25"/>
    <row r="338" outlineLevel="1" x14ac:dyDescent="0.25"/>
    <row r="339" outlineLevel="1" x14ac:dyDescent="0.25"/>
    <row r="340" outlineLevel="1" x14ac:dyDescent="0.25"/>
    <row r="341" outlineLevel="1" x14ac:dyDescent="0.25"/>
    <row r="342" outlineLevel="1" x14ac:dyDescent="0.25"/>
    <row r="343" outlineLevel="1" x14ac:dyDescent="0.25"/>
    <row r="344" outlineLevel="1" x14ac:dyDescent="0.25"/>
    <row r="345" outlineLevel="1" x14ac:dyDescent="0.25"/>
    <row r="346" outlineLevel="1" x14ac:dyDescent="0.25"/>
    <row r="347" outlineLevel="1" x14ac:dyDescent="0.25"/>
    <row r="348" outlineLevel="1" x14ac:dyDescent="0.25"/>
    <row r="349" outlineLevel="1" x14ac:dyDescent="0.25"/>
    <row r="350" outlineLevel="1" x14ac:dyDescent="0.25"/>
    <row r="351" outlineLevel="1" x14ac:dyDescent="0.25"/>
    <row r="352" outlineLevel="1" x14ac:dyDescent="0.25"/>
    <row r="353" outlineLevel="1" x14ac:dyDescent="0.25"/>
    <row r="354" outlineLevel="1" x14ac:dyDescent="0.25"/>
    <row r="355" outlineLevel="1" x14ac:dyDescent="0.25"/>
    <row r="356" outlineLevel="1" x14ac:dyDescent="0.25"/>
    <row r="357" outlineLevel="1" x14ac:dyDescent="0.25"/>
    <row r="358" outlineLevel="1" x14ac:dyDescent="0.25"/>
    <row r="359" outlineLevel="1" x14ac:dyDescent="0.25"/>
    <row r="360" outlineLevel="1" x14ac:dyDescent="0.25"/>
    <row r="361" outlineLevel="1" x14ac:dyDescent="0.25"/>
    <row r="362" outlineLevel="1" x14ac:dyDescent="0.25"/>
    <row r="363" outlineLevel="1" x14ac:dyDescent="0.25"/>
    <row r="364" outlineLevel="1" x14ac:dyDescent="0.25"/>
    <row r="365" outlineLevel="1" x14ac:dyDescent="0.25"/>
    <row r="366" outlineLevel="1" x14ac:dyDescent="0.25"/>
    <row r="367" outlineLevel="1" x14ac:dyDescent="0.25"/>
    <row r="368" outlineLevel="1" x14ac:dyDescent="0.25"/>
    <row r="369" outlineLevel="1" x14ac:dyDescent="0.25"/>
    <row r="370" outlineLevel="1" x14ac:dyDescent="0.25"/>
    <row r="371" outlineLevel="1" x14ac:dyDescent="0.25"/>
    <row r="372" outlineLevel="1" x14ac:dyDescent="0.25"/>
    <row r="373" outlineLevel="1" x14ac:dyDescent="0.25"/>
    <row r="374" outlineLevel="1" x14ac:dyDescent="0.25"/>
    <row r="375" outlineLevel="1" x14ac:dyDescent="0.25"/>
    <row r="376" outlineLevel="1" x14ac:dyDescent="0.25"/>
    <row r="377" outlineLevel="1" x14ac:dyDescent="0.25"/>
    <row r="378" outlineLevel="1" x14ac:dyDescent="0.25"/>
    <row r="379" outlineLevel="1" x14ac:dyDescent="0.25"/>
    <row r="380" outlineLevel="1" x14ac:dyDescent="0.25"/>
    <row r="381" outlineLevel="1" x14ac:dyDescent="0.25"/>
    <row r="382" outlineLevel="1" x14ac:dyDescent="0.25"/>
    <row r="383" outlineLevel="1" x14ac:dyDescent="0.25"/>
    <row r="384" outlineLevel="1" x14ac:dyDescent="0.25"/>
    <row r="385" outlineLevel="1" x14ac:dyDescent="0.25"/>
    <row r="386" outlineLevel="1" x14ac:dyDescent="0.25"/>
    <row r="387" outlineLevel="1" x14ac:dyDescent="0.25"/>
    <row r="388" outlineLevel="1" x14ac:dyDescent="0.25"/>
    <row r="389" outlineLevel="1" x14ac:dyDescent="0.25"/>
    <row r="390" outlineLevel="1" x14ac:dyDescent="0.25"/>
    <row r="391" outlineLevel="1" x14ac:dyDescent="0.25"/>
    <row r="392" outlineLevel="1" x14ac:dyDescent="0.25"/>
    <row r="393" outlineLevel="1" x14ac:dyDescent="0.25"/>
    <row r="394" outlineLevel="1" x14ac:dyDescent="0.25"/>
    <row r="395" outlineLevel="1" x14ac:dyDescent="0.25"/>
    <row r="396" outlineLevel="1" x14ac:dyDescent="0.25"/>
    <row r="397" outlineLevel="1" x14ac:dyDescent="0.25"/>
    <row r="398" outlineLevel="1" x14ac:dyDescent="0.25"/>
    <row r="399" outlineLevel="1" x14ac:dyDescent="0.25"/>
    <row r="400" outlineLevel="1" x14ac:dyDescent="0.25"/>
    <row r="401" outlineLevel="1" x14ac:dyDescent="0.25"/>
    <row r="402" outlineLevel="1" x14ac:dyDescent="0.25"/>
    <row r="403" outlineLevel="1" x14ac:dyDescent="0.25"/>
    <row r="404" outlineLevel="1" x14ac:dyDescent="0.25"/>
    <row r="405" outlineLevel="1" x14ac:dyDescent="0.25"/>
    <row r="406" outlineLevel="1" x14ac:dyDescent="0.25"/>
    <row r="407" outlineLevel="1" x14ac:dyDescent="0.25"/>
    <row r="408" outlineLevel="1" x14ac:dyDescent="0.25"/>
    <row r="409" outlineLevel="1" x14ac:dyDescent="0.25"/>
    <row r="410" outlineLevel="1" x14ac:dyDescent="0.25"/>
    <row r="411" outlineLevel="1" x14ac:dyDescent="0.25"/>
    <row r="412" outlineLevel="1" x14ac:dyDescent="0.25"/>
    <row r="413" outlineLevel="1" x14ac:dyDescent="0.25"/>
    <row r="414" outlineLevel="1" x14ac:dyDescent="0.25"/>
    <row r="415" outlineLevel="1" x14ac:dyDescent="0.25"/>
    <row r="416" outlineLevel="1" x14ac:dyDescent="0.25"/>
    <row r="417" outlineLevel="1" x14ac:dyDescent="0.25"/>
    <row r="418" outlineLevel="1" x14ac:dyDescent="0.25"/>
    <row r="419" outlineLevel="1" x14ac:dyDescent="0.25"/>
    <row r="420" outlineLevel="1" x14ac:dyDescent="0.25"/>
    <row r="421" outlineLevel="1" x14ac:dyDescent="0.25"/>
    <row r="422" outlineLevel="1" x14ac:dyDescent="0.25"/>
    <row r="423" outlineLevel="1" x14ac:dyDescent="0.25"/>
    <row r="424" outlineLevel="1" x14ac:dyDescent="0.25"/>
    <row r="425" outlineLevel="1" x14ac:dyDescent="0.25"/>
    <row r="426" outlineLevel="1" x14ac:dyDescent="0.25"/>
    <row r="427" outlineLevel="1" x14ac:dyDescent="0.25"/>
    <row r="428" outlineLevel="1" x14ac:dyDescent="0.25"/>
    <row r="429" outlineLevel="1" x14ac:dyDescent="0.25"/>
    <row r="430" outlineLevel="1" x14ac:dyDescent="0.25"/>
    <row r="431" outlineLevel="1" x14ac:dyDescent="0.25"/>
    <row r="432" outlineLevel="1" x14ac:dyDescent="0.25"/>
    <row r="433" outlineLevel="1" x14ac:dyDescent="0.25"/>
    <row r="434" outlineLevel="1" x14ac:dyDescent="0.25"/>
    <row r="435" outlineLevel="1" x14ac:dyDescent="0.25"/>
    <row r="436" outlineLevel="1" x14ac:dyDescent="0.25"/>
    <row r="437" outlineLevel="1" x14ac:dyDescent="0.25"/>
    <row r="438" outlineLevel="1" x14ac:dyDescent="0.25"/>
    <row r="439" outlineLevel="1" x14ac:dyDescent="0.25"/>
    <row r="440" outlineLevel="1" x14ac:dyDescent="0.25"/>
    <row r="441" outlineLevel="1" x14ac:dyDescent="0.25"/>
    <row r="442" outlineLevel="1" x14ac:dyDescent="0.25"/>
    <row r="443" outlineLevel="1" x14ac:dyDescent="0.25"/>
    <row r="444" outlineLevel="1" x14ac:dyDescent="0.25"/>
    <row r="445" outlineLevel="1" x14ac:dyDescent="0.25"/>
    <row r="446" outlineLevel="1" x14ac:dyDescent="0.25"/>
    <row r="447" outlineLevel="1" x14ac:dyDescent="0.25"/>
    <row r="448" outlineLevel="1" x14ac:dyDescent="0.25"/>
    <row r="449" spans="2:21" outlineLevel="1" x14ac:dyDescent="0.25"/>
    <row r="450" spans="2:21" outlineLevel="1" x14ac:dyDescent="0.25"/>
    <row r="451" spans="2:21" outlineLevel="1" x14ac:dyDescent="0.25"/>
    <row r="452" spans="2:21" outlineLevel="1" x14ac:dyDescent="0.25"/>
    <row r="453" spans="2:21" outlineLevel="1" x14ac:dyDescent="0.25"/>
    <row r="454" spans="2:21" outlineLevel="1" x14ac:dyDescent="0.25"/>
    <row r="455" spans="2:21" outlineLevel="1" x14ac:dyDescent="0.25"/>
    <row r="456" spans="2:21" outlineLevel="1" x14ac:dyDescent="0.25"/>
    <row r="457" spans="2:21" outlineLevel="1" x14ac:dyDescent="0.25"/>
    <row r="458" spans="2:21" outlineLevel="1" x14ac:dyDescent="0.25"/>
    <row r="459" spans="2:21" outlineLevel="1" x14ac:dyDescent="0.25"/>
    <row r="460" spans="2:21" outlineLevel="1" x14ac:dyDescent="0.25"/>
    <row r="461" spans="2:21" s="104" customFormat="1" outlineLevel="1" x14ac:dyDescent="0.25">
      <c r="B461" s="153" t="s">
        <v>825</v>
      </c>
      <c r="E461" s="45"/>
      <c r="F461" s="48"/>
      <c r="G461" s="48"/>
      <c r="H461" s="110"/>
      <c r="M461" s="104">
        <f>SUBTOTAL(9,M2:M460)</f>
        <v>36490.553899999984</v>
      </c>
      <c r="N461" s="76"/>
      <c r="O461" s="76"/>
      <c r="P461" s="76"/>
      <c r="Q461" s="76"/>
      <c r="R461" s="76"/>
      <c r="S461" s="76"/>
      <c r="T461" s="76"/>
      <c r="U461" s="76"/>
    </row>
  </sheetData>
  <sortState ref="A2:AB383">
    <sortCondition ref="A2:A383"/>
    <sortCondition ref="B2:B383"/>
  </sortState>
  <printOptions horizontalCentered="1" verticalCentered="1" gridLines="1"/>
  <pageMargins left="0.25" right="0.25" top="0.75" bottom="0.75" header="0.3" footer="0.3"/>
  <pageSetup scale="74" fitToHeight="10" orientation="landscape" r:id="rId1"/>
  <headerFooter scaleWithDoc="0" alignWithMargins="0">
    <oddHeader>&amp;L&amp;12Ricoh Invoice: 1-17-2013                             Meter Read Date: 11-28-2012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B7" sqref="B7"/>
    </sheetView>
  </sheetViews>
  <sheetFormatPr defaultRowHeight="15" x14ac:dyDescent="0.25"/>
  <cols>
    <col min="1" max="1" width="11.5703125" bestFit="1" customWidth="1"/>
    <col min="2" max="2" width="7" bestFit="1" customWidth="1"/>
    <col min="4" max="4" width="15.85546875" customWidth="1"/>
  </cols>
  <sheetData>
    <row r="1" spans="1:5" x14ac:dyDescent="0.25">
      <c r="A1" s="154" t="s">
        <v>772</v>
      </c>
      <c r="B1" s="154"/>
    </row>
    <row r="2" spans="1:5" x14ac:dyDescent="0.25">
      <c r="A2" s="39" t="s">
        <v>773</v>
      </c>
      <c r="B2" s="40">
        <v>2.07E-2</v>
      </c>
    </row>
    <row r="3" spans="1:5" x14ac:dyDescent="0.25">
      <c r="A3" s="39" t="s">
        <v>774</v>
      </c>
      <c r="B3" s="40">
        <v>8.6999999999999994E-2</v>
      </c>
    </row>
    <row r="4" spans="1:5" x14ac:dyDescent="0.25">
      <c r="A4" s="42"/>
      <c r="B4" s="42"/>
    </row>
    <row r="5" spans="1:5" x14ac:dyDescent="0.25">
      <c r="A5" s="39" t="s">
        <v>775</v>
      </c>
      <c r="B5" s="41">
        <v>2.6200000000000001E-2</v>
      </c>
    </row>
    <row r="6" spans="1:5" x14ac:dyDescent="0.25">
      <c r="A6" s="39" t="s">
        <v>776</v>
      </c>
      <c r="B6" s="40">
        <v>0.11799999999999999</v>
      </c>
    </row>
    <row r="8" spans="1:5" x14ac:dyDescent="0.25">
      <c r="D8" s="59" t="s">
        <v>785</v>
      </c>
      <c r="E8" s="59" t="s">
        <v>786</v>
      </c>
    </row>
    <row r="9" spans="1:5" x14ac:dyDescent="0.25">
      <c r="D9" s="50" t="s">
        <v>84</v>
      </c>
      <c r="E9" s="59" t="s">
        <v>709</v>
      </c>
    </row>
    <row r="10" spans="1:5" x14ac:dyDescent="0.25">
      <c r="D10" s="50" t="s">
        <v>90</v>
      </c>
      <c r="E10" s="59" t="s">
        <v>709</v>
      </c>
    </row>
    <row r="11" spans="1:5" x14ac:dyDescent="0.25">
      <c r="D11" s="50" t="s">
        <v>212</v>
      </c>
      <c r="E11" s="59" t="s">
        <v>709</v>
      </c>
    </row>
    <row r="12" spans="1:5" x14ac:dyDescent="0.25">
      <c r="D12" s="50" t="s">
        <v>18</v>
      </c>
      <c r="E12" s="59" t="s">
        <v>709</v>
      </c>
    </row>
    <row r="13" spans="1:5" x14ac:dyDescent="0.25">
      <c r="D13" s="50" t="s">
        <v>31</v>
      </c>
      <c r="E13" s="59" t="s">
        <v>709</v>
      </c>
    </row>
    <row r="14" spans="1:5" x14ac:dyDescent="0.25">
      <c r="D14" s="50" t="s">
        <v>162</v>
      </c>
      <c r="E14" s="59" t="s">
        <v>709</v>
      </c>
    </row>
    <row r="15" spans="1:5" x14ac:dyDescent="0.25">
      <c r="D15" s="50" t="s">
        <v>383</v>
      </c>
      <c r="E15" s="59" t="s">
        <v>709</v>
      </c>
    </row>
    <row r="16" spans="1:5" x14ac:dyDescent="0.25">
      <c r="D16" s="50" t="s">
        <v>25</v>
      </c>
      <c r="E16" s="59" t="s">
        <v>793</v>
      </c>
    </row>
    <row r="17" spans="4:5" x14ac:dyDescent="0.25">
      <c r="D17" s="50" t="s">
        <v>117</v>
      </c>
      <c r="E17" s="59" t="s">
        <v>793</v>
      </c>
    </row>
    <row r="18" spans="4:5" x14ac:dyDescent="0.25">
      <c r="D18" s="58"/>
      <c r="E18" s="60"/>
    </row>
  </sheetData>
  <sortState ref="D9:D225">
    <sortCondition ref="D218"/>
  </sortState>
  <mergeCells count="1">
    <mergeCell ref="A1:B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G15" sqref="G15"/>
    </sheetView>
  </sheetViews>
  <sheetFormatPr defaultRowHeight="15" x14ac:dyDescent="0.25"/>
  <cols>
    <col min="5" max="5" width="9.7109375" bestFit="1" customWidth="1"/>
    <col min="6" max="6" width="8.28515625" bestFit="1" customWidth="1"/>
    <col min="7" max="8" width="10.7109375" bestFit="1" customWidth="1"/>
  </cols>
  <sheetData>
    <row r="1" spans="1:8" ht="24" x14ac:dyDescent="0.25">
      <c r="A1" s="115"/>
      <c r="B1" s="116" t="s">
        <v>775</v>
      </c>
      <c r="C1" s="117">
        <f>Tables!B5</f>
        <v>2.6200000000000001E-2</v>
      </c>
      <c r="D1" s="118"/>
      <c r="E1" s="80" t="s">
        <v>763</v>
      </c>
      <c r="F1" s="81" t="s">
        <v>764</v>
      </c>
      <c r="G1" s="82" t="s">
        <v>765</v>
      </c>
      <c r="H1" s="83" t="s">
        <v>766</v>
      </c>
    </row>
    <row r="2" spans="1:8" ht="15.75" thickBot="1" x14ac:dyDescent="0.3">
      <c r="A2" s="119"/>
      <c r="B2" s="77" t="s">
        <v>776</v>
      </c>
      <c r="C2" s="84">
        <f>Tables!B6</f>
        <v>0.11799999999999999</v>
      </c>
      <c r="D2" s="85" t="s">
        <v>623</v>
      </c>
      <c r="E2" s="86">
        <f>SUMIF('VIM Bill'!G3:G296,"PTR",'VIM Bill'!I3:I296)</f>
        <v>269007</v>
      </c>
      <c r="F2" s="87">
        <f>SUMIF('VIM Bill'!G3:G296,"PTR",'VIM Bill'!J3:J296)</f>
        <v>2225</v>
      </c>
      <c r="G2" s="88">
        <f>E2*C1</f>
        <v>7047.9834000000001</v>
      </c>
      <c r="H2" s="89">
        <f>F2*C2</f>
        <v>262.55</v>
      </c>
    </row>
    <row r="3" spans="1:8" ht="15.75" thickBot="1" x14ac:dyDescent="0.3">
      <c r="A3" s="119"/>
      <c r="B3" s="90"/>
      <c r="C3" s="91"/>
      <c r="D3" s="79"/>
      <c r="E3" s="92"/>
      <c r="F3" s="92"/>
      <c r="G3" s="93"/>
      <c r="H3" s="120"/>
    </row>
    <row r="4" spans="1:8" ht="24" x14ac:dyDescent="0.25">
      <c r="A4" s="119"/>
      <c r="B4" s="77" t="s">
        <v>773</v>
      </c>
      <c r="C4" s="78">
        <f>Tables!B2</f>
        <v>2.07E-2</v>
      </c>
      <c r="D4" s="79"/>
      <c r="E4" s="80" t="s">
        <v>791</v>
      </c>
      <c r="F4" s="81" t="s">
        <v>792</v>
      </c>
      <c r="G4" s="82" t="s">
        <v>771</v>
      </c>
      <c r="H4" s="83" t="s">
        <v>761</v>
      </c>
    </row>
    <row r="5" spans="1:8" ht="15.75" thickBot="1" x14ac:dyDescent="0.3">
      <c r="A5" s="119"/>
      <c r="B5" s="77" t="s">
        <v>774</v>
      </c>
      <c r="C5" s="84">
        <f>Tables!B3</f>
        <v>8.6999999999999994E-2</v>
      </c>
      <c r="D5" s="85" t="s">
        <v>762</v>
      </c>
      <c r="E5" s="86">
        <f>SUMIF('VIM Bill'!G3:G296,"MFP",'VIM Bill'!I3:I296)</f>
        <v>863265</v>
      </c>
      <c r="F5" s="87">
        <f>SUMIF('VIM Bill'!G3:G296,"MFP",'VIM Bill'!J3:J296)</f>
        <v>130005</v>
      </c>
      <c r="G5" s="88">
        <f>SUM(E5)*C4</f>
        <v>17869.585500000001</v>
      </c>
      <c r="H5" s="89">
        <f>F5*C5</f>
        <v>11310.434999999999</v>
      </c>
    </row>
    <row r="6" spans="1:8" x14ac:dyDescent="0.25">
      <c r="A6" s="119"/>
      <c r="B6" s="90"/>
      <c r="C6" s="91"/>
      <c r="D6" s="79"/>
      <c r="E6" s="92"/>
      <c r="F6" s="92"/>
      <c r="G6" s="93"/>
      <c r="H6" s="120"/>
    </row>
    <row r="7" spans="1:8" ht="15.75" thickBot="1" x14ac:dyDescent="0.3">
      <c r="A7" s="119"/>
      <c r="B7" s="113"/>
      <c r="C7" s="113"/>
      <c r="D7" s="94"/>
      <c r="E7" s="113"/>
      <c r="F7" s="113"/>
      <c r="G7" s="113"/>
      <c r="H7" s="121"/>
    </row>
    <row r="8" spans="1:8" ht="24.75" thickBot="1" x14ac:dyDescent="0.3">
      <c r="A8" s="119"/>
      <c r="B8" s="113"/>
      <c r="C8" s="113"/>
      <c r="D8" s="79"/>
      <c r="E8" s="95" t="s">
        <v>767</v>
      </c>
      <c r="F8" s="96" t="s">
        <v>768</v>
      </c>
      <c r="G8" s="82" t="s">
        <v>767</v>
      </c>
      <c r="H8" s="83" t="s">
        <v>768</v>
      </c>
    </row>
    <row r="9" spans="1:8" ht="15.75" thickBot="1" x14ac:dyDescent="0.3">
      <c r="A9" s="122" t="s">
        <v>788</v>
      </c>
      <c r="B9" s="97">
        <f>COUNTIF('VIM Bill'!G3:G296,"MFP")</f>
        <v>59</v>
      </c>
      <c r="C9" s="113"/>
      <c r="D9" s="98" t="s">
        <v>706</v>
      </c>
      <c r="E9" s="99">
        <f>E2+E5</f>
        <v>1132272</v>
      </c>
      <c r="F9" s="99">
        <f>F2+F5</f>
        <v>132230</v>
      </c>
      <c r="G9" s="114">
        <f>G2+G5</f>
        <v>24917.568900000002</v>
      </c>
      <c r="H9" s="114">
        <f>H2+H5</f>
        <v>11572.984999999999</v>
      </c>
    </row>
    <row r="10" spans="1:8" ht="15.75" thickBot="1" x14ac:dyDescent="0.3">
      <c r="A10" s="122" t="s">
        <v>789</v>
      </c>
      <c r="B10" s="97">
        <f>COUNTIF('VIM Bill'!G3:G296,"PTR")</f>
        <v>158</v>
      </c>
      <c r="C10" s="113"/>
      <c r="D10" s="113"/>
      <c r="E10" s="113"/>
      <c r="F10" s="113"/>
      <c r="G10" s="113"/>
      <c r="H10" s="121"/>
    </row>
    <row r="11" spans="1:8" ht="24.75" thickBot="1" x14ac:dyDescent="0.3">
      <c r="A11" s="123" t="s">
        <v>770</v>
      </c>
      <c r="B11" s="97">
        <f>SUM(B9:B10)</f>
        <v>217</v>
      </c>
      <c r="C11" s="124"/>
      <c r="D11" s="124"/>
      <c r="E11" s="124"/>
      <c r="F11" s="124"/>
      <c r="G11" s="100" t="s">
        <v>769</v>
      </c>
      <c r="H11" s="101">
        <f>H9+G9</f>
        <v>36490.553899999999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H28" sqref="H28"/>
    </sheetView>
  </sheetViews>
  <sheetFormatPr defaultRowHeight="15" x14ac:dyDescent="0.25"/>
  <cols>
    <col min="1" max="1" width="16.5703125" bestFit="1" customWidth="1"/>
    <col min="2" max="2" width="21.42578125" bestFit="1" customWidth="1"/>
    <col min="3" max="3" width="13.85546875" bestFit="1" customWidth="1"/>
    <col min="4" max="4" width="13.5703125" customWidth="1"/>
    <col min="5" max="5" width="6.28515625" bestFit="1" customWidth="1"/>
    <col min="6" max="6" width="13.85546875" customWidth="1"/>
    <col min="7" max="7" width="7.7109375" bestFit="1" customWidth="1"/>
    <col min="8" max="8" width="9.5703125" bestFit="1" customWidth="1"/>
  </cols>
  <sheetData>
    <row r="1" spans="1:8" s="130" customFormat="1" ht="27" thickBot="1" x14ac:dyDescent="0.3">
      <c r="A1" s="103" t="s">
        <v>805</v>
      </c>
      <c r="B1" s="125" t="s">
        <v>778</v>
      </c>
      <c r="C1" s="126" t="s">
        <v>708</v>
      </c>
      <c r="D1" s="127" t="s">
        <v>0</v>
      </c>
      <c r="E1" s="128" t="s">
        <v>6</v>
      </c>
      <c r="F1" s="127" t="s">
        <v>7</v>
      </c>
      <c r="G1" s="127" t="s">
        <v>10</v>
      </c>
      <c r="H1" s="129" t="s">
        <v>779</v>
      </c>
    </row>
    <row r="2" spans="1:8" x14ac:dyDescent="0.25">
      <c r="A2" s="131" t="s">
        <v>801</v>
      </c>
      <c r="B2" s="131" t="s">
        <v>396</v>
      </c>
      <c r="C2" s="131" t="s">
        <v>656</v>
      </c>
      <c r="D2" s="132" t="s">
        <v>802</v>
      </c>
      <c r="E2" s="133" t="s">
        <v>803</v>
      </c>
      <c r="F2" s="46"/>
      <c r="G2" s="46"/>
      <c r="H2" s="66" t="s">
        <v>813</v>
      </c>
    </row>
    <row r="3" spans="1:8" x14ac:dyDescent="0.25">
      <c r="A3" s="131" t="s">
        <v>801</v>
      </c>
      <c r="B3" s="131" t="s">
        <v>396</v>
      </c>
      <c r="C3" s="131" t="s">
        <v>656</v>
      </c>
      <c r="D3" s="132" t="s">
        <v>802</v>
      </c>
      <c r="E3" s="133" t="s">
        <v>803</v>
      </c>
      <c r="F3" s="46"/>
      <c r="G3" s="47"/>
      <c r="H3" s="67" t="s">
        <v>814</v>
      </c>
    </row>
    <row r="4" spans="1:8" x14ac:dyDescent="0.25">
      <c r="A4" s="31" t="s">
        <v>367</v>
      </c>
      <c r="B4" s="57" t="s">
        <v>366</v>
      </c>
      <c r="C4" s="52" t="s">
        <v>367</v>
      </c>
      <c r="D4" s="53" t="s">
        <v>39</v>
      </c>
      <c r="E4" s="43"/>
      <c r="F4" s="46"/>
      <c r="H4" t="s">
        <v>806</v>
      </c>
    </row>
    <row r="5" spans="1:8" x14ac:dyDescent="0.25">
      <c r="A5" t="s">
        <v>807</v>
      </c>
      <c r="B5" t="s">
        <v>812</v>
      </c>
      <c r="D5" t="s">
        <v>808</v>
      </c>
      <c r="H5" t="s">
        <v>809</v>
      </c>
    </row>
    <row r="6" spans="1:8" x14ac:dyDescent="0.25">
      <c r="A6" t="s">
        <v>807</v>
      </c>
      <c r="B6" t="s">
        <v>812</v>
      </c>
      <c r="D6" t="s">
        <v>808</v>
      </c>
      <c r="H6" t="s">
        <v>810</v>
      </c>
    </row>
    <row r="7" spans="1:8" x14ac:dyDescent="0.25">
      <c r="A7" t="s">
        <v>807</v>
      </c>
      <c r="B7" t="s">
        <v>812</v>
      </c>
      <c r="D7" t="s">
        <v>808</v>
      </c>
      <c r="H7" t="s">
        <v>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Bill</vt:lpstr>
      <vt:lpstr>VIM Bill</vt:lpstr>
      <vt:lpstr>Tables</vt:lpstr>
      <vt:lpstr>Totals</vt:lpstr>
      <vt:lpstr>Additional Printers</vt:lpstr>
      <vt:lpstr>Bill!Print_Area</vt:lpstr>
      <vt:lpstr>'VIM Bill'!Print_Area</vt:lpstr>
      <vt:lpstr>Bill!Print_Titles</vt:lpstr>
      <vt:lpstr>'VIM Bill'!Print_Titles</vt:lpstr>
    </vt:vector>
  </TitlesOfParts>
  <Company>Virginia Military Institute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2013-01-23T16:03:08Z</cp:lastPrinted>
  <dcterms:created xsi:type="dcterms:W3CDTF">2012-12-31T15:08:14Z</dcterms:created>
  <dcterms:modified xsi:type="dcterms:W3CDTF">2013-02-21T17:34:07Z</dcterms:modified>
</cp:coreProperties>
</file>