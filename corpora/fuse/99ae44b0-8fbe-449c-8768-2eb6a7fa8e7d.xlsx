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7"/>
  <workbookPr defaultThemeVersion="124226"/>
  <bookViews>
    <workbookView xWindow="360" yWindow="90" windowWidth="13395" windowHeight="5955" tabRatio="787"/>
  </bookViews>
  <sheets>
    <sheet name=" Deliverables" sheetId="1" r:id="rId1"/>
    <sheet name="DevelopmentFacility" sheetId="8" r:id="rId2"/>
    <sheet name="Hardware" sheetId="4" r:id="rId3"/>
    <sheet name="Software" sheetId="5" r:id="rId4"/>
    <sheet name="Labor Rates" sheetId="10" r:id="rId5"/>
    <sheet name="Operations" sheetId="2" r:id="rId6"/>
    <sheet name="Summary" sheetId="3" r:id="rId7"/>
    <sheet name="Sheet1" sheetId="9" state="hidden" r:id="rId8"/>
  </sheets>
  <definedNames>
    <definedName name="LicenseType">Sheet1!$B$3:$B$5</definedName>
    <definedName name="_xlnm.Print_Area" localSheetId="3">Software!$A$3:$X$47</definedName>
    <definedName name="ProdSource">Sheet1!$B$7:$B$8</definedName>
  </definedNames>
  <calcPr calcId="125725"/>
</workbook>
</file>

<file path=xl/calcChain.xml><?xml version="1.0" encoding="utf-8"?>
<calcChain xmlns="http://schemas.openxmlformats.org/spreadsheetml/2006/main">
  <c r="K8" i="8"/>
  <c r="J8"/>
  <c r="I8"/>
  <c r="H8"/>
  <c r="G8"/>
  <c r="F8"/>
  <c r="E8"/>
  <c r="L6"/>
  <c r="C12" i="3" s="1"/>
  <c r="L5" i="8"/>
  <c r="C11" i="3" s="1"/>
  <c r="L4" i="8"/>
  <c r="C10" i="3" s="1"/>
  <c r="D8" i="8"/>
  <c r="N23" i="1"/>
  <c r="E13" i="3"/>
  <c r="F13"/>
  <c r="G13"/>
  <c r="H13"/>
  <c r="I13"/>
  <c r="J13"/>
  <c r="K13"/>
  <c r="D13"/>
  <c r="L7" i="8"/>
  <c r="C13" i="3" s="1"/>
  <c r="K22" i="2"/>
  <c r="K11"/>
  <c r="E28" i="3"/>
  <c r="F28"/>
  <c r="G28"/>
  <c r="H28"/>
  <c r="I28"/>
  <c r="J28"/>
  <c r="K28"/>
  <c r="D28"/>
  <c r="D24" i="2"/>
  <c r="E24"/>
  <c r="F24"/>
  <c r="G24"/>
  <c r="H24"/>
  <c r="I24"/>
  <c r="J24"/>
  <c r="D25"/>
  <c r="E25"/>
  <c r="F25"/>
  <c r="G25"/>
  <c r="H25"/>
  <c r="I25"/>
  <c r="J25"/>
  <c r="C24"/>
  <c r="D13"/>
  <c r="E13"/>
  <c r="F13"/>
  <c r="G13"/>
  <c r="H13"/>
  <c r="I13"/>
  <c r="J13"/>
  <c r="D14"/>
  <c r="E14"/>
  <c r="F14"/>
  <c r="G14"/>
  <c r="H14"/>
  <c r="I14"/>
  <c r="J14"/>
  <c r="C13"/>
  <c r="E32" i="3"/>
  <c r="F32"/>
  <c r="G32"/>
  <c r="H32"/>
  <c r="I32"/>
  <c r="J32"/>
  <c r="K32"/>
  <c r="D32"/>
  <c r="C32" s="1"/>
  <c r="E31"/>
  <c r="F31"/>
  <c r="G31"/>
  <c r="H31"/>
  <c r="I31"/>
  <c r="J31"/>
  <c r="K31"/>
  <c r="D31"/>
  <c r="C31" s="1"/>
  <c r="E29"/>
  <c r="F29"/>
  <c r="G29"/>
  <c r="H29"/>
  <c r="I29"/>
  <c r="J29"/>
  <c r="K29"/>
  <c r="D29"/>
  <c r="K10"/>
  <c r="K11"/>
  <c r="K12"/>
  <c r="K17" i="2"/>
  <c r="K19"/>
  <c r="K20"/>
  <c r="K21"/>
  <c r="K23"/>
  <c r="K16"/>
  <c r="C25"/>
  <c r="C14"/>
  <c r="K6"/>
  <c r="K8"/>
  <c r="K9"/>
  <c r="K10"/>
  <c r="K12"/>
  <c r="K5"/>
  <c r="P46" i="5"/>
  <c r="P6"/>
  <c r="P7"/>
  <c r="P8"/>
  <c r="P9"/>
  <c r="P10"/>
  <c r="P11"/>
  <c r="P12"/>
  <c r="P13"/>
  <c r="P14"/>
  <c r="P15"/>
  <c r="P16"/>
  <c r="P17"/>
  <c r="P18"/>
  <c r="P19"/>
  <c r="P20"/>
  <c r="P21"/>
  <c r="P22"/>
  <c r="P23"/>
  <c r="P24"/>
  <c r="P25"/>
  <c r="P26"/>
  <c r="P27"/>
  <c r="P28"/>
  <c r="P29"/>
  <c r="P30"/>
  <c r="P31"/>
  <c r="P32"/>
  <c r="P33"/>
  <c r="P34"/>
  <c r="P35"/>
  <c r="P36"/>
  <c r="P37"/>
  <c r="P38"/>
  <c r="P39"/>
  <c r="P40"/>
  <c r="P41"/>
  <c r="P42"/>
  <c r="P43"/>
  <c r="P44"/>
  <c r="P45"/>
  <c r="P5"/>
  <c r="X47"/>
  <c r="K21" i="3" s="1"/>
  <c r="H47" i="5"/>
  <c r="D20" i="3" s="1"/>
  <c r="I47" i="5"/>
  <c r="E20" i="3" s="1"/>
  <c r="J47" i="5"/>
  <c r="K47"/>
  <c r="L47"/>
  <c r="M47"/>
  <c r="I20" i="3" s="1"/>
  <c r="N47" i="5"/>
  <c r="J20" i="3" s="1"/>
  <c r="O47" i="5"/>
  <c r="K20" i="3" s="1"/>
  <c r="G6" i="5"/>
  <c r="G7"/>
  <c r="G8"/>
  <c r="G9"/>
  <c r="G10"/>
  <c r="G11"/>
  <c r="G12"/>
  <c r="G13"/>
  <c r="G14"/>
  <c r="G15"/>
  <c r="G16"/>
  <c r="G17"/>
  <c r="G18"/>
  <c r="G19"/>
  <c r="G20"/>
  <c r="G21"/>
  <c r="G22"/>
  <c r="G23"/>
  <c r="G24"/>
  <c r="G25"/>
  <c r="G26"/>
  <c r="G27"/>
  <c r="G28"/>
  <c r="G29"/>
  <c r="G30"/>
  <c r="G31"/>
  <c r="G32"/>
  <c r="G33"/>
  <c r="G34"/>
  <c r="G35"/>
  <c r="G36"/>
  <c r="G37"/>
  <c r="G38"/>
  <c r="G39"/>
  <c r="G40"/>
  <c r="G41"/>
  <c r="G42"/>
  <c r="G43"/>
  <c r="G44"/>
  <c r="G45"/>
  <c r="G46"/>
  <c r="G5"/>
  <c r="O6" i="4"/>
  <c r="O7"/>
  <c r="O8"/>
  <c r="O9"/>
  <c r="O10"/>
  <c r="O11"/>
  <c r="O12"/>
  <c r="O13"/>
  <c r="O14"/>
  <c r="O15"/>
  <c r="O16"/>
  <c r="O17"/>
  <c r="O18"/>
  <c r="O19"/>
  <c r="O20"/>
  <c r="O21"/>
  <c r="O22"/>
  <c r="O23"/>
  <c r="O24"/>
  <c r="O25"/>
  <c r="O26"/>
  <c r="O27"/>
  <c r="O28"/>
  <c r="O29"/>
  <c r="O30"/>
  <c r="O31"/>
  <c r="O32"/>
  <c r="O33"/>
  <c r="O34"/>
  <c r="O35"/>
  <c r="O36"/>
  <c r="O37"/>
  <c r="O38"/>
  <c r="O39"/>
  <c r="O40"/>
  <c r="O41"/>
  <c r="O42"/>
  <c r="O43"/>
  <c r="O5"/>
  <c r="F6"/>
  <c r="F7"/>
  <c r="F8"/>
  <c r="F9"/>
  <c r="F10"/>
  <c r="F11"/>
  <c r="F12"/>
  <c r="F13"/>
  <c r="F14"/>
  <c r="F15"/>
  <c r="F16"/>
  <c r="F17"/>
  <c r="F18"/>
  <c r="F19"/>
  <c r="F20"/>
  <c r="F21"/>
  <c r="F22"/>
  <c r="F23"/>
  <c r="F24"/>
  <c r="F25"/>
  <c r="F26"/>
  <c r="F27"/>
  <c r="F28"/>
  <c r="F29"/>
  <c r="F30"/>
  <c r="F31"/>
  <c r="F32"/>
  <c r="F33"/>
  <c r="F34"/>
  <c r="F35"/>
  <c r="F36"/>
  <c r="F37"/>
  <c r="F38"/>
  <c r="F39"/>
  <c r="F40"/>
  <c r="F41"/>
  <c r="F42"/>
  <c r="F43"/>
  <c r="F5"/>
  <c r="Q44"/>
  <c r="E17" i="3" s="1"/>
  <c r="R44" i="4"/>
  <c r="F17" i="3" s="1"/>
  <c r="S44" i="4"/>
  <c r="G17" i="3" s="1"/>
  <c r="T44" i="4"/>
  <c r="H17" i="3" s="1"/>
  <c r="U44" i="4"/>
  <c r="I17" i="3" s="1"/>
  <c r="V44" i="4"/>
  <c r="J17" i="3" s="1"/>
  <c r="W44" i="4"/>
  <c r="K17" i="3" s="1"/>
  <c r="I44" i="4"/>
  <c r="F16" i="3" s="1"/>
  <c r="J44" i="4"/>
  <c r="G16" i="3" s="1"/>
  <c r="K44" i="4"/>
  <c r="L44"/>
  <c r="I16" i="3" s="1"/>
  <c r="M44" i="4"/>
  <c r="J16" i="3" s="1"/>
  <c r="N44" i="4"/>
  <c r="K16" i="3" s="1"/>
  <c r="F51" i="1"/>
  <c r="F52"/>
  <c r="F53"/>
  <c r="F50"/>
  <c r="N54"/>
  <c r="F46"/>
  <c r="F47" s="1"/>
  <c r="N47"/>
  <c r="K26" i="3" s="1"/>
  <c r="F35" i="1"/>
  <c r="F36"/>
  <c r="F37"/>
  <c r="F38"/>
  <c r="F39"/>
  <c r="F40"/>
  <c r="F41"/>
  <c r="F42"/>
  <c r="F34"/>
  <c r="N43"/>
  <c r="K7" i="3" s="1"/>
  <c r="F27" i="1"/>
  <c r="F28"/>
  <c r="F29"/>
  <c r="F30"/>
  <c r="F26"/>
  <c r="N31"/>
  <c r="K6" i="3" s="1"/>
  <c r="F6" i="1"/>
  <c r="F7"/>
  <c r="F8"/>
  <c r="F9"/>
  <c r="F10"/>
  <c r="F11"/>
  <c r="F12"/>
  <c r="F13"/>
  <c r="F14"/>
  <c r="F15"/>
  <c r="F16"/>
  <c r="F17"/>
  <c r="F18"/>
  <c r="F19"/>
  <c r="F20"/>
  <c r="F21"/>
  <c r="F22"/>
  <c r="F5"/>
  <c r="K5" i="3"/>
  <c r="G54" i="1"/>
  <c r="H54"/>
  <c r="I54"/>
  <c r="J54"/>
  <c r="K54"/>
  <c r="L54"/>
  <c r="M54"/>
  <c r="M47"/>
  <c r="L47"/>
  <c r="K47"/>
  <c r="H26" i="3" s="1"/>
  <c r="J47" i="1"/>
  <c r="I47"/>
  <c r="H47"/>
  <c r="G47"/>
  <c r="B6" i="10"/>
  <c r="B7" s="1"/>
  <c r="B8" s="1"/>
  <c r="B9" s="1"/>
  <c r="B10" s="1"/>
  <c r="B11" s="1"/>
  <c r="B12" s="1"/>
  <c r="B13" s="1"/>
  <c r="B14" s="1"/>
  <c r="B15" s="1"/>
  <c r="B16" s="1"/>
  <c r="B17" s="1"/>
  <c r="B18" s="1"/>
  <c r="B19" s="1"/>
  <c r="B20" s="1"/>
  <c r="B21" s="1"/>
  <c r="B22" s="1"/>
  <c r="B23" s="1"/>
  <c r="B24" s="1"/>
  <c r="B25" s="1"/>
  <c r="B26" s="1"/>
  <c r="B27" s="1"/>
  <c r="B28" s="1"/>
  <c r="B29" s="1"/>
  <c r="B30" s="1"/>
  <c r="B31" s="1"/>
  <c r="B32" s="1"/>
  <c r="B33" s="1"/>
  <c r="B34" s="1"/>
  <c r="B35" s="1"/>
  <c r="B36" s="1"/>
  <c r="B37" s="1"/>
  <c r="E10" i="3"/>
  <c r="F10"/>
  <c r="G10"/>
  <c r="H10"/>
  <c r="I10"/>
  <c r="J10"/>
  <c r="E11"/>
  <c r="F11"/>
  <c r="G11"/>
  <c r="H11"/>
  <c r="I11"/>
  <c r="J11"/>
  <c r="E12"/>
  <c r="F12"/>
  <c r="G12"/>
  <c r="H12"/>
  <c r="I12"/>
  <c r="J12"/>
  <c r="D11"/>
  <c r="D12"/>
  <c r="D10"/>
  <c r="R47" i="5"/>
  <c r="E21" i="3" s="1"/>
  <c r="S47" i="5"/>
  <c r="F21" i="3" s="1"/>
  <c r="T47" i="5"/>
  <c r="G21" i="3" s="1"/>
  <c r="U47" i="5"/>
  <c r="H21" i="3" s="1"/>
  <c r="V47" i="5"/>
  <c r="I21" i="3" s="1"/>
  <c r="W47" i="5"/>
  <c r="J21" i="3" s="1"/>
  <c r="Q47" i="5"/>
  <c r="D21" i="3" s="1"/>
  <c r="G20"/>
  <c r="H20"/>
  <c r="H44" i="4"/>
  <c r="E16" i="3" s="1"/>
  <c r="P44" i="4"/>
  <c r="D17" i="3" s="1"/>
  <c r="G44" i="4"/>
  <c r="D16" i="3" s="1"/>
  <c r="G23" i="1"/>
  <c r="D5" i="3" s="1"/>
  <c r="H23" i="1"/>
  <c r="I23"/>
  <c r="F5" i="3" s="1"/>
  <c r="J23" i="1"/>
  <c r="K23"/>
  <c r="H5" i="3" s="1"/>
  <c r="L23" i="1"/>
  <c r="I5" i="3" s="1"/>
  <c r="M23" i="1"/>
  <c r="J5" i="3" s="1"/>
  <c r="G31" i="1"/>
  <c r="D6" i="3" s="1"/>
  <c r="H31" i="1"/>
  <c r="E6" i="3" s="1"/>
  <c r="I31" i="1"/>
  <c r="F6" i="3" s="1"/>
  <c r="J31" i="1"/>
  <c r="G6" i="3" s="1"/>
  <c r="K31" i="1"/>
  <c r="H6" i="3" s="1"/>
  <c r="L31" i="1"/>
  <c r="I6" i="3" s="1"/>
  <c r="M31" i="1"/>
  <c r="J6" i="3" s="1"/>
  <c r="G43" i="1"/>
  <c r="D7" i="3" s="1"/>
  <c r="H43" i="1"/>
  <c r="E7" i="3" s="1"/>
  <c r="I43" i="1"/>
  <c r="F7" i="3" s="1"/>
  <c r="J43" i="1"/>
  <c r="G7" i="3" s="1"/>
  <c r="K43" i="1"/>
  <c r="H7" i="3" s="1"/>
  <c r="L43" i="1"/>
  <c r="I7" i="3" s="1"/>
  <c r="M43" i="1"/>
  <c r="J7" i="3" s="1"/>
  <c r="B6" i="1"/>
  <c r="B7" s="1"/>
  <c r="B8" s="1"/>
  <c r="B9" s="1"/>
  <c r="B10" s="1"/>
  <c r="B11" s="1"/>
  <c r="B12" s="1"/>
  <c r="B13" s="1"/>
  <c r="B14" s="1"/>
  <c r="B15" s="1"/>
  <c r="B16" s="1"/>
  <c r="B17" s="1"/>
  <c r="B18" s="1"/>
  <c r="B19" s="1"/>
  <c r="B20" s="1"/>
  <c r="B21" s="1"/>
  <c r="B22" s="1"/>
  <c r="B26" s="1"/>
  <c r="H34" i="3" l="1"/>
  <c r="L8" i="8"/>
  <c r="I26" i="3"/>
  <c r="I34" s="1"/>
  <c r="K24" i="2"/>
  <c r="K25"/>
  <c r="J55" i="1"/>
  <c r="K8" i="3"/>
  <c r="H55" i="1"/>
  <c r="N55"/>
  <c r="L55"/>
  <c r="M55"/>
  <c r="K55"/>
  <c r="I55"/>
  <c r="H8" i="3"/>
  <c r="H14"/>
  <c r="E14"/>
  <c r="I8"/>
  <c r="I14"/>
  <c r="J8"/>
  <c r="F8"/>
  <c r="J14"/>
  <c r="F14"/>
  <c r="K34"/>
  <c r="G55" i="1"/>
  <c r="D8" i="3"/>
  <c r="D14"/>
  <c r="K14"/>
  <c r="G14"/>
  <c r="D26"/>
  <c r="D34" s="1"/>
  <c r="K13" i="2"/>
  <c r="K14"/>
  <c r="C28" i="3"/>
  <c r="C29"/>
  <c r="K22"/>
  <c r="K18"/>
  <c r="K33"/>
  <c r="G47" i="5"/>
  <c r="C20" i="3" s="1"/>
  <c r="D22"/>
  <c r="E26"/>
  <c r="E34" s="1"/>
  <c r="F26"/>
  <c r="F34" s="1"/>
  <c r="J26"/>
  <c r="J34" s="1"/>
  <c r="F23" i="1"/>
  <c r="C5" i="3" s="1"/>
  <c r="G26"/>
  <c r="G34" s="1"/>
  <c r="F44" i="4"/>
  <c r="C16" i="3" s="1"/>
  <c r="F54" i="1"/>
  <c r="F31"/>
  <c r="C6" i="3" s="1"/>
  <c r="F43" i="1"/>
  <c r="B27"/>
  <c r="B28" s="1"/>
  <c r="B29" s="1"/>
  <c r="B30" s="1"/>
  <c r="G22" i="3"/>
  <c r="I22"/>
  <c r="E22"/>
  <c r="J22"/>
  <c r="H22"/>
  <c r="F20"/>
  <c r="F22" s="1"/>
  <c r="O44" i="4"/>
  <c r="C17" i="3" s="1"/>
  <c r="J18"/>
  <c r="F18"/>
  <c r="D18"/>
  <c r="G18"/>
  <c r="I18"/>
  <c r="E18"/>
  <c r="E5"/>
  <c r="E8" s="1"/>
  <c r="G5"/>
  <c r="G8" s="1"/>
  <c r="C14" l="1"/>
  <c r="C26"/>
  <c r="K23"/>
  <c r="K35" s="1"/>
  <c r="C18"/>
  <c r="I23"/>
  <c r="E33"/>
  <c r="F55" i="1"/>
  <c r="G23" i="3"/>
  <c r="F23"/>
  <c r="C7"/>
  <c r="C8" s="1"/>
  <c r="B34" i="1"/>
  <c r="B35" s="1"/>
  <c r="B36" s="1"/>
  <c r="B37" s="1"/>
  <c r="B38" s="1"/>
  <c r="B39" s="1"/>
  <c r="B40" s="1"/>
  <c r="B41" s="1"/>
  <c r="B42" s="1"/>
  <c r="B46" s="1"/>
  <c r="B50" s="1"/>
  <c r="B51" s="1"/>
  <c r="B52" s="1"/>
  <c r="B53" s="1"/>
  <c r="I33" i="3"/>
  <c r="D23"/>
  <c r="J23"/>
  <c r="E23"/>
  <c r="J33"/>
  <c r="F33"/>
  <c r="G33"/>
  <c r="D33"/>
  <c r="C33" l="1"/>
  <c r="C34"/>
  <c r="I35"/>
  <c r="E35"/>
  <c r="G35"/>
  <c r="J35"/>
  <c r="F35"/>
  <c r="D35"/>
  <c r="P47" i="5"/>
  <c r="C21" i="3" s="1"/>
  <c r="C22" s="1"/>
  <c r="C23" s="1"/>
  <c r="H16"/>
  <c r="H33" l="1"/>
  <c r="H18"/>
  <c r="H23" s="1"/>
  <c r="H35" l="1"/>
  <c r="C35"/>
  <c r="C37" s="1"/>
</calcChain>
</file>

<file path=xl/sharedStrings.xml><?xml version="1.0" encoding="utf-8"?>
<sst xmlns="http://schemas.openxmlformats.org/spreadsheetml/2006/main" count="312" uniqueCount="139">
  <si>
    <t>Software Product</t>
  </si>
  <si>
    <t>Number of Licenses</t>
  </si>
  <si>
    <t>License Type</t>
  </si>
  <si>
    <t xml:space="preserve">COTS or Proprietary </t>
  </si>
  <si>
    <t>Annual Maintenance Fee*</t>
  </si>
  <si>
    <t>Total</t>
  </si>
  <si>
    <t>Hardware Product</t>
  </si>
  <si>
    <t>Line Item Description</t>
  </si>
  <si>
    <t>Operations</t>
  </si>
  <si>
    <t>Salaries and Benefits</t>
  </si>
  <si>
    <t>Administrative Overhead</t>
  </si>
  <si>
    <t>Other Costs (itemized in the following rows)</t>
  </si>
  <si>
    <t>Operations Office Spaces</t>
  </si>
  <si>
    <t>Project Management Plan</t>
  </si>
  <si>
    <t>Test and Evaluation Management Plan (TEMP)</t>
  </si>
  <si>
    <t>Phase 1 Completion Report</t>
  </si>
  <si>
    <t>Requirements Traceability Matrix (RTM)</t>
  </si>
  <si>
    <t>Implementation Master Plan</t>
  </si>
  <si>
    <t>Detailed Training Plan</t>
  </si>
  <si>
    <t>Performance Management Plan</t>
  </si>
  <si>
    <t>Final Acceptance Certification</t>
  </si>
  <si>
    <t>Turnover Plan - Detailed Planning</t>
  </si>
  <si>
    <t>Turnover Management and Status Reporting</t>
  </si>
  <si>
    <t>Turnover Deliverables and Archive Complete</t>
  </si>
  <si>
    <t>Turnover Final Status Report</t>
  </si>
  <si>
    <t>Deliverable</t>
  </si>
  <si>
    <t>Subtotal</t>
  </si>
  <si>
    <t>Phase II Subtotal</t>
  </si>
  <si>
    <t>Phase I Subtotal</t>
  </si>
  <si>
    <t>Phase III Subtotal</t>
  </si>
  <si>
    <t>Phase IV Subtotal</t>
  </si>
  <si>
    <t>Phase VI Subtotal</t>
  </si>
  <si>
    <t>Phase I</t>
  </si>
  <si>
    <t>Phase II</t>
  </si>
  <si>
    <t>Phase III</t>
  </si>
  <si>
    <t>DDI - Deliverables</t>
  </si>
  <si>
    <t>DDI - Facilities</t>
  </si>
  <si>
    <t>Development Facility</t>
  </si>
  <si>
    <t>Design Development and Implementation (DDI)</t>
  </si>
  <si>
    <t xml:space="preserve">Maintenance Fee </t>
  </si>
  <si>
    <t>Deliverables</t>
  </si>
  <si>
    <t>Professional Services</t>
  </si>
  <si>
    <t>SFY2014</t>
  </si>
  <si>
    <t>SFY2015</t>
  </si>
  <si>
    <t>SFY2016</t>
  </si>
  <si>
    <t>SFY2017</t>
  </si>
  <si>
    <t>SFY2018</t>
  </si>
  <si>
    <t>Total Cost</t>
  </si>
  <si>
    <t>Total DDI Cost</t>
  </si>
  <si>
    <t>Total Operations Cost</t>
  </si>
  <si>
    <t xml:space="preserve">           Total Cost (DDI + Operations)</t>
  </si>
  <si>
    <t>Purchase Cost</t>
  </si>
  <si>
    <t>Number</t>
  </si>
  <si>
    <t>Phase II - DEVELOPMENT, CONFIGURATION, AND UAT TEST</t>
  </si>
  <si>
    <t>NameList</t>
  </si>
  <si>
    <t>Values</t>
  </si>
  <si>
    <t>Concurrent</t>
  </si>
  <si>
    <t>Named</t>
  </si>
  <si>
    <t>Site</t>
  </si>
  <si>
    <t>Item Number</t>
  </si>
  <si>
    <t>ProdSource</t>
  </si>
  <si>
    <t>COTS</t>
  </si>
  <si>
    <t>Proprietary</t>
  </si>
  <si>
    <t>Data Center (State Facility)</t>
  </si>
  <si>
    <t>Operations less Facility Costs</t>
  </si>
  <si>
    <t>Data Center (Vendor Facility)</t>
  </si>
  <si>
    <t>Installation/Configuration Costs (State Facility)</t>
  </si>
  <si>
    <t>DEV.1</t>
  </si>
  <si>
    <t>DEV.3</t>
  </si>
  <si>
    <t>DEV.4</t>
  </si>
  <si>
    <t>TOTAL</t>
  </si>
  <si>
    <t>Description</t>
  </si>
  <si>
    <t>Total by SFY</t>
  </si>
  <si>
    <t xml:space="preserve">Installation/Configuration Costs </t>
  </si>
  <si>
    <t>Base Year</t>
  </si>
  <si>
    <t>Renewal Year 1</t>
  </si>
  <si>
    <t>Renewal Year 2</t>
  </si>
  <si>
    <t>Renewal Year 3</t>
  </si>
  <si>
    <t>Renewal Year 4</t>
  </si>
  <si>
    <t>Renewal Year 5</t>
  </si>
  <si>
    <t>Renewal Year 6</t>
  </si>
  <si>
    <t>Miscellaneous Costs</t>
  </si>
  <si>
    <t>Labor Category</t>
  </si>
  <si>
    <t>Hourly Rate</t>
  </si>
  <si>
    <t>CI Number</t>
  </si>
  <si>
    <t>Project Facility Plan - Data Center</t>
  </si>
  <si>
    <t>Infrastructure Assets Inventory</t>
  </si>
  <si>
    <t>Computing Environment Plan</t>
  </si>
  <si>
    <t>Project Facility Plan - DDI Project Office</t>
  </si>
  <si>
    <t>Project Facility Plan - Operations</t>
  </si>
  <si>
    <t>Incoming Orientation Plan</t>
  </si>
  <si>
    <t>Training Master Plan</t>
  </si>
  <si>
    <t>Staffing Master Plan</t>
  </si>
  <si>
    <t>Data Center Computing Environment Specifications Plan</t>
  </si>
  <si>
    <t>Systems Engineering Management Plan (SEMP)</t>
  </si>
  <si>
    <t>Technical Architecture Specifications</t>
  </si>
  <si>
    <t>Information Arcchitecture Speccifications</t>
  </si>
  <si>
    <t>Business Architecture Specifications</t>
  </si>
  <si>
    <t xml:space="preserve">Technical Architecture  </t>
  </si>
  <si>
    <t>Information Architecture</t>
  </si>
  <si>
    <t xml:space="preserve">Business Architecture  </t>
  </si>
  <si>
    <t>End-to-End Integration Test</t>
  </si>
  <si>
    <t>User Acceptance Test</t>
  </si>
  <si>
    <t>Phase III Operations Readiness, Production Cutover, and Facilities Rollout</t>
  </si>
  <si>
    <t>Detailed Data Conversion Plan</t>
  </si>
  <si>
    <t>Detailed End-to-End Integraion</t>
  </si>
  <si>
    <t>Detailed User Acceptance Test Plan</t>
  </si>
  <si>
    <t>Detailed Performance Management Plan (Operations)</t>
  </si>
  <si>
    <t xml:space="preserve">Detailed Operations Readiness Review Plan </t>
  </si>
  <si>
    <t>Operations Readiness Report and State Approvals</t>
  </si>
  <si>
    <t>Federal Certification Review Package</t>
  </si>
  <si>
    <t>Deliverables Total</t>
  </si>
  <si>
    <t>Phase VI Turnover (Contract Closeout)</t>
  </si>
  <si>
    <t>Phase V Operations and CMS Certification</t>
  </si>
  <si>
    <t>SFY2019</t>
  </si>
  <si>
    <t>PHASE I – PROJECT PLANNING</t>
  </si>
  <si>
    <t>SFY2020</t>
  </si>
  <si>
    <t>SFY2021</t>
  </si>
  <si>
    <t>Hardware</t>
  </si>
  <si>
    <t>Software</t>
  </si>
  <si>
    <t>Facilities</t>
  </si>
  <si>
    <t xml:space="preserve"> </t>
  </si>
  <si>
    <t>Total price for Proposal Evaluation*</t>
  </si>
  <si>
    <t>Operations beginning before Month 15</t>
  </si>
  <si>
    <t>Operations beginning in Month 15</t>
  </si>
  <si>
    <t>Operations Before Contract Month 15</t>
  </si>
  <si>
    <t>Operations Starting in Contract Month 15</t>
  </si>
  <si>
    <t>Operations Facility Build Out</t>
  </si>
  <si>
    <t>DEV.4.1</t>
  </si>
  <si>
    <t xml:space="preserve">Facility Build-Out </t>
  </si>
  <si>
    <t>Facility Build-Out</t>
  </si>
  <si>
    <t>Note - For evaluation purposes, the State will deduct all pricing related to operations beginning before Month 15 of the contract, build out costs for the DDI facility, and build out costs for the operations facility from the total price.  These will be added back into the contract of the winning bidder.</t>
  </si>
  <si>
    <t>Replacement Deliverables Price Sheet</t>
  </si>
  <si>
    <t>Replacement Development Facility Price Sheet</t>
  </si>
  <si>
    <t>Replacement Hardware Price Sheet</t>
  </si>
  <si>
    <t>Replacement Software Price Sheet</t>
  </si>
  <si>
    <t>Replacement Labor Rates Price Sheet</t>
  </si>
  <si>
    <t>Replacement Operations Price Sheet</t>
  </si>
  <si>
    <t>Replacement Summary Price Sheet</t>
  </si>
</sst>
</file>

<file path=xl/styles.xml><?xml version="1.0" encoding="utf-8"?>
<styleSheet xmlns="http://schemas.openxmlformats.org/spreadsheetml/2006/main">
  <numFmts count="1">
    <numFmt numFmtId="44" formatCode="_(&quot;$&quot;* #,##0.00_);_(&quot;$&quot;* \(#,##0.00\);_(&quot;$&quot;* &quot;-&quot;??_);_(@_)"/>
  </numFmts>
  <fonts count="14">
    <font>
      <sz val="11"/>
      <color theme="1"/>
      <name val="Calibri"/>
      <family val="2"/>
      <scheme val="minor"/>
    </font>
    <font>
      <sz val="11"/>
      <color theme="1"/>
      <name val="Calibri"/>
      <family val="2"/>
      <scheme val="minor"/>
    </font>
    <font>
      <b/>
      <sz val="11"/>
      <color theme="1"/>
      <name val="Arial"/>
      <family val="2"/>
    </font>
    <font>
      <b/>
      <sz val="12"/>
      <color theme="1"/>
      <name val="Arial"/>
      <family val="2"/>
    </font>
    <font>
      <b/>
      <i/>
      <sz val="11"/>
      <color theme="1"/>
      <name val="Arial"/>
      <family val="2"/>
    </font>
    <font>
      <b/>
      <sz val="11"/>
      <color theme="1"/>
      <name val="Calibri"/>
      <family val="2"/>
      <scheme val="minor"/>
    </font>
    <font>
      <b/>
      <sz val="14"/>
      <color theme="1"/>
      <name val="Calibri"/>
      <family val="2"/>
      <scheme val="minor"/>
    </font>
    <font>
      <sz val="14"/>
      <color theme="1"/>
      <name val="Calibri"/>
      <family val="2"/>
      <scheme val="minor"/>
    </font>
    <font>
      <b/>
      <sz val="10"/>
      <color theme="1"/>
      <name val="Arial"/>
      <family val="2"/>
    </font>
    <font>
      <b/>
      <sz val="14"/>
      <color theme="1"/>
      <name val="Arial"/>
      <family val="2"/>
    </font>
    <font>
      <b/>
      <sz val="10"/>
      <color theme="1"/>
      <name val="Calibri"/>
      <family val="2"/>
      <scheme val="minor"/>
    </font>
    <font>
      <b/>
      <sz val="12"/>
      <color theme="1"/>
      <name val="Calibri"/>
      <family val="2"/>
      <scheme val="minor"/>
    </font>
    <font>
      <sz val="10"/>
      <color theme="1"/>
      <name val="Calibri"/>
      <family val="2"/>
      <scheme val="minor"/>
    </font>
    <font>
      <sz val="10"/>
      <color theme="1"/>
      <name val="Arial"/>
      <family val="2"/>
    </font>
  </fonts>
  <fills count="7">
    <fill>
      <patternFill patternType="none"/>
    </fill>
    <fill>
      <patternFill patternType="gray125"/>
    </fill>
    <fill>
      <patternFill patternType="solid">
        <fgColor rgb="FFDDD9C3"/>
        <bgColor indexed="64"/>
      </patternFill>
    </fill>
    <fill>
      <patternFill patternType="solid">
        <fgColor theme="2" tint="-9.9978637043366805E-2"/>
        <bgColor indexed="64"/>
      </patternFill>
    </fill>
    <fill>
      <patternFill patternType="solid">
        <fgColor theme="0"/>
        <bgColor indexed="64"/>
      </patternFill>
    </fill>
    <fill>
      <patternFill patternType="solid">
        <fgColor theme="2" tint="-0.249977111117893"/>
        <bgColor indexed="64"/>
      </patternFill>
    </fill>
    <fill>
      <patternFill patternType="solid">
        <fgColor theme="0" tint="-0.14999847407452621"/>
        <bgColor indexed="64"/>
      </patternFill>
    </fill>
  </fills>
  <borders count="42">
    <border>
      <left/>
      <right/>
      <top/>
      <bottom/>
      <diagonal/>
    </border>
    <border>
      <left/>
      <right/>
      <top style="medium">
        <color indexed="64"/>
      </top>
      <bottom style="medium">
        <color indexed="64"/>
      </bottom>
      <diagonal/>
    </border>
    <border>
      <left style="medium">
        <color indexed="64"/>
      </left>
      <right/>
      <top style="medium">
        <color indexed="64"/>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medium">
        <color indexed="64"/>
      </left>
      <right style="thin">
        <color indexed="64"/>
      </right>
      <top style="thin">
        <color indexed="64"/>
      </top>
      <bottom/>
      <diagonal/>
    </border>
    <border>
      <left style="medium">
        <color indexed="64"/>
      </left>
      <right style="thin">
        <color indexed="64"/>
      </right>
      <top style="thin">
        <color indexed="64"/>
      </top>
      <bottom style="thin">
        <color indexed="64"/>
      </bottom>
      <diagonal/>
    </border>
    <border>
      <left style="thin">
        <color indexed="64"/>
      </left>
      <right/>
      <top/>
      <bottom/>
      <diagonal/>
    </border>
    <border>
      <left style="medium">
        <color indexed="64"/>
      </left>
      <right style="medium">
        <color indexed="64"/>
      </right>
      <top style="medium">
        <color indexed="64"/>
      </top>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right style="medium">
        <color indexed="64"/>
      </right>
      <top style="medium">
        <color indexed="64"/>
      </top>
      <bottom/>
      <diagonal/>
    </border>
    <border>
      <left/>
      <right style="medium">
        <color indexed="64"/>
      </right>
      <top/>
      <bottom style="thin">
        <color indexed="64"/>
      </bottom>
      <diagonal/>
    </border>
    <border>
      <left/>
      <right style="medium">
        <color indexed="64"/>
      </right>
      <top style="thin">
        <color indexed="64"/>
      </top>
      <bottom style="thin">
        <color indexed="64"/>
      </bottom>
      <diagonal/>
    </border>
    <border>
      <left/>
      <right style="medium">
        <color indexed="64"/>
      </right>
      <top style="thin">
        <color indexed="64"/>
      </top>
      <bottom style="medium">
        <color indexed="6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style="medium">
        <color indexed="64"/>
      </left>
      <right/>
      <top style="medium">
        <color indexed="64"/>
      </top>
      <bottom/>
      <diagonal/>
    </border>
    <border>
      <left style="medium">
        <color indexed="64"/>
      </left>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bottom/>
      <diagonal/>
    </border>
    <border>
      <left style="thin">
        <color indexed="64"/>
      </left>
      <right style="thin">
        <color indexed="64"/>
      </right>
      <top/>
      <bottom/>
      <diagonal/>
    </border>
    <border>
      <left style="medium">
        <color indexed="64"/>
      </left>
      <right style="medium">
        <color indexed="64"/>
      </right>
      <top/>
      <bottom/>
      <diagonal/>
    </border>
    <border>
      <left style="medium">
        <color indexed="64"/>
      </left>
      <right style="thin">
        <color indexed="64"/>
      </right>
      <top style="medium">
        <color indexed="64"/>
      </top>
      <bottom/>
      <diagonal/>
    </border>
    <border>
      <left style="thin">
        <color indexed="64"/>
      </left>
      <right style="thin">
        <color indexed="64"/>
      </right>
      <top style="thin">
        <color indexed="64"/>
      </top>
      <bottom style="medium">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top/>
      <bottom style="thin">
        <color indexed="64"/>
      </bottom>
      <diagonal/>
    </border>
    <border>
      <left/>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thin">
        <color indexed="64"/>
      </right>
      <top/>
      <bottom/>
      <diagonal/>
    </border>
    <border>
      <left/>
      <right style="medium">
        <color indexed="64"/>
      </right>
      <top style="medium">
        <color indexed="64"/>
      </top>
      <bottom style="medium">
        <color indexed="64"/>
      </bottom>
      <diagonal/>
    </border>
  </borders>
  <cellStyleXfs count="2">
    <xf numFmtId="0" fontId="0" fillId="0" borderId="0"/>
    <xf numFmtId="44" fontId="1" fillId="0" borderId="0" applyFont="0" applyFill="0" applyBorder="0" applyAlignment="0" applyProtection="0"/>
  </cellStyleXfs>
  <cellXfs count="137">
    <xf numFmtId="0" fontId="0" fillId="0" borderId="0" xfId="0"/>
    <xf numFmtId="0" fontId="0" fillId="0" borderId="0" xfId="0" applyAlignment="1">
      <alignment horizontal="center" vertical="center"/>
    </xf>
    <xf numFmtId="0" fontId="0" fillId="0" borderId="0" xfId="0" applyAlignment="1">
      <alignment horizontal="center"/>
    </xf>
    <xf numFmtId="0" fontId="0" fillId="0" borderId="3" xfId="0" applyBorder="1"/>
    <xf numFmtId="0" fontId="8" fillId="2" borderId="3" xfId="0" applyFont="1" applyFill="1" applyBorder="1" applyAlignment="1">
      <alignment vertical="top" wrapText="1"/>
    </xf>
    <xf numFmtId="44" fontId="0" fillId="0" borderId="3" xfId="1" applyFont="1" applyBorder="1"/>
    <xf numFmtId="0" fontId="2" fillId="2" borderId="3" xfId="0" applyFont="1" applyFill="1" applyBorder="1" applyAlignment="1">
      <alignment vertical="top" wrapText="1"/>
    </xf>
    <xf numFmtId="0" fontId="0" fillId="0" borderId="0" xfId="0" applyAlignment="1">
      <alignment vertical="center"/>
    </xf>
    <xf numFmtId="0" fontId="0" fillId="0" borderId="0" xfId="0" applyBorder="1"/>
    <xf numFmtId="0" fontId="12" fillId="0" borderId="3" xfId="0" applyFont="1" applyBorder="1" applyAlignment="1">
      <alignment horizontal="center" vertical="center"/>
    </xf>
    <xf numFmtId="0" fontId="10" fillId="3" borderId="3" xfId="0" applyFont="1" applyFill="1" applyBorder="1" applyAlignment="1">
      <alignment horizontal="center" vertical="center" wrapText="1"/>
    </xf>
    <xf numFmtId="0" fontId="8" fillId="3" borderId="3" xfId="0" applyFont="1" applyFill="1" applyBorder="1" applyAlignment="1">
      <alignment vertical="center" wrapText="1"/>
    </xf>
    <xf numFmtId="44" fontId="12" fillId="0" borderId="3" xfId="1" applyFont="1" applyBorder="1"/>
    <xf numFmtId="44" fontId="13" fillId="3" borderId="3" xfId="1" applyFont="1" applyFill="1" applyBorder="1" applyAlignment="1">
      <alignment vertical="top" wrapText="1"/>
    </xf>
    <xf numFmtId="44" fontId="12" fillId="3" borderId="3" xfId="0" applyNumberFormat="1" applyFont="1" applyFill="1" applyBorder="1"/>
    <xf numFmtId="44" fontId="12" fillId="3" borderId="3" xfId="1" applyFont="1" applyFill="1" applyBorder="1" applyAlignment="1">
      <alignment vertical="top" wrapText="1"/>
    </xf>
    <xf numFmtId="0" fontId="12" fillId="0" borderId="3" xfId="0" applyFont="1" applyBorder="1" applyAlignment="1">
      <alignment vertical="top" wrapText="1"/>
    </xf>
    <xf numFmtId="0" fontId="8" fillId="3" borderId="8" xfId="0" applyFont="1" applyFill="1" applyBorder="1" applyAlignment="1">
      <alignment vertical="center" wrapText="1"/>
    </xf>
    <xf numFmtId="0" fontId="12" fillId="0" borderId="13" xfId="0" applyFont="1" applyBorder="1" applyAlignment="1">
      <alignment vertical="top" wrapText="1"/>
    </xf>
    <xf numFmtId="0" fontId="12" fillId="0" borderId="14" xfId="0" applyFont="1" applyBorder="1" applyAlignment="1">
      <alignment vertical="top" wrapText="1"/>
    </xf>
    <xf numFmtId="0" fontId="12" fillId="0" borderId="17" xfId="0" applyFont="1" applyBorder="1" applyAlignment="1">
      <alignment vertical="top" wrapText="1"/>
    </xf>
    <xf numFmtId="0" fontId="12" fillId="0" borderId="18" xfId="0" applyFont="1" applyBorder="1" applyAlignment="1">
      <alignment vertical="top" wrapText="1"/>
    </xf>
    <xf numFmtId="0" fontId="12" fillId="0" borderId="13" xfId="0" applyFont="1" applyBorder="1" applyAlignment="1">
      <alignment horizontal="center" vertical="center"/>
    </xf>
    <xf numFmtId="0" fontId="12" fillId="0" borderId="14" xfId="0" applyFont="1" applyBorder="1" applyAlignment="1">
      <alignment horizontal="center" vertical="center"/>
    </xf>
    <xf numFmtId="0" fontId="12" fillId="0" borderId="19" xfId="0" applyFont="1" applyBorder="1" applyAlignment="1">
      <alignment vertical="top" wrapText="1"/>
    </xf>
    <xf numFmtId="0" fontId="12" fillId="0" borderId="20" xfId="0" applyFont="1" applyBorder="1" applyAlignment="1">
      <alignment vertical="top" wrapText="1"/>
    </xf>
    <xf numFmtId="0" fontId="0" fillId="0" borderId="7" xfId="0" applyBorder="1"/>
    <xf numFmtId="44" fontId="12" fillId="3" borderId="9" xfId="1" applyFont="1" applyFill="1" applyBorder="1" applyAlignment="1">
      <alignment vertical="top" wrapText="1"/>
    </xf>
    <xf numFmtId="44" fontId="12" fillId="3" borderId="23" xfId="1" applyFont="1" applyFill="1" applyBorder="1" applyAlignment="1">
      <alignment vertical="top" wrapText="1"/>
    </xf>
    <xf numFmtId="44" fontId="0" fillId="3" borderId="24" xfId="1" applyFont="1" applyFill="1" applyBorder="1"/>
    <xf numFmtId="0" fontId="8" fillId="3" borderId="26" xfId="0" applyFont="1" applyFill="1" applyBorder="1" applyAlignment="1">
      <alignment vertical="center" wrapText="1"/>
    </xf>
    <xf numFmtId="0" fontId="13" fillId="4" borderId="14" xfId="0" applyFont="1" applyFill="1" applyBorder="1" applyAlignment="1">
      <alignment vertical="top" wrapText="1"/>
    </xf>
    <xf numFmtId="0" fontId="13" fillId="4" borderId="13" xfId="0" applyFont="1" applyFill="1" applyBorder="1" applyAlignment="1">
      <alignment vertical="top" wrapText="1"/>
    </xf>
    <xf numFmtId="0" fontId="8" fillId="3" borderId="29" xfId="0" applyFont="1" applyFill="1" applyBorder="1" applyAlignment="1">
      <alignment vertical="center" wrapText="1"/>
    </xf>
    <xf numFmtId="0" fontId="3" fillId="3" borderId="3" xfId="0" applyFont="1" applyFill="1" applyBorder="1" applyAlignment="1">
      <alignment horizontal="center" vertical="center" wrapText="1"/>
    </xf>
    <xf numFmtId="0" fontId="12" fillId="0" borderId="3" xfId="0" applyFont="1" applyBorder="1" applyAlignment="1">
      <alignment horizontal="left" vertical="top" wrapText="1" indent="3"/>
    </xf>
    <xf numFmtId="44" fontId="12" fillId="4" borderId="3" xfId="1" applyFont="1" applyFill="1" applyBorder="1" applyAlignment="1">
      <alignment vertical="top" wrapText="1"/>
    </xf>
    <xf numFmtId="0" fontId="12" fillId="0" borderId="27" xfId="0" applyFont="1" applyFill="1" applyBorder="1" applyAlignment="1">
      <alignment horizontal="left" vertical="top" wrapText="1" indent="3"/>
    </xf>
    <xf numFmtId="0" fontId="10" fillId="3" borderId="3" xfId="0" applyFont="1" applyFill="1" applyBorder="1" applyAlignment="1">
      <alignment horizontal="right" vertical="top" wrapText="1" indent="3"/>
    </xf>
    <xf numFmtId="0" fontId="0" fillId="3" borderId="3" xfId="0" applyFill="1" applyBorder="1" applyAlignment="1">
      <alignment horizontal="center" vertical="center"/>
    </xf>
    <xf numFmtId="44" fontId="0" fillId="3" borderId="3" xfId="1" applyFont="1" applyFill="1" applyBorder="1"/>
    <xf numFmtId="0" fontId="0" fillId="0" borderId="0" xfId="0" quotePrefix="1"/>
    <xf numFmtId="0" fontId="0" fillId="0" borderId="0" xfId="0" applyAlignment="1">
      <alignment wrapText="1"/>
    </xf>
    <xf numFmtId="0" fontId="0" fillId="0" borderId="30" xfId="0" applyBorder="1"/>
    <xf numFmtId="44" fontId="0" fillId="0" borderId="30" xfId="1" applyFont="1" applyBorder="1"/>
    <xf numFmtId="0" fontId="0" fillId="0" borderId="9" xfId="0" applyBorder="1" applyAlignment="1">
      <alignment horizontal="center" vertical="center"/>
    </xf>
    <xf numFmtId="0" fontId="12" fillId="0" borderId="3" xfId="0" applyFont="1" applyBorder="1" applyAlignment="1">
      <alignment horizontal="center"/>
    </xf>
    <xf numFmtId="0" fontId="7" fillId="0" borderId="0" xfId="0" applyFont="1"/>
    <xf numFmtId="0" fontId="6" fillId="0" borderId="0" xfId="0" applyFont="1"/>
    <xf numFmtId="0" fontId="7" fillId="0" borderId="0" xfId="0" applyFont="1" applyAlignment="1">
      <alignment horizontal="center" vertical="center"/>
    </xf>
    <xf numFmtId="0" fontId="6" fillId="0" borderId="0" xfId="0" applyFont="1" applyAlignment="1">
      <alignment horizontal="center" vertical="center"/>
    </xf>
    <xf numFmtId="0" fontId="0" fillId="3" borderId="31" xfId="0" applyFill="1" applyBorder="1" applyAlignment="1">
      <alignment horizontal="center" vertical="center" wrapText="1"/>
    </xf>
    <xf numFmtId="0" fontId="0" fillId="3" borderId="32" xfId="0" applyFill="1" applyBorder="1" applyAlignment="1">
      <alignment horizontal="center" vertical="center" wrapText="1"/>
    </xf>
    <xf numFmtId="0" fontId="2" fillId="3" borderId="1" xfId="0" applyFont="1" applyFill="1" applyBorder="1" applyAlignment="1">
      <alignment horizontal="center" vertical="center" wrapText="1"/>
    </xf>
    <xf numFmtId="44" fontId="0" fillId="3" borderId="3" xfId="0" applyNumberFormat="1" applyFill="1" applyBorder="1"/>
    <xf numFmtId="0" fontId="10" fillId="3" borderId="37" xfId="0" applyFont="1" applyFill="1" applyBorder="1" applyAlignment="1">
      <alignment horizontal="center" vertical="center" wrapText="1"/>
    </xf>
    <xf numFmtId="44" fontId="0" fillId="3" borderId="9" xfId="1" applyFont="1" applyFill="1" applyBorder="1"/>
    <xf numFmtId="0" fontId="10" fillId="3" borderId="40" xfId="0" applyFont="1" applyFill="1" applyBorder="1" applyAlignment="1">
      <alignment horizontal="center" vertical="center" wrapText="1"/>
    </xf>
    <xf numFmtId="0" fontId="10" fillId="3" borderId="31" xfId="0" applyFont="1" applyFill="1" applyBorder="1" applyAlignment="1">
      <alignment horizontal="center" vertical="center" wrapText="1"/>
    </xf>
    <xf numFmtId="44" fontId="13" fillId="3" borderId="9" xfId="1" applyFont="1" applyFill="1" applyBorder="1" applyAlignment="1">
      <alignment horizontal="center" vertical="center" wrapText="1"/>
    </xf>
    <xf numFmtId="44" fontId="0" fillId="0" borderId="3" xfId="1" applyFont="1" applyBorder="1" applyAlignment="1">
      <alignment horizontal="center" vertical="center"/>
    </xf>
    <xf numFmtId="44" fontId="13" fillId="3" borderId="23" xfId="1" applyFont="1" applyFill="1" applyBorder="1" applyAlignment="1">
      <alignment horizontal="center" vertical="center" wrapText="1"/>
    </xf>
    <xf numFmtId="44" fontId="0" fillId="3" borderId="24" xfId="1" applyFont="1" applyFill="1" applyBorder="1" applyAlignment="1">
      <alignment horizontal="center" vertical="center"/>
    </xf>
    <xf numFmtId="44" fontId="12" fillId="3" borderId="4" xfId="1" applyFont="1" applyFill="1" applyBorder="1" applyAlignment="1">
      <alignment vertical="top" wrapText="1"/>
    </xf>
    <xf numFmtId="44" fontId="12" fillId="3" borderId="5" xfId="1" applyFont="1" applyFill="1" applyBorder="1" applyAlignment="1">
      <alignment vertical="top" wrapText="1"/>
    </xf>
    <xf numFmtId="44" fontId="12" fillId="3" borderId="6" xfId="1" applyFont="1" applyFill="1" applyBorder="1" applyAlignment="1">
      <alignment vertical="top" wrapText="1"/>
    </xf>
    <xf numFmtId="0" fontId="12" fillId="0" borderId="3" xfId="0" applyFont="1" applyBorder="1" applyAlignment="1">
      <alignment horizontal="left" indent="4"/>
    </xf>
    <xf numFmtId="44" fontId="12" fillId="0" borderId="3" xfId="0" applyNumberFormat="1" applyFont="1" applyBorder="1"/>
    <xf numFmtId="0" fontId="12" fillId="0" borderId="3" xfId="0" applyFont="1" applyBorder="1" applyAlignment="1">
      <alignment horizontal="right" indent="4"/>
    </xf>
    <xf numFmtId="0" fontId="12" fillId="2" borderId="3" xfId="0" applyFont="1" applyFill="1" applyBorder="1" applyAlignment="1">
      <alignment vertical="top" wrapText="1"/>
    </xf>
    <xf numFmtId="44" fontId="12" fillId="2" borderId="3" xfId="1" applyFont="1" applyFill="1" applyBorder="1" applyAlignment="1">
      <alignment vertical="top" wrapText="1"/>
    </xf>
    <xf numFmtId="0" fontId="10" fillId="3" borderId="3" xfId="0" applyFont="1" applyFill="1" applyBorder="1" applyAlignment="1">
      <alignment horizontal="right" indent="4"/>
    </xf>
    <xf numFmtId="44" fontId="12" fillId="3" borderId="3" xfId="1" applyFont="1" applyFill="1" applyBorder="1"/>
    <xf numFmtId="0" fontId="12" fillId="0" borderId="3" xfId="0" applyFont="1" applyBorder="1" applyAlignment="1">
      <alignment horizontal="left" indent="6"/>
    </xf>
    <xf numFmtId="0" fontId="12" fillId="0" borderId="3" xfId="0" applyFont="1" applyFill="1" applyBorder="1" applyAlignment="1">
      <alignment horizontal="left" indent="6"/>
    </xf>
    <xf numFmtId="0" fontId="12" fillId="0" borderId="27" xfId="0" applyFont="1" applyFill="1" applyBorder="1" applyAlignment="1">
      <alignment horizontal="left" indent="6"/>
    </xf>
    <xf numFmtId="0" fontId="12" fillId="0" borderId="3" xfId="0" applyFont="1" applyBorder="1" applyAlignment="1">
      <alignment horizontal="left" indent="3"/>
    </xf>
    <xf numFmtId="0" fontId="0" fillId="0" borderId="0" xfId="0" applyFont="1"/>
    <xf numFmtId="0" fontId="9" fillId="5" borderId="33" xfId="0" applyFont="1" applyFill="1" applyBorder="1" applyAlignment="1">
      <alignment horizontal="center" vertical="top" wrapText="1"/>
    </xf>
    <xf numFmtId="0" fontId="9" fillId="5" borderId="34" xfId="0" applyFont="1" applyFill="1" applyBorder="1" applyAlignment="1">
      <alignment horizontal="center" vertical="top" wrapText="1"/>
    </xf>
    <xf numFmtId="0" fontId="9" fillId="5" borderId="35" xfId="0" applyFont="1" applyFill="1" applyBorder="1" applyAlignment="1">
      <alignment horizontal="center" vertical="center" wrapText="1"/>
    </xf>
    <xf numFmtId="0" fontId="9" fillId="5" borderId="36" xfId="0" applyFont="1" applyFill="1" applyBorder="1" applyAlignment="1">
      <alignment horizontal="center" vertical="center" wrapText="1"/>
    </xf>
    <xf numFmtId="0" fontId="8" fillId="3" borderId="3" xfId="0" applyFont="1" applyFill="1" applyBorder="1" applyAlignment="1">
      <alignment horizontal="center" vertical="center" wrapText="1"/>
    </xf>
    <xf numFmtId="0" fontId="4" fillId="3" borderId="4" xfId="0" applyFont="1" applyFill="1" applyBorder="1" applyAlignment="1">
      <alignment horizontal="right" vertical="top" wrapText="1"/>
    </xf>
    <xf numFmtId="0" fontId="4" fillId="3" borderId="5" xfId="0" applyFont="1" applyFill="1" applyBorder="1" applyAlignment="1">
      <alignment horizontal="right" vertical="top" wrapText="1"/>
    </xf>
    <xf numFmtId="0" fontId="4" fillId="3" borderId="6" xfId="0" applyFont="1" applyFill="1" applyBorder="1" applyAlignment="1">
      <alignment horizontal="right" vertical="top" wrapText="1"/>
    </xf>
    <xf numFmtId="0" fontId="13" fillId="0" borderId="3" xfId="0" applyFont="1" applyBorder="1" applyAlignment="1">
      <alignment vertical="top" wrapText="1"/>
    </xf>
    <xf numFmtId="0" fontId="6" fillId="3" borderId="4" xfId="0" applyFont="1" applyFill="1" applyBorder="1" applyAlignment="1">
      <alignment horizontal="right" vertical="center"/>
    </xf>
    <xf numFmtId="0" fontId="6" fillId="3" borderId="5" xfId="0" applyFont="1" applyFill="1" applyBorder="1" applyAlignment="1">
      <alignment horizontal="right" vertical="center"/>
    </xf>
    <xf numFmtId="0" fontId="6" fillId="3" borderId="6" xfId="0" applyFont="1" applyFill="1" applyBorder="1" applyAlignment="1">
      <alignment horizontal="right" vertical="center"/>
    </xf>
    <xf numFmtId="0" fontId="4" fillId="3" borderId="5" xfId="0" applyFont="1" applyFill="1" applyBorder="1" applyAlignment="1">
      <alignment horizontal="right" wrapText="1"/>
    </xf>
    <xf numFmtId="0" fontId="4" fillId="3" borderId="6" xfId="0" applyFont="1" applyFill="1" applyBorder="1" applyAlignment="1">
      <alignment horizontal="right" wrapText="1"/>
    </xf>
    <xf numFmtId="0" fontId="13" fillId="0" borderId="3" xfId="0" applyFont="1" applyBorder="1" applyAlignment="1">
      <alignment horizontal="left" vertical="top" wrapText="1"/>
    </xf>
    <xf numFmtId="0" fontId="4" fillId="3" borderId="3" xfId="0" applyFont="1" applyFill="1" applyBorder="1" applyAlignment="1">
      <alignment horizontal="right" vertical="center" wrapText="1"/>
    </xf>
    <xf numFmtId="0" fontId="0" fillId="3" borderId="3" xfId="0" applyFill="1" applyBorder="1" applyAlignment="1">
      <alignment horizontal="right" vertical="center"/>
    </xf>
    <xf numFmtId="0" fontId="11" fillId="3" borderId="4" xfId="0" applyFont="1" applyFill="1" applyBorder="1" applyAlignment="1">
      <alignment horizontal="center" vertical="center" wrapText="1"/>
    </xf>
    <xf numFmtId="0" fontId="11" fillId="3" borderId="5" xfId="0" applyFont="1" applyFill="1" applyBorder="1" applyAlignment="1">
      <alignment horizontal="center" vertical="center" wrapText="1"/>
    </xf>
    <xf numFmtId="0" fontId="11" fillId="3" borderId="6" xfId="0" applyFont="1" applyFill="1" applyBorder="1" applyAlignment="1">
      <alignment horizontal="center" vertical="center" wrapText="1"/>
    </xf>
    <xf numFmtId="0" fontId="11" fillId="3" borderId="38" xfId="0" applyFont="1" applyFill="1" applyBorder="1" applyAlignment="1">
      <alignment horizontal="center" vertical="center" wrapText="1"/>
    </xf>
    <xf numFmtId="0" fontId="11" fillId="3" borderId="39" xfId="0" applyFont="1" applyFill="1" applyBorder="1" applyAlignment="1">
      <alignment horizontal="center" vertical="center" wrapText="1"/>
    </xf>
    <xf numFmtId="0" fontId="11" fillId="3" borderId="10" xfId="0" applyFont="1" applyFill="1" applyBorder="1" applyAlignment="1">
      <alignment horizontal="right" vertical="center" wrapText="1"/>
    </xf>
    <xf numFmtId="0" fontId="11" fillId="3" borderId="0" xfId="0" applyFont="1" applyFill="1" applyBorder="1" applyAlignment="1">
      <alignment horizontal="right" vertical="center" wrapText="1"/>
    </xf>
    <xf numFmtId="0" fontId="5" fillId="3" borderId="15" xfId="0" applyFont="1" applyFill="1" applyBorder="1" applyAlignment="1">
      <alignment horizontal="center" vertical="center" wrapText="1"/>
    </xf>
    <xf numFmtId="0" fontId="5" fillId="3" borderId="16" xfId="0" applyFont="1" applyFill="1" applyBorder="1" applyAlignment="1">
      <alignment horizontal="center" vertical="center" wrapText="1"/>
    </xf>
    <xf numFmtId="0" fontId="5" fillId="3" borderId="11" xfId="0" applyFont="1" applyFill="1" applyBorder="1" applyAlignment="1">
      <alignment horizontal="center" vertical="center" wrapText="1"/>
    </xf>
    <xf numFmtId="0" fontId="5" fillId="3" borderId="12" xfId="0" applyFont="1" applyFill="1" applyBorder="1" applyAlignment="1">
      <alignment horizontal="center" vertical="center" wrapText="1"/>
    </xf>
    <xf numFmtId="0" fontId="5" fillId="3" borderId="21" xfId="0" applyFont="1" applyFill="1" applyBorder="1" applyAlignment="1">
      <alignment horizontal="center" vertical="center" wrapText="1"/>
    </xf>
    <xf numFmtId="0" fontId="5" fillId="3" borderId="22" xfId="0" applyFont="1" applyFill="1" applyBorder="1" applyAlignment="1">
      <alignment horizontal="center" vertical="center" wrapText="1"/>
    </xf>
    <xf numFmtId="0" fontId="2" fillId="3" borderId="4" xfId="0" applyFont="1" applyFill="1" applyBorder="1" applyAlignment="1">
      <alignment horizontal="center" vertical="center" wrapText="1"/>
    </xf>
    <xf numFmtId="0" fontId="2" fillId="3" borderId="5" xfId="0" applyFont="1" applyFill="1" applyBorder="1" applyAlignment="1">
      <alignment horizontal="center" vertical="center" wrapText="1"/>
    </xf>
    <xf numFmtId="0" fontId="2" fillId="3" borderId="6" xfId="0" applyFont="1" applyFill="1" applyBorder="1" applyAlignment="1">
      <alignment horizontal="center" vertical="center" wrapText="1"/>
    </xf>
    <xf numFmtId="0" fontId="3" fillId="3" borderId="23" xfId="0" applyFont="1" applyFill="1" applyBorder="1" applyAlignment="1">
      <alignment horizontal="right" vertical="center" wrapText="1"/>
    </xf>
    <xf numFmtId="0" fontId="3" fillId="3" borderId="24" xfId="0" applyFont="1" applyFill="1" applyBorder="1" applyAlignment="1">
      <alignment horizontal="right" vertical="center" wrapText="1"/>
    </xf>
    <xf numFmtId="0" fontId="3" fillId="3" borderId="25" xfId="0" applyFont="1" applyFill="1" applyBorder="1" applyAlignment="1">
      <alignment horizontal="right" vertical="center" wrapText="1"/>
    </xf>
    <xf numFmtId="0" fontId="2" fillId="3" borderId="2" xfId="0" applyFont="1" applyFill="1" applyBorder="1" applyAlignment="1">
      <alignment horizontal="center" vertical="center" wrapText="1"/>
    </xf>
    <xf numFmtId="0" fontId="2" fillId="3" borderId="1" xfId="0" applyFont="1" applyFill="1" applyBorder="1" applyAlignment="1">
      <alignment horizontal="center" vertical="center" wrapText="1"/>
    </xf>
    <xf numFmtId="0" fontId="2" fillId="3" borderId="11" xfId="0" applyFont="1" applyFill="1" applyBorder="1" applyAlignment="1">
      <alignment horizontal="center" vertical="center" wrapText="1"/>
    </xf>
    <xf numFmtId="0" fontId="2" fillId="3" borderId="28" xfId="0" applyFont="1" applyFill="1" applyBorder="1" applyAlignment="1">
      <alignment horizontal="center" vertical="center" wrapText="1"/>
    </xf>
    <xf numFmtId="0" fontId="0" fillId="3" borderId="4" xfId="0" applyFill="1" applyBorder="1" applyAlignment="1">
      <alignment horizontal="center"/>
    </xf>
    <xf numFmtId="0" fontId="0" fillId="3" borderId="5" xfId="0" applyFill="1" applyBorder="1" applyAlignment="1">
      <alignment horizontal="center"/>
    </xf>
    <xf numFmtId="0" fontId="0" fillId="3" borderId="6" xfId="0" applyFill="1" applyBorder="1" applyAlignment="1">
      <alignment horizontal="center"/>
    </xf>
    <xf numFmtId="0" fontId="0" fillId="3" borderId="3" xfId="0" applyFill="1" applyBorder="1" applyAlignment="1">
      <alignment horizontal="center" vertical="center" wrapText="1"/>
    </xf>
    <xf numFmtId="0" fontId="8" fillId="3" borderId="4" xfId="0" applyFont="1" applyFill="1" applyBorder="1" applyAlignment="1">
      <alignment horizontal="left" vertical="center" wrapText="1"/>
    </xf>
    <xf numFmtId="0" fontId="8" fillId="3" borderId="5" xfId="0" applyFont="1" applyFill="1" applyBorder="1" applyAlignment="1">
      <alignment horizontal="left" vertical="center" wrapText="1"/>
    </xf>
    <xf numFmtId="0" fontId="8" fillId="3" borderId="6" xfId="0" applyFont="1" applyFill="1" applyBorder="1" applyAlignment="1">
      <alignment horizontal="left" vertical="center" wrapText="1"/>
    </xf>
    <xf numFmtId="0" fontId="6" fillId="5" borderId="10" xfId="0" applyFont="1" applyFill="1" applyBorder="1" applyAlignment="1">
      <alignment horizontal="center" vertical="center"/>
    </xf>
    <xf numFmtId="0" fontId="6" fillId="5" borderId="0" xfId="0" applyFont="1" applyFill="1" applyBorder="1" applyAlignment="1">
      <alignment horizontal="center" vertical="center"/>
    </xf>
    <xf numFmtId="44" fontId="12" fillId="2" borderId="3" xfId="0" applyNumberFormat="1" applyFont="1" applyFill="1" applyBorder="1" applyAlignment="1">
      <alignment horizontal="center" vertical="top" wrapText="1"/>
    </xf>
    <xf numFmtId="0" fontId="12" fillId="2" borderId="3" xfId="0" applyFont="1" applyFill="1" applyBorder="1" applyAlignment="1">
      <alignment horizontal="center" vertical="top" wrapText="1"/>
    </xf>
    <xf numFmtId="0" fontId="0" fillId="6" borderId="2" xfId="0" applyFill="1" applyBorder="1" applyAlignment="1">
      <alignment horizontal="left" vertical="top" wrapText="1"/>
    </xf>
    <xf numFmtId="0" fontId="0" fillId="6" borderId="1" xfId="0" applyFill="1" applyBorder="1" applyAlignment="1">
      <alignment horizontal="left" vertical="top" wrapText="1"/>
    </xf>
    <xf numFmtId="0" fontId="0" fillId="6" borderId="41" xfId="0" applyFill="1" applyBorder="1" applyAlignment="1">
      <alignment horizontal="left" vertical="top" wrapText="1"/>
    </xf>
    <xf numFmtId="0" fontId="5" fillId="0" borderId="0" xfId="0" applyFont="1" applyFill="1" applyBorder="1" applyAlignment="1">
      <alignment horizontal="right" vertical="center" wrapText="1"/>
    </xf>
    <xf numFmtId="44" fontId="12" fillId="4" borderId="0" xfId="1" applyFont="1" applyFill="1" applyBorder="1" applyAlignment="1">
      <alignment horizontal="center" vertical="center"/>
    </xf>
    <xf numFmtId="0" fontId="10" fillId="2" borderId="4" xfId="0" applyFont="1" applyFill="1" applyBorder="1" applyAlignment="1">
      <alignment horizontal="left" vertical="top" wrapText="1"/>
    </xf>
    <xf numFmtId="0" fontId="10" fillId="2" borderId="5" xfId="0" applyFont="1" applyFill="1" applyBorder="1" applyAlignment="1">
      <alignment horizontal="left" vertical="top" wrapText="1"/>
    </xf>
    <xf numFmtId="0" fontId="10" fillId="2" borderId="6" xfId="0" applyFont="1" applyFill="1" applyBorder="1" applyAlignment="1">
      <alignment horizontal="left" vertical="top" wrapText="1"/>
    </xf>
  </cellXfs>
  <cellStyles count="2">
    <cellStyle name="Currency" xfId="1" builtinId="4"/>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dimension ref="B1:R55"/>
  <sheetViews>
    <sheetView showGridLines="0" showRowColHeaders="0" tabSelected="1" zoomScale="70" zoomScaleNormal="70" workbookViewId="0">
      <selection activeCell="C1" sqref="C1"/>
    </sheetView>
  </sheetViews>
  <sheetFormatPr defaultRowHeight="15"/>
  <cols>
    <col min="2" max="2" width="9.5703125" style="2" customWidth="1"/>
    <col min="5" max="5" width="39.140625" customWidth="1"/>
    <col min="6" max="6" width="14.5703125" customWidth="1"/>
    <col min="7" max="7" width="11.7109375" customWidth="1"/>
    <col min="8" max="8" width="11.28515625" customWidth="1"/>
    <col min="9" max="11" width="11.140625" customWidth="1"/>
    <col min="12" max="12" width="11.28515625" customWidth="1"/>
    <col min="13" max="13" width="10.85546875" customWidth="1"/>
    <col min="14" max="14" width="10.28515625" customWidth="1"/>
  </cols>
  <sheetData>
    <row r="1" spans="2:18" ht="18.75">
      <c r="C1" s="48" t="s">
        <v>132</v>
      </c>
    </row>
    <row r="3" spans="2:18" ht="27" customHeight="1">
      <c r="B3" s="78" t="s">
        <v>115</v>
      </c>
      <c r="C3" s="79"/>
      <c r="D3" s="79"/>
      <c r="E3" s="79"/>
      <c r="F3" s="79"/>
      <c r="G3" s="79"/>
      <c r="H3" s="79"/>
      <c r="I3" s="79"/>
      <c r="J3" s="79"/>
      <c r="K3" s="79"/>
      <c r="L3" s="79"/>
      <c r="M3" s="79"/>
      <c r="N3" s="79"/>
    </row>
    <row r="4" spans="2:18" s="7" customFormat="1" ht="19.5" customHeight="1">
      <c r="B4" s="10" t="s">
        <v>52</v>
      </c>
      <c r="C4" s="82" t="s">
        <v>25</v>
      </c>
      <c r="D4" s="82"/>
      <c r="E4" s="82"/>
      <c r="F4" s="11" t="s">
        <v>47</v>
      </c>
      <c r="G4" s="10" t="s">
        <v>42</v>
      </c>
      <c r="H4" s="10" t="s">
        <v>43</v>
      </c>
      <c r="I4" s="10" t="s">
        <v>44</v>
      </c>
      <c r="J4" s="10" t="s">
        <v>45</v>
      </c>
      <c r="K4" s="10" t="s">
        <v>46</v>
      </c>
      <c r="L4" s="10" t="s">
        <v>114</v>
      </c>
      <c r="M4" s="10" t="s">
        <v>116</v>
      </c>
      <c r="N4" s="10" t="s">
        <v>117</v>
      </c>
    </row>
    <row r="5" spans="2:18">
      <c r="B5" s="9">
        <v>1</v>
      </c>
      <c r="C5" s="86" t="s">
        <v>85</v>
      </c>
      <c r="D5" s="86"/>
      <c r="E5" s="86"/>
      <c r="F5" s="15">
        <f>SUM(G5:N5)</f>
        <v>0</v>
      </c>
      <c r="G5" s="12"/>
      <c r="H5" s="12"/>
      <c r="I5" s="12"/>
      <c r="J5" s="12"/>
      <c r="K5" s="12"/>
      <c r="L5" s="12"/>
      <c r="M5" s="12"/>
      <c r="N5" s="12"/>
    </row>
    <row r="6" spans="2:18">
      <c r="B6" s="9">
        <f>B5+1</f>
        <v>2</v>
      </c>
      <c r="C6" s="86" t="s">
        <v>86</v>
      </c>
      <c r="D6" s="86"/>
      <c r="E6" s="86"/>
      <c r="F6" s="15">
        <f t="shared" ref="F6:F22" si="0">SUM(G6:N6)</f>
        <v>0</v>
      </c>
      <c r="G6" s="12"/>
      <c r="H6" s="12"/>
      <c r="I6" s="12"/>
      <c r="J6" s="12"/>
      <c r="K6" s="12"/>
      <c r="L6" s="12"/>
      <c r="M6" s="12"/>
      <c r="N6" s="12"/>
    </row>
    <row r="7" spans="2:18">
      <c r="B7" s="9">
        <f t="shared" ref="B7:B22" si="1">B6+1</f>
        <v>3</v>
      </c>
      <c r="C7" s="86" t="s">
        <v>87</v>
      </c>
      <c r="D7" s="86"/>
      <c r="E7" s="86"/>
      <c r="F7" s="15">
        <f t="shared" si="0"/>
        <v>0</v>
      </c>
      <c r="G7" s="12"/>
      <c r="H7" s="12"/>
      <c r="I7" s="12"/>
      <c r="J7" s="12"/>
      <c r="K7" s="12"/>
      <c r="L7" s="12"/>
      <c r="M7" s="12"/>
      <c r="N7" s="12"/>
    </row>
    <row r="8" spans="2:18">
      <c r="B8" s="9">
        <f t="shared" si="1"/>
        <v>4</v>
      </c>
      <c r="C8" s="86" t="s">
        <v>88</v>
      </c>
      <c r="D8" s="86"/>
      <c r="E8" s="86"/>
      <c r="F8" s="15">
        <f t="shared" si="0"/>
        <v>0</v>
      </c>
      <c r="G8" s="12"/>
      <c r="H8" s="12"/>
      <c r="I8" s="12"/>
      <c r="J8" s="12"/>
      <c r="K8" s="12"/>
      <c r="L8" s="12"/>
      <c r="M8" s="12"/>
      <c r="N8" s="12"/>
    </row>
    <row r="9" spans="2:18">
      <c r="B9" s="9">
        <f t="shared" si="1"/>
        <v>5</v>
      </c>
      <c r="C9" s="86" t="s">
        <v>89</v>
      </c>
      <c r="D9" s="86"/>
      <c r="E9" s="86"/>
      <c r="F9" s="15">
        <f t="shared" si="0"/>
        <v>0</v>
      </c>
      <c r="G9" s="12"/>
      <c r="H9" s="12"/>
      <c r="I9" s="12"/>
      <c r="J9" s="12"/>
      <c r="K9" s="12"/>
      <c r="L9" s="12"/>
      <c r="M9" s="12"/>
      <c r="N9" s="12"/>
    </row>
    <row r="10" spans="2:18">
      <c r="B10" s="9">
        <f t="shared" si="1"/>
        <v>6</v>
      </c>
      <c r="C10" s="86" t="s">
        <v>13</v>
      </c>
      <c r="D10" s="86"/>
      <c r="E10" s="86"/>
      <c r="F10" s="15">
        <f t="shared" si="0"/>
        <v>0</v>
      </c>
      <c r="G10" s="12"/>
      <c r="H10" s="12"/>
      <c r="I10" s="12"/>
      <c r="J10" s="12"/>
      <c r="K10" s="12"/>
      <c r="L10" s="12"/>
      <c r="M10" s="12"/>
      <c r="N10" s="12"/>
    </row>
    <row r="11" spans="2:18">
      <c r="B11" s="9">
        <f t="shared" si="1"/>
        <v>7</v>
      </c>
      <c r="C11" s="86" t="s">
        <v>90</v>
      </c>
      <c r="D11" s="86"/>
      <c r="E11" s="86"/>
      <c r="F11" s="15">
        <f t="shared" si="0"/>
        <v>0</v>
      </c>
      <c r="G11" s="12"/>
      <c r="H11" s="12"/>
      <c r="I11" s="12"/>
      <c r="J11" s="12"/>
      <c r="K11" s="12"/>
      <c r="L11" s="12"/>
      <c r="M11" s="12"/>
      <c r="N11" s="12"/>
    </row>
    <row r="12" spans="2:18">
      <c r="B12" s="9">
        <f t="shared" si="1"/>
        <v>8</v>
      </c>
      <c r="C12" s="86" t="s">
        <v>16</v>
      </c>
      <c r="D12" s="86"/>
      <c r="E12" s="86"/>
      <c r="F12" s="15">
        <f t="shared" si="0"/>
        <v>0</v>
      </c>
      <c r="G12" s="12"/>
      <c r="H12" s="12"/>
      <c r="I12" s="12"/>
      <c r="J12" s="12"/>
      <c r="K12" s="12"/>
      <c r="L12" s="12"/>
      <c r="M12" s="12"/>
      <c r="N12" s="12"/>
    </row>
    <row r="13" spans="2:18">
      <c r="B13" s="9">
        <f t="shared" si="1"/>
        <v>9</v>
      </c>
      <c r="C13" s="86" t="s">
        <v>91</v>
      </c>
      <c r="D13" s="86"/>
      <c r="E13" s="86"/>
      <c r="F13" s="15">
        <f t="shared" si="0"/>
        <v>0</v>
      </c>
      <c r="G13" s="12"/>
      <c r="H13" s="12"/>
      <c r="I13" s="12"/>
      <c r="J13" s="12"/>
      <c r="K13" s="12"/>
      <c r="L13" s="12"/>
      <c r="M13" s="12"/>
      <c r="N13" s="12"/>
    </row>
    <row r="14" spans="2:18">
      <c r="B14" s="9">
        <f t="shared" si="1"/>
        <v>10</v>
      </c>
      <c r="C14" s="86" t="s">
        <v>92</v>
      </c>
      <c r="D14" s="86"/>
      <c r="E14" s="86"/>
      <c r="F14" s="15">
        <f t="shared" si="0"/>
        <v>0</v>
      </c>
      <c r="G14" s="12"/>
      <c r="H14" s="12"/>
      <c r="I14" s="12"/>
      <c r="J14" s="12"/>
      <c r="K14" s="12"/>
      <c r="L14" s="12"/>
      <c r="M14" s="12"/>
      <c r="N14" s="12"/>
    </row>
    <row r="15" spans="2:18">
      <c r="B15" s="9">
        <f t="shared" si="1"/>
        <v>11</v>
      </c>
      <c r="C15" s="86" t="s">
        <v>19</v>
      </c>
      <c r="D15" s="86"/>
      <c r="E15" s="86"/>
      <c r="F15" s="15">
        <f t="shared" si="0"/>
        <v>0</v>
      </c>
      <c r="G15" s="12"/>
      <c r="H15" s="12"/>
      <c r="I15" s="12"/>
      <c r="J15" s="12"/>
      <c r="K15" s="12"/>
      <c r="L15" s="12"/>
      <c r="M15" s="12"/>
      <c r="N15" s="12"/>
      <c r="R15" t="s">
        <v>121</v>
      </c>
    </row>
    <row r="16" spans="2:18">
      <c r="B16" s="9">
        <f t="shared" si="1"/>
        <v>12</v>
      </c>
      <c r="C16" s="86" t="s">
        <v>93</v>
      </c>
      <c r="D16" s="86"/>
      <c r="E16" s="86"/>
      <c r="F16" s="15">
        <f t="shared" si="0"/>
        <v>0</v>
      </c>
      <c r="G16" s="12"/>
      <c r="H16" s="12"/>
      <c r="I16" s="12"/>
      <c r="J16" s="12"/>
      <c r="K16" s="12"/>
      <c r="L16" s="12"/>
      <c r="M16" s="12"/>
      <c r="N16" s="12"/>
    </row>
    <row r="17" spans="2:14">
      <c r="B17" s="9">
        <f t="shared" si="1"/>
        <v>13</v>
      </c>
      <c r="C17" s="86" t="s">
        <v>94</v>
      </c>
      <c r="D17" s="86"/>
      <c r="E17" s="86"/>
      <c r="F17" s="15">
        <f t="shared" si="0"/>
        <v>0</v>
      </c>
      <c r="G17" s="12"/>
      <c r="H17" s="12"/>
      <c r="I17" s="12"/>
      <c r="J17" s="12"/>
      <c r="K17" s="12"/>
      <c r="L17" s="12"/>
      <c r="M17" s="12"/>
      <c r="N17" s="12"/>
    </row>
    <row r="18" spans="2:14">
      <c r="B18" s="9">
        <f t="shared" si="1"/>
        <v>14</v>
      </c>
      <c r="C18" s="86" t="s">
        <v>14</v>
      </c>
      <c r="D18" s="86"/>
      <c r="E18" s="86"/>
      <c r="F18" s="15">
        <f t="shared" si="0"/>
        <v>0</v>
      </c>
      <c r="G18" s="12"/>
      <c r="H18" s="12"/>
      <c r="I18" s="12"/>
      <c r="J18" s="12"/>
      <c r="K18" s="12"/>
      <c r="L18" s="12"/>
      <c r="M18" s="12"/>
      <c r="N18" s="12"/>
    </row>
    <row r="19" spans="2:14">
      <c r="B19" s="9">
        <f t="shared" si="1"/>
        <v>15</v>
      </c>
      <c r="C19" s="86" t="s">
        <v>95</v>
      </c>
      <c r="D19" s="86"/>
      <c r="E19" s="86"/>
      <c r="F19" s="15">
        <f t="shared" si="0"/>
        <v>0</v>
      </c>
      <c r="G19" s="12"/>
      <c r="H19" s="12"/>
      <c r="I19" s="12"/>
      <c r="J19" s="12"/>
      <c r="K19" s="12"/>
      <c r="L19" s="12"/>
      <c r="M19" s="12"/>
      <c r="N19" s="12"/>
    </row>
    <row r="20" spans="2:14">
      <c r="B20" s="9">
        <f t="shared" si="1"/>
        <v>16</v>
      </c>
      <c r="C20" s="86" t="s">
        <v>96</v>
      </c>
      <c r="D20" s="86"/>
      <c r="E20" s="86"/>
      <c r="F20" s="15">
        <f t="shared" si="0"/>
        <v>0</v>
      </c>
      <c r="G20" s="12"/>
      <c r="H20" s="12"/>
      <c r="I20" s="12"/>
      <c r="J20" s="12"/>
      <c r="K20" s="12"/>
      <c r="L20" s="12"/>
      <c r="M20" s="12"/>
      <c r="N20" s="12"/>
    </row>
    <row r="21" spans="2:14">
      <c r="B21" s="9">
        <f t="shared" si="1"/>
        <v>17</v>
      </c>
      <c r="C21" s="86" t="s">
        <v>97</v>
      </c>
      <c r="D21" s="86"/>
      <c r="E21" s="86"/>
      <c r="F21" s="15">
        <f t="shared" si="0"/>
        <v>0</v>
      </c>
      <c r="G21" s="12"/>
      <c r="H21" s="12"/>
      <c r="I21" s="12"/>
      <c r="J21" s="12"/>
      <c r="K21" s="12"/>
      <c r="L21" s="12"/>
      <c r="M21" s="12"/>
      <c r="N21" s="12"/>
    </row>
    <row r="22" spans="2:14">
      <c r="B22" s="9">
        <f t="shared" si="1"/>
        <v>18</v>
      </c>
      <c r="C22" s="86" t="s">
        <v>15</v>
      </c>
      <c r="D22" s="86"/>
      <c r="E22" s="86"/>
      <c r="F22" s="15">
        <f t="shared" si="0"/>
        <v>0</v>
      </c>
      <c r="G22" s="12"/>
      <c r="H22" s="12"/>
      <c r="I22" s="12"/>
      <c r="J22" s="12"/>
      <c r="K22" s="12"/>
      <c r="L22" s="12"/>
      <c r="M22" s="12"/>
      <c r="N22" s="12"/>
    </row>
    <row r="23" spans="2:14" ht="15" customHeight="1">
      <c r="B23" s="83" t="s">
        <v>28</v>
      </c>
      <c r="C23" s="84"/>
      <c r="D23" s="84"/>
      <c r="E23" s="85"/>
      <c r="F23" s="15">
        <f t="shared" ref="F23:M23" si="2">SUM(F5:F22)</f>
        <v>0</v>
      </c>
      <c r="G23" s="15">
        <f t="shared" si="2"/>
        <v>0</v>
      </c>
      <c r="H23" s="15">
        <f t="shared" si="2"/>
        <v>0</v>
      </c>
      <c r="I23" s="15">
        <f t="shared" si="2"/>
        <v>0</v>
      </c>
      <c r="J23" s="15">
        <f t="shared" si="2"/>
        <v>0</v>
      </c>
      <c r="K23" s="15">
        <f t="shared" si="2"/>
        <v>0</v>
      </c>
      <c r="L23" s="15">
        <f t="shared" si="2"/>
        <v>0</v>
      </c>
      <c r="M23" s="15">
        <f t="shared" si="2"/>
        <v>0</v>
      </c>
      <c r="N23" s="15">
        <f>SUM(N5:N22)</f>
        <v>0</v>
      </c>
    </row>
    <row r="24" spans="2:14" ht="30" customHeight="1">
      <c r="B24" s="80" t="s">
        <v>53</v>
      </c>
      <c r="C24" s="81"/>
      <c r="D24" s="81"/>
      <c r="E24" s="81"/>
      <c r="F24" s="81"/>
      <c r="G24" s="81"/>
      <c r="H24" s="81"/>
      <c r="I24" s="81"/>
      <c r="J24" s="81"/>
      <c r="K24" s="81"/>
      <c r="L24" s="81"/>
      <c r="M24" s="81"/>
      <c r="N24" s="81"/>
    </row>
    <row r="25" spans="2:14" ht="15" customHeight="1">
      <c r="B25" s="10" t="s">
        <v>52</v>
      </c>
      <c r="C25" s="82" t="s">
        <v>25</v>
      </c>
      <c r="D25" s="82"/>
      <c r="E25" s="82"/>
      <c r="F25" s="11" t="s">
        <v>47</v>
      </c>
      <c r="G25" s="10" t="s">
        <v>42</v>
      </c>
      <c r="H25" s="10" t="s">
        <v>43</v>
      </c>
      <c r="I25" s="10" t="s">
        <v>44</v>
      </c>
      <c r="J25" s="10" t="s">
        <v>45</v>
      </c>
      <c r="K25" s="10" t="s">
        <v>46</v>
      </c>
      <c r="L25" s="10" t="s">
        <v>114</v>
      </c>
      <c r="M25" s="10" t="s">
        <v>116</v>
      </c>
      <c r="N25" s="10" t="s">
        <v>117</v>
      </c>
    </row>
    <row r="26" spans="2:14">
      <c r="B26" s="9">
        <f>B22+1</f>
        <v>19</v>
      </c>
      <c r="C26" s="86" t="s">
        <v>98</v>
      </c>
      <c r="D26" s="86"/>
      <c r="E26" s="86"/>
      <c r="F26" s="15">
        <f>SUM(G26:N26)</f>
        <v>0</v>
      </c>
      <c r="G26" s="12"/>
      <c r="H26" s="12"/>
      <c r="I26" s="12"/>
      <c r="J26" s="12"/>
      <c r="K26" s="12"/>
      <c r="L26" s="12"/>
      <c r="M26" s="12"/>
      <c r="N26" s="5"/>
    </row>
    <row r="27" spans="2:14">
      <c r="B27" s="9">
        <f>B26+1</f>
        <v>20</v>
      </c>
      <c r="C27" s="86" t="s">
        <v>99</v>
      </c>
      <c r="D27" s="86"/>
      <c r="E27" s="86"/>
      <c r="F27" s="15">
        <f t="shared" ref="F27:F30" si="3">SUM(G27:N27)</f>
        <v>0</v>
      </c>
      <c r="G27" s="12"/>
      <c r="H27" s="12"/>
      <c r="I27" s="12"/>
      <c r="J27" s="12"/>
      <c r="K27" s="12"/>
      <c r="L27" s="12"/>
      <c r="M27" s="12"/>
      <c r="N27" s="5"/>
    </row>
    <row r="28" spans="2:14">
      <c r="B28" s="9">
        <f t="shared" ref="B28:B30" si="4">B27+1</f>
        <v>21</v>
      </c>
      <c r="C28" s="86" t="s">
        <v>100</v>
      </c>
      <c r="D28" s="86"/>
      <c r="E28" s="86"/>
      <c r="F28" s="15">
        <f t="shared" si="3"/>
        <v>0</v>
      </c>
      <c r="G28" s="12"/>
      <c r="H28" s="12"/>
      <c r="I28" s="12"/>
      <c r="J28" s="12"/>
      <c r="K28" s="12"/>
      <c r="L28" s="12"/>
      <c r="M28" s="12"/>
      <c r="N28" s="5"/>
    </row>
    <row r="29" spans="2:14" ht="18" customHeight="1">
      <c r="B29" s="9">
        <f t="shared" si="4"/>
        <v>22</v>
      </c>
      <c r="C29" s="86" t="s">
        <v>101</v>
      </c>
      <c r="D29" s="86"/>
      <c r="E29" s="86"/>
      <c r="F29" s="15">
        <f t="shared" si="3"/>
        <v>0</v>
      </c>
      <c r="G29" s="12"/>
      <c r="H29" s="12"/>
      <c r="I29" s="12"/>
      <c r="J29" s="12"/>
      <c r="K29" s="12"/>
      <c r="L29" s="12"/>
      <c r="M29" s="12"/>
      <c r="N29" s="5"/>
    </row>
    <row r="30" spans="2:14">
      <c r="B30" s="9">
        <f t="shared" si="4"/>
        <v>23</v>
      </c>
      <c r="C30" s="86" t="s">
        <v>102</v>
      </c>
      <c r="D30" s="86"/>
      <c r="E30" s="86"/>
      <c r="F30" s="15">
        <f t="shared" si="3"/>
        <v>0</v>
      </c>
      <c r="G30" s="12"/>
      <c r="H30" s="12"/>
      <c r="I30" s="12"/>
      <c r="J30" s="12"/>
      <c r="K30" s="12"/>
      <c r="L30" s="12"/>
      <c r="M30" s="12"/>
      <c r="N30" s="5"/>
    </row>
    <row r="31" spans="2:14" ht="15" customHeight="1">
      <c r="B31" s="90" t="s">
        <v>27</v>
      </c>
      <c r="C31" s="90"/>
      <c r="D31" s="90"/>
      <c r="E31" s="91"/>
      <c r="F31" s="15">
        <f t="shared" ref="F31:M31" si="5">SUM(F26:F30)</f>
        <v>0</v>
      </c>
      <c r="G31" s="15">
        <f t="shared" si="5"/>
        <v>0</v>
      </c>
      <c r="H31" s="15">
        <f t="shared" si="5"/>
        <v>0</v>
      </c>
      <c r="I31" s="15">
        <f t="shared" si="5"/>
        <v>0</v>
      </c>
      <c r="J31" s="15">
        <f t="shared" si="5"/>
        <v>0</v>
      </c>
      <c r="K31" s="15">
        <f t="shared" si="5"/>
        <v>0</v>
      </c>
      <c r="L31" s="15">
        <f t="shared" si="5"/>
        <v>0</v>
      </c>
      <c r="M31" s="15">
        <f t="shared" si="5"/>
        <v>0</v>
      </c>
      <c r="N31" s="15">
        <f>SUM(N26:N30)</f>
        <v>0</v>
      </c>
    </row>
    <row r="32" spans="2:14" ht="32.25" customHeight="1">
      <c r="B32" s="80" t="s">
        <v>103</v>
      </c>
      <c r="C32" s="81"/>
      <c r="D32" s="81"/>
      <c r="E32" s="81"/>
      <c r="F32" s="81"/>
      <c r="G32" s="81"/>
      <c r="H32" s="81"/>
      <c r="I32" s="81"/>
      <c r="J32" s="81"/>
      <c r="K32" s="81"/>
      <c r="L32" s="81"/>
      <c r="M32" s="81"/>
      <c r="N32" s="81"/>
    </row>
    <row r="33" spans="2:14" ht="15.75" customHeight="1">
      <c r="B33" s="10" t="s">
        <v>52</v>
      </c>
      <c r="C33" s="82" t="s">
        <v>25</v>
      </c>
      <c r="D33" s="82"/>
      <c r="E33" s="82"/>
      <c r="F33" s="11" t="s">
        <v>47</v>
      </c>
      <c r="G33" s="10" t="s">
        <v>42</v>
      </c>
      <c r="H33" s="10" t="s">
        <v>43</v>
      </c>
      <c r="I33" s="10" t="s">
        <v>44</v>
      </c>
      <c r="J33" s="10" t="s">
        <v>45</v>
      </c>
      <c r="K33" s="10" t="s">
        <v>46</v>
      </c>
      <c r="L33" s="10" t="s">
        <v>114</v>
      </c>
      <c r="M33" s="10" t="s">
        <v>116</v>
      </c>
      <c r="N33" s="10" t="s">
        <v>117</v>
      </c>
    </row>
    <row r="34" spans="2:14" ht="15.75" customHeight="1">
      <c r="B34" s="9">
        <f>B30+1</f>
        <v>24</v>
      </c>
      <c r="C34" s="92" t="s">
        <v>17</v>
      </c>
      <c r="D34" s="92"/>
      <c r="E34" s="92"/>
      <c r="F34" s="15">
        <f>SUM(G34:N34)</f>
        <v>0</v>
      </c>
      <c r="G34" s="12"/>
      <c r="H34" s="12"/>
      <c r="I34" s="12"/>
      <c r="J34" s="12"/>
      <c r="K34" s="12"/>
      <c r="L34" s="12"/>
      <c r="M34" s="12"/>
      <c r="N34" s="12"/>
    </row>
    <row r="35" spans="2:14" ht="15.75" customHeight="1">
      <c r="B35" s="9">
        <f>B34+1</f>
        <v>25</v>
      </c>
      <c r="C35" s="92" t="s">
        <v>18</v>
      </c>
      <c r="D35" s="92"/>
      <c r="E35" s="92"/>
      <c r="F35" s="15">
        <f t="shared" ref="F35:F42" si="6">SUM(G35:N35)</f>
        <v>0</v>
      </c>
      <c r="G35" s="12"/>
      <c r="H35" s="12"/>
      <c r="I35" s="12"/>
      <c r="J35" s="12"/>
      <c r="K35" s="12"/>
      <c r="L35" s="12"/>
      <c r="M35" s="12"/>
      <c r="N35" s="12"/>
    </row>
    <row r="36" spans="2:14" ht="15.75" customHeight="1">
      <c r="B36" s="9">
        <f t="shared" ref="B36:B42" si="7">B35+1</f>
        <v>26</v>
      </c>
      <c r="C36" s="92" t="s">
        <v>104</v>
      </c>
      <c r="D36" s="92"/>
      <c r="E36" s="92"/>
      <c r="F36" s="15">
        <f t="shared" si="6"/>
        <v>0</v>
      </c>
      <c r="G36" s="12"/>
      <c r="H36" s="12"/>
      <c r="I36" s="12"/>
      <c r="J36" s="12"/>
      <c r="K36" s="12"/>
      <c r="L36" s="12"/>
      <c r="M36" s="12"/>
      <c r="N36" s="12"/>
    </row>
    <row r="37" spans="2:14" ht="15.75" customHeight="1">
      <c r="B37" s="9">
        <f t="shared" si="7"/>
        <v>27</v>
      </c>
      <c r="C37" s="92" t="s">
        <v>105</v>
      </c>
      <c r="D37" s="92"/>
      <c r="E37" s="92"/>
      <c r="F37" s="15">
        <f t="shared" si="6"/>
        <v>0</v>
      </c>
      <c r="G37" s="12"/>
      <c r="H37" s="12"/>
      <c r="I37" s="12"/>
      <c r="J37" s="12"/>
      <c r="K37" s="12"/>
      <c r="L37" s="12"/>
      <c r="M37" s="12"/>
      <c r="N37" s="12"/>
    </row>
    <row r="38" spans="2:14" ht="15.75" customHeight="1">
      <c r="B38" s="9">
        <f t="shared" si="7"/>
        <v>28</v>
      </c>
      <c r="C38" s="92" t="s">
        <v>106</v>
      </c>
      <c r="D38" s="92"/>
      <c r="E38" s="92"/>
      <c r="F38" s="15">
        <f t="shared" si="6"/>
        <v>0</v>
      </c>
      <c r="G38" s="12"/>
      <c r="H38" s="12"/>
      <c r="I38" s="12"/>
      <c r="J38" s="12"/>
      <c r="K38" s="12"/>
      <c r="L38" s="12"/>
      <c r="M38" s="12"/>
      <c r="N38" s="12"/>
    </row>
    <row r="39" spans="2:14" ht="15.75" customHeight="1">
      <c r="B39" s="9">
        <f t="shared" si="7"/>
        <v>29</v>
      </c>
      <c r="C39" s="92" t="s">
        <v>107</v>
      </c>
      <c r="D39" s="92"/>
      <c r="E39" s="92"/>
      <c r="F39" s="15">
        <f t="shared" si="6"/>
        <v>0</v>
      </c>
      <c r="G39" s="12"/>
      <c r="H39" s="12"/>
      <c r="I39" s="12"/>
      <c r="J39" s="12"/>
      <c r="K39" s="12"/>
      <c r="L39" s="12"/>
      <c r="M39" s="12"/>
      <c r="N39" s="12"/>
    </row>
    <row r="40" spans="2:14" ht="15.75" customHeight="1">
      <c r="B40" s="9">
        <f t="shared" si="7"/>
        <v>30</v>
      </c>
      <c r="C40" s="92" t="s">
        <v>108</v>
      </c>
      <c r="D40" s="92"/>
      <c r="E40" s="92"/>
      <c r="F40" s="15">
        <f t="shared" si="6"/>
        <v>0</v>
      </c>
      <c r="G40" s="12"/>
      <c r="H40" s="12"/>
      <c r="I40" s="12"/>
      <c r="J40" s="12"/>
      <c r="K40" s="12"/>
      <c r="L40" s="12"/>
      <c r="M40" s="12"/>
      <c r="N40" s="12"/>
    </row>
    <row r="41" spans="2:14" ht="15.75" customHeight="1">
      <c r="B41" s="9">
        <f t="shared" si="7"/>
        <v>31</v>
      </c>
      <c r="C41" s="92" t="s">
        <v>109</v>
      </c>
      <c r="D41" s="92"/>
      <c r="E41" s="92"/>
      <c r="F41" s="15">
        <f t="shared" si="6"/>
        <v>0</v>
      </c>
      <c r="G41" s="12"/>
      <c r="H41" s="12"/>
      <c r="I41" s="12"/>
      <c r="J41" s="12"/>
      <c r="K41" s="12"/>
      <c r="L41" s="12"/>
      <c r="M41" s="12"/>
      <c r="N41" s="12"/>
    </row>
    <row r="42" spans="2:14" ht="15.75" customHeight="1">
      <c r="B42" s="9">
        <f t="shared" si="7"/>
        <v>32</v>
      </c>
      <c r="C42" s="92" t="s">
        <v>20</v>
      </c>
      <c r="D42" s="92"/>
      <c r="E42" s="92"/>
      <c r="F42" s="15">
        <f t="shared" si="6"/>
        <v>0</v>
      </c>
      <c r="G42" s="12"/>
      <c r="H42" s="12"/>
      <c r="I42" s="12"/>
      <c r="J42" s="12"/>
      <c r="K42" s="12"/>
      <c r="L42" s="12"/>
      <c r="M42" s="12"/>
      <c r="N42" s="12"/>
    </row>
    <row r="43" spans="2:14" ht="15.75" customHeight="1">
      <c r="B43" s="90" t="s">
        <v>29</v>
      </c>
      <c r="C43" s="90"/>
      <c r="D43" s="90"/>
      <c r="E43" s="91"/>
      <c r="F43" s="15">
        <f>SUM(F34:F42)</f>
        <v>0</v>
      </c>
      <c r="G43" s="15">
        <f t="shared" ref="G43:N43" si="8">SUM(G34:G42)</f>
        <v>0</v>
      </c>
      <c r="H43" s="15">
        <f t="shared" si="8"/>
        <v>0</v>
      </c>
      <c r="I43" s="15">
        <f t="shared" si="8"/>
        <v>0</v>
      </c>
      <c r="J43" s="15">
        <f t="shared" si="8"/>
        <v>0</v>
      </c>
      <c r="K43" s="15">
        <f t="shared" si="8"/>
        <v>0</v>
      </c>
      <c r="L43" s="15">
        <f t="shared" si="8"/>
        <v>0</v>
      </c>
      <c r="M43" s="15">
        <f t="shared" si="8"/>
        <v>0</v>
      </c>
      <c r="N43" s="15">
        <f t="shared" si="8"/>
        <v>0</v>
      </c>
    </row>
    <row r="44" spans="2:14" ht="36.75" customHeight="1">
      <c r="B44" s="80" t="s">
        <v>113</v>
      </c>
      <c r="C44" s="81"/>
      <c r="D44" s="81"/>
      <c r="E44" s="81"/>
      <c r="F44" s="81"/>
      <c r="G44" s="81"/>
      <c r="H44" s="81"/>
      <c r="I44" s="81"/>
      <c r="J44" s="81"/>
      <c r="K44" s="81"/>
      <c r="L44" s="81"/>
      <c r="M44" s="81"/>
      <c r="N44" s="81"/>
    </row>
    <row r="45" spans="2:14" ht="15" customHeight="1">
      <c r="B45" s="10" t="s">
        <v>52</v>
      </c>
      <c r="C45" s="82" t="s">
        <v>25</v>
      </c>
      <c r="D45" s="82"/>
      <c r="E45" s="82"/>
      <c r="F45" s="11" t="s">
        <v>47</v>
      </c>
      <c r="G45" s="10" t="s">
        <v>42</v>
      </c>
      <c r="H45" s="10" t="s">
        <v>43</v>
      </c>
      <c r="I45" s="10" t="s">
        <v>44</v>
      </c>
      <c r="J45" s="10" t="s">
        <v>45</v>
      </c>
      <c r="K45" s="10" t="s">
        <v>46</v>
      </c>
      <c r="L45" s="10" t="s">
        <v>114</v>
      </c>
      <c r="M45" s="10" t="s">
        <v>116</v>
      </c>
      <c r="N45" s="10" t="s">
        <v>117</v>
      </c>
    </row>
    <row r="46" spans="2:14">
      <c r="B46" s="46">
        <f>B42+1</f>
        <v>33</v>
      </c>
      <c r="C46" s="92" t="s">
        <v>110</v>
      </c>
      <c r="D46" s="92"/>
      <c r="E46" s="92"/>
      <c r="F46" s="15">
        <f>SUM(G46:N46)</f>
        <v>0</v>
      </c>
      <c r="G46" s="12"/>
      <c r="H46" s="12"/>
      <c r="I46" s="12"/>
      <c r="J46" s="12"/>
      <c r="K46" s="12"/>
      <c r="L46" s="12"/>
      <c r="M46" s="12"/>
      <c r="N46" s="5"/>
    </row>
    <row r="47" spans="2:14">
      <c r="B47" s="93" t="s">
        <v>30</v>
      </c>
      <c r="C47" s="93"/>
      <c r="D47" s="93"/>
      <c r="E47" s="93"/>
      <c r="F47" s="15">
        <f t="shared" ref="F47:M47" si="9">SUM(F46:F46)</f>
        <v>0</v>
      </c>
      <c r="G47" s="15">
        <f t="shared" si="9"/>
        <v>0</v>
      </c>
      <c r="H47" s="15">
        <f t="shared" si="9"/>
        <v>0</v>
      </c>
      <c r="I47" s="15">
        <f t="shared" si="9"/>
        <v>0</v>
      </c>
      <c r="J47" s="15">
        <f t="shared" si="9"/>
        <v>0</v>
      </c>
      <c r="K47" s="15">
        <f t="shared" si="9"/>
        <v>0</v>
      </c>
      <c r="L47" s="15">
        <f t="shared" si="9"/>
        <v>0</v>
      </c>
      <c r="M47" s="15">
        <f t="shared" si="9"/>
        <v>0</v>
      </c>
      <c r="N47" s="15">
        <f>SUM(N46)</f>
        <v>0</v>
      </c>
    </row>
    <row r="48" spans="2:14" ht="30.75" customHeight="1">
      <c r="B48" s="80" t="s">
        <v>112</v>
      </c>
      <c r="C48" s="81"/>
      <c r="D48" s="81"/>
      <c r="E48" s="81"/>
      <c r="F48" s="81"/>
      <c r="G48" s="81"/>
      <c r="H48" s="81"/>
      <c r="I48" s="81"/>
      <c r="J48" s="81"/>
      <c r="K48" s="81"/>
      <c r="L48" s="81"/>
      <c r="M48" s="81"/>
      <c r="N48" s="81"/>
    </row>
    <row r="49" spans="2:14" ht="15" customHeight="1">
      <c r="B49" s="10" t="s">
        <v>52</v>
      </c>
      <c r="C49" s="82" t="s">
        <v>25</v>
      </c>
      <c r="D49" s="82"/>
      <c r="E49" s="82"/>
      <c r="F49" s="11" t="s">
        <v>47</v>
      </c>
      <c r="G49" s="10" t="s">
        <v>42</v>
      </c>
      <c r="H49" s="10" t="s">
        <v>43</v>
      </c>
      <c r="I49" s="10" t="s">
        <v>44</v>
      </c>
      <c r="J49" s="10" t="s">
        <v>45</v>
      </c>
      <c r="K49" s="10" t="s">
        <v>46</v>
      </c>
      <c r="L49" s="10" t="s">
        <v>114</v>
      </c>
      <c r="M49" s="10" t="s">
        <v>116</v>
      </c>
      <c r="N49" s="10" t="s">
        <v>117</v>
      </c>
    </row>
    <row r="50" spans="2:14">
      <c r="B50" s="46">
        <f>B46+1</f>
        <v>34</v>
      </c>
      <c r="C50" s="92" t="s">
        <v>21</v>
      </c>
      <c r="D50" s="92"/>
      <c r="E50" s="92"/>
      <c r="F50" s="13">
        <f>SUM(G50:N50)</f>
        <v>0</v>
      </c>
      <c r="G50" s="12"/>
      <c r="H50" s="12"/>
      <c r="I50" s="12"/>
      <c r="J50" s="12"/>
      <c r="K50" s="12"/>
      <c r="L50" s="12"/>
      <c r="M50" s="12"/>
      <c r="N50" s="12"/>
    </row>
    <row r="51" spans="2:14">
      <c r="B51" s="46">
        <f>B50+1</f>
        <v>35</v>
      </c>
      <c r="C51" s="92" t="s">
        <v>22</v>
      </c>
      <c r="D51" s="92"/>
      <c r="E51" s="92"/>
      <c r="F51" s="13">
        <f t="shared" ref="F51:F53" si="10">SUM(G51:N51)</f>
        <v>0</v>
      </c>
      <c r="G51" s="12"/>
      <c r="H51" s="12"/>
      <c r="I51" s="12"/>
      <c r="J51" s="12"/>
      <c r="K51" s="12"/>
      <c r="L51" s="12"/>
      <c r="M51" s="12"/>
      <c r="N51" s="12"/>
    </row>
    <row r="52" spans="2:14">
      <c r="B52" s="46">
        <f t="shared" ref="B52:B53" si="11">B51+1</f>
        <v>36</v>
      </c>
      <c r="C52" s="92" t="s">
        <v>23</v>
      </c>
      <c r="D52" s="92"/>
      <c r="E52" s="92"/>
      <c r="F52" s="13">
        <f t="shared" si="10"/>
        <v>0</v>
      </c>
      <c r="G52" s="12"/>
      <c r="H52" s="12"/>
      <c r="I52" s="12"/>
      <c r="J52" s="12"/>
      <c r="K52" s="12"/>
      <c r="L52" s="12"/>
      <c r="M52" s="12"/>
      <c r="N52" s="12"/>
    </row>
    <row r="53" spans="2:14">
      <c r="B53" s="46">
        <f t="shared" si="11"/>
        <v>37</v>
      </c>
      <c r="C53" s="92" t="s">
        <v>24</v>
      </c>
      <c r="D53" s="92"/>
      <c r="E53" s="92"/>
      <c r="F53" s="13">
        <f t="shared" si="10"/>
        <v>0</v>
      </c>
      <c r="G53" s="12"/>
      <c r="H53" s="12"/>
      <c r="I53" s="12"/>
      <c r="J53" s="12"/>
      <c r="K53" s="12"/>
      <c r="L53" s="12"/>
      <c r="M53" s="12"/>
      <c r="N53" s="12"/>
    </row>
    <row r="54" spans="2:14">
      <c r="B54" s="93" t="s">
        <v>31</v>
      </c>
      <c r="C54" s="93"/>
      <c r="D54" s="93"/>
      <c r="E54" s="93"/>
      <c r="F54" s="15">
        <f>SUM(F50:F53)</f>
        <v>0</v>
      </c>
      <c r="G54" s="15">
        <f t="shared" ref="G54:M54" si="12">SUM(G50:G53)</f>
        <v>0</v>
      </c>
      <c r="H54" s="15">
        <f t="shared" si="12"/>
        <v>0</v>
      </c>
      <c r="I54" s="15">
        <f t="shared" si="12"/>
        <v>0</v>
      </c>
      <c r="J54" s="15">
        <f t="shared" si="12"/>
        <v>0</v>
      </c>
      <c r="K54" s="15">
        <f t="shared" si="12"/>
        <v>0</v>
      </c>
      <c r="L54" s="15">
        <f t="shared" si="12"/>
        <v>0</v>
      </c>
      <c r="M54" s="15">
        <f t="shared" si="12"/>
        <v>0</v>
      </c>
      <c r="N54" s="15">
        <f>SUM(N50:N53)</f>
        <v>0</v>
      </c>
    </row>
    <row r="55" spans="2:14" ht="18.75">
      <c r="B55" s="87" t="s">
        <v>111</v>
      </c>
      <c r="C55" s="88"/>
      <c r="D55" s="88"/>
      <c r="E55" s="89"/>
      <c r="F55" s="14">
        <f>F43+F31+F23+F47+F54</f>
        <v>0</v>
      </c>
      <c r="G55" s="14">
        <f>G43+G31+G23+G47+G54</f>
        <v>0</v>
      </c>
      <c r="H55" s="14">
        <f t="shared" ref="H55:N55" si="13">H43+H31+H23+H47+H54</f>
        <v>0</v>
      </c>
      <c r="I55" s="14">
        <f t="shared" si="13"/>
        <v>0</v>
      </c>
      <c r="J55" s="14">
        <f t="shared" si="13"/>
        <v>0</v>
      </c>
      <c r="K55" s="14">
        <f t="shared" si="13"/>
        <v>0</v>
      </c>
      <c r="L55" s="14">
        <f t="shared" si="13"/>
        <v>0</v>
      </c>
      <c r="M55" s="14">
        <f t="shared" si="13"/>
        <v>0</v>
      </c>
      <c r="N55" s="14">
        <f t="shared" si="13"/>
        <v>0</v>
      </c>
    </row>
  </sheetData>
  <mergeCells count="53">
    <mergeCell ref="C13:E13"/>
    <mergeCell ref="C20:E20"/>
    <mergeCell ref="C21:E21"/>
    <mergeCell ref="C51:E51"/>
    <mergeCell ref="C52:E52"/>
    <mergeCell ref="C22:E22"/>
    <mergeCell ref="C26:E26"/>
    <mergeCell ref="C40:E40"/>
    <mergeCell ref="C41:E41"/>
    <mergeCell ref="C42:E42"/>
    <mergeCell ref="C35:E35"/>
    <mergeCell ref="C36:E36"/>
    <mergeCell ref="C37:E37"/>
    <mergeCell ref="C34:E34"/>
    <mergeCell ref="C38:E38"/>
    <mergeCell ref="C39:E39"/>
    <mergeCell ref="C8:E8"/>
    <mergeCell ref="C9:E9"/>
    <mergeCell ref="C10:E10"/>
    <mergeCell ref="C11:E11"/>
    <mergeCell ref="C12:E12"/>
    <mergeCell ref="B55:E55"/>
    <mergeCell ref="C25:E25"/>
    <mergeCell ref="C33:E33"/>
    <mergeCell ref="B31:E31"/>
    <mergeCell ref="B43:E43"/>
    <mergeCell ref="C27:E27"/>
    <mergeCell ref="C28:E28"/>
    <mergeCell ref="C45:E45"/>
    <mergeCell ref="C46:E46"/>
    <mergeCell ref="B47:E47"/>
    <mergeCell ref="C49:E49"/>
    <mergeCell ref="C50:E50"/>
    <mergeCell ref="C30:E30"/>
    <mergeCell ref="C53:E53"/>
    <mergeCell ref="B54:E54"/>
    <mergeCell ref="C29:E29"/>
    <mergeCell ref="B3:N3"/>
    <mergeCell ref="B24:N24"/>
    <mergeCell ref="B32:N32"/>
    <mergeCell ref="B44:N44"/>
    <mergeCell ref="B48:N48"/>
    <mergeCell ref="C4:E4"/>
    <mergeCell ref="B23:E23"/>
    <mergeCell ref="C5:E5"/>
    <mergeCell ref="C6:E6"/>
    <mergeCell ref="C7:E7"/>
    <mergeCell ref="C14:E14"/>
    <mergeCell ref="C15:E15"/>
    <mergeCell ref="C16:E16"/>
    <mergeCell ref="C17:E17"/>
    <mergeCell ref="C18:E18"/>
    <mergeCell ref="C19:E19"/>
  </mergeCells>
  <printOptions horizontalCentered="1"/>
  <pageMargins left="0.2" right="0.2" top="0.75" bottom="0.75" header="0.3" footer="0.3"/>
  <pageSetup scale="75" orientation="landscape" r:id="rId1"/>
  <headerFooter>
    <oddHeader>&amp;LAME Pharmacy System and Services Price Sheets - Deliverables</oddHeader>
    <oddFooter>Page &amp;P of &amp;N</oddFooter>
  </headerFooter>
</worksheet>
</file>

<file path=xl/worksheets/sheet2.xml><?xml version="1.0" encoding="utf-8"?>
<worksheet xmlns="http://schemas.openxmlformats.org/spreadsheetml/2006/main" xmlns:r="http://schemas.openxmlformats.org/officeDocument/2006/relationships">
  <dimension ref="B1:L8"/>
  <sheetViews>
    <sheetView showGridLines="0" showRowColHeaders="0" zoomScale="90" zoomScaleNormal="90" workbookViewId="0">
      <selection activeCell="B1" sqref="B1"/>
    </sheetView>
  </sheetViews>
  <sheetFormatPr defaultRowHeight="15"/>
  <cols>
    <col min="1" max="1" width="5.140625" customWidth="1"/>
    <col min="2" max="2" width="15" customWidth="1"/>
    <col min="3" max="3" width="56.28515625" customWidth="1"/>
    <col min="4" max="4" width="11.140625" customWidth="1"/>
    <col min="5" max="6" width="11" customWidth="1"/>
    <col min="7" max="8" width="11.42578125" customWidth="1"/>
    <col min="9" max="9" width="11.5703125" customWidth="1"/>
    <col min="10" max="10" width="11.7109375" customWidth="1"/>
    <col min="11" max="11" width="11.5703125" customWidth="1"/>
    <col min="12" max="12" width="13" customWidth="1"/>
  </cols>
  <sheetData>
    <row r="1" spans="2:12" ht="24.75" customHeight="1">
      <c r="B1" s="48" t="s">
        <v>133</v>
      </c>
    </row>
    <row r="3" spans="2:12">
      <c r="B3" s="39" t="s">
        <v>59</v>
      </c>
      <c r="C3" s="39" t="s">
        <v>71</v>
      </c>
      <c r="D3" s="10" t="s">
        <v>42</v>
      </c>
      <c r="E3" s="10" t="s">
        <v>43</v>
      </c>
      <c r="F3" s="10" t="s">
        <v>44</v>
      </c>
      <c r="G3" s="10" t="s">
        <v>45</v>
      </c>
      <c r="H3" s="10" t="s">
        <v>46</v>
      </c>
      <c r="I3" s="10" t="s">
        <v>114</v>
      </c>
      <c r="J3" s="10" t="s">
        <v>116</v>
      </c>
      <c r="K3" s="10" t="s">
        <v>117</v>
      </c>
      <c r="L3" s="39" t="s">
        <v>70</v>
      </c>
    </row>
    <row r="4" spans="2:12">
      <c r="B4" s="3" t="s">
        <v>67</v>
      </c>
      <c r="C4" s="3" t="s">
        <v>37</v>
      </c>
      <c r="D4" s="5"/>
      <c r="E4" s="5"/>
      <c r="F4" s="5"/>
      <c r="G4" s="5"/>
      <c r="H4" s="5"/>
      <c r="I4" s="5"/>
      <c r="J4" s="5"/>
      <c r="K4" s="5"/>
      <c r="L4" s="40">
        <f>SUM(D4:K4)</f>
        <v>0</v>
      </c>
    </row>
    <row r="5" spans="2:12">
      <c r="B5" s="3" t="s">
        <v>68</v>
      </c>
      <c r="C5" s="3" t="s">
        <v>65</v>
      </c>
      <c r="D5" s="5"/>
      <c r="E5" s="5"/>
      <c r="F5" s="5"/>
      <c r="G5" s="5"/>
      <c r="H5" s="5"/>
      <c r="I5" s="5"/>
      <c r="J5" s="5"/>
      <c r="K5" s="5"/>
      <c r="L5" s="40">
        <f>SUM(D5:K5)</f>
        <v>0</v>
      </c>
    </row>
    <row r="6" spans="2:12">
      <c r="B6" s="3" t="s">
        <v>69</v>
      </c>
      <c r="C6" s="3" t="s">
        <v>73</v>
      </c>
      <c r="D6" s="5"/>
      <c r="E6" s="5"/>
      <c r="F6" s="5"/>
      <c r="G6" s="5"/>
      <c r="H6" s="5"/>
      <c r="I6" s="5"/>
      <c r="J6" s="5"/>
      <c r="K6" s="5"/>
      <c r="L6" s="40">
        <f>SUM(D6:K6)</f>
        <v>0</v>
      </c>
    </row>
    <row r="7" spans="2:12">
      <c r="B7" s="3" t="s">
        <v>128</v>
      </c>
      <c r="C7" s="3" t="s">
        <v>129</v>
      </c>
      <c r="D7" s="5"/>
      <c r="E7" s="5"/>
      <c r="F7" s="5"/>
      <c r="G7" s="5"/>
      <c r="H7" s="5"/>
      <c r="I7" s="5"/>
      <c r="J7" s="5"/>
      <c r="K7" s="5"/>
      <c r="L7" s="40">
        <f>SUM(D7:K7)</f>
        <v>0</v>
      </c>
    </row>
    <row r="8" spans="2:12">
      <c r="B8" s="94" t="s">
        <v>72</v>
      </c>
      <c r="C8" s="94"/>
      <c r="D8" s="54">
        <f t="shared" ref="D8:L8" si="0">SUM(D4:D7)</f>
        <v>0</v>
      </c>
      <c r="E8" s="54">
        <f t="shared" si="0"/>
        <v>0</v>
      </c>
      <c r="F8" s="54">
        <f t="shared" si="0"/>
        <v>0</v>
      </c>
      <c r="G8" s="54">
        <f t="shared" si="0"/>
        <v>0</v>
      </c>
      <c r="H8" s="54">
        <f t="shared" si="0"/>
        <v>0</v>
      </c>
      <c r="I8" s="54">
        <f t="shared" si="0"/>
        <v>0</v>
      </c>
      <c r="J8" s="54">
        <f t="shared" si="0"/>
        <v>0</v>
      </c>
      <c r="K8" s="54">
        <f t="shared" si="0"/>
        <v>0</v>
      </c>
      <c r="L8" s="54">
        <f t="shared" si="0"/>
        <v>0</v>
      </c>
    </row>
  </sheetData>
  <mergeCells count="1">
    <mergeCell ref="B8:C8"/>
  </mergeCells>
  <printOptions horizontalCentered="1"/>
  <pageMargins left="0.2" right="0.2" top="0.75" bottom="0.75" header="0.3" footer="0.3"/>
  <pageSetup scale="70" orientation="landscape" r:id="rId1"/>
  <headerFooter>
    <oddHeader>&amp;LAME Pharmacy System and Services Price Sheets - Development Facility Price Sheet</oddHeader>
    <oddFooter>Page &amp;P of &amp;N</oddFooter>
  </headerFooter>
</worksheet>
</file>

<file path=xl/worksheets/sheet3.xml><?xml version="1.0" encoding="utf-8"?>
<worksheet xmlns="http://schemas.openxmlformats.org/spreadsheetml/2006/main" xmlns:r="http://schemas.openxmlformats.org/officeDocument/2006/relationships">
  <dimension ref="B1:W45"/>
  <sheetViews>
    <sheetView showGridLines="0" showRowColHeaders="0" view="pageBreakPreview" zoomScaleNormal="100" zoomScaleSheetLayoutView="100" workbookViewId="0">
      <pane xSplit="5" topLeftCell="F1" activePane="topRight" state="frozenSplit"/>
      <selection activeCell="C5" sqref="C5:E5"/>
      <selection pane="topRight" activeCell="C1" sqref="C1"/>
    </sheetView>
  </sheetViews>
  <sheetFormatPr defaultRowHeight="15"/>
  <cols>
    <col min="1" max="1" width="1.5703125" customWidth="1"/>
    <col min="2" max="2" width="9.140625" customWidth="1"/>
    <col min="3" max="3" width="34.7109375" customWidth="1"/>
    <col min="4" max="4" width="11.42578125" customWidth="1"/>
    <col min="5" max="5" width="12.5703125" customWidth="1"/>
    <col min="6" max="6" width="10.85546875" customWidth="1"/>
    <col min="7" max="8" width="8.85546875" customWidth="1"/>
    <col min="9" max="9" width="8.5703125" customWidth="1"/>
    <col min="10" max="10" width="8.85546875" customWidth="1"/>
    <col min="11" max="11" width="8.7109375" customWidth="1"/>
    <col min="12" max="12" width="8.42578125" customWidth="1"/>
    <col min="13" max="13" width="8.140625" customWidth="1"/>
    <col min="14" max="14" width="9.28515625" customWidth="1"/>
    <col min="15" max="15" width="12.28515625" customWidth="1"/>
    <col min="16" max="16" width="10.28515625" customWidth="1"/>
  </cols>
  <sheetData>
    <row r="1" spans="2:23" ht="18.75">
      <c r="C1" s="48" t="s">
        <v>134</v>
      </c>
    </row>
    <row r="2" spans="2:23" ht="15.75" thickBot="1"/>
    <row r="3" spans="2:23" ht="15.75" customHeight="1">
      <c r="B3" s="104" t="s">
        <v>84</v>
      </c>
      <c r="C3" s="106" t="s">
        <v>6</v>
      </c>
      <c r="D3" s="104" t="s">
        <v>1</v>
      </c>
      <c r="E3" s="102" t="s">
        <v>3</v>
      </c>
      <c r="F3" s="98" t="s">
        <v>51</v>
      </c>
      <c r="G3" s="99"/>
      <c r="H3" s="99"/>
      <c r="I3" s="99"/>
      <c r="J3" s="99"/>
      <c r="K3" s="99"/>
      <c r="L3" s="99"/>
      <c r="M3" s="99"/>
      <c r="N3" s="99"/>
      <c r="O3" s="95" t="s">
        <v>4</v>
      </c>
      <c r="P3" s="96"/>
      <c r="Q3" s="96"/>
      <c r="R3" s="96"/>
      <c r="S3" s="96"/>
      <c r="T3" s="96"/>
      <c r="U3" s="96"/>
      <c r="V3" s="96"/>
      <c r="W3" s="97"/>
    </row>
    <row r="4" spans="2:23">
      <c r="B4" s="105"/>
      <c r="C4" s="107"/>
      <c r="D4" s="105"/>
      <c r="E4" s="103"/>
      <c r="F4" s="17" t="s">
        <v>47</v>
      </c>
      <c r="G4" s="10" t="s">
        <v>42</v>
      </c>
      <c r="H4" s="10" t="s">
        <v>43</v>
      </c>
      <c r="I4" s="10" t="s">
        <v>44</v>
      </c>
      <c r="J4" s="10" t="s">
        <v>45</v>
      </c>
      <c r="K4" s="10" t="s">
        <v>46</v>
      </c>
      <c r="L4" s="10" t="s">
        <v>114</v>
      </c>
      <c r="M4" s="10" t="s">
        <v>116</v>
      </c>
      <c r="N4" s="55" t="s">
        <v>117</v>
      </c>
      <c r="O4" s="17" t="s">
        <v>47</v>
      </c>
      <c r="P4" s="10" t="s">
        <v>42</v>
      </c>
      <c r="Q4" s="10" t="s">
        <v>43</v>
      </c>
      <c r="R4" s="10" t="s">
        <v>44</v>
      </c>
      <c r="S4" s="10" t="s">
        <v>45</v>
      </c>
      <c r="T4" s="10" t="s">
        <v>46</v>
      </c>
      <c r="U4" s="10" t="s">
        <v>114</v>
      </c>
      <c r="V4" s="10" t="s">
        <v>116</v>
      </c>
      <c r="W4" s="10" t="s">
        <v>117</v>
      </c>
    </row>
    <row r="5" spans="2:23">
      <c r="B5" s="22"/>
      <c r="C5" s="24"/>
      <c r="D5" s="18"/>
      <c r="E5" s="20"/>
      <c r="F5" s="27">
        <f>SUM(G5:N5)</f>
        <v>0</v>
      </c>
      <c r="G5" s="5"/>
      <c r="H5" s="5"/>
      <c r="I5" s="5"/>
      <c r="J5" s="5"/>
      <c r="K5" s="5"/>
      <c r="L5" s="5"/>
      <c r="M5" s="5"/>
      <c r="N5" s="5"/>
      <c r="O5" s="56">
        <f>SUM(P5:W5)</f>
        <v>0</v>
      </c>
      <c r="P5" s="5"/>
      <c r="Q5" s="5"/>
      <c r="R5" s="5"/>
      <c r="S5" s="5"/>
      <c r="T5" s="5"/>
      <c r="U5" s="5"/>
      <c r="V5" s="5"/>
      <c r="W5" s="5"/>
    </row>
    <row r="6" spans="2:23">
      <c r="B6" s="22"/>
      <c r="C6" s="24"/>
      <c r="D6" s="18"/>
      <c r="E6" s="20"/>
      <c r="F6" s="27">
        <f t="shared" ref="F6:F43" si="0">SUM(G6:N6)</f>
        <v>0</v>
      </c>
      <c r="G6" s="5"/>
      <c r="H6" s="5"/>
      <c r="I6" s="5"/>
      <c r="J6" s="5"/>
      <c r="K6" s="5"/>
      <c r="L6" s="5"/>
      <c r="M6" s="5"/>
      <c r="N6" s="5"/>
      <c r="O6" s="56">
        <f t="shared" ref="O6:O43" si="1">SUM(P6:W6)</f>
        <v>0</v>
      </c>
      <c r="P6" s="5"/>
      <c r="Q6" s="5"/>
      <c r="R6" s="5"/>
      <c r="S6" s="5"/>
      <c r="T6" s="5"/>
      <c r="U6" s="5"/>
      <c r="V6" s="5"/>
      <c r="W6" s="5"/>
    </row>
    <row r="7" spans="2:23">
      <c r="B7" s="22"/>
      <c r="C7" s="24"/>
      <c r="D7" s="18"/>
      <c r="E7" s="20"/>
      <c r="F7" s="27">
        <f t="shared" si="0"/>
        <v>0</v>
      </c>
      <c r="G7" s="5"/>
      <c r="H7" s="5"/>
      <c r="I7" s="5"/>
      <c r="J7" s="5"/>
      <c r="K7" s="5"/>
      <c r="L7" s="5"/>
      <c r="M7" s="5"/>
      <c r="N7" s="5"/>
      <c r="O7" s="56">
        <f t="shared" si="1"/>
        <v>0</v>
      </c>
      <c r="P7" s="5"/>
      <c r="Q7" s="5"/>
      <c r="R7" s="5"/>
      <c r="S7" s="5"/>
      <c r="T7" s="5"/>
      <c r="U7" s="5"/>
      <c r="V7" s="5"/>
      <c r="W7" s="5"/>
    </row>
    <row r="8" spans="2:23">
      <c r="B8" s="22"/>
      <c r="C8" s="24"/>
      <c r="D8" s="18"/>
      <c r="E8" s="20"/>
      <c r="F8" s="27">
        <f t="shared" si="0"/>
        <v>0</v>
      </c>
      <c r="G8" s="5"/>
      <c r="H8" s="5"/>
      <c r="I8" s="5"/>
      <c r="J8" s="5"/>
      <c r="K8" s="5"/>
      <c r="L8" s="5"/>
      <c r="M8" s="5"/>
      <c r="N8" s="5"/>
      <c r="O8" s="56">
        <f t="shared" si="1"/>
        <v>0</v>
      </c>
      <c r="P8" s="5"/>
      <c r="Q8" s="5"/>
      <c r="R8" s="5"/>
      <c r="S8" s="5"/>
      <c r="T8" s="5"/>
      <c r="U8" s="5"/>
      <c r="V8" s="5"/>
      <c r="W8" s="5"/>
    </row>
    <row r="9" spans="2:23">
      <c r="B9" s="22"/>
      <c r="C9" s="24"/>
      <c r="D9" s="18"/>
      <c r="E9" s="20"/>
      <c r="F9" s="27">
        <f t="shared" si="0"/>
        <v>0</v>
      </c>
      <c r="G9" s="5"/>
      <c r="H9" s="5"/>
      <c r="I9" s="5"/>
      <c r="J9" s="5"/>
      <c r="K9" s="5"/>
      <c r="L9" s="5"/>
      <c r="M9" s="5"/>
      <c r="N9" s="5"/>
      <c r="O9" s="56">
        <f t="shared" si="1"/>
        <v>0</v>
      </c>
      <c r="P9" s="5"/>
      <c r="Q9" s="5"/>
      <c r="R9" s="5"/>
      <c r="S9" s="5"/>
      <c r="T9" s="5"/>
      <c r="U9" s="5"/>
      <c r="V9" s="5"/>
      <c r="W9" s="5"/>
    </row>
    <row r="10" spans="2:23">
      <c r="B10" s="22"/>
      <c r="C10" s="24"/>
      <c r="D10" s="18"/>
      <c r="E10" s="20"/>
      <c r="F10" s="27">
        <f t="shared" si="0"/>
        <v>0</v>
      </c>
      <c r="G10" s="5"/>
      <c r="H10" s="5"/>
      <c r="I10" s="5"/>
      <c r="J10" s="5"/>
      <c r="K10" s="5"/>
      <c r="L10" s="5"/>
      <c r="M10" s="5"/>
      <c r="N10" s="5"/>
      <c r="O10" s="56">
        <f t="shared" si="1"/>
        <v>0</v>
      </c>
      <c r="P10" s="5"/>
      <c r="Q10" s="5"/>
      <c r="R10" s="5"/>
      <c r="S10" s="5"/>
      <c r="T10" s="5"/>
      <c r="U10" s="5"/>
      <c r="V10" s="5"/>
      <c r="W10" s="5"/>
    </row>
    <row r="11" spans="2:23">
      <c r="B11" s="22"/>
      <c r="C11" s="24"/>
      <c r="D11" s="18"/>
      <c r="E11" s="20"/>
      <c r="F11" s="27">
        <f t="shared" si="0"/>
        <v>0</v>
      </c>
      <c r="G11" s="5"/>
      <c r="H11" s="5"/>
      <c r="I11" s="5"/>
      <c r="J11" s="5"/>
      <c r="K11" s="5"/>
      <c r="L11" s="5"/>
      <c r="M11" s="5"/>
      <c r="N11" s="5"/>
      <c r="O11" s="56">
        <f t="shared" si="1"/>
        <v>0</v>
      </c>
      <c r="P11" s="5"/>
      <c r="Q11" s="5"/>
      <c r="R11" s="5"/>
      <c r="S11" s="5"/>
      <c r="T11" s="5"/>
      <c r="U11" s="5"/>
      <c r="V11" s="5"/>
      <c r="W11" s="5"/>
    </row>
    <row r="12" spans="2:23">
      <c r="B12" s="22"/>
      <c r="C12" s="24"/>
      <c r="D12" s="18"/>
      <c r="E12" s="20"/>
      <c r="F12" s="27">
        <f t="shared" si="0"/>
        <v>0</v>
      </c>
      <c r="G12" s="5"/>
      <c r="H12" s="5"/>
      <c r="I12" s="5"/>
      <c r="J12" s="5"/>
      <c r="K12" s="5"/>
      <c r="L12" s="5"/>
      <c r="M12" s="5"/>
      <c r="N12" s="5"/>
      <c r="O12" s="56">
        <f t="shared" si="1"/>
        <v>0</v>
      </c>
      <c r="P12" s="5"/>
      <c r="Q12" s="5"/>
      <c r="R12" s="5"/>
      <c r="S12" s="5"/>
      <c r="T12" s="5"/>
      <c r="U12" s="5"/>
      <c r="V12" s="5"/>
      <c r="W12" s="5"/>
    </row>
    <row r="13" spans="2:23">
      <c r="B13" s="22"/>
      <c r="C13" s="24"/>
      <c r="D13" s="18"/>
      <c r="E13" s="20"/>
      <c r="F13" s="27">
        <f t="shared" si="0"/>
        <v>0</v>
      </c>
      <c r="G13" s="5"/>
      <c r="H13" s="5"/>
      <c r="I13" s="5"/>
      <c r="J13" s="5"/>
      <c r="K13" s="5"/>
      <c r="L13" s="5"/>
      <c r="M13" s="5"/>
      <c r="N13" s="5"/>
      <c r="O13" s="56">
        <f t="shared" si="1"/>
        <v>0</v>
      </c>
      <c r="P13" s="5"/>
      <c r="Q13" s="5"/>
      <c r="R13" s="5"/>
      <c r="S13" s="5"/>
      <c r="T13" s="5"/>
      <c r="U13" s="5"/>
      <c r="V13" s="5"/>
      <c r="W13" s="5"/>
    </row>
    <row r="14" spans="2:23">
      <c r="B14" s="22"/>
      <c r="C14" s="24"/>
      <c r="D14" s="18"/>
      <c r="E14" s="20"/>
      <c r="F14" s="27">
        <f t="shared" si="0"/>
        <v>0</v>
      </c>
      <c r="G14" s="5"/>
      <c r="H14" s="5"/>
      <c r="I14" s="5"/>
      <c r="J14" s="5"/>
      <c r="K14" s="5"/>
      <c r="L14" s="5"/>
      <c r="M14" s="5"/>
      <c r="N14" s="5"/>
      <c r="O14" s="56">
        <f t="shared" si="1"/>
        <v>0</v>
      </c>
      <c r="P14" s="5"/>
      <c r="Q14" s="5"/>
      <c r="R14" s="5"/>
      <c r="S14" s="5"/>
      <c r="T14" s="5"/>
      <c r="U14" s="5"/>
      <c r="V14" s="5"/>
      <c r="W14" s="5"/>
    </row>
    <row r="15" spans="2:23">
      <c r="B15" s="22"/>
      <c r="C15" s="24"/>
      <c r="D15" s="18"/>
      <c r="E15" s="20"/>
      <c r="F15" s="27">
        <f t="shared" si="0"/>
        <v>0</v>
      </c>
      <c r="G15" s="5"/>
      <c r="H15" s="5"/>
      <c r="I15" s="5"/>
      <c r="J15" s="5"/>
      <c r="K15" s="5"/>
      <c r="L15" s="5"/>
      <c r="M15" s="5"/>
      <c r="N15" s="5"/>
      <c r="O15" s="56">
        <f t="shared" si="1"/>
        <v>0</v>
      </c>
      <c r="P15" s="5"/>
      <c r="Q15" s="5"/>
      <c r="R15" s="5"/>
      <c r="S15" s="5"/>
      <c r="T15" s="5"/>
      <c r="U15" s="5"/>
      <c r="V15" s="5"/>
      <c r="W15" s="5"/>
    </row>
    <row r="16" spans="2:23">
      <c r="B16" s="22"/>
      <c r="C16" s="24"/>
      <c r="D16" s="18"/>
      <c r="E16" s="20"/>
      <c r="F16" s="27">
        <f t="shared" si="0"/>
        <v>0</v>
      </c>
      <c r="G16" s="5"/>
      <c r="H16" s="5"/>
      <c r="I16" s="5"/>
      <c r="J16" s="5"/>
      <c r="K16" s="5"/>
      <c r="L16" s="5"/>
      <c r="M16" s="5"/>
      <c r="N16" s="5"/>
      <c r="O16" s="56">
        <f t="shared" si="1"/>
        <v>0</v>
      </c>
      <c r="P16" s="5"/>
      <c r="Q16" s="5"/>
      <c r="R16" s="5"/>
      <c r="S16" s="5"/>
      <c r="T16" s="5"/>
      <c r="U16" s="5"/>
      <c r="V16" s="5"/>
      <c r="W16" s="5"/>
    </row>
    <row r="17" spans="2:23">
      <c r="B17" s="22"/>
      <c r="C17" s="24"/>
      <c r="D17" s="18"/>
      <c r="E17" s="20"/>
      <c r="F17" s="27">
        <f t="shared" si="0"/>
        <v>0</v>
      </c>
      <c r="G17" s="5"/>
      <c r="H17" s="5"/>
      <c r="I17" s="5"/>
      <c r="J17" s="5"/>
      <c r="K17" s="5"/>
      <c r="L17" s="5"/>
      <c r="M17" s="5"/>
      <c r="N17" s="5"/>
      <c r="O17" s="56">
        <f t="shared" si="1"/>
        <v>0</v>
      </c>
      <c r="P17" s="5"/>
      <c r="Q17" s="5"/>
      <c r="R17" s="5"/>
      <c r="S17" s="5"/>
      <c r="T17" s="5"/>
      <c r="U17" s="5"/>
      <c r="V17" s="5"/>
      <c r="W17" s="5"/>
    </row>
    <row r="18" spans="2:23">
      <c r="B18" s="22"/>
      <c r="C18" s="24"/>
      <c r="D18" s="18"/>
      <c r="E18" s="20"/>
      <c r="F18" s="27">
        <f t="shared" si="0"/>
        <v>0</v>
      </c>
      <c r="G18" s="5"/>
      <c r="H18" s="5"/>
      <c r="I18" s="5"/>
      <c r="J18" s="5"/>
      <c r="K18" s="5"/>
      <c r="L18" s="5"/>
      <c r="M18" s="5"/>
      <c r="N18" s="5"/>
      <c r="O18" s="56">
        <f t="shared" si="1"/>
        <v>0</v>
      </c>
      <c r="P18" s="5"/>
      <c r="Q18" s="5"/>
      <c r="R18" s="5"/>
      <c r="S18" s="5"/>
      <c r="T18" s="5"/>
      <c r="U18" s="5"/>
      <c r="V18" s="5"/>
      <c r="W18" s="5"/>
    </row>
    <row r="19" spans="2:23">
      <c r="B19" s="22"/>
      <c r="C19" s="24"/>
      <c r="D19" s="18"/>
      <c r="E19" s="20"/>
      <c r="F19" s="27">
        <f t="shared" si="0"/>
        <v>0</v>
      </c>
      <c r="G19" s="5"/>
      <c r="H19" s="5"/>
      <c r="I19" s="5"/>
      <c r="J19" s="5"/>
      <c r="K19" s="5"/>
      <c r="L19" s="5"/>
      <c r="M19" s="5"/>
      <c r="N19" s="5"/>
      <c r="O19" s="56">
        <f t="shared" si="1"/>
        <v>0</v>
      </c>
      <c r="P19" s="5"/>
      <c r="Q19" s="5"/>
      <c r="R19" s="5"/>
      <c r="S19" s="5"/>
      <c r="T19" s="5"/>
      <c r="U19" s="5"/>
      <c r="V19" s="5"/>
      <c r="W19" s="5"/>
    </row>
    <row r="20" spans="2:23">
      <c r="B20" s="22"/>
      <c r="C20" s="24"/>
      <c r="D20" s="18"/>
      <c r="E20" s="20"/>
      <c r="F20" s="27">
        <f t="shared" si="0"/>
        <v>0</v>
      </c>
      <c r="G20" s="5"/>
      <c r="H20" s="5"/>
      <c r="I20" s="5"/>
      <c r="J20" s="5"/>
      <c r="K20" s="5"/>
      <c r="L20" s="5"/>
      <c r="M20" s="5"/>
      <c r="N20" s="5"/>
      <c r="O20" s="56">
        <f t="shared" si="1"/>
        <v>0</v>
      </c>
      <c r="P20" s="5"/>
      <c r="Q20" s="5"/>
      <c r="R20" s="5"/>
      <c r="S20" s="5"/>
      <c r="T20" s="5"/>
      <c r="U20" s="5"/>
      <c r="V20" s="5"/>
      <c r="W20" s="5"/>
    </row>
    <row r="21" spans="2:23">
      <c r="B21" s="22"/>
      <c r="C21" s="24"/>
      <c r="D21" s="18"/>
      <c r="E21" s="20"/>
      <c r="F21" s="27">
        <f t="shared" si="0"/>
        <v>0</v>
      </c>
      <c r="G21" s="5"/>
      <c r="H21" s="5"/>
      <c r="I21" s="5"/>
      <c r="J21" s="5"/>
      <c r="K21" s="5"/>
      <c r="L21" s="5"/>
      <c r="M21" s="5"/>
      <c r="N21" s="5"/>
      <c r="O21" s="56">
        <f t="shared" si="1"/>
        <v>0</v>
      </c>
      <c r="P21" s="5"/>
      <c r="Q21" s="5"/>
      <c r="R21" s="5"/>
      <c r="S21" s="5"/>
      <c r="T21" s="5"/>
      <c r="U21" s="5"/>
      <c r="V21" s="5"/>
      <c r="W21" s="5"/>
    </row>
    <row r="22" spans="2:23">
      <c r="B22" s="22"/>
      <c r="C22" s="24"/>
      <c r="D22" s="18"/>
      <c r="E22" s="20"/>
      <c r="F22" s="27">
        <f t="shared" si="0"/>
        <v>0</v>
      </c>
      <c r="G22" s="5"/>
      <c r="H22" s="5"/>
      <c r="I22" s="5"/>
      <c r="J22" s="5"/>
      <c r="K22" s="5"/>
      <c r="L22" s="5"/>
      <c r="M22" s="5"/>
      <c r="N22" s="5"/>
      <c r="O22" s="56">
        <f t="shared" si="1"/>
        <v>0</v>
      </c>
      <c r="P22" s="5"/>
      <c r="Q22" s="5"/>
      <c r="R22" s="5"/>
      <c r="S22" s="5"/>
      <c r="T22" s="5"/>
      <c r="U22" s="5"/>
      <c r="V22" s="5"/>
      <c r="W22" s="5"/>
    </row>
    <row r="23" spans="2:23">
      <c r="B23" s="22"/>
      <c r="C23" s="24"/>
      <c r="D23" s="18"/>
      <c r="E23" s="20"/>
      <c r="F23" s="27">
        <f t="shared" si="0"/>
        <v>0</v>
      </c>
      <c r="G23" s="5"/>
      <c r="H23" s="5"/>
      <c r="I23" s="5"/>
      <c r="J23" s="5"/>
      <c r="K23" s="5"/>
      <c r="L23" s="5"/>
      <c r="M23" s="5"/>
      <c r="N23" s="5"/>
      <c r="O23" s="56">
        <f t="shared" si="1"/>
        <v>0</v>
      </c>
      <c r="P23" s="5"/>
      <c r="Q23" s="5"/>
      <c r="R23" s="5"/>
      <c r="S23" s="5"/>
      <c r="T23" s="5"/>
      <c r="U23" s="5"/>
      <c r="V23" s="5"/>
      <c r="W23" s="5"/>
    </row>
    <row r="24" spans="2:23">
      <c r="B24" s="22"/>
      <c r="C24" s="24"/>
      <c r="D24" s="18"/>
      <c r="E24" s="20"/>
      <c r="F24" s="27">
        <f t="shared" si="0"/>
        <v>0</v>
      </c>
      <c r="G24" s="5"/>
      <c r="H24" s="5"/>
      <c r="I24" s="5"/>
      <c r="J24" s="5"/>
      <c r="K24" s="5"/>
      <c r="L24" s="5"/>
      <c r="M24" s="5"/>
      <c r="N24" s="5"/>
      <c r="O24" s="56">
        <f t="shared" si="1"/>
        <v>0</v>
      </c>
      <c r="P24" s="5"/>
      <c r="Q24" s="5"/>
      <c r="R24" s="5"/>
      <c r="S24" s="5"/>
      <c r="T24" s="5"/>
      <c r="U24" s="5"/>
      <c r="V24" s="5"/>
      <c r="W24" s="5"/>
    </row>
    <row r="25" spans="2:23">
      <c r="B25" s="22"/>
      <c r="C25" s="24"/>
      <c r="D25" s="18"/>
      <c r="E25" s="20"/>
      <c r="F25" s="27">
        <f t="shared" si="0"/>
        <v>0</v>
      </c>
      <c r="G25" s="5"/>
      <c r="H25" s="5"/>
      <c r="I25" s="5"/>
      <c r="J25" s="5"/>
      <c r="K25" s="5"/>
      <c r="L25" s="5"/>
      <c r="M25" s="5"/>
      <c r="N25" s="5"/>
      <c r="O25" s="56">
        <f t="shared" si="1"/>
        <v>0</v>
      </c>
      <c r="P25" s="5"/>
      <c r="Q25" s="5"/>
      <c r="R25" s="5"/>
      <c r="S25" s="5"/>
      <c r="T25" s="5"/>
      <c r="U25" s="5"/>
      <c r="V25" s="5"/>
      <c r="W25" s="5"/>
    </row>
    <row r="26" spans="2:23">
      <c r="B26" s="22"/>
      <c r="C26" s="24"/>
      <c r="D26" s="18"/>
      <c r="E26" s="20"/>
      <c r="F26" s="27">
        <f t="shared" si="0"/>
        <v>0</v>
      </c>
      <c r="G26" s="5"/>
      <c r="H26" s="5"/>
      <c r="I26" s="5"/>
      <c r="J26" s="5"/>
      <c r="K26" s="5"/>
      <c r="L26" s="5"/>
      <c r="M26" s="5"/>
      <c r="N26" s="5"/>
      <c r="O26" s="56">
        <f t="shared" si="1"/>
        <v>0</v>
      </c>
      <c r="P26" s="5"/>
      <c r="Q26" s="5"/>
      <c r="R26" s="5"/>
      <c r="S26" s="5"/>
      <c r="T26" s="5"/>
      <c r="U26" s="5"/>
      <c r="V26" s="5"/>
      <c r="W26" s="5"/>
    </row>
    <row r="27" spans="2:23">
      <c r="B27" s="22"/>
      <c r="C27" s="24"/>
      <c r="D27" s="18"/>
      <c r="E27" s="20"/>
      <c r="F27" s="27">
        <f t="shared" si="0"/>
        <v>0</v>
      </c>
      <c r="G27" s="5"/>
      <c r="H27" s="5"/>
      <c r="I27" s="5"/>
      <c r="J27" s="5"/>
      <c r="K27" s="5"/>
      <c r="L27" s="5"/>
      <c r="M27" s="5"/>
      <c r="N27" s="5"/>
      <c r="O27" s="56">
        <f t="shared" si="1"/>
        <v>0</v>
      </c>
      <c r="P27" s="5"/>
      <c r="Q27" s="5"/>
      <c r="R27" s="5"/>
      <c r="S27" s="5"/>
      <c r="T27" s="5"/>
      <c r="U27" s="5"/>
      <c r="V27" s="5"/>
      <c r="W27" s="5"/>
    </row>
    <row r="28" spans="2:23">
      <c r="B28" s="22"/>
      <c r="C28" s="24"/>
      <c r="D28" s="18"/>
      <c r="E28" s="20"/>
      <c r="F28" s="27">
        <f t="shared" si="0"/>
        <v>0</v>
      </c>
      <c r="G28" s="5"/>
      <c r="H28" s="5"/>
      <c r="I28" s="5"/>
      <c r="J28" s="5"/>
      <c r="K28" s="5"/>
      <c r="L28" s="5"/>
      <c r="M28" s="5"/>
      <c r="N28" s="5"/>
      <c r="O28" s="56">
        <f t="shared" si="1"/>
        <v>0</v>
      </c>
      <c r="P28" s="5"/>
      <c r="Q28" s="5"/>
      <c r="R28" s="5"/>
      <c r="S28" s="5"/>
      <c r="T28" s="5"/>
      <c r="U28" s="5"/>
      <c r="V28" s="5"/>
      <c r="W28" s="5"/>
    </row>
    <row r="29" spans="2:23">
      <c r="B29" s="22"/>
      <c r="C29" s="24"/>
      <c r="D29" s="18"/>
      <c r="E29" s="20"/>
      <c r="F29" s="27">
        <f t="shared" si="0"/>
        <v>0</v>
      </c>
      <c r="G29" s="5"/>
      <c r="H29" s="5"/>
      <c r="I29" s="5"/>
      <c r="J29" s="5"/>
      <c r="K29" s="5"/>
      <c r="L29" s="5"/>
      <c r="M29" s="5"/>
      <c r="N29" s="5"/>
      <c r="O29" s="56">
        <f t="shared" si="1"/>
        <v>0</v>
      </c>
      <c r="P29" s="5"/>
      <c r="Q29" s="5"/>
      <c r="R29" s="5"/>
      <c r="S29" s="5"/>
      <c r="T29" s="5"/>
      <c r="U29" s="5"/>
      <c r="V29" s="5"/>
      <c r="W29" s="5"/>
    </row>
    <row r="30" spans="2:23">
      <c r="B30" s="22"/>
      <c r="C30" s="24"/>
      <c r="D30" s="18"/>
      <c r="E30" s="20"/>
      <c r="F30" s="27">
        <f t="shared" si="0"/>
        <v>0</v>
      </c>
      <c r="G30" s="5"/>
      <c r="H30" s="5"/>
      <c r="I30" s="5"/>
      <c r="J30" s="5"/>
      <c r="K30" s="5"/>
      <c r="L30" s="5"/>
      <c r="M30" s="5"/>
      <c r="N30" s="5"/>
      <c r="O30" s="56">
        <f t="shared" si="1"/>
        <v>0</v>
      </c>
      <c r="P30" s="5"/>
      <c r="Q30" s="5"/>
      <c r="R30" s="5"/>
      <c r="S30" s="5"/>
      <c r="T30" s="5"/>
      <c r="U30" s="5"/>
      <c r="V30" s="5"/>
      <c r="W30" s="5"/>
    </row>
    <row r="31" spans="2:23">
      <c r="B31" s="22"/>
      <c r="C31" s="24"/>
      <c r="D31" s="18"/>
      <c r="E31" s="20"/>
      <c r="F31" s="27">
        <f t="shared" si="0"/>
        <v>0</v>
      </c>
      <c r="G31" s="5"/>
      <c r="H31" s="5"/>
      <c r="I31" s="5"/>
      <c r="J31" s="5"/>
      <c r="K31" s="5"/>
      <c r="L31" s="5"/>
      <c r="M31" s="5"/>
      <c r="N31" s="5"/>
      <c r="O31" s="56">
        <f t="shared" si="1"/>
        <v>0</v>
      </c>
      <c r="P31" s="5"/>
      <c r="Q31" s="5"/>
      <c r="R31" s="5"/>
      <c r="S31" s="5"/>
      <c r="T31" s="5"/>
      <c r="U31" s="5"/>
      <c r="V31" s="5"/>
      <c r="W31" s="5"/>
    </row>
    <row r="32" spans="2:23">
      <c r="B32" s="22"/>
      <c r="C32" s="24"/>
      <c r="D32" s="18"/>
      <c r="E32" s="20"/>
      <c r="F32" s="27">
        <f t="shared" si="0"/>
        <v>0</v>
      </c>
      <c r="G32" s="5"/>
      <c r="H32" s="5"/>
      <c r="I32" s="5"/>
      <c r="J32" s="5"/>
      <c r="K32" s="5"/>
      <c r="L32" s="5"/>
      <c r="M32" s="5"/>
      <c r="N32" s="5"/>
      <c r="O32" s="56">
        <f t="shared" si="1"/>
        <v>0</v>
      </c>
      <c r="P32" s="5"/>
      <c r="Q32" s="5"/>
      <c r="R32" s="5"/>
      <c r="S32" s="5"/>
      <c r="T32" s="5"/>
      <c r="U32" s="5"/>
      <c r="V32" s="5"/>
      <c r="W32" s="5"/>
    </row>
    <row r="33" spans="2:23">
      <c r="B33" s="22"/>
      <c r="C33" s="24"/>
      <c r="D33" s="18"/>
      <c r="E33" s="20"/>
      <c r="F33" s="27">
        <f t="shared" si="0"/>
        <v>0</v>
      </c>
      <c r="G33" s="5"/>
      <c r="H33" s="5"/>
      <c r="I33" s="5"/>
      <c r="J33" s="5"/>
      <c r="K33" s="5"/>
      <c r="L33" s="5"/>
      <c r="M33" s="5"/>
      <c r="N33" s="5"/>
      <c r="O33" s="56">
        <f t="shared" si="1"/>
        <v>0</v>
      </c>
      <c r="P33" s="5"/>
      <c r="Q33" s="5"/>
      <c r="R33" s="5"/>
      <c r="S33" s="5"/>
      <c r="T33" s="5"/>
      <c r="U33" s="5"/>
      <c r="V33" s="5"/>
      <c r="W33" s="5"/>
    </row>
    <row r="34" spans="2:23">
      <c r="B34" s="22"/>
      <c r="C34" s="24"/>
      <c r="D34" s="18"/>
      <c r="E34" s="20"/>
      <c r="F34" s="27">
        <f t="shared" si="0"/>
        <v>0</v>
      </c>
      <c r="G34" s="5"/>
      <c r="H34" s="5"/>
      <c r="I34" s="5"/>
      <c r="J34" s="5"/>
      <c r="K34" s="5"/>
      <c r="L34" s="5"/>
      <c r="M34" s="5"/>
      <c r="N34" s="5"/>
      <c r="O34" s="56">
        <f t="shared" si="1"/>
        <v>0</v>
      </c>
      <c r="P34" s="5"/>
      <c r="Q34" s="5"/>
      <c r="R34" s="5"/>
      <c r="S34" s="5"/>
      <c r="T34" s="5"/>
      <c r="U34" s="5"/>
      <c r="V34" s="5"/>
      <c r="W34" s="5"/>
    </row>
    <row r="35" spans="2:23">
      <c r="B35" s="22"/>
      <c r="C35" s="24"/>
      <c r="D35" s="18"/>
      <c r="E35" s="20"/>
      <c r="F35" s="27">
        <f t="shared" si="0"/>
        <v>0</v>
      </c>
      <c r="G35" s="5"/>
      <c r="H35" s="5"/>
      <c r="I35" s="5"/>
      <c r="J35" s="5"/>
      <c r="K35" s="5"/>
      <c r="L35" s="5"/>
      <c r="M35" s="5"/>
      <c r="N35" s="5"/>
      <c r="O35" s="56">
        <f t="shared" si="1"/>
        <v>0</v>
      </c>
      <c r="P35" s="5"/>
      <c r="Q35" s="5"/>
      <c r="R35" s="5"/>
      <c r="S35" s="5"/>
      <c r="T35" s="5"/>
      <c r="U35" s="5"/>
      <c r="V35" s="5"/>
      <c r="W35" s="5"/>
    </row>
    <row r="36" spans="2:23">
      <c r="B36" s="22"/>
      <c r="C36" s="24"/>
      <c r="D36" s="18"/>
      <c r="E36" s="20"/>
      <c r="F36" s="27">
        <f t="shared" si="0"/>
        <v>0</v>
      </c>
      <c r="G36" s="5"/>
      <c r="H36" s="5"/>
      <c r="I36" s="5"/>
      <c r="J36" s="5"/>
      <c r="K36" s="5"/>
      <c r="L36" s="5"/>
      <c r="M36" s="5"/>
      <c r="N36" s="5"/>
      <c r="O36" s="56">
        <f t="shared" si="1"/>
        <v>0</v>
      </c>
      <c r="P36" s="5"/>
      <c r="Q36" s="5"/>
      <c r="R36" s="5"/>
      <c r="S36" s="5"/>
      <c r="T36" s="5"/>
      <c r="U36" s="5"/>
      <c r="V36" s="5"/>
      <c r="W36" s="5"/>
    </row>
    <row r="37" spans="2:23">
      <c r="B37" s="22"/>
      <c r="C37" s="24"/>
      <c r="D37" s="18"/>
      <c r="E37" s="20"/>
      <c r="F37" s="27">
        <f t="shared" si="0"/>
        <v>0</v>
      </c>
      <c r="G37" s="5"/>
      <c r="H37" s="5"/>
      <c r="I37" s="5"/>
      <c r="J37" s="5"/>
      <c r="K37" s="5"/>
      <c r="L37" s="5"/>
      <c r="M37" s="5"/>
      <c r="N37" s="5"/>
      <c r="O37" s="56">
        <f t="shared" si="1"/>
        <v>0</v>
      </c>
      <c r="P37" s="5"/>
      <c r="Q37" s="5"/>
      <c r="R37" s="5"/>
      <c r="S37" s="5"/>
      <c r="T37" s="5"/>
      <c r="U37" s="5"/>
      <c r="V37" s="5"/>
      <c r="W37" s="5"/>
    </row>
    <row r="38" spans="2:23">
      <c r="B38" s="22"/>
      <c r="C38" s="24"/>
      <c r="D38" s="18"/>
      <c r="E38" s="20"/>
      <c r="F38" s="27">
        <f t="shared" si="0"/>
        <v>0</v>
      </c>
      <c r="G38" s="5"/>
      <c r="H38" s="5"/>
      <c r="I38" s="5"/>
      <c r="J38" s="5"/>
      <c r="K38" s="5"/>
      <c r="L38" s="5"/>
      <c r="M38" s="5"/>
      <c r="N38" s="5"/>
      <c r="O38" s="56">
        <f t="shared" si="1"/>
        <v>0</v>
      </c>
      <c r="P38" s="5"/>
      <c r="Q38" s="5"/>
      <c r="R38" s="5"/>
      <c r="S38" s="5"/>
      <c r="T38" s="5"/>
      <c r="U38" s="5"/>
      <c r="V38" s="5"/>
      <c r="W38" s="5"/>
    </row>
    <row r="39" spans="2:23">
      <c r="B39" s="22"/>
      <c r="C39" s="24"/>
      <c r="D39" s="18"/>
      <c r="E39" s="20"/>
      <c r="F39" s="27">
        <f t="shared" si="0"/>
        <v>0</v>
      </c>
      <c r="G39" s="5"/>
      <c r="H39" s="5"/>
      <c r="I39" s="5"/>
      <c r="J39" s="5"/>
      <c r="K39" s="5"/>
      <c r="L39" s="5"/>
      <c r="M39" s="5"/>
      <c r="N39" s="5"/>
      <c r="O39" s="56">
        <f t="shared" si="1"/>
        <v>0</v>
      </c>
      <c r="P39" s="5"/>
      <c r="Q39" s="5"/>
      <c r="R39" s="5"/>
      <c r="S39" s="5"/>
      <c r="T39" s="5"/>
      <c r="U39" s="5"/>
      <c r="V39" s="5"/>
      <c r="W39" s="5"/>
    </row>
    <row r="40" spans="2:23">
      <c r="B40" s="22"/>
      <c r="C40" s="24"/>
      <c r="D40" s="18"/>
      <c r="E40" s="20"/>
      <c r="F40" s="27">
        <f t="shared" si="0"/>
        <v>0</v>
      </c>
      <c r="G40" s="5"/>
      <c r="H40" s="5"/>
      <c r="I40" s="5"/>
      <c r="J40" s="5"/>
      <c r="K40" s="5"/>
      <c r="L40" s="5"/>
      <c r="M40" s="5"/>
      <c r="N40" s="5"/>
      <c r="O40" s="56">
        <f t="shared" si="1"/>
        <v>0</v>
      </c>
      <c r="P40" s="5"/>
      <c r="Q40" s="5"/>
      <c r="R40" s="5"/>
      <c r="S40" s="5"/>
      <c r="T40" s="5"/>
      <c r="U40" s="5"/>
      <c r="V40" s="5"/>
      <c r="W40" s="5"/>
    </row>
    <row r="41" spans="2:23">
      <c r="B41" s="22"/>
      <c r="C41" s="24"/>
      <c r="D41" s="18"/>
      <c r="E41" s="20"/>
      <c r="F41" s="27">
        <f t="shared" si="0"/>
        <v>0</v>
      </c>
      <c r="G41" s="5"/>
      <c r="H41" s="5"/>
      <c r="I41" s="5"/>
      <c r="J41" s="5"/>
      <c r="K41" s="5"/>
      <c r="L41" s="5"/>
      <c r="M41" s="5"/>
      <c r="N41" s="5"/>
      <c r="O41" s="56">
        <f t="shared" si="1"/>
        <v>0</v>
      </c>
      <c r="P41" s="5"/>
      <c r="Q41" s="5"/>
      <c r="R41" s="5"/>
      <c r="S41" s="5"/>
      <c r="T41" s="5"/>
      <c r="U41" s="5"/>
      <c r="V41" s="5"/>
      <c r="W41" s="5"/>
    </row>
    <row r="42" spans="2:23">
      <c r="B42" s="22"/>
      <c r="C42" s="24"/>
      <c r="D42" s="18"/>
      <c r="E42" s="20"/>
      <c r="F42" s="27">
        <f t="shared" si="0"/>
        <v>0</v>
      </c>
      <c r="G42" s="5"/>
      <c r="H42" s="5"/>
      <c r="I42" s="5"/>
      <c r="J42" s="5"/>
      <c r="K42" s="5"/>
      <c r="L42" s="5"/>
      <c r="M42" s="5"/>
      <c r="N42" s="5"/>
      <c r="O42" s="56">
        <f t="shared" si="1"/>
        <v>0</v>
      </c>
      <c r="P42" s="5"/>
      <c r="Q42" s="5"/>
      <c r="R42" s="5"/>
      <c r="S42" s="5"/>
      <c r="T42" s="5"/>
      <c r="U42" s="5"/>
      <c r="V42" s="5"/>
      <c r="W42" s="5"/>
    </row>
    <row r="43" spans="2:23" ht="15.75" thickBot="1">
      <c r="B43" s="23"/>
      <c r="C43" s="25"/>
      <c r="D43" s="19"/>
      <c r="E43" s="21"/>
      <c r="F43" s="27">
        <f t="shared" si="0"/>
        <v>0</v>
      </c>
      <c r="G43" s="5"/>
      <c r="H43" s="5"/>
      <c r="I43" s="5"/>
      <c r="J43" s="5"/>
      <c r="K43" s="5"/>
      <c r="L43" s="5"/>
      <c r="M43" s="5"/>
      <c r="N43" s="5"/>
      <c r="O43" s="56">
        <f t="shared" si="1"/>
        <v>0</v>
      </c>
      <c r="P43" s="5"/>
      <c r="Q43" s="5"/>
      <c r="R43" s="5"/>
      <c r="S43" s="5"/>
      <c r="T43" s="5"/>
      <c r="U43" s="5"/>
      <c r="V43" s="5"/>
      <c r="W43" s="5"/>
    </row>
    <row r="44" spans="2:23" ht="16.5" thickBot="1">
      <c r="B44" s="100" t="s">
        <v>5</v>
      </c>
      <c r="C44" s="101"/>
      <c r="D44" s="101"/>
      <c r="E44" s="101"/>
      <c r="F44" s="28">
        <f>SUM(F5:F43)</f>
        <v>0</v>
      </c>
      <c r="G44" s="29">
        <f>SUM(G5:G43)</f>
        <v>0</v>
      </c>
      <c r="H44" s="29">
        <f t="shared" ref="H44:W44" si="2">SUM(H5:H43)</f>
        <v>0</v>
      </c>
      <c r="I44" s="29">
        <f t="shared" si="2"/>
        <v>0</v>
      </c>
      <c r="J44" s="29">
        <f t="shared" si="2"/>
        <v>0</v>
      </c>
      <c r="K44" s="29">
        <f t="shared" si="2"/>
        <v>0</v>
      </c>
      <c r="L44" s="29">
        <f t="shared" si="2"/>
        <v>0</v>
      </c>
      <c r="M44" s="29">
        <f t="shared" si="2"/>
        <v>0</v>
      </c>
      <c r="N44" s="29">
        <f t="shared" si="2"/>
        <v>0</v>
      </c>
      <c r="O44" s="29">
        <f t="shared" si="2"/>
        <v>0</v>
      </c>
      <c r="P44" s="29">
        <f t="shared" si="2"/>
        <v>0</v>
      </c>
      <c r="Q44" s="29">
        <f t="shared" si="2"/>
        <v>0</v>
      </c>
      <c r="R44" s="29">
        <f t="shared" si="2"/>
        <v>0</v>
      </c>
      <c r="S44" s="29">
        <f t="shared" si="2"/>
        <v>0</v>
      </c>
      <c r="T44" s="29">
        <f t="shared" si="2"/>
        <v>0</v>
      </c>
      <c r="U44" s="29">
        <f t="shared" si="2"/>
        <v>0</v>
      </c>
      <c r="V44" s="29">
        <f t="shared" si="2"/>
        <v>0</v>
      </c>
      <c r="W44" s="29">
        <f t="shared" si="2"/>
        <v>0</v>
      </c>
    </row>
    <row r="45" spans="2:23">
      <c r="K45" s="26"/>
    </row>
  </sheetData>
  <mergeCells count="7">
    <mergeCell ref="O3:W3"/>
    <mergeCell ref="F3:N3"/>
    <mergeCell ref="B44:E44"/>
    <mergeCell ref="E3:E4"/>
    <mergeCell ref="D3:D4"/>
    <mergeCell ref="C3:C4"/>
    <mergeCell ref="B3:B4"/>
  </mergeCells>
  <dataValidations count="1">
    <dataValidation type="list" allowBlank="1" showInputMessage="1" showErrorMessage="1" sqref="E5:E43">
      <formula1>ProdSource</formula1>
    </dataValidation>
  </dataValidations>
  <printOptions headings="1" gridLines="1"/>
  <pageMargins left="0.7" right="0.7" top="1" bottom="0.75" header="0.3" footer="0.3"/>
  <pageSetup scale="50" orientation="landscape" r:id="rId1"/>
  <headerFooter>
    <oddHeader>&amp;LAME Pharmacy Price Sheet - Hardware Sheet</oddHeader>
  </headerFooter>
</worksheet>
</file>

<file path=xl/worksheets/sheet4.xml><?xml version="1.0" encoding="utf-8"?>
<worksheet xmlns="http://schemas.openxmlformats.org/spreadsheetml/2006/main" xmlns:r="http://schemas.openxmlformats.org/officeDocument/2006/relationships">
  <dimension ref="B1:AD53"/>
  <sheetViews>
    <sheetView showGridLines="0" showRowColHeaders="0" view="pageBreakPreview" zoomScaleNormal="90" zoomScaleSheetLayoutView="100" workbookViewId="0">
      <selection activeCell="C1" sqref="C1"/>
    </sheetView>
  </sheetViews>
  <sheetFormatPr defaultRowHeight="15"/>
  <cols>
    <col min="1" max="1" width="3" customWidth="1"/>
    <col min="2" max="2" width="9.5703125" style="1" customWidth="1"/>
    <col min="3" max="3" width="35.28515625" customWidth="1"/>
    <col min="4" max="4" width="13.140625" customWidth="1"/>
    <col min="5" max="5" width="12.140625" customWidth="1"/>
    <col min="6" max="6" width="13.140625" customWidth="1"/>
    <col min="7" max="7" width="14.42578125" customWidth="1"/>
    <col min="8" max="8" width="11" bestFit="1" customWidth="1"/>
    <col min="9" max="11" width="11" customWidth="1"/>
    <col min="12" max="12" width="11" bestFit="1" customWidth="1"/>
    <col min="13" max="13" width="11" customWidth="1"/>
    <col min="14" max="14" width="11" bestFit="1" customWidth="1"/>
    <col min="15" max="15" width="11" customWidth="1"/>
    <col min="16" max="16" width="10.85546875" customWidth="1"/>
    <col min="17" max="17" width="11" customWidth="1"/>
    <col min="18" max="23" width="11" bestFit="1" customWidth="1"/>
  </cols>
  <sheetData>
    <row r="1" spans="2:24" s="47" customFormat="1" ht="18.75">
      <c r="B1" s="49"/>
      <c r="C1" s="48" t="s">
        <v>135</v>
      </c>
    </row>
    <row r="2" spans="2:24" ht="10.5" customHeight="1" thickBot="1"/>
    <row r="3" spans="2:24" ht="46.5" customHeight="1" thickBot="1">
      <c r="B3" s="116" t="s">
        <v>84</v>
      </c>
      <c r="C3" s="116" t="s">
        <v>0</v>
      </c>
      <c r="D3" s="116" t="s">
        <v>1</v>
      </c>
      <c r="E3" s="116" t="s">
        <v>2</v>
      </c>
      <c r="F3" s="116" t="s">
        <v>3</v>
      </c>
      <c r="G3" s="114" t="s">
        <v>51</v>
      </c>
      <c r="H3" s="115"/>
      <c r="I3" s="115"/>
      <c r="J3" s="115"/>
      <c r="K3" s="115"/>
      <c r="L3" s="115"/>
      <c r="M3" s="115"/>
      <c r="N3" s="115"/>
      <c r="O3" s="53"/>
      <c r="P3" s="108" t="s">
        <v>4</v>
      </c>
      <c r="Q3" s="109"/>
      <c r="R3" s="109"/>
      <c r="S3" s="109"/>
      <c r="T3" s="109"/>
      <c r="U3" s="109"/>
      <c r="V3" s="109"/>
      <c r="W3" s="109"/>
      <c r="X3" s="110"/>
    </row>
    <row r="4" spans="2:24" ht="15.95" customHeight="1">
      <c r="B4" s="117"/>
      <c r="C4" s="117"/>
      <c r="D4" s="117"/>
      <c r="E4" s="117"/>
      <c r="F4" s="117"/>
      <c r="G4" s="33" t="s">
        <v>47</v>
      </c>
      <c r="H4" s="10" t="s">
        <v>42</v>
      </c>
      <c r="I4" s="10" t="s">
        <v>43</v>
      </c>
      <c r="J4" s="10" t="s">
        <v>44</v>
      </c>
      <c r="K4" s="10" t="s">
        <v>45</v>
      </c>
      <c r="L4" s="10" t="s">
        <v>46</v>
      </c>
      <c r="M4" s="10" t="s">
        <v>114</v>
      </c>
      <c r="N4" s="10" t="s">
        <v>116</v>
      </c>
      <c r="O4" s="57" t="s">
        <v>117</v>
      </c>
      <c r="P4" s="30" t="s">
        <v>47</v>
      </c>
      <c r="Q4" s="58" t="s">
        <v>42</v>
      </c>
      <c r="R4" s="58" t="s">
        <v>43</v>
      </c>
      <c r="S4" s="58" t="s">
        <v>44</v>
      </c>
      <c r="T4" s="58" t="s">
        <v>45</v>
      </c>
      <c r="U4" s="58" t="s">
        <v>46</v>
      </c>
      <c r="V4" s="58" t="s">
        <v>114</v>
      </c>
      <c r="W4" s="58" t="s">
        <v>116</v>
      </c>
      <c r="X4" s="10" t="s">
        <v>117</v>
      </c>
    </row>
    <row r="5" spans="2:24" ht="15.95" customHeight="1">
      <c r="B5" s="22"/>
      <c r="C5" s="32"/>
      <c r="D5" s="32"/>
      <c r="E5" s="32"/>
      <c r="F5" s="32"/>
      <c r="G5" s="59">
        <f>SUM(H5:O5)</f>
        <v>0</v>
      </c>
      <c r="H5" s="60"/>
      <c r="I5" s="60"/>
      <c r="J5" s="60"/>
      <c r="K5" s="60"/>
      <c r="L5" s="60"/>
      <c r="M5" s="60"/>
      <c r="N5" s="60"/>
      <c r="O5" s="60"/>
      <c r="P5" s="59">
        <f>SUM(Q5:X5)</f>
        <v>0</v>
      </c>
      <c r="Q5" s="60"/>
      <c r="R5" s="60"/>
      <c r="S5" s="60"/>
      <c r="T5" s="60"/>
      <c r="U5" s="60"/>
      <c r="V5" s="60"/>
      <c r="W5" s="60"/>
      <c r="X5" s="60"/>
    </row>
    <row r="6" spans="2:24" ht="15.95" customHeight="1">
      <c r="B6" s="22"/>
      <c r="C6" s="32"/>
      <c r="D6" s="32"/>
      <c r="E6" s="32"/>
      <c r="F6" s="32"/>
      <c r="G6" s="59">
        <f t="shared" ref="G6:G46" si="0">SUM(H6:O6)</f>
        <v>0</v>
      </c>
      <c r="H6" s="60"/>
      <c r="I6" s="60"/>
      <c r="J6" s="60"/>
      <c r="K6" s="60"/>
      <c r="L6" s="60"/>
      <c r="M6" s="60"/>
      <c r="N6" s="60"/>
      <c r="O6" s="60"/>
      <c r="P6" s="59">
        <f t="shared" ref="P6:P45" si="1">SUM(Q6:X6)</f>
        <v>0</v>
      </c>
      <c r="Q6" s="60"/>
      <c r="R6" s="60"/>
      <c r="S6" s="60"/>
      <c r="T6" s="60"/>
      <c r="U6" s="60"/>
      <c r="V6" s="60"/>
      <c r="W6" s="60"/>
      <c r="X6" s="60"/>
    </row>
    <row r="7" spans="2:24" ht="15.95" customHeight="1">
      <c r="B7" s="22"/>
      <c r="C7" s="32"/>
      <c r="D7" s="32"/>
      <c r="E7" s="32"/>
      <c r="F7" s="32"/>
      <c r="G7" s="59">
        <f t="shared" si="0"/>
        <v>0</v>
      </c>
      <c r="H7" s="60"/>
      <c r="I7" s="60"/>
      <c r="J7" s="60"/>
      <c r="K7" s="60"/>
      <c r="L7" s="60"/>
      <c r="M7" s="60"/>
      <c r="N7" s="60"/>
      <c r="O7" s="60"/>
      <c r="P7" s="59">
        <f t="shared" si="1"/>
        <v>0</v>
      </c>
      <c r="Q7" s="60"/>
      <c r="R7" s="60"/>
      <c r="S7" s="60"/>
      <c r="T7" s="60"/>
      <c r="U7" s="60"/>
      <c r="V7" s="60"/>
      <c r="W7" s="60"/>
      <c r="X7" s="60"/>
    </row>
    <row r="8" spans="2:24" ht="15.95" customHeight="1">
      <c r="B8" s="22"/>
      <c r="C8" s="32"/>
      <c r="D8" s="32"/>
      <c r="E8" s="32"/>
      <c r="F8" s="32"/>
      <c r="G8" s="59">
        <f t="shared" si="0"/>
        <v>0</v>
      </c>
      <c r="H8" s="60"/>
      <c r="I8" s="60"/>
      <c r="J8" s="60"/>
      <c r="K8" s="60"/>
      <c r="L8" s="60"/>
      <c r="M8" s="60"/>
      <c r="N8" s="60"/>
      <c r="O8" s="60"/>
      <c r="P8" s="59">
        <f t="shared" si="1"/>
        <v>0</v>
      </c>
      <c r="Q8" s="60"/>
      <c r="R8" s="60"/>
      <c r="S8" s="60"/>
      <c r="T8" s="60"/>
      <c r="U8" s="60"/>
      <c r="V8" s="60"/>
      <c r="W8" s="60"/>
      <c r="X8" s="60"/>
    </row>
    <row r="9" spans="2:24" ht="15.95" customHeight="1">
      <c r="B9" s="22"/>
      <c r="C9" s="32"/>
      <c r="D9" s="32"/>
      <c r="E9" s="32"/>
      <c r="F9" s="32"/>
      <c r="G9" s="59">
        <f t="shared" si="0"/>
        <v>0</v>
      </c>
      <c r="H9" s="60"/>
      <c r="I9" s="60"/>
      <c r="J9" s="60"/>
      <c r="K9" s="60"/>
      <c r="L9" s="60"/>
      <c r="M9" s="60"/>
      <c r="N9" s="60"/>
      <c r="O9" s="60"/>
      <c r="P9" s="59">
        <f t="shared" si="1"/>
        <v>0</v>
      </c>
      <c r="Q9" s="60"/>
      <c r="R9" s="60"/>
      <c r="S9" s="60"/>
      <c r="T9" s="60"/>
      <c r="U9" s="60"/>
      <c r="V9" s="60"/>
      <c r="W9" s="60"/>
      <c r="X9" s="60"/>
    </row>
    <row r="10" spans="2:24" ht="15.95" customHeight="1">
      <c r="B10" s="22"/>
      <c r="C10" s="32"/>
      <c r="D10" s="32"/>
      <c r="E10" s="32"/>
      <c r="F10" s="32"/>
      <c r="G10" s="59">
        <f t="shared" si="0"/>
        <v>0</v>
      </c>
      <c r="H10" s="60"/>
      <c r="I10" s="60"/>
      <c r="J10" s="60"/>
      <c r="K10" s="60"/>
      <c r="L10" s="60"/>
      <c r="M10" s="60"/>
      <c r="N10" s="60"/>
      <c r="O10" s="60"/>
      <c r="P10" s="59">
        <f t="shared" si="1"/>
        <v>0</v>
      </c>
      <c r="Q10" s="60"/>
      <c r="R10" s="60"/>
      <c r="S10" s="60"/>
      <c r="T10" s="60"/>
      <c r="U10" s="60"/>
      <c r="V10" s="60"/>
      <c r="W10" s="60"/>
      <c r="X10" s="60"/>
    </row>
    <row r="11" spans="2:24" ht="15.95" customHeight="1">
      <c r="B11" s="22"/>
      <c r="C11" s="32"/>
      <c r="D11" s="32"/>
      <c r="E11" s="32"/>
      <c r="F11" s="32"/>
      <c r="G11" s="59">
        <f t="shared" si="0"/>
        <v>0</v>
      </c>
      <c r="H11" s="60"/>
      <c r="I11" s="60"/>
      <c r="J11" s="60"/>
      <c r="K11" s="60"/>
      <c r="L11" s="60"/>
      <c r="M11" s="60"/>
      <c r="N11" s="60"/>
      <c r="O11" s="60"/>
      <c r="P11" s="59">
        <f t="shared" si="1"/>
        <v>0</v>
      </c>
      <c r="Q11" s="60"/>
      <c r="R11" s="60"/>
      <c r="S11" s="60"/>
      <c r="T11" s="60"/>
      <c r="U11" s="60"/>
      <c r="V11" s="60"/>
      <c r="W11" s="60"/>
      <c r="X11" s="60"/>
    </row>
    <row r="12" spans="2:24" ht="15.95" customHeight="1">
      <c r="B12" s="22"/>
      <c r="C12" s="32"/>
      <c r="D12" s="32"/>
      <c r="E12" s="32"/>
      <c r="F12" s="32"/>
      <c r="G12" s="59">
        <f t="shared" si="0"/>
        <v>0</v>
      </c>
      <c r="H12" s="60"/>
      <c r="I12" s="60"/>
      <c r="J12" s="60"/>
      <c r="K12" s="60"/>
      <c r="L12" s="60"/>
      <c r="M12" s="60"/>
      <c r="N12" s="60"/>
      <c r="O12" s="60"/>
      <c r="P12" s="59">
        <f t="shared" si="1"/>
        <v>0</v>
      </c>
      <c r="Q12" s="60"/>
      <c r="R12" s="60"/>
      <c r="S12" s="60"/>
      <c r="T12" s="60"/>
      <c r="U12" s="60"/>
      <c r="V12" s="60"/>
      <c r="W12" s="60"/>
      <c r="X12" s="60"/>
    </row>
    <row r="13" spans="2:24" ht="15.95" customHeight="1">
      <c r="B13" s="22"/>
      <c r="C13" s="32"/>
      <c r="D13" s="32"/>
      <c r="E13" s="32"/>
      <c r="F13" s="32"/>
      <c r="G13" s="59">
        <f t="shared" si="0"/>
        <v>0</v>
      </c>
      <c r="H13" s="60"/>
      <c r="I13" s="60"/>
      <c r="J13" s="60"/>
      <c r="K13" s="60"/>
      <c r="L13" s="60"/>
      <c r="M13" s="60"/>
      <c r="N13" s="60"/>
      <c r="O13" s="60"/>
      <c r="P13" s="59">
        <f t="shared" si="1"/>
        <v>0</v>
      </c>
      <c r="Q13" s="60"/>
      <c r="R13" s="60"/>
      <c r="S13" s="60"/>
      <c r="T13" s="60"/>
      <c r="U13" s="60"/>
      <c r="V13" s="60"/>
      <c r="W13" s="60"/>
      <c r="X13" s="60"/>
    </row>
    <row r="14" spans="2:24" ht="15.95" customHeight="1">
      <c r="B14" s="22"/>
      <c r="C14" s="32"/>
      <c r="D14" s="32"/>
      <c r="E14" s="32"/>
      <c r="F14" s="32"/>
      <c r="G14" s="59">
        <f t="shared" si="0"/>
        <v>0</v>
      </c>
      <c r="H14" s="60"/>
      <c r="I14" s="60"/>
      <c r="J14" s="60"/>
      <c r="K14" s="60"/>
      <c r="L14" s="60"/>
      <c r="M14" s="60"/>
      <c r="N14" s="60"/>
      <c r="O14" s="60"/>
      <c r="P14" s="59">
        <f t="shared" si="1"/>
        <v>0</v>
      </c>
      <c r="Q14" s="60"/>
      <c r="R14" s="60"/>
      <c r="S14" s="60"/>
      <c r="T14" s="60"/>
      <c r="U14" s="60"/>
      <c r="V14" s="60"/>
      <c r="W14" s="60"/>
      <c r="X14" s="60"/>
    </row>
    <row r="15" spans="2:24" ht="15.95" customHeight="1">
      <c r="B15" s="22"/>
      <c r="C15" s="32"/>
      <c r="D15" s="32"/>
      <c r="E15" s="32"/>
      <c r="F15" s="32"/>
      <c r="G15" s="59">
        <f t="shared" si="0"/>
        <v>0</v>
      </c>
      <c r="H15" s="60"/>
      <c r="I15" s="60"/>
      <c r="J15" s="60"/>
      <c r="K15" s="60"/>
      <c r="L15" s="60"/>
      <c r="M15" s="60"/>
      <c r="N15" s="60"/>
      <c r="O15" s="60"/>
      <c r="P15" s="59">
        <f t="shared" si="1"/>
        <v>0</v>
      </c>
      <c r="Q15" s="60"/>
      <c r="R15" s="60"/>
      <c r="S15" s="60"/>
      <c r="T15" s="60"/>
      <c r="U15" s="60"/>
      <c r="V15" s="60"/>
      <c r="W15" s="60"/>
      <c r="X15" s="60"/>
    </row>
    <row r="16" spans="2:24" ht="15.95" customHeight="1">
      <c r="B16" s="22"/>
      <c r="C16" s="32"/>
      <c r="D16" s="32"/>
      <c r="E16" s="32"/>
      <c r="F16" s="32"/>
      <c r="G16" s="59">
        <f t="shared" si="0"/>
        <v>0</v>
      </c>
      <c r="H16" s="60"/>
      <c r="I16" s="60"/>
      <c r="J16" s="60"/>
      <c r="K16" s="60"/>
      <c r="L16" s="60"/>
      <c r="M16" s="60"/>
      <c r="N16" s="60"/>
      <c r="O16" s="60"/>
      <c r="P16" s="59">
        <f t="shared" si="1"/>
        <v>0</v>
      </c>
      <c r="Q16" s="60"/>
      <c r="R16" s="60"/>
      <c r="S16" s="60"/>
      <c r="T16" s="60"/>
      <c r="U16" s="60"/>
      <c r="V16" s="60"/>
      <c r="W16" s="60"/>
      <c r="X16" s="60"/>
    </row>
    <row r="17" spans="2:24" ht="15.95" customHeight="1">
      <c r="B17" s="22"/>
      <c r="C17" s="32"/>
      <c r="D17" s="32"/>
      <c r="E17" s="32"/>
      <c r="F17" s="32"/>
      <c r="G17" s="59">
        <f t="shared" si="0"/>
        <v>0</v>
      </c>
      <c r="H17" s="60"/>
      <c r="I17" s="60"/>
      <c r="J17" s="60"/>
      <c r="K17" s="60"/>
      <c r="L17" s="60"/>
      <c r="M17" s="60"/>
      <c r="N17" s="60"/>
      <c r="O17" s="60"/>
      <c r="P17" s="59">
        <f t="shared" si="1"/>
        <v>0</v>
      </c>
      <c r="Q17" s="60"/>
      <c r="R17" s="60"/>
      <c r="S17" s="60"/>
      <c r="T17" s="60"/>
      <c r="U17" s="60"/>
      <c r="V17" s="60"/>
      <c r="W17" s="60"/>
      <c r="X17" s="60"/>
    </row>
    <row r="18" spans="2:24" ht="15.95" customHeight="1">
      <c r="B18" s="22"/>
      <c r="C18" s="32"/>
      <c r="D18" s="32"/>
      <c r="E18" s="32"/>
      <c r="F18" s="32"/>
      <c r="G18" s="59">
        <f t="shared" si="0"/>
        <v>0</v>
      </c>
      <c r="H18" s="60"/>
      <c r="I18" s="60"/>
      <c r="J18" s="60"/>
      <c r="K18" s="60"/>
      <c r="L18" s="60"/>
      <c r="M18" s="60"/>
      <c r="N18" s="60"/>
      <c r="O18" s="60"/>
      <c r="P18" s="59">
        <f t="shared" si="1"/>
        <v>0</v>
      </c>
      <c r="Q18" s="60"/>
      <c r="R18" s="60"/>
      <c r="S18" s="60"/>
      <c r="T18" s="60"/>
      <c r="U18" s="60"/>
      <c r="V18" s="60"/>
      <c r="W18" s="60"/>
      <c r="X18" s="60"/>
    </row>
    <row r="19" spans="2:24" ht="15.95" customHeight="1">
      <c r="B19" s="22"/>
      <c r="C19" s="32"/>
      <c r="D19" s="32"/>
      <c r="E19" s="32"/>
      <c r="F19" s="32"/>
      <c r="G19" s="59">
        <f t="shared" si="0"/>
        <v>0</v>
      </c>
      <c r="H19" s="60"/>
      <c r="I19" s="60"/>
      <c r="J19" s="60"/>
      <c r="K19" s="60"/>
      <c r="L19" s="60"/>
      <c r="M19" s="60"/>
      <c r="N19" s="60"/>
      <c r="O19" s="60"/>
      <c r="P19" s="59">
        <f t="shared" si="1"/>
        <v>0</v>
      </c>
      <c r="Q19" s="60"/>
      <c r="R19" s="60"/>
      <c r="S19" s="60"/>
      <c r="T19" s="60"/>
      <c r="U19" s="60"/>
      <c r="V19" s="60"/>
      <c r="W19" s="60"/>
      <c r="X19" s="60"/>
    </row>
    <row r="20" spans="2:24" ht="15.95" customHeight="1">
      <c r="B20" s="22"/>
      <c r="C20" s="32"/>
      <c r="D20" s="32"/>
      <c r="E20" s="32"/>
      <c r="F20" s="32"/>
      <c r="G20" s="59">
        <f t="shared" si="0"/>
        <v>0</v>
      </c>
      <c r="H20" s="60"/>
      <c r="I20" s="60"/>
      <c r="J20" s="60"/>
      <c r="K20" s="60"/>
      <c r="L20" s="60"/>
      <c r="M20" s="60"/>
      <c r="N20" s="60"/>
      <c r="O20" s="60"/>
      <c r="P20" s="59">
        <f t="shared" si="1"/>
        <v>0</v>
      </c>
      <c r="Q20" s="60"/>
      <c r="R20" s="60"/>
      <c r="S20" s="60"/>
      <c r="T20" s="60"/>
      <c r="U20" s="60"/>
      <c r="V20" s="60"/>
      <c r="W20" s="60"/>
      <c r="X20" s="60"/>
    </row>
    <row r="21" spans="2:24" ht="15.95" customHeight="1">
      <c r="B21" s="22"/>
      <c r="C21" s="32"/>
      <c r="D21" s="32"/>
      <c r="E21" s="32"/>
      <c r="F21" s="32"/>
      <c r="G21" s="59">
        <f t="shared" si="0"/>
        <v>0</v>
      </c>
      <c r="H21" s="60"/>
      <c r="I21" s="60"/>
      <c r="J21" s="60"/>
      <c r="K21" s="60"/>
      <c r="L21" s="60"/>
      <c r="M21" s="60"/>
      <c r="N21" s="60"/>
      <c r="O21" s="60"/>
      <c r="P21" s="59">
        <f t="shared" si="1"/>
        <v>0</v>
      </c>
      <c r="Q21" s="60"/>
      <c r="R21" s="60"/>
      <c r="S21" s="60"/>
      <c r="T21" s="60"/>
      <c r="U21" s="60"/>
      <c r="V21" s="60"/>
      <c r="W21" s="60"/>
      <c r="X21" s="60"/>
    </row>
    <row r="22" spans="2:24" ht="15.95" customHeight="1">
      <c r="B22" s="22"/>
      <c r="C22" s="32"/>
      <c r="D22" s="32"/>
      <c r="E22" s="32"/>
      <c r="F22" s="32"/>
      <c r="G22" s="59">
        <f t="shared" si="0"/>
        <v>0</v>
      </c>
      <c r="H22" s="60"/>
      <c r="I22" s="60"/>
      <c r="J22" s="60"/>
      <c r="K22" s="60"/>
      <c r="L22" s="60"/>
      <c r="M22" s="60"/>
      <c r="N22" s="60"/>
      <c r="O22" s="60"/>
      <c r="P22" s="59">
        <f t="shared" si="1"/>
        <v>0</v>
      </c>
      <c r="Q22" s="60"/>
      <c r="R22" s="60"/>
      <c r="S22" s="60"/>
      <c r="T22" s="60"/>
      <c r="U22" s="60"/>
      <c r="V22" s="60"/>
      <c r="W22" s="60"/>
      <c r="X22" s="60"/>
    </row>
    <row r="23" spans="2:24" ht="15.95" customHeight="1">
      <c r="B23" s="22"/>
      <c r="C23" s="32"/>
      <c r="D23" s="32"/>
      <c r="E23" s="32"/>
      <c r="F23" s="32"/>
      <c r="G23" s="59">
        <f t="shared" si="0"/>
        <v>0</v>
      </c>
      <c r="H23" s="60"/>
      <c r="I23" s="60"/>
      <c r="J23" s="60"/>
      <c r="K23" s="60"/>
      <c r="L23" s="60"/>
      <c r="M23" s="60"/>
      <c r="N23" s="60"/>
      <c r="O23" s="60"/>
      <c r="P23" s="59">
        <f t="shared" si="1"/>
        <v>0</v>
      </c>
      <c r="Q23" s="60"/>
      <c r="R23" s="60"/>
      <c r="S23" s="60"/>
      <c r="T23" s="60"/>
      <c r="U23" s="60"/>
      <c r="V23" s="60"/>
      <c r="W23" s="60"/>
      <c r="X23" s="60"/>
    </row>
    <row r="24" spans="2:24" ht="15.95" customHeight="1">
      <c r="B24" s="22"/>
      <c r="C24" s="32"/>
      <c r="D24" s="32"/>
      <c r="E24" s="32"/>
      <c r="F24" s="32"/>
      <c r="G24" s="59">
        <f t="shared" si="0"/>
        <v>0</v>
      </c>
      <c r="H24" s="60"/>
      <c r="I24" s="60"/>
      <c r="J24" s="60"/>
      <c r="K24" s="60"/>
      <c r="L24" s="60"/>
      <c r="M24" s="60"/>
      <c r="N24" s="60"/>
      <c r="O24" s="60"/>
      <c r="P24" s="59">
        <f t="shared" si="1"/>
        <v>0</v>
      </c>
      <c r="Q24" s="60"/>
      <c r="R24" s="60"/>
      <c r="S24" s="60"/>
      <c r="T24" s="60"/>
      <c r="U24" s="60"/>
      <c r="V24" s="60"/>
      <c r="W24" s="60"/>
      <c r="X24" s="60"/>
    </row>
    <row r="25" spans="2:24" ht="15.95" customHeight="1">
      <c r="B25" s="22"/>
      <c r="C25" s="32"/>
      <c r="D25" s="32"/>
      <c r="E25" s="32"/>
      <c r="F25" s="32"/>
      <c r="G25" s="59">
        <f t="shared" si="0"/>
        <v>0</v>
      </c>
      <c r="H25" s="60"/>
      <c r="I25" s="60"/>
      <c r="J25" s="60"/>
      <c r="K25" s="60"/>
      <c r="L25" s="60"/>
      <c r="M25" s="60"/>
      <c r="N25" s="60"/>
      <c r="O25" s="60"/>
      <c r="P25" s="59">
        <f t="shared" si="1"/>
        <v>0</v>
      </c>
      <c r="Q25" s="60"/>
      <c r="R25" s="60"/>
      <c r="S25" s="60"/>
      <c r="T25" s="60"/>
      <c r="U25" s="60"/>
      <c r="V25" s="60"/>
      <c r="W25" s="60"/>
      <c r="X25" s="60"/>
    </row>
    <row r="26" spans="2:24" ht="15.95" customHeight="1">
      <c r="B26" s="22"/>
      <c r="C26" s="32"/>
      <c r="D26" s="32"/>
      <c r="E26" s="32"/>
      <c r="F26" s="32"/>
      <c r="G26" s="59">
        <f t="shared" si="0"/>
        <v>0</v>
      </c>
      <c r="H26" s="60"/>
      <c r="I26" s="60"/>
      <c r="J26" s="60"/>
      <c r="K26" s="60"/>
      <c r="L26" s="60"/>
      <c r="M26" s="60"/>
      <c r="N26" s="60"/>
      <c r="O26" s="60"/>
      <c r="P26" s="59">
        <f t="shared" si="1"/>
        <v>0</v>
      </c>
      <c r="Q26" s="60"/>
      <c r="R26" s="60"/>
      <c r="S26" s="60"/>
      <c r="T26" s="60"/>
      <c r="U26" s="60"/>
      <c r="V26" s="60"/>
      <c r="W26" s="60"/>
      <c r="X26" s="60"/>
    </row>
    <row r="27" spans="2:24" ht="15.95" customHeight="1">
      <c r="B27" s="22"/>
      <c r="C27" s="32"/>
      <c r="D27" s="32"/>
      <c r="E27" s="32"/>
      <c r="F27" s="32"/>
      <c r="G27" s="59">
        <f t="shared" si="0"/>
        <v>0</v>
      </c>
      <c r="H27" s="60"/>
      <c r="I27" s="60"/>
      <c r="J27" s="60"/>
      <c r="K27" s="60"/>
      <c r="L27" s="60"/>
      <c r="M27" s="60"/>
      <c r="N27" s="60"/>
      <c r="O27" s="60"/>
      <c r="P27" s="59">
        <f t="shared" si="1"/>
        <v>0</v>
      </c>
      <c r="Q27" s="60"/>
      <c r="R27" s="60"/>
      <c r="S27" s="60"/>
      <c r="T27" s="60"/>
      <c r="U27" s="60"/>
      <c r="V27" s="60"/>
      <c r="W27" s="60"/>
      <c r="X27" s="60"/>
    </row>
    <row r="28" spans="2:24" ht="15.95" customHeight="1">
      <c r="B28" s="22"/>
      <c r="C28" s="32"/>
      <c r="D28" s="32"/>
      <c r="E28" s="32"/>
      <c r="F28" s="32"/>
      <c r="G28" s="59">
        <f t="shared" si="0"/>
        <v>0</v>
      </c>
      <c r="H28" s="60"/>
      <c r="I28" s="60"/>
      <c r="J28" s="60"/>
      <c r="K28" s="60"/>
      <c r="L28" s="60"/>
      <c r="M28" s="60"/>
      <c r="N28" s="60"/>
      <c r="O28" s="60"/>
      <c r="P28" s="59">
        <f t="shared" si="1"/>
        <v>0</v>
      </c>
      <c r="Q28" s="60"/>
      <c r="R28" s="60"/>
      <c r="S28" s="60"/>
      <c r="T28" s="60"/>
      <c r="U28" s="60"/>
      <c r="V28" s="60"/>
      <c r="W28" s="60"/>
      <c r="X28" s="60"/>
    </row>
    <row r="29" spans="2:24">
      <c r="B29" s="22"/>
      <c r="C29" s="32"/>
      <c r="D29" s="32"/>
      <c r="E29" s="32"/>
      <c r="F29" s="32"/>
      <c r="G29" s="59">
        <f t="shared" si="0"/>
        <v>0</v>
      </c>
      <c r="H29" s="60"/>
      <c r="I29" s="60"/>
      <c r="J29" s="60"/>
      <c r="K29" s="60"/>
      <c r="L29" s="60"/>
      <c r="M29" s="60"/>
      <c r="N29" s="60"/>
      <c r="O29" s="60"/>
      <c r="P29" s="59">
        <f t="shared" si="1"/>
        <v>0</v>
      </c>
      <c r="Q29" s="60"/>
      <c r="R29" s="60"/>
      <c r="S29" s="60"/>
      <c r="T29" s="60"/>
      <c r="U29" s="60"/>
      <c r="V29" s="60"/>
      <c r="W29" s="60"/>
      <c r="X29" s="60"/>
    </row>
    <row r="30" spans="2:24">
      <c r="B30" s="22"/>
      <c r="C30" s="32"/>
      <c r="D30" s="32"/>
      <c r="E30" s="32"/>
      <c r="F30" s="32"/>
      <c r="G30" s="59">
        <f t="shared" si="0"/>
        <v>0</v>
      </c>
      <c r="H30" s="60"/>
      <c r="I30" s="60"/>
      <c r="J30" s="60"/>
      <c r="K30" s="60"/>
      <c r="L30" s="60"/>
      <c r="M30" s="60"/>
      <c r="N30" s="60"/>
      <c r="O30" s="60"/>
      <c r="P30" s="59">
        <f t="shared" si="1"/>
        <v>0</v>
      </c>
      <c r="Q30" s="60"/>
      <c r="R30" s="60"/>
      <c r="S30" s="60"/>
      <c r="T30" s="60"/>
      <c r="U30" s="60"/>
      <c r="V30" s="60"/>
      <c r="W30" s="60"/>
      <c r="X30" s="60"/>
    </row>
    <row r="31" spans="2:24">
      <c r="B31" s="22"/>
      <c r="C31" s="32"/>
      <c r="D31" s="32"/>
      <c r="E31" s="32"/>
      <c r="F31" s="32"/>
      <c r="G31" s="59">
        <f t="shared" si="0"/>
        <v>0</v>
      </c>
      <c r="H31" s="60"/>
      <c r="I31" s="60"/>
      <c r="J31" s="60"/>
      <c r="K31" s="60"/>
      <c r="L31" s="60"/>
      <c r="M31" s="60"/>
      <c r="N31" s="60"/>
      <c r="O31" s="60"/>
      <c r="P31" s="59">
        <f t="shared" si="1"/>
        <v>0</v>
      </c>
      <c r="Q31" s="60"/>
      <c r="R31" s="60"/>
      <c r="S31" s="60"/>
      <c r="T31" s="60"/>
      <c r="U31" s="60"/>
      <c r="V31" s="60"/>
      <c r="W31" s="60"/>
      <c r="X31" s="60"/>
    </row>
    <row r="32" spans="2:24">
      <c r="B32" s="22"/>
      <c r="C32" s="32"/>
      <c r="D32" s="32"/>
      <c r="E32" s="32"/>
      <c r="F32" s="32"/>
      <c r="G32" s="59">
        <f t="shared" si="0"/>
        <v>0</v>
      </c>
      <c r="H32" s="60"/>
      <c r="I32" s="60"/>
      <c r="J32" s="60"/>
      <c r="K32" s="60"/>
      <c r="L32" s="60"/>
      <c r="M32" s="60"/>
      <c r="N32" s="60"/>
      <c r="O32" s="60"/>
      <c r="P32" s="59">
        <f t="shared" si="1"/>
        <v>0</v>
      </c>
      <c r="Q32" s="60"/>
      <c r="R32" s="60"/>
      <c r="S32" s="60"/>
      <c r="T32" s="60"/>
      <c r="U32" s="60"/>
      <c r="V32" s="60"/>
      <c r="W32" s="60"/>
      <c r="X32" s="60"/>
    </row>
    <row r="33" spans="2:30">
      <c r="B33" s="22"/>
      <c r="C33" s="32"/>
      <c r="D33" s="32"/>
      <c r="E33" s="32"/>
      <c r="F33" s="32"/>
      <c r="G33" s="59">
        <f t="shared" si="0"/>
        <v>0</v>
      </c>
      <c r="H33" s="60"/>
      <c r="I33" s="60"/>
      <c r="J33" s="60"/>
      <c r="K33" s="60"/>
      <c r="L33" s="60"/>
      <c r="M33" s="60"/>
      <c r="N33" s="60"/>
      <c r="O33" s="60"/>
      <c r="P33" s="59">
        <f t="shared" si="1"/>
        <v>0</v>
      </c>
      <c r="Q33" s="60"/>
      <c r="R33" s="60"/>
      <c r="S33" s="60"/>
      <c r="T33" s="60"/>
      <c r="U33" s="60"/>
      <c r="V33" s="60"/>
      <c r="W33" s="60"/>
      <c r="X33" s="60"/>
    </row>
    <row r="34" spans="2:30">
      <c r="B34" s="22"/>
      <c r="C34" s="32"/>
      <c r="D34" s="32"/>
      <c r="E34" s="32"/>
      <c r="F34" s="32"/>
      <c r="G34" s="59">
        <f t="shared" si="0"/>
        <v>0</v>
      </c>
      <c r="H34" s="60"/>
      <c r="I34" s="60"/>
      <c r="J34" s="60"/>
      <c r="K34" s="60"/>
      <c r="L34" s="60"/>
      <c r="M34" s="60"/>
      <c r="N34" s="60"/>
      <c r="O34" s="60"/>
      <c r="P34" s="59">
        <f t="shared" si="1"/>
        <v>0</v>
      </c>
      <c r="Q34" s="60"/>
      <c r="R34" s="60"/>
      <c r="S34" s="60"/>
      <c r="T34" s="60"/>
      <c r="U34" s="60"/>
      <c r="V34" s="60"/>
      <c r="W34" s="60"/>
      <c r="X34" s="60"/>
      <c r="Y34" s="8"/>
      <c r="Z34" s="8"/>
      <c r="AA34" s="8"/>
      <c r="AB34" s="8"/>
      <c r="AC34" s="8"/>
      <c r="AD34" s="8"/>
    </row>
    <row r="35" spans="2:30">
      <c r="B35" s="22"/>
      <c r="C35" s="32"/>
      <c r="D35" s="32"/>
      <c r="E35" s="32"/>
      <c r="F35" s="32"/>
      <c r="G35" s="59">
        <f t="shared" si="0"/>
        <v>0</v>
      </c>
      <c r="H35" s="60"/>
      <c r="I35" s="60"/>
      <c r="J35" s="60"/>
      <c r="K35" s="60"/>
      <c r="L35" s="60"/>
      <c r="M35" s="60"/>
      <c r="N35" s="60"/>
      <c r="O35" s="60"/>
      <c r="P35" s="59">
        <f t="shared" si="1"/>
        <v>0</v>
      </c>
      <c r="Q35" s="60"/>
      <c r="R35" s="60"/>
      <c r="S35" s="60"/>
      <c r="T35" s="60"/>
      <c r="U35" s="60"/>
      <c r="V35" s="60"/>
      <c r="W35" s="60"/>
      <c r="X35" s="60"/>
      <c r="Y35" s="8"/>
      <c r="Z35" s="8"/>
      <c r="AA35" s="8"/>
      <c r="AB35" s="8"/>
      <c r="AC35" s="8"/>
      <c r="AD35" s="8"/>
    </row>
    <row r="36" spans="2:30">
      <c r="B36" s="22"/>
      <c r="C36" s="32"/>
      <c r="D36" s="32"/>
      <c r="E36" s="32"/>
      <c r="F36" s="32"/>
      <c r="G36" s="59">
        <f t="shared" si="0"/>
        <v>0</v>
      </c>
      <c r="H36" s="60"/>
      <c r="I36" s="60"/>
      <c r="J36" s="60"/>
      <c r="K36" s="60"/>
      <c r="L36" s="60"/>
      <c r="M36" s="60"/>
      <c r="N36" s="60"/>
      <c r="O36" s="60"/>
      <c r="P36" s="59">
        <f t="shared" si="1"/>
        <v>0</v>
      </c>
      <c r="Q36" s="60"/>
      <c r="R36" s="60"/>
      <c r="S36" s="60"/>
      <c r="T36" s="60"/>
      <c r="U36" s="60"/>
      <c r="V36" s="60"/>
      <c r="W36" s="60"/>
      <c r="X36" s="60"/>
    </row>
    <row r="37" spans="2:30">
      <c r="B37" s="22"/>
      <c r="C37" s="32"/>
      <c r="D37" s="32"/>
      <c r="E37" s="32"/>
      <c r="F37" s="32"/>
      <c r="G37" s="59">
        <f t="shared" si="0"/>
        <v>0</v>
      </c>
      <c r="H37" s="60"/>
      <c r="I37" s="60"/>
      <c r="J37" s="60"/>
      <c r="K37" s="60"/>
      <c r="L37" s="60"/>
      <c r="M37" s="60"/>
      <c r="N37" s="60"/>
      <c r="O37" s="60"/>
      <c r="P37" s="59">
        <f t="shared" si="1"/>
        <v>0</v>
      </c>
      <c r="Q37" s="60"/>
      <c r="R37" s="60"/>
      <c r="S37" s="60"/>
      <c r="T37" s="60"/>
      <c r="U37" s="60"/>
      <c r="V37" s="60"/>
      <c r="W37" s="60"/>
      <c r="X37" s="60"/>
    </row>
    <row r="38" spans="2:30">
      <c r="B38" s="22"/>
      <c r="C38" s="32"/>
      <c r="D38" s="32"/>
      <c r="E38" s="32"/>
      <c r="F38" s="32"/>
      <c r="G38" s="59">
        <f t="shared" si="0"/>
        <v>0</v>
      </c>
      <c r="H38" s="60"/>
      <c r="I38" s="60"/>
      <c r="J38" s="60"/>
      <c r="K38" s="60"/>
      <c r="L38" s="60"/>
      <c r="M38" s="60"/>
      <c r="N38" s="60"/>
      <c r="O38" s="60"/>
      <c r="P38" s="59">
        <f t="shared" si="1"/>
        <v>0</v>
      </c>
      <c r="Q38" s="60"/>
      <c r="R38" s="60"/>
      <c r="S38" s="60"/>
      <c r="T38" s="60"/>
      <c r="U38" s="60"/>
      <c r="V38" s="60"/>
      <c r="W38" s="60"/>
      <c r="X38" s="60"/>
    </row>
    <row r="39" spans="2:30">
      <c r="B39" s="22"/>
      <c r="C39" s="32"/>
      <c r="D39" s="32"/>
      <c r="E39" s="32"/>
      <c r="F39" s="32"/>
      <c r="G39" s="59">
        <f t="shared" si="0"/>
        <v>0</v>
      </c>
      <c r="H39" s="60"/>
      <c r="I39" s="60"/>
      <c r="J39" s="60"/>
      <c r="K39" s="60"/>
      <c r="L39" s="60"/>
      <c r="M39" s="60"/>
      <c r="N39" s="60"/>
      <c r="O39" s="60"/>
      <c r="P39" s="59">
        <f t="shared" si="1"/>
        <v>0</v>
      </c>
      <c r="Q39" s="60"/>
      <c r="R39" s="60"/>
      <c r="S39" s="60"/>
      <c r="T39" s="60"/>
      <c r="U39" s="60"/>
      <c r="V39" s="60"/>
      <c r="W39" s="60"/>
      <c r="X39" s="60"/>
    </row>
    <row r="40" spans="2:30">
      <c r="B40" s="22"/>
      <c r="C40" s="32"/>
      <c r="D40" s="32"/>
      <c r="E40" s="32"/>
      <c r="F40" s="32"/>
      <c r="G40" s="59">
        <f t="shared" si="0"/>
        <v>0</v>
      </c>
      <c r="H40" s="60"/>
      <c r="I40" s="60"/>
      <c r="J40" s="60"/>
      <c r="K40" s="60"/>
      <c r="L40" s="60"/>
      <c r="M40" s="60"/>
      <c r="N40" s="60"/>
      <c r="O40" s="60"/>
      <c r="P40" s="59">
        <f t="shared" si="1"/>
        <v>0</v>
      </c>
      <c r="Q40" s="60"/>
      <c r="R40" s="60"/>
      <c r="S40" s="60"/>
      <c r="T40" s="60"/>
      <c r="U40" s="60"/>
      <c r="V40" s="60"/>
      <c r="W40" s="60"/>
      <c r="X40" s="60"/>
    </row>
    <row r="41" spans="2:30">
      <c r="B41" s="22"/>
      <c r="C41" s="32"/>
      <c r="D41" s="32"/>
      <c r="E41" s="32"/>
      <c r="F41" s="32"/>
      <c r="G41" s="59">
        <f t="shared" si="0"/>
        <v>0</v>
      </c>
      <c r="H41" s="60"/>
      <c r="I41" s="60"/>
      <c r="J41" s="60"/>
      <c r="K41" s="60"/>
      <c r="L41" s="60"/>
      <c r="M41" s="60"/>
      <c r="N41" s="60"/>
      <c r="O41" s="60"/>
      <c r="P41" s="59">
        <f t="shared" si="1"/>
        <v>0</v>
      </c>
      <c r="Q41" s="60"/>
      <c r="R41" s="60"/>
      <c r="S41" s="60"/>
      <c r="T41" s="60"/>
      <c r="U41" s="60"/>
      <c r="V41" s="60"/>
      <c r="W41" s="60"/>
      <c r="X41" s="60"/>
    </row>
    <row r="42" spans="2:30">
      <c r="B42" s="22"/>
      <c r="C42" s="32"/>
      <c r="D42" s="32"/>
      <c r="E42" s="32"/>
      <c r="F42" s="32"/>
      <c r="G42" s="59">
        <f t="shared" si="0"/>
        <v>0</v>
      </c>
      <c r="H42" s="60"/>
      <c r="I42" s="60"/>
      <c r="J42" s="60"/>
      <c r="K42" s="60"/>
      <c r="L42" s="60"/>
      <c r="M42" s="60"/>
      <c r="N42" s="60"/>
      <c r="O42" s="60"/>
      <c r="P42" s="59">
        <f t="shared" si="1"/>
        <v>0</v>
      </c>
      <c r="Q42" s="60"/>
      <c r="R42" s="60"/>
      <c r="S42" s="60"/>
      <c r="T42" s="60"/>
      <c r="U42" s="60"/>
      <c r="V42" s="60"/>
      <c r="W42" s="60"/>
      <c r="X42" s="60"/>
    </row>
    <row r="43" spans="2:30">
      <c r="B43" s="22"/>
      <c r="C43" s="32"/>
      <c r="D43" s="32"/>
      <c r="E43" s="32"/>
      <c r="F43" s="32"/>
      <c r="G43" s="59">
        <f t="shared" si="0"/>
        <v>0</v>
      </c>
      <c r="H43" s="60"/>
      <c r="I43" s="60"/>
      <c r="J43" s="60"/>
      <c r="K43" s="60"/>
      <c r="L43" s="60"/>
      <c r="M43" s="60"/>
      <c r="N43" s="60"/>
      <c r="O43" s="60"/>
      <c r="P43" s="59">
        <f t="shared" si="1"/>
        <v>0</v>
      </c>
      <c r="Q43" s="60"/>
      <c r="R43" s="60"/>
      <c r="S43" s="60"/>
      <c r="T43" s="60"/>
      <c r="U43" s="60"/>
      <c r="V43" s="60"/>
      <c r="W43" s="60"/>
      <c r="X43" s="60"/>
    </row>
    <row r="44" spans="2:30">
      <c r="B44" s="22"/>
      <c r="C44" s="32"/>
      <c r="D44" s="32"/>
      <c r="E44" s="32"/>
      <c r="F44" s="32"/>
      <c r="G44" s="59">
        <f t="shared" si="0"/>
        <v>0</v>
      </c>
      <c r="H44" s="60"/>
      <c r="I44" s="60"/>
      <c r="J44" s="60"/>
      <c r="K44" s="60"/>
      <c r="L44" s="60"/>
      <c r="M44" s="60"/>
      <c r="N44" s="60"/>
      <c r="O44" s="60"/>
      <c r="P44" s="59">
        <f t="shared" si="1"/>
        <v>0</v>
      </c>
      <c r="Q44" s="60"/>
      <c r="R44" s="60"/>
      <c r="S44" s="60"/>
      <c r="T44" s="60"/>
      <c r="U44" s="60"/>
      <c r="V44" s="60"/>
      <c r="W44" s="60"/>
      <c r="X44" s="60"/>
    </row>
    <row r="45" spans="2:30">
      <c r="B45" s="22"/>
      <c r="C45" s="32"/>
      <c r="D45" s="32"/>
      <c r="E45" s="32"/>
      <c r="F45" s="32"/>
      <c r="G45" s="59">
        <f t="shared" si="0"/>
        <v>0</v>
      </c>
      <c r="H45" s="60"/>
      <c r="I45" s="60"/>
      <c r="J45" s="60"/>
      <c r="K45" s="60"/>
      <c r="L45" s="60"/>
      <c r="M45" s="60"/>
      <c r="N45" s="60"/>
      <c r="O45" s="60"/>
      <c r="P45" s="59">
        <f t="shared" si="1"/>
        <v>0</v>
      </c>
      <c r="Q45" s="60"/>
      <c r="R45" s="60"/>
      <c r="S45" s="60"/>
      <c r="T45" s="60"/>
      <c r="U45" s="60"/>
      <c r="V45" s="60"/>
      <c r="W45" s="60"/>
      <c r="X45" s="60"/>
    </row>
    <row r="46" spans="2:30" ht="15.75" thickBot="1">
      <c r="B46" s="23"/>
      <c r="C46" s="31"/>
      <c r="D46" s="31"/>
      <c r="E46" s="31"/>
      <c r="F46" s="31"/>
      <c r="G46" s="59">
        <f t="shared" si="0"/>
        <v>0</v>
      </c>
      <c r="H46" s="60"/>
      <c r="I46" s="60"/>
      <c r="J46" s="60"/>
      <c r="K46" s="60"/>
      <c r="L46" s="60"/>
      <c r="M46" s="60"/>
      <c r="N46" s="60"/>
      <c r="O46" s="60"/>
      <c r="P46" s="59">
        <f>SUM(Q46:X46)</f>
        <v>0</v>
      </c>
      <c r="Q46" s="60"/>
      <c r="R46" s="60"/>
      <c r="S46" s="60"/>
      <c r="T46" s="60"/>
      <c r="U46" s="60"/>
      <c r="V46" s="60"/>
      <c r="W46" s="60"/>
      <c r="X46" s="60"/>
    </row>
    <row r="47" spans="2:30" ht="16.5" thickBot="1">
      <c r="B47" s="111" t="s">
        <v>5</v>
      </c>
      <c r="C47" s="112"/>
      <c r="D47" s="112"/>
      <c r="E47" s="112"/>
      <c r="F47" s="113"/>
      <c r="G47" s="61">
        <f>SUM(G5:G46)</f>
        <v>0</v>
      </c>
      <c r="H47" s="61">
        <f t="shared" ref="H47:O47" si="2">SUM(H5:H46)</f>
        <v>0</v>
      </c>
      <c r="I47" s="61">
        <f t="shared" si="2"/>
        <v>0</v>
      </c>
      <c r="J47" s="61">
        <f t="shared" si="2"/>
        <v>0</v>
      </c>
      <c r="K47" s="61">
        <f t="shared" si="2"/>
        <v>0</v>
      </c>
      <c r="L47" s="61">
        <f t="shared" si="2"/>
        <v>0</v>
      </c>
      <c r="M47" s="61">
        <f t="shared" si="2"/>
        <v>0</v>
      </c>
      <c r="N47" s="61">
        <f t="shared" si="2"/>
        <v>0</v>
      </c>
      <c r="O47" s="61">
        <f t="shared" si="2"/>
        <v>0</v>
      </c>
      <c r="P47" s="61">
        <f>SUM(P4:P46)</f>
        <v>0</v>
      </c>
      <c r="Q47" s="62">
        <f t="shared" ref="Q47:X47" si="3">SUM(Q5:Q46)</f>
        <v>0</v>
      </c>
      <c r="R47" s="62">
        <f t="shared" si="3"/>
        <v>0</v>
      </c>
      <c r="S47" s="62">
        <f t="shared" si="3"/>
        <v>0</v>
      </c>
      <c r="T47" s="62">
        <f t="shared" si="3"/>
        <v>0</v>
      </c>
      <c r="U47" s="62">
        <f t="shared" si="3"/>
        <v>0</v>
      </c>
      <c r="V47" s="62">
        <f t="shared" si="3"/>
        <v>0</v>
      </c>
      <c r="W47" s="62">
        <f t="shared" si="3"/>
        <v>0</v>
      </c>
      <c r="X47" s="62">
        <f t="shared" si="3"/>
        <v>0</v>
      </c>
    </row>
    <row r="52" spans="12:23">
      <c r="L52" s="8"/>
      <c r="M52" s="8"/>
      <c r="N52" s="8"/>
      <c r="O52" s="8"/>
      <c r="P52" s="8"/>
      <c r="Q52" s="8"/>
      <c r="R52" s="8"/>
      <c r="S52" s="8"/>
      <c r="T52" s="8"/>
      <c r="U52" s="8"/>
      <c r="V52" s="8"/>
      <c r="W52" s="8"/>
    </row>
    <row r="53" spans="12:23">
      <c r="L53" s="8"/>
      <c r="M53" s="8"/>
      <c r="N53" s="8"/>
      <c r="O53" s="8"/>
      <c r="P53" s="8"/>
      <c r="Q53" s="8"/>
      <c r="R53" s="8"/>
      <c r="S53" s="8"/>
      <c r="T53" s="8"/>
      <c r="U53" s="8"/>
      <c r="V53" s="8"/>
      <c r="W53" s="8"/>
    </row>
  </sheetData>
  <mergeCells count="8">
    <mergeCell ref="P3:X3"/>
    <mergeCell ref="B47:F47"/>
    <mergeCell ref="G3:N3"/>
    <mergeCell ref="F3:F4"/>
    <mergeCell ref="E3:E4"/>
    <mergeCell ref="D3:D4"/>
    <mergeCell ref="C3:C4"/>
    <mergeCell ref="B3:B4"/>
  </mergeCells>
  <dataValidations count="2">
    <dataValidation type="list" allowBlank="1" showInputMessage="1" showErrorMessage="1" sqref="E5:E46">
      <formula1>LicenseType</formula1>
    </dataValidation>
    <dataValidation type="list" allowBlank="1" showInputMessage="1" showErrorMessage="1" sqref="F5:F46">
      <formula1>ProdSource</formula1>
    </dataValidation>
  </dataValidations>
  <printOptions headings="1" gridLines="1"/>
  <pageMargins left="0.7" right="0.7" top="1" bottom="0.75" header="0.3" footer="0.3"/>
  <pageSetup scale="42" orientation="landscape" r:id="rId1"/>
  <headerFooter>
    <oddHeader>&amp;L&amp;"Arial,Bold"&amp;10AME Pharmacy Price Sheet - Software Price Sheet</oddHeader>
  </headerFooter>
</worksheet>
</file>

<file path=xl/worksheets/sheet5.xml><?xml version="1.0" encoding="utf-8"?>
<worksheet xmlns="http://schemas.openxmlformats.org/spreadsheetml/2006/main" xmlns:r="http://schemas.openxmlformats.org/officeDocument/2006/relationships">
  <dimension ref="B1:J37"/>
  <sheetViews>
    <sheetView showGridLines="0" showRowColHeaders="0" workbookViewId="0">
      <selection activeCell="C1" sqref="C1"/>
    </sheetView>
  </sheetViews>
  <sheetFormatPr defaultRowHeight="15"/>
  <cols>
    <col min="1" max="1" width="4.28515625" customWidth="1"/>
    <col min="2" max="2" width="9.85546875" style="1" customWidth="1"/>
    <col min="3" max="3" width="37.28515625" customWidth="1"/>
    <col min="4" max="10" width="12" customWidth="1"/>
  </cols>
  <sheetData>
    <row r="1" spans="2:10" s="48" customFormat="1" ht="18.75">
      <c r="B1" s="50"/>
      <c r="C1" s="48" t="s">
        <v>136</v>
      </c>
    </row>
    <row r="2" spans="2:10" ht="18.75" customHeight="1"/>
    <row r="3" spans="2:10" ht="20.25" customHeight="1">
      <c r="B3" s="121" t="s">
        <v>59</v>
      </c>
      <c r="C3" s="121" t="s">
        <v>82</v>
      </c>
      <c r="D3" s="118" t="s">
        <v>83</v>
      </c>
      <c r="E3" s="119"/>
      <c r="F3" s="119"/>
      <c r="G3" s="119"/>
      <c r="H3" s="119"/>
      <c r="I3" s="119"/>
      <c r="J3" s="120"/>
    </row>
    <row r="4" spans="2:10" s="42" customFormat="1" ht="30">
      <c r="B4" s="121"/>
      <c r="C4" s="121"/>
      <c r="D4" s="51" t="s">
        <v>74</v>
      </c>
      <c r="E4" s="51" t="s">
        <v>75</v>
      </c>
      <c r="F4" s="51" t="s">
        <v>76</v>
      </c>
      <c r="G4" s="51" t="s">
        <v>77</v>
      </c>
      <c r="H4" s="51" t="s">
        <v>78</v>
      </c>
      <c r="I4" s="51" t="s">
        <v>79</v>
      </c>
      <c r="J4" s="52" t="s">
        <v>80</v>
      </c>
    </row>
    <row r="5" spans="2:10">
      <c r="B5" s="45">
        <v>1</v>
      </c>
      <c r="C5" s="3"/>
      <c r="D5" s="5"/>
      <c r="E5" s="5"/>
      <c r="F5" s="5"/>
      <c r="G5" s="5"/>
      <c r="H5" s="5"/>
      <c r="I5" s="5"/>
      <c r="J5" s="5"/>
    </row>
    <row r="6" spans="2:10">
      <c r="B6" s="45">
        <f>B5+1</f>
        <v>2</v>
      </c>
      <c r="C6" s="3"/>
      <c r="D6" s="5"/>
      <c r="E6" s="5"/>
      <c r="F6" s="5"/>
      <c r="G6" s="5"/>
      <c r="H6" s="5"/>
      <c r="I6" s="5"/>
      <c r="J6" s="5"/>
    </row>
    <row r="7" spans="2:10">
      <c r="B7" s="45">
        <f t="shared" ref="B7:B37" si="0">B6+1</f>
        <v>3</v>
      </c>
      <c r="C7" s="3"/>
      <c r="D7" s="5"/>
      <c r="E7" s="5"/>
      <c r="F7" s="5"/>
      <c r="G7" s="5"/>
      <c r="H7" s="5"/>
      <c r="I7" s="5"/>
      <c r="J7" s="5"/>
    </row>
    <row r="8" spans="2:10">
      <c r="B8" s="45">
        <f t="shared" si="0"/>
        <v>4</v>
      </c>
      <c r="C8" s="3"/>
      <c r="D8" s="5"/>
      <c r="E8" s="5"/>
      <c r="F8" s="5"/>
      <c r="G8" s="5"/>
      <c r="H8" s="5"/>
      <c r="I8" s="5"/>
      <c r="J8" s="5"/>
    </row>
    <row r="9" spans="2:10">
      <c r="B9" s="45">
        <f t="shared" si="0"/>
        <v>5</v>
      </c>
      <c r="C9" s="3"/>
      <c r="D9" s="5"/>
      <c r="E9" s="5"/>
      <c r="F9" s="5"/>
      <c r="G9" s="5"/>
      <c r="H9" s="5"/>
      <c r="I9" s="5"/>
      <c r="J9" s="5"/>
    </row>
    <row r="10" spans="2:10">
      <c r="B10" s="45">
        <f t="shared" si="0"/>
        <v>6</v>
      </c>
      <c r="C10" s="3"/>
      <c r="D10" s="5"/>
      <c r="E10" s="5"/>
      <c r="F10" s="5"/>
      <c r="G10" s="5"/>
      <c r="H10" s="5"/>
      <c r="I10" s="5"/>
      <c r="J10" s="5"/>
    </row>
    <row r="11" spans="2:10">
      <c r="B11" s="45">
        <f t="shared" si="0"/>
        <v>7</v>
      </c>
      <c r="C11" s="3"/>
      <c r="D11" s="5"/>
      <c r="E11" s="5"/>
      <c r="F11" s="5"/>
      <c r="G11" s="5"/>
      <c r="H11" s="5"/>
      <c r="I11" s="5"/>
      <c r="J11" s="5"/>
    </row>
    <row r="12" spans="2:10">
      <c r="B12" s="45">
        <f t="shared" si="0"/>
        <v>8</v>
      </c>
      <c r="C12" s="3"/>
      <c r="D12" s="5"/>
      <c r="E12" s="5"/>
      <c r="F12" s="5"/>
      <c r="G12" s="5"/>
      <c r="H12" s="5"/>
      <c r="I12" s="5"/>
      <c r="J12" s="5"/>
    </row>
    <row r="13" spans="2:10">
      <c r="B13" s="45">
        <f t="shared" si="0"/>
        <v>9</v>
      </c>
      <c r="C13" s="3"/>
      <c r="D13" s="5"/>
      <c r="E13" s="5"/>
      <c r="F13" s="5"/>
      <c r="G13" s="5"/>
      <c r="H13" s="5"/>
      <c r="I13" s="5"/>
      <c r="J13" s="5"/>
    </row>
    <row r="14" spans="2:10">
      <c r="B14" s="45">
        <f t="shared" si="0"/>
        <v>10</v>
      </c>
      <c r="C14" s="3"/>
      <c r="D14" s="5"/>
      <c r="E14" s="5"/>
      <c r="F14" s="5"/>
      <c r="G14" s="5"/>
      <c r="H14" s="5"/>
      <c r="I14" s="5"/>
      <c r="J14" s="5"/>
    </row>
    <row r="15" spans="2:10">
      <c r="B15" s="45">
        <f t="shared" si="0"/>
        <v>11</v>
      </c>
      <c r="C15" s="3"/>
      <c r="D15" s="5"/>
      <c r="E15" s="5"/>
      <c r="F15" s="5"/>
      <c r="G15" s="5"/>
      <c r="H15" s="5"/>
      <c r="I15" s="5"/>
      <c r="J15" s="5"/>
    </row>
    <row r="16" spans="2:10">
      <c r="B16" s="45">
        <f t="shared" si="0"/>
        <v>12</v>
      </c>
      <c r="C16" s="3"/>
      <c r="D16" s="5"/>
      <c r="E16" s="5"/>
      <c r="F16" s="5"/>
      <c r="G16" s="5"/>
      <c r="H16" s="5"/>
      <c r="I16" s="5"/>
      <c r="J16" s="5"/>
    </row>
    <row r="17" spans="2:10">
      <c r="B17" s="45">
        <f t="shared" si="0"/>
        <v>13</v>
      </c>
      <c r="C17" s="3"/>
      <c r="D17" s="5"/>
      <c r="E17" s="5"/>
      <c r="F17" s="5"/>
      <c r="G17" s="5"/>
      <c r="H17" s="5"/>
      <c r="I17" s="5"/>
      <c r="J17" s="5"/>
    </row>
    <row r="18" spans="2:10">
      <c r="B18" s="45">
        <f t="shared" si="0"/>
        <v>14</v>
      </c>
      <c r="C18" s="3"/>
      <c r="D18" s="5"/>
      <c r="E18" s="5"/>
      <c r="F18" s="5"/>
      <c r="G18" s="5"/>
      <c r="H18" s="5"/>
      <c r="I18" s="5"/>
      <c r="J18" s="5"/>
    </row>
    <row r="19" spans="2:10">
      <c r="B19" s="45">
        <f t="shared" si="0"/>
        <v>15</v>
      </c>
      <c r="C19" s="3"/>
      <c r="D19" s="5"/>
      <c r="E19" s="5"/>
      <c r="F19" s="5"/>
      <c r="G19" s="5"/>
      <c r="H19" s="5"/>
      <c r="I19" s="5"/>
      <c r="J19" s="5"/>
    </row>
    <row r="20" spans="2:10">
      <c r="B20" s="45">
        <f t="shared" si="0"/>
        <v>16</v>
      </c>
      <c r="C20" s="3"/>
      <c r="D20" s="5"/>
      <c r="E20" s="5"/>
      <c r="F20" s="5"/>
      <c r="G20" s="5"/>
      <c r="H20" s="5"/>
      <c r="I20" s="5"/>
      <c r="J20" s="5"/>
    </row>
    <row r="21" spans="2:10">
      <c r="B21" s="45">
        <f t="shared" si="0"/>
        <v>17</v>
      </c>
      <c r="C21" s="3"/>
      <c r="D21" s="5"/>
      <c r="E21" s="5"/>
      <c r="F21" s="5"/>
      <c r="G21" s="5"/>
      <c r="H21" s="5"/>
      <c r="I21" s="5"/>
      <c r="J21" s="5"/>
    </row>
    <row r="22" spans="2:10">
      <c r="B22" s="45">
        <f t="shared" si="0"/>
        <v>18</v>
      </c>
      <c r="C22" s="3"/>
      <c r="D22" s="5"/>
      <c r="E22" s="5"/>
      <c r="F22" s="5"/>
      <c r="G22" s="5"/>
      <c r="H22" s="5"/>
      <c r="I22" s="5"/>
      <c r="J22" s="5"/>
    </row>
    <row r="23" spans="2:10">
      <c r="B23" s="45">
        <f t="shared" si="0"/>
        <v>19</v>
      </c>
      <c r="C23" s="3"/>
      <c r="D23" s="5"/>
      <c r="E23" s="5"/>
      <c r="F23" s="5"/>
      <c r="G23" s="5"/>
      <c r="H23" s="5"/>
      <c r="I23" s="5"/>
      <c r="J23" s="5"/>
    </row>
    <row r="24" spans="2:10">
      <c r="B24" s="45">
        <f t="shared" si="0"/>
        <v>20</v>
      </c>
      <c r="C24" s="3"/>
      <c r="D24" s="5"/>
      <c r="E24" s="5"/>
      <c r="F24" s="5"/>
      <c r="G24" s="5"/>
      <c r="H24" s="5"/>
      <c r="I24" s="5"/>
      <c r="J24" s="5"/>
    </row>
    <row r="25" spans="2:10">
      <c r="B25" s="45">
        <f t="shared" si="0"/>
        <v>21</v>
      </c>
      <c r="C25" s="3"/>
      <c r="D25" s="5"/>
      <c r="E25" s="5"/>
      <c r="F25" s="5"/>
      <c r="G25" s="5"/>
      <c r="H25" s="5"/>
      <c r="I25" s="5"/>
      <c r="J25" s="5"/>
    </row>
    <row r="26" spans="2:10">
      <c r="B26" s="45">
        <f t="shared" si="0"/>
        <v>22</v>
      </c>
      <c r="C26" s="3"/>
      <c r="D26" s="5"/>
      <c r="E26" s="5"/>
      <c r="F26" s="5"/>
      <c r="G26" s="5"/>
      <c r="H26" s="5"/>
      <c r="I26" s="5"/>
      <c r="J26" s="5"/>
    </row>
    <row r="27" spans="2:10">
      <c r="B27" s="45">
        <f t="shared" si="0"/>
        <v>23</v>
      </c>
      <c r="C27" s="3"/>
      <c r="D27" s="5"/>
      <c r="E27" s="5"/>
      <c r="F27" s="5"/>
      <c r="G27" s="5"/>
      <c r="H27" s="5"/>
      <c r="I27" s="5"/>
      <c r="J27" s="5"/>
    </row>
    <row r="28" spans="2:10">
      <c r="B28" s="45">
        <f t="shared" si="0"/>
        <v>24</v>
      </c>
      <c r="C28" s="3"/>
      <c r="D28" s="5"/>
      <c r="E28" s="5"/>
      <c r="F28" s="5"/>
      <c r="G28" s="5"/>
      <c r="H28" s="5"/>
      <c r="I28" s="5"/>
      <c r="J28" s="5"/>
    </row>
    <row r="29" spans="2:10">
      <c r="B29" s="45">
        <f t="shared" si="0"/>
        <v>25</v>
      </c>
      <c r="C29" s="3"/>
      <c r="D29" s="5"/>
      <c r="E29" s="5"/>
      <c r="F29" s="5"/>
      <c r="G29" s="5"/>
      <c r="H29" s="5"/>
      <c r="I29" s="5"/>
      <c r="J29" s="5"/>
    </row>
    <row r="30" spans="2:10">
      <c r="B30" s="45">
        <f t="shared" si="0"/>
        <v>26</v>
      </c>
      <c r="C30" s="3"/>
      <c r="D30" s="5"/>
      <c r="E30" s="5"/>
      <c r="F30" s="5"/>
      <c r="G30" s="5"/>
      <c r="H30" s="5"/>
      <c r="I30" s="5"/>
      <c r="J30" s="5"/>
    </row>
    <row r="31" spans="2:10">
      <c r="B31" s="45">
        <f t="shared" si="0"/>
        <v>27</v>
      </c>
      <c r="C31" s="3"/>
      <c r="D31" s="5"/>
      <c r="E31" s="5"/>
      <c r="F31" s="5"/>
      <c r="G31" s="5"/>
      <c r="H31" s="5"/>
      <c r="I31" s="5"/>
      <c r="J31" s="5"/>
    </row>
    <row r="32" spans="2:10">
      <c r="B32" s="45">
        <f t="shared" si="0"/>
        <v>28</v>
      </c>
      <c r="C32" s="3"/>
      <c r="D32" s="5"/>
      <c r="E32" s="5"/>
      <c r="F32" s="5"/>
      <c r="G32" s="5"/>
      <c r="H32" s="5"/>
      <c r="I32" s="5"/>
      <c r="J32" s="5"/>
    </row>
    <row r="33" spans="2:10">
      <c r="B33" s="45">
        <f t="shared" si="0"/>
        <v>29</v>
      </c>
      <c r="C33" s="3"/>
      <c r="D33" s="5"/>
      <c r="E33" s="5"/>
      <c r="F33" s="5"/>
      <c r="G33" s="5"/>
      <c r="H33" s="5"/>
      <c r="I33" s="5"/>
      <c r="J33" s="5"/>
    </row>
    <row r="34" spans="2:10">
      <c r="B34" s="45">
        <f t="shared" si="0"/>
        <v>30</v>
      </c>
      <c r="C34" s="3"/>
      <c r="D34" s="5"/>
      <c r="E34" s="5"/>
      <c r="F34" s="5"/>
      <c r="G34" s="5"/>
      <c r="H34" s="5"/>
      <c r="I34" s="5"/>
      <c r="J34" s="5"/>
    </row>
    <row r="35" spans="2:10">
      <c r="B35" s="45">
        <f t="shared" si="0"/>
        <v>31</v>
      </c>
      <c r="C35" s="3"/>
      <c r="D35" s="5"/>
      <c r="E35" s="5"/>
      <c r="F35" s="5"/>
      <c r="G35" s="5"/>
      <c r="H35" s="5"/>
      <c r="I35" s="5"/>
      <c r="J35" s="5"/>
    </row>
    <row r="36" spans="2:10">
      <c r="B36" s="45">
        <f t="shared" si="0"/>
        <v>32</v>
      </c>
      <c r="C36" s="3"/>
      <c r="D36" s="5"/>
      <c r="E36" s="5"/>
      <c r="F36" s="5"/>
      <c r="G36" s="5"/>
      <c r="H36" s="5"/>
      <c r="I36" s="5"/>
      <c r="J36" s="5"/>
    </row>
    <row r="37" spans="2:10" ht="15.75" thickBot="1">
      <c r="B37" s="45">
        <f t="shared" si="0"/>
        <v>33</v>
      </c>
      <c r="C37" s="43"/>
      <c r="D37" s="44"/>
      <c r="E37" s="44"/>
      <c r="F37" s="44"/>
      <c r="G37" s="44"/>
      <c r="H37" s="44"/>
      <c r="I37" s="44"/>
      <c r="J37" s="44"/>
    </row>
  </sheetData>
  <mergeCells count="3">
    <mergeCell ref="D3:J3"/>
    <mergeCell ref="C3:C4"/>
    <mergeCell ref="B3:B4"/>
  </mergeCells>
  <printOptions horizontalCentered="1"/>
  <pageMargins left="0.7" right="0.7" top="1" bottom="0.75" header="0.3" footer="0.3"/>
  <pageSetup scale="66" orientation="portrait" r:id="rId1"/>
  <headerFooter>
    <oddHeader>&amp;L&amp;"Arial,Bold"AME Pharmacy Price Sheet - Labor Rates Price Sheet</oddHeader>
  </headerFooter>
</worksheet>
</file>

<file path=xl/worksheets/sheet6.xml><?xml version="1.0" encoding="utf-8"?>
<worksheet xmlns="http://schemas.openxmlformats.org/spreadsheetml/2006/main" xmlns:r="http://schemas.openxmlformats.org/officeDocument/2006/relationships">
  <dimension ref="B1:K25"/>
  <sheetViews>
    <sheetView showGridLines="0" showRowColHeaders="0" workbookViewId="0">
      <selection activeCell="B1" sqref="B1"/>
    </sheetView>
  </sheetViews>
  <sheetFormatPr defaultRowHeight="15"/>
  <cols>
    <col min="1" max="1" width="1.7109375" customWidth="1"/>
    <col min="2" max="2" width="35.7109375" customWidth="1"/>
    <col min="3" max="10" width="12.7109375" customWidth="1"/>
    <col min="11" max="11" width="16.28515625" customWidth="1"/>
    <col min="15" max="15" width="16.5703125" customWidth="1"/>
  </cols>
  <sheetData>
    <row r="1" spans="2:11" ht="18.75">
      <c r="B1" s="48" t="s">
        <v>137</v>
      </c>
    </row>
    <row r="2" spans="2:11" ht="19.5" customHeight="1"/>
    <row r="3" spans="2:11" ht="15.75">
      <c r="B3" s="34" t="s">
        <v>7</v>
      </c>
      <c r="C3" s="10" t="s">
        <v>42</v>
      </c>
      <c r="D3" s="10" t="s">
        <v>43</v>
      </c>
      <c r="E3" s="10" t="s">
        <v>44</v>
      </c>
      <c r="F3" s="10" t="s">
        <v>45</v>
      </c>
      <c r="G3" s="10" t="s">
        <v>46</v>
      </c>
      <c r="H3" s="10" t="s">
        <v>114</v>
      </c>
      <c r="I3" s="10" t="s">
        <v>116</v>
      </c>
      <c r="J3" s="10" t="s">
        <v>117</v>
      </c>
      <c r="K3" s="34" t="s">
        <v>5</v>
      </c>
    </row>
    <row r="4" spans="2:11" ht="22.5" customHeight="1">
      <c r="B4" s="122" t="s">
        <v>125</v>
      </c>
      <c r="C4" s="123"/>
      <c r="D4" s="123"/>
      <c r="E4" s="123"/>
      <c r="F4" s="123"/>
      <c r="G4" s="123"/>
      <c r="H4" s="123"/>
      <c r="I4" s="123"/>
      <c r="J4" s="123"/>
      <c r="K4" s="124"/>
    </row>
    <row r="5" spans="2:11">
      <c r="B5" s="16" t="s">
        <v>9</v>
      </c>
      <c r="C5" s="36"/>
      <c r="D5" s="36"/>
      <c r="E5" s="15"/>
      <c r="F5" s="15"/>
      <c r="G5" s="15"/>
      <c r="H5" s="15"/>
      <c r="I5" s="15"/>
      <c r="J5" s="15"/>
      <c r="K5" s="15">
        <f>SUM(C5:J5)</f>
        <v>0</v>
      </c>
    </row>
    <row r="6" spans="2:11">
      <c r="B6" s="16" t="s">
        <v>10</v>
      </c>
      <c r="C6" s="36"/>
      <c r="D6" s="36"/>
      <c r="E6" s="15"/>
      <c r="F6" s="15"/>
      <c r="G6" s="15"/>
      <c r="H6" s="15"/>
      <c r="I6" s="15"/>
      <c r="J6" s="15"/>
      <c r="K6" s="15">
        <f t="shared" ref="K6:K12" si="0">SUM(C6:J6)</f>
        <v>0</v>
      </c>
    </row>
    <row r="7" spans="2:11" ht="13.5" customHeight="1">
      <c r="B7" s="16" t="s">
        <v>11</v>
      </c>
      <c r="C7" s="63"/>
      <c r="D7" s="64"/>
      <c r="E7" s="64"/>
      <c r="F7" s="64"/>
      <c r="G7" s="64"/>
      <c r="H7" s="64"/>
      <c r="I7" s="64"/>
      <c r="J7" s="64"/>
      <c r="K7" s="65"/>
    </row>
    <row r="8" spans="2:11">
      <c r="B8" s="35" t="s">
        <v>63</v>
      </c>
      <c r="C8" s="36"/>
      <c r="D8" s="36"/>
      <c r="E8" s="15"/>
      <c r="F8" s="15"/>
      <c r="G8" s="15"/>
      <c r="H8" s="15"/>
      <c r="I8" s="15"/>
      <c r="J8" s="15"/>
      <c r="K8" s="15">
        <f t="shared" si="0"/>
        <v>0</v>
      </c>
    </row>
    <row r="9" spans="2:11">
      <c r="B9" s="37" t="s">
        <v>65</v>
      </c>
      <c r="C9" s="36"/>
      <c r="D9" s="36"/>
      <c r="E9" s="15"/>
      <c r="F9" s="15"/>
      <c r="G9" s="15"/>
      <c r="H9" s="15"/>
      <c r="I9" s="15"/>
      <c r="J9" s="15"/>
      <c r="K9" s="15">
        <f t="shared" si="0"/>
        <v>0</v>
      </c>
    </row>
    <row r="10" spans="2:11">
      <c r="B10" s="35" t="s">
        <v>12</v>
      </c>
      <c r="C10" s="36"/>
      <c r="D10" s="36"/>
      <c r="E10" s="15"/>
      <c r="F10" s="15"/>
      <c r="G10" s="15"/>
      <c r="H10" s="15"/>
      <c r="I10" s="15"/>
      <c r="J10" s="15"/>
      <c r="K10" s="15">
        <f t="shared" si="0"/>
        <v>0</v>
      </c>
    </row>
    <row r="11" spans="2:11">
      <c r="B11" s="35" t="s">
        <v>127</v>
      </c>
      <c r="C11" s="36"/>
      <c r="D11" s="36"/>
      <c r="E11" s="15"/>
      <c r="F11" s="15"/>
      <c r="G11" s="15"/>
      <c r="H11" s="15"/>
      <c r="I11" s="15"/>
      <c r="J11" s="15"/>
      <c r="K11" s="15">
        <f t="shared" si="0"/>
        <v>0</v>
      </c>
    </row>
    <row r="12" spans="2:11">
      <c r="B12" s="35" t="s">
        <v>81</v>
      </c>
      <c r="C12" s="36"/>
      <c r="D12" s="36"/>
      <c r="E12" s="15"/>
      <c r="F12" s="15"/>
      <c r="G12" s="15"/>
      <c r="H12" s="15"/>
      <c r="I12" s="15"/>
      <c r="J12" s="15"/>
      <c r="K12" s="15">
        <f t="shared" si="0"/>
        <v>0</v>
      </c>
    </row>
    <row r="13" spans="2:11">
      <c r="B13" s="38" t="s">
        <v>64</v>
      </c>
      <c r="C13" s="15">
        <f>SUM(C5:C12) - SUM(C8:C11)</f>
        <v>0</v>
      </c>
      <c r="D13" s="15">
        <f t="shared" ref="D13:K13" si="1">SUM(D5:D12) - SUM(D8:D11)</f>
        <v>0</v>
      </c>
      <c r="E13" s="15">
        <f t="shared" si="1"/>
        <v>0</v>
      </c>
      <c r="F13" s="15">
        <f t="shared" si="1"/>
        <v>0</v>
      </c>
      <c r="G13" s="15">
        <f t="shared" si="1"/>
        <v>0</v>
      </c>
      <c r="H13" s="15">
        <f t="shared" si="1"/>
        <v>0</v>
      </c>
      <c r="I13" s="15">
        <f t="shared" si="1"/>
        <v>0</v>
      </c>
      <c r="J13" s="15">
        <f t="shared" si="1"/>
        <v>0</v>
      </c>
      <c r="K13" s="15">
        <f t="shared" si="1"/>
        <v>0</v>
      </c>
    </row>
    <row r="14" spans="2:11">
      <c r="B14" s="38" t="s">
        <v>5</v>
      </c>
      <c r="C14" s="15">
        <f>SUM(C5:C12)</f>
        <v>0</v>
      </c>
      <c r="D14" s="15">
        <f t="shared" ref="D14:K14" si="2">SUM(D5:D12)</f>
        <v>0</v>
      </c>
      <c r="E14" s="15">
        <f t="shared" si="2"/>
        <v>0</v>
      </c>
      <c r="F14" s="15">
        <f t="shared" si="2"/>
        <v>0</v>
      </c>
      <c r="G14" s="15">
        <f t="shared" si="2"/>
        <v>0</v>
      </c>
      <c r="H14" s="15">
        <f t="shared" si="2"/>
        <v>0</v>
      </c>
      <c r="I14" s="15">
        <f t="shared" si="2"/>
        <v>0</v>
      </c>
      <c r="J14" s="15">
        <f t="shared" si="2"/>
        <v>0</v>
      </c>
      <c r="K14" s="15">
        <f t="shared" si="2"/>
        <v>0</v>
      </c>
    </row>
    <row r="15" spans="2:11">
      <c r="B15" s="122" t="s">
        <v>126</v>
      </c>
      <c r="C15" s="123"/>
      <c r="D15" s="123"/>
      <c r="E15" s="123"/>
      <c r="F15" s="123"/>
      <c r="G15" s="123"/>
      <c r="H15" s="123"/>
      <c r="I15" s="123"/>
      <c r="J15" s="123"/>
      <c r="K15" s="124"/>
    </row>
    <row r="16" spans="2:11">
      <c r="B16" s="16" t="s">
        <v>9</v>
      </c>
      <c r="C16" s="36"/>
      <c r="D16" s="36"/>
      <c r="E16" s="36"/>
      <c r="F16" s="36"/>
      <c r="G16" s="36"/>
      <c r="H16" s="36"/>
      <c r="I16" s="36"/>
      <c r="J16" s="36"/>
      <c r="K16" s="15">
        <f>SUM(C16:J16)</f>
        <v>0</v>
      </c>
    </row>
    <row r="17" spans="2:11">
      <c r="B17" s="16" t="s">
        <v>10</v>
      </c>
      <c r="C17" s="36"/>
      <c r="D17" s="36"/>
      <c r="E17" s="36"/>
      <c r="F17" s="36"/>
      <c r="G17" s="36"/>
      <c r="H17" s="36"/>
      <c r="I17" s="36"/>
      <c r="J17" s="36"/>
      <c r="K17" s="15">
        <f t="shared" ref="K17:K23" si="3">SUM(C17:J17)</f>
        <v>0</v>
      </c>
    </row>
    <row r="18" spans="2:11" ht="15.75" customHeight="1">
      <c r="B18" s="16" t="s">
        <v>11</v>
      </c>
      <c r="C18" s="63"/>
      <c r="D18" s="64"/>
      <c r="E18" s="64"/>
      <c r="F18" s="64"/>
      <c r="G18" s="64"/>
      <c r="H18" s="64"/>
      <c r="I18" s="64"/>
      <c r="J18" s="64"/>
      <c r="K18" s="65"/>
    </row>
    <row r="19" spans="2:11">
      <c r="B19" s="35" t="s">
        <v>63</v>
      </c>
      <c r="C19" s="36"/>
      <c r="D19" s="36"/>
      <c r="E19" s="36"/>
      <c r="F19" s="36"/>
      <c r="G19" s="36"/>
      <c r="H19" s="36"/>
      <c r="I19" s="36"/>
      <c r="J19" s="36"/>
      <c r="K19" s="15">
        <f t="shared" si="3"/>
        <v>0</v>
      </c>
    </row>
    <row r="20" spans="2:11">
      <c r="B20" s="37" t="s">
        <v>65</v>
      </c>
      <c r="C20" s="36"/>
      <c r="D20" s="36"/>
      <c r="E20" s="36"/>
      <c r="F20" s="36"/>
      <c r="G20" s="36"/>
      <c r="H20" s="36"/>
      <c r="I20" s="36"/>
      <c r="J20" s="36"/>
      <c r="K20" s="15">
        <f t="shared" si="3"/>
        <v>0</v>
      </c>
    </row>
    <row r="21" spans="2:11">
      <c r="B21" s="35" t="s">
        <v>12</v>
      </c>
      <c r="C21" s="36"/>
      <c r="D21" s="36"/>
      <c r="E21" s="36"/>
      <c r="F21" s="36"/>
      <c r="G21" s="36"/>
      <c r="H21" s="36"/>
      <c r="I21" s="36"/>
      <c r="J21" s="36"/>
      <c r="K21" s="15">
        <f t="shared" si="3"/>
        <v>0</v>
      </c>
    </row>
    <row r="22" spans="2:11">
      <c r="B22" s="35" t="s">
        <v>127</v>
      </c>
      <c r="C22" s="36"/>
      <c r="D22" s="36"/>
      <c r="E22" s="36"/>
      <c r="F22" s="36"/>
      <c r="G22" s="36"/>
      <c r="H22" s="36"/>
      <c r="I22" s="36"/>
      <c r="J22" s="36"/>
      <c r="K22" s="15">
        <f t="shared" si="3"/>
        <v>0</v>
      </c>
    </row>
    <row r="23" spans="2:11">
      <c r="B23" s="35" t="s">
        <v>81</v>
      </c>
      <c r="C23" s="36"/>
      <c r="D23" s="36"/>
      <c r="E23" s="36"/>
      <c r="F23" s="36"/>
      <c r="G23" s="36"/>
      <c r="H23" s="36"/>
      <c r="I23" s="36"/>
      <c r="J23" s="36"/>
      <c r="K23" s="15">
        <f t="shared" si="3"/>
        <v>0</v>
      </c>
    </row>
    <row r="24" spans="2:11">
      <c r="B24" s="38" t="s">
        <v>64</v>
      </c>
      <c r="C24" s="15">
        <f>SUM(C16:C23) - SUM(C19:C22)</f>
        <v>0</v>
      </c>
      <c r="D24" s="15">
        <f t="shared" ref="D24:K24" si="4">SUM(D16:D23) - SUM(D19:D22)</f>
        <v>0</v>
      </c>
      <c r="E24" s="15">
        <f t="shared" si="4"/>
        <v>0</v>
      </c>
      <c r="F24" s="15">
        <f t="shared" si="4"/>
        <v>0</v>
      </c>
      <c r="G24" s="15">
        <f t="shared" si="4"/>
        <v>0</v>
      </c>
      <c r="H24" s="15">
        <f t="shared" si="4"/>
        <v>0</v>
      </c>
      <c r="I24" s="15">
        <f t="shared" si="4"/>
        <v>0</v>
      </c>
      <c r="J24" s="15">
        <f t="shared" si="4"/>
        <v>0</v>
      </c>
      <c r="K24" s="15">
        <f t="shared" si="4"/>
        <v>0</v>
      </c>
    </row>
    <row r="25" spans="2:11">
      <c r="B25" s="38" t="s">
        <v>5</v>
      </c>
      <c r="C25" s="15">
        <f>SUM(C16:C23)</f>
        <v>0</v>
      </c>
      <c r="D25" s="15">
        <f t="shared" ref="D25:K25" si="5">SUM(D16:D23)</f>
        <v>0</v>
      </c>
      <c r="E25" s="15">
        <f t="shared" si="5"/>
        <v>0</v>
      </c>
      <c r="F25" s="15">
        <f t="shared" si="5"/>
        <v>0</v>
      </c>
      <c r="G25" s="15">
        <f t="shared" si="5"/>
        <v>0</v>
      </c>
      <c r="H25" s="15">
        <f t="shared" si="5"/>
        <v>0</v>
      </c>
      <c r="I25" s="15">
        <f t="shared" si="5"/>
        <v>0</v>
      </c>
      <c r="J25" s="15">
        <f t="shared" si="5"/>
        <v>0</v>
      </c>
      <c r="K25" s="15">
        <f t="shared" si="5"/>
        <v>0</v>
      </c>
    </row>
  </sheetData>
  <mergeCells count="2">
    <mergeCell ref="B4:K4"/>
    <mergeCell ref="B15:K15"/>
  </mergeCells>
  <printOptions horizontalCentered="1"/>
  <pageMargins left="0.2" right="0.2" top="1" bottom="0.75" header="0.3" footer="0.3"/>
  <pageSetup scale="85" orientation="landscape" r:id="rId1"/>
  <headerFooter>
    <oddHeader>&amp;L&amp;"Arial,Bold"AME Pharmacy Price Sheet - Operations Price Sheet</oddHeader>
  </headerFooter>
</worksheet>
</file>

<file path=xl/worksheets/sheet7.xml><?xml version="1.0" encoding="utf-8"?>
<worksheet xmlns="http://schemas.openxmlformats.org/spreadsheetml/2006/main" xmlns:r="http://schemas.openxmlformats.org/officeDocument/2006/relationships">
  <dimension ref="B1:N39"/>
  <sheetViews>
    <sheetView showGridLines="0" showRowColHeaders="0" zoomScale="90" zoomScaleNormal="90" workbookViewId="0">
      <selection activeCell="B40" sqref="B40"/>
    </sheetView>
  </sheetViews>
  <sheetFormatPr defaultRowHeight="15"/>
  <cols>
    <col min="1" max="1" width="3.42578125" customWidth="1"/>
    <col min="2" max="2" width="44.7109375" customWidth="1"/>
    <col min="3" max="3" width="11.28515625" customWidth="1"/>
    <col min="4" max="4" width="10.85546875" customWidth="1"/>
    <col min="5" max="6" width="11.28515625" customWidth="1"/>
    <col min="7" max="7" width="11.42578125" customWidth="1"/>
    <col min="8" max="8" width="11.5703125" customWidth="1"/>
    <col min="9" max="9" width="11.7109375" customWidth="1"/>
    <col min="10" max="10" width="11.42578125" customWidth="1"/>
    <col min="11" max="11" width="11.28515625" customWidth="1"/>
  </cols>
  <sheetData>
    <row r="1" spans="2:11" ht="18.75">
      <c r="B1" s="48" t="s">
        <v>138</v>
      </c>
    </row>
    <row r="3" spans="2:11" ht="35.25" customHeight="1">
      <c r="B3" s="125" t="s">
        <v>38</v>
      </c>
      <c r="C3" s="126"/>
      <c r="D3" s="126"/>
      <c r="E3" s="126"/>
      <c r="F3" s="126"/>
      <c r="G3" s="126"/>
      <c r="H3" s="126"/>
      <c r="I3" s="126"/>
      <c r="J3" s="126"/>
      <c r="K3" s="126"/>
    </row>
    <row r="4" spans="2:11">
      <c r="B4" s="6" t="s">
        <v>35</v>
      </c>
      <c r="C4" s="4" t="s">
        <v>5</v>
      </c>
      <c r="D4" s="4" t="s">
        <v>42</v>
      </c>
      <c r="E4" s="4" t="s">
        <v>43</v>
      </c>
      <c r="F4" s="4" t="s">
        <v>44</v>
      </c>
      <c r="G4" s="4" t="s">
        <v>45</v>
      </c>
      <c r="H4" s="4" t="s">
        <v>46</v>
      </c>
      <c r="I4" s="4" t="s">
        <v>114</v>
      </c>
      <c r="J4" s="4" t="s">
        <v>116</v>
      </c>
      <c r="K4" s="4" t="s">
        <v>117</v>
      </c>
    </row>
    <row r="5" spans="2:11">
      <c r="B5" s="66" t="s">
        <v>32</v>
      </c>
      <c r="C5" s="14">
        <f>' Deliverables'!F23</f>
        <v>0</v>
      </c>
      <c r="D5" s="67">
        <f>' Deliverables'!G23</f>
        <v>0</v>
      </c>
      <c r="E5" s="67">
        <f>' Deliverables'!H23</f>
        <v>0</v>
      </c>
      <c r="F5" s="67">
        <f>' Deliverables'!I23</f>
        <v>0</v>
      </c>
      <c r="G5" s="67">
        <f>' Deliverables'!J23</f>
        <v>0</v>
      </c>
      <c r="H5" s="67">
        <f>' Deliverables'!K23</f>
        <v>0</v>
      </c>
      <c r="I5" s="67">
        <f>' Deliverables'!L23</f>
        <v>0</v>
      </c>
      <c r="J5" s="67">
        <f>' Deliverables'!M23</f>
        <v>0</v>
      </c>
      <c r="K5" s="67">
        <f>' Deliverables'!N23</f>
        <v>0</v>
      </c>
    </row>
    <row r="6" spans="2:11">
      <c r="B6" s="66" t="s">
        <v>33</v>
      </c>
      <c r="C6" s="14">
        <f>' Deliverables'!F31</f>
        <v>0</v>
      </c>
      <c r="D6" s="67">
        <f>' Deliverables'!G31</f>
        <v>0</v>
      </c>
      <c r="E6" s="67">
        <f>' Deliverables'!H31</f>
        <v>0</v>
      </c>
      <c r="F6" s="67">
        <f>' Deliverables'!I31</f>
        <v>0</v>
      </c>
      <c r="G6" s="67">
        <f>' Deliverables'!J31</f>
        <v>0</v>
      </c>
      <c r="H6" s="67">
        <f>' Deliverables'!K31</f>
        <v>0</v>
      </c>
      <c r="I6" s="67">
        <f>' Deliverables'!L31</f>
        <v>0</v>
      </c>
      <c r="J6" s="67">
        <f>' Deliverables'!M31</f>
        <v>0</v>
      </c>
      <c r="K6" s="67">
        <f>' Deliverables'!N31</f>
        <v>0</v>
      </c>
    </row>
    <row r="7" spans="2:11">
      <c r="B7" s="66" t="s">
        <v>34</v>
      </c>
      <c r="C7" s="14">
        <f>' Deliverables'!F43</f>
        <v>0</v>
      </c>
      <c r="D7" s="67">
        <f>' Deliverables'!G43</f>
        <v>0</v>
      </c>
      <c r="E7" s="67">
        <f>' Deliverables'!H43</f>
        <v>0</v>
      </c>
      <c r="F7" s="67">
        <f>' Deliverables'!I43</f>
        <v>0</v>
      </c>
      <c r="G7" s="67">
        <f>' Deliverables'!J43</f>
        <v>0</v>
      </c>
      <c r="H7" s="67">
        <f>' Deliverables'!K43</f>
        <v>0</v>
      </c>
      <c r="I7" s="67">
        <f>' Deliverables'!L43</f>
        <v>0</v>
      </c>
      <c r="J7" s="67">
        <f>' Deliverables'!M43</f>
        <v>0</v>
      </c>
      <c r="K7" s="67">
        <f>' Deliverables'!N43</f>
        <v>0</v>
      </c>
    </row>
    <row r="8" spans="2:11">
      <c r="B8" s="68" t="s">
        <v>26</v>
      </c>
      <c r="C8" s="14">
        <f>SUM(C5:C7)</f>
        <v>0</v>
      </c>
      <c r="D8" s="14">
        <f t="shared" ref="D8:K8" si="0">SUM(D5:D7)</f>
        <v>0</v>
      </c>
      <c r="E8" s="14">
        <f t="shared" si="0"/>
        <v>0</v>
      </c>
      <c r="F8" s="14">
        <f t="shared" si="0"/>
        <v>0</v>
      </c>
      <c r="G8" s="14">
        <f t="shared" si="0"/>
        <v>0</v>
      </c>
      <c r="H8" s="14">
        <f t="shared" si="0"/>
        <v>0</v>
      </c>
      <c r="I8" s="14">
        <f t="shared" si="0"/>
        <v>0</v>
      </c>
      <c r="J8" s="14">
        <f t="shared" si="0"/>
        <v>0</v>
      </c>
      <c r="K8" s="14">
        <f t="shared" si="0"/>
        <v>0</v>
      </c>
    </row>
    <row r="9" spans="2:11">
      <c r="B9" s="6" t="s">
        <v>36</v>
      </c>
      <c r="C9" s="4" t="s">
        <v>5</v>
      </c>
      <c r="D9" s="4" t="s">
        <v>42</v>
      </c>
      <c r="E9" s="4" t="s">
        <v>43</v>
      </c>
      <c r="F9" s="4" t="s">
        <v>44</v>
      </c>
      <c r="G9" s="4" t="s">
        <v>45</v>
      </c>
      <c r="H9" s="4" t="s">
        <v>46</v>
      </c>
      <c r="I9" s="4" t="s">
        <v>114</v>
      </c>
      <c r="J9" s="4" t="s">
        <v>116</v>
      </c>
      <c r="K9" s="4" t="s">
        <v>117</v>
      </c>
    </row>
    <row r="10" spans="2:11">
      <c r="B10" s="66" t="s">
        <v>37</v>
      </c>
      <c r="C10" s="14">
        <f>DevelopmentFacility!L4</f>
        <v>0</v>
      </c>
      <c r="D10" s="67">
        <f>DevelopmentFacility!D4</f>
        <v>0</v>
      </c>
      <c r="E10" s="67">
        <f>DevelopmentFacility!E4</f>
        <v>0</v>
      </c>
      <c r="F10" s="67">
        <f>DevelopmentFacility!F4</f>
        <v>0</v>
      </c>
      <c r="G10" s="67">
        <f>DevelopmentFacility!G4</f>
        <v>0</v>
      </c>
      <c r="H10" s="67">
        <f>DevelopmentFacility!H4</f>
        <v>0</v>
      </c>
      <c r="I10" s="67">
        <f>DevelopmentFacility!I4</f>
        <v>0</v>
      </c>
      <c r="J10" s="67">
        <f>DevelopmentFacility!J4</f>
        <v>0</v>
      </c>
      <c r="K10" s="67">
        <f>DevelopmentFacility!K4</f>
        <v>0</v>
      </c>
    </row>
    <row r="11" spans="2:11">
      <c r="B11" s="66" t="s">
        <v>65</v>
      </c>
      <c r="C11" s="14">
        <f>DevelopmentFacility!L5</f>
        <v>0</v>
      </c>
      <c r="D11" s="67">
        <f>DevelopmentFacility!D5</f>
        <v>0</v>
      </c>
      <c r="E11" s="67">
        <f>DevelopmentFacility!E5</f>
        <v>0</v>
      </c>
      <c r="F11" s="67">
        <f>DevelopmentFacility!F5</f>
        <v>0</v>
      </c>
      <c r="G11" s="67">
        <f>DevelopmentFacility!G5</f>
        <v>0</v>
      </c>
      <c r="H11" s="67">
        <f>DevelopmentFacility!H5</f>
        <v>0</v>
      </c>
      <c r="I11" s="67">
        <f>DevelopmentFacility!I5</f>
        <v>0</v>
      </c>
      <c r="J11" s="67">
        <f>DevelopmentFacility!J5</f>
        <v>0</v>
      </c>
      <c r="K11" s="67">
        <f>DevelopmentFacility!K5</f>
        <v>0</v>
      </c>
    </row>
    <row r="12" spans="2:11">
      <c r="B12" s="66" t="s">
        <v>66</v>
      </c>
      <c r="C12" s="14">
        <f>DevelopmentFacility!L6</f>
        <v>0</v>
      </c>
      <c r="D12" s="67">
        <f>DevelopmentFacility!D6</f>
        <v>0</v>
      </c>
      <c r="E12" s="67">
        <f>DevelopmentFacility!E6</f>
        <v>0</v>
      </c>
      <c r="F12" s="67">
        <f>DevelopmentFacility!F6</f>
        <v>0</v>
      </c>
      <c r="G12" s="67">
        <f>DevelopmentFacility!G6</f>
        <v>0</v>
      </c>
      <c r="H12" s="67">
        <f>DevelopmentFacility!H6</f>
        <v>0</v>
      </c>
      <c r="I12" s="67">
        <f>DevelopmentFacility!I6</f>
        <v>0</v>
      </c>
      <c r="J12" s="67">
        <f>DevelopmentFacility!J6</f>
        <v>0</v>
      </c>
      <c r="K12" s="67">
        <f>DevelopmentFacility!K6</f>
        <v>0</v>
      </c>
    </row>
    <row r="13" spans="2:11">
      <c r="B13" s="66" t="s">
        <v>130</v>
      </c>
      <c r="C13" s="14">
        <f>DevelopmentFacility!L7</f>
        <v>0</v>
      </c>
      <c r="D13" s="12">
        <f>DevelopmentFacility!D7</f>
        <v>0</v>
      </c>
      <c r="E13" s="12">
        <f>DevelopmentFacility!E7</f>
        <v>0</v>
      </c>
      <c r="F13" s="12">
        <f>DevelopmentFacility!F7</f>
        <v>0</v>
      </c>
      <c r="G13" s="12">
        <f>DevelopmentFacility!G7</f>
        <v>0</v>
      </c>
      <c r="H13" s="12">
        <f>DevelopmentFacility!H7</f>
        <v>0</v>
      </c>
      <c r="I13" s="12">
        <f>DevelopmentFacility!I7</f>
        <v>0</v>
      </c>
      <c r="J13" s="12">
        <f>DevelopmentFacility!J7</f>
        <v>0</v>
      </c>
      <c r="K13" s="12">
        <f>DevelopmentFacility!K7</f>
        <v>0</v>
      </c>
    </row>
    <row r="14" spans="2:11">
      <c r="B14" s="68" t="s">
        <v>26</v>
      </c>
      <c r="C14" s="14">
        <f>SUM(C10:C13)</f>
        <v>0</v>
      </c>
      <c r="D14" s="14">
        <f t="shared" ref="D14:K14" si="1">SUM(D10:D13)</f>
        <v>0</v>
      </c>
      <c r="E14" s="14">
        <f t="shared" si="1"/>
        <v>0</v>
      </c>
      <c r="F14" s="14">
        <f t="shared" si="1"/>
        <v>0</v>
      </c>
      <c r="G14" s="14">
        <f t="shared" si="1"/>
        <v>0</v>
      </c>
      <c r="H14" s="14">
        <f t="shared" si="1"/>
        <v>0</v>
      </c>
      <c r="I14" s="14">
        <f t="shared" si="1"/>
        <v>0</v>
      </c>
      <c r="J14" s="14">
        <f t="shared" si="1"/>
        <v>0</v>
      </c>
      <c r="K14" s="14">
        <f t="shared" si="1"/>
        <v>0</v>
      </c>
    </row>
    <row r="15" spans="2:11">
      <c r="B15" s="6" t="s">
        <v>118</v>
      </c>
      <c r="C15" s="4" t="s">
        <v>5</v>
      </c>
      <c r="D15" s="4" t="s">
        <v>42</v>
      </c>
      <c r="E15" s="4" t="s">
        <v>43</v>
      </c>
      <c r="F15" s="4" t="s">
        <v>44</v>
      </c>
      <c r="G15" s="4" t="s">
        <v>45</v>
      </c>
      <c r="H15" s="4" t="s">
        <v>46</v>
      </c>
      <c r="I15" s="4" t="s">
        <v>114</v>
      </c>
      <c r="J15" s="4" t="s">
        <v>116</v>
      </c>
      <c r="K15" s="4" t="s">
        <v>117</v>
      </c>
    </row>
    <row r="16" spans="2:11">
      <c r="B16" s="66" t="s">
        <v>47</v>
      </c>
      <c r="C16" s="14">
        <f>Hardware!F44</f>
        <v>0</v>
      </c>
      <c r="D16" s="67">
        <f>Hardware!G44</f>
        <v>0</v>
      </c>
      <c r="E16" s="67">
        <f>Hardware!H44</f>
        <v>0</v>
      </c>
      <c r="F16" s="67">
        <f>Hardware!I44</f>
        <v>0</v>
      </c>
      <c r="G16" s="67">
        <f>Hardware!J44</f>
        <v>0</v>
      </c>
      <c r="H16" s="67">
        <f>Hardware!K44</f>
        <v>0</v>
      </c>
      <c r="I16" s="67">
        <f>Hardware!L44</f>
        <v>0</v>
      </c>
      <c r="J16" s="67">
        <f>Hardware!M44</f>
        <v>0</v>
      </c>
      <c r="K16" s="67">
        <f>Hardware!N44</f>
        <v>0</v>
      </c>
    </row>
    <row r="17" spans="2:14">
      <c r="B17" s="66" t="s">
        <v>39</v>
      </c>
      <c r="C17" s="14">
        <f>Hardware!O44</f>
        <v>0</v>
      </c>
      <c r="D17" s="67">
        <f>Hardware!P44</f>
        <v>0</v>
      </c>
      <c r="E17" s="67">
        <f>Hardware!Q44</f>
        <v>0</v>
      </c>
      <c r="F17" s="67">
        <f>Hardware!R44</f>
        <v>0</v>
      </c>
      <c r="G17" s="67">
        <f>Hardware!S44</f>
        <v>0</v>
      </c>
      <c r="H17" s="67">
        <f>Hardware!T44</f>
        <v>0</v>
      </c>
      <c r="I17" s="67">
        <f>Hardware!U44</f>
        <v>0</v>
      </c>
      <c r="J17" s="67">
        <f>Hardware!V44</f>
        <v>0</v>
      </c>
      <c r="K17" s="67">
        <f>Hardware!W44</f>
        <v>0</v>
      </c>
    </row>
    <row r="18" spans="2:14">
      <c r="B18" s="68" t="s">
        <v>26</v>
      </c>
      <c r="C18" s="14">
        <f t="shared" ref="C18:J18" si="2">SUM(C16:C17)</f>
        <v>0</v>
      </c>
      <c r="D18" s="67">
        <f t="shared" si="2"/>
        <v>0</v>
      </c>
      <c r="E18" s="67">
        <f t="shared" si="2"/>
        <v>0</v>
      </c>
      <c r="F18" s="67">
        <f t="shared" si="2"/>
        <v>0</v>
      </c>
      <c r="G18" s="67">
        <f t="shared" si="2"/>
        <v>0</v>
      </c>
      <c r="H18" s="67">
        <f t="shared" si="2"/>
        <v>0</v>
      </c>
      <c r="I18" s="67">
        <f t="shared" si="2"/>
        <v>0</v>
      </c>
      <c r="J18" s="67">
        <f t="shared" si="2"/>
        <v>0</v>
      </c>
      <c r="K18" s="67">
        <f t="shared" ref="K18" si="3">SUM(K16:K17)</f>
        <v>0</v>
      </c>
    </row>
    <row r="19" spans="2:14">
      <c r="B19" s="6" t="s">
        <v>119</v>
      </c>
      <c r="C19" s="4" t="s">
        <v>5</v>
      </c>
      <c r="D19" s="4" t="s">
        <v>42</v>
      </c>
      <c r="E19" s="4" t="s">
        <v>43</v>
      </c>
      <c r="F19" s="4" t="s">
        <v>44</v>
      </c>
      <c r="G19" s="4" t="s">
        <v>45</v>
      </c>
      <c r="H19" s="4" t="s">
        <v>46</v>
      </c>
      <c r="I19" s="4" t="s">
        <v>114</v>
      </c>
      <c r="J19" s="4" t="s">
        <v>116</v>
      </c>
      <c r="K19" s="4" t="s">
        <v>117</v>
      </c>
    </row>
    <row r="20" spans="2:14">
      <c r="B20" s="66" t="s">
        <v>47</v>
      </c>
      <c r="C20" s="14">
        <f>Software!G47</f>
        <v>0</v>
      </c>
      <c r="D20" s="67">
        <f>Software!H47</f>
        <v>0</v>
      </c>
      <c r="E20" s="67">
        <f>Software!I47</f>
        <v>0</v>
      </c>
      <c r="F20" s="67">
        <f>Software!J47</f>
        <v>0</v>
      </c>
      <c r="G20" s="67">
        <f>Software!K47</f>
        <v>0</v>
      </c>
      <c r="H20" s="67">
        <f>Software!L47</f>
        <v>0</v>
      </c>
      <c r="I20" s="67">
        <f>Software!M47</f>
        <v>0</v>
      </c>
      <c r="J20" s="67">
        <f>Software!N47</f>
        <v>0</v>
      </c>
      <c r="K20" s="67">
        <f>Software!O47</f>
        <v>0</v>
      </c>
      <c r="N20" s="41"/>
    </row>
    <row r="21" spans="2:14">
      <c r="B21" s="66" t="s">
        <v>39</v>
      </c>
      <c r="C21" s="14">
        <f>Software!P47</f>
        <v>0</v>
      </c>
      <c r="D21" s="67">
        <f>Software!Q47</f>
        <v>0</v>
      </c>
      <c r="E21" s="67">
        <f>Software!R47</f>
        <v>0</v>
      </c>
      <c r="F21" s="67">
        <f>Software!S47</f>
        <v>0</v>
      </c>
      <c r="G21" s="67">
        <f>Software!T47</f>
        <v>0</v>
      </c>
      <c r="H21" s="67">
        <f>Software!U47</f>
        <v>0</v>
      </c>
      <c r="I21" s="67">
        <f>Software!V47</f>
        <v>0</v>
      </c>
      <c r="J21" s="67">
        <f>Software!W47</f>
        <v>0</v>
      </c>
      <c r="K21" s="67">
        <f>Software!X47</f>
        <v>0</v>
      </c>
    </row>
    <row r="22" spans="2:14">
      <c r="B22" s="68" t="s">
        <v>26</v>
      </c>
      <c r="C22" s="72">
        <f>SUM(C20:C21)</f>
        <v>0</v>
      </c>
      <c r="D22" s="12">
        <f t="shared" ref="D22:J22" si="4">SUM(D20:D21)</f>
        <v>0</v>
      </c>
      <c r="E22" s="12">
        <f t="shared" si="4"/>
        <v>0</v>
      </c>
      <c r="F22" s="12">
        <f t="shared" si="4"/>
        <v>0</v>
      </c>
      <c r="G22" s="12">
        <f t="shared" si="4"/>
        <v>0</v>
      </c>
      <c r="H22" s="12">
        <f t="shared" si="4"/>
        <v>0</v>
      </c>
      <c r="I22" s="12">
        <f t="shared" si="4"/>
        <v>0</v>
      </c>
      <c r="J22" s="12">
        <f t="shared" si="4"/>
        <v>0</v>
      </c>
      <c r="K22" s="12">
        <f t="shared" ref="K22" si="5">SUM(K20:K21)</f>
        <v>0</v>
      </c>
    </row>
    <row r="23" spans="2:14">
      <c r="B23" s="71" t="s">
        <v>48</v>
      </c>
      <c r="C23" s="72">
        <f t="shared" ref="C23:K23" si="6">C8+C14+C18+C22</f>
        <v>0</v>
      </c>
      <c r="D23" s="72">
        <f t="shared" si="6"/>
        <v>0</v>
      </c>
      <c r="E23" s="72">
        <f t="shared" si="6"/>
        <v>0</v>
      </c>
      <c r="F23" s="72">
        <f t="shared" si="6"/>
        <v>0</v>
      </c>
      <c r="G23" s="72">
        <f t="shared" si="6"/>
        <v>0</v>
      </c>
      <c r="H23" s="72">
        <f t="shared" si="6"/>
        <v>0</v>
      </c>
      <c r="I23" s="72">
        <f t="shared" si="6"/>
        <v>0</v>
      </c>
      <c r="J23" s="72">
        <f t="shared" si="6"/>
        <v>0</v>
      </c>
      <c r="K23" s="72">
        <f t="shared" si="6"/>
        <v>0</v>
      </c>
    </row>
    <row r="24" spans="2:14" ht="33.75" customHeight="1">
      <c r="B24" s="125" t="s">
        <v>8</v>
      </c>
      <c r="C24" s="126"/>
      <c r="D24" s="126"/>
      <c r="E24" s="126"/>
      <c r="F24" s="126"/>
      <c r="G24" s="126"/>
      <c r="H24" s="126"/>
      <c r="I24" s="126"/>
      <c r="J24" s="126"/>
      <c r="K24" s="126"/>
    </row>
    <row r="25" spans="2:14">
      <c r="B25" s="6"/>
      <c r="C25" s="4" t="s">
        <v>70</v>
      </c>
      <c r="D25" s="4" t="s">
        <v>42</v>
      </c>
      <c r="E25" s="4" t="s">
        <v>43</v>
      </c>
      <c r="F25" s="4" t="s">
        <v>44</v>
      </c>
      <c r="G25" s="4" t="s">
        <v>45</v>
      </c>
      <c r="H25" s="4" t="s">
        <v>46</v>
      </c>
      <c r="I25" s="4" t="s">
        <v>114</v>
      </c>
      <c r="J25" s="4" t="s">
        <v>116</v>
      </c>
      <c r="K25" s="4" t="s">
        <v>117</v>
      </c>
    </row>
    <row r="26" spans="2:14">
      <c r="B26" s="76" t="s">
        <v>40</v>
      </c>
      <c r="C26" s="14">
        <f>SUM(D26:K26)</f>
        <v>0</v>
      </c>
      <c r="D26" s="67">
        <f>' Deliverables'!G47+' Deliverables'!G54</f>
        <v>0</v>
      </c>
      <c r="E26" s="67">
        <f>' Deliverables'!H47+' Deliverables'!H54</f>
        <v>0</v>
      </c>
      <c r="F26" s="67">
        <f>' Deliverables'!I47+' Deliverables'!I54</f>
        <v>0</v>
      </c>
      <c r="G26" s="67">
        <f>' Deliverables'!J47+' Deliverables'!J54</f>
        <v>0</v>
      </c>
      <c r="H26" s="67">
        <f>' Deliverables'!K47+' Deliverables'!K54</f>
        <v>0</v>
      </c>
      <c r="I26" s="67">
        <f>' Deliverables'!L47+' Deliverables'!L54</f>
        <v>0</v>
      </c>
      <c r="J26" s="67">
        <f>' Deliverables'!M47+' Deliverables'!M54</f>
        <v>0</v>
      </c>
      <c r="K26" s="67">
        <f>' Deliverables'!N47+' Deliverables'!N54</f>
        <v>0</v>
      </c>
    </row>
    <row r="27" spans="2:14">
      <c r="B27" s="134" t="s">
        <v>123</v>
      </c>
      <c r="C27" s="135"/>
      <c r="D27" s="135"/>
      <c r="E27" s="135"/>
      <c r="F27" s="135"/>
      <c r="G27" s="135"/>
      <c r="H27" s="135"/>
      <c r="I27" s="135"/>
      <c r="J27" s="135"/>
      <c r="K27" s="136"/>
    </row>
    <row r="28" spans="2:14">
      <c r="B28" s="73" t="s">
        <v>120</v>
      </c>
      <c r="C28" s="14">
        <f>SUM(D28:K28)</f>
        <v>0</v>
      </c>
      <c r="D28" s="67">
        <f>SUM(Operations!C8:C11)</f>
        <v>0</v>
      </c>
      <c r="E28" s="67">
        <f>SUM(Operations!D8:D11)</f>
        <v>0</v>
      </c>
      <c r="F28" s="67">
        <f>SUM(Operations!E8:E11)</f>
        <v>0</v>
      </c>
      <c r="G28" s="67">
        <f>SUM(Operations!F8:F11)</f>
        <v>0</v>
      </c>
      <c r="H28" s="67">
        <f>SUM(Operations!G8:G11)</f>
        <v>0</v>
      </c>
      <c r="I28" s="67">
        <f>SUM(Operations!H8:H11)</f>
        <v>0</v>
      </c>
      <c r="J28" s="67">
        <f>SUM(Operations!I8:I11)</f>
        <v>0</v>
      </c>
      <c r="K28" s="67">
        <f>SUM(Operations!J8:J11)</f>
        <v>0</v>
      </c>
    </row>
    <row r="29" spans="2:14">
      <c r="B29" s="74" t="s">
        <v>41</v>
      </c>
      <c r="C29" s="14">
        <f>SUM(D29:K29)</f>
        <v>0</v>
      </c>
      <c r="D29" s="67">
        <f>Operations!C5+Operations!C6+Operations!C12</f>
        <v>0</v>
      </c>
      <c r="E29" s="67">
        <f>Operations!D5+Operations!D6+Operations!D12</f>
        <v>0</v>
      </c>
      <c r="F29" s="67">
        <f>Operations!E5+Operations!E6+Operations!E12</f>
        <v>0</v>
      </c>
      <c r="G29" s="67">
        <f>Operations!F5+Operations!F6+Operations!F12</f>
        <v>0</v>
      </c>
      <c r="H29" s="67">
        <f>Operations!G5+Operations!G6+Operations!G12</f>
        <v>0</v>
      </c>
      <c r="I29" s="67">
        <f>Operations!H5+Operations!H6+Operations!H12</f>
        <v>0</v>
      </c>
      <c r="J29" s="67">
        <f>Operations!I5+Operations!I6+Operations!I12</f>
        <v>0</v>
      </c>
      <c r="K29" s="67">
        <f>Operations!J5+Operations!J6+Operations!J12</f>
        <v>0</v>
      </c>
    </row>
    <row r="30" spans="2:14">
      <c r="B30" s="134" t="s">
        <v>124</v>
      </c>
      <c r="C30" s="135"/>
      <c r="D30" s="135"/>
      <c r="E30" s="135"/>
      <c r="F30" s="135"/>
      <c r="G30" s="135"/>
      <c r="H30" s="135"/>
      <c r="I30" s="135"/>
      <c r="J30" s="135"/>
      <c r="K30" s="136"/>
    </row>
    <row r="31" spans="2:14">
      <c r="B31" s="75" t="s">
        <v>120</v>
      </c>
      <c r="C31" s="14">
        <f>SUM(D31:K31)</f>
        <v>0</v>
      </c>
      <c r="D31" s="67">
        <f>SUM(Operations!C19:C21)</f>
        <v>0</v>
      </c>
      <c r="E31" s="67">
        <f>SUM(Operations!D19:D21)</f>
        <v>0</v>
      </c>
      <c r="F31" s="67">
        <f>SUM(Operations!E19:E21)</f>
        <v>0</v>
      </c>
      <c r="G31" s="67">
        <f>SUM(Operations!F19:F21)</f>
        <v>0</v>
      </c>
      <c r="H31" s="67">
        <f>SUM(Operations!G19:G21)</f>
        <v>0</v>
      </c>
      <c r="I31" s="67">
        <f>SUM(Operations!H19:H21)</f>
        <v>0</v>
      </c>
      <c r="J31" s="67">
        <f>SUM(Operations!I19:I21)</f>
        <v>0</v>
      </c>
      <c r="K31" s="67">
        <f>SUM(Operations!J19:J21)</f>
        <v>0</v>
      </c>
    </row>
    <row r="32" spans="2:14">
      <c r="B32" s="74" t="s">
        <v>41</v>
      </c>
      <c r="C32" s="14">
        <f>SUM(D32:K32)</f>
        <v>0</v>
      </c>
      <c r="D32" s="67">
        <f>Operations!C16+Operations!C17+Operations!C23</f>
        <v>0</v>
      </c>
      <c r="E32" s="67">
        <f>Operations!D16+Operations!D17+Operations!D23</f>
        <v>0</v>
      </c>
      <c r="F32" s="67">
        <f>Operations!E16+Operations!E17+Operations!E23</f>
        <v>0</v>
      </c>
      <c r="G32" s="67">
        <f>Operations!F16+Operations!F17+Operations!F23</f>
        <v>0</v>
      </c>
      <c r="H32" s="67">
        <f>Operations!G16+Operations!G17+Operations!G23</f>
        <v>0</v>
      </c>
      <c r="I32" s="67">
        <f>Operations!H16+Operations!H17+Operations!H23</f>
        <v>0</v>
      </c>
      <c r="J32" s="67">
        <f>Operations!I16+Operations!I17+Operations!I23</f>
        <v>0</v>
      </c>
      <c r="K32" s="67">
        <f>Operations!J16+Operations!J17+Operations!J23</f>
        <v>0</v>
      </c>
    </row>
    <row r="33" spans="2:11">
      <c r="B33" s="68" t="s">
        <v>26</v>
      </c>
      <c r="C33" s="14">
        <f t="shared" ref="C33:K33" si="7">SUM(C26:C32)</f>
        <v>0</v>
      </c>
      <c r="D33" s="67">
        <f t="shared" si="7"/>
        <v>0</v>
      </c>
      <c r="E33" s="67">
        <f t="shared" si="7"/>
        <v>0</v>
      </c>
      <c r="F33" s="67">
        <f t="shared" si="7"/>
        <v>0</v>
      </c>
      <c r="G33" s="67">
        <f t="shared" si="7"/>
        <v>0</v>
      </c>
      <c r="H33" s="67">
        <f t="shared" si="7"/>
        <v>0</v>
      </c>
      <c r="I33" s="67">
        <f t="shared" si="7"/>
        <v>0</v>
      </c>
      <c r="J33" s="67">
        <f t="shared" si="7"/>
        <v>0</v>
      </c>
      <c r="K33" s="67">
        <f t="shared" si="7"/>
        <v>0</v>
      </c>
    </row>
    <row r="34" spans="2:11">
      <c r="B34" s="69" t="s">
        <v>49</v>
      </c>
      <c r="C34" s="70">
        <f>SUM(C26:C32)</f>
        <v>0</v>
      </c>
      <c r="D34" s="70">
        <f t="shared" ref="D34:K34" si="8">SUM(D26:D32)</f>
        <v>0</v>
      </c>
      <c r="E34" s="70">
        <f t="shared" si="8"/>
        <v>0</v>
      </c>
      <c r="F34" s="70">
        <f t="shared" si="8"/>
        <v>0</v>
      </c>
      <c r="G34" s="70">
        <f t="shared" si="8"/>
        <v>0</v>
      </c>
      <c r="H34" s="70">
        <f t="shared" si="8"/>
        <v>0</v>
      </c>
      <c r="I34" s="70">
        <f t="shared" si="8"/>
        <v>0</v>
      </c>
      <c r="J34" s="70">
        <f t="shared" si="8"/>
        <v>0</v>
      </c>
      <c r="K34" s="70">
        <f t="shared" si="8"/>
        <v>0</v>
      </c>
    </row>
    <row r="35" spans="2:11">
      <c r="B35" s="69" t="s">
        <v>50</v>
      </c>
      <c r="C35" s="70">
        <f t="shared" ref="C35:K35" si="9">C34+C23</f>
        <v>0</v>
      </c>
      <c r="D35" s="70">
        <f t="shared" si="9"/>
        <v>0</v>
      </c>
      <c r="E35" s="70">
        <f t="shared" si="9"/>
        <v>0</v>
      </c>
      <c r="F35" s="70">
        <f t="shared" si="9"/>
        <v>0</v>
      </c>
      <c r="G35" s="70">
        <f t="shared" si="9"/>
        <v>0</v>
      </c>
      <c r="H35" s="70">
        <f t="shared" si="9"/>
        <v>0</v>
      </c>
      <c r="I35" s="70">
        <f t="shared" si="9"/>
        <v>0</v>
      </c>
      <c r="J35" s="70">
        <f t="shared" si="9"/>
        <v>0</v>
      </c>
      <c r="K35" s="70">
        <f t="shared" si="9"/>
        <v>0</v>
      </c>
    </row>
    <row r="36" spans="2:11">
      <c r="B36" s="132"/>
      <c r="C36" s="132"/>
      <c r="D36" s="133"/>
      <c r="E36" s="133"/>
    </row>
    <row r="37" spans="2:11">
      <c r="B37" s="71" t="s">
        <v>122</v>
      </c>
      <c r="C37" s="127">
        <f xml:space="preserve"> C35 -(C13  + C28 + C29 + Operations!K11 + Operations!K22 )</f>
        <v>0</v>
      </c>
      <c r="D37" s="128"/>
      <c r="E37" s="77"/>
      <c r="F37" s="77"/>
      <c r="G37" s="77"/>
      <c r="H37" s="77"/>
      <c r="I37" s="77"/>
      <c r="J37" s="77"/>
      <c r="K37" s="77"/>
    </row>
    <row r="38" spans="2:11" ht="15.75" thickBot="1">
      <c r="B38" s="77"/>
      <c r="C38" s="77"/>
      <c r="D38" s="77"/>
      <c r="E38" s="77"/>
      <c r="F38" s="77"/>
      <c r="G38" s="77"/>
      <c r="H38" s="77"/>
      <c r="I38" s="77"/>
      <c r="J38" s="77"/>
      <c r="K38" s="77"/>
    </row>
    <row r="39" spans="2:11" ht="32.25" customHeight="1" thickBot="1">
      <c r="B39" s="129" t="s">
        <v>131</v>
      </c>
      <c r="C39" s="130"/>
      <c r="D39" s="130"/>
      <c r="E39" s="130"/>
      <c r="F39" s="130"/>
      <c r="G39" s="130"/>
      <c r="H39" s="130"/>
      <c r="I39" s="130"/>
      <c r="J39" s="130"/>
      <c r="K39" s="131"/>
    </row>
  </sheetData>
  <mergeCells count="8">
    <mergeCell ref="B3:K3"/>
    <mergeCell ref="B24:K24"/>
    <mergeCell ref="C37:D37"/>
    <mergeCell ref="B39:K39"/>
    <mergeCell ref="B36:C36"/>
    <mergeCell ref="D36:E36"/>
    <mergeCell ref="B27:K27"/>
    <mergeCell ref="B30:K30"/>
  </mergeCells>
  <printOptions horizontalCentered="1"/>
  <pageMargins left="0.2" right="0.2" top="0.75" bottom="0.75" header="0.3" footer="0.3"/>
  <pageSetup scale="80" orientation="landscape" r:id="rId1"/>
  <headerFooter>
    <oddHeader>&amp;LAME Pharmacy Solution and Services Price Sheets - Summary Price Sheet</oddHeader>
    <oddFooter>Page &amp;P of &amp;N</oddFooter>
  </headerFooter>
</worksheet>
</file>

<file path=xl/worksheets/sheet8.xml><?xml version="1.0" encoding="utf-8"?>
<worksheet xmlns="http://schemas.openxmlformats.org/spreadsheetml/2006/main" xmlns:r="http://schemas.openxmlformats.org/officeDocument/2006/relationships">
  <dimension ref="A1:B8"/>
  <sheetViews>
    <sheetView workbookViewId="0">
      <selection activeCell="B7" sqref="B7:B8"/>
    </sheetView>
  </sheetViews>
  <sheetFormatPr defaultRowHeight="15"/>
  <cols>
    <col min="1" max="1" width="12.42578125" customWidth="1"/>
    <col min="2" max="2" width="11.5703125" customWidth="1"/>
  </cols>
  <sheetData>
    <row r="1" spans="1:2">
      <c r="A1" t="s">
        <v>54</v>
      </c>
      <c r="B1" t="s">
        <v>55</v>
      </c>
    </row>
    <row r="3" spans="1:2">
      <c r="A3" t="s">
        <v>2</v>
      </c>
      <c r="B3" t="s">
        <v>56</v>
      </c>
    </row>
    <row r="4" spans="1:2">
      <c r="B4" t="s">
        <v>57</v>
      </c>
    </row>
    <row r="5" spans="1:2">
      <c r="B5" t="s">
        <v>58</v>
      </c>
    </row>
    <row r="7" spans="1:2">
      <c r="A7" t="s">
        <v>60</v>
      </c>
      <c r="B7" t="s">
        <v>61</v>
      </c>
    </row>
    <row r="8" spans="1:2">
      <c r="B8" t="s">
        <v>62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3</vt:i4>
      </vt:variant>
    </vt:vector>
  </HeadingPairs>
  <TitlesOfParts>
    <vt:vector size="11" baseType="lpstr">
      <vt:lpstr> Deliverables</vt:lpstr>
      <vt:lpstr>DevelopmentFacility</vt:lpstr>
      <vt:lpstr>Hardware</vt:lpstr>
      <vt:lpstr>Software</vt:lpstr>
      <vt:lpstr>Labor Rates</vt:lpstr>
      <vt:lpstr>Operations</vt:lpstr>
      <vt:lpstr>Summary</vt:lpstr>
      <vt:lpstr>Sheet1</vt:lpstr>
      <vt:lpstr>LicenseType</vt:lpstr>
      <vt:lpstr>Software!Print_Area</vt:lpstr>
      <vt:lpstr>ProdSource</vt:lpstr>
    </vt:vector>
  </TitlesOfParts>
  <Company>Hewlett-Packard Company</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Ralph</dc:creator>
  <cp:lastModifiedBy>Rebecca Kee</cp:lastModifiedBy>
  <cp:lastPrinted>2013-02-01T21:14:19Z</cp:lastPrinted>
  <dcterms:created xsi:type="dcterms:W3CDTF">2012-03-21T17:00:03Z</dcterms:created>
  <dcterms:modified xsi:type="dcterms:W3CDTF">2013-02-28T14:50:29Z</dcterms:modified>
</cp:coreProperties>
</file>